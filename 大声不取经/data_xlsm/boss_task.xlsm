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95" windowWidth="14805" windowHeight="7920"/>
  </bookViews>
  <sheets>
    <sheet name="Sheet1" sheetId="6" r:id="rId1"/>
    <sheet name="Sheet2" sheetId="7" r:id="rId2"/>
  </sheets>
  <functionGroups builtInGroupCount="17"/>
  <externalReferences>
    <externalReference r:id="rId3"/>
  </externalReferences>
  <definedNames>
    <definedName name="_xlnm._FilterDatabase" localSheetId="0" hidden="1">Sheet1!$A$1:$F$53</definedName>
  </definedNames>
  <calcPr calcId="144525"/>
</workbook>
</file>

<file path=xl/calcChain.xml><?xml version="1.0" encoding="utf-8"?>
<calcChain xmlns="http://schemas.openxmlformats.org/spreadsheetml/2006/main">
  <c r="I4" i="6" l="1"/>
  <c r="I5" i="6"/>
  <c r="I8" i="6"/>
  <c r="I9" i="6"/>
  <c r="I12" i="6"/>
  <c r="I13" i="6"/>
  <c r="I16" i="6"/>
  <c r="I17" i="6"/>
  <c r="I20" i="6"/>
  <c r="I21" i="6"/>
  <c r="I24" i="6"/>
  <c r="I25" i="6"/>
  <c r="I28" i="6"/>
  <c r="I29" i="6"/>
  <c r="I32" i="6"/>
  <c r="I33" i="6"/>
  <c r="I36" i="6"/>
  <c r="I37" i="6"/>
  <c r="I40" i="6"/>
  <c r="I41" i="6"/>
  <c r="I44" i="6"/>
  <c r="I45" i="6"/>
  <c r="I48" i="6"/>
  <c r="I49" i="6"/>
  <c r="I52" i="6"/>
  <c r="I53" i="6"/>
  <c r="I56" i="6"/>
  <c r="I57" i="6"/>
  <c r="I60" i="6"/>
  <c r="I61" i="6"/>
  <c r="I6" i="6"/>
  <c r="I7" i="6"/>
  <c r="I10" i="6"/>
  <c r="I11" i="6"/>
  <c r="I14" i="6"/>
  <c r="I15" i="6"/>
  <c r="I18" i="6"/>
  <c r="I19" i="6"/>
  <c r="I22" i="6"/>
  <c r="I23" i="6"/>
  <c r="I26" i="6"/>
  <c r="I27" i="6"/>
  <c r="I30" i="6"/>
  <c r="I31" i="6"/>
  <c r="I34" i="6"/>
  <c r="I35" i="6"/>
  <c r="I38" i="6"/>
  <c r="I39" i="6"/>
  <c r="I42" i="6"/>
  <c r="I43" i="6"/>
  <c r="I46" i="6"/>
  <c r="I47" i="6"/>
  <c r="I50" i="6"/>
  <c r="I51" i="6"/>
  <c r="I54" i="6"/>
  <c r="I55" i="6"/>
  <c r="I58" i="6"/>
  <c r="I59" i="6"/>
  <c r="I62" i="6"/>
  <c r="I63" i="6"/>
  <c r="I247" i="6"/>
  <c r="I311" i="6"/>
  <c r="I375" i="6"/>
  <c r="H65" i="6"/>
  <c r="I65" i="6" s="1"/>
  <c r="H66" i="6"/>
  <c r="H67" i="6"/>
  <c r="H97" i="6" s="1"/>
  <c r="H127" i="6" s="1"/>
  <c r="H157" i="6" s="1"/>
  <c r="H187" i="6" s="1"/>
  <c r="H217" i="6" s="1"/>
  <c r="H247" i="6" s="1"/>
  <c r="H277" i="6" s="1"/>
  <c r="H307" i="6" s="1"/>
  <c r="H337" i="6" s="1"/>
  <c r="H367" i="6" s="1"/>
  <c r="I367" i="6" s="1"/>
  <c r="H68" i="6"/>
  <c r="I68" i="6" s="1"/>
  <c r="H69" i="6"/>
  <c r="I69" i="6" s="1"/>
  <c r="H70" i="6"/>
  <c r="H71" i="6"/>
  <c r="H101" i="6" s="1"/>
  <c r="H131" i="6" s="1"/>
  <c r="H161" i="6" s="1"/>
  <c r="H191" i="6" s="1"/>
  <c r="H221" i="6" s="1"/>
  <c r="H251" i="6" s="1"/>
  <c r="H281" i="6" s="1"/>
  <c r="H311" i="6" s="1"/>
  <c r="H341" i="6" s="1"/>
  <c r="H371" i="6" s="1"/>
  <c r="I371" i="6" s="1"/>
  <c r="H72" i="6"/>
  <c r="I72" i="6" s="1"/>
  <c r="H73" i="6"/>
  <c r="I73" i="6" s="1"/>
  <c r="H74" i="6"/>
  <c r="H75" i="6"/>
  <c r="H105" i="6" s="1"/>
  <c r="H135" i="6" s="1"/>
  <c r="H165" i="6" s="1"/>
  <c r="H195" i="6" s="1"/>
  <c r="H225" i="6" s="1"/>
  <c r="H255" i="6" s="1"/>
  <c r="H285" i="6" s="1"/>
  <c r="H315" i="6" s="1"/>
  <c r="H345" i="6" s="1"/>
  <c r="H375" i="6" s="1"/>
  <c r="H76" i="6"/>
  <c r="I76" i="6" s="1"/>
  <c r="H77" i="6"/>
  <c r="I77" i="6" s="1"/>
  <c r="H78" i="6"/>
  <c r="H79" i="6"/>
  <c r="H109" i="6" s="1"/>
  <c r="H139" i="6" s="1"/>
  <c r="H169" i="6" s="1"/>
  <c r="H199" i="6" s="1"/>
  <c r="H229" i="6" s="1"/>
  <c r="H259" i="6" s="1"/>
  <c r="H289" i="6" s="1"/>
  <c r="H319" i="6" s="1"/>
  <c r="H349" i="6" s="1"/>
  <c r="H379" i="6" s="1"/>
  <c r="I379" i="6" s="1"/>
  <c r="H80" i="6"/>
  <c r="I80" i="6" s="1"/>
  <c r="H81" i="6"/>
  <c r="I81" i="6" s="1"/>
  <c r="H82" i="6"/>
  <c r="H83" i="6"/>
  <c r="H113" i="6" s="1"/>
  <c r="H143" i="6" s="1"/>
  <c r="H173" i="6" s="1"/>
  <c r="H203" i="6" s="1"/>
  <c r="H233" i="6" s="1"/>
  <c r="H263" i="6" s="1"/>
  <c r="H293" i="6" s="1"/>
  <c r="H323" i="6" s="1"/>
  <c r="H353" i="6" s="1"/>
  <c r="H383" i="6" s="1"/>
  <c r="I383" i="6" s="1"/>
  <c r="H84" i="6"/>
  <c r="I84" i="6" s="1"/>
  <c r="H85" i="6"/>
  <c r="I85" i="6" s="1"/>
  <c r="H86" i="6"/>
  <c r="H87" i="6"/>
  <c r="H117" i="6" s="1"/>
  <c r="H147" i="6" s="1"/>
  <c r="H177" i="6" s="1"/>
  <c r="H207" i="6" s="1"/>
  <c r="H237" i="6" s="1"/>
  <c r="H267" i="6" s="1"/>
  <c r="H297" i="6" s="1"/>
  <c r="H327" i="6" s="1"/>
  <c r="H357" i="6" s="1"/>
  <c r="H387" i="6" s="1"/>
  <c r="I387" i="6" s="1"/>
  <c r="H88" i="6"/>
  <c r="I88" i="6" s="1"/>
  <c r="H89" i="6"/>
  <c r="I89" i="6" s="1"/>
  <c r="H90" i="6"/>
  <c r="H91" i="6"/>
  <c r="H121" i="6" s="1"/>
  <c r="H151" i="6" s="1"/>
  <c r="H181" i="6" s="1"/>
  <c r="H211" i="6" s="1"/>
  <c r="H241" i="6" s="1"/>
  <c r="H271" i="6" s="1"/>
  <c r="H301" i="6" s="1"/>
  <c r="H331" i="6" s="1"/>
  <c r="H361" i="6" s="1"/>
  <c r="H391" i="6" s="1"/>
  <c r="I391" i="6" s="1"/>
  <c r="H92" i="6"/>
  <c r="I92" i="6" s="1"/>
  <c r="H93" i="6"/>
  <c r="I93" i="6" s="1"/>
  <c r="H99" i="6"/>
  <c r="H129" i="6" s="1"/>
  <c r="H159" i="6" s="1"/>
  <c r="H189" i="6" s="1"/>
  <c r="H219" i="6" s="1"/>
  <c r="H249" i="6" s="1"/>
  <c r="H279" i="6" s="1"/>
  <c r="H309" i="6" s="1"/>
  <c r="H339" i="6" s="1"/>
  <c r="H369" i="6" s="1"/>
  <c r="I369" i="6" s="1"/>
  <c r="H107" i="6"/>
  <c r="H137" i="6" s="1"/>
  <c r="H167" i="6" s="1"/>
  <c r="H197" i="6" s="1"/>
  <c r="H227" i="6" s="1"/>
  <c r="H257" i="6" s="1"/>
  <c r="H287" i="6" s="1"/>
  <c r="H317" i="6" s="1"/>
  <c r="H347" i="6" s="1"/>
  <c r="H377" i="6" s="1"/>
  <c r="I377" i="6" s="1"/>
  <c r="H115" i="6"/>
  <c r="H145" i="6" s="1"/>
  <c r="H175" i="6" s="1"/>
  <c r="H205" i="6" s="1"/>
  <c r="H235" i="6" s="1"/>
  <c r="H265" i="6" s="1"/>
  <c r="H295" i="6" s="1"/>
  <c r="H325" i="6" s="1"/>
  <c r="H355" i="6" s="1"/>
  <c r="H385" i="6" s="1"/>
  <c r="I385" i="6" s="1"/>
  <c r="H123" i="6"/>
  <c r="H153" i="6" s="1"/>
  <c r="H183" i="6" s="1"/>
  <c r="H213" i="6" s="1"/>
  <c r="H243" i="6" s="1"/>
  <c r="H273" i="6" s="1"/>
  <c r="H303" i="6" s="1"/>
  <c r="H333" i="6" s="1"/>
  <c r="H363" i="6" s="1"/>
  <c r="H393" i="6" s="1"/>
  <c r="I393" i="6" s="1"/>
  <c r="H64" i="6"/>
  <c r="I64" i="6" s="1"/>
  <c r="H122" i="6" l="1"/>
  <c r="H152" i="6" s="1"/>
  <c r="H182" i="6" s="1"/>
  <c r="H212" i="6" s="1"/>
  <c r="H242" i="6" s="1"/>
  <c r="H272" i="6" s="1"/>
  <c r="H302" i="6" s="1"/>
  <c r="H332" i="6" s="1"/>
  <c r="H362" i="6" s="1"/>
  <c r="H392" i="6" s="1"/>
  <c r="I392" i="6" s="1"/>
  <c r="H114" i="6"/>
  <c r="H144" i="6" s="1"/>
  <c r="H174" i="6" s="1"/>
  <c r="H204" i="6" s="1"/>
  <c r="H234" i="6" s="1"/>
  <c r="H264" i="6" s="1"/>
  <c r="H294" i="6" s="1"/>
  <c r="H324" i="6" s="1"/>
  <c r="H354" i="6" s="1"/>
  <c r="H384" i="6" s="1"/>
  <c r="I384" i="6" s="1"/>
  <c r="H106" i="6"/>
  <c r="H136" i="6" s="1"/>
  <c r="H166" i="6" s="1"/>
  <c r="H196" i="6" s="1"/>
  <c r="H226" i="6" s="1"/>
  <c r="H256" i="6" s="1"/>
  <c r="H286" i="6" s="1"/>
  <c r="H316" i="6" s="1"/>
  <c r="H346" i="6" s="1"/>
  <c r="H376" i="6" s="1"/>
  <c r="I376" i="6" s="1"/>
  <c r="H98" i="6"/>
  <c r="H128" i="6" s="1"/>
  <c r="H158" i="6" s="1"/>
  <c r="H188" i="6" s="1"/>
  <c r="H218" i="6" s="1"/>
  <c r="H248" i="6" s="1"/>
  <c r="H278" i="6" s="1"/>
  <c r="H308" i="6" s="1"/>
  <c r="H338" i="6" s="1"/>
  <c r="H368" i="6" s="1"/>
  <c r="I368" i="6" s="1"/>
  <c r="I271" i="6"/>
  <c r="H119" i="6"/>
  <c r="H111" i="6"/>
  <c r="H103" i="6"/>
  <c r="H95" i="6"/>
  <c r="I327" i="6"/>
  <c r="I295" i="6"/>
  <c r="I263" i="6"/>
  <c r="I199" i="6"/>
  <c r="I167" i="6"/>
  <c r="I135" i="6"/>
  <c r="I71" i="6"/>
  <c r="I361" i="6"/>
  <c r="I297" i="6"/>
  <c r="I265" i="6"/>
  <c r="I233" i="6"/>
  <c r="I169" i="6"/>
  <c r="I137" i="6"/>
  <c r="I105" i="6"/>
  <c r="H118" i="6"/>
  <c r="H110" i="6"/>
  <c r="H102" i="6"/>
  <c r="I319" i="6"/>
  <c r="I287" i="6"/>
  <c r="I255" i="6"/>
  <c r="I191" i="6"/>
  <c r="I159" i="6"/>
  <c r="I127" i="6"/>
  <c r="I353" i="6"/>
  <c r="I289" i="6"/>
  <c r="I257" i="6"/>
  <c r="I225" i="6"/>
  <c r="I161" i="6"/>
  <c r="I129" i="6"/>
  <c r="I97" i="6"/>
  <c r="I279" i="6"/>
  <c r="I183" i="6"/>
  <c r="I151" i="6"/>
  <c r="I87" i="6"/>
  <c r="I345" i="6"/>
  <c r="I281" i="6"/>
  <c r="I249" i="6"/>
  <c r="I217" i="6"/>
  <c r="I153" i="6"/>
  <c r="I121" i="6"/>
  <c r="I303" i="6"/>
  <c r="I207" i="6"/>
  <c r="I175" i="6"/>
  <c r="I143" i="6"/>
  <c r="I79" i="6"/>
  <c r="I337" i="6"/>
  <c r="I273" i="6"/>
  <c r="I241" i="6"/>
  <c r="I177" i="6"/>
  <c r="I145" i="6"/>
  <c r="I113" i="6"/>
  <c r="H148" i="6"/>
  <c r="I118" i="6"/>
  <c r="H140" i="6"/>
  <c r="I110" i="6"/>
  <c r="H132" i="6"/>
  <c r="I102" i="6"/>
  <c r="H94" i="6"/>
  <c r="H120" i="6"/>
  <c r="I90" i="6"/>
  <c r="H116" i="6"/>
  <c r="I86" i="6"/>
  <c r="H112" i="6"/>
  <c r="I82" i="6"/>
  <c r="H108" i="6"/>
  <c r="I78" i="6"/>
  <c r="H104" i="6"/>
  <c r="I74" i="6"/>
  <c r="H100" i="6"/>
  <c r="I70" i="6"/>
  <c r="H96" i="6"/>
  <c r="I66" i="6"/>
  <c r="I302" i="6"/>
  <c r="I294" i="6"/>
  <c r="I286" i="6"/>
  <c r="I278" i="6"/>
  <c r="I182" i="6"/>
  <c r="I174" i="6"/>
  <c r="I166" i="6"/>
  <c r="I158" i="6"/>
  <c r="I272" i="6"/>
  <c r="I264" i="6"/>
  <c r="I256" i="6"/>
  <c r="I248" i="6"/>
  <c r="I152" i="6"/>
  <c r="I144" i="6"/>
  <c r="I136" i="6"/>
  <c r="I128" i="6"/>
  <c r="I363" i="6"/>
  <c r="I355" i="6"/>
  <c r="I347" i="6"/>
  <c r="I339" i="6"/>
  <c r="I331" i="6"/>
  <c r="I323" i="6"/>
  <c r="I315" i="6"/>
  <c r="I307" i="6"/>
  <c r="I267" i="6"/>
  <c r="I259" i="6"/>
  <c r="I251" i="6"/>
  <c r="I243" i="6"/>
  <c r="I235" i="6"/>
  <c r="I227" i="6"/>
  <c r="I219" i="6"/>
  <c r="I211" i="6"/>
  <c r="I203" i="6"/>
  <c r="I195" i="6"/>
  <c r="I187" i="6"/>
  <c r="I147" i="6"/>
  <c r="I139" i="6"/>
  <c r="I131" i="6"/>
  <c r="I123" i="6"/>
  <c r="I115" i="6"/>
  <c r="I107" i="6"/>
  <c r="I99" i="6"/>
  <c r="I91" i="6"/>
  <c r="I83" i="6"/>
  <c r="I75" i="6"/>
  <c r="I67" i="6"/>
  <c r="I357" i="6"/>
  <c r="I349" i="6"/>
  <c r="I341" i="6"/>
  <c r="I333" i="6"/>
  <c r="I325" i="6"/>
  <c r="I317" i="6"/>
  <c r="I309" i="6"/>
  <c r="I301" i="6"/>
  <c r="I293" i="6"/>
  <c r="I285" i="6"/>
  <c r="I277" i="6"/>
  <c r="I237" i="6"/>
  <c r="I229" i="6"/>
  <c r="I221" i="6"/>
  <c r="I213" i="6"/>
  <c r="I205" i="6"/>
  <c r="I197" i="6"/>
  <c r="I189" i="6"/>
  <c r="I181" i="6"/>
  <c r="I173" i="6"/>
  <c r="I165" i="6"/>
  <c r="I157" i="6"/>
  <c r="I117" i="6"/>
  <c r="I109" i="6"/>
  <c r="I101" i="6"/>
  <c r="I362" i="6"/>
  <c r="I354" i="6"/>
  <c r="I346" i="6"/>
  <c r="I338" i="6"/>
  <c r="I242" i="6"/>
  <c r="I234" i="6"/>
  <c r="I226" i="6"/>
  <c r="I218" i="6"/>
  <c r="I122" i="6"/>
  <c r="I114" i="6"/>
  <c r="I106" i="6"/>
  <c r="I98" i="6"/>
  <c r="I332" i="6"/>
  <c r="I324" i="6"/>
  <c r="I316" i="6"/>
  <c r="I308" i="6"/>
  <c r="I212" i="6"/>
  <c r="I204" i="6"/>
  <c r="I196" i="6"/>
  <c r="I188" i="6"/>
  <c r="U2" i="7"/>
  <c r="Z2" i="7"/>
  <c r="V2" i="7"/>
  <c r="W2" i="7"/>
  <c r="X2" i="7"/>
  <c r="U3" i="7"/>
  <c r="V3" i="7"/>
  <c r="W3" i="7"/>
  <c r="X3" i="7"/>
  <c r="U4" i="7"/>
  <c r="Z4" i="7" s="1"/>
  <c r="V4" i="7"/>
  <c r="W4" i="7"/>
  <c r="X4" i="7"/>
  <c r="U5" i="7"/>
  <c r="V5" i="7"/>
  <c r="W5" i="7"/>
  <c r="X5" i="7"/>
  <c r="U6" i="7"/>
  <c r="Z6" i="7" s="1"/>
  <c r="V6" i="7"/>
  <c r="W6" i="7"/>
  <c r="X6" i="7"/>
  <c r="U7" i="7"/>
  <c r="V7" i="7"/>
  <c r="W7" i="7"/>
  <c r="X7" i="7"/>
  <c r="U8" i="7"/>
  <c r="V8" i="7"/>
  <c r="W8" i="7"/>
  <c r="X8" i="7"/>
  <c r="U9" i="7"/>
  <c r="Z9" i="7" s="1"/>
  <c r="V9" i="7"/>
  <c r="W9" i="7"/>
  <c r="X9" i="7"/>
  <c r="U10" i="7"/>
  <c r="Z10" i="7" s="1"/>
  <c r="V10" i="7"/>
  <c r="W10" i="7"/>
  <c r="X10" i="7"/>
  <c r="U11" i="7"/>
  <c r="V11" i="7"/>
  <c r="W11" i="7"/>
  <c r="X11" i="7"/>
  <c r="U12" i="7"/>
  <c r="V12" i="7"/>
  <c r="W12" i="7"/>
  <c r="X12" i="7"/>
  <c r="U13" i="7"/>
  <c r="V13" i="7"/>
  <c r="W13" i="7"/>
  <c r="X13" i="7"/>
  <c r="U14" i="7"/>
  <c r="Z14" i="7" s="1"/>
  <c r="V14" i="7"/>
  <c r="W14" i="7"/>
  <c r="X14" i="7"/>
  <c r="U15" i="7"/>
  <c r="V15" i="7"/>
  <c r="W15" i="7"/>
  <c r="X15" i="7"/>
  <c r="U16" i="7"/>
  <c r="V16" i="7"/>
  <c r="W16" i="7"/>
  <c r="X16" i="7"/>
  <c r="U17" i="7"/>
  <c r="V17" i="7"/>
  <c r="W17" i="7"/>
  <c r="X17" i="7"/>
  <c r="U18" i="7"/>
  <c r="V18" i="7"/>
  <c r="W18" i="7"/>
  <c r="X18" i="7"/>
  <c r="U19" i="7"/>
  <c r="V19" i="7"/>
  <c r="W19" i="7"/>
  <c r="X19" i="7"/>
  <c r="U20" i="7"/>
  <c r="V20" i="7"/>
  <c r="W20" i="7"/>
  <c r="X20" i="7"/>
  <c r="U21" i="7"/>
  <c r="V21" i="7"/>
  <c r="W21" i="7"/>
  <c r="X21" i="7"/>
  <c r="U22" i="7"/>
  <c r="V22" i="7"/>
  <c r="W22" i="7"/>
  <c r="X22" i="7"/>
  <c r="U23" i="7"/>
  <c r="V23" i="7"/>
  <c r="W23" i="7"/>
  <c r="X23" i="7"/>
  <c r="U24" i="7"/>
  <c r="V24" i="7"/>
  <c r="W24" i="7"/>
  <c r="X24" i="7"/>
  <c r="U25" i="7"/>
  <c r="V25" i="7"/>
  <c r="W25" i="7"/>
  <c r="X25" i="7"/>
  <c r="U26" i="7"/>
  <c r="Z26" i="7" s="1"/>
  <c r="V26" i="7"/>
  <c r="W26" i="7"/>
  <c r="X26" i="7"/>
  <c r="U27" i="7"/>
  <c r="V27" i="7"/>
  <c r="W27" i="7"/>
  <c r="X27" i="7"/>
  <c r="U28" i="7"/>
  <c r="V28" i="7"/>
  <c r="W28" i="7"/>
  <c r="X28" i="7"/>
  <c r="U29" i="7"/>
  <c r="V29" i="7"/>
  <c r="W29" i="7"/>
  <c r="X29" i="7"/>
  <c r="U30" i="7"/>
  <c r="V30" i="7"/>
  <c r="W30" i="7"/>
  <c r="X30" i="7"/>
  <c r="U31" i="7"/>
  <c r="V31" i="7"/>
  <c r="W31" i="7"/>
  <c r="X31" i="7"/>
  <c r="U32" i="7"/>
  <c r="Z32" i="7" s="1"/>
  <c r="V32" i="7"/>
  <c r="W32" i="7"/>
  <c r="X32" i="7"/>
  <c r="U33" i="7"/>
  <c r="V33" i="7"/>
  <c r="W33" i="7"/>
  <c r="X33" i="7"/>
  <c r="U34" i="7"/>
  <c r="V34" i="7"/>
  <c r="W34" i="7"/>
  <c r="X34" i="7"/>
  <c r="U35" i="7"/>
  <c r="Z35" i="7" s="1"/>
  <c r="V35" i="7"/>
  <c r="W35" i="7"/>
  <c r="X35" i="7"/>
  <c r="U36" i="7"/>
  <c r="V36" i="7"/>
  <c r="W36" i="7"/>
  <c r="X36" i="7"/>
  <c r="U37" i="7"/>
  <c r="Z37" i="7" s="1"/>
  <c r="V37" i="7"/>
  <c r="W37" i="7"/>
  <c r="X37" i="7"/>
  <c r="U38" i="7"/>
  <c r="V38" i="7"/>
  <c r="W38" i="7"/>
  <c r="X38" i="7"/>
  <c r="U39" i="7"/>
  <c r="V39" i="7"/>
  <c r="W39" i="7"/>
  <c r="X39" i="7"/>
  <c r="U40" i="7"/>
  <c r="V40" i="7"/>
  <c r="W40" i="7"/>
  <c r="X40" i="7"/>
  <c r="U41" i="7"/>
  <c r="Z41" i="7" s="1"/>
  <c r="V41" i="7"/>
  <c r="W41" i="7"/>
  <c r="X41" i="7"/>
  <c r="U42" i="7"/>
  <c r="V42" i="7"/>
  <c r="W42" i="7"/>
  <c r="X42" i="7"/>
  <c r="U43" i="7"/>
  <c r="V43" i="7"/>
  <c r="W43" i="7"/>
  <c r="X43" i="7"/>
  <c r="U44" i="7"/>
  <c r="V44" i="7"/>
  <c r="W44" i="7"/>
  <c r="X44" i="7"/>
  <c r="U45" i="7"/>
  <c r="V45" i="7"/>
  <c r="Z45" i="7" s="1"/>
  <c r="W45" i="7"/>
  <c r="X45" i="7"/>
  <c r="U46" i="7"/>
  <c r="Z46" i="7"/>
  <c r="V46" i="7"/>
  <c r="W46" i="7"/>
  <c r="X46" i="7"/>
  <c r="U47" i="7"/>
  <c r="Z47" i="7" s="1"/>
  <c r="V47" i="7"/>
  <c r="W47" i="7"/>
  <c r="X47" i="7"/>
  <c r="U48" i="7"/>
  <c r="Z48" i="7" s="1"/>
  <c r="V48" i="7"/>
  <c r="W48" i="7"/>
  <c r="X48" i="7"/>
  <c r="U49" i="7"/>
  <c r="Z49" i="7" s="1"/>
  <c r="V49" i="7"/>
  <c r="W49" i="7"/>
  <c r="X49" i="7"/>
  <c r="U50" i="7"/>
  <c r="Z50" i="7" s="1"/>
  <c r="V50" i="7"/>
  <c r="W50" i="7"/>
  <c r="X50" i="7"/>
  <c r="U51" i="7"/>
  <c r="V51" i="7"/>
  <c r="W51" i="7"/>
  <c r="X51" i="7"/>
  <c r="U52" i="7"/>
  <c r="Z52" i="7" s="1"/>
  <c r="V52" i="7"/>
  <c r="W52" i="7"/>
  <c r="X52" i="7"/>
  <c r="U53" i="7"/>
  <c r="Z53" i="7" s="1"/>
  <c r="V53" i="7"/>
  <c r="W53" i="7"/>
  <c r="X53" i="7"/>
  <c r="U54" i="7"/>
  <c r="V54" i="7"/>
  <c r="W54" i="7"/>
  <c r="X54" i="7"/>
  <c r="U55" i="7"/>
  <c r="Z55" i="7" s="1"/>
  <c r="V55" i="7"/>
  <c r="W55" i="7"/>
  <c r="X55" i="7"/>
  <c r="U56" i="7"/>
  <c r="V56" i="7"/>
  <c r="W56" i="7"/>
  <c r="X56" i="7"/>
  <c r="U57" i="7"/>
  <c r="Z57" i="7" s="1"/>
  <c r="V57" i="7"/>
  <c r="W57" i="7"/>
  <c r="X57" i="7"/>
  <c r="U58" i="7"/>
  <c r="Z58" i="7" s="1"/>
  <c r="V58" i="7"/>
  <c r="W58" i="7"/>
  <c r="X58" i="7"/>
  <c r="U59" i="7"/>
  <c r="V59" i="7"/>
  <c r="W59" i="7"/>
  <c r="X59" i="7"/>
  <c r="U60" i="7"/>
  <c r="V60" i="7"/>
  <c r="W60" i="7"/>
  <c r="X60" i="7"/>
  <c r="U61" i="7"/>
  <c r="V61" i="7"/>
  <c r="W61" i="7"/>
  <c r="X61" i="7"/>
  <c r="U62" i="7"/>
  <c r="V62" i="7"/>
  <c r="W62" i="7"/>
  <c r="X62" i="7"/>
  <c r="U63" i="7"/>
  <c r="V63" i="7"/>
  <c r="W63" i="7"/>
  <c r="X63" i="7"/>
  <c r="U64" i="7"/>
  <c r="Z64" i="7" s="1"/>
  <c r="V64" i="7"/>
  <c r="W64" i="7"/>
  <c r="X64" i="7"/>
  <c r="U65" i="7"/>
  <c r="V65" i="7"/>
  <c r="W65" i="7"/>
  <c r="X65" i="7"/>
  <c r="U66" i="7"/>
  <c r="V66" i="7"/>
  <c r="W66" i="7"/>
  <c r="X66" i="7"/>
  <c r="U67" i="7"/>
  <c r="V67" i="7"/>
  <c r="W67" i="7"/>
  <c r="X67" i="7"/>
  <c r="U68" i="7"/>
  <c r="Z68" i="7" s="1"/>
  <c r="V68" i="7"/>
  <c r="W68" i="7"/>
  <c r="X68" i="7"/>
  <c r="U69" i="7"/>
  <c r="V69" i="7"/>
  <c r="W69" i="7"/>
  <c r="X69" i="7"/>
  <c r="U70" i="7"/>
  <c r="V70" i="7"/>
  <c r="W70" i="7"/>
  <c r="X70" i="7"/>
  <c r="U71" i="7"/>
  <c r="V71" i="7"/>
  <c r="W71" i="7"/>
  <c r="X71" i="7"/>
  <c r="U72" i="7"/>
  <c r="V72" i="7"/>
  <c r="W72" i="7"/>
  <c r="X72" i="7"/>
  <c r="U73" i="7"/>
  <c r="V73" i="7"/>
  <c r="W73" i="7"/>
  <c r="X73" i="7"/>
  <c r="U74" i="7"/>
  <c r="V74" i="7"/>
  <c r="W74" i="7"/>
  <c r="X74" i="7"/>
  <c r="U75" i="7"/>
  <c r="V75" i="7"/>
  <c r="W75" i="7"/>
  <c r="X75" i="7"/>
  <c r="V1" i="7"/>
  <c r="W1" i="7"/>
  <c r="X1" i="7"/>
  <c r="U1" i="7"/>
  <c r="Z39" i="7"/>
  <c r="Z21" i="7"/>
  <c r="Z17" i="7"/>
  <c r="Z7" i="7"/>
  <c r="Z3" i="7"/>
  <c r="Z24" i="7"/>
  <c r="Z73" i="7"/>
  <c r="Z25" i="7"/>
  <c r="Z23" i="7"/>
  <c r="Z5" i="7"/>
  <c r="Z71" i="7" l="1"/>
  <c r="Z33" i="7"/>
  <c r="Z31" i="7"/>
  <c r="H133" i="6"/>
  <c r="I103" i="6"/>
  <c r="Z44" i="7"/>
  <c r="Z36" i="7"/>
  <c r="H141" i="6"/>
  <c r="I111" i="6"/>
  <c r="H149" i="6"/>
  <c r="I119" i="6"/>
  <c r="Z19" i="7"/>
  <c r="H125" i="6"/>
  <c r="I95" i="6"/>
  <c r="Z74" i="7"/>
  <c r="Z72" i="7"/>
  <c r="Z70" i="7"/>
  <c r="Z69" i="7"/>
  <c r="Z67" i="7"/>
  <c r="Z66" i="7"/>
  <c r="Z65" i="7"/>
  <c r="Z63" i="7"/>
  <c r="Z40" i="7"/>
  <c r="Z30" i="7"/>
  <c r="Z28" i="7"/>
  <c r="Z27" i="7"/>
  <c r="Z22" i="7"/>
  <c r="Z11" i="7"/>
  <c r="H126" i="6"/>
  <c r="I96" i="6"/>
  <c r="H134" i="6"/>
  <c r="I104" i="6"/>
  <c r="H142" i="6"/>
  <c r="I112" i="6"/>
  <c r="H150" i="6"/>
  <c r="I120" i="6"/>
  <c r="Z1" i="7"/>
  <c r="Z62" i="7"/>
  <c r="Z61" i="7"/>
  <c r="Z60" i="7"/>
  <c r="Z59" i="7"/>
  <c r="Z56" i="7"/>
  <c r="Z54" i="7"/>
  <c r="Z43" i="7"/>
  <c r="Z29" i="7"/>
  <c r="Z20" i="7"/>
  <c r="Z18" i="7"/>
  <c r="Z16" i="7"/>
  <c r="Z15" i="7"/>
  <c r="Z13" i="7"/>
  <c r="Z12" i="7"/>
  <c r="H124" i="6"/>
  <c r="I94" i="6"/>
  <c r="H170" i="6"/>
  <c r="I140" i="6"/>
  <c r="H130" i="6"/>
  <c r="I100" i="6"/>
  <c r="H138" i="6"/>
  <c r="I108" i="6"/>
  <c r="H146" i="6"/>
  <c r="I116" i="6"/>
  <c r="Z75" i="7"/>
  <c r="Z51" i="7"/>
  <c r="Z42" i="7"/>
  <c r="Z38" i="7"/>
  <c r="Z34" i="7"/>
  <c r="Z8" i="7"/>
  <c r="H162" i="6"/>
  <c r="I132" i="6"/>
  <c r="H178" i="6"/>
  <c r="I148" i="6"/>
  <c r="H171" i="6" l="1"/>
  <c r="I141" i="6"/>
  <c r="H163" i="6"/>
  <c r="I133" i="6"/>
  <c r="H179" i="6"/>
  <c r="I149" i="6"/>
  <c r="H155" i="6"/>
  <c r="I125" i="6"/>
  <c r="H208" i="6"/>
  <c r="I178" i="6"/>
  <c r="H168" i="6"/>
  <c r="I138" i="6"/>
  <c r="H200" i="6"/>
  <c r="I170" i="6"/>
  <c r="H172" i="6"/>
  <c r="I142" i="6"/>
  <c r="H156" i="6"/>
  <c r="I126" i="6"/>
  <c r="H192" i="6"/>
  <c r="I162" i="6"/>
  <c r="H176" i="6"/>
  <c r="I146" i="6"/>
  <c r="H160" i="6"/>
  <c r="I130" i="6"/>
  <c r="H154" i="6"/>
  <c r="I124" i="6"/>
  <c r="H180" i="6"/>
  <c r="I150" i="6"/>
  <c r="H164" i="6"/>
  <c r="I134" i="6"/>
  <c r="H185" i="6" l="1"/>
  <c r="I155" i="6"/>
  <c r="H193" i="6"/>
  <c r="I163" i="6"/>
  <c r="H209" i="6"/>
  <c r="I179" i="6"/>
  <c r="H201" i="6"/>
  <c r="I171" i="6"/>
  <c r="H210" i="6"/>
  <c r="I180" i="6"/>
  <c r="H190" i="6"/>
  <c r="I160" i="6"/>
  <c r="H222" i="6"/>
  <c r="I192" i="6"/>
  <c r="H202" i="6"/>
  <c r="I172" i="6"/>
  <c r="H198" i="6"/>
  <c r="I168" i="6"/>
  <c r="H194" i="6"/>
  <c r="I164" i="6"/>
  <c r="H184" i="6"/>
  <c r="I154" i="6"/>
  <c r="H206" i="6"/>
  <c r="I176" i="6"/>
  <c r="H186" i="6"/>
  <c r="I156" i="6"/>
  <c r="H230" i="6"/>
  <c r="I200" i="6"/>
  <c r="H238" i="6"/>
  <c r="I208" i="6"/>
  <c r="H231" i="6" l="1"/>
  <c r="I201" i="6"/>
  <c r="H223" i="6"/>
  <c r="I193" i="6"/>
  <c r="H239" i="6"/>
  <c r="I209" i="6"/>
  <c r="H215" i="6"/>
  <c r="I185" i="6"/>
  <c r="H260" i="6"/>
  <c r="I230" i="6"/>
  <c r="H236" i="6"/>
  <c r="I206" i="6"/>
  <c r="H224" i="6"/>
  <c r="I194" i="6"/>
  <c r="H232" i="6"/>
  <c r="I202" i="6"/>
  <c r="H220" i="6"/>
  <c r="I190" i="6"/>
  <c r="H268" i="6"/>
  <c r="I238" i="6"/>
  <c r="H216" i="6"/>
  <c r="I186" i="6"/>
  <c r="H214" i="6"/>
  <c r="I184" i="6"/>
  <c r="H228" i="6"/>
  <c r="I198" i="6"/>
  <c r="H252" i="6"/>
  <c r="I222" i="6"/>
  <c r="H240" i="6"/>
  <c r="I210" i="6"/>
  <c r="H269" i="6" l="1"/>
  <c r="I239" i="6"/>
  <c r="H261" i="6"/>
  <c r="I231" i="6"/>
  <c r="H245" i="6"/>
  <c r="I215" i="6"/>
  <c r="H253" i="6"/>
  <c r="I223" i="6"/>
  <c r="H270" i="6"/>
  <c r="I240" i="6"/>
  <c r="H258" i="6"/>
  <c r="I228" i="6"/>
  <c r="H246" i="6"/>
  <c r="I216" i="6"/>
  <c r="H250" i="6"/>
  <c r="I220" i="6"/>
  <c r="H254" i="6"/>
  <c r="I224" i="6"/>
  <c r="H282" i="6"/>
  <c r="I252" i="6"/>
  <c r="H244" i="6"/>
  <c r="I214" i="6"/>
  <c r="H298" i="6"/>
  <c r="I268" i="6"/>
  <c r="H262" i="6"/>
  <c r="I232" i="6"/>
  <c r="H266" i="6"/>
  <c r="I236" i="6"/>
  <c r="H290" i="6"/>
  <c r="I260" i="6"/>
  <c r="H283" i="6" l="1"/>
  <c r="I253" i="6"/>
  <c r="H291" i="6"/>
  <c r="I261" i="6"/>
  <c r="H275" i="6"/>
  <c r="I245" i="6"/>
  <c r="H299" i="6"/>
  <c r="I269" i="6"/>
  <c r="H320" i="6"/>
  <c r="I290" i="6"/>
  <c r="H292" i="6"/>
  <c r="I262" i="6"/>
  <c r="H274" i="6"/>
  <c r="I244" i="6"/>
  <c r="H284" i="6"/>
  <c r="I254" i="6"/>
  <c r="H276" i="6"/>
  <c r="I246" i="6"/>
  <c r="H296" i="6"/>
  <c r="I266" i="6"/>
  <c r="H328" i="6"/>
  <c r="I298" i="6"/>
  <c r="H312" i="6"/>
  <c r="I282" i="6"/>
  <c r="H280" i="6"/>
  <c r="I250" i="6"/>
  <c r="H288" i="6"/>
  <c r="I258" i="6"/>
  <c r="H300" i="6"/>
  <c r="I270" i="6"/>
  <c r="H329" i="6" l="1"/>
  <c r="I299" i="6"/>
  <c r="H321" i="6"/>
  <c r="I291" i="6"/>
  <c r="H305" i="6"/>
  <c r="I275" i="6"/>
  <c r="H313" i="6"/>
  <c r="I283" i="6"/>
  <c r="H330" i="6"/>
  <c r="I300" i="6"/>
  <c r="H310" i="6"/>
  <c r="I280" i="6"/>
  <c r="H358" i="6"/>
  <c r="I328" i="6"/>
  <c r="H306" i="6"/>
  <c r="I276" i="6"/>
  <c r="H304" i="6"/>
  <c r="I274" i="6"/>
  <c r="H350" i="6"/>
  <c r="I320" i="6"/>
  <c r="H318" i="6"/>
  <c r="I288" i="6"/>
  <c r="H342" i="6"/>
  <c r="I312" i="6"/>
  <c r="H326" i="6"/>
  <c r="I296" i="6"/>
  <c r="H314" i="6"/>
  <c r="I284" i="6"/>
  <c r="H322" i="6"/>
  <c r="I292" i="6"/>
  <c r="H343" i="6" l="1"/>
  <c r="I313" i="6"/>
  <c r="H351" i="6"/>
  <c r="I321" i="6"/>
  <c r="H335" i="6"/>
  <c r="I305" i="6"/>
  <c r="H359" i="6"/>
  <c r="I329" i="6"/>
  <c r="H352" i="6"/>
  <c r="I322" i="6"/>
  <c r="H356" i="6"/>
  <c r="I326" i="6"/>
  <c r="H348" i="6"/>
  <c r="I318" i="6"/>
  <c r="H334" i="6"/>
  <c r="I304" i="6"/>
  <c r="H344" i="6"/>
  <c r="I314" i="6"/>
  <c r="H372" i="6"/>
  <c r="I372" i="6" s="1"/>
  <c r="I342" i="6"/>
  <c r="H380" i="6"/>
  <c r="I380" i="6" s="1"/>
  <c r="I350" i="6"/>
  <c r="H336" i="6"/>
  <c r="I306" i="6"/>
  <c r="H340" i="6"/>
  <c r="I310" i="6"/>
  <c r="H388" i="6"/>
  <c r="I388" i="6" s="1"/>
  <c r="I358" i="6"/>
  <c r="H360" i="6"/>
  <c r="I330" i="6"/>
  <c r="H389" i="6" l="1"/>
  <c r="I389" i="6" s="1"/>
  <c r="I359" i="6"/>
  <c r="H381" i="6"/>
  <c r="I381" i="6" s="1"/>
  <c r="I351" i="6"/>
  <c r="H365" i="6"/>
  <c r="I365" i="6" s="1"/>
  <c r="I335" i="6"/>
  <c r="H373" i="6"/>
  <c r="I373" i="6" s="1"/>
  <c r="I343" i="6"/>
  <c r="H374" i="6"/>
  <c r="I374" i="6" s="1"/>
  <c r="I344" i="6"/>
  <c r="H390" i="6"/>
  <c r="I390" i="6" s="1"/>
  <c r="I360" i="6"/>
  <c r="H370" i="6"/>
  <c r="I370" i="6" s="1"/>
  <c r="I340" i="6"/>
  <c r="H366" i="6"/>
  <c r="I366" i="6" s="1"/>
  <c r="I336" i="6"/>
  <c r="H364" i="6"/>
  <c r="I364" i="6" s="1"/>
  <c r="I334" i="6"/>
  <c r="H386" i="6"/>
  <c r="I386" i="6" s="1"/>
  <c r="I356" i="6"/>
  <c r="H378" i="6"/>
  <c r="I378" i="6" s="1"/>
  <c r="I348" i="6"/>
  <c r="H382" i="6"/>
  <c r="I382" i="6" s="1"/>
  <c r="I352" i="6"/>
</calcChain>
</file>

<file path=xl/sharedStrings.xml><?xml version="1.0" encoding="utf-8"?>
<sst xmlns="http://schemas.openxmlformats.org/spreadsheetml/2006/main" count="1447" uniqueCount="739">
  <si>
    <t>s</t>
    <phoneticPr fontId="4" type="noConversion"/>
  </si>
  <si>
    <t>s</t>
  </si>
  <si>
    <t>任务ID  [字符串]</t>
    <phoneticPr fontId="4" type="noConversion"/>
  </si>
  <si>
    <t>任务名称
[字符串]</t>
    <phoneticPr fontId="4" type="noConversion"/>
  </si>
  <si>
    <t>1|4|1</t>
  </si>
  <si>
    <t>1|1|16503</t>
  </si>
  <si>
    <t/>
  </si>
  <si>
    <t>2500|1</t>
  </si>
  <si>
    <t>20|1</t>
  </si>
  <si>
    <t>1|1|14308</t>
  </si>
  <si>
    <t>1|1</t>
  </si>
  <si>
    <t>1|1|14301</t>
  </si>
  <si>
    <t>5000|1</t>
  </si>
  <si>
    <t>7500|1</t>
  </si>
  <si>
    <t>1|1|14309</t>
  </si>
  <si>
    <t>10000|1</t>
  </si>
  <si>
    <t>12500|1</t>
  </si>
  <si>
    <t>1|1|14302</t>
  </si>
  <si>
    <t>15000|1</t>
  </si>
  <si>
    <t>17500|1</t>
  </si>
  <si>
    <t>20000|1</t>
  </si>
  <si>
    <t>22500|1</t>
  </si>
  <si>
    <t>1|1|14310</t>
  </si>
  <si>
    <t>25000|1</t>
  </si>
  <si>
    <t>27500|1</t>
  </si>
  <si>
    <t>30000|1</t>
  </si>
  <si>
    <t>32500|1</t>
  </si>
  <si>
    <t>35000|1</t>
  </si>
  <si>
    <t>37500|1</t>
  </si>
  <si>
    <t>40000|1</t>
  </si>
  <si>
    <t>42500|1</t>
  </si>
  <si>
    <t>45000|1</t>
  </si>
  <si>
    <t>47500|1</t>
  </si>
  <si>
    <t>任务开放等级
调用game_limit</t>
    <phoneticPr fontId="4" type="noConversion"/>
  </si>
  <si>
    <r>
      <t>i</t>
    </r>
    <r>
      <rPr>
        <sz val="10"/>
        <color theme="1"/>
        <rFont val="微软雅黑"/>
        <family val="2"/>
        <charset val="134"/>
      </rPr>
      <t>d</t>
    </r>
    <phoneticPr fontId="4" type="noConversion"/>
  </si>
  <si>
    <r>
      <t>n</t>
    </r>
    <r>
      <rPr>
        <sz val="10"/>
        <color theme="1"/>
        <rFont val="微软雅黑"/>
        <family val="2"/>
        <charset val="134"/>
      </rPr>
      <t>ame</t>
    </r>
    <phoneticPr fontId="4" type="noConversion"/>
  </si>
  <si>
    <t>target</t>
    <phoneticPr fontId="4" type="noConversion"/>
  </si>
  <si>
    <t>完成奖励
调用填写格式：
[]=无初次通关奖励
直接填写game_reward=读取game_reward表格数据
1|range_reward=读取range_reward表格数据</t>
    <phoneticPr fontId="4" type="noConversion"/>
  </si>
  <si>
    <t>reward</t>
    <phoneticPr fontId="4" type="noConversion"/>
  </si>
  <si>
    <t>limit</t>
    <phoneticPr fontId="4" type="noConversion"/>
  </si>
  <si>
    <t>2|20</t>
  </si>
  <si>
    <t>2|30</t>
  </si>
  <si>
    <t>2|40</t>
  </si>
  <si>
    <t>排序
数值越小的越靠前</t>
    <phoneticPr fontId="4" type="noConversion"/>
  </si>
  <si>
    <t>order</t>
    <phoneticPr fontId="4" type="noConversion"/>
  </si>
  <si>
    <t>i</t>
    <phoneticPr fontId="4" type="noConversion"/>
  </si>
  <si>
    <t>s</t>
    <phoneticPr fontId="4" type="noConversion"/>
  </si>
  <si>
    <t>2|2</t>
    <phoneticPr fontId="4" type="noConversion"/>
  </si>
  <si>
    <t>2|4</t>
    <phoneticPr fontId="4" type="noConversion"/>
  </si>
  <si>
    <t>2|6</t>
  </si>
  <si>
    <t>2|8</t>
  </si>
  <si>
    <t>2|10</t>
  </si>
  <si>
    <t>2|12</t>
  </si>
  <si>
    <t>2|14</t>
  </si>
  <si>
    <t>2|16</t>
  </si>
  <si>
    <t>2|18</t>
  </si>
  <si>
    <t>2|22</t>
  </si>
  <si>
    <t>2|24</t>
  </si>
  <si>
    <t>2|26</t>
  </si>
  <si>
    <t>2|28</t>
  </si>
  <si>
    <t>2|32</t>
  </si>
  <si>
    <t>2|34</t>
  </si>
  <si>
    <t>2|36</t>
  </si>
  <si>
    <t>2|38</t>
  </si>
  <si>
    <t>a</t>
    <phoneticPr fontId="4" type="noConversion"/>
  </si>
  <si>
    <t>3|1</t>
    <phoneticPr fontId="4" type="noConversion"/>
  </si>
  <si>
    <t>3|2</t>
  </si>
  <si>
    <t>3|3</t>
  </si>
  <si>
    <r>
      <t>[</t>
    </r>
    <r>
      <rPr>
        <sz val="10"/>
        <color theme="1"/>
        <rFont val="微软雅黑"/>
        <family val="2"/>
        <charset val="134"/>
      </rPr>
      <t>]</t>
    </r>
    <phoneticPr fontId="4" type="noConversion"/>
  </si>
  <si>
    <t>任务参数
1-全服BOSS累计荣誉(1|累计荣誉值)
2-全服BOSS击杀BOSS最高等级（2|击杀BOSS最高等级）
3-帮会总伤害排行
(类型可以配置多个用,隔开)</t>
    <phoneticPr fontId="4" type="noConversion"/>
  </si>
  <si>
    <t>1|1200</t>
  </si>
  <si>
    <t>1|1600</t>
  </si>
  <si>
    <t>1|2400</t>
  </si>
  <si>
    <t>1|2900</t>
  </si>
  <si>
    <t>1|4100</t>
  </si>
  <si>
    <t>1|4500</t>
  </si>
  <si>
    <t>1|4900</t>
  </si>
  <si>
    <t>1|5300</t>
  </si>
  <si>
    <t>1|6100</t>
  </si>
  <si>
    <t>1|6500</t>
  </si>
  <si>
    <t>1|6900</t>
  </si>
  <si>
    <t>1|7300</t>
  </si>
  <si>
    <t>1|7700</t>
  </si>
  <si>
    <t>1|8100</t>
  </si>
  <si>
    <t>1|9000</t>
  </si>
  <si>
    <t>1|9400</t>
  </si>
  <si>
    <t>1|1700</t>
  </si>
  <si>
    <t>1|2700</t>
  </si>
  <si>
    <t>1|3100</t>
  </si>
  <si>
    <t>1|3400</t>
  </si>
  <si>
    <t>1|4800</t>
  </si>
  <si>
    <t>1|5400</t>
  </si>
  <si>
    <t>1|7500</t>
  </si>
  <si>
    <t>1|9500</t>
  </si>
  <si>
    <t>1|11600</t>
  </si>
  <si>
    <t>1|12300</t>
  </si>
  <si>
    <t>1|12900</t>
  </si>
  <si>
    <t>1|13600</t>
  </si>
  <si>
    <t>1|15700</t>
  </si>
  <si>
    <t>1|17000</t>
  </si>
  <si>
    <t>1|3000</t>
  </si>
  <si>
    <t>1|4200</t>
  </si>
  <si>
    <t>1|4700</t>
  </si>
  <si>
    <t>1|5900</t>
  </si>
  <si>
    <t>1|7100</t>
  </si>
  <si>
    <t>1|8300</t>
  </si>
  <si>
    <t>1|11900</t>
  </si>
  <si>
    <t>1|14200</t>
  </si>
  <si>
    <t>1|20200</t>
  </si>
  <si>
    <t>1|22600</t>
  </si>
  <si>
    <t>1|23700</t>
  </si>
  <si>
    <t>1|28500</t>
  </si>
  <si>
    <t>1|29700</t>
  </si>
  <si>
    <t>1|3500</t>
  </si>
  <si>
    <t>1|8800</t>
  </si>
  <si>
    <t>1|10600</t>
  </si>
  <si>
    <t>1|12400</t>
  </si>
  <si>
    <t>1|21200</t>
  </si>
  <si>
    <t>1|24800</t>
  </si>
  <si>
    <t>1|28300</t>
  </si>
  <si>
    <t>1|31900</t>
  </si>
  <si>
    <t>1|35400</t>
  </si>
  <si>
    <t>1|37200</t>
  </si>
  <si>
    <t>1|42500</t>
  </si>
  <si>
    <t>1|44200</t>
  </si>
  <si>
    <t>1|1100</t>
  </si>
  <si>
    <t>1|2200</t>
  </si>
  <si>
    <t>1|5600</t>
  </si>
  <si>
    <t>1|6700</t>
  </si>
  <si>
    <t>1|7800</t>
  </si>
  <si>
    <t>1|10100</t>
  </si>
  <si>
    <t>1|11200</t>
  </si>
  <si>
    <t>1|13400</t>
  </si>
  <si>
    <t>1|22400</t>
  </si>
  <si>
    <t>1|24700</t>
  </si>
  <si>
    <t>1|26900</t>
  </si>
  <si>
    <t>1|38100</t>
  </si>
  <si>
    <t>1|40300</t>
  </si>
  <si>
    <t>1|44800</t>
  </si>
  <si>
    <t>1|49300</t>
  </si>
  <si>
    <t>1|2800</t>
  </si>
  <si>
    <t>1|8500</t>
  </si>
  <si>
    <t>1|9900</t>
  </si>
  <si>
    <t>1|11300</t>
  </si>
  <si>
    <t>1|12700</t>
  </si>
  <si>
    <t>1|25400</t>
  </si>
  <si>
    <t>1|33900</t>
  </si>
  <si>
    <t>1|39500</t>
  </si>
  <si>
    <t>1|67700</t>
  </si>
  <si>
    <t>1|12600</t>
  </si>
  <si>
    <t>1|16200</t>
  </si>
  <si>
    <t>1|18000</t>
  </si>
  <si>
    <t>1|46900</t>
  </si>
  <si>
    <t>1|50500</t>
  </si>
  <si>
    <t>1|79300</t>
  </si>
  <si>
    <t>1|3900</t>
  </si>
  <si>
    <t>1|15500</t>
  </si>
  <si>
    <t>1|23300</t>
  </si>
  <si>
    <t>1|9700</t>
  </si>
  <si>
    <t>1|14600</t>
  </si>
  <si>
    <t>1|24400</t>
  </si>
  <si>
    <t>1|48700</t>
  </si>
  <si>
    <t>1|42400</t>
  </si>
  <si>
    <t>1|21800</t>
  </si>
  <si>
    <t>1|61400</t>
  </si>
  <si>
    <t>1|78900</t>
  </si>
  <si>
    <t>1|21300</t>
  </si>
  <si>
    <t>1|190</t>
  </si>
  <si>
    <t>1|380</t>
  </si>
  <si>
    <t>1|580</t>
  </si>
  <si>
    <t>1|770</t>
  </si>
  <si>
    <t>1|960</t>
  </si>
  <si>
    <t>1|1300</t>
  </si>
  <si>
    <t>1|1500</t>
  </si>
  <si>
    <t>1|1900</t>
  </si>
  <si>
    <t>1|2300</t>
  </si>
  <si>
    <t>1|3800</t>
  </si>
  <si>
    <t>1|4600</t>
  </si>
  <si>
    <t>1|5000</t>
  </si>
  <si>
    <t>1|5800</t>
  </si>
  <si>
    <t>1|8400</t>
  </si>
  <si>
    <t>1|9200</t>
  </si>
  <si>
    <t>1|9600</t>
  </si>
  <si>
    <t>1|320</t>
  </si>
  <si>
    <t>1|650</t>
  </si>
  <si>
    <t>1|970</t>
  </si>
  <si>
    <t>1|2600</t>
  </si>
  <si>
    <t>1|3200</t>
  </si>
  <si>
    <t>1|5200</t>
  </si>
  <si>
    <t>1|9100</t>
  </si>
  <si>
    <t>1|10400</t>
  </si>
  <si>
    <t>1|11000</t>
  </si>
  <si>
    <t>1|14900</t>
  </si>
  <si>
    <t>1|560</t>
  </si>
  <si>
    <t>1|5100</t>
  </si>
  <si>
    <t>1|7900</t>
  </si>
  <si>
    <t>1|13500</t>
  </si>
  <si>
    <t>1|16800</t>
  </si>
  <si>
    <t>1|19100</t>
  </si>
  <si>
    <t>1|23600</t>
  </si>
  <si>
    <t>1|25800</t>
  </si>
  <si>
    <t>1|28100</t>
  </si>
  <si>
    <t>1|840</t>
  </si>
  <si>
    <t>1|2500</t>
  </si>
  <si>
    <t>1|11700</t>
  </si>
  <si>
    <t>1|15100</t>
  </si>
  <si>
    <t>1|18400</t>
  </si>
  <si>
    <t>1|20100</t>
  </si>
  <si>
    <t>1|23500</t>
  </si>
  <si>
    <t>1|25100</t>
  </si>
  <si>
    <t>1|26800</t>
  </si>
  <si>
    <t>1|30200</t>
  </si>
  <si>
    <t>1|33500</t>
  </si>
  <si>
    <t>1|35200</t>
  </si>
  <si>
    <t>1|36900</t>
  </si>
  <si>
    <t>1|38600</t>
  </si>
  <si>
    <t>1|40200</t>
  </si>
  <si>
    <t>1|41900</t>
  </si>
  <si>
    <t>1|2100</t>
  </si>
  <si>
    <t>1|6400</t>
  </si>
  <si>
    <t>1|7400</t>
  </si>
  <si>
    <t>1|14800</t>
  </si>
  <si>
    <t>1|27500</t>
  </si>
  <si>
    <t>1|31800</t>
  </si>
  <si>
    <t>1|36000</t>
  </si>
  <si>
    <t>1|44500</t>
  </si>
  <si>
    <t>1|46600</t>
  </si>
  <si>
    <t>1|50900</t>
  </si>
  <si>
    <t>1|53000</t>
  </si>
  <si>
    <t>1|4000</t>
  </si>
  <si>
    <t>1|6600</t>
  </si>
  <si>
    <t>1|10500</t>
  </si>
  <si>
    <t>1|13200</t>
  </si>
  <si>
    <t>1|15800</t>
  </si>
  <si>
    <t>1|18500</t>
  </si>
  <si>
    <t>1|21100</t>
  </si>
  <si>
    <t>1|26400</t>
  </si>
  <si>
    <t>1|29000</t>
  </si>
  <si>
    <t>1|31600</t>
  </si>
  <si>
    <t>1|34300</t>
  </si>
  <si>
    <t>1|42200</t>
  </si>
  <si>
    <t>1|47500</t>
  </si>
  <si>
    <t>1|50100</t>
  </si>
  <si>
    <t>1|52700</t>
  </si>
  <si>
    <t>1|55400</t>
  </si>
  <si>
    <t>1|58000</t>
  </si>
  <si>
    <t>1|60600</t>
  </si>
  <si>
    <t>1|63300</t>
  </si>
  <si>
    <t>1|65900</t>
  </si>
  <si>
    <t>1|14500</t>
  </si>
  <si>
    <t>1|16100</t>
  </si>
  <si>
    <t>1|19300</t>
  </si>
  <si>
    <t>1|32200</t>
  </si>
  <si>
    <t>1|38700</t>
  </si>
  <si>
    <t>1|45100</t>
  </si>
  <si>
    <t>1|48300</t>
  </si>
  <si>
    <t>1|51600</t>
  </si>
  <si>
    <t>1|54800</t>
  </si>
  <si>
    <t>1|61200</t>
  </si>
  <si>
    <t>1|64400</t>
  </si>
  <si>
    <t>1|70900</t>
  </si>
  <si>
    <t>1|74100</t>
  </si>
  <si>
    <t>1|77300</t>
  </si>
  <si>
    <t>1|80600</t>
  </si>
  <si>
    <t>1|11800</t>
  </si>
  <si>
    <t>1|16500</t>
  </si>
  <si>
    <t>1|18900</t>
  </si>
  <si>
    <t>1|33100</t>
  </si>
  <si>
    <t>1|37800</t>
  </si>
  <si>
    <t>1|47200</t>
  </si>
  <si>
    <t>1|52000</t>
  </si>
  <si>
    <t>1|56700</t>
  </si>
  <si>
    <t>1|66100</t>
  </si>
  <si>
    <t>1|75600</t>
  </si>
  <si>
    <t>1|80300</t>
  </si>
  <si>
    <t>1|85000</t>
  </si>
  <si>
    <t>1|89800</t>
  </si>
  <si>
    <t>1|94500</t>
  </si>
  <si>
    <t>1|99200</t>
  </si>
  <si>
    <t>1|104000</t>
  </si>
  <si>
    <t>1|109000</t>
  </si>
  <si>
    <t>1|113000</t>
  </si>
  <si>
    <t>1|118000</t>
  </si>
  <si>
    <t>1|12200</t>
  </si>
  <si>
    <t>1|15200</t>
  </si>
  <si>
    <t>1|18300</t>
  </si>
  <si>
    <t>1|27400</t>
  </si>
  <si>
    <t>1|30500</t>
  </si>
  <si>
    <t>1|36600</t>
  </si>
  <si>
    <t>1|42700</t>
  </si>
  <si>
    <t>1|48800</t>
  </si>
  <si>
    <t>1|54900</t>
  </si>
  <si>
    <t>1|61000</t>
  </si>
  <si>
    <t>1|67100</t>
  </si>
  <si>
    <t>1|73200</t>
  </si>
  <si>
    <t>1|85400</t>
  </si>
  <si>
    <t>1|91500</t>
  </si>
  <si>
    <t>1|97600</t>
  </si>
  <si>
    <t>1|110000</t>
  </si>
  <si>
    <t>1|116000</t>
  </si>
  <si>
    <t>1|122000</t>
  </si>
  <si>
    <t>1|128000</t>
  </si>
  <si>
    <t>1|134000</t>
  </si>
  <si>
    <t>1|140000</t>
  </si>
  <si>
    <t>1|146000</t>
  </si>
  <si>
    <t>1|152000</t>
  </si>
  <si>
    <t>1|20700</t>
  </si>
  <si>
    <t>1|28900</t>
  </si>
  <si>
    <t>1|41300</t>
  </si>
  <si>
    <t>1|49600</t>
  </si>
  <si>
    <t>1|57800</t>
  </si>
  <si>
    <t>1|74400</t>
  </si>
  <si>
    <t>1|82600</t>
  </si>
  <si>
    <t>1|90900</t>
  </si>
  <si>
    <t>1|107000</t>
  </si>
  <si>
    <t>1|124000</t>
  </si>
  <si>
    <t>1|132000</t>
  </si>
  <si>
    <t>1|149000</t>
  </si>
  <si>
    <t>1|157000</t>
  </si>
  <si>
    <t>1|165000</t>
  </si>
  <si>
    <t>1|174000</t>
  </si>
  <si>
    <t>1|182000</t>
  </si>
  <si>
    <t>1|190000</t>
  </si>
  <si>
    <t>1|198000</t>
  </si>
  <si>
    <t>1|207000</t>
  </si>
  <si>
    <t>1|19700</t>
  </si>
  <si>
    <t>1|29600</t>
  </si>
  <si>
    <t>1|34500</t>
  </si>
  <si>
    <t>1|44400</t>
  </si>
  <si>
    <t>1|59200</t>
  </si>
  <si>
    <t>1|69100</t>
  </si>
  <si>
    <t>1|88800</t>
  </si>
  <si>
    <t>1|98700</t>
  </si>
  <si>
    <t>1|138000</t>
  </si>
  <si>
    <t>1|148000</t>
  </si>
  <si>
    <t>1|158000</t>
  </si>
  <si>
    <t>1|168000</t>
  </si>
  <si>
    <t>1|178000</t>
  </si>
  <si>
    <t>1|187000</t>
  </si>
  <si>
    <t>1|197000</t>
  </si>
  <si>
    <t>1|217000</t>
  </si>
  <si>
    <t>1|227000</t>
  </si>
  <si>
    <t>1|237000</t>
  </si>
  <si>
    <t>1|247000</t>
  </si>
  <si>
    <t>1|6300</t>
  </si>
  <si>
    <t>1|25300</t>
  </si>
  <si>
    <t>1|37900</t>
  </si>
  <si>
    <t>1|56800</t>
  </si>
  <si>
    <t>1|63100</t>
  </si>
  <si>
    <t>1|75800</t>
  </si>
  <si>
    <t>1|88400</t>
  </si>
  <si>
    <t>1|101000</t>
  </si>
  <si>
    <t>1|114000</t>
  </si>
  <si>
    <t>1|126000</t>
  </si>
  <si>
    <t>1|139000</t>
  </si>
  <si>
    <t>1|164000</t>
  </si>
  <si>
    <t>1|177000</t>
  </si>
  <si>
    <t>1|189000</t>
  </si>
  <si>
    <t>1|202000</t>
  </si>
  <si>
    <t>1|215000</t>
  </si>
  <si>
    <t>1|240000</t>
  </si>
  <si>
    <t>1|253000</t>
  </si>
  <si>
    <t>1|265000</t>
  </si>
  <si>
    <t>1|278000</t>
  </si>
  <si>
    <t>1|290000</t>
  </si>
  <si>
    <t>1|303000</t>
  </si>
  <si>
    <t>1|316000</t>
  </si>
  <si>
    <t>1|15600</t>
  </si>
  <si>
    <t>1|31300</t>
  </si>
  <si>
    <t>1|39100</t>
  </si>
  <si>
    <t>1|54700</t>
  </si>
  <si>
    <t>1|62500</t>
  </si>
  <si>
    <t>1|70400</t>
  </si>
  <si>
    <t>1|78200</t>
  </si>
  <si>
    <t>1|93800</t>
  </si>
  <si>
    <t>1|125000</t>
  </si>
  <si>
    <t>1|141000</t>
  </si>
  <si>
    <t>1|156000</t>
  </si>
  <si>
    <t>1|172000</t>
  </si>
  <si>
    <t>1|188000</t>
  </si>
  <si>
    <t>1|203000</t>
  </si>
  <si>
    <t>1|219000</t>
  </si>
  <si>
    <t>1|235000</t>
  </si>
  <si>
    <t>1|250000</t>
  </si>
  <si>
    <t>1|266000</t>
  </si>
  <si>
    <t>1|281000</t>
  </si>
  <si>
    <t>1|297000</t>
  </si>
  <si>
    <t>1|313000</t>
  </si>
  <si>
    <t>1|328000</t>
  </si>
  <si>
    <t>1|344000</t>
  </si>
  <si>
    <t>1|360000</t>
  </si>
  <si>
    <t>1|375000</t>
  </si>
  <si>
    <t>1|391000</t>
  </si>
  <si>
    <t xml:space="preserve">本轮活动累计荣誉达到 [14FD01]190[-] </t>
  </si>
  <si>
    <t xml:space="preserve">本轮活动累计荣誉达到 [14FD01]380[-] </t>
  </si>
  <si>
    <t xml:space="preserve">本轮活动累计荣誉达到 [14FD01]580[-] </t>
  </si>
  <si>
    <t xml:space="preserve">本轮活动累计荣誉达到 [14FD01]770[-] </t>
  </si>
  <si>
    <t xml:space="preserve">本轮活动累计荣誉达到 [14FD01]960[-] </t>
  </si>
  <si>
    <t xml:space="preserve">本轮活动累计荣誉达到 [14FD01]1200[-] </t>
  </si>
  <si>
    <t xml:space="preserve">本轮活动累计荣誉达到 [14FD01]1300[-] </t>
  </si>
  <si>
    <t xml:space="preserve">本轮活动累计荣誉达到 [14FD01]1500[-] </t>
  </si>
  <si>
    <t xml:space="preserve">本轮活动累计荣誉达到 [14FD01]1700[-] </t>
  </si>
  <si>
    <t xml:space="preserve">本轮活动累计荣誉达到 [14FD01]1900[-] </t>
  </si>
  <si>
    <t xml:space="preserve">本轮活动累计荣誉达到 [14FD01]2300[-] </t>
  </si>
  <si>
    <t xml:space="preserve">本轮活动累计荣誉达到 [14FD01]2700[-] </t>
  </si>
  <si>
    <t xml:space="preserve">本轮活动累计荣誉达到 [14FD01]3100[-] </t>
  </si>
  <si>
    <t xml:space="preserve">本轮活动累计荣誉达到 [14FD01]3500[-] </t>
  </si>
  <si>
    <t xml:space="preserve">本轮活动累计荣誉达到 [14FD01]3800[-] </t>
  </si>
  <si>
    <t xml:space="preserve">本轮活动累计荣誉达到 [14FD01]4200[-] </t>
  </si>
  <si>
    <t xml:space="preserve">本轮活动累计荣誉达到 [14FD01]4600[-] </t>
  </si>
  <si>
    <t xml:space="preserve">本轮活动累计荣誉达到 [14FD01]5000[-] </t>
  </si>
  <si>
    <t xml:space="preserve">本轮活动累计荣誉达到 [14FD01]5400[-] </t>
  </si>
  <si>
    <t xml:space="preserve">本轮活动累计荣誉达到 [14FD01]5800[-] </t>
  </si>
  <si>
    <t xml:space="preserve">本轮活动累计荣誉达到 [14FD01]6100[-] </t>
  </si>
  <si>
    <t xml:space="preserve">本轮活动累计荣誉达到 [14FD01]6500[-] </t>
  </si>
  <si>
    <t xml:space="preserve">本轮活动累计荣誉达到 [14FD01]6900[-] </t>
  </si>
  <si>
    <t xml:space="preserve">本轮活动累计荣誉达到 [14FD01]7300[-] </t>
  </si>
  <si>
    <t xml:space="preserve">本轮活动累计荣誉达到 [14FD01]7700[-] </t>
  </si>
  <si>
    <t xml:space="preserve">本轮活动累计荣誉达到 [14FD01]8100[-] </t>
  </si>
  <si>
    <t xml:space="preserve">本轮活动累计荣誉达到 [14FD01]8400[-] </t>
  </si>
  <si>
    <t xml:space="preserve">本轮活动累计荣誉达到 [14FD01]8800[-] </t>
  </si>
  <si>
    <t xml:space="preserve">本轮活动累计荣誉达到 [14FD01]9200[-] </t>
  </si>
  <si>
    <t xml:space="preserve">本轮活动累计荣誉达到 [14FD01]9600[-] </t>
  </si>
  <si>
    <t xml:space="preserve">本轮活动累计荣誉达到 [14FD01]320[-] </t>
  </si>
  <si>
    <t xml:space="preserve">本轮活动累计荣誉达到 [14FD01]650[-] </t>
  </si>
  <si>
    <t xml:space="preserve">本轮活动累计荣誉达到 [14FD01]970[-] </t>
  </si>
  <si>
    <t xml:space="preserve">本轮活动累计荣誉达到 [14FD01]1600[-] </t>
  </si>
  <si>
    <t xml:space="preserve">本轮活动累计荣誉达到 [14FD01]2600[-] </t>
  </si>
  <si>
    <t xml:space="preserve">本轮活动累计荣誉达到 [14FD01]2900[-] </t>
  </si>
  <si>
    <t xml:space="preserve">本轮活动累计荣誉达到 [14FD01]3200[-] </t>
  </si>
  <si>
    <t xml:space="preserve">本轮活动累计荣誉达到 [14FD01]3900[-] </t>
  </si>
  <si>
    <t xml:space="preserve">本轮活动累计荣誉达到 [14FD01]4500[-] </t>
  </si>
  <si>
    <t xml:space="preserve">本轮活动累计荣誉达到 [14FD01]5200[-] </t>
  </si>
  <si>
    <t xml:space="preserve">本轮活动累计荣誉达到 [14FD01]7100[-] </t>
  </si>
  <si>
    <t xml:space="preserve">本轮活动累计荣誉达到 [14FD01]7800[-] </t>
  </si>
  <si>
    <t xml:space="preserve">本轮活动累计荣誉达到 [14FD01]9100[-] </t>
  </si>
  <si>
    <t xml:space="preserve">本轮活动累计荣誉达到 [14FD01]9700[-] </t>
  </si>
  <si>
    <t xml:space="preserve">本轮活动累计荣誉达到 [14FD01]10400[-] </t>
  </si>
  <si>
    <t xml:space="preserve">本轮活动累计荣誉达到 [14FD01]11000[-] </t>
  </si>
  <si>
    <t xml:space="preserve">本轮活动累计荣誉达到 [14FD01]11600[-] </t>
  </si>
  <si>
    <t xml:space="preserve">本轮活动累计荣誉达到 [14FD01]12300[-] </t>
  </si>
  <si>
    <t xml:space="preserve">本轮活动累计荣誉达到 [14FD01]12900[-] </t>
  </si>
  <si>
    <t xml:space="preserve">本轮活动累计荣誉达到 [14FD01]13600[-] </t>
  </si>
  <si>
    <t xml:space="preserve">本轮活动累计荣誉达到 [14FD01]14200[-] </t>
  </si>
  <si>
    <t xml:space="preserve">本轮活动累计荣誉达到 [14FD01]14900[-] </t>
  </si>
  <si>
    <t xml:space="preserve">本轮活动累计荣誉达到 [14FD01]15500[-] </t>
  </si>
  <si>
    <t xml:space="preserve">本轮活动累计荣誉达到 [14FD01]16200[-] </t>
  </si>
  <si>
    <t xml:space="preserve">本轮活动累计荣誉达到 [14FD01]560[-] </t>
  </si>
  <si>
    <t xml:space="preserve">本轮活动累计荣誉达到 [14FD01]1100[-] </t>
  </si>
  <si>
    <t xml:space="preserve">本轮活动累计荣誉达到 [14FD01]2200[-] </t>
  </si>
  <si>
    <t xml:space="preserve">本轮活动累计荣誉达到 [14FD01]2800[-] </t>
  </si>
  <si>
    <t xml:space="preserve">本轮活动累计荣誉达到 [14FD01]3400[-] </t>
  </si>
  <si>
    <t xml:space="preserve">本轮活动累计荣誉达到 [14FD01]5100[-] </t>
  </si>
  <si>
    <t xml:space="preserve">本轮活动累计荣誉达到 [14FD01]5600[-] </t>
  </si>
  <si>
    <t xml:space="preserve">本轮活动累计荣誉达到 [14FD01]6700[-] </t>
  </si>
  <si>
    <t xml:space="preserve">本轮活动累计荣誉达到 [14FD01]7900[-] </t>
  </si>
  <si>
    <t xml:space="preserve">本轮活动累计荣誉达到 [14FD01]9000[-] </t>
  </si>
  <si>
    <t xml:space="preserve">本轮活动累计荣誉达到 [14FD01]10100[-] </t>
  </si>
  <si>
    <t xml:space="preserve">本轮活动累计荣誉达到 [14FD01]11200[-] </t>
  </si>
  <si>
    <t xml:space="preserve">本轮活动累计荣誉达到 [14FD01]13500[-] </t>
  </si>
  <si>
    <t xml:space="preserve">本轮活动累计荣誉达到 [14FD01]14600[-] </t>
  </si>
  <si>
    <t xml:space="preserve">本轮活动累计荣誉达到 [14FD01]15700[-] </t>
  </si>
  <si>
    <t xml:space="preserve">本轮活动累计荣誉达到 [14FD01]16800[-] </t>
  </si>
  <si>
    <t xml:space="preserve">本轮活动累计荣誉达到 [14FD01]18000[-] </t>
  </si>
  <si>
    <t xml:space="preserve">本轮活动累计荣誉达到 [14FD01]19100[-] </t>
  </si>
  <si>
    <t xml:space="preserve">本轮活动累计荣誉达到 [14FD01]20200[-] </t>
  </si>
  <si>
    <t xml:space="preserve">本轮活动累计荣誉达到 [14FD01]21300[-] </t>
  </si>
  <si>
    <t xml:space="preserve">本轮活动累计荣誉达到 [14FD01]22400[-] </t>
  </si>
  <si>
    <t xml:space="preserve">本轮活动累计荣誉达到 [14FD01]23600[-] </t>
  </si>
  <si>
    <t xml:space="preserve">本轮活动累计荣誉达到 [14FD01]24700[-] </t>
  </si>
  <si>
    <t xml:space="preserve">本轮活动累计荣誉达到 [14FD01]25800[-] </t>
  </si>
  <si>
    <t xml:space="preserve">本轮活动累计荣誉达到 [14FD01]26900[-] </t>
  </si>
  <si>
    <t xml:space="preserve">本轮活动累计荣誉达到 [14FD01]28100[-] </t>
  </si>
  <si>
    <t xml:space="preserve">本轮活动累计荣誉达到 [14FD01]840[-] </t>
  </si>
  <si>
    <t xml:space="preserve">本轮活动累计荣誉达到 [14FD01]2500[-] </t>
  </si>
  <si>
    <t xml:space="preserve">本轮活动累计荣誉达到 [14FD01]5900[-] </t>
  </si>
  <si>
    <t xml:space="preserve">本轮活动累计荣誉达到 [14FD01]7500[-] </t>
  </si>
  <si>
    <t xml:space="preserve">本轮活动累计荣誉达到 [14FD01]11700[-] </t>
  </si>
  <si>
    <t xml:space="preserve">本轮活动累计荣誉达到 [14FD01]13400[-] </t>
  </si>
  <si>
    <t xml:space="preserve">本轮活动累计荣誉达到 [14FD01]15100[-] </t>
  </si>
  <si>
    <t xml:space="preserve">本轮活动累计荣誉达到 [14FD01]18400[-] </t>
  </si>
  <si>
    <t xml:space="preserve">本轮活动累计荣誉达到 [14FD01]20100[-] </t>
  </si>
  <si>
    <t xml:space="preserve">本轮活动累计荣誉达到 [14FD01]21800[-] </t>
  </si>
  <si>
    <t xml:space="preserve">本轮活动累计荣誉达到 [14FD01]23500[-] </t>
  </si>
  <si>
    <t xml:space="preserve">本轮活动累计荣誉达到 [14FD01]25100[-] </t>
  </si>
  <si>
    <t xml:space="preserve">本轮活动累计荣誉达到 [14FD01]26800[-] </t>
  </si>
  <si>
    <t xml:space="preserve">本轮活动累计荣誉达到 [14FD01]28500[-] </t>
  </si>
  <si>
    <t xml:space="preserve">本轮活动累计荣誉达到 [14FD01]30200[-] </t>
  </si>
  <si>
    <t xml:space="preserve">本轮活动累计荣誉达到 [14FD01]31900[-] </t>
  </si>
  <si>
    <t xml:space="preserve">本轮活动累计荣誉达到 [14FD01]33500[-] </t>
  </si>
  <si>
    <t xml:space="preserve">本轮活动累计荣誉达到 [14FD01]35200[-] </t>
  </si>
  <si>
    <t xml:space="preserve">本轮活动累计荣誉达到 [14FD01]36900[-] </t>
  </si>
  <si>
    <t xml:space="preserve">本轮活动累计荣誉达到 [14FD01]38600[-] </t>
  </si>
  <si>
    <t xml:space="preserve">本轮活动累计荣誉达到 [14FD01]40200[-] </t>
  </si>
  <si>
    <t xml:space="preserve">本轮活动累计荣誉达到 [14FD01]41900[-] </t>
  </si>
  <si>
    <t xml:space="preserve">本轮活动累计荣誉达到 [14FD01]2100[-] </t>
  </si>
  <si>
    <t xml:space="preserve">本轮活动累计荣誉达到 [14FD01]5300[-] </t>
  </si>
  <si>
    <t xml:space="preserve">本轮活动累计荣誉达到 [14FD01]6400[-] </t>
  </si>
  <si>
    <t xml:space="preserve">本轮活动累计荣誉达到 [14FD01]7400[-] </t>
  </si>
  <si>
    <t xml:space="preserve">本轮活动累计荣誉达到 [14FD01]8500[-] </t>
  </si>
  <si>
    <t xml:space="preserve">本轮活动累计荣誉达到 [14FD01]9500[-] </t>
  </si>
  <si>
    <t xml:space="preserve">本轮活动累计荣誉达到 [14FD01]10600[-] </t>
  </si>
  <si>
    <t xml:space="preserve">本轮活动累计荣誉达到 [14FD01]12700[-] </t>
  </si>
  <si>
    <t xml:space="preserve">本轮活动累计荣誉达到 [14FD01]14800[-] </t>
  </si>
  <si>
    <t xml:space="preserve">本轮活动累计荣誉达到 [14FD01]17000[-] </t>
  </si>
  <si>
    <t xml:space="preserve">本轮活动累计荣誉达到 [14FD01]21200[-] </t>
  </si>
  <si>
    <t xml:space="preserve">本轮活动累计荣誉达到 [14FD01]23300[-] </t>
  </si>
  <si>
    <t xml:space="preserve">本轮活动累计荣誉达到 [14FD01]25400[-] </t>
  </si>
  <si>
    <t xml:space="preserve">本轮活动累计荣誉达到 [14FD01]27500[-] </t>
  </si>
  <si>
    <t xml:space="preserve">本轮活动累计荣誉达到 [14FD01]29700[-] </t>
  </si>
  <si>
    <t xml:space="preserve">本轮活动累计荣誉达到 [14FD01]31800[-] </t>
  </si>
  <si>
    <t xml:space="preserve">本轮活动累计荣誉达到 [14FD01]33900[-] </t>
  </si>
  <si>
    <t xml:space="preserve">本轮活动累计荣誉达到 [14FD01]36000[-] </t>
  </si>
  <si>
    <t xml:space="preserve">本轮活动累计荣誉达到 [14FD01]38100[-] </t>
  </si>
  <si>
    <t xml:space="preserve">本轮活动累计荣誉达到 [14FD01]40300[-] </t>
  </si>
  <si>
    <t xml:space="preserve">本轮活动累计荣誉达到 [14FD01]42400[-] </t>
  </si>
  <si>
    <t xml:space="preserve">本轮活动累计荣誉达到 [14FD01]44500[-] </t>
  </si>
  <si>
    <t xml:space="preserve">本轮活动累计荣誉达到 [14FD01]46600[-] </t>
  </si>
  <si>
    <t xml:space="preserve">本轮活动累计荣誉达到 [14FD01]48700[-] </t>
  </si>
  <si>
    <t xml:space="preserve">本轮活动累计荣誉达到 [14FD01]50900[-] </t>
  </si>
  <si>
    <t xml:space="preserve">本轮活动累计荣誉达到 [14FD01]53000[-] </t>
  </si>
  <si>
    <t xml:space="preserve">本轮活动累计荣誉达到 [14FD01]4000[-] </t>
  </si>
  <si>
    <t xml:space="preserve">本轮活动累计荣誉达到 [14FD01]6600[-] </t>
  </si>
  <si>
    <t xml:space="preserve">本轮活动累计荣誉达到 [14FD01]10500[-] </t>
  </si>
  <si>
    <t xml:space="preserve">本轮活动累计荣誉达到 [14FD01]11900[-] </t>
  </si>
  <si>
    <t xml:space="preserve">本轮活动累计荣誉达到 [14FD01]13200[-] </t>
  </si>
  <si>
    <t xml:space="preserve">本轮活动累计荣誉达到 [14FD01]15800[-] </t>
  </si>
  <si>
    <t xml:space="preserve">本轮活动累计荣誉达到 [14FD01]18500[-] </t>
  </si>
  <si>
    <t xml:space="preserve">本轮活动累计荣誉达到 [14FD01]21100[-] </t>
  </si>
  <si>
    <t xml:space="preserve">本轮活动累计荣誉达到 [14FD01]23700[-] </t>
  </si>
  <si>
    <t xml:space="preserve">本轮活动累计荣誉达到 [14FD01]26400[-] </t>
  </si>
  <si>
    <t xml:space="preserve">本轮活动累计荣誉达到 [14FD01]29000[-] </t>
  </si>
  <si>
    <t xml:space="preserve">本轮活动累计荣誉达到 [14FD01]31600[-] </t>
  </si>
  <si>
    <t xml:space="preserve">本轮活动累计荣誉达到 [14FD01]34300[-] </t>
  </si>
  <si>
    <t xml:space="preserve">本轮活动累计荣誉达到 [14FD01]39500[-] </t>
  </si>
  <si>
    <t xml:space="preserve">本轮活动累计荣誉达到 [14FD01]42200[-] </t>
  </si>
  <si>
    <t xml:space="preserve">本轮活动累计荣誉达到 [14FD01]44800[-] </t>
  </si>
  <si>
    <t xml:space="preserve">本轮活动累计荣誉达到 [14FD01]47500[-] </t>
  </si>
  <si>
    <t xml:space="preserve">本轮活动累计荣誉达到 [14FD01]50100[-] </t>
  </si>
  <si>
    <t xml:space="preserve">本轮活动累计荣誉达到 [14FD01]52700[-] </t>
  </si>
  <si>
    <t xml:space="preserve">本轮活动累计荣誉达到 [14FD01]55400[-] </t>
  </si>
  <si>
    <t xml:space="preserve">本轮活动累计荣誉达到 [14FD01]58000[-] </t>
  </si>
  <si>
    <t xml:space="preserve">本轮活动累计荣誉达到 [14FD01]60600[-] </t>
  </si>
  <si>
    <t xml:space="preserve">本轮活动累计荣誉达到 [14FD01]63300[-] </t>
  </si>
  <si>
    <t xml:space="preserve">本轮活动累计荣誉达到 [14FD01]65900[-] </t>
  </si>
  <si>
    <t xml:space="preserve">本轮活动累计荣誉达到 [14FD01]4800[-] </t>
  </si>
  <si>
    <t xml:space="preserve">本轮活动累计荣誉达到 [14FD01]11300[-] </t>
  </si>
  <si>
    <t xml:space="preserve">本轮活动累计荣誉达到 [14FD01]14500[-] </t>
  </si>
  <si>
    <t xml:space="preserve">本轮活动累计荣誉达到 [14FD01]16100[-] </t>
  </si>
  <si>
    <t xml:space="preserve">本轮活动累计荣誉达到 [14FD01]19300[-] </t>
  </si>
  <si>
    <t xml:space="preserve">本轮活动累计荣誉达到 [14FD01]22600[-] </t>
  </si>
  <si>
    <t xml:space="preserve">本轮活动累计荣誉达到 [14FD01]32200[-] </t>
  </si>
  <si>
    <t xml:space="preserve">本轮活动累计荣誉达到 [14FD01]35400[-] </t>
  </si>
  <si>
    <t xml:space="preserve">本轮活动累计荣誉达到 [14FD01]38700[-] </t>
  </si>
  <si>
    <t xml:space="preserve">本轮活动累计荣誉达到 [14FD01]45100[-] </t>
  </si>
  <si>
    <t xml:space="preserve">本轮活动累计荣誉达到 [14FD01]48300[-] </t>
  </si>
  <si>
    <t xml:space="preserve">本轮活动累计荣誉达到 [14FD01]51600[-] </t>
  </si>
  <si>
    <t xml:space="preserve">本轮活动累计荣誉达到 [14FD01]54800[-] </t>
  </si>
  <si>
    <t xml:space="preserve">本轮活动累计荣誉达到 [14FD01]61200[-] </t>
  </si>
  <si>
    <t xml:space="preserve">本轮活动累计荣誉达到 [14FD01]64400[-] </t>
  </si>
  <si>
    <t xml:space="preserve">本轮活动累计荣誉达到 [14FD01]67700[-] </t>
  </si>
  <si>
    <t xml:space="preserve">本轮活动累计荣誉达到 [14FD01]70900[-] </t>
  </si>
  <si>
    <t xml:space="preserve">本轮活动累计荣誉达到 [14FD01]74100[-] </t>
  </si>
  <si>
    <t xml:space="preserve">本轮活动累计荣誉达到 [14FD01]77300[-] </t>
  </si>
  <si>
    <t xml:space="preserve">本轮活动累计荣誉达到 [14FD01]80600[-] </t>
  </si>
  <si>
    <t xml:space="preserve">本轮活动累计荣誉达到 [14FD01]2400[-] </t>
  </si>
  <si>
    <t xml:space="preserve">本轮活动累计荣誉达到 [14FD01]4700[-] </t>
  </si>
  <si>
    <t xml:space="preserve">本轮活动累计荣誉达到 [14FD01]9400[-] </t>
  </si>
  <si>
    <t xml:space="preserve">本轮活动累计荣誉达到 [14FD01]11800[-] </t>
  </si>
  <si>
    <t xml:space="preserve">本轮活动累计荣誉达到 [14FD01]16500[-] </t>
  </si>
  <si>
    <t xml:space="preserve">本轮活动累计荣誉达到 [14FD01]18900[-] </t>
  </si>
  <si>
    <t xml:space="preserve">本轮活动累计荣誉达到 [14FD01]28300[-] </t>
  </si>
  <si>
    <t xml:space="preserve">本轮活动累计荣誉达到 [14FD01]33100[-] </t>
  </si>
  <si>
    <t xml:space="preserve">本轮活动累计荣誉达到 [14FD01]37800[-] </t>
  </si>
  <si>
    <t xml:space="preserve">本轮活动累计荣誉达到 [14FD01]42500[-] </t>
  </si>
  <si>
    <t xml:space="preserve">本轮活动累计荣誉达到 [14FD01]47200[-] </t>
  </si>
  <si>
    <t xml:space="preserve">本轮活动累计荣誉达到 [14FD01]52000[-] </t>
  </si>
  <si>
    <t xml:space="preserve">本轮活动累计荣誉达到 [14FD01]56700[-] </t>
  </si>
  <si>
    <t xml:space="preserve">本轮活动累计荣誉达到 [14FD01]61400[-] </t>
  </si>
  <si>
    <t xml:space="preserve">本轮活动累计荣誉达到 [14FD01]66100[-] </t>
  </si>
  <si>
    <t xml:space="preserve">本轮活动累计荣誉达到 [14FD01]75600[-] </t>
  </si>
  <si>
    <t xml:space="preserve">本轮活动累计荣誉达到 [14FD01]80300[-] </t>
  </si>
  <si>
    <t xml:space="preserve">本轮活动累计荣誉达到 [14FD01]85000[-] </t>
  </si>
  <si>
    <t xml:space="preserve">本轮活动累计荣誉达到 [14FD01]89800[-] </t>
  </si>
  <si>
    <t xml:space="preserve">本轮活动累计荣誉达到 [14FD01]94500[-] </t>
  </si>
  <si>
    <t xml:space="preserve">本轮活动累计荣誉达到 [14FD01]99200[-] </t>
  </si>
  <si>
    <t xml:space="preserve">本轮活动累计荣誉达到 [14FD01]104000[-] </t>
  </si>
  <si>
    <t xml:space="preserve">本轮活动累计荣誉达到 [14FD01]109000[-] </t>
  </si>
  <si>
    <t xml:space="preserve">本轮活动累计荣誉达到 [14FD01]113000[-] </t>
  </si>
  <si>
    <t xml:space="preserve">本轮活动累计荣誉达到 [14FD01]118000[-] </t>
  </si>
  <si>
    <t xml:space="preserve">本轮活动累计荣誉达到 [14FD01]3000[-] </t>
  </si>
  <si>
    <t xml:space="preserve">本轮活动累计荣誉达到 [14FD01]12200[-] </t>
  </si>
  <si>
    <t xml:space="preserve">本轮活动累计荣誉达到 [14FD01]15200[-] </t>
  </si>
  <si>
    <t xml:space="preserve">本轮活动累计荣誉达到 [14FD01]18300[-] </t>
  </si>
  <si>
    <t xml:space="preserve">本轮活动累计荣誉达到 [14FD01]24400[-] </t>
  </si>
  <si>
    <t xml:space="preserve">本轮活动累计荣誉达到 [14FD01]27400[-] </t>
  </si>
  <si>
    <t xml:space="preserve">本轮活动累计荣誉达到 [14FD01]30500[-] </t>
  </si>
  <si>
    <t xml:space="preserve">本轮活动累计荣誉达到 [14FD01]36600[-] </t>
  </si>
  <si>
    <t xml:space="preserve">本轮活动累计荣誉达到 [14FD01]42700[-] </t>
  </si>
  <si>
    <t xml:space="preserve">本轮活动累计荣誉达到 [14FD01]48800[-] </t>
  </si>
  <si>
    <t xml:space="preserve">本轮活动累计荣誉达到 [14FD01]54900[-] </t>
  </si>
  <si>
    <t xml:space="preserve">本轮活动累计荣誉达到 [14FD01]61000[-] </t>
  </si>
  <si>
    <t xml:space="preserve">本轮活动累计荣誉达到 [14FD01]67100[-] </t>
  </si>
  <si>
    <t xml:space="preserve">本轮活动累计荣誉达到 [14FD01]73200[-] </t>
  </si>
  <si>
    <t xml:space="preserve">本轮活动累计荣誉达到 [14FD01]79300[-] </t>
  </si>
  <si>
    <t xml:space="preserve">本轮活动累计荣誉达到 [14FD01]85400[-] </t>
  </si>
  <si>
    <t xml:space="preserve">本轮活动累计荣誉达到 [14FD01]91500[-] </t>
  </si>
  <si>
    <t xml:space="preserve">本轮活动累计荣誉达到 [14FD01]97600[-] </t>
  </si>
  <si>
    <t xml:space="preserve">本轮活动累计荣誉达到 [14FD01]110000[-] </t>
  </si>
  <si>
    <t xml:space="preserve">本轮活动累计荣誉达到 [14FD01]116000[-] </t>
  </si>
  <si>
    <t xml:space="preserve">本轮活动累计荣誉达到 [14FD01]122000[-] </t>
  </si>
  <si>
    <t xml:space="preserve">本轮活动累计荣誉达到 [14FD01]128000[-] </t>
  </si>
  <si>
    <t xml:space="preserve">本轮活动累计荣誉达到 [14FD01]134000[-] </t>
  </si>
  <si>
    <t xml:space="preserve">本轮活动累计荣誉达到 [14FD01]140000[-] </t>
  </si>
  <si>
    <t xml:space="preserve">本轮活动累计荣誉达到 [14FD01]146000[-] </t>
  </si>
  <si>
    <t xml:space="preserve">本轮活动累计荣誉达到 [14FD01]152000[-] </t>
  </si>
  <si>
    <t xml:space="preserve">本轮活动累计荣誉达到 [14FD01]4100[-] </t>
  </si>
  <si>
    <t xml:space="preserve">本轮活动累计荣誉达到 [14FD01]8300[-] </t>
  </si>
  <si>
    <t xml:space="preserve">本轮活动累计荣誉达到 [14FD01]12400[-] </t>
  </si>
  <si>
    <t xml:space="preserve">本轮活动累计荣誉达到 [14FD01]20700[-] </t>
  </si>
  <si>
    <t xml:space="preserve">本轮活动累计荣誉达到 [14FD01]24800[-] </t>
  </si>
  <si>
    <t xml:space="preserve">本轮活动累计荣誉达到 [14FD01]28900[-] </t>
  </si>
  <si>
    <t xml:space="preserve">本轮活动累计荣誉达到 [14FD01]37200[-] </t>
  </si>
  <si>
    <t xml:space="preserve">本轮活动累计荣誉达到 [14FD01]41300[-] </t>
  </si>
  <si>
    <t xml:space="preserve">本轮活动累计荣誉达到 [14FD01]49600[-] </t>
  </si>
  <si>
    <t xml:space="preserve">本轮活动累计荣誉达到 [14FD01]57800[-] </t>
  </si>
  <si>
    <t xml:space="preserve">本轮活动累计荣誉达到 [14FD01]74400[-] </t>
  </si>
  <si>
    <t xml:space="preserve">本轮活动累计荣誉达到 [14FD01]82600[-] </t>
  </si>
  <si>
    <t xml:space="preserve">本轮活动累计荣誉达到 [14FD01]90900[-] </t>
  </si>
  <si>
    <t xml:space="preserve">本轮活动累计荣誉达到 [14FD01]107000[-] </t>
  </si>
  <si>
    <t xml:space="preserve">本轮活动累计荣誉达到 [14FD01]124000[-] </t>
  </si>
  <si>
    <t xml:space="preserve">本轮活动累计荣誉达到 [14FD01]132000[-] </t>
  </si>
  <si>
    <t xml:space="preserve">本轮活动累计荣誉达到 [14FD01]149000[-] </t>
  </si>
  <si>
    <t xml:space="preserve">本轮活动累计荣誉达到 [14FD01]157000[-] </t>
  </si>
  <si>
    <t xml:space="preserve">本轮活动累计荣誉达到 [14FD01]165000[-] </t>
  </si>
  <si>
    <t xml:space="preserve">本轮活动累计荣誉达到 [14FD01]174000[-] </t>
  </si>
  <si>
    <t xml:space="preserve">本轮活动累计荣誉达到 [14FD01]182000[-] </t>
  </si>
  <si>
    <t xml:space="preserve">本轮活动累计荣誉达到 [14FD01]190000[-] </t>
  </si>
  <si>
    <t xml:space="preserve">本轮活动累计荣誉达到 [14FD01]198000[-] </t>
  </si>
  <si>
    <t xml:space="preserve">本轮活动累计荣誉达到 [14FD01]207000[-] </t>
  </si>
  <si>
    <t xml:space="preserve">本轮活动累计荣誉达到 [14FD01]4900[-] </t>
  </si>
  <si>
    <t xml:space="preserve">本轮活动累计荣誉达到 [14FD01]9900[-] </t>
  </si>
  <si>
    <t xml:space="preserve">本轮活动累计荣誉达到 [14FD01]19700[-] </t>
  </si>
  <si>
    <t xml:space="preserve">本轮活动累计荣誉达到 [14FD01]29600[-] </t>
  </si>
  <si>
    <t xml:space="preserve">本轮活动累计荣誉达到 [14FD01]34500[-] </t>
  </si>
  <si>
    <t xml:space="preserve">本轮活动累计荣誉达到 [14FD01]44400[-] </t>
  </si>
  <si>
    <t xml:space="preserve">本轮活动累计荣誉达到 [14FD01]49300[-] </t>
  </si>
  <si>
    <t xml:space="preserve">本轮活动累计荣誉达到 [14FD01]59200[-] </t>
  </si>
  <si>
    <t xml:space="preserve">本轮活动累计荣誉达到 [14FD01]69100[-] </t>
  </si>
  <si>
    <t xml:space="preserve">本轮活动累计荣誉达到 [14FD01]78900[-] </t>
  </si>
  <si>
    <t xml:space="preserve">本轮活动累计荣誉达到 [14FD01]88800[-] </t>
  </si>
  <si>
    <t xml:space="preserve">本轮活动累计荣誉达到 [14FD01]98700[-] </t>
  </si>
  <si>
    <t xml:space="preserve">本轮活动累计荣誉达到 [14FD01]138000[-] </t>
  </si>
  <si>
    <t xml:space="preserve">本轮活动累计荣誉达到 [14FD01]148000[-] </t>
  </si>
  <si>
    <t xml:space="preserve">本轮活动累计荣誉达到 [14FD01]158000[-] </t>
  </si>
  <si>
    <t xml:space="preserve">本轮活动累计荣誉达到 [14FD01]168000[-] </t>
  </si>
  <si>
    <t xml:space="preserve">本轮活动累计荣誉达到 [14FD01]178000[-] </t>
  </si>
  <si>
    <t xml:space="preserve">本轮活动累计荣誉达到 [14FD01]187000[-] </t>
  </si>
  <si>
    <t xml:space="preserve">本轮活动累计荣誉达到 [14FD01]197000[-] </t>
  </si>
  <si>
    <t xml:space="preserve">本轮活动累计荣誉达到 [14FD01]217000[-] </t>
  </si>
  <si>
    <t xml:space="preserve">本轮活动累计荣誉达到 [14FD01]227000[-] </t>
  </si>
  <si>
    <t xml:space="preserve">本轮活动累计荣誉达到 [14FD01]237000[-] </t>
  </si>
  <si>
    <t xml:space="preserve">本轮活动累计荣誉达到 [14FD01]247000[-] </t>
  </si>
  <si>
    <t xml:space="preserve">本轮活动累计荣誉达到 [14FD01]6300[-] </t>
  </si>
  <si>
    <t xml:space="preserve">本轮活动累计荣誉达到 [14FD01]12600[-] </t>
  </si>
  <si>
    <t xml:space="preserve">本轮活动累计荣誉达到 [14FD01]25300[-] </t>
  </si>
  <si>
    <t xml:space="preserve">本轮活动累计荣誉达到 [14FD01]37900[-] </t>
  </si>
  <si>
    <t xml:space="preserve">本轮活动累计荣誉达到 [14FD01]44200[-] </t>
  </si>
  <si>
    <t xml:space="preserve">本轮活动累计荣誉达到 [14FD01]50500[-] </t>
  </si>
  <si>
    <t xml:space="preserve">本轮活动累计荣誉达到 [14FD01]56800[-] </t>
  </si>
  <si>
    <t xml:space="preserve">本轮活动累计荣誉达到 [14FD01]63100[-] </t>
  </si>
  <si>
    <t xml:space="preserve">本轮活动累计荣誉达到 [14FD01]75800[-] </t>
  </si>
  <si>
    <t xml:space="preserve">本轮活动累计荣誉达到 [14FD01]88400[-] </t>
  </si>
  <si>
    <t xml:space="preserve">本轮活动累计荣誉达到 [14FD01]101000[-] </t>
  </si>
  <si>
    <t xml:space="preserve">本轮活动累计荣誉达到 [14FD01]114000[-] </t>
  </si>
  <si>
    <t xml:space="preserve">本轮活动累计荣誉达到 [14FD01]126000[-] </t>
  </si>
  <si>
    <t xml:space="preserve">本轮活动累计荣誉达到 [14FD01]139000[-] </t>
  </si>
  <si>
    <t xml:space="preserve">本轮活动累计荣誉达到 [14FD01]164000[-] </t>
  </si>
  <si>
    <t xml:space="preserve">本轮活动累计荣誉达到 [14FD01]177000[-] </t>
  </si>
  <si>
    <t xml:space="preserve">本轮活动累计荣誉达到 [14FD01]189000[-] </t>
  </si>
  <si>
    <t xml:space="preserve">本轮活动累计荣誉达到 [14FD01]202000[-] </t>
  </si>
  <si>
    <t xml:space="preserve">本轮活动累计荣誉达到 [14FD01]215000[-] </t>
  </si>
  <si>
    <t xml:space="preserve">本轮活动累计荣誉达到 [14FD01]240000[-] </t>
  </si>
  <si>
    <t xml:space="preserve">本轮活动累计荣誉达到 [14FD01]253000[-] </t>
  </si>
  <si>
    <t xml:space="preserve">本轮活动累计荣誉达到 [14FD01]265000[-] </t>
  </si>
  <si>
    <t xml:space="preserve">本轮活动累计荣誉达到 [14FD01]278000[-] </t>
  </si>
  <si>
    <t xml:space="preserve">本轮活动累计荣誉达到 [14FD01]290000[-] </t>
  </si>
  <si>
    <t xml:space="preserve">本轮活动累计荣誉达到 [14FD01]303000[-] </t>
  </si>
  <si>
    <t xml:space="preserve">本轮活动累计荣誉达到 [14FD01]316000[-] </t>
  </si>
  <si>
    <t xml:space="preserve">本轮活动累计荣誉达到 [14FD01]15600[-] </t>
  </si>
  <si>
    <t xml:space="preserve">本轮活动累计荣誉达到 [14FD01]31300[-] </t>
  </si>
  <si>
    <t xml:space="preserve">本轮活动累计荣誉达到 [14FD01]39100[-] </t>
  </si>
  <si>
    <t xml:space="preserve">本轮活动累计荣誉达到 [14FD01]46900[-] </t>
  </si>
  <si>
    <t xml:space="preserve">本轮活动累计荣誉达到 [14FD01]54700[-] </t>
  </si>
  <si>
    <t xml:space="preserve">本轮活动累计荣誉达到 [14FD01]62500[-] </t>
  </si>
  <si>
    <t xml:space="preserve">本轮活动累计荣誉达到 [14FD01]70400[-] </t>
  </si>
  <si>
    <t xml:space="preserve">本轮活动累计荣誉达到 [14FD01]78200[-] </t>
  </si>
  <si>
    <t xml:space="preserve">本轮活动累计荣誉达到 [14FD01]93800[-] </t>
  </si>
  <si>
    <t xml:space="preserve">本轮活动累计荣誉达到 [14FD01]125000[-] </t>
  </si>
  <si>
    <t xml:space="preserve">本轮活动累计荣誉达到 [14FD01]141000[-] </t>
  </si>
  <si>
    <t xml:space="preserve">本轮活动累计荣誉达到 [14FD01]156000[-] </t>
  </si>
  <si>
    <t xml:space="preserve">本轮活动累计荣誉达到 [14FD01]172000[-] </t>
  </si>
  <si>
    <t xml:space="preserve">本轮活动累计荣誉达到 [14FD01]188000[-] </t>
  </si>
  <si>
    <t xml:space="preserve">本轮活动累计荣誉达到 [14FD01]203000[-] </t>
  </si>
  <si>
    <t xml:space="preserve">本轮活动累计荣誉达到 [14FD01]219000[-] </t>
  </si>
  <si>
    <t xml:space="preserve">本轮活动累计荣誉达到 [14FD01]235000[-] </t>
  </si>
  <si>
    <t xml:space="preserve">本轮活动累计荣誉达到 [14FD01]250000[-] </t>
  </si>
  <si>
    <t xml:space="preserve">本轮活动累计荣誉达到 [14FD01]266000[-] </t>
  </si>
  <si>
    <t xml:space="preserve">本轮活动累计荣誉达到 [14FD01]281000[-] </t>
  </si>
  <si>
    <t xml:space="preserve">本轮活动累计荣誉达到 [14FD01]297000[-] </t>
  </si>
  <si>
    <t xml:space="preserve">本轮活动累计荣誉达到 [14FD01]313000[-] </t>
  </si>
  <si>
    <t xml:space="preserve">本轮活动累计荣誉达到 [14FD01]328000[-] </t>
  </si>
  <si>
    <t xml:space="preserve">本轮活动累计荣誉达到 [14FD01]344000[-] </t>
  </si>
  <si>
    <t xml:space="preserve">本轮活动累计荣誉达到 [14FD01]360000[-] </t>
  </si>
  <si>
    <t xml:space="preserve">本轮活动累计荣誉达到 [14FD01]375000[-] </t>
  </si>
  <si>
    <t xml:space="preserve">本轮活动累计荣誉达到 [14FD01]391000[-] </t>
  </si>
  <si>
    <t>成功击杀 [14FD01]2[-] 级BOSS</t>
  </si>
  <si>
    <t>成功击杀 [14FD01]4[-] 级BOSS</t>
  </si>
  <si>
    <t>成功击杀 [14FD01]6[-] 级BOSS</t>
  </si>
  <si>
    <t>成功击杀 [14FD01]8[-] 级BOSS</t>
  </si>
  <si>
    <t>成功击杀 [14FD01]10[-] 级BOSS</t>
  </si>
  <si>
    <t>成功击杀 [14FD01]12[-] 级BOSS</t>
  </si>
  <si>
    <t>成功击杀 [14FD01]14[-] 级BOSS</t>
  </si>
  <si>
    <t>成功击杀 [14FD01]16[-] 级BOSS</t>
  </si>
  <si>
    <t>成功击杀 [14FD01]18[-] 级BOSS</t>
  </si>
  <si>
    <t>成功击杀 [14FD01]20[-] 级BOSS</t>
  </si>
  <si>
    <t>成功击杀 [14FD01]22[-] 级BOSS</t>
  </si>
  <si>
    <t>成功击杀 [14FD01]24[-] 级BOSS</t>
  </si>
  <si>
    <t>成功击杀 [14FD01]26[-] 级BOSS</t>
  </si>
  <si>
    <t>成功击杀 [14FD01]28[-] 级BOSS</t>
  </si>
  <si>
    <t>成功击杀 [14FD01]30[-] 级BOSS</t>
  </si>
  <si>
    <t>成功击杀 [14FD01]32[-] 级BOSS</t>
  </si>
  <si>
    <t>成功击杀 [14FD01]34[-] 级BOSS</t>
  </si>
  <si>
    <t>成功击杀 [14FD01]36[-] 级BOSS</t>
  </si>
  <si>
    <t>成功击杀 [14FD01]38[-] 级BOSS</t>
  </si>
  <si>
    <t>成功击杀 [14FD01]40[-] 级BOSS</t>
  </si>
  <si>
    <t>帮会伤害排行达到第 [14FD01]1[-] 名</t>
  </si>
  <si>
    <t>帮会伤害排行达到第 [14FD01]2[-] 名</t>
  </si>
  <si>
    <t>帮会伤害排行达到第 [14FD01]3[-] 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</si>
</sst>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sz val="10"/>
      <name val="微软雅黑"/>
      <family val="2"/>
      <charset val="134"/>
    </font>
    <font>
      <sz val="11"/>
      <name val="宋体"/>
      <family val="2"/>
      <scheme val="minor"/>
    </font>
    <font>
      <b/>
      <sz val="10"/>
      <color theme="1"/>
      <name val="微软雅黑"/>
      <family val="2"/>
      <charset val="134"/>
    </font>
    <font>
      <b/>
      <sz val="11"/>
      <color theme="1"/>
      <name val="宋体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5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top" wrapText="1"/>
    </xf>
    <xf numFmtId="0" fontId="0" fillId="5" borderId="0" xfId="0" applyFill="1"/>
    <xf numFmtId="49" fontId="6" fillId="4" borderId="1" xfId="0" applyNumberFormat="1" applyFont="1" applyFill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7" fillId="0" borderId="0" xfId="0" applyFont="1"/>
    <xf numFmtId="0" fontId="8" fillId="2" borderId="1" xfId="0" applyFont="1" applyFill="1" applyBorder="1" applyAlignment="1">
      <alignment horizontal="left" vertical="top" wrapText="1"/>
    </xf>
    <xf numFmtId="0" fontId="8" fillId="2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9" fillId="0" borderId="0" xfId="0" applyFont="1"/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6" borderId="0" xfId="0" applyFill="1"/>
    <xf numFmtId="0" fontId="1" fillId="2" borderId="1" xfId="0" applyNumberFormat="1" applyFont="1" applyFill="1" applyBorder="1" applyAlignment="1">
      <alignment horizontal="left" vertical="top" wrapText="1"/>
    </xf>
    <xf numFmtId="0" fontId="1" fillId="2" borderId="1" xfId="0" applyNumberFormat="1" applyFont="1" applyFill="1" applyBorder="1" applyAlignment="1">
      <alignment horizontal="center" vertical="center"/>
    </xf>
    <xf numFmtId="0" fontId="3" fillId="4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>
      <alignment horizontal="center" vertical="center"/>
    </xf>
    <xf numFmtId="0" fontId="3" fillId="6" borderId="1" xfId="0" applyNumberFormat="1" applyFont="1" applyFill="1" applyBorder="1" applyAlignment="1">
      <alignment horizontal="center" vertical="center"/>
    </xf>
    <xf numFmtId="0" fontId="3" fillId="5" borderId="1" xfId="0" applyNumberFormat="1" applyFont="1" applyFill="1" applyBorder="1" applyAlignment="1">
      <alignment horizontal="center" vertical="center"/>
    </xf>
    <xf numFmtId="0" fontId="0" fillId="0" borderId="0" xfId="0" applyNumberFormat="1" applyAlignment="1"/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&#22823;&#22307;&#19981;&#21462;&#32463;/&#31574;&#21010;/&#25968;&#20540;/&#25968;&#20540;&#35774;&#23450;/&#24618;&#29289;&#23646;&#24615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玩家属性标准"/>
      <sheetName val="怪物属性_小怪"/>
      <sheetName val="怪物属性_BOSS"/>
      <sheetName val="小怪属性"/>
      <sheetName val="BOSS属性"/>
      <sheetName val="双方生存时长"/>
      <sheetName val="大雁塔怪物"/>
      <sheetName val="日常怪物难度"/>
      <sheetName val="梦魇入侵"/>
      <sheetName val="夜探无底洞"/>
      <sheetName val="精英小怪"/>
      <sheetName val="精英BOSS"/>
      <sheetName val="大闹三界"/>
      <sheetName val="全服BOS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28">
          <cell r="R28" t="str">
            <v>等级</v>
          </cell>
          <cell r="S28">
            <v>1</v>
          </cell>
          <cell r="T28">
            <v>2</v>
          </cell>
          <cell r="U28">
            <v>3</v>
          </cell>
          <cell r="V28">
            <v>4</v>
          </cell>
          <cell r="W28">
            <v>5</v>
          </cell>
          <cell r="X28">
            <v>6</v>
          </cell>
          <cell r="Y28">
            <v>7</v>
          </cell>
          <cell r="Z28">
            <v>8</v>
          </cell>
          <cell r="AA28">
            <v>9</v>
          </cell>
          <cell r="AB28">
            <v>10</v>
          </cell>
          <cell r="AC28">
            <v>12</v>
          </cell>
          <cell r="AD28">
            <v>14</v>
          </cell>
          <cell r="AE28">
            <v>16</v>
          </cell>
          <cell r="AF28">
            <v>18</v>
          </cell>
          <cell r="AG28">
            <v>20</v>
          </cell>
          <cell r="AH28">
            <v>22</v>
          </cell>
          <cell r="AI28">
            <v>24</v>
          </cell>
          <cell r="AJ28">
            <v>26</v>
          </cell>
          <cell r="AK28">
            <v>28</v>
          </cell>
          <cell r="AL28">
            <v>30</v>
          </cell>
          <cell r="AM28">
            <v>32</v>
          </cell>
          <cell r="AN28">
            <v>34</v>
          </cell>
          <cell r="AO28">
            <v>36</v>
          </cell>
          <cell r="AP28">
            <v>38</v>
          </cell>
          <cell r="AQ28">
            <v>40</v>
          </cell>
          <cell r="AR28">
            <v>42</v>
          </cell>
          <cell r="AS28">
            <v>44</v>
          </cell>
          <cell r="AT28">
            <v>46</v>
          </cell>
          <cell r="AU28">
            <v>48</v>
          </cell>
          <cell r="AV28">
            <v>50</v>
          </cell>
        </row>
        <row r="29">
          <cell r="R29">
            <v>35</v>
          </cell>
          <cell r="S29">
            <v>190</v>
          </cell>
          <cell r="T29">
            <v>380</v>
          </cell>
          <cell r="U29">
            <v>580</v>
          </cell>
          <cell r="V29">
            <v>770</v>
          </cell>
          <cell r="W29">
            <v>960</v>
          </cell>
          <cell r="X29">
            <v>1200</v>
          </cell>
          <cell r="Y29">
            <v>1300</v>
          </cell>
          <cell r="Z29">
            <v>1500</v>
          </cell>
          <cell r="AA29">
            <v>1700</v>
          </cell>
          <cell r="AB29">
            <v>1900</v>
          </cell>
          <cell r="AC29">
            <v>2300</v>
          </cell>
          <cell r="AD29">
            <v>2700</v>
          </cell>
          <cell r="AE29">
            <v>3100</v>
          </cell>
          <cell r="AF29">
            <v>3500</v>
          </cell>
          <cell r="AG29">
            <v>3800</v>
          </cell>
          <cell r="AH29">
            <v>4200</v>
          </cell>
          <cell r="AI29">
            <v>4600</v>
          </cell>
          <cell r="AJ29">
            <v>5000</v>
          </cell>
          <cell r="AK29">
            <v>5400</v>
          </cell>
          <cell r="AL29">
            <v>5800</v>
          </cell>
          <cell r="AM29">
            <v>6100</v>
          </cell>
          <cell r="AN29">
            <v>6500</v>
          </cell>
          <cell r="AO29">
            <v>6900</v>
          </cell>
          <cell r="AP29">
            <v>7300</v>
          </cell>
          <cell r="AQ29">
            <v>7700</v>
          </cell>
          <cell r="AR29">
            <v>8100</v>
          </cell>
          <cell r="AS29">
            <v>8400</v>
          </cell>
          <cell r="AT29">
            <v>8800</v>
          </cell>
          <cell r="AU29">
            <v>9200</v>
          </cell>
          <cell r="AV29">
            <v>9600</v>
          </cell>
        </row>
        <row r="30">
          <cell r="R30">
            <v>40</v>
          </cell>
          <cell r="S30">
            <v>320</v>
          </cell>
          <cell r="T30">
            <v>650</v>
          </cell>
          <cell r="U30">
            <v>970</v>
          </cell>
          <cell r="V30">
            <v>1300</v>
          </cell>
          <cell r="W30">
            <v>1600</v>
          </cell>
          <cell r="X30">
            <v>1900</v>
          </cell>
          <cell r="Y30">
            <v>2300</v>
          </cell>
          <cell r="Z30">
            <v>2600</v>
          </cell>
          <cell r="AA30">
            <v>2900</v>
          </cell>
          <cell r="AB30">
            <v>3200</v>
          </cell>
          <cell r="AC30">
            <v>3900</v>
          </cell>
          <cell r="AD30">
            <v>4500</v>
          </cell>
          <cell r="AE30">
            <v>5200</v>
          </cell>
          <cell r="AF30">
            <v>5800</v>
          </cell>
          <cell r="AG30">
            <v>6500</v>
          </cell>
          <cell r="AH30">
            <v>7100</v>
          </cell>
          <cell r="AI30">
            <v>7800</v>
          </cell>
          <cell r="AJ30">
            <v>8400</v>
          </cell>
          <cell r="AK30">
            <v>9100</v>
          </cell>
          <cell r="AL30">
            <v>9700</v>
          </cell>
          <cell r="AM30">
            <v>10400</v>
          </cell>
          <cell r="AN30">
            <v>11000</v>
          </cell>
          <cell r="AO30">
            <v>11600</v>
          </cell>
          <cell r="AP30">
            <v>12300</v>
          </cell>
          <cell r="AQ30">
            <v>12900</v>
          </cell>
          <cell r="AR30">
            <v>13600</v>
          </cell>
          <cell r="AS30">
            <v>14200</v>
          </cell>
          <cell r="AT30">
            <v>14900</v>
          </cell>
          <cell r="AU30">
            <v>15500</v>
          </cell>
          <cell r="AV30">
            <v>16200</v>
          </cell>
        </row>
        <row r="31">
          <cell r="R31">
            <v>50</v>
          </cell>
          <cell r="S31">
            <v>560</v>
          </cell>
          <cell r="T31">
            <v>1100</v>
          </cell>
          <cell r="U31">
            <v>1700</v>
          </cell>
          <cell r="V31">
            <v>2200</v>
          </cell>
          <cell r="W31">
            <v>2800</v>
          </cell>
          <cell r="X31">
            <v>3400</v>
          </cell>
          <cell r="Y31">
            <v>3900</v>
          </cell>
          <cell r="Z31">
            <v>4500</v>
          </cell>
          <cell r="AA31">
            <v>5100</v>
          </cell>
          <cell r="AB31">
            <v>5600</v>
          </cell>
          <cell r="AC31">
            <v>6700</v>
          </cell>
          <cell r="AD31">
            <v>7900</v>
          </cell>
          <cell r="AE31">
            <v>9000</v>
          </cell>
          <cell r="AF31">
            <v>10100</v>
          </cell>
          <cell r="AG31">
            <v>11200</v>
          </cell>
          <cell r="AH31">
            <v>12300</v>
          </cell>
          <cell r="AI31">
            <v>13500</v>
          </cell>
          <cell r="AJ31">
            <v>14600</v>
          </cell>
          <cell r="AK31">
            <v>15700</v>
          </cell>
          <cell r="AL31">
            <v>16800</v>
          </cell>
          <cell r="AM31">
            <v>18000</v>
          </cell>
          <cell r="AN31">
            <v>19100</v>
          </cell>
          <cell r="AO31">
            <v>20200</v>
          </cell>
          <cell r="AP31">
            <v>21300</v>
          </cell>
          <cell r="AQ31">
            <v>22400</v>
          </cell>
          <cell r="AR31">
            <v>23600</v>
          </cell>
          <cell r="AS31">
            <v>24700</v>
          </cell>
          <cell r="AT31">
            <v>25800</v>
          </cell>
          <cell r="AU31">
            <v>26900</v>
          </cell>
          <cell r="AV31">
            <v>28100</v>
          </cell>
        </row>
        <row r="32">
          <cell r="R32">
            <v>60</v>
          </cell>
          <cell r="S32">
            <v>840</v>
          </cell>
          <cell r="T32">
            <v>1700</v>
          </cell>
          <cell r="U32">
            <v>2500</v>
          </cell>
          <cell r="V32">
            <v>3400</v>
          </cell>
          <cell r="W32">
            <v>4200</v>
          </cell>
          <cell r="X32">
            <v>5000</v>
          </cell>
          <cell r="Y32">
            <v>5900</v>
          </cell>
          <cell r="Z32">
            <v>6700</v>
          </cell>
          <cell r="AA32">
            <v>7500</v>
          </cell>
          <cell r="AB32">
            <v>8400</v>
          </cell>
          <cell r="AC32">
            <v>10100</v>
          </cell>
          <cell r="AD32">
            <v>11700</v>
          </cell>
          <cell r="AE32">
            <v>13400</v>
          </cell>
          <cell r="AF32">
            <v>15100</v>
          </cell>
          <cell r="AG32">
            <v>16800</v>
          </cell>
          <cell r="AH32">
            <v>18400</v>
          </cell>
          <cell r="AI32">
            <v>20100</v>
          </cell>
          <cell r="AJ32">
            <v>21800</v>
          </cell>
          <cell r="AK32">
            <v>23500</v>
          </cell>
          <cell r="AL32">
            <v>25100</v>
          </cell>
          <cell r="AM32">
            <v>26800</v>
          </cell>
          <cell r="AN32">
            <v>28500</v>
          </cell>
          <cell r="AO32">
            <v>30200</v>
          </cell>
          <cell r="AP32">
            <v>31900</v>
          </cell>
          <cell r="AQ32">
            <v>33500</v>
          </cell>
          <cell r="AR32">
            <v>35200</v>
          </cell>
          <cell r="AS32">
            <v>36900</v>
          </cell>
          <cell r="AT32">
            <v>38600</v>
          </cell>
          <cell r="AU32">
            <v>40200</v>
          </cell>
          <cell r="AV32">
            <v>41900</v>
          </cell>
        </row>
        <row r="33">
          <cell r="R33">
            <v>70</v>
          </cell>
          <cell r="S33">
            <v>1100</v>
          </cell>
          <cell r="T33">
            <v>2100</v>
          </cell>
          <cell r="U33">
            <v>3200</v>
          </cell>
          <cell r="V33">
            <v>4200</v>
          </cell>
          <cell r="W33">
            <v>5300</v>
          </cell>
          <cell r="X33">
            <v>6400</v>
          </cell>
          <cell r="Y33">
            <v>7400</v>
          </cell>
          <cell r="Z33">
            <v>8500</v>
          </cell>
          <cell r="AA33">
            <v>9500</v>
          </cell>
          <cell r="AB33">
            <v>10600</v>
          </cell>
          <cell r="AC33">
            <v>12700</v>
          </cell>
          <cell r="AD33">
            <v>14800</v>
          </cell>
          <cell r="AE33">
            <v>17000</v>
          </cell>
          <cell r="AF33">
            <v>19100</v>
          </cell>
          <cell r="AG33">
            <v>21200</v>
          </cell>
          <cell r="AH33">
            <v>23300</v>
          </cell>
          <cell r="AI33">
            <v>25400</v>
          </cell>
          <cell r="AJ33">
            <v>27500</v>
          </cell>
          <cell r="AK33">
            <v>29700</v>
          </cell>
          <cell r="AL33">
            <v>31800</v>
          </cell>
          <cell r="AM33">
            <v>33900</v>
          </cell>
          <cell r="AN33">
            <v>36000</v>
          </cell>
          <cell r="AO33">
            <v>38100</v>
          </cell>
          <cell r="AP33">
            <v>40300</v>
          </cell>
          <cell r="AQ33">
            <v>42400</v>
          </cell>
          <cell r="AR33">
            <v>44500</v>
          </cell>
          <cell r="AS33">
            <v>46600</v>
          </cell>
          <cell r="AT33">
            <v>48700</v>
          </cell>
          <cell r="AU33">
            <v>50900</v>
          </cell>
          <cell r="AV33">
            <v>53000</v>
          </cell>
        </row>
        <row r="34">
          <cell r="R34">
            <v>80</v>
          </cell>
          <cell r="S34">
            <v>1300</v>
          </cell>
          <cell r="T34">
            <v>2600</v>
          </cell>
          <cell r="U34">
            <v>4000</v>
          </cell>
          <cell r="V34">
            <v>5300</v>
          </cell>
          <cell r="W34">
            <v>6600</v>
          </cell>
          <cell r="X34">
            <v>7900</v>
          </cell>
          <cell r="Y34">
            <v>9200</v>
          </cell>
          <cell r="Z34">
            <v>10500</v>
          </cell>
          <cell r="AA34">
            <v>11900</v>
          </cell>
          <cell r="AB34">
            <v>13200</v>
          </cell>
          <cell r="AC34">
            <v>15800</v>
          </cell>
          <cell r="AD34">
            <v>18500</v>
          </cell>
          <cell r="AE34">
            <v>21100</v>
          </cell>
          <cell r="AF34">
            <v>23700</v>
          </cell>
          <cell r="AG34">
            <v>26400</v>
          </cell>
          <cell r="AH34">
            <v>29000</v>
          </cell>
          <cell r="AI34">
            <v>31600</v>
          </cell>
          <cell r="AJ34">
            <v>34300</v>
          </cell>
          <cell r="AK34">
            <v>36900</v>
          </cell>
          <cell r="AL34">
            <v>39500</v>
          </cell>
          <cell r="AM34">
            <v>42200</v>
          </cell>
          <cell r="AN34">
            <v>44800</v>
          </cell>
          <cell r="AO34">
            <v>47500</v>
          </cell>
          <cell r="AP34">
            <v>50100</v>
          </cell>
          <cell r="AQ34">
            <v>52700</v>
          </cell>
          <cell r="AR34">
            <v>55400</v>
          </cell>
          <cell r="AS34">
            <v>58000</v>
          </cell>
          <cell r="AT34">
            <v>60600</v>
          </cell>
          <cell r="AU34">
            <v>63300</v>
          </cell>
          <cell r="AV34">
            <v>65900</v>
          </cell>
        </row>
        <row r="35">
          <cell r="R35">
            <v>90</v>
          </cell>
          <cell r="S35">
            <v>1600</v>
          </cell>
          <cell r="T35">
            <v>3200</v>
          </cell>
          <cell r="U35">
            <v>4800</v>
          </cell>
          <cell r="V35">
            <v>6400</v>
          </cell>
          <cell r="W35">
            <v>8100</v>
          </cell>
          <cell r="X35">
            <v>9700</v>
          </cell>
          <cell r="Y35">
            <v>11300</v>
          </cell>
          <cell r="Z35">
            <v>12900</v>
          </cell>
          <cell r="AA35">
            <v>14500</v>
          </cell>
          <cell r="AB35">
            <v>16100</v>
          </cell>
          <cell r="AC35">
            <v>19300</v>
          </cell>
          <cell r="AD35">
            <v>22600</v>
          </cell>
          <cell r="AE35">
            <v>25800</v>
          </cell>
          <cell r="AF35">
            <v>29000</v>
          </cell>
          <cell r="AG35">
            <v>32200</v>
          </cell>
          <cell r="AH35">
            <v>35400</v>
          </cell>
          <cell r="AI35">
            <v>38700</v>
          </cell>
          <cell r="AJ35">
            <v>41900</v>
          </cell>
          <cell r="AK35">
            <v>45100</v>
          </cell>
          <cell r="AL35">
            <v>48300</v>
          </cell>
          <cell r="AM35">
            <v>51600</v>
          </cell>
          <cell r="AN35">
            <v>54800</v>
          </cell>
          <cell r="AO35">
            <v>58000</v>
          </cell>
          <cell r="AP35">
            <v>61200</v>
          </cell>
          <cell r="AQ35">
            <v>64400</v>
          </cell>
          <cell r="AR35">
            <v>67700</v>
          </cell>
          <cell r="AS35">
            <v>70900</v>
          </cell>
          <cell r="AT35">
            <v>74100</v>
          </cell>
          <cell r="AU35">
            <v>77300</v>
          </cell>
          <cell r="AV35">
            <v>80600</v>
          </cell>
        </row>
        <row r="36">
          <cell r="R36">
            <v>100</v>
          </cell>
          <cell r="S36">
            <v>2400</v>
          </cell>
          <cell r="T36">
            <v>4700</v>
          </cell>
          <cell r="U36">
            <v>7100</v>
          </cell>
          <cell r="V36">
            <v>9400</v>
          </cell>
          <cell r="W36">
            <v>11800</v>
          </cell>
          <cell r="X36">
            <v>14200</v>
          </cell>
          <cell r="Y36">
            <v>16500</v>
          </cell>
          <cell r="Z36">
            <v>18900</v>
          </cell>
          <cell r="AA36">
            <v>21300</v>
          </cell>
          <cell r="AB36">
            <v>23600</v>
          </cell>
          <cell r="AC36">
            <v>28300</v>
          </cell>
          <cell r="AD36">
            <v>33100</v>
          </cell>
          <cell r="AE36">
            <v>37800</v>
          </cell>
          <cell r="AF36">
            <v>42500</v>
          </cell>
          <cell r="AG36">
            <v>47200</v>
          </cell>
          <cell r="AH36">
            <v>52000</v>
          </cell>
          <cell r="AI36">
            <v>56700</v>
          </cell>
          <cell r="AJ36">
            <v>61400</v>
          </cell>
          <cell r="AK36">
            <v>66100</v>
          </cell>
          <cell r="AL36">
            <v>70900</v>
          </cell>
          <cell r="AM36">
            <v>75600</v>
          </cell>
          <cell r="AN36">
            <v>80300</v>
          </cell>
          <cell r="AO36">
            <v>85000</v>
          </cell>
          <cell r="AP36">
            <v>89800</v>
          </cell>
          <cell r="AQ36">
            <v>94500</v>
          </cell>
          <cell r="AR36">
            <v>99200</v>
          </cell>
          <cell r="AS36">
            <v>104000</v>
          </cell>
          <cell r="AT36">
            <v>109000</v>
          </cell>
          <cell r="AU36">
            <v>113000</v>
          </cell>
          <cell r="AV36">
            <v>118000</v>
          </cell>
        </row>
        <row r="37">
          <cell r="R37">
            <v>110</v>
          </cell>
          <cell r="S37">
            <v>3000</v>
          </cell>
          <cell r="T37">
            <v>6100</v>
          </cell>
          <cell r="U37">
            <v>9100</v>
          </cell>
          <cell r="V37">
            <v>12200</v>
          </cell>
          <cell r="W37">
            <v>15200</v>
          </cell>
          <cell r="X37">
            <v>18300</v>
          </cell>
          <cell r="Y37">
            <v>21300</v>
          </cell>
          <cell r="Z37">
            <v>24400</v>
          </cell>
          <cell r="AA37">
            <v>27400</v>
          </cell>
          <cell r="AB37">
            <v>30500</v>
          </cell>
          <cell r="AC37">
            <v>36600</v>
          </cell>
          <cell r="AD37">
            <v>42700</v>
          </cell>
          <cell r="AE37">
            <v>48800</v>
          </cell>
          <cell r="AF37">
            <v>54900</v>
          </cell>
          <cell r="AG37">
            <v>61000</v>
          </cell>
          <cell r="AH37">
            <v>67100</v>
          </cell>
          <cell r="AI37">
            <v>73200</v>
          </cell>
          <cell r="AJ37">
            <v>79300</v>
          </cell>
          <cell r="AK37">
            <v>85400</v>
          </cell>
          <cell r="AL37">
            <v>91500</v>
          </cell>
          <cell r="AM37">
            <v>97600</v>
          </cell>
          <cell r="AN37">
            <v>104000</v>
          </cell>
          <cell r="AO37">
            <v>110000</v>
          </cell>
          <cell r="AP37">
            <v>116000</v>
          </cell>
          <cell r="AQ37">
            <v>122000</v>
          </cell>
          <cell r="AR37">
            <v>128000</v>
          </cell>
          <cell r="AS37">
            <v>134000</v>
          </cell>
          <cell r="AT37">
            <v>140000</v>
          </cell>
          <cell r="AU37">
            <v>146000</v>
          </cell>
          <cell r="AV37">
            <v>152000</v>
          </cell>
        </row>
        <row r="38">
          <cell r="R38">
            <v>120</v>
          </cell>
          <cell r="S38">
            <v>4100</v>
          </cell>
          <cell r="T38">
            <v>8300</v>
          </cell>
          <cell r="U38">
            <v>12400</v>
          </cell>
          <cell r="V38">
            <v>16500</v>
          </cell>
          <cell r="W38">
            <v>20700</v>
          </cell>
          <cell r="X38">
            <v>24800</v>
          </cell>
          <cell r="Y38">
            <v>28900</v>
          </cell>
          <cell r="Z38">
            <v>33100</v>
          </cell>
          <cell r="AA38">
            <v>37200</v>
          </cell>
          <cell r="AB38">
            <v>41300</v>
          </cell>
          <cell r="AC38">
            <v>49600</v>
          </cell>
          <cell r="AD38">
            <v>57800</v>
          </cell>
          <cell r="AE38">
            <v>66100</v>
          </cell>
          <cell r="AF38">
            <v>74400</v>
          </cell>
          <cell r="AG38">
            <v>82600</v>
          </cell>
          <cell r="AH38">
            <v>90900</v>
          </cell>
          <cell r="AI38">
            <v>99200</v>
          </cell>
          <cell r="AJ38">
            <v>107000</v>
          </cell>
          <cell r="AK38">
            <v>116000</v>
          </cell>
          <cell r="AL38">
            <v>124000</v>
          </cell>
          <cell r="AM38">
            <v>132000</v>
          </cell>
          <cell r="AN38">
            <v>140000</v>
          </cell>
          <cell r="AO38">
            <v>149000</v>
          </cell>
          <cell r="AP38">
            <v>157000</v>
          </cell>
          <cell r="AQ38">
            <v>165000</v>
          </cell>
          <cell r="AR38">
            <v>174000</v>
          </cell>
          <cell r="AS38">
            <v>182000</v>
          </cell>
          <cell r="AT38">
            <v>190000</v>
          </cell>
          <cell r="AU38">
            <v>198000</v>
          </cell>
          <cell r="AV38">
            <v>207000</v>
          </cell>
        </row>
        <row r="39">
          <cell r="R39">
            <v>130</v>
          </cell>
          <cell r="S39">
            <v>4900</v>
          </cell>
          <cell r="T39">
            <v>9900</v>
          </cell>
          <cell r="U39">
            <v>14800</v>
          </cell>
          <cell r="V39">
            <v>19700</v>
          </cell>
          <cell r="W39">
            <v>24700</v>
          </cell>
          <cell r="X39">
            <v>29600</v>
          </cell>
          <cell r="Y39">
            <v>34500</v>
          </cell>
          <cell r="Z39">
            <v>39500</v>
          </cell>
          <cell r="AA39">
            <v>44400</v>
          </cell>
          <cell r="AB39">
            <v>49300</v>
          </cell>
          <cell r="AC39">
            <v>59200</v>
          </cell>
          <cell r="AD39">
            <v>69100</v>
          </cell>
          <cell r="AE39">
            <v>78900</v>
          </cell>
          <cell r="AF39">
            <v>88800</v>
          </cell>
          <cell r="AG39">
            <v>98700</v>
          </cell>
          <cell r="AH39">
            <v>109000</v>
          </cell>
          <cell r="AI39">
            <v>118000</v>
          </cell>
          <cell r="AJ39">
            <v>128000</v>
          </cell>
          <cell r="AK39">
            <v>138000</v>
          </cell>
          <cell r="AL39">
            <v>148000</v>
          </cell>
          <cell r="AM39">
            <v>158000</v>
          </cell>
          <cell r="AN39">
            <v>168000</v>
          </cell>
          <cell r="AO39">
            <v>178000</v>
          </cell>
          <cell r="AP39">
            <v>187000</v>
          </cell>
          <cell r="AQ39">
            <v>197000</v>
          </cell>
          <cell r="AR39">
            <v>207000</v>
          </cell>
          <cell r="AS39">
            <v>217000</v>
          </cell>
          <cell r="AT39">
            <v>227000</v>
          </cell>
          <cell r="AU39">
            <v>237000</v>
          </cell>
          <cell r="AV39">
            <v>247000</v>
          </cell>
        </row>
        <row r="40">
          <cell r="R40">
            <v>140</v>
          </cell>
          <cell r="S40">
            <v>6300</v>
          </cell>
          <cell r="T40">
            <v>12600</v>
          </cell>
          <cell r="U40">
            <v>18900</v>
          </cell>
          <cell r="V40">
            <v>25300</v>
          </cell>
          <cell r="W40">
            <v>31600</v>
          </cell>
          <cell r="X40">
            <v>37900</v>
          </cell>
          <cell r="Y40">
            <v>44200</v>
          </cell>
          <cell r="Z40">
            <v>50500</v>
          </cell>
          <cell r="AA40">
            <v>56800</v>
          </cell>
          <cell r="AB40">
            <v>63100</v>
          </cell>
          <cell r="AC40">
            <v>75800</v>
          </cell>
          <cell r="AD40">
            <v>88400</v>
          </cell>
          <cell r="AE40">
            <v>101000</v>
          </cell>
          <cell r="AF40">
            <v>114000</v>
          </cell>
          <cell r="AG40">
            <v>126000</v>
          </cell>
          <cell r="AH40">
            <v>139000</v>
          </cell>
          <cell r="AI40">
            <v>152000</v>
          </cell>
          <cell r="AJ40">
            <v>164000</v>
          </cell>
          <cell r="AK40">
            <v>177000</v>
          </cell>
          <cell r="AL40">
            <v>189000</v>
          </cell>
          <cell r="AM40">
            <v>202000</v>
          </cell>
          <cell r="AN40">
            <v>215000</v>
          </cell>
          <cell r="AO40">
            <v>227000</v>
          </cell>
          <cell r="AP40">
            <v>240000</v>
          </cell>
          <cell r="AQ40">
            <v>253000</v>
          </cell>
          <cell r="AR40">
            <v>265000</v>
          </cell>
          <cell r="AS40">
            <v>278000</v>
          </cell>
          <cell r="AT40">
            <v>290000</v>
          </cell>
          <cell r="AU40">
            <v>303000</v>
          </cell>
          <cell r="AV40">
            <v>316000</v>
          </cell>
        </row>
        <row r="41">
          <cell r="R41">
            <v>150</v>
          </cell>
          <cell r="S41">
            <v>7800</v>
          </cell>
          <cell r="T41">
            <v>15600</v>
          </cell>
          <cell r="U41">
            <v>23500</v>
          </cell>
          <cell r="V41">
            <v>31300</v>
          </cell>
          <cell r="W41">
            <v>39100</v>
          </cell>
          <cell r="X41">
            <v>46900</v>
          </cell>
          <cell r="Y41">
            <v>54700</v>
          </cell>
          <cell r="Z41">
            <v>62500</v>
          </cell>
          <cell r="AA41">
            <v>70400</v>
          </cell>
          <cell r="AB41">
            <v>78200</v>
          </cell>
          <cell r="AC41">
            <v>93800</v>
          </cell>
          <cell r="AD41">
            <v>109000</v>
          </cell>
          <cell r="AE41">
            <v>125000</v>
          </cell>
          <cell r="AF41">
            <v>141000</v>
          </cell>
          <cell r="AG41">
            <v>156000</v>
          </cell>
          <cell r="AH41">
            <v>172000</v>
          </cell>
          <cell r="AI41">
            <v>188000</v>
          </cell>
          <cell r="AJ41">
            <v>203000</v>
          </cell>
          <cell r="AK41">
            <v>219000</v>
          </cell>
          <cell r="AL41">
            <v>235000</v>
          </cell>
          <cell r="AM41">
            <v>250000</v>
          </cell>
          <cell r="AN41">
            <v>266000</v>
          </cell>
          <cell r="AO41">
            <v>281000</v>
          </cell>
          <cell r="AP41">
            <v>297000</v>
          </cell>
          <cell r="AQ41">
            <v>313000</v>
          </cell>
          <cell r="AR41">
            <v>328000</v>
          </cell>
          <cell r="AS41">
            <v>344000</v>
          </cell>
          <cell r="AT41">
            <v>360000</v>
          </cell>
          <cell r="AU41">
            <v>375000</v>
          </cell>
          <cell r="AV41">
            <v>391000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18"/>
  <sheetViews>
    <sheetView tabSelected="1" workbookViewId="0">
      <pane xSplit="1" ySplit="3" topLeftCell="B401" activePane="bottomRight" state="frozen"/>
      <selection pane="topRight" activeCell="D1" sqref="D1"/>
      <selection pane="bottomLeft" activeCell="A4" sqref="A4"/>
      <selection pane="bottomRight" activeCell="D4" sqref="D4"/>
    </sheetView>
  </sheetViews>
  <sheetFormatPr defaultRowHeight="13.5" x14ac:dyDescent="0.15"/>
  <cols>
    <col min="1" max="1" width="14" customWidth="1"/>
    <col min="2" max="2" width="13.375" bestFit="1" customWidth="1"/>
    <col min="3" max="3" width="15.125" style="11" bestFit="1" customWidth="1"/>
    <col min="4" max="4" width="37.875" bestFit="1" customWidth="1"/>
    <col min="5" max="5" width="53" style="11" bestFit="1" customWidth="1"/>
    <col min="6" max="6" width="27.5" style="28" bestFit="1" customWidth="1"/>
  </cols>
  <sheetData>
    <row r="1" spans="1:9" ht="108.75" customHeight="1" x14ac:dyDescent="0.15">
      <c r="A1" s="3" t="s">
        <v>2</v>
      </c>
      <c r="B1" s="12" t="s">
        <v>33</v>
      </c>
      <c r="C1" s="8" t="s">
        <v>43</v>
      </c>
      <c r="D1" s="3" t="s">
        <v>3</v>
      </c>
      <c r="E1" s="8" t="s">
        <v>69</v>
      </c>
      <c r="F1" s="22" t="s">
        <v>37</v>
      </c>
    </row>
    <row r="2" spans="1:9" ht="16.5" x14ac:dyDescent="0.15">
      <c r="A2" s="13" t="s">
        <v>34</v>
      </c>
      <c r="B2" s="13" t="s">
        <v>39</v>
      </c>
      <c r="C2" s="9" t="s">
        <v>44</v>
      </c>
      <c r="D2" s="13" t="s">
        <v>35</v>
      </c>
      <c r="E2" s="9" t="s">
        <v>36</v>
      </c>
      <c r="F2" s="23" t="s">
        <v>38</v>
      </c>
    </row>
    <row r="3" spans="1:9" ht="16.5" x14ac:dyDescent="0.15">
      <c r="A3" s="1" t="s">
        <v>0</v>
      </c>
      <c r="B3" s="13" t="s">
        <v>46</v>
      </c>
      <c r="C3" s="9" t="s">
        <v>45</v>
      </c>
      <c r="D3" s="1" t="s">
        <v>0</v>
      </c>
      <c r="E3" s="9" t="s">
        <v>1</v>
      </c>
      <c r="F3" s="23" t="s">
        <v>64</v>
      </c>
    </row>
    <row r="4" spans="1:9" ht="16.5" x14ac:dyDescent="0.15">
      <c r="A4" s="2">
        <v>10001</v>
      </c>
      <c r="B4" s="2">
        <v>91101</v>
      </c>
      <c r="C4" s="10">
        <v>1</v>
      </c>
      <c r="D4" s="14" t="s">
        <v>393</v>
      </c>
      <c r="E4" s="10" t="s">
        <v>167</v>
      </c>
      <c r="F4" s="24">
        <v>59001</v>
      </c>
      <c r="G4">
        <v>1</v>
      </c>
      <c r="H4">
        <v>35</v>
      </c>
      <c r="I4" t="str">
        <f>"1|"&amp;INDEX([1]全服BOSS!$R$28:$AV$41,MATCH(H4,[1]全服BOSS!$R$28:$R$41,0),MATCH($G4,[1]全服BOSS!$R$28:$AV$28,0))</f>
        <v>1|190</v>
      </c>
    </row>
    <row r="5" spans="1:9" ht="16.5" x14ac:dyDescent="0.15">
      <c r="A5" s="2">
        <v>10002</v>
      </c>
      <c r="B5" s="2">
        <v>91101</v>
      </c>
      <c r="C5" s="10">
        <v>3</v>
      </c>
      <c r="D5" s="14" t="s">
        <v>394</v>
      </c>
      <c r="E5" s="10" t="s">
        <v>168</v>
      </c>
      <c r="F5" s="25">
        <v>59002</v>
      </c>
      <c r="G5">
        <v>2</v>
      </c>
      <c r="H5">
        <v>35</v>
      </c>
      <c r="I5" t="str">
        <f>"1|"&amp;INDEX([1]全服BOSS!$R$28:$AV$41,MATCH(H5,[1]全服BOSS!$R$28:$R$41,0),MATCH($G5,[1]全服BOSS!$R$28:$AV$28,0))</f>
        <v>1|380</v>
      </c>
    </row>
    <row r="6" spans="1:9" ht="16.5" x14ac:dyDescent="0.15">
      <c r="A6" s="2">
        <v>10003</v>
      </c>
      <c r="B6" s="2">
        <v>91101</v>
      </c>
      <c r="C6" s="10">
        <v>5</v>
      </c>
      <c r="D6" s="14" t="s">
        <v>395</v>
      </c>
      <c r="E6" s="10" t="s">
        <v>169</v>
      </c>
      <c r="F6" s="25">
        <v>59003</v>
      </c>
      <c r="G6">
        <v>3</v>
      </c>
      <c r="H6">
        <v>35</v>
      </c>
      <c r="I6" t="str">
        <f>"1|"&amp;INDEX([1]全服BOSS!$R$28:$AV$41,MATCH(H6,[1]全服BOSS!$R$28:$R$41,0),MATCH($G6,[1]全服BOSS!$R$28:$AV$28,0))</f>
        <v>1|580</v>
      </c>
    </row>
    <row r="7" spans="1:9" ht="16.5" x14ac:dyDescent="0.15">
      <c r="A7" s="2">
        <v>10004</v>
      </c>
      <c r="B7" s="2">
        <v>91101</v>
      </c>
      <c r="C7" s="10">
        <v>7</v>
      </c>
      <c r="D7" s="14" t="s">
        <v>396</v>
      </c>
      <c r="E7" s="10" t="s">
        <v>170</v>
      </c>
      <c r="F7" s="25">
        <v>59004</v>
      </c>
      <c r="G7">
        <v>4</v>
      </c>
      <c r="H7">
        <v>35</v>
      </c>
      <c r="I7" t="str">
        <f>"1|"&amp;INDEX([1]全服BOSS!$R$28:$AV$41,MATCH(H7,[1]全服BOSS!$R$28:$R$41,0),MATCH($G7,[1]全服BOSS!$R$28:$AV$28,0))</f>
        <v>1|770</v>
      </c>
    </row>
    <row r="8" spans="1:9" ht="16.5" x14ac:dyDescent="0.15">
      <c r="A8" s="2">
        <v>10005</v>
      </c>
      <c r="B8" s="2">
        <v>91101</v>
      </c>
      <c r="C8" s="10">
        <v>9</v>
      </c>
      <c r="D8" s="14" t="s">
        <v>397</v>
      </c>
      <c r="E8" s="10" t="s">
        <v>171</v>
      </c>
      <c r="F8" s="25">
        <v>59005</v>
      </c>
      <c r="G8">
        <v>5</v>
      </c>
      <c r="H8">
        <v>35</v>
      </c>
      <c r="I8" t="str">
        <f>"1|"&amp;INDEX([1]全服BOSS!$R$28:$AV$41,MATCH(H8,[1]全服BOSS!$R$28:$R$41,0),MATCH($G8,[1]全服BOSS!$R$28:$AV$28,0))</f>
        <v>1|960</v>
      </c>
    </row>
    <row r="9" spans="1:9" ht="16.5" x14ac:dyDescent="0.15">
      <c r="A9" s="2">
        <v>10006</v>
      </c>
      <c r="B9" s="2">
        <v>91101</v>
      </c>
      <c r="C9" s="10">
        <v>11</v>
      </c>
      <c r="D9" s="14" t="s">
        <v>398</v>
      </c>
      <c r="E9" s="10" t="s">
        <v>70</v>
      </c>
      <c r="F9" s="25">
        <v>59006</v>
      </c>
      <c r="G9">
        <v>6</v>
      </c>
      <c r="H9">
        <v>35</v>
      </c>
      <c r="I9" t="str">
        <f>"1|"&amp;INDEX([1]全服BOSS!$R$28:$AV$41,MATCH(H9,[1]全服BOSS!$R$28:$R$41,0),MATCH($G9,[1]全服BOSS!$R$28:$AV$28,0))</f>
        <v>1|1200</v>
      </c>
    </row>
    <row r="10" spans="1:9" ht="16.5" x14ac:dyDescent="0.15">
      <c r="A10" s="2">
        <v>10007</v>
      </c>
      <c r="B10" s="2">
        <v>91101</v>
      </c>
      <c r="C10" s="10">
        <v>13</v>
      </c>
      <c r="D10" s="14" t="s">
        <v>399</v>
      </c>
      <c r="E10" s="10" t="s">
        <v>172</v>
      </c>
      <c r="F10" s="25">
        <v>59007</v>
      </c>
      <c r="G10">
        <v>7</v>
      </c>
      <c r="H10">
        <v>35</v>
      </c>
      <c r="I10" t="str">
        <f>"1|"&amp;INDEX([1]全服BOSS!$R$28:$AV$41,MATCH(H10,[1]全服BOSS!$R$28:$R$41,0),MATCH($G10,[1]全服BOSS!$R$28:$AV$28,0))</f>
        <v>1|1300</v>
      </c>
    </row>
    <row r="11" spans="1:9" ht="16.5" x14ac:dyDescent="0.15">
      <c r="A11" s="2">
        <v>10008</v>
      </c>
      <c r="B11" s="2">
        <v>91101</v>
      </c>
      <c r="C11" s="10">
        <v>15</v>
      </c>
      <c r="D11" s="14" t="s">
        <v>400</v>
      </c>
      <c r="E11" s="10" t="s">
        <v>173</v>
      </c>
      <c r="F11" s="25">
        <v>59008</v>
      </c>
      <c r="G11">
        <v>8</v>
      </c>
      <c r="H11">
        <v>35</v>
      </c>
      <c r="I11" t="str">
        <f>"1|"&amp;INDEX([1]全服BOSS!$R$28:$AV$41,MATCH(H11,[1]全服BOSS!$R$28:$R$41,0),MATCH($G11,[1]全服BOSS!$R$28:$AV$28,0))</f>
        <v>1|1500</v>
      </c>
    </row>
    <row r="12" spans="1:9" ht="16.5" x14ac:dyDescent="0.15">
      <c r="A12" s="2">
        <v>10009</v>
      </c>
      <c r="B12" s="2">
        <v>91101</v>
      </c>
      <c r="C12" s="10">
        <v>17</v>
      </c>
      <c r="D12" s="14" t="s">
        <v>401</v>
      </c>
      <c r="E12" s="10" t="s">
        <v>86</v>
      </c>
      <c r="F12" s="25">
        <v>59009</v>
      </c>
      <c r="G12">
        <v>9</v>
      </c>
      <c r="H12">
        <v>35</v>
      </c>
      <c r="I12" t="str">
        <f>"1|"&amp;INDEX([1]全服BOSS!$R$28:$AV$41,MATCH(H12,[1]全服BOSS!$R$28:$R$41,0),MATCH($G12,[1]全服BOSS!$R$28:$AV$28,0))</f>
        <v>1|1700</v>
      </c>
    </row>
    <row r="13" spans="1:9" ht="16.5" x14ac:dyDescent="0.15">
      <c r="A13" s="2">
        <v>10010</v>
      </c>
      <c r="B13" s="2">
        <v>91101</v>
      </c>
      <c r="C13" s="10">
        <v>19</v>
      </c>
      <c r="D13" s="14" t="s">
        <v>402</v>
      </c>
      <c r="E13" s="10" t="s">
        <v>174</v>
      </c>
      <c r="F13" s="25">
        <v>59010</v>
      </c>
      <c r="G13">
        <v>10</v>
      </c>
      <c r="H13">
        <v>35</v>
      </c>
      <c r="I13" t="str">
        <f>"1|"&amp;INDEX([1]全服BOSS!$R$28:$AV$41,MATCH(H13,[1]全服BOSS!$R$28:$R$41,0),MATCH($G13,[1]全服BOSS!$R$28:$AV$28,0))</f>
        <v>1|1900</v>
      </c>
    </row>
    <row r="14" spans="1:9" ht="16.5" x14ac:dyDescent="0.15">
      <c r="A14" s="2">
        <v>10011</v>
      </c>
      <c r="B14" s="2">
        <v>91101</v>
      </c>
      <c r="C14" s="10">
        <v>21</v>
      </c>
      <c r="D14" s="14" t="s">
        <v>403</v>
      </c>
      <c r="E14" s="10" t="s">
        <v>175</v>
      </c>
      <c r="F14" s="25">
        <v>59011</v>
      </c>
      <c r="G14">
        <v>12</v>
      </c>
      <c r="H14">
        <v>35</v>
      </c>
      <c r="I14" t="str">
        <f>"1|"&amp;INDEX([1]全服BOSS!$R$28:$AV$41,MATCH(H14,[1]全服BOSS!$R$28:$R$41,0),MATCH($G14,[1]全服BOSS!$R$28:$AV$28,0))</f>
        <v>1|2300</v>
      </c>
    </row>
    <row r="15" spans="1:9" ht="16.5" x14ac:dyDescent="0.15">
      <c r="A15" s="2">
        <v>10012</v>
      </c>
      <c r="B15" s="2">
        <v>91101</v>
      </c>
      <c r="C15" s="10">
        <v>23</v>
      </c>
      <c r="D15" s="14" t="s">
        <v>404</v>
      </c>
      <c r="E15" s="10" t="s">
        <v>87</v>
      </c>
      <c r="F15" s="25">
        <v>59012</v>
      </c>
      <c r="G15">
        <v>14</v>
      </c>
      <c r="H15">
        <v>35</v>
      </c>
      <c r="I15" t="str">
        <f>"1|"&amp;INDEX([1]全服BOSS!$R$28:$AV$41,MATCH(H15,[1]全服BOSS!$R$28:$R$41,0),MATCH($G15,[1]全服BOSS!$R$28:$AV$28,0))</f>
        <v>1|2700</v>
      </c>
    </row>
    <row r="16" spans="1:9" ht="16.5" x14ac:dyDescent="0.15">
      <c r="A16" s="2">
        <v>10013</v>
      </c>
      <c r="B16" s="2">
        <v>91101</v>
      </c>
      <c r="C16" s="10">
        <v>25</v>
      </c>
      <c r="D16" s="14" t="s">
        <v>405</v>
      </c>
      <c r="E16" s="10" t="s">
        <v>88</v>
      </c>
      <c r="F16" s="25">
        <v>59013</v>
      </c>
      <c r="G16">
        <v>16</v>
      </c>
      <c r="H16">
        <v>35</v>
      </c>
      <c r="I16" t="str">
        <f>"1|"&amp;INDEX([1]全服BOSS!$R$28:$AV$41,MATCH(H16,[1]全服BOSS!$R$28:$R$41,0),MATCH($G16,[1]全服BOSS!$R$28:$AV$28,0))</f>
        <v>1|3100</v>
      </c>
    </row>
    <row r="17" spans="1:9" ht="16.5" x14ac:dyDescent="0.15">
      <c r="A17" s="2">
        <v>10014</v>
      </c>
      <c r="B17" s="2">
        <v>91101</v>
      </c>
      <c r="C17" s="10">
        <v>27</v>
      </c>
      <c r="D17" s="14" t="s">
        <v>406</v>
      </c>
      <c r="E17" s="10" t="s">
        <v>113</v>
      </c>
      <c r="F17" s="25">
        <v>59014</v>
      </c>
      <c r="G17">
        <v>18</v>
      </c>
      <c r="H17">
        <v>35</v>
      </c>
      <c r="I17" t="str">
        <f>"1|"&amp;INDEX([1]全服BOSS!$R$28:$AV$41,MATCH(H17,[1]全服BOSS!$R$28:$R$41,0),MATCH($G17,[1]全服BOSS!$R$28:$AV$28,0))</f>
        <v>1|3500</v>
      </c>
    </row>
    <row r="18" spans="1:9" ht="16.5" x14ac:dyDescent="0.15">
      <c r="A18" s="2">
        <v>10015</v>
      </c>
      <c r="B18" s="2">
        <v>91101</v>
      </c>
      <c r="C18" s="10">
        <v>29</v>
      </c>
      <c r="D18" s="14" t="s">
        <v>407</v>
      </c>
      <c r="E18" s="10" t="s">
        <v>176</v>
      </c>
      <c r="F18" s="25">
        <v>59015</v>
      </c>
      <c r="G18">
        <v>20</v>
      </c>
      <c r="H18">
        <v>35</v>
      </c>
      <c r="I18" t="str">
        <f>"1|"&amp;INDEX([1]全服BOSS!$R$28:$AV$41,MATCH(H18,[1]全服BOSS!$R$28:$R$41,0),MATCH($G18,[1]全服BOSS!$R$28:$AV$28,0))</f>
        <v>1|3800</v>
      </c>
    </row>
    <row r="19" spans="1:9" ht="16.5" x14ac:dyDescent="0.15">
      <c r="A19" s="2">
        <v>10016</v>
      </c>
      <c r="B19" s="2">
        <v>91101</v>
      </c>
      <c r="C19" s="10">
        <v>31</v>
      </c>
      <c r="D19" s="14" t="s">
        <v>408</v>
      </c>
      <c r="E19" s="10" t="s">
        <v>101</v>
      </c>
      <c r="F19" s="25">
        <v>59016</v>
      </c>
      <c r="G19">
        <v>22</v>
      </c>
      <c r="H19">
        <v>35</v>
      </c>
      <c r="I19" t="str">
        <f>"1|"&amp;INDEX([1]全服BOSS!$R$28:$AV$41,MATCH(H19,[1]全服BOSS!$R$28:$R$41,0),MATCH($G19,[1]全服BOSS!$R$28:$AV$28,0))</f>
        <v>1|4200</v>
      </c>
    </row>
    <row r="20" spans="1:9" ht="16.5" x14ac:dyDescent="0.15">
      <c r="A20" s="2">
        <v>10017</v>
      </c>
      <c r="B20" s="2">
        <v>91101</v>
      </c>
      <c r="C20" s="10">
        <v>33</v>
      </c>
      <c r="D20" s="14" t="s">
        <v>409</v>
      </c>
      <c r="E20" s="10" t="s">
        <v>177</v>
      </c>
      <c r="F20" s="25">
        <v>59017</v>
      </c>
      <c r="G20">
        <v>24</v>
      </c>
      <c r="H20">
        <v>35</v>
      </c>
      <c r="I20" t="str">
        <f>"1|"&amp;INDEX([1]全服BOSS!$R$28:$AV$41,MATCH(H20,[1]全服BOSS!$R$28:$R$41,0),MATCH($G20,[1]全服BOSS!$R$28:$AV$28,0))</f>
        <v>1|4600</v>
      </c>
    </row>
    <row r="21" spans="1:9" ht="16.5" x14ac:dyDescent="0.15">
      <c r="A21" s="2">
        <v>10018</v>
      </c>
      <c r="B21" s="2">
        <v>91101</v>
      </c>
      <c r="C21" s="10">
        <v>35</v>
      </c>
      <c r="D21" s="14" t="s">
        <v>410</v>
      </c>
      <c r="E21" s="10" t="s">
        <v>178</v>
      </c>
      <c r="F21" s="25">
        <v>59018</v>
      </c>
      <c r="G21">
        <v>26</v>
      </c>
      <c r="H21">
        <v>35</v>
      </c>
      <c r="I21" t="str">
        <f>"1|"&amp;INDEX([1]全服BOSS!$R$28:$AV$41,MATCH(H21,[1]全服BOSS!$R$28:$R$41,0),MATCH($G21,[1]全服BOSS!$R$28:$AV$28,0))</f>
        <v>1|5000</v>
      </c>
    </row>
    <row r="22" spans="1:9" ht="16.5" x14ac:dyDescent="0.15">
      <c r="A22" s="2">
        <v>10019</v>
      </c>
      <c r="B22" s="2">
        <v>91101</v>
      </c>
      <c r="C22" s="10">
        <v>37</v>
      </c>
      <c r="D22" s="14" t="s">
        <v>411</v>
      </c>
      <c r="E22" s="10" t="s">
        <v>91</v>
      </c>
      <c r="F22" s="25">
        <v>59019</v>
      </c>
      <c r="G22">
        <v>28</v>
      </c>
      <c r="H22">
        <v>35</v>
      </c>
      <c r="I22" t="str">
        <f>"1|"&amp;INDEX([1]全服BOSS!$R$28:$AV$41,MATCH(H22,[1]全服BOSS!$R$28:$R$41,0),MATCH($G22,[1]全服BOSS!$R$28:$AV$28,0))</f>
        <v>1|5400</v>
      </c>
    </row>
    <row r="23" spans="1:9" ht="16.5" x14ac:dyDescent="0.15">
      <c r="A23" s="2">
        <v>10020</v>
      </c>
      <c r="B23" s="2">
        <v>91101</v>
      </c>
      <c r="C23" s="10">
        <v>39</v>
      </c>
      <c r="D23" s="14" t="s">
        <v>412</v>
      </c>
      <c r="E23" s="10" t="s">
        <v>179</v>
      </c>
      <c r="F23" s="25">
        <v>59020</v>
      </c>
      <c r="G23">
        <v>30</v>
      </c>
      <c r="H23">
        <v>35</v>
      </c>
      <c r="I23" t="str">
        <f>"1|"&amp;INDEX([1]全服BOSS!$R$28:$AV$41,MATCH(H23,[1]全服BOSS!$R$28:$R$41,0),MATCH($G23,[1]全服BOSS!$R$28:$AV$28,0))</f>
        <v>1|5800</v>
      </c>
    </row>
    <row r="24" spans="1:9" ht="16.5" x14ac:dyDescent="0.15">
      <c r="A24" s="2">
        <v>10021</v>
      </c>
      <c r="B24" s="2">
        <v>91101</v>
      </c>
      <c r="C24" s="10">
        <v>41</v>
      </c>
      <c r="D24" s="14" t="s">
        <v>413</v>
      </c>
      <c r="E24" s="10" t="s">
        <v>78</v>
      </c>
      <c r="F24" s="25">
        <v>59021</v>
      </c>
      <c r="G24">
        <v>32</v>
      </c>
      <c r="H24">
        <v>35</v>
      </c>
      <c r="I24" t="str">
        <f>"1|"&amp;INDEX([1]全服BOSS!$R$28:$AV$41,MATCH(H24,[1]全服BOSS!$R$28:$R$41,0),MATCH($G24,[1]全服BOSS!$R$28:$AV$28,0))</f>
        <v>1|6100</v>
      </c>
    </row>
    <row r="25" spans="1:9" ht="16.5" x14ac:dyDescent="0.15">
      <c r="A25" s="2">
        <v>10022</v>
      </c>
      <c r="B25" s="2">
        <v>91101</v>
      </c>
      <c r="C25" s="10">
        <v>43</v>
      </c>
      <c r="D25" s="14" t="s">
        <v>414</v>
      </c>
      <c r="E25" s="10" t="s">
        <v>79</v>
      </c>
      <c r="F25" s="25">
        <v>59022</v>
      </c>
      <c r="G25">
        <v>34</v>
      </c>
      <c r="H25">
        <v>35</v>
      </c>
      <c r="I25" t="str">
        <f>"1|"&amp;INDEX([1]全服BOSS!$R$28:$AV$41,MATCH(H25,[1]全服BOSS!$R$28:$R$41,0),MATCH($G25,[1]全服BOSS!$R$28:$AV$28,0))</f>
        <v>1|6500</v>
      </c>
    </row>
    <row r="26" spans="1:9" ht="16.5" x14ac:dyDescent="0.15">
      <c r="A26" s="2">
        <v>10023</v>
      </c>
      <c r="B26" s="2">
        <v>91101</v>
      </c>
      <c r="C26" s="10">
        <v>45</v>
      </c>
      <c r="D26" s="14" t="s">
        <v>415</v>
      </c>
      <c r="E26" s="10" t="s">
        <v>80</v>
      </c>
      <c r="F26" s="25">
        <v>59023</v>
      </c>
      <c r="G26">
        <v>36</v>
      </c>
      <c r="H26">
        <v>35</v>
      </c>
      <c r="I26" t="str">
        <f>"1|"&amp;INDEX([1]全服BOSS!$R$28:$AV$41,MATCH(H26,[1]全服BOSS!$R$28:$R$41,0),MATCH($G26,[1]全服BOSS!$R$28:$AV$28,0))</f>
        <v>1|6900</v>
      </c>
    </row>
    <row r="27" spans="1:9" ht="16.5" x14ac:dyDescent="0.15">
      <c r="A27" s="2">
        <v>10024</v>
      </c>
      <c r="B27" s="2">
        <v>91101</v>
      </c>
      <c r="C27" s="10">
        <v>47</v>
      </c>
      <c r="D27" s="14" t="s">
        <v>416</v>
      </c>
      <c r="E27" s="10" t="s">
        <v>81</v>
      </c>
      <c r="F27" s="25">
        <v>59024</v>
      </c>
      <c r="G27">
        <v>38</v>
      </c>
      <c r="H27">
        <v>35</v>
      </c>
      <c r="I27" t="str">
        <f>"1|"&amp;INDEX([1]全服BOSS!$R$28:$AV$41,MATCH(H27,[1]全服BOSS!$R$28:$R$41,0),MATCH($G27,[1]全服BOSS!$R$28:$AV$28,0))</f>
        <v>1|7300</v>
      </c>
    </row>
    <row r="28" spans="1:9" ht="16.5" x14ac:dyDescent="0.15">
      <c r="A28" s="2">
        <v>10025</v>
      </c>
      <c r="B28" s="2">
        <v>91101</v>
      </c>
      <c r="C28" s="10">
        <v>49</v>
      </c>
      <c r="D28" s="14" t="s">
        <v>417</v>
      </c>
      <c r="E28" s="10" t="s">
        <v>82</v>
      </c>
      <c r="F28" s="25">
        <v>59025</v>
      </c>
      <c r="G28">
        <v>40</v>
      </c>
      <c r="H28">
        <v>35</v>
      </c>
      <c r="I28" t="str">
        <f>"1|"&amp;INDEX([1]全服BOSS!$R$28:$AV$41,MATCH(H28,[1]全服BOSS!$R$28:$R$41,0),MATCH($G28,[1]全服BOSS!$R$28:$AV$28,0))</f>
        <v>1|7700</v>
      </c>
    </row>
    <row r="29" spans="1:9" ht="16.5" x14ac:dyDescent="0.15">
      <c r="A29" s="2">
        <v>10026</v>
      </c>
      <c r="B29" s="2">
        <v>91101</v>
      </c>
      <c r="C29" s="10">
        <v>51</v>
      </c>
      <c r="D29" s="14" t="s">
        <v>418</v>
      </c>
      <c r="E29" s="10" t="s">
        <v>83</v>
      </c>
      <c r="F29" s="25">
        <v>59026</v>
      </c>
      <c r="G29">
        <v>42</v>
      </c>
      <c r="H29">
        <v>35</v>
      </c>
      <c r="I29" t="str">
        <f>"1|"&amp;INDEX([1]全服BOSS!$R$28:$AV$41,MATCH(H29,[1]全服BOSS!$R$28:$R$41,0),MATCH($G29,[1]全服BOSS!$R$28:$AV$28,0))</f>
        <v>1|8100</v>
      </c>
    </row>
    <row r="30" spans="1:9" ht="16.5" x14ac:dyDescent="0.15">
      <c r="A30" s="2">
        <v>10027</v>
      </c>
      <c r="B30" s="2">
        <v>91101</v>
      </c>
      <c r="C30" s="10">
        <v>53</v>
      </c>
      <c r="D30" s="14" t="s">
        <v>419</v>
      </c>
      <c r="E30" s="10" t="s">
        <v>180</v>
      </c>
      <c r="F30" s="25">
        <v>59027</v>
      </c>
      <c r="G30">
        <v>44</v>
      </c>
      <c r="H30">
        <v>35</v>
      </c>
      <c r="I30" t="str">
        <f>"1|"&amp;INDEX([1]全服BOSS!$R$28:$AV$41,MATCH(H30,[1]全服BOSS!$R$28:$R$41,0),MATCH($G30,[1]全服BOSS!$R$28:$AV$28,0))</f>
        <v>1|8400</v>
      </c>
    </row>
    <row r="31" spans="1:9" ht="16.5" x14ac:dyDescent="0.15">
      <c r="A31" s="2">
        <v>10028</v>
      </c>
      <c r="B31" s="2">
        <v>91101</v>
      </c>
      <c r="C31" s="10">
        <v>55</v>
      </c>
      <c r="D31" s="14" t="s">
        <v>420</v>
      </c>
      <c r="E31" s="10" t="s">
        <v>114</v>
      </c>
      <c r="F31" s="25">
        <v>59028</v>
      </c>
      <c r="G31">
        <v>46</v>
      </c>
      <c r="H31">
        <v>35</v>
      </c>
      <c r="I31" t="str">
        <f>"1|"&amp;INDEX([1]全服BOSS!$R$28:$AV$41,MATCH(H31,[1]全服BOSS!$R$28:$R$41,0),MATCH($G31,[1]全服BOSS!$R$28:$AV$28,0))</f>
        <v>1|8800</v>
      </c>
    </row>
    <row r="32" spans="1:9" ht="16.5" x14ac:dyDescent="0.15">
      <c r="A32" s="2">
        <v>10029</v>
      </c>
      <c r="B32" s="2">
        <v>91101</v>
      </c>
      <c r="C32" s="10">
        <v>57</v>
      </c>
      <c r="D32" s="14" t="s">
        <v>421</v>
      </c>
      <c r="E32" s="10" t="s">
        <v>181</v>
      </c>
      <c r="F32" s="25">
        <v>59029</v>
      </c>
      <c r="G32">
        <v>48</v>
      </c>
      <c r="H32">
        <v>35</v>
      </c>
      <c r="I32" t="str">
        <f>"1|"&amp;INDEX([1]全服BOSS!$R$28:$AV$41,MATCH(H32,[1]全服BOSS!$R$28:$R$41,0),MATCH($G32,[1]全服BOSS!$R$28:$AV$28,0))</f>
        <v>1|9200</v>
      </c>
    </row>
    <row r="33" spans="1:9" ht="16.5" x14ac:dyDescent="0.15">
      <c r="A33" s="2">
        <v>10030</v>
      </c>
      <c r="B33" s="2">
        <v>91101</v>
      </c>
      <c r="C33" s="10">
        <v>59</v>
      </c>
      <c r="D33" s="14" t="s">
        <v>422</v>
      </c>
      <c r="E33" s="10" t="s">
        <v>182</v>
      </c>
      <c r="F33" s="25">
        <v>59030</v>
      </c>
      <c r="G33">
        <v>50</v>
      </c>
      <c r="H33">
        <v>35</v>
      </c>
      <c r="I33" t="str">
        <f>"1|"&amp;INDEX([1]全服BOSS!$R$28:$AV$41,MATCH(H33,[1]全服BOSS!$R$28:$R$41,0),MATCH($G33,[1]全服BOSS!$R$28:$AV$28,0))</f>
        <v>1|9600</v>
      </c>
    </row>
    <row r="34" spans="1:9" s="21" customFormat="1" ht="16.5" x14ac:dyDescent="0.15">
      <c r="A34" s="18">
        <v>10031</v>
      </c>
      <c r="B34" s="18">
        <v>91102</v>
      </c>
      <c r="C34" s="19">
        <v>1</v>
      </c>
      <c r="D34" s="20" t="s">
        <v>423</v>
      </c>
      <c r="E34" s="19" t="s">
        <v>183</v>
      </c>
      <c r="F34" s="26">
        <v>59001</v>
      </c>
      <c r="G34" s="21">
        <v>1</v>
      </c>
      <c r="H34" s="21">
        <v>40</v>
      </c>
      <c r="I34" s="21" t="str">
        <f>"1|"&amp;INDEX([1]全服BOSS!$R$28:$AV$41,MATCH(H34,[1]全服BOSS!$R$28:$R$41,0),MATCH($G34,[1]全服BOSS!$R$28:$AV$28,0))</f>
        <v>1|320</v>
      </c>
    </row>
    <row r="35" spans="1:9" s="21" customFormat="1" ht="16.5" x14ac:dyDescent="0.15">
      <c r="A35" s="18">
        <v>10032</v>
      </c>
      <c r="B35" s="18">
        <v>91102</v>
      </c>
      <c r="C35" s="19">
        <v>3</v>
      </c>
      <c r="D35" s="20" t="s">
        <v>424</v>
      </c>
      <c r="E35" s="19" t="s">
        <v>184</v>
      </c>
      <c r="F35" s="26">
        <v>59002</v>
      </c>
      <c r="G35" s="21">
        <v>2</v>
      </c>
      <c r="H35" s="21">
        <v>40</v>
      </c>
      <c r="I35" s="21" t="str">
        <f>"1|"&amp;INDEX([1]全服BOSS!$R$28:$AV$41,MATCH(H35,[1]全服BOSS!$R$28:$R$41,0),MATCH($G35,[1]全服BOSS!$R$28:$AV$28,0))</f>
        <v>1|650</v>
      </c>
    </row>
    <row r="36" spans="1:9" s="21" customFormat="1" ht="16.5" x14ac:dyDescent="0.15">
      <c r="A36" s="18">
        <v>10033</v>
      </c>
      <c r="B36" s="18">
        <v>91102</v>
      </c>
      <c r="C36" s="19">
        <v>5</v>
      </c>
      <c r="D36" s="20" t="s">
        <v>425</v>
      </c>
      <c r="E36" s="19" t="s">
        <v>185</v>
      </c>
      <c r="F36" s="26">
        <v>59003</v>
      </c>
      <c r="G36" s="21">
        <v>3</v>
      </c>
      <c r="H36" s="21">
        <v>40</v>
      </c>
      <c r="I36" s="21" t="str">
        <f>"1|"&amp;INDEX([1]全服BOSS!$R$28:$AV$41,MATCH(H36,[1]全服BOSS!$R$28:$R$41,0),MATCH($G36,[1]全服BOSS!$R$28:$AV$28,0))</f>
        <v>1|970</v>
      </c>
    </row>
    <row r="37" spans="1:9" s="21" customFormat="1" ht="16.5" x14ac:dyDescent="0.15">
      <c r="A37" s="18">
        <v>10034</v>
      </c>
      <c r="B37" s="18">
        <v>91102</v>
      </c>
      <c r="C37" s="19">
        <v>7</v>
      </c>
      <c r="D37" s="20" t="s">
        <v>399</v>
      </c>
      <c r="E37" s="19" t="s">
        <v>172</v>
      </c>
      <c r="F37" s="26">
        <v>59004</v>
      </c>
      <c r="G37" s="21">
        <v>4</v>
      </c>
      <c r="H37" s="21">
        <v>40</v>
      </c>
      <c r="I37" s="21" t="str">
        <f>"1|"&amp;INDEX([1]全服BOSS!$R$28:$AV$41,MATCH(H37,[1]全服BOSS!$R$28:$R$41,0),MATCH($G37,[1]全服BOSS!$R$28:$AV$28,0))</f>
        <v>1|1300</v>
      </c>
    </row>
    <row r="38" spans="1:9" s="21" customFormat="1" ht="16.5" x14ac:dyDescent="0.15">
      <c r="A38" s="18">
        <v>10035</v>
      </c>
      <c r="B38" s="18">
        <v>91102</v>
      </c>
      <c r="C38" s="19">
        <v>9</v>
      </c>
      <c r="D38" s="20" t="s">
        <v>426</v>
      </c>
      <c r="E38" s="19" t="s">
        <v>71</v>
      </c>
      <c r="F38" s="26">
        <v>59005</v>
      </c>
      <c r="G38" s="21">
        <v>5</v>
      </c>
      <c r="H38" s="21">
        <v>40</v>
      </c>
      <c r="I38" s="21" t="str">
        <f>"1|"&amp;INDEX([1]全服BOSS!$R$28:$AV$41,MATCH(H38,[1]全服BOSS!$R$28:$R$41,0),MATCH($G38,[1]全服BOSS!$R$28:$AV$28,0))</f>
        <v>1|1600</v>
      </c>
    </row>
    <row r="39" spans="1:9" s="21" customFormat="1" ht="16.5" x14ac:dyDescent="0.15">
      <c r="A39" s="18">
        <v>10036</v>
      </c>
      <c r="B39" s="18">
        <v>91102</v>
      </c>
      <c r="C39" s="19">
        <v>11</v>
      </c>
      <c r="D39" s="20" t="s">
        <v>402</v>
      </c>
      <c r="E39" s="19" t="s">
        <v>174</v>
      </c>
      <c r="F39" s="26">
        <v>59006</v>
      </c>
      <c r="G39" s="21">
        <v>6</v>
      </c>
      <c r="H39" s="21">
        <v>40</v>
      </c>
      <c r="I39" s="21" t="str">
        <f>"1|"&amp;INDEX([1]全服BOSS!$R$28:$AV$41,MATCH(H39,[1]全服BOSS!$R$28:$R$41,0),MATCH($G39,[1]全服BOSS!$R$28:$AV$28,0))</f>
        <v>1|1900</v>
      </c>
    </row>
    <row r="40" spans="1:9" s="21" customFormat="1" ht="16.5" x14ac:dyDescent="0.15">
      <c r="A40" s="18">
        <v>10037</v>
      </c>
      <c r="B40" s="18">
        <v>91102</v>
      </c>
      <c r="C40" s="19">
        <v>13</v>
      </c>
      <c r="D40" s="20" t="s">
        <v>403</v>
      </c>
      <c r="E40" s="19" t="s">
        <v>175</v>
      </c>
      <c r="F40" s="26">
        <v>59007</v>
      </c>
      <c r="G40" s="21">
        <v>7</v>
      </c>
      <c r="H40" s="21">
        <v>40</v>
      </c>
      <c r="I40" s="21" t="str">
        <f>"1|"&amp;INDEX([1]全服BOSS!$R$28:$AV$41,MATCH(H40,[1]全服BOSS!$R$28:$R$41,0),MATCH($G40,[1]全服BOSS!$R$28:$AV$28,0))</f>
        <v>1|2300</v>
      </c>
    </row>
    <row r="41" spans="1:9" s="21" customFormat="1" ht="16.5" x14ac:dyDescent="0.15">
      <c r="A41" s="18">
        <v>10038</v>
      </c>
      <c r="B41" s="18">
        <v>91102</v>
      </c>
      <c r="C41" s="19">
        <v>15</v>
      </c>
      <c r="D41" s="20" t="s">
        <v>427</v>
      </c>
      <c r="E41" s="19" t="s">
        <v>186</v>
      </c>
      <c r="F41" s="26">
        <v>59008</v>
      </c>
      <c r="G41" s="21">
        <v>8</v>
      </c>
      <c r="H41" s="21">
        <v>40</v>
      </c>
      <c r="I41" s="21" t="str">
        <f>"1|"&amp;INDEX([1]全服BOSS!$R$28:$AV$41,MATCH(H41,[1]全服BOSS!$R$28:$R$41,0),MATCH($G41,[1]全服BOSS!$R$28:$AV$28,0))</f>
        <v>1|2600</v>
      </c>
    </row>
    <row r="42" spans="1:9" s="21" customFormat="1" ht="16.5" x14ac:dyDescent="0.15">
      <c r="A42" s="18">
        <v>10039</v>
      </c>
      <c r="B42" s="18">
        <v>91102</v>
      </c>
      <c r="C42" s="19">
        <v>17</v>
      </c>
      <c r="D42" s="20" t="s">
        <v>428</v>
      </c>
      <c r="E42" s="19" t="s">
        <v>73</v>
      </c>
      <c r="F42" s="26">
        <v>59009</v>
      </c>
      <c r="G42" s="21">
        <v>9</v>
      </c>
      <c r="H42" s="21">
        <v>40</v>
      </c>
      <c r="I42" s="21" t="str">
        <f>"1|"&amp;INDEX([1]全服BOSS!$R$28:$AV$41,MATCH(H42,[1]全服BOSS!$R$28:$R$41,0),MATCH($G42,[1]全服BOSS!$R$28:$AV$28,0))</f>
        <v>1|2900</v>
      </c>
    </row>
    <row r="43" spans="1:9" s="21" customFormat="1" ht="16.5" x14ac:dyDescent="0.15">
      <c r="A43" s="18">
        <v>10040</v>
      </c>
      <c r="B43" s="18">
        <v>91102</v>
      </c>
      <c r="C43" s="19">
        <v>19</v>
      </c>
      <c r="D43" s="20" t="s">
        <v>429</v>
      </c>
      <c r="E43" s="19" t="s">
        <v>187</v>
      </c>
      <c r="F43" s="26">
        <v>59010</v>
      </c>
      <c r="G43" s="21">
        <v>10</v>
      </c>
      <c r="H43" s="21">
        <v>40</v>
      </c>
      <c r="I43" s="21" t="str">
        <f>"1|"&amp;INDEX([1]全服BOSS!$R$28:$AV$41,MATCH(H43,[1]全服BOSS!$R$28:$R$41,0),MATCH($G43,[1]全服BOSS!$R$28:$AV$28,0))</f>
        <v>1|3200</v>
      </c>
    </row>
    <row r="44" spans="1:9" s="21" customFormat="1" ht="16.5" x14ac:dyDescent="0.15">
      <c r="A44" s="18">
        <v>10041</v>
      </c>
      <c r="B44" s="18">
        <v>91102</v>
      </c>
      <c r="C44" s="19">
        <v>21</v>
      </c>
      <c r="D44" s="20" t="s">
        <v>430</v>
      </c>
      <c r="E44" s="19" t="s">
        <v>155</v>
      </c>
      <c r="F44" s="26">
        <v>59011</v>
      </c>
      <c r="G44" s="21">
        <v>12</v>
      </c>
      <c r="H44" s="21">
        <v>40</v>
      </c>
      <c r="I44" s="21" t="str">
        <f>"1|"&amp;INDEX([1]全服BOSS!$R$28:$AV$41,MATCH(H44,[1]全服BOSS!$R$28:$R$41,0),MATCH($G44,[1]全服BOSS!$R$28:$AV$28,0))</f>
        <v>1|3900</v>
      </c>
    </row>
    <row r="45" spans="1:9" s="21" customFormat="1" ht="16.5" x14ac:dyDescent="0.15">
      <c r="A45" s="18">
        <v>10042</v>
      </c>
      <c r="B45" s="18">
        <v>91102</v>
      </c>
      <c r="C45" s="19">
        <v>23</v>
      </c>
      <c r="D45" s="20" t="s">
        <v>431</v>
      </c>
      <c r="E45" s="19" t="s">
        <v>75</v>
      </c>
      <c r="F45" s="26">
        <v>59012</v>
      </c>
      <c r="G45" s="21">
        <v>14</v>
      </c>
      <c r="H45" s="21">
        <v>40</v>
      </c>
      <c r="I45" s="21" t="str">
        <f>"1|"&amp;INDEX([1]全服BOSS!$R$28:$AV$41,MATCH(H45,[1]全服BOSS!$R$28:$R$41,0),MATCH($G45,[1]全服BOSS!$R$28:$AV$28,0))</f>
        <v>1|4500</v>
      </c>
    </row>
    <row r="46" spans="1:9" s="21" customFormat="1" ht="16.5" x14ac:dyDescent="0.15">
      <c r="A46" s="18">
        <v>10043</v>
      </c>
      <c r="B46" s="18">
        <v>91102</v>
      </c>
      <c r="C46" s="19">
        <v>25</v>
      </c>
      <c r="D46" s="20" t="s">
        <v>432</v>
      </c>
      <c r="E46" s="19" t="s">
        <v>188</v>
      </c>
      <c r="F46" s="26">
        <v>59013</v>
      </c>
      <c r="G46" s="21">
        <v>16</v>
      </c>
      <c r="H46" s="21">
        <v>40</v>
      </c>
      <c r="I46" s="21" t="str">
        <f>"1|"&amp;INDEX([1]全服BOSS!$R$28:$AV$41,MATCH(H46,[1]全服BOSS!$R$28:$R$41,0),MATCH($G46,[1]全服BOSS!$R$28:$AV$28,0))</f>
        <v>1|5200</v>
      </c>
    </row>
    <row r="47" spans="1:9" s="21" customFormat="1" ht="16.5" x14ac:dyDescent="0.15">
      <c r="A47" s="18">
        <v>10044</v>
      </c>
      <c r="B47" s="18">
        <v>91102</v>
      </c>
      <c r="C47" s="19">
        <v>27</v>
      </c>
      <c r="D47" s="20" t="s">
        <v>412</v>
      </c>
      <c r="E47" s="19" t="s">
        <v>179</v>
      </c>
      <c r="F47" s="26">
        <v>59014</v>
      </c>
      <c r="G47" s="21">
        <v>18</v>
      </c>
      <c r="H47" s="21">
        <v>40</v>
      </c>
      <c r="I47" s="21" t="str">
        <f>"1|"&amp;INDEX([1]全服BOSS!$R$28:$AV$41,MATCH(H47,[1]全服BOSS!$R$28:$R$41,0),MATCH($G47,[1]全服BOSS!$R$28:$AV$28,0))</f>
        <v>1|5800</v>
      </c>
    </row>
    <row r="48" spans="1:9" s="21" customFormat="1" ht="16.5" x14ac:dyDescent="0.15">
      <c r="A48" s="18">
        <v>10045</v>
      </c>
      <c r="B48" s="18">
        <v>91102</v>
      </c>
      <c r="C48" s="19">
        <v>29</v>
      </c>
      <c r="D48" s="20" t="s">
        <v>414</v>
      </c>
      <c r="E48" s="19" t="s">
        <v>79</v>
      </c>
      <c r="F48" s="26">
        <v>59015</v>
      </c>
      <c r="G48" s="21">
        <v>20</v>
      </c>
      <c r="H48" s="21">
        <v>40</v>
      </c>
      <c r="I48" s="21" t="str">
        <f>"1|"&amp;INDEX([1]全服BOSS!$R$28:$AV$41,MATCH(H48,[1]全服BOSS!$R$28:$R$41,0),MATCH($G48,[1]全服BOSS!$R$28:$AV$28,0))</f>
        <v>1|6500</v>
      </c>
    </row>
    <row r="49" spans="1:9" s="21" customFormat="1" ht="16.5" x14ac:dyDescent="0.15">
      <c r="A49" s="18">
        <v>10046</v>
      </c>
      <c r="B49" s="18">
        <v>91102</v>
      </c>
      <c r="C49" s="19">
        <v>31</v>
      </c>
      <c r="D49" s="20" t="s">
        <v>433</v>
      </c>
      <c r="E49" s="19" t="s">
        <v>104</v>
      </c>
      <c r="F49" s="26">
        <v>59016</v>
      </c>
      <c r="G49" s="21">
        <v>22</v>
      </c>
      <c r="H49" s="21">
        <v>40</v>
      </c>
      <c r="I49" s="21" t="str">
        <f>"1|"&amp;INDEX([1]全服BOSS!$R$28:$AV$41,MATCH(H49,[1]全服BOSS!$R$28:$R$41,0),MATCH($G49,[1]全服BOSS!$R$28:$AV$28,0))</f>
        <v>1|7100</v>
      </c>
    </row>
    <row r="50" spans="1:9" s="21" customFormat="1" ht="16.5" x14ac:dyDescent="0.15">
      <c r="A50" s="18">
        <v>10047</v>
      </c>
      <c r="B50" s="18">
        <v>91102</v>
      </c>
      <c r="C50" s="19">
        <v>33</v>
      </c>
      <c r="D50" s="20" t="s">
        <v>434</v>
      </c>
      <c r="E50" s="19" t="s">
        <v>129</v>
      </c>
      <c r="F50" s="26">
        <v>59017</v>
      </c>
      <c r="G50" s="21">
        <v>24</v>
      </c>
      <c r="H50" s="21">
        <v>40</v>
      </c>
      <c r="I50" s="21" t="str">
        <f>"1|"&amp;INDEX([1]全服BOSS!$R$28:$AV$41,MATCH(H50,[1]全服BOSS!$R$28:$R$41,0),MATCH($G50,[1]全服BOSS!$R$28:$AV$28,0))</f>
        <v>1|7800</v>
      </c>
    </row>
    <row r="51" spans="1:9" s="21" customFormat="1" ht="16.5" x14ac:dyDescent="0.15">
      <c r="A51" s="18">
        <v>10048</v>
      </c>
      <c r="B51" s="18">
        <v>91102</v>
      </c>
      <c r="C51" s="19">
        <v>35</v>
      </c>
      <c r="D51" s="20" t="s">
        <v>419</v>
      </c>
      <c r="E51" s="19" t="s">
        <v>180</v>
      </c>
      <c r="F51" s="26">
        <v>59018</v>
      </c>
      <c r="G51" s="21">
        <v>26</v>
      </c>
      <c r="H51" s="21">
        <v>40</v>
      </c>
      <c r="I51" s="21" t="str">
        <f>"1|"&amp;INDEX([1]全服BOSS!$R$28:$AV$41,MATCH(H51,[1]全服BOSS!$R$28:$R$41,0),MATCH($G51,[1]全服BOSS!$R$28:$AV$28,0))</f>
        <v>1|8400</v>
      </c>
    </row>
    <row r="52" spans="1:9" s="21" customFormat="1" ht="16.5" x14ac:dyDescent="0.15">
      <c r="A52" s="18">
        <v>10049</v>
      </c>
      <c r="B52" s="18">
        <v>91102</v>
      </c>
      <c r="C52" s="19">
        <v>37</v>
      </c>
      <c r="D52" s="20" t="s">
        <v>435</v>
      </c>
      <c r="E52" s="19" t="s">
        <v>189</v>
      </c>
      <c r="F52" s="26">
        <v>59019</v>
      </c>
      <c r="G52" s="21">
        <v>28</v>
      </c>
      <c r="H52" s="21">
        <v>40</v>
      </c>
      <c r="I52" s="21" t="str">
        <f>"1|"&amp;INDEX([1]全服BOSS!$R$28:$AV$41,MATCH(H52,[1]全服BOSS!$R$28:$R$41,0),MATCH($G52,[1]全服BOSS!$R$28:$AV$28,0))</f>
        <v>1|9100</v>
      </c>
    </row>
    <row r="53" spans="1:9" s="21" customFormat="1" ht="16.5" x14ac:dyDescent="0.15">
      <c r="A53" s="18">
        <v>10050</v>
      </c>
      <c r="B53" s="18">
        <v>91102</v>
      </c>
      <c r="C53" s="19">
        <v>39</v>
      </c>
      <c r="D53" s="20" t="s">
        <v>436</v>
      </c>
      <c r="E53" s="19" t="s">
        <v>158</v>
      </c>
      <c r="F53" s="26">
        <v>59020</v>
      </c>
      <c r="G53" s="21">
        <v>30</v>
      </c>
      <c r="H53" s="21">
        <v>40</v>
      </c>
      <c r="I53" s="21" t="str">
        <f>"1|"&amp;INDEX([1]全服BOSS!$R$28:$AV$41,MATCH(H53,[1]全服BOSS!$R$28:$R$41,0),MATCH($G53,[1]全服BOSS!$R$28:$AV$28,0))</f>
        <v>1|9700</v>
      </c>
    </row>
    <row r="54" spans="1:9" s="21" customFormat="1" ht="16.5" x14ac:dyDescent="0.15">
      <c r="A54" s="18">
        <v>10051</v>
      </c>
      <c r="B54" s="18">
        <v>91102</v>
      </c>
      <c r="C54" s="19">
        <v>41</v>
      </c>
      <c r="D54" s="20" t="s">
        <v>437</v>
      </c>
      <c r="E54" s="19" t="s">
        <v>190</v>
      </c>
      <c r="F54" s="26">
        <v>59021</v>
      </c>
      <c r="G54" s="21">
        <v>32</v>
      </c>
      <c r="H54" s="21">
        <v>40</v>
      </c>
      <c r="I54" s="21" t="str">
        <f>"1|"&amp;INDEX([1]全服BOSS!$R$28:$AV$41,MATCH(H54,[1]全服BOSS!$R$28:$R$41,0),MATCH($G54,[1]全服BOSS!$R$28:$AV$28,0))</f>
        <v>1|10400</v>
      </c>
    </row>
    <row r="55" spans="1:9" s="21" customFormat="1" ht="16.5" x14ac:dyDescent="0.15">
      <c r="A55" s="18">
        <v>10052</v>
      </c>
      <c r="B55" s="18">
        <v>91102</v>
      </c>
      <c r="C55" s="19">
        <v>43</v>
      </c>
      <c r="D55" s="20" t="s">
        <v>438</v>
      </c>
      <c r="E55" s="19" t="s">
        <v>191</v>
      </c>
      <c r="F55" s="26">
        <v>59022</v>
      </c>
      <c r="G55" s="21">
        <v>34</v>
      </c>
      <c r="H55" s="21">
        <v>40</v>
      </c>
      <c r="I55" s="21" t="str">
        <f>"1|"&amp;INDEX([1]全服BOSS!$R$28:$AV$41,MATCH(H55,[1]全服BOSS!$R$28:$R$41,0),MATCH($G55,[1]全服BOSS!$R$28:$AV$28,0))</f>
        <v>1|11000</v>
      </c>
    </row>
    <row r="56" spans="1:9" s="21" customFormat="1" ht="16.5" x14ac:dyDescent="0.15">
      <c r="A56" s="18">
        <v>10053</v>
      </c>
      <c r="B56" s="18">
        <v>91102</v>
      </c>
      <c r="C56" s="19">
        <v>45</v>
      </c>
      <c r="D56" s="20" t="s">
        <v>439</v>
      </c>
      <c r="E56" s="19" t="s">
        <v>94</v>
      </c>
      <c r="F56" s="26">
        <v>59023</v>
      </c>
      <c r="G56" s="21">
        <v>36</v>
      </c>
      <c r="H56" s="21">
        <v>40</v>
      </c>
      <c r="I56" s="21" t="str">
        <f>"1|"&amp;INDEX([1]全服BOSS!$R$28:$AV$41,MATCH(H56,[1]全服BOSS!$R$28:$R$41,0),MATCH($G56,[1]全服BOSS!$R$28:$AV$28,0))</f>
        <v>1|11600</v>
      </c>
    </row>
    <row r="57" spans="1:9" s="21" customFormat="1" ht="16.5" x14ac:dyDescent="0.15">
      <c r="A57" s="18">
        <v>10054</v>
      </c>
      <c r="B57" s="18">
        <v>91102</v>
      </c>
      <c r="C57" s="19">
        <v>47</v>
      </c>
      <c r="D57" s="20" t="s">
        <v>440</v>
      </c>
      <c r="E57" s="19" t="s">
        <v>95</v>
      </c>
      <c r="F57" s="26">
        <v>59024</v>
      </c>
      <c r="G57" s="21">
        <v>38</v>
      </c>
      <c r="H57" s="21">
        <v>40</v>
      </c>
      <c r="I57" s="21" t="str">
        <f>"1|"&amp;INDEX([1]全服BOSS!$R$28:$AV$41,MATCH(H57,[1]全服BOSS!$R$28:$R$41,0),MATCH($G57,[1]全服BOSS!$R$28:$AV$28,0))</f>
        <v>1|12300</v>
      </c>
    </row>
    <row r="58" spans="1:9" s="21" customFormat="1" ht="16.5" x14ac:dyDescent="0.15">
      <c r="A58" s="18">
        <v>10055</v>
      </c>
      <c r="B58" s="18">
        <v>91102</v>
      </c>
      <c r="C58" s="19">
        <v>49</v>
      </c>
      <c r="D58" s="20" t="s">
        <v>441</v>
      </c>
      <c r="E58" s="19" t="s">
        <v>96</v>
      </c>
      <c r="F58" s="26">
        <v>59025</v>
      </c>
      <c r="G58" s="21">
        <v>40</v>
      </c>
      <c r="H58" s="21">
        <v>40</v>
      </c>
      <c r="I58" s="21" t="str">
        <f>"1|"&amp;INDEX([1]全服BOSS!$R$28:$AV$41,MATCH(H58,[1]全服BOSS!$R$28:$R$41,0),MATCH($G58,[1]全服BOSS!$R$28:$AV$28,0))</f>
        <v>1|12900</v>
      </c>
    </row>
    <row r="59" spans="1:9" s="21" customFormat="1" ht="16.5" x14ac:dyDescent="0.15">
      <c r="A59" s="18">
        <v>10056</v>
      </c>
      <c r="B59" s="18">
        <v>91102</v>
      </c>
      <c r="C59" s="19">
        <v>51</v>
      </c>
      <c r="D59" s="20" t="s">
        <v>442</v>
      </c>
      <c r="E59" s="19" t="s">
        <v>97</v>
      </c>
      <c r="F59" s="26">
        <v>59026</v>
      </c>
      <c r="G59" s="21">
        <v>42</v>
      </c>
      <c r="H59" s="21">
        <v>40</v>
      </c>
      <c r="I59" s="21" t="str">
        <f>"1|"&amp;INDEX([1]全服BOSS!$R$28:$AV$41,MATCH(H59,[1]全服BOSS!$R$28:$R$41,0),MATCH($G59,[1]全服BOSS!$R$28:$AV$28,0))</f>
        <v>1|13600</v>
      </c>
    </row>
    <row r="60" spans="1:9" s="21" customFormat="1" ht="16.5" x14ac:dyDescent="0.15">
      <c r="A60" s="18">
        <v>10057</v>
      </c>
      <c r="B60" s="18">
        <v>91102</v>
      </c>
      <c r="C60" s="19">
        <v>53</v>
      </c>
      <c r="D60" s="20" t="s">
        <v>443</v>
      </c>
      <c r="E60" s="19" t="s">
        <v>107</v>
      </c>
      <c r="F60" s="26">
        <v>59027</v>
      </c>
      <c r="G60" s="21">
        <v>44</v>
      </c>
      <c r="H60" s="21">
        <v>40</v>
      </c>
      <c r="I60" s="21" t="str">
        <f>"1|"&amp;INDEX([1]全服BOSS!$R$28:$AV$41,MATCH(H60,[1]全服BOSS!$R$28:$R$41,0),MATCH($G60,[1]全服BOSS!$R$28:$AV$28,0))</f>
        <v>1|14200</v>
      </c>
    </row>
    <row r="61" spans="1:9" s="21" customFormat="1" ht="16.5" x14ac:dyDescent="0.15">
      <c r="A61" s="18">
        <v>10058</v>
      </c>
      <c r="B61" s="18">
        <v>91102</v>
      </c>
      <c r="C61" s="19">
        <v>55</v>
      </c>
      <c r="D61" s="20" t="s">
        <v>444</v>
      </c>
      <c r="E61" s="19" t="s">
        <v>192</v>
      </c>
      <c r="F61" s="26">
        <v>59028</v>
      </c>
      <c r="G61" s="21">
        <v>46</v>
      </c>
      <c r="H61" s="21">
        <v>40</v>
      </c>
      <c r="I61" s="21" t="str">
        <f>"1|"&amp;INDEX([1]全服BOSS!$R$28:$AV$41,MATCH(H61,[1]全服BOSS!$R$28:$R$41,0),MATCH($G61,[1]全服BOSS!$R$28:$AV$28,0))</f>
        <v>1|14900</v>
      </c>
    </row>
    <row r="62" spans="1:9" s="21" customFormat="1" ht="16.5" x14ac:dyDescent="0.15">
      <c r="A62" s="18">
        <v>10059</v>
      </c>
      <c r="B62" s="18">
        <v>91102</v>
      </c>
      <c r="C62" s="19">
        <v>57</v>
      </c>
      <c r="D62" s="20" t="s">
        <v>445</v>
      </c>
      <c r="E62" s="19" t="s">
        <v>156</v>
      </c>
      <c r="F62" s="26">
        <v>59029</v>
      </c>
      <c r="G62" s="21">
        <v>48</v>
      </c>
      <c r="H62" s="21">
        <v>40</v>
      </c>
      <c r="I62" s="21" t="str">
        <f>"1|"&amp;INDEX([1]全服BOSS!$R$28:$AV$41,MATCH(H62,[1]全服BOSS!$R$28:$R$41,0),MATCH($G62,[1]全服BOSS!$R$28:$AV$28,0))</f>
        <v>1|15500</v>
      </c>
    </row>
    <row r="63" spans="1:9" s="21" customFormat="1" ht="16.5" x14ac:dyDescent="0.15">
      <c r="A63" s="18">
        <v>10060</v>
      </c>
      <c r="B63" s="18">
        <v>91102</v>
      </c>
      <c r="C63" s="19">
        <v>59</v>
      </c>
      <c r="D63" s="20" t="s">
        <v>446</v>
      </c>
      <c r="E63" s="19" t="s">
        <v>150</v>
      </c>
      <c r="F63" s="26">
        <v>59030</v>
      </c>
      <c r="G63" s="21">
        <v>50</v>
      </c>
      <c r="H63" s="21">
        <v>40</v>
      </c>
      <c r="I63" s="21" t="str">
        <f>"1|"&amp;INDEX([1]全服BOSS!$R$28:$AV$41,MATCH(H63,[1]全服BOSS!$R$28:$R$41,0),MATCH($G63,[1]全服BOSS!$R$28:$AV$28,0))</f>
        <v>1|16200</v>
      </c>
    </row>
    <row r="64" spans="1:9" ht="16.5" x14ac:dyDescent="0.15">
      <c r="A64" s="2">
        <v>10061</v>
      </c>
      <c r="B64" s="2">
        <v>91103</v>
      </c>
      <c r="C64" s="10">
        <v>1</v>
      </c>
      <c r="D64" s="14" t="s">
        <v>447</v>
      </c>
      <c r="E64" s="10" t="s">
        <v>193</v>
      </c>
      <c r="F64" s="24">
        <v>59001</v>
      </c>
      <c r="G64">
        <v>1</v>
      </c>
      <c r="H64">
        <f>H34+10</f>
        <v>50</v>
      </c>
      <c r="I64" t="str">
        <f>"1|"&amp;INDEX([1]全服BOSS!$R$28:$AV$41,MATCH(H64,[1]全服BOSS!$R$28:$R$41,0),MATCH($G64,[1]全服BOSS!$R$28:$AV$28,0))</f>
        <v>1|560</v>
      </c>
    </row>
    <row r="65" spans="1:9" ht="16.5" x14ac:dyDescent="0.15">
      <c r="A65" s="2">
        <v>10062</v>
      </c>
      <c r="B65" s="2">
        <v>91103</v>
      </c>
      <c r="C65" s="10">
        <v>3</v>
      </c>
      <c r="D65" s="14" t="s">
        <v>448</v>
      </c>
      <c r="E65" s="10" t="s">
        <v>125</v>
      </c>
      <c r="F65" s="24">
        <v>59002</v>
      </c>
      <c r="G65">
        <v>2</v>
      </c>
      <c r="H65">
        <f t="shared" ref="H65:H128" si="0">H35+10</f>
        <v>50</v>
      </c>
      <c r="I65" t="str">
        <f>"1|"&amp;INDEX([1]全服BOSS!$R$28:$AV$41,MATCH(H65,[1]全服BOSS!$R$28:$R$41,0),MATCH($G65,[1]全服BOSS!$R$28:$AV$28,0))</f>
        <v>1|1100</v>
      </c>
    </row>
    <row r="66" spans="1:9" ht="16.5" x14ac:dyDescent="0.15">
      <c r="A66" s="2">
        <v>10063</v>
      </c>
      <c r="B66" s="2">
        <v>91103</v>
      </c>
      <c r="C66" s="10">
        <v>5</v>
      </c>
      <c r="D66" s="14" t="s">
        <v>401</v>
      </c>
      <c r="E66" s="10" t="s">
        <v>86</v>
      </c>
      <c r="F66" s="24">
        <v>59003</v>
      </c>
      <c r="G66">
        <v>3</v>
      </c>
      <c r="H66">
        <f t="shared" si="0"/>
        <v>50</v>
      </c>
      <c r="I66" t="str">
        <f>"1|"&amp;INDEX([1]全服BOSS!$R$28:$AV$41,MATCH(H66,[1]全服BOSS!$R$28:$R$41,0),MATCH($G66,[1]全服BOSS!$R$28:$AV$28,0))</f>
        <v>1|1700</v>
      </c>
    </row>
    <row r="67" spans="1:9" ht="16.5" x14ac:dyDescent="0.15">
      <c r="A67" s="2">
        <v>10064</v>
      </c>
      <c r="B67" s="2">
        <v>91103</v>
      </c>
      <c r="C67" s="10">
        <v>7</v>
      </c>
      <c r="D67" s="14" t="s">
        <v>449</v>
      </c>
      <c r="E67" s="10" t="s">
        <v>126</v>
      </c>
      <c r="F67" s="24">
        <v>59004</v>
      </c>
      <c r="G67">
        <v>4</v>
      </c>
      <c r="H67">
        <f t="shared" si="0"/>
        <v>50</v>
      </c>
      <c r="I67" t="str">
        <f>"1|"&amp;INDEX([1]全服BOSS!$R$28:$AV$41,MATCH(H67,[1]全服BOSS!$R$28:$R$41,0),MATCH($G67,[1]全服BOSS!$R$28:$AV$28,0))</f>
        <v>1|2200</v>
      </c>
    </row>
    <row r="68" spans="1:9" ht="16.5" x14ac:dyDescent="0.15">
      <c r="A68" s="2">
        <v>10065</v>
      </c>
      <c r="B68" s="2">
        <v>91103</v>
      </c>
      <c r="C68" s="10">
        <v>9</v>
      </c>
      <c r="D68" s="14" t="s">
        <v>450</v>
      </c>
      <c r="E68" s="10" t="s">
        <v>140</v>
      </c>
      <c r="F68" s="24">
        <v>59005</v>
      </c>
      <c r="G68">
        <v>5</v>
      </c>
      <c r="H68">
        <f t="shared" si="0"/>
        <v>50</v>
      </c>
      <c r="I68" t="str">
        <f>"1|"&amp;INDEX([1]全服BOSS!$R$28:$AV$41,MATCH(H68,[1]全服BOSS!$R$28:$R$41,0),MATCH($G68,[1]全服BOSS!$R$28:$AV$28,0))</f>
        <v>1|2800</v>
      </c>
    </row>
    <row r="69" spans="1:9" ht="16.5" x14ac:dyDescent="0.15">
      <c r="A69" s="2">
        <v>10066</v>
      </c>
      <c r="B69" s="2">
        <v>91103</v>
      </c>
      <c r="C69" s="10">
        <v>11</v>
      </c>
      <c r="D69" s="14" t="s">
        <v>451</v>
      </c>
      <c r="E69" s="10" t="s">
        <v>89</v>
      </c>
      <c r="F69" s="24">
        <v>59006</v>
      </c>
      <c r="G69">
        <v>6</v>
      </c>
      <c r="H69">
        <f t="shared" si="0"/>
        <v>50</v>
      </c>
      <c r="I69" t="str">
        <f>"1|"&amp;INDEX([1]全服BOSS!$R$28:$AV$41,MATCH(H69,[1]全服BOSS!$R$28:$R$41,0),MATCH($G69,[1]全服BOSS!$R$28:$AV$28,0))</f>
        <v>1|3400</v>
      </c>
    </row>
    <row r="70" spans="1:9" ht="16.5" x14ac:dyDescent="0.15">
      <c r="A70" s="2">
        <v>10067</v>
      </c>
      <c r="B70" s="2">
        <v>91103</v>
      </c>
      <c r="C70" s="10">
        <v>13</v>
      </c>
      <c r="D70" s="14" t="s">
        <v>430</v>
      </c>
      <c r="E70" s="10" t="s">
        <v>155</v>
      </c>
      <c r="F70" s="24">
        <v>59007</v>
      </c>
      <c r="G70">
        <v>7</v>
      </c>
      <c r="H70">
        <f t="shared" si="0"/>
        <v>50</v>
      </c>
      <c r="I70" t="str">
        <f>"1|"&amp;INDEX([1]全服BOSS!$R$28:$AV$41,MATCH(H70,[1]全服BOSS!$R$28:$R$41,0),MATCH($G70,[1]全服BOSS!$R$28:$AV$28,0))</f>
        <v>1|3900</v>
      </c>
    </row>
    <row r="71" spans="1:9" ht="16.5" x14ac:dyDescent="0.15">
      <c r="A71" s="2">
        <v>10068</v>
      </c>
      <c r="B71" s="2">
        <v>91103</v>
      </c>
      <c r="C71" s="10">
        <v>15</v>
      </c>
      <c r="D71" s="14" t="s">
        <v>431</v>
      </c>
      <c r="E71" s="10" t="s">
        <v>75</v>
      </c>
      <c r="F71" s="24">
        <v>59008</v>
      </c>
      <c r="G71">
        <v>8</v>
      </c>
      <c r="H71">
        <f t="shared" si="0"/>
        <v>50</v>
      </c>
      <c r="I71" t="str">
        <f>"1|"&amp;INDEX([1]全服BOSS!$R$28:$AV$41,MATCH(H71,[1]全服BOSS!$R$28:$R$41,0),MATCH($G71,[1]全服BOSS!$R$28:$AV$28,0))</f>
        <v>1|4500</v>
      </c>
    </row>
    <row r="72" spans="1:9" ht="16.5" x14ac:dyDescent="0.15">
      <c r="A72" s="2">
        <v>10069</v>
      </c>
      <c r="B72" s="2">
        <v>91103</v>
      </c>
      <c r="C72" s="10">
        <v>17</v>
      </c>
      <c r="D72" s="14" t="s">
        <v>452</v>
      </c>
      <c r="E72" s="10" t="s">
        <v>194</v>
      </c>
      <c r="F72" s="24">
        <v>59009</v>
      </c>
      <c r="G72">
        <v>9</v>
      </c>
      <c r="H72">
        <f t="shared" si="0"/>
        <v>50</v>
      </c>
      <c r="I72" t="str">
        <f>"1|"&amp;INDEX([1]全服BOSS!$R$28:$AV$41,MATCH(H72,[1]全服BOSS!$R$28:$R$41,0),MATCH($G72,[1]全服BOSS!$R$28:$AV$28,0))</f>
        <v>1|5100</v>
      </c>
    </row>
    <row r="73" spans="1:9" ht="16.5" x14ac:dyDescent="0.15">
      <c r="A73" s="2">
        <v>10070</v>
      </c>
      <c r="B73" s="2">
        <v>91103</v>
      </c>
      <c r="C73" s="10">
        <v>19</v>
      </c>
      <c r="D73" s="14" t="s">
        <v>453</v>
      </c>
      <c r="E73" s="10" t="s">
        <v>127</v>
      </c>
      <c r="F73" s="24">
        <v>59010</v>
      </c>
      <c r="G73">
        <v>10</v>
      </c>
      <c r="H73">
        <f t="shared" si="0"/>
        <v>50</v>
      </c>
      <c r="I73" t="str">
        <f>"1|"&amp;INDEX([1]全服BOSS!$R$28:$AV$41,MATCH(H73,[1]全服BOSS!$R$28:$R$41,0),MATCH($G73,[1]全服BOSS!$R$28:$AV$28,0))</f>
        <v>1|5600</v>
      </c>
    </row>
    <row r="74" spans="1:9" ht="16.5" x14ac:dyDescent="0.15">
      <c r="A74" s="2">
        <v>10071</v>
      </c>
      <c r="B74" s="2">
        <v>91103</v>
      </c>
      <c r="C74" s="10">
        <v>21</v>
      </c>
      <c r="D74" s="14" t="s">
        <v>454</v>
      </c>
      <c r="E74" s="10" t="s">
        <v>128</v>
      </c>
      <c r="F74" s="24">
        <v>59011</v>
      </c>
      <c r="G74">
        <v>12</v>
      </c>
      <c r="H74">
        <f t="shared" si="0"/>
        <v>50</v>
      </c>
      <c r="I74" t="str">
        <f>"1|"&amp;INDEX([1]全服BOSS!$R$28:$AV$41,MATCH(H74,[1]全服BOSS!$R$28:$R$41,0),MATCH($G74,[1]全服BOSS!$R$28:$AV$28,0))</f>
        <v>1|6700</v>
      </c>
    </row>
    <row r="75" spans="1:9" ht="16.5" x14ac:dyDescent="0.15">
      <c r="A75" s="2">
        <v>10072</v>
      </c>
      <c r="B75" s="2">
        <v>91103</v>
      </c>
      <c r="C75" s="10">
        <v>23</v>
      </c>
      <c r="D75" s="14" t="s">
        <v>455</v>
      </c>
      <c r="E75" s="10" t="s">
        <v>195</v>
      </c>
      <c r="F75" s="24">
        <v>59012</v>
      </c>
      <c r="G75">
        <v>14</v>
      </c>
      <c r="H75">
        <f t="shared" si="0"/>
        <v>50</v>
      </c>
      <c r="I75" t="str">
        <f>"1|"&amp;INDEX([1]全服BOSS!$R$28:$AV$41,MATCH(H75,[1]全服BOSS!$R$28:$R$41,0),MATCH($G75,[1]全服BOSS!$R$28:$AV$28,0))</f>
        <v>1|7900</v>
      </c>
    </row>
    <row r="76" spans="1:9" ht="16.5" x14ac:dyDescent="0.15">
      <c r="A76" s="2">
        <v>10073</v>
      </c>
      <c r="B76" s="2">
        <v>91103</v>
      </c>
      <c r="C76" s="10">
        <v>25</v>
      </c>
      <c r="D76" s="14" t="s">
        <v>456</v>
      </c>
      <c r="E76" s="10" t="s">
        <v>84</v>
      </c>
      <c r="F76" s="24">
        <v>59013</v>
      </c>
      <c r="G76">
        <v>16</v>
      </c>
      <c r="H76">
        <f t="shared" si="0"/>
        <v>50</v>
      </c>
      <c r="I76" t="str">
        <f>"1|"&amp;INDEX([1]全服BOSS!$R$28:$AV$41,MATCH(H76,[1]全服BOSS!$R$28:$R$41,0),MATCH($G76,[1]全服BOSS!$R$28:$AV$28,0))</f>
        <v>1|9000</v>
      </c>
    </row>
    <row r="77" spans="1:9" ht="16.5" x14ac:dyDescent="0.15">
      <c r="A77" s="2">
        <v>10074</v>
      </c>
      <c r="B77" s="2">
        <v>91103</v>
      </c>
      <c r="C77" s="10">
        <v>27</v>
      </c>
      <c r="D77" s="14" t="s">
        <v>457</v>
      </c>
      <c r="E77" s="10" t="s">
        <v>130</v>
      </c>
      <c r="F77" s="24">
        <v>59014</v>
      </c>
      <c r="G77">
        <v>18</v>
      </c>
      <c r="H77">
        <f t="shared" si="0"/>
        <v>50</v>
      </c>
      <c r="I77" t="str">
        <f>"1|"&amp;INDEX([1]全服BOSS!$R$28:$AV$41,MATCH(H77,[1]全服BOSS!$R$28:$R$41,0),MATCH($G77,[1]全服BOSS!$R$28:$AV$28,0))</f>
        <v>1|10100</v>
      </c>
    </row>
    <row r="78" spans="1:9" ht="16.5" x14ac:dyDescent="0.15">
      <c r="A78" s="2">
        <v>10075</v>
      </c>
      <c r="B78" s="2">
        <v>91103</v>
      </c>
      <c r="C78" s="10">
        <v>29</v>
      </c>
      <c r="D78" s="14" t="s">
        <v>458</v>
      </c>
      <c r="E78" s="10" t="s">
        <v>131</v>
      </c>
      <c r="F78" s="24">
        <v>59015</v>
      </c>
      <c r="G78">
        <v>20</v>
      </c>
      <c r="H78">
        <f t="shared" si="0"/>
        <v>50</v>
      </c>
      <c r="I78" t="str">
        <f>"1|"&amp;INDEX([1]全服BOSS!$R$28:$AV$41,MATCH(H78,[1]全服BOSS!$R$28:$R$41,0),MATCH($G78,[1]全服BOSS!$R$28:$AV$28,0))</f>
        <v>1|11200</v>
      </c>
    </row>
    <row r="79" spans="1:9" ht="16.5" x14ac:dyDescent="0.15">
      <c r="A79" s="2">
        <v>10076</v>
      </c>
      <c r="B79" s="2">
        <v>91103</v>
      </c>
      <c r="C79" s="10">
        <v>31</v>
      </c>
      <c r="D79" s="14" t="s">
        <v>440</v>
      </c>
      <c r="E79" s="10" t="s">
        <v>95</v>
      </c>
      <c r="F79" s="24">
        <v>59016</v>
      </c>
      <c r="G79">
        <v>22</v>
      </c>
      <c r="H79">
        <f t="shared" si="0"/>
        <v>50</v>
      </c>
      <c r="I79" t="str">
        <f>"1|"&amp;INDEX([1]全服BOSS!$R$28:$AV$41,MATCH(H79,[1]全服BOSS!$R$28:$R$41,0),MATCH($G79,[1]全服BOSS!$R$28:$AV$28,0))</f>
        <v>1|12300</v>
      </c>
    </row>
    <row r="80" spans="1:9" ht="16.5" x14ac:dyDescent="0.15">
      <c r="A80" s="2">
        <v>10077</v>
      </c>
      <c r="B80" s="2">
        <v>91103</v>
      </c>
      <c r="C80" s="10">
        <v>33</v>
      </c>
      <c r="D80" s="14" t="s">
        <v>459</v>
      </c>
      <c r="E80" s="10" t="s">
        <v>196</v>
      </c>
      <c r="F80" s="24">
        <v>59017</v>
      </c>
      <c r="G80">
        <v>24</v>
      </c>
      <c r="H80">
        <f t="shared" si="0"/>
        <v>50</v>
      </c>
      <c r="I80" t="str">
        <f>"1|"&amp;INDEX([1]全服BOSS!$R$28:$AV$41,MATCH(H80,[1]全服BOSS!$R$28:$R$41,0),MATCH($G80,[1]全服BOSS!$R$28:$AV$28,0))</f>
        <v>1|13500</v>
      </c>
    </row>
    <row r="81" spans="1:9" ht="16.5" x14ac:dyDescent="0.15">
      <c r="A81" s="2">
        <v>10078</v>
      </c>
      <c r="B81" s="2">
        <v>91103</v>
      </c>
      <c r="C81" s="10">
        <v>35</v>
      </c>
      <c r="D81" s="14" t="s">
        <v>460</v>
      </c>
      <c r="E81" s="10" t="s">
        <v>159</v>
      </c>
      <c r="F81" s="24">
        <v>59018</v>
      </c>
      <c r="G81">
        <v>26</v>
      </c>
      <c r="H81">
        <f t="shared" si="0"/>
        <v>50</v>
      </c>
      <c r="I81" t="str">
        <f>"1|"&amp;INDEX([1]全服BOSS!$R$28:$AV$41,MATCH(H81,[1]全服BOSS!$R$28:$R$41,0),MATCH($G81,[1]全服BOSS!$R$28:$AV$28,0))</f>
        <v>1|14600</v>
      </c>
    </row>
    <row r="82" spans="1:9" ht="16.5" x14ac:dyDescent="0.15">
      <c r="A82" s="2">
        <v>10079</v>
      </c>
      <c r="B82" s="2">
        <v>91103</v>
      </c>
      <c r="C82" s="10">
        <v>37</v>
      </c>
      <c r="D82" s="14" t="s">
        <v>461</v>
      </c>
      <c r="E82" s="10" t="s">
        <v>98</v>
      </c>
      <c r="F82" s="24">
        <v>59019</v>
      </c>
      <c r="G82">
        <v>28</v>
      </c>
      <c r="H82">
        <f t="shared" si="0"/>
        <v>50</v>
      </c>
      <c r="I82" t="str">
        <f>"1|"&amp;INDEX([1]全服BOSS!$R$28:$AV$41,MATCH(H82,[1]全服BOSS!$R$28:$R$41,0),MATCH($G82,[1]全服BOSS!$R$28:$AV$28,0))</f>
        <v>1|15700</v>
      </c>
    </row>
    <row r="83" spans="1:9" ht="16.5" x14ac:dyDescent="0.15">
      <c r="A83" s="2">
        <v>10080</v>
      </c>
      <c r="B83" s="2">
        <v>91103</v>
      </c>
      <c r="C83" s="10">
        <v>39</v>
      </c>
      <c r="D83" s="14" t="s">
        <v>462</v>
      </c>
      <c r="E83" s="10" t="s">
        <v>197</v>
      </c>
      <c r="F83" s="24">
        <v>59020</v>
      </c>
      <c r="G83">
        <v>30</v>
      </c>
      <c r="H83">
        <f t="shared" si="0"/>
        <v>50</v>
      </c>
      <c r="I83" t="str">
        <f>"1|"&amp;INDEX([1]全服BOSS!$R$28:$AV$41,MATCH(H83,[1]全服BOSS!$R$28:$R$41,0),MATCH($G83,[1]全服BOSS!$R$28:$AV$28,0))</f>
        <v>1|16800</v>
      </c>
    </row>
    <row r="84" spans="1:9" ht="16.5" x14ac:dyDescent="0.15">
      <c r="A84" s="2">
        <v>10081</v>
      </c>
      <c r="B84" s="2">
        <v>91103</v>
      </c>
      <c r="C84" s="10">
        <v>41</v>
      </c>
      <c r="D84" s="14" t="s">
        <v>463</v>
      </c>
      <c r="E84" s="10" t="s">
        <v>151</v>
      </c>
      <c r="F84" s="24">
        <v>59021</v>
      </c>
      <c r="G84">
        <v>32</v>
      </c>
      <c r="H84">
        <f t="shared" si="0"/>
        <v>50</v>
      </c>
      <c r="I84" t="str">
        <f>"1|"&amp;INDEX([1]全服BOSS!$R$28:$AV$41,MATCH(H84,[1]全服BOSS!$R$28:$R$41,0),MATCH($G84,[1]全服BOSS!$R$28:$AV$28,0))</f>
        <v>1|18000</v>
      </c>
    </row>
    <row r="85" spans="1:9" ht="16.5" x14ac:dyDescent="0.15">
      <c r="A85" s="2">
        <v>10082</v>
      </c>
      <c r="B85" s="2">
        <v>91103</v>
      </c>
      <c r="C85" s="10">
        <v>43</v>
      </c>
      <c r="D85" s="14" t="s">
        <v>464</v>
      </c>
      <c r="E85" s="10" t="s">
        <v>198</v>
      </c>
      <c r="F85" s="24">
        <v>59022</v>
      </c>
      <c r="G85">
        <v>34</v>
      </c>
      <c r="H85">
        <f t="shared" si="0"/>
        <v>50</v>
      </c>
      <c r="I85" t="str">
        <f>"1|"&amp;INDEX([1]全服BOSS!$R$28:$AV$41,MATCH(H85,[1]全服BOSS!$R$28:$R$41,0),MATCH($G85,[1]全服BOSS!$R$28:$AV$28,0))</f>
        <v>1|19100</v>
      </c>
    </row>
    <row r="86" spans="1:9" ht="16.5" x14ac:dyDescent="0.15">
      <c r="A86" s="2">
        <v>10083</v>
      </c>
      <c r="B86" s="2">
        <v>91103</v>
      </c>
      <c r="C86" s="10">
        <v>45</v>
      </c>
      <c r="D86" s="14" t="s">
        <v>465</v>
      </c>
      <c r="E86" s="10" t="s">
        <v>108</v>
      </c>
      <c r="F86" s="24">
        <v>59023</v>
      </c>
      <c r="G86">
        <v>36</v>
      </c>
      <c r="H86">
        <f t="shared" si="0"/>
        <v>50</v>
      </c>
      <c r="I86" t="str">
        <f>"1|"&amp;INDEX([1]全服BOSS!$R$28:$AV$41,MATCH(H86,[1]全服BOSS!$R$28:$R$41,0),MATCH($G86,[1]全服BOSS!$R$28:$AV$28,0))</f>
        <v>1|20200</v>
      </c>
    </row>
    <row r="87" spans="1:9" ht="16.5" x14ac:dyDescent="0.15">
      <c r="A87" s="2">
        <v>10084</v>
      </c>
      <c r="B87" s="2">
        <v>91103</v>
      </c>
      <c r="C87" s="10">
        <v>47</v>
      </c>
      <c r="D87" s="14" t="s">
        <v>466</v>
      </c>
      <c r="E87" s="10" t="s">
        <v>166</v>
      </c>
      <c r="F87" s="24">
        <v>59024</v>
      </c>
      <c r="G87">
        <v>38</v>
      </c>
      <c r="H87">
        <f t="shared" si="0"/>
        <v>50</v>
      </c>
      <c r="I87" t="str">
        <f>"1|"&amp;INDEX([1]全服BOSS!$R$28:$AV$41,MATCH(H87,[1]全服BOSS!$R$28:$R$41,0),MATCH($G87,[1]全服BOSS!$R$28:$AV$28,0))</f>
        <v>1|21300</v>
      </c>
    </row>
    <row r="88" spans="1:9" ht="16.5" x14ac:dyDescent="0.15">
      <c r="A88" s="2">
        <v>10085</v>
      </c>
      <c r="B88" s="2">
        <v>91103</v>
      </c>
      <c r="C88" s="10">
        <v>49</v>
      </c>
      <c r="D88" s="14" t="s">
        <v>467</v>
      </c>
      <c r="E88" s="10" t="s">
        <v>133</v>
      </c>
      <c r="F88" s="24">
        <v>59025</v>
      </c>
      <c r="G88">
        <v>40</v>
      </c>
      <c r="H88">
        <f t="shared" si="0"/>
        <v>50</v>
      </c>
      <c r="I88" t="str">
        <f>"1|"&amp;INDEX([1]全服BOSS!$R$28:$AV$41,MATCH(H88,[1]全服BOSS!$R$28:$R$41,0),MATCH($G88,[1]全服BOSS!$R$28:$AV$28,0))</f>
        <v>1|22400</v>
      </c>
    </row>
    <row r="89" spans="1:9" ht="16.5" x14ac:dyDescent="0.15">
      <c r="A89" s="2">
        <v>10086</v>
      </c>
      <c r="B89" s="2">
        <v>91103</v>
      </c>
      <c r="C89" s="10">
        <v>51</v>
      </c>
      <c r="D89" s="14" t="s">
        <v>468</v>
      </c>
      <c r="E89" s="10" t="s">
        <v>199</v>
      </c>
      <c r="F89" s="24">
        <v>59026</v>
      </c>
      <c r="G89">
        <v>42</v>
      </c>
      <c r="H89">
        <f t="shared" si="0"/>
        <v>50</v>
      </c>
      <c r="I89" t="str">
        <f>"1|"&amp;INDEX([1]全服BOSS!$R$28:$AV$41,MATCH(H89,[1]全服BOSS!$R$28:$R$41,0),MATCH($G89,[1]全服BOSS!$R$28:$AV$28,0))</f>
        <v>1|23600</v>
      </c>
    </row>
    <row r="90" spans="1:9" ht="16.5" x14ac:dyDescent="0.15">
      <c r="A90" s="2">
        <v>10087</v>
      </c>
      <c r="B90" s="2">
        <v>91103</v>
      </c>
      <c r="C90" s="10">
        <v>53</v>
      </c>
      <c r="D90" s="14" t="s">
        <v>469</v>
      </c>
      <c r="E90" s="10" t="s">
        <v>134</v>
      </c>
      <c r="F90" s="24">
        <v>59027</v>
      </c>
      <c r="G90">
        <v>44</v>
      </c>
      <c r="H90">
        <f t="shared" si="0"/>
        <v>50</v>
      </c>
      <c r="I90" t="str">
        <f>"1|"&amp;INDEX([1]全服BOSS!$R$28:$AV$41,MATCH(H90,[1]全服BOSS!$R$28:$R$41,0),MATCH($G90,[1]全服BOSS!$R$28:$AV$28,0))</f>
        <v>1|24700</v>
      </c>
    </row>
    <row r="91" spans="1:9" ht="16.5" x14ac:dyDescent="0.15">
      <c r="A91" s="2">
        <v>10088</v>
      </c>
      <c r="B91" s="2">
        <v>91103</v>
      </c>
      <c r="C91" s="10">
        <v>55</v>
      </c>
      <c r="D91" s="14" t="s">
        <v>470</v>
      </c>
      <c r="E91" s="10" t="s">
        <v>200</v>
      </c>
      <c r="F91" s="24">
        <v>59028</v>
      </c>
      <c r="G91">
        <v>46</v>
      </c>
      <c r="H91">
        <f t="shared" si="0"/>
        <v>50</v>
      </c>
      <c r="I91" t="str">
        <f>"1|"&amp;INDEX([1]全服BOSS!$R$28:$AV$41,MATCH(H91,[1]全服BOSS!$R$28:$R$41,0),MATCH($G91,[1]全服BOSS!$R$28:$AV$28,0))</f>
        <v>1|25800</v>
      </c>
    </row>
    <row r="92" spans="1:9" ht="16.5" x14ac:dyDescent="0.15">
      <c r="A92" s="2">
        <v>10089</v>
      </c>
      <c r="B92" s="2">
        <v>91103</v>
      </c>
      <c r="C92" s="10">
        <v>57</v>
      </c>
      <c r="D92" s="14" t="s">
        <v>471</v>
      </c>
      <c r="E92" s="10" t="s">
        <v>135</v>
      </c>
      <c r="F92" s="24">
        <v>59029</v>
      </c>
      <c r="G92">
        <v>48</v>
      </c>
      <c r="H92">
        <f t="shared" si="0"/>
        <v>50</v>
      </c>
      <c r="I92" t="str">
        <f>"1|"&amp;INDEX([1]全服BOSS!$R$28:$AV$41,MATCH(H92,[1]全服BOSS!$R$28:$R$41,0),MATCH($G92,[1]全服BOSS!$R$28:$AV$28,0))</f>
        <v>1|26900</v>
      </c>
    </row>
    <row r="93" spans="1:9" ht="16.5" x14ac:dyDescent="0.15">
      <c r="A93" s="2">
        <v>10090</v>
      </c>
      <c r="B93" s="2">
        <v>91103</v>
      </c>
      <c r="C93" s="10">
        <v>59</v>
      </c>
      <c r="D93" s="14" t="s">
        <v>472</v>
      </c>
      <c r="E93" s="10" t="s">
        <v>201</v>
      </c>
      <c r="F93" s="24">
        <v>59030</v>
      </c>
      <c r="G93">
        <v>50</v>
      </c>
      <c r="H93">
        <f t="shared" si="0"/>
        <v>50</v>
      </c>
      <c r="I93" t="str">
        <f>"1|"&amp;INDEX([1]全服BOSS!$R$28:$AV$41,MATCH(H93,[1]全服BOSS!$R$28:$R$41,0),MATCH($G93,[1]全服BOSS!$R$28:$AV$28,0))</f>
        <v>1|28100</v>
      </c>
    </row>
    <row r="94" spans="1:9" s="21" customFormat="1" ht="16.5" x14ac:dyDescent="0.15">
      <c r="A94" s="18">
        <v>10091</v>
      </c>
      <c r="B94" s="18">
        <v>91104</v>
      </c>
      <c r="C94" s="19">
        <v>1</v>
      </c>
      <c r="D94" s="20" t="s">
        <v>473</v>
      </c>
      <c r="E94" s="19" t="s">
        <v>202</v>
      </c>
      <c r="F94" s="26">
        <v>59001</v>
      </c>
      <c r="G94" s="21">
        <v>1</v>
      </c>
      <c r="H94" s="21">
        <f t="shared" si="0"/>
        <v>60</v>
      </c>
      <c r="I94" s="21" t="str">
        <f>"1|"&amp;INDEX([1]全服BOSS!$R$28:$AV$41,MATCH(H94,[1]全服BOSS!$R$28:$R$41,0),MATCH($G94,[1]全服BOSS!$R$28:$AV$28,0))</f>
        <v>1|840</v>
      </c>
    </row>
    <row r="95" spans="1:9" s="21" customFormat="1" ht="16.5" x14ac:dyDescent="0.15">
      <c r="A95" s="18">
        <v>10092</v>
      </c>
      <c r="B95" s="18">
        <v>91104</v>
      </c>
      <c r="C95" s="19">
        <v>3</v>
      </c>
      <c r="D95" s="20" t="s">
        <v>401</v>
      </c>
      <c r="E95" s="19" t="s">
        <v>86</v>
      </c>
      <c r="F95" s="26">
        <v>59002</v>
      </c>
      <c r="G95" s="21">
        <v>2</v>
      </c>
      <c r="H95" s="21">
        <f t="shared" si="0"/>
        <v>60</v>
      </c>
      <c r="I95" s="21" t="str">
        <f>"1|"&amp;INDEX([1]全服BOSS!$R$28:$AV$41,MATCH(H95,[1]全服BOSS!$R$28:$R$41,0),MATCH($G95,[1]全服BOSS!$R$28:$AV$28,0))</f>
        <v>1|1700</v>
      </c>
    </row>
    <row r="96" spans="1:9" s="21" customFormat="1" ht="16.5" x14ac:dyDescent="0.15">
      <c r="A96" s="18">
        <v>10093</v>
      </c>
      <c r="B96" s="18">
        <v>91104</v>
      </c>
      <c r="C96" s="19">
        <v>5</v>
      </c>
      <c r="D96" s="20" t="s">
        <v>474</v>
      </c>
      <c r="E96" s="19" t="s">
        <v>203</v>
      </c>
      <c r="F96" s="26">
        <v>59003</v>
      </c>
      <c r="G96" s="21">
        <v>3</v>
      </c>
      <c r="H96" s="21">
        <f t="shared" si="0"/>
        <v>60</v>
      </c>
      <c r="I96" s="21" t="str">
        <f>"1|"&amp;INDEX([1]全服BOSS!$R$28:$AV$41,MATCH(H96,[1]全服BOSS!$R$28:$R$41,0),MATCH($G96,[1]全服BOSS!$R$28:$AV$28,0))</f>
        <v>1|2500</v>
      </c>
    </row>
    <row r="97" spans="1:9" s="21" customFormat="1" ht="16.5" x14ac:dyDescent="0.15">
      <c r="A97" s="18">
        <v>10094</v>
      </c>
      <c r="B97" s="18">
        <v>91104</v>
      </c>
      <c r="C97" s="19">
        <v>7</v>
      </c>
      <c r="D97" s="20" t="s">
        <v>451</v>
      </c>
      <c r="E97" s="19" t="s">
        <v>89</v>
      </c>
      <c r="F97" s="26">
        <v>59004</v>
      </c>
      <c r="G97" s="21">
        <v>4</v>
      </c>
      <c r="H97" s="21">
        <f t="shared" si="0"/>
        <v>60</v>
      </c>
      <c r="I97" s="21" t="str">
        <f>"1|"&amp;INDEX([1]全服BOSS!$R$28:$AV$41,MATCH(H97,[1]全服BOSS!$R$28:$R$41,0),MATCH($G97,[1]全服BOSS!$R$28:$AV$28,0))</f>
        <v>1|3400</v>
      </c>
    </row>
    <row r="98" spans="1:9" s="21" customFormat="1" ht="16.5" x14ac:dyDescent="0.15">
      <c r="A98" s="18">
        <v>10095</v>
      </c>
      <c r="B98" s="18">
        <v>91104</v>
      </c>
      <c r="C98" s="19">
        <v>9</v>
      </c>
      <c r="D98" s="20" t="s">
        <v>408</v>
      </c>
      <c r="E98" s="19" t="s">
        <v>101</v>
      </c>
      <c r="F98" s="26">
        <v>59005</v>
      </c>
      <c r="G98" s="21">
        <v>5</v>
      </c>
      <c r="H98" s="21">
        <f t="shared" si="0"/>
        <v>60</v>
      </c>
      <c r="I98" s="21" t="str">
        <f>"1|"&amp;INDEX([1]全服BOSS!$R$28:$AV$41,MATCH(H98,[1]全服BOSS!$R$28:$R$41,0),MATCH($G98,[1]全服BOSS!$R$28:$AV$28,0))</f>
        <v>1|4200</v>
      </c>
    </row>
    <row r="99" spans="1:9" s="21" customFormat="1" ht="16.5" x14ac:dyDescent="0.15">
      <c r="A99" s="18">
        <v>10096</v>
      </c>
      <c r="B99" s="18">
        <v>91104</v>
      </c>
      <c r="C99" s="19">
        <v>11</v>
      </c>
      <c r="D99" s="20" t="s">
        <v>410</v>
      </c>
      <c r="E99" s="19" t="s">
        <v>178</v>
      </c>
      <c r="F99" s="26">
        <v>59006</v>
      </c>
      <c r="G99" s="21">
        <v>6</v>
      </c>
      <c r="H99" s="21">
        <f t="shared" si="0"/>
        <v>60</v>
      </c>
      <c r="I99" s="21" t="str">
        <f>"1|"&amp;INDEX([1]全服BOSS!$R$28:$AV$41,MATCH(H99,[1]全服BOSS!$R$28:$R$41,0),MATCH($G99,[1]全服BOSS!$R$28:$AV$28,0))</f>
        <v>1|5000</v>
      </c>
    </row>
    <row r="100" spans="1:9" s="21" customFormat="1" ht="16.5" x14ac:dyDescent="0.15">
      <c r="A100" s="18">
        <v>10097</v>
      </c>
      <c r="B100" s="18">
        <v>91104</v>
      </c>
      <c r="C100" s="19">
        <v>13</v>
      </c>
      <c r="D100" s="20" t="s">
        <v>475</v>
      </c>
      <c r="E100" s="19" t="s">
        <v>103</v>
      </c>
      <c r="F100" s="26">
        <v>59007</v>
      </c>
      <c r="G100" s="21">
        <v>7</v>
      </c>
      <c r="H100" s="21">
        <f t="shared" si="0"/>
        <v>60</v>
      </c>
      <c r="I100" s="21" t="str">
        <f>"1|"&amp;INDEX([1]全服BOSS!$R$28:$AV$41,MATCH(H100,[1]全服BOSS!$R$28:$R$41,0),MATCH($G100,[1]全服BOSS!$R$28:$AV$28,0))</f>
        <v>1|5900</v>
      </c>
    </row>
    <row r="101" spans="1:9" s="21" customFormat="1" ht="16.5" x14ac:dyDescent="0.15">
      <c r="A101" s="18">
        <v>10098</v>
      </c>
      <c r="B101" s="18">
        <v>91104</v>
      </c>
      <c r="C101" s="19">
        <v>15</v>
      </c>
      <c r="D101" s="20" t="s">
        <v>454</v>
      </c>
      <c r="E101" s="19" t="s">
        <v>128</v>
      </c>
      <c r="F101" s="26">
        <v>59008</v>
      </c>
      <c r="G101" s="21">
        <v>8</v>
      </c>
      <c r="H101" s="21">
        <f t="shared" si="0"/>
        <v>60</v>
      </c>
      <c r="I101" s="21" t="str">
        <f>"1|"&amp;INDEX([1]全服BOSS!$R$28:$AV$41,MATCH(H101,[1]全服BOSS!$R$28:$R$41,0),MATCH($G101,[1]全服BOSS!$R$28:$AV$28,0))</f>
        <v>1|6700</v>
      </c>
    </row>
    <row r="102" spans="1:9" s="21" customFormat="1" ht="16.5" x14ac:dyDescent="0.15">
      <c r="A102" s="18">
        <v>10099</v>
      </c>
      <c r="B102" s="18">
        <v>91104</v>
      </c>
      <c r="C102" s="19">
        <v>17</v>
      </c>
      <c r="D102" s="20" t="s">
        <v>476</v>
      </c>
      <c r="E102" s="19" t="s">
        <v>92</v>
      </c>
      <c r="F102" s="26">
        <v>59009</v>
      </c>
      <c r="G102" s="21">
        <v>9</v>
      </c>
      <c r="H102" s="21">
        <f t="shared" si="0"/>
        <v>60</v>
      </c>
      <c r="I102" s="21" t="str">
        <f>"1|"&amp;INDEX([1]全服BOSS!$R$28:$AV$41,MATCH(H102,[1]全服BOSS!$R$28:$R$41,0),MATCH($G102,[1]全服BOSS!$R$28:$AV$28,0))</f>
        <v>1|7500</v>
      </c>
    </row>
    <row r="103" spans="1:9" s="21" customFormat="1" ht="16.5" x14ac:dyDescent="0.15">
      <c r="A103" s="18">
        <v>10100</v>
      </c>
      <c r="B103" s="18">
        <v>91104</v>
      </c>
      <c r="C103" s="19">
        <v>19</v>
      </c>
      <c r="D103" s="20" t="s">
        <v>419</v>
      </c>
      <c r="E103" s="19" t="s">
        <v>180</v>
      </c>
      <c r="F103" s="26">
        <v>59010</v>
      </c>
      <c r="G103" s="21">
        <v>10</v>
      </c>
      <c r="H103" s="21">
        <f t="shared" si="0"/>
        <v>60</v>
      </c>
      <c r="I103" s="21" t="str">
        <f>"1|"&amp;INDEX([1]全服BOSS!$R$28:$AV$41,MATCH(H103,[1]全服BOSS!$R$28:$R$41,0),MATCH($G103,[1]全服BOSS!$R$28:$AV$28,0))</f>
        <v>1|8400</v>
      </c>
    </row>
    <row r="104" spans="1:9" s="21" customFormat="1" ht="16.5" x14ac:dyDescent="0.15">
      <c r="A104" s="18">
        <v>10101</v>
      </c>
      <c r="B104" s="18">
        <v>91104</v>
      </c>
      <c r="C104" s="19">
        <v>21</v>
      </c>
      <c r="D104" s="20" t="s">
        <v>457</v>
      </c>
      <c r="E104" s="19" t="s">
        <v>130</v>
      </c>
      <c r="F104" s="26">
        <v>59011</v>
      </c>
      <c r="G104" s="21">
        <v>12</v>
      </c>
      <c r="H104" s="21">
        <f t="shared" si="0"/>
        <v>60</v>
      </c>
      <c r="I104" s="21" t="str">
        <f>"1|"&amp;INDEX([1]全服BOSS!$R$28:$AV$41,MATCH(H104,[1]全服BOSS!$R$28:$R$41,0),MATCH($G104,[1]全服BOSS!$R$28:$AV$28,0))</f>
        <v>1|10100</v>
      </c>
    </row>
    <row r="105" spans="1:9" s="21" customFormat="1" ht="16.5" x14ac:dyDescent="0.15">
      <c r="A105" s="18">
        <v>10102</v>
      </c>
      <c r="B105" s="18">
        <v>91104</v>
      </c>
      <c r="C105" s="19">
        <v>23</v>
      </c>
      <c r="D105" s="20" t="s">
        <v>477</v>
      </c>
      <c r="E105" s="19" t="s">
        <v>204</v>
      </c>
      <c r="F105" s="26">
        <v>59012</v>
      </c>
      <c r="G105" s="21">
        <v>14</v>
      </c>
      <c r="H105" s="21">
        <f t="shared" si="0"/>
        <v>60</v>
      </c>
      <c r="I105" s="21" t="str">
        <f>"1|"&amp;INDEX([1]全服BOSS!$R$28:$AV$41,MATCH(H105,[1]全服BOSS!$R$28:$R$41,0),MATCH($G105,[1]全服BOSS!$R$28:$AV$28,0))</f>
        <v>1|11700</v>
      </c>
    </row>
    <row r="106" spans="1:9" s="21" customFormat="1" ht="16.5" x14ac:dyDescent="0.15">
      <c r="A106" s="18">
        <v>10103</v>
      </c>
      <c r="B106" s="18">
        <v>91104</v>
      </c>
      <c r="C106" s="19">
        <v>25</v>
      </c>
      <c r="D106" s="20" t="s">
        <v>478</v>
      </c>
      <c r="E106" s="19" t="s">
        <v>132</v>
      </c>
      <c r="F106" s="26">
        <v>59013</v>
      </c>
      <c r="G106" s="21">
        <v>16</v>
      </c>
      <c r="H106" s="21">
        <f t="shared" si="0"/>
        <v>60</v>
      </c>
      <c r="I106" s="21" t="str">
        <f>"1|"&amp;INDEX([1]全服BOSS!$R$28:$AV$41,MATCH(H106,[1]全服BOSS!$R$28:$R$41,0),MATCH($G106,[1]全服BOSS!$R$28:$AV$28,0))</f>
        <v>1|13400</v>
      </c>
    </row>
    <row r="107" spans="1:9" s="21" customFormat="1" ht="16.5" x14ac:dyDescent="0.15">
      <c r="A107" s="18">
        <v>10104</v>
      </c>
      <c r="B107" s="18">
        <v>91104</v>
      </c>
      <c r="C107" s="19">
        <v>27</v>
      </c>
      <c r="D107" s="20" t="s">
        <v>479</v>
      </c>
      <c r="E107" s="19" t="s">
        <v>205</v>
      </c>
      <c r="F107" s="26">
        <v>59014</v>
      </c>
      <c r="G107" s="21">
        <v>18</v>
      </c>
      <c r="H107" s="21">
        <f t="shared" si="0"/>
        <v>60</v>
      </c>
      <c r="I107" s="21" t="str">
        <f>"1|"&amp;INDEX([1]全服BOSS!$R$28:$AV$41,MATCH(H107,[1]全服BOSS!$R$28:$R$41,0),MATCH($G107,[1]全服BOSS!$R$28:$AV$28,0))</f>
        <v>1|15100</v>
      </c>
    </row>
    <row r="108" spans="1:9" s="21" customFormat="1" ht="16.5" x14ac:dyDescent="0.15">
      <c r="A108" s="18">
        <v>10105</v>
      </c>
      <c r="B108" s="18">
        <v>91104</v>
      </c>
      <c r="C108" s="19">
        <v>29</v>
      </c>
      <c r="D108" s="20" t="s">
        <v>462</v>
      </c>
      <c r="E108" s="19" t="s">
        <v>197</v>
      </c>
      <c r="F108" s="26">
        <v>59015</v>
      </c>
      <c r="G108" s="21">
        <v>20</v>
      </c>
      <c r="H108" s="21">
        <f t="shared" si="0"/>
        <v>60</v>
      </c>
      <c r="I108" s="21" t="str">
        <f>"1|"&amp;INDEX([1]全服BOSS!$R$28:$AV$41,MATCH(H108,[1]全服BOSS!$R$28:$R$41,0),MATCH($G108,[1]全服BOSS!$R$28:$AV$28,0))</f>
        <v>1|16800</v>
      </c>
    </row>
    <row r="109" spans="1:9" s="21" customFormat="1" ht="16.5" x14ac:dyDescent="0.15">
      <c r="A109" s="18">
        <v>10106</v>
      </c>
      <c r="B109" s="18">
        <v>91104</v>
      </c>
      <c r="C109" s="19">
        <v>31</v>
      </c>
      <c r="D109" s="20" t="s">
        <v>480</v>
      </c>
      <c r="E109" s="19" t="s">
        <v>206</v>
      </c>
      <c r="F109" s="26">
        <v>59016</v>
      </c>
      <c r="G109" s="21">
        <v>22</v>
      </c>
      <c r="H109" s="21">
        <f t="shared" si="0"/>
        <v>60</v>
      </c>
      <c r="I109" s="21" t="str">
        <f>"1|"&amp;INDEX([1]全服BOSS!$R$28:$AV$41,MATCH(H109,[1]全服BOSS!$R$28:$R$41,0),MATCH($G109,[1]全服BOSS!$R$28:$AV$28,0))</f>
        <v>1|18400</v>
      </c>
    </row>
    <row r="110" spans="1:9" s="21" customFormat="1" ht="16.5" x14ac:dyDescent="0.15">
      <c r="A110" s="18">
        <v>10107</v>
      </c>
      <c r="B110" s="18">
        <v>91104</v>
      </c>
      <c r="C110" s="19">
        <v>33</v>
      </c>
      <c r="D110" s="20" t="s">
        <v>481</v>
      </c>
      <c r="E110" s="19" t="s">
        <v>207</v>
      </c>
      <c r="F110" s="26">
        <v>59017</v>
      </c>
      <c r="G110" s="21">
        <v>24</v>
      </c>
      <c r="H110" s="21">
        <f t="shared" si="0"/>
        <v>60</v>
      </c>
      <c r="I110" s="21" t="str">
        <f>"1|"&amp;INDEX([1]全服BOSS!$R$28:$AV$41,MATCH(H110,[1]全服BOSS!$R$28:$R$41,0),MATCH($G110,[1]全服BOSS!$R$28:$AV$28,0))</f>
        <v>1|20100</v>
      </c>
    </row>
    <row r="111" spans="1:9" s="21" customFormat="1" ht="16.5" x14ac:dyDescent="0.15">
      <c r="A111" s="18">
        <v>10108</v>
      </c>
      <c r="B111" s="18">
        <v>91104</v>
      </c>
      <c r="C111" s="19">
        <v>35</v>
      </c>
      <c r="D111" s="20" t="s">
        <v>482</v>
      </c>
      <c r="E111" s="19" t="s">
        <v>163</v>
      </c>
      <c r="F111" s="26">
        <v>59018</v>
      </c>
      <c r="G111" s="21">
        <v>26</v>
      </c>
      <c r="H111" s="21">
        <f t="shared" si="0"/>
        <v>60</v>
      </c>
      <c r="I111" s="21" t="str">
        <f>"1|"&amp;INDEX([1]全服BOSS!$R$28:$AV$41,MATCH(H111,[1]全服BOSS!$R$28:$R$41,0),MATCH($G111,[1]全服BOSS!$R$28:$AV$28,0))</f>
        <v>1|21800</v>
      </c>
    </row>
    <row r="112" spans="1:9" s="21" customFormat="1" ht="16.5" x14ac:dyDescent="0.15">
      <c r="A112" s="18">
        <v>10109</v>
      </c>
      <c r="B112" s="18">
        <v>91104</v>
      </c>
      <c r="C112" s="19">
        <v>37</v>
      </c>
      <c r="D112" s="20" t="s">
        <v>483</v>
      </c>
      <c r="E112" s="19" t="s">
        <v>208</v>
      </c>
      <c r="F112" s="26">
        <v>59019</v>
      </c>
      <c r="G112" s="21">
        <v>28</v>
      </c>
      <c r="H112" s="21">
        <f t="shared" si="0"/>
        <v>60</v>
      </c>
      <c r="I112" s="21" t="str">
        <f>"1|"&amp;INDEX([1]全服BOSS!$R$28:$AV$41,MATCH(H112,[1]全服BOSS!$R$28:$R$41,0),MATCH($G112,[1]全服BOSS!$R$28:$AV$28,0))</f>
        <v>1|23500</v>
      </c>
    </row>
    <row r="113" spans="1:9" s="21" customFormat="1" ht="16.5" x14ac:dyDescent="0.15">
      <c r="A113" s="18">
        <v>10110</v>
      </c>
      <c r="B113" s="18">
        <v>91104</v>
      </c>
      <c r="C113" s="19">
        <v>39</v>
      </c>
      <c r="D113" s="20" t="s">
        <v>484</v>
      </c>
      <c r="E113" s="19" t="s">
        <v>209</v>
      </c>
      <c r="F113" s="26">
        <v>59020</v>
      </c>
      <c r="G113" s="21">
        <v>30</v>
      </c>
      <c r="H113" s="21">
        <f t="shared" si="0"/>
        <v>60</v>
      </c>
      <c r="I113" s="21" t="str">
        <f>"1|"&amp;INDEX([1]全服BOSS!$R$28:$AV$41,MATCH(H113,[1]全服BOSS!$R$28:$R$41,0),MATCH($G113,[1]全服BOSS!$R$28:$AV$28,0))</f>
        <v>1|25100</v>
      </c>
    </row>
    <row r="114" spans="1:9" s="21" customFormat="1" ht="16.5" x14ac:dyDescent="0.15">
      <c r="A114" s="18">
        <v>10111</v>
      </c>
      <c r="B114" s="18">
        <v>91104</v>
      </c>
      <c r="C114" s="19">
        <v>41</v>
      </c>
      <c r="D114" s="20" t="s">
        <v>485</v>
      </c>
      <c r="E114" s="19" t="s">
        <v>210</v>
      </c>
      <c r="F114" s="26">
        <v>59021</v>
      </c>
      <c r="G114" s="21">
        <v>32</v>
      </c>
      <c r="H114" s="21">
        <f t="shared" si="0"/>
        <v>60</v>
      </c>
      <c r="I114" s="21" t="str">
        <f>"1|"&amp;INDEX([1]全服BOSS!$R$28:$AV$41,MATCH(H114,[1]全服BOSS!$R$28:$R$41,0),MATCH($G114,[1]全服BOSS!$R$28:$AV$28,0))</f>
        <v>1|26800</v>
      </c>
    </row>
    <row r="115" spans="1:9" s="21" customFormat="1" ht="16.5" x14ac:dyDescent="0.15">
      <c r="A115" s="18">
        <v>10112</v>
      </c>
      <c r="B115" s="18">
        <v>91104</v>
      </c>
      <c r="C115" s="19">
        <v>43</v>
      </c>
      <c r="D115" s="20" t="s">
        <v>486</v>
      </c>
      <c r="E115" s="19" t="s">
        <v>111</v>
      </c>
      <c r="F115" s="26">
        <v>59022</v>
      </c>
      <c r="G115" s="21">
        <v>34</v>
      </c>
      <c r="H115" s="21">
        <f t="shared" si="0"/>
        <v>60</v>
      </c>
      <c r="I115" s="21" t="str">
        <f>"1|"&amp;INDEX([1]全服BOSS!$R$28:$AV$41,MATCH(H115,[1]全服BOSS!$R$28:$R$41,0),MATCH($G115,[1]全服BOSS!$R$28:$AV$28,0))</f>
        <v>1|28500</v>
      </c>
    </row>
    <row r="116" spans="1:9" s="21" customFormat="1" ht="16.5" x14ac:dyDescent="0.15">
      <c r="A116" s="18">
        <v>10113</v>
      </c>
      <c r="B116" s="18">
        <v>91104</v>
      </c>
      <c r="C116" s="19">
        <v>45</v>
      </c>
      <c r="D116" s="20" t="s">
        <v>487</v>
      </c>
      <c r="E116" s="19" t="s">
        <v>211</v>
      </c>
      <c r="F116" s="26">
        <v>59023</v>
      </c>
      <c r="G116" s="21">
        <v>36</v>
      </c>
      <c r="H116" s="21">
        <f t="shared" si="0"/>
        <v>60</v>
      </c>
      <c r="I116" s="21" t="str">
        <f>"1|"&amp;INDEX([1]全服BOSS!$R$28:$AV$41,MATCH(H116,[1]全服BOSS!$R$28:$R$41,0),MATCH($G116,[1]全服BOSS!$R$28:$AV$28,0))</f>
        <v>1|30200</v>
      </c>
    </row>
    <row r="117" spans="1:9" s="21" customFormat="1" ht="16.5" x14ac:dyDescent="0.15">
      <c r="A117" s="18">
        <v>10114</v>
      </c>
      <c r="B117" s="18">
        <v>91104</v>
      </c>
      <c r="C117" s="19">
        <v>47</v>
      </c>
      <c r="D117" s="20" t="s">
        <v>488</v>
      </c>
      <c r="E117" s="19" t="s">
        <v>120</v>
      </c>
      <c r="F117" s="26">
        <v>59024</v>
      </c>
      <c r="G117" s="21">
        <v>38</v>
      </c>
      <c r="H117" s="21">
        <f t="shared" si="0"/>
        <v>60</v>
      </c>
      <c r="I117" s="21" t="str">
        <f>"1|"&amp;INDEX([1]全服BOSS!$R$28:$AV$41,MATCH(H117,[1]全服BOSS!$R$28:$R$41,0),MATCH($G117,[1]全服BOSS!$R$28:$AV$28,0))</f>
        <v>1|31900</v>
      </c>
    </row>
    <row r="118" spans="1:9" s="21" customFormat="1" ht="16.5" x14ac:dyDescent="0.15">
      <c r="A118" s="18">
        <v>10115</v>
      </c>
      <c r="B118" s="18">
        <v>91104</v>
      </c>
      <c r="C118" s="19">
        <v>49</v>
      </c>
      <c r="D118" s="20" t="s">
        <v>489</v>
      </c>
      <c r="E118" s="19" t="s">
        <v>212</v>
      </c>
      <c r="F118" s="26">
        <v>59025</v>
      </c>
      <c r="G118" s="21">
        <v>40</v>
      </c>
      <c r="H118" s="21">
        <f t="shared" si="0"/>
        <v>60</v>
      </c>
      <c r="I118" s="21" t="str">
        <f>"1|"&amp;INDEX([1]全服BOSS!$R$28:$AV$41,MATCH(H118,[1]全服BOSS!$R$28:$R$41,0),MATCH($G118,[1]全服BOSS!$R$28:$AV$28,0))</f>
        <v>1|33500</v>
      </c>
    </row>
    <row r="119" spans="1:9" s="21" customFormat="1" ht="16.5" x14ac:dyDescent="0.15">
      <c r="A119" s="18">
        <v>10116</v>
      </c>
      <c r="B119" s="18">
        <v>91104</v>
      </c>
      <c r="C119" s="19">
        <v>51</v>
      </c>
      <c r="D119" s="20" t="s">
        <v>490</v>
      </c>
      <c r="E119" s="19" t="s">
        <v>213</v>
      </c>
      <c r="F119" s="26">
        <v>59026</v>
      </c>
      <c r="G119" s="21">
        <v>42</v>
      </c>
      <c r="H119" s="21">
        <f t="shared" si="0"/>
        <v>60</v>
      </c>
      <c r="I119" s="21" t="str">
        <f>"1|"&amp;INDEX([1]全服BOSS!$R$28:$AV$41,MATCH(H119,[1]全服BOSS!$R$28:$R$41,0),MATCH($G119,[1]全服BOSS!$R$28:$AV$28,0))</f>
        <v>1|35200</v>
      </c>
    </row>
    <row r="120" spans="1:9" s="21" customFormat="1" ht="16.5" x14ac:dyDescent="0.15">
      <c r="A120" s="18">
        <v>10117</v>
      </c>
      <c r="B120" s="18">
        <v>91104</v>
      </c>
      <c r="C120" s="19">
        <v>53</v>
      </c>
      <c r="D120" s="20" t="s">
        <v>491</v>
      </c>
      <c r="E120" s="19" t="s">
        <v>214</v>
      </c>
      <c r="F120" s="26">
        <v>59027</v>
      </c>
      <c r="G120" s="21">
        <v>44</v>
      </c>
      <c r="H120" s="21">
        <f t="shared" si="0"/>
        <v>60</v>
      </c>
      <c r="I120" s="21" t="str">
        <f>"1|"&amp;INDEX([1]全服BOSS!$R$28:$AV$41,MATCH(H120,[1]全服BOSS!$R$28:$R$41,0),MATCH($G120,[1]全服BOSS!$R$28:$AV$28,0))</f>
        <v>1|36900</v>
      </c>
    </row>
    <row r="121" spans="1:9" s="21" customFormat="1" ht="16.5" x14ac:dyDescent="0.15">
      <c r="A121" s="18">
        <v>10118</v>
      </c>
      <c r="B121" s="18">
        <v>91104</v>
      </c>
      <c r="C121" s="19">
        <v>55</v>
      </c>
      <c r="D121" s="20" t="s">
        <v>492</v>
      </c>
      <c r="E121" s="19" t="s">
        <v>215</v>
      </c>
      <c r="F121" s="26">
        <v>59028</v>
      </c>
      <c r="G121" s="21">
        <v>46</v>
      </c>
      <c r="H121" s="21">
        <f t="shared" si="0"/>
        <v>60</v>
      </c>
      <c r="I121" s="21" t="str">
        <f>"1|"&amp;INDEX([1]全服BOSS!$R$28:$AV$41,MATCH(H121,[1]全服BOSS!$R$28:$R$41,0),MATCH($G121,[1]全服BOSS!$R$28:$AV$28,0))</f>
        <v>1|38600</v>
      </c>
    </row>
    <row r="122" spans="1:9" s="21" customFormat="1" ht="16.5" x14ac:dyDescent="0.15">
      <c r="A122" s="18">
        <v>10119</v>
      </c>
      <c r="B122" s="18">
        <v>91104</v>
      </c>
      <c r="C122" s="19">
        <v>57</v>
      </c>
      <c r="D122" s="20" t="s">
        <v>493</v>
      </c>
      <c r="E122" s="19" t="s">
        <v>216</v>
      </c>
      <c r="F122" s="26">
        <v>59029</v>
      </c>
      <c r="G122" s="21">
        <v>48</v>
      </c>
      <c r="H122" s="21">
        <f t="shared" si="0"/>
        <v>60</v>
      </c>
      <c r="I122" s="21" t="str">
        <f>"1|"&amp;INDEX([1]全服BOSS!$R$28:$AV$41,MATCH(H122,[1]全服BOSS!$R$28:$R$41,0),MATCH($G122,[1]全服BOSS!$R$28:$AV$28,0))</f>
        <v>1|40200</v>
      </c>
    </row>
    <row r="123" spans="1:9" s="21" customFormat="1" ht="16.5" x14ac:dyDescent="0.15">
      <c r="A123" s="18">
        <v>10120</v>
      </c>
      <c r="B123" s="18">
        <v>91104</v>
      </c>
      <c r="C123" s="19">
        <v>59</v>
      </c>
      <c r="D123" s="20" t="s">
        <v>494</v>
      </c>
      <c r="E123" s="19" t="s">
        <v>217</v>
      </c>
      <c r="F123" s="26">
        <v>59030</v>
      </c>
      <c r="G123" s="21">
        <v>50</v>
      </c>
      <c r="H123" s="21">
        <f t="shared" si="0"/>
        <v>60</v>
      </c>
      <c r="I123" s="21" t="str">
        <f>"1|"&amp;INDEX([1]全服BOSS!$R$28:$AV$41,MATCH(H123,[1]全服BOSS!$R$28:$R$41,0),MATCH($G123,[1]全服BOSS!$R$28:$AV$28,0))</f>
        <v>1|41900</v>
      </c>
    </row>
    <row r="124" spans="1:9" ht="16.5" x14ac:dyDescent="0.15">
      <c r="A124" s="2">
        <v>10121</v>
      </c>
      <c r="B124" s="2">
        <v>91105</v>
      </c>
      <c r="C124" s="10">
        <v>1</v>
      </c>
      <c r="D124" s="14" t="s">
        <v>448</v>
      </c>
      <c r="E124" s="10" t="s">
        <v>125</v>
      </c>
      <c r="F124" s="24">
        <v>59001</v>
      </c>
      <c r="G124">
        <v>1</v>
      </c>
      <c r="H124">
        <f t="shared" si="0"/>
        <v>70</v>
      </c>
      <c r="I124" t="str">
        <f>"1|"&amp;INDEX([1]全服BOSS!$R$28:$AV$41,MATCH(H124,[1]全服BOSS!$R$28:$R$41,0),MATCH($G124,[1]全服BOSS!$R$28:$AV$28,0))</f>
        <v>1|1100</v>
      </c>
    </row>
    <row r="125" spans="1:9" ht="16.5" x14ac:dyDescent="0.15">
      <c r="A125" s="2">
        <v>10122</v>
      </c>
      <c r="B125" s="2">
        <v>91105</v>
      </c>
      <c r="C125" s="10">
        <v>3</v>
      </c>
      <c r="D125" s="14" t="s">
        <v>495</v>
      </c>
      <c r="E125" s="10" t="s">
        <v>218</v>
      </c>
      <c r="F125" s="24">
        <v>59002</v>
      </c>
      <c r="G125">
        <v>2</v>
      </c>
      <c r="H125">
        <f t="shared" si="0"/>
        <v>70</v>
      </c>
      <c r="I125" t="str">
        <f>"1|"&amp;INDEX([1]全服BOSS!$R$28:$AV$41,MATCH(H125,[1]全服BOSS!$R$28:$R$41,0),MATCH($G125,[1]全服BOSS!$R$28:$AV$28,0))</f>
        <v>1|2100</v>
      </c>
    </row>
    <row r="126" spans="1:9" ht="16.5" x14ac:dyDescent="0.15">
      <c r="A126" s="2">
        <v>10123</v>
      </c>
      <c r="B126" s="2">
        <v>91105</v>
      </c>
      <c r="C126" s="10">
        <v>5</v>
      </c>
      <c r="D126" s="14" t="s">
        <v>429</v>
      </c>
      <c r="E126" s="10" t="s">
        <v>187</v>
      </c>
      <c r="F126" s="24">
        <v>59003</v>
      </c>
      <c r="G126">
        <v>3</v>
      </c>
      <c r="H126">
        <f t="shared" si="0"/>
        <v>70</v>
      </c>
      <c r="I126" t="str">
        <f>"1|"&amp;INDEX([1]全服BOSS!$R$28:$AV$41,MATCH(H126,[1]全服BOSS!$R$28:$R$41,0),MATCH($G126,[1]全服BOSS!$R$28:$AV$28,0))</f>
        <v>1|3200</v>
      </c>
    </row>
    <row r="127" spans="1:9" ht="16.5" x14ac:dyDescent="0.15">
      <c r="A127" s="2">
        <v>10124</v>
      </c>
      <c r="B127" s="2">
        <v>91105</v>
      </c>
      <c r="C127" s="10">
        <v>7</v>
      </c>
      <c r="D127" s="14" t="s">
        <v>408</v>
      </c>
      <c r="E127" s="10" t="s">
        <v>101</v>
      </c>
      <c r="F127" s="24">
        <v>59004</v>
      </c>
      <c r="G127">
        <v>4</v>
      </c>
      <c r="H127">
        <f t="shared" si="0"/>
        <v>70</v>
      </c>
      <c r="I127" t="str">
        <f>"1|"&amp;INDEX([1]全服BOSS!$R$28:$AV$41,MATCH(H127,[1]全服BOSS!$R$28:$R$41,0),MATCH($G127,[1]全服BOSS!$R$28:$AV$28,0))</f>
        <v>1|4200</v>
      </c>
    </row>
    <row r="128" spans="1:9" ht="16.5" x14ac:dyDescent="0.15">
      <c r="A128" s="2">
        <v>10125</v>
      </c>
      <c r="B128" s="2">
        <v>91105</v>
      </c>
      <c r="C128" s="10">
        <v>9</v>
      </c>
      <c r="D128" s="14" t="s">
        <v>496</v>
      </c>
      <c r="E128" s="10" t="s">
        <v>77</v>
      </c>
      <c r="F128" s="24">
        <v>59005</v>
      </c>
      <c r="G128">
        <v>5</v>
      </c>
      <c r="H128">
        <f t="shared" si="0"/>
        <v>70</v>
      </c>
      <c r="I128" t="str">
        <f>"1|"&amp;INDEX([1]全服BOSS!$R$28:$AV$41,MATCH(H128,[1]全服BOSS!$R$28:$R$41,0),MATCH($G128,[1]全服BOSS!$R$28:$AV$28,0))</f>
        <v>1|5300</v>
      </c>
    </row>
    <row r="129" spans="1:9" ht="16.5" x14ac:dyDescent="0.15">
      <c r="A129" s="2">
        <v>10126</v>
      </c>
      <c r="B129" s="2">
        <v>91105</v>
      </c>
      <c r="C129" s="10">
        <v>11</v>
      </c>
      <c r="D129" s="14" t="s">
        <v>497</v>
      </c>
      <c r="E129" s="10" t="s">
        <v>219</v>
      </c>
      <c r="F129" s="24">
        <v>59006</v>
      </c>
      <c r="G129">
        <v>6</v>
      </c>
      <c r="H129">
        <f t="shared" ref="H129:H192" si="1">H99+10</f>
        <v>70</v>
      </c>
      <c r="I129" t="str">
        <f>"1|"&amp;INDEX([1]全服BOSS!$R$28:$AV$41,MATCH(H129,[1]全服BOSS!$R$28:$R$41,0),MATCH($G129,[1]全服BOSS!$R$28:$AV$28,0))</f>
        <v>1|6400</v>
      </c>
    </row>
    <row r="130" spans="1:9" ht="16.5" x14ac:dyDescent="0.15">
      <c r="A130" s="2">
        <v>10127</v>
      </c>
      <c r="B130" s="2">
        <v>91105</v>
      </c>
      <c r="C130" s="10">
        <v>13</v>
      </c>
      <c r="D130" s="14" t="s">
        <v>498</v>
      </c>
      <c r="E130" s="10" t="s">
        <v>220</v>
      </c>
      <c r="F130" s="24">
        <v>59007</v>
      </c>
      <c r="G130">
        <v>7</v>
      </c>
      <c r="H130">
        <f t="shared" si="1"/>
        <v>70</v>
      </c>
      <c r="I130" t="str">
        <f>"1|"&amp;INDEX([1]全服BOSS!$R$28:$AV$41,MATCH(H130,[1]全服BOSS!$R$28:$R$41,0),MATCH($G130,[1]全服BOSS!$R$28:$AV$28,0))</f>
        <v>1|7400</v>
      </c>
    </row>
    <row r="131" spans="1:9" ht="16.5" x14ac:dyDescent="0.15">
      <c r="A131" s="2">
        <v>10128</v>
      </c>
      <c r="B131" s="2">
        <v>91105</v>
      </c>
      <c r="C131" s="10">
        <v>15</v>
      </c>
      <c r="D131" s="14" t="s">
        <v>499</v>
      </c>
      <c r="E131" s="10" t="s">
        <v>141</v>
      </c>
      <c r="F131" s="24">
        <v>59008</v>
      </c>
      <c r="G131">
        <v>8</v>
      </c>
      <c r="H131">
        <f t="shared" si="1"/>
        <v>70</v>
      </c>
      <c r="I131" t="str">
        <f>"1|"&amp;INDEX([1]全服BOSS!$R$28:$AV$41,MATCH(H131,[1]全服BOSS!$R$28:$R$41,0),MATCH($G131,[1]全服BOSS!$R$28:$AV$28,0))</f>
        <v>1|8500</v>
      </c>
    </row>
    <row r="132" spans="1:9" ht="16.5" x14ac:dyDescent="0.15">
      <c r="A132" s="2">
        <v>10129</v>
      </c>
      <c r="B132" s="2">
        <v>91105</v>
      </c>
      <c r="C132" s="10">
        <v>17</v>
      </c>
      <c r="D132" s="14" t="s">
        <v>500</v>
      </c>
      <c r="E132" s="10" t="s">
        <v>93</v>
      </c>
      <c r="F132" s="24">
        <v>59009</v>
      </c>
      <c r="G132">
        <v>9</v>
      </c>
      <c r="H132">
        <f t="shared" si="1"/>
        <v>70</v>
      </c>
      <c r="I132" t="str">
        <f>"1|"&amp;INDEX([1]全服BOSS!$R$28:$AV$41,MATCH(H132,[1]全服BOSS!$R$28:$R$41,0),MATCH($G132,[1]全服BOSS!$R$28:$AV$28,0))</f>
        <v>1|9500</v>
      </c>
    </row>
    <row r="133" spans="1:9" ht="16.5" x14ac:dyDescent="0.15">
      <c r="A133" s="2">
        <v>10130</v>
      </c>
      <c r="B133" s="2">
        <v>91105</v>
      </c>
      <c r="C133" s="10">
        <v>19</v>
      </c>
      <c r="D133" s="14" t="s">
        <v>501</v>
      </c>
      <c r="E133" s="10" t="s">
        <v>115</v>
      </c>
      <c r="F133" s="24">
        <v>59010</v>
      </c>
      <c r="G133">
        <v>10</v>
      </c>
      <c r="H133">
        <f t="shared" si="1"/>
        <v>70</v>
      </c>
      <c r="I133" t="str">
        <f>"1|"&amp;INDEX([1]全服BOSS!$R$28:$AV$41,MATCH(H133,[1]全服BOSS!$R$28:$R$41,0),MATCH($G133,[1]全服BOSS!$R$28:$AV$28,0))</f>
        <v>1|10600</v>
      </c>
    </row>
    <row r="134" spans="1:9" ht="16.5" x14ac:dyDescent="0.15">
      <c r="A134" s="2">
        <v>10131</v>
      </c>
      <c r="B134" s="2">
        <v>91105</v>
      </c>
      <c r="C134" s="10">
        <v>21</v>
      </c>
      <c r="D134" s="14" t="s">
        <v>502</v>
      </c>
      <c r="E134" s="10" t="s">
        <v>144</v>
      </c>
      <c r="F134" s="24">
        <v>59011</v>
      </c>
      <c r="G134">
        <v>12</v>
      </c>
      <c r="H134">
        <f t="shared" si="1"/>
        <v>70</v>
      </c>
      <c r="I134" t="str">
        <f>"1|"&amp;INDEX([1]全服BOSS!$R$28:$AV$41,MATCH(H134,[1]全服BOSS!$R$28:$R$41,0),MATCH($G134,[1]全服BOSS!$R$28:$AV$28,0))</f>
        <v>1|12700</v>
      </c>
    </row>
    <row r="135" spans="1:9" ht="16.5" x14ac:dyDescent="0.15">
      <c r="A135" s="2">
        <v>10132</v>
      </c>
      <c r="B135" s="2">
        <v>91105</v>
      </c>
      <c r="C135" s="10">
        <v>23</v>
      </c>
      <c r="D135" s="14" t="s">
        <v>503</v>
      </c>
      <c r="E135" s="10" t="s">
        <v>221</v>
      </c>
      <c r="F135" s="24">
        <v>59012</v>
      </c>
      <c r="G135">
        <v>14</v>
      </c>
      <c r="H135">
        <f t="shared" si="1"/>
        <v>70</v>
      </c>
      <c r="I135" t="str">
        <f>"1|"&amp;INDEX([1]全服BOSS!$R$28:$AV$41,MATCH(H135,[1]全服BOSS!$R$28:$R$41,0),MATCH($G135,[1]全服BOSS!$R$28:$AV$28,0))</f>
        <v>1|14800</v>
      </c>
    </row>
    <row r="136" spans="1:9" ht="16.5" x14ac:dyDescent="0.15">
      <c r="A136" s="2">
        <v>10133</v>
      </c>
      <c r="B136" s="2">
        <v>91105</v>
      </c>
      <c r="C136" s="10">
        <v>25</v>
      </c>
      <c r="D136" s="14" t="s">
        <v>504</v>
      </c>
      <c r="E136" s="10" t="s">
        <v>99</v>
      </c>
      <c r="F136" s="24">
        <v>59013</v>
      </c>
      <c r="G136">
        <v>16</v>
      </c>
      <c r="H136">
        <f t="shared" si="1"/>
        <v>70</v>
      </c>
      <c r="I136" t="str">
        <f>"1|"&amp;INDEX([1]全服BOSS!$R$28:$AV$41,MATCH(H136,[1]全服BOSS!$R$28:$R$41,0),MATCH($G136,[1]全服BOSS!$R$28:$AV$28,0))</f>
        <v>1|17000</v>
      </c>
    </row>
    <row r="137" spans="1:9" ht="16.5" x14ac:dyDescent="0.15">
      <c r="A137" s="2">
        <v>10134</v>
      </c>
      <c r="B137" s="2">
        <v>91105</v>
      </c>
      <c r="C137" s="10">
        <v>27</v>
      </c>
      <c r="D137" s="14" t="s">
        <v>464</v>
      </c>
      <c r="E137" s="10" t="s">
        <v>198</v>
      </c>
      <c r="F137" s="24">
        <v>59014</v>
      </c>
      <c r="G137">
        <v>18</v>
      </c>
      <c r="H137">
        <f t="shared" si="1"/>
        <v>70</v>
      </c>
      <c r="I137" t="str">
        <f>"1|"&amp;INDEX([1]全服BOSS!$R$28:$AV$41,MATCH(H137,[1]全服BOSS!$R$28:$R$41,0),MATCH($G137,[1]全服BOSS!$R$28:$AV$28,0))</f>
        <v>1|19100</v>
      </c>
    </row>
    <row r="138" spans="1:9" ht="16.5" x14ac:dyDescent="0.15">
      <c r="A138" s="2">
        <v>10135</v>
      </c>
      <c r="B138" s="2">
        <v>91105</v>
      </c>
      <c r="C138" s="10">
        <v>29</v>
      </c>
      <c r="D138" s="14" t="s">
        <v>505</v>
      </c>
      <c r="E138" s="10" t="s">
        <v>117</v>
      </c>
      <c r="F138" s="24">
        <v>59015</v>
      </c>
      <c r="G138">
        <v>20</v>
      </c>
      <c r="H138">
        <f t="shared" si="1"/>
        <v>70</v>
      </c>
      <c r="I138" t="str">
        <f>"1|"&amp;INDEX([1]全服BOSS!$R$28:$AV$41,MATCH(H138,[1]全服BOSS!$R$28:$R$41,0),MATCH($G138,[1]全服BOSS!$R$28:$AV$28,0))</f>
        <v>1|21200</v>
      </c>
    </row>
    <row r="139" spans="1:9" ht="16.5" x14ac:dyDescent="0.15">
      <c r="A139" s="2">
        <v>10136</v>
      </c>
      <c r="B139" s="2">
        <v>91105</v>
      </c>
      <c r="C139" s="10">
        <v>31</v>
      </c>
      <c r="D139" s="14" t="s">
        <v>506</v>
      </c>
      <c r="E139" s="10" t="s">
        <v>157</v>
      </c>
      <c r="F139" s="24">
        <v>59016</v>
      </c>
      <c r="G139">
        <v>22</v>
      </c>
      <c r="H139">
        <f t="shared" si="1"/>
        <v>70</v>
      </c>
      <c r="I139" t="str">
        <f>"1|"&amp;INDEX([1]全服BOSS!$R$28:$AV$41,MATCH(H139,[1]全服BOSS!$R$28:$R$41,0),MATCH($G139,[1]全服BOSS!$R$28:$AV$28,0))</f>
        <v>1|23300</v>
      </c>
    </row>
    <row r="140" spans="1:9" ht="16.5" x14ac:dyDescent="0.15">
      <c r="A140" s="2">
        <v>10137</v>
      </c>
      <c r="B140" s="2">
        <v>91105</v>
      </c>
      <c r="C140" s="10">
        <v>33</v>
      </c>
      <c r="D140" s="14" t="s">
        <v>507</v>
      </c>
      <c r="E140" s="10" t="s">
        <v>145</v>
      </c>
      <c r="F140" s="24">
        <v>59017</v>
      </c>
      <c r="G140">
        <v>24</v>
      </c>
      <c r="H140">
        <f t="shared" si="1"/>
        <v>70</v>
      </c>
      <c r="I140" t="str">
        <f>"1|"&amp;INDEX([1]全服BOSS!$R$28:$AV$41,MATCH(H140,[1]全服BOSS!$R$28:$R$41,0),MATCH($G140,[1]全服BOSS!$R$28:$AV$28,0))</f>
        <v>1|25400</v>
      </c>
    </row>
    <row r="141" spans="1:9" ht="16.5" x14ac:dyDescent="0.15">
      <c r="A141" s="2">
        <v>10138</v>
      </c>
      <c r="B141" s="2">
        <v>91105</v>
      </c>
      <c r="C141" s="10">
        <v>35</v>
      </c>
      <c r="D141" s="14" t="s">
        <v>508</v>
      </c>
      <c r="E141" s="10" t="s">
        <v>222</v>
      </c>
      <c r="F141" s="24">
        <v>59018</v>
      </c>
      <c r="G141">
        <v>26</v>
      </c>
      <c r="H141">
        <f t="shared" si="1"/>
        <v>70</v>
      </c>
      <c r="I141" t="str">
        <f>"1|"&amp;INDEX([1]全服BOSS!$R$28:$AV$41,MATCH(H141,[1]全服BOSS!$R$28:$R$41,0),MATCH($G141,[1]全服BOSS!$R$28:$AV$28,0))</f>
        <v>1|27500</v>
      </c>
    </row>
    <row r="142" spans="1:9" ht="16.5" x14ac:dyDescent="0.15">
      <c r="A142" s="2">
        <v>10139</v>
      </c>
      <c r="B142" s="2">
        <v>91105</v>
      </c>
      <c r="C142" s="10">
        <v>37</v>
      </c>
      <c r="D142" s="14" t="s">
        <v>509</v>
      </c>
      <c r="E142" s="10" t="s">
        <v>112</v>
      </c>
      <c r="F142" s="24">
        <v>59019</v>
      </c>
      <c r="G142">
        <v>28</v>
      </c>
      <c r="H142">
        <f t="shared" si="1"/>
        <v>70</v>
      </c>
      <c r="I142" t="str">
        <f>"1|"&amp;INDEX([1]全服BOSS!$R$28:$AV$41,MATCH(H142,[1]全服BOSS!$R$28:$R$41,0),MATCH($G142,[1]全服BOSS!$R$28:$AV$28,0))</f>
        <v>1|29700</v>
      </c>
    </row>
    <row r="143" spans="1:9" ht="16.5" x14ac:dyDescent="0.15">
      <c r="A143" s="2">
        <v>10140</v>
      </c>
      <c r="B143" s="2">
        <v>91105</v>
      </c>
      <c r="C143" s="10">
        <v>39</v>
      </c>
      <c r="D143" s="14" t="s">
        <v>510</v>
      </c>
      <c r="E143" s="10" t="s">
        <v>223</v>
      </c>
      <c r="F143" s="24">
        <v>59020</v>
      </c>
      <c r="G143">
        <v>30</v>
      </c>
      <c r="H143">
        <f t="shared" si="1"/>
        <v>70</v>
      </c>
      <c r="I143" t="str">
        <f>"1|"&amp;INDEX([1]全服BOSS!$R$28:$AV$41,MATCH(H143,[1]全服BOSS!$R$28:$R$41,0),MATCH($G143,[1]全服BOSS!$R$28:$AV$28,0))</f>
        <v>1|31800</v>
      </c>
    </row>
    <row r="144" spans="1:9" ht="16.5" x14ac:dyDescent="0.15">
      <c r="A144" s="2">
        <v>10141</v>
      </c>
      <c r="B144" s="2">
        <v>91105</v>
      </c>
      <c r="C144" s="10">
        <v>41</v>
      </c>
      <c r="D144" s="14" t="s">
        <v>511</v>
      </c>
      <c r="E144" s="10" t="s">
        <v>146</v>
      </c>
      <c r="F144" s="24">
        <v>59021</v>
      </c>
      <c r="G144">
        <v>32</v>
      </c>
      <c r="H144">
        <f t="shared" si="1"/>
        <v>70</v>
      </c>
      <c r="I144" t="str">
        <f>"1|"&amp;INDEX([1]全服BOSS!$R$28:$AV$41,MATCH(H144,[1]全服BOSS!$R$28:$R$41,0),MATCH($G144,[1]全服BOSS!$R$28:$AV$28,0))</f>
        <v>1|33900</v>
      </c>
    </row>
    <row r="145" spans="1:9" ht="16.5" x14ac:dyDescent="0.15">
      <c r="A145" s="2">
        <v>10142</v>
      </c>
      <c r="B145" s="2">
        <v>91105</v>
      </c>
      <c r="C145" s="10">
        <v>43</v>
      </c>
      <c r="D145" s="14" t="s">
        <v>512</v>
      </c>
      <c r="E145" s="10" t="s">
        <v>224</v>
      </c>
      <c r="F145" s="24">
        <v>59022</v>
      </c>
      <c r="G145">
        <v>34</v>
      </c>
      <c r="H145">
        <f t="shared" si="1"/>
        <v>70</v>
      </c>
      <c r="I145" t="str">
        <f>"1|"&amp;INDEX([1]全服BOSS!$R$28:$AV$41,MATCH(H145,[1]全服BOSS!$R$28:$R$41,0),MATCH($G145,[1]全服BOSS!$R$28:$AV$28,0))</f>
        <v>1|36000</v>
      </c>
    </row>
    <row r="146" spans="1:9" ht="16.5" x14ac:dyDescent="0.15">
      <c r="A146" s="2">
        <v>10143</v>
      </c>
      <c r="B146" s="2">
        <v>91105</v>
      </c>
      <c r="C146" s="10">
        <v>45</v>
      </c>
      <c r="D146" s="14" t="s">
        <v>513</v>
      </c>
      <c r="E146" s="10" t="s">
        <v>136</v>
      </c>
      <c r="F146" s="24">
        <v>59023</v>
      </c>
      <c r="G146">
        <v>36</v>
      </c>
      <c r="H146">
        <f t="shared" si="1"/>
        <v>70</v>
      </c>
      <c r="I146" t="str">
        <f>"1|"&amp;INDEX([1]全服BOSS!$R$28:$AV$41,MATCH(H146,[1]全服BOSS!$R$28:$R$41,0),MATCH($G146,[1]全服BOSS!$R$28:$AV$28,0))</f>
        <v>1|38100</v>
      </c>
    </row>
    <row r="147" spans="1:9" ht="16.5" x14ac:dyDescent="0.15">
      <c r="A147" s="2">
        <v>10144</v>
      </c>
      <c r="B147" s="2">
        <v>91105</v>
      </c>
      <c r="C147" s="10">
        <v>47</v>
      </c>
      <c r="D147" s="14" t="s">
        <v>514</v>
      </c>
      <c r="E147" s="10" t="s">
        <v>137</v>
      </c>
      <c r="F147" s="24">
        <v>59024</v>
      </c>
      <c r="G147">
        <v>38</v>
      </c>
      <c r="H147">
        <f t="shared" si="1"/>
        <v>70</v>
      </c>
      <c r="I147" t="str">
        <f>"1|"&amp;INDEX([1]全服BOSS!$R$28:$AV$41,MATCH(H147,[1]全服BOSS!$R$28:$R$41,0),MATCH($G147,[1]全服BOSS!$R$28:$AV$28,0))</f>
        <v>1|40300</v>
      </c>
    </row>
    <row r="148" spans="1:9" ht="16.5" x14ac:dyDescent="0.15">
      <c r="A148" s="2">
        <v>10145</v>
      </c>
      <c r="B148" s="2">
        <v>91105</v>
      </c>
      <c r="C148" s="10">
        <v>49</v>
      </c>
      <c r="D148" s="14" t="s">
        <v>515</v>
      </c>
      <c r="E148" s="10" t="s">
        <v>162</v>
      </c>
      <c r="F148" s="24">
        <v>59025</v>
      </c>
      <c r="G148">
        <v>40</v>
      </c>
      <c r="H148">
        <f t="shared" si="1"/>
        <v>70</v>
      </c>
      <c r="I148" t="str">
        <f>"1|"&amp;INDEX([1]全服BOSS!$R$28:$AV$41,MATCH(H148,[1]全服BOSS!$R$28:$R$41,0),MATCH($G148,[1]全服BOSS!$R$28:$AV$28,0))</f>
        <v>1|42400</v>
      </c>
    </row>
    <row r="149" spans="1:9" ht="16.5" x14ac:dyDescent="0.15">
      <c r="A149" s="2">
        <v>10146</v>
      </c>
      <c r="B149" s="2">
        <v>91105</v>
      </c>
      <c r="C149" s="10">
        <v>51</v>
      </c>
      <c r="D149" s="14" t="s">
        <v>516</v>
      </c>
      <c r="E149" s="10" t="s">
        <v>225</v>
      </c>
      <c r="F149" s="24">
        <v>59026</v>
      </c>
      <c r="G149">
        <v>42</v>
      </c>
      <c r="H149">
        <f t="shared" si="1"/>
        <v>70</v>
      </c>
      <c r="I149" t="str">
        <f>"1|"&amp;INDEX([1]全服BOSS!$R$28:$AV$41,MATCH(H149,[1]全服BOSS!$R$28:$R$41,0),MATCH($G149,[1]全服BOSS!$R$28:$AV$28,0))</f>
        <v>1|44500</v>
      </c>
    </row>
    <row r="150" spans="1:9" ht="16.5" x14ac:dyDescent="0.15">
      <c r="A150" s="2">
        <v>10147</v>
      </c>
      <c r="B150" s="2">
        <v>91105</v>
      </c>
      <c r="C150" s="10">
        <v>53</v>
      </c>
      <c r="D150" s="14" t="s">
        <v>517</v>
      </c>
      <c r="E150" s="10" t="s">
        <v>226</v>
      </c>
      <c r="F150" s="24">
        <v>59027</v>
      </c>
      <c r="G150">
        <v>44</v>
      </c>
      <c r="H150">
        <f t="shared" si="1"/>
        <v>70</v>
      </c>
      <c r="I150" t="str">
        <f>"1|"&amp;INDEX([1]全服BOSS!$R$28:$AV$41,MATCH(H150,[1]全服BOSS!$R$28:$R$41,0),MATCH($G150,[1]全服BOSS!$R$28:$AV$28,0))</f>
        <v>1|46600</v>
      </c>
    </row>
    <row r="151" spans="1:9" ht="16.5" x14ac:dyDescent="0.15">
      <c r="A151" s="2">
        <v>10148</v>
      </c>
      <c r="B151" s="2">
        <v>91105</v>
      </c>
      <c r="C151" s="10">
        <v>55</v>
      </c>
      <c r="D151" s="14" t="s">
        <v>518</v>
      </c>
      <c r="E151" s="10" t="s">
        <v>161</v>
      </c>
      <c r="F151" s="24">
        <v>59028</v>
      </c>
      <c r="G151">
        <v>46</v>
      </c>
      <c r="H151">
        <f t="shared" si="1"/>
        <v>70</v>
      </c>
      <c r="I151" t="str">
        <f>"1|"&amp;INDEX([1]全服BOSS!$R$28:$AV$41,MATCH(H151,[1]全服BOSS!$R$28:$R$41,0),MATCH($G151,[1]全服BOSS!$R$28:$AV$28,0))</f>
        <v>1|48700</v>
      </c>
    </row>
    <row r="152" spans="1:9" ht="16.5" x14ac:dyDescent="0.15">
      <c r="A152" s="2">
        <v>10149</v>
      </c>
      <c r="B152" s="2">
        <v>91105</v>
      </c>
      <c r="C152" s="10">
        <v>57</v>
      </c>
      <c r="D152" s="14" t="s">
        <v>519</v>
      </c>
      <c r="E152" s="10" t="s">
        <v>227</v>
      </c>
      <c r="F152" s="24">
        <v>59029</v>
      </c>
      <c r="G152">
        <v>48</v>
      </c>
      <c r="H152">
        <f t="shared" si="1"/>
        <v>70</v>
      </c>
      <c r="I152" t="str">
        <f>"1|"&amp;INDEX([1]全服BOSS!$R$28:$AV$41,MATCH(H152,[1]全服BOSS!$R$28:$R$41,0),MATCH($G152,[1]全服BOSS!$R$28:$AV$28,0))</f>
        <v>1|50900</v>
      </c>
    </row>
    <row r="153" spans="1:9" ht="16.5" x14ac:dyDescent="0.15">
      <c r="A153" s="2">
        <v>10150</v>
      </c>
      <c r="B153" s="2">
        <v>91105</v>
      </c>
      <c r="C153" s="10">
        <v>59</v>
      </c>
      <c r="D153" s="14" t="s">
        <v>520</v>
      </c>
      <c r="E153" s="10" t="s">
        <v>228</v>
      </c>
      <c r="F153" s="24">
        <v>59030</v>
      </c>
      <c r="G153">
        <v>50</v>
      </c>
      <c r="H153">
        <f t="shared" si="1"/>
        <v>70</v>
      </c>
      <c r="I153" t="str">
        <f>"1|"&amp;INDEX([1]全服BOSS!$R$28:$AV$41,MATCH(H153,[1]全服BOSS!$R$28:$R$41,0),MATCH($G153,[1]全服BOSS!$R$28:$AV$28,0))</f>
        <v>1|53000</v>
      </c>
    </row>
    <row r="154" spans="1:9" s="21" customFormat="1" ht="16.5" x14ac:dyDescent="0.15">
      <c r="A154" s="18">
        <v>10151</v>
      </c>
      <c r="B154" s="18">
        <v>91106</v>
      </c>
      <c r="C154" s="19">
        <v>1</v>
      </c>
      <c r="D154" s="20" t="s">
        <v>399</v>
      </c>
      <c r="E154" s="19" t="s">
        <v>172</v>
      </c>
      <c r="F154" s="26">
        <v>59001</v>
      </c>
      <c r="G154" s="21">
        <v>1</v>
      </c>
      <c r="H154" s="21">
        <f t="shared" si="1"/>
        <v>80</v>
      </c>
      <c r="I154" s="21" t="str">
        <f>"1|"&amp;INDEX([1]全服BOSS!$R$28:$AV$41,MATCH(H154,[1]全服BOSS!$R$28:$R$41,0),MATCH($G154,[1]全服BOSS!$R$28:$AV$28,0))</f>
        <v>1|1300</v>
      </c>
    </row>
    <row r="155" spans="1:9" s="21" customFormat="1" ht="16.5" x14ac:dyDescent="0.15">
      <c r="A155" s="18">
        <v>10152</v>
      </c>
      <c r="B155" s="18">
        <v>91106</v>
      </c>
      <c r="C155" s="19">
        <v>3</v>
      </c>
      <c r="D155" s="20" t="s">
        <v>427</v>
      </c>
      <c r="E155" s="19" t="s">
        <v>186</v>
      </c>
      <c r="F155" s="26">
        <v>59002</v>
      </c>
      <c r="G155" s="21">
        <v>2</v>
      </c>
      <c r="H155" s="21">
        <f t="shared" si="1"/>
        <v>80</v>
      </c>
      <c r="I155" s="21" t="str">
        <f>"1|"&amp;INDEX([1]全服BOSS!$R$28:$AV$41,MATCH(H155,[1]全服BOSS!$R$28:$R$41,0),MATCH($G155,[1]全服BOSS!$R$28:$AV$28,0))</f>
        <v>1|2600</v>
      </c>
    </row>
    <row r="156" spans="1:9" s="21" customFormat="1" ht="16.5" x14ac:dyDescent="0.15">
      <c r="A156" s="18">
        <v>10153</v>
      </c>
      <c r="B156" s="18">
        <v>91106</v>
      </c>
      <c r="C156" s="19">
        <v>5</v>
      </c>
      <c r="D156" s="20" t="s">
        <v>521</v>
      </c>
      <c r="E156" s="19" t="s">
        <v>229</v>
      </c>
      <c r="F156" s="26">
        <v>59003</v>
      </c>
      <c r="G156" s="21">
        <v>3</v>
      </c>
      <c r="H156" s="21">
        <f t="shared" si="1"/>
        <v>80</v>
      </c>
      <c r="I156" s="21" t="str">
        <f>"1|"&amp;INDEX([1]全服BOSS!$R$28:$AV$41,MATCH(H156,[1]全服BOSS!$R$28:$R$41,0),MATCH($G156,[1]全服BOSS!$R$28:$AV$28,0))</f>
        <v>1|4000</v>
      </c>
    </row>
    <row r="157" spans="1:9" s="21" customFormat="1" ht="16.5" x14ac:dyDescent="0.15">
      <c r="A157" s="18">
        <v>10154</v>
      </c>
      <c r="B157" s="18">
        <v>91106</v>
      </c>
      <c r="C157" s="19">
        <v>7</v>
      </c>
      <c r="D157" s="20" t="s">
        <v>496</v>
      </c>
      <c r="E157" s="19" t="s">
        <v>77</v>
      </c>
      <c r="F157" s="26">
        <v>59004</v>
      </c>
      <c r="G157" s="21">
        <v>4</v>
      </c>
      <c r="H157" s="21">
        <f t="shared" si="1"/>
        <v>80</v>
      </c>
      <c r="I157" s="21" t="str">
        <f>"1|"&amp;INDEX([1]全服BOSS!$R$28:$AV$41,MATCH(H157,[1]全服BOSS!$R$28:$R$41,0),MATCH($G157,[1]全服BOSS!$R$28:$AV$28,0))</f>
        <v>1|5300</v>
      </c>
    </row>
    <row r="158" spans="1:9" s="21" customFormat="1" ht="16.5" x14ac:dyDescent="0.15">
      <c r="A158" s="18">
        <v>10155</v>
      </c>
      <c r="B158" s="18">
        <v>91106</v>
      </c>
      <c r="C158" s="19">
        <v>9</v>
      </c>
      <c r="D158" s="20" t="s">
        <v>522</v>
      </c>
      <c r="E158" s="19" t="s">
        <v>230</v>
      </c>
      <c r="F158" s="26">
        <v>59005</v>
      </c>
      <c r="G158" s="21">
        <v>5</v>
      </c>
      <c r="H158" s="21">
        <f t="shared" si="1"/>
        <v>80</v>
      </c>
      <c r="I158" s="21" t="str">
        <f>"1|"&amp;INDEX([1]全服BOSS!$R$28:$AV$41,MATCH(H158,[1]全服BOSS!$R$28:$R$41,0),MATCH($G158,[1]全服BOSS!$R$28:$AV$28,0))</f>
        <v>1|6600</v>
      </c>
    </row>
    <row r="159" spans="1:9" s="21" customFormat="1" ht="16.5" x14ac:dyDescent="0.15">
      <c r="A159" s="18">
        <v>10156</v>
      </c>
      <c r="B159" s="18">
        <v>91106</v>
      </c>
      <c r="C159" s="19">
        <v>11</v>
      </c>
      <c r="D159" s="20" t="s">
        <v>455</v>
      </c>
      <c r="E159" s="19" t="s">
        <v>195</v>
      </c>
      <c r="F159" s="26">
        <v>59006</v>
      </c>
      <c r="G159" s="21">
        <v>6</v>
      </c>
      <c r="H159" s="21">
        <f t="shared" si="1"/>
        <v>80</v>
      </c>
      <c r="I159" s="21" t="str">
        <f>"1|"&amp;INDEX([1]全服BOSS!$R$28:$AV$41,MATCH(H159,[1]全服BOSS!$R$28:$R$41,0),MATCH($G159,[1]全服BOSS!$R$28:$AV$28,0))</f>
        <v>1|7900</v>
      </c>
    </row>
    <row r="160" spans="1:9" s="21" customFormat="1" ht="16.5" x14ac:dyDescent="0.15">
      <c r="A160" s="18">
        <v>10157</v>
      </c>
      <c r="B160" s="18">
        <v>91106</v>
      </c>
      <c r="C160" s="19">
        <v>13</v>
      </c>
      <c r="D160" s="20" t="s">
        <v>421</v>
      </c>
      <c r="E160" s="19" t="s">
        <v>181</v>
      </c>
      <c r="F160" s="26">
        <v>59007</v>
      </c>
      <c r="G160" s="21">
        <v>7</v>
      </c>
      <c r="H160" s="21">
        <f t="shared" si="1"/>
        <v>80</v>
      </c>
      <c r="I160" s="21" t="str">
        <f>"1|"&amp;INDEX([1]全服BOSS!$R$28:$AV$41,MATCH(H160,[1]全服BOSS!$R$28:$R$41,0),MATCH($G160,[1]全服BOSS!$R$28:$AV$28,0))</f>
        <v>1|9200</v>
      </c>
    </row>
    <row r="161" spans="1:9" s="21" customFormat="1" ht="16.5" x14ac:dyDescent="0.15">
      <c r="A161" s="18">
        <v>10158</v>
      </c>
      <c r="B161" s="18">
        <v>91106</v>
      </c>
      <c r="C161" s="19">
        <v>15</v>
      </c>
      <c r="D161" s="20" t="s">
        <v>523</v>
      </c>
      <c r="E161" s="19" t="s">
        <v>231</v>
      </c>
      <c r="F161" s="26">
        <v>59008</v>
      </c>
      <c r="G161" s="21">
        <v>8</v>
      </c>
      <c r="H161" s="21">
        <f t="shared" si="1"/>
        <v>80</v>
      </c>
      <c r="I161" s="21" t="str">
        <f>"1|"&amp;INDEX([1]全服BOSS!$R$28:$AV$41,MATCH(H161,[1]全服BOSS!$R$28:$R$41,0),MATCH($G161,[1]全服BOSS!$R$28:$AV$28,0))</f>
        <v>1|10500</v>
      </c>
    </row>
    <row r="162" spans="1:9" s="21" customFormat="1" ht="16.5" x14ac:dyDescent="0.15">
      <c r="A162" s="18">
        <v>10159</v>
      </c>
      <c r="B162" s="18">
        <v>91106</v>
      </c>
      <c r="C162" s="19">
        <v>17</v>
      </c>
      <c r="D162" s="20" t="s">
        <v>524</v>
      </c>
      <c r="E162" s="19" t="s">
        <v>106</v>
      </c>
      <c r="F162" s="26">
        <v>59009</v>
      </c>
      <c r="G162" s="21">
        <v>9</v>
      </c>
      <c r="H162" s="21">
        <f t="shared" si="1"/>
        <v>80</v>
      </c>
      <c r="I162" s="21" t="str">
        <f>"1|"&amp;INDEX([1]全服BOSS!$R$28:$AV$41,MATCH(H162,[1]全服BOSS!$R$28:$R$41,0),MATCH($G162,[1]全服BOSS!$R$28:$AV$28,0))</f>
        <v>1|11900</v>
      </c>
    </row>
    <row r="163" spans="1:9" s="21" customFormat="1" ht="16.5" x14ac:dyDescent="0.15">
      <c r="A163" s="18">
        <v>10160</v>
      </c>
      <c r="B163" s="18">
        <v>91106</v>
      </c>
      <c r="C163" s="19">
        <v>19</v>
      </c>
      <c r="D163" s="20" t="s">
        <v>525</v>
      </c>
      <c r="E163" s="19" t="s">
        <v>232</v>
      </c>
      <c r="F163" s="26">
        <v>59010</v>
      </c>
      <c r="G163" s="21">
        <v>10</v>
      </c>
      <c r="H163" s="21">
        <f t="shared" si="1"/>
        <v>80</v>
      </c>
      <c r="I163" s="21" t="str">
        <f>"1|"&amp;INDEX([1]全服BOSS!$R$28:$AV$41,MATCH(H163,[1]全服BOSS!$R$28:$R$41,0),MATCH($G163,[1]全服BOSS!$R$28:$AV$28,0))</f>
        <v>1|13200</v>
      </c>
    </row>
    <row r="164" spans="1:9" s="21" customFormat="1" ht="16.5" x14ac:dyDescent="0.15">
      <c r="A164" s="18">
        <v>10161</v>
      </c>
      <c r="B164" s="18">
        <v>91106</v>
      </c>
      <c r="C164" s="19">
        <v>21</v>
      </c>
      <c r="D164" s="20" t="s">
        <v>526</v>
      </c>
      <c r="E164" s="19" t="s">
        <v>233</v>
      </c>
      <c r="F164" s="26">
        <v>59011</v>
      </c>
      <c r="G164" s="21">
        <v>12</v>
      </c>
      <c r="H164" s="21">
        <f t="shared" si="1"/>
        <v>80</v>
      </c>
      <c r="I164" s="21" t="str">
        <f>"1|"&amp;INDEX([1]全服BOSS!$R$28:$AV$41,MATCH(H164,[1]全服BOSS!$R$28:$R$41,0),MATCH($G164,[1]全服BOSS!$R$28:$AV$28,0))</f>
        <v>1|15800</v>
      </c>
    </row>
    <row r="165" spans="1:9" s="21" customFormat="1" ht="16.5" x14ac:dyDescent="0.15">
      <c r="A165" s="18">
        <v>10162</v>
      </c>
      <c r="B165" s="18">
        <v>91106</v>
      </c>
      <c r="C165" s="19">
        <v>23</v>
      </c>
      <c r="D165" s="20" t="s">
        <v>527</v>
      </c>
      <c r="E165" s="19" t="s">
        <v>234</v>
      </c>
      <c r="F165" s="26">
        <v>59012</v>
      </c>
      <c r="G165" s="21">
        <v>14</v>
      </c>
      <c r="H165" s="21">
        <f t="shared" si="1"/>
        <v>80</v>
      </c>
      <c r="I165" s="21" t="str">
        <f>"1|"&amp;INDEX([1]全服BOSS!$R$28:$AV$41,MATCH(H165,[1]全服BOSS!$R$28:$R$41,0),MATCH($G165,[1]全服BOSS!$R$28:$AV$28,0))</f>
        <v>1|18500</v>
      </c>
    </row>
    <row r="166" spans="1:9" s="21" customFormat="1" ht="16.5" x14ac:dyDescent="0.15">
      <c r="A166" s="18">
        <v>10163</v>
      </c>
      <c r="B166" s="18">
        <v>91106</v>
      </c>
      <c r="C166" s="19">
        <v>25</v>
      </c>
      <c r="D166" s="20" t="s">
        <v>528</v>
      </c>
      <c r="E166" s="19" t="s">
        <v>235</v>
      </c>
      <c r="F166" s="26">
        <v>59013</v>
      </c>
      <c r="G166" s="21">
        <v>16</v>
      </c>
      <c r="H166" s="21">
        <f t="shared" si="1"/>
        <v>80</v>
      </c>
      <c r="I166" s="21" t="str">
        <f>"1|"&amp;INDEX([1]全服BOSS!$R$28:$AV$41,MATCH(H166,[1]全服BOSS!$R$28:$R$41,0),MATCH($G166,[1]全服BOSS!$R$28:$AV$28,0))</f>
        <v>1|21100</v>
      </c>
    </row>
    <row r="167" spans="1:9" s="21" customFormat="1" ht="16.5" x14ac:dyDescent="0.15">
      <c r="A167" s="18">
        <v>10164</v>
      </c>
      <c r="B167" s="18">
        <v>91106</v>
      </c>
      <c r="C167" s="19">
        <v>27</v>
      </c>
      <c r="D167" s="20" t="s">
        <v>529</v>
      </c>
      <c r="E167" s="19" t="s">
        <v>110</v>
      </c>
      <c r="F167" s="26">
        <v>59014</v>
      </c>
      <c r="G167" s="21">
        <v>18</v>
      </c>
      <c r="H167" s="21">
        <f t="shared" si="1"/>
        <v>80</v>
      </c>
      <c r="I167" s="21" t="str">
        <f>"1|"&amp;INDEX([1]全服BOSS!$R$28:$AV$41,MATCH(H167,[1]全服BOSS!$R$28:$R$41,0),MATCH($G167,[1]全服BOSS!$R$28:$AV$28,0))</f>
        <v>1|23700</v>
      </c>
    </row>
    <row r="168" spans="1:9" s="21" customFormat="1" ht="16.5" x14ac:dyDescent="0.15">
      <c r="A168" s="18">
        <v>10165</v>
      </c>
      <c r="B168" s="18">
        <v>91106</v>
      </c>
      <c r="C168" s="19">
        <v>29</v>
      </c>
      <c r="D168" s="20" t="s">
        <v>530</v>
      </c>
      <c r="E168" s="19" t="s">
        <v>236</v>
      </c>
      <c r="F168" s="26">
        <v>59015</v>
      </c>
      <c r="G168" s="21">
        <v>20</v>
      </c>
      <c r="H168" s="21">
        <f t="shared" si="1"/>
        <v>80</v>
      </c>
      <c r="I168" s="21" t="str">
        <f>"1|"&amp;INDEX([1]全服BOSS!$R$28:$AV$41,MATCH(H168,[1]全服BOSS!$R$28:$R$41,0),MATCH($G168,[1]全服BOSS!$R$28:$AV$28,0))</f>
        <v>1|26400</v>
      </c>
    </row>
    <row r="169" spans="1:9" s="21" customFormat="1" ht="16.5" x14ac:dyDescent="0.15">
      <c r="A169" s="18">
        <v>10166</v>
      </c>
      <c r="B169" s="18">
        <v>91106</v>
      </c>
      <c r="C169" s="19">
        <v>31</v>
      </c>
      <c r="D169" s="20" t="s">
        <v>531</v>
      </c>
      <c r="E169" s="19" t="s">
        <v>237</v>
      </c>
      <c r="F169" s="26">
        <v>59016</v>
      </c>
      <c r="G169" s="21">
        <v>22</v>
      </c>
      <c r="H169" s="21">
        <f t="shared" si="1"/>
        <v>80</v>
      </c>
      <c r="I169" s="21" t="str">
        <f>"1|"&amp;INDEX([1]全服BOSS!$R$28:$AV$41,MATCH(H169,[1]全服BOSS!$R$28:$R$41,0),MATCH($G169,[1]全服BOSS!$R$28:$AV$28,0))</f>
        <v>1|29000</v>
      </c>
    </row>
    <row r="170" spans="1:9" s="21" customFormat="1" ht="16.5" x14ac:dyDescent="0.15">
      <c r="A170" s="18">
        <v>10167</v>
      </c>
      <c r="B170" s="18">
        <v>91106</v>
      </c>
      <c r="C170" s="19">
        <v>33</v>
      </c>
      <c r="D170" s="20" t="s">
        <v>532</v>
      </c>
      <c r="E170" s="19" t="s">
        <v>238</v>
      </c>
      <c r="F170" s="26">
        <v>59017</v>
      </c>
      <c r="G170" s="21">
        <v>24</v>
      </c>
      <c r="H170" s="21">
        <f t="shared" si="1"/>
        <v>80</v>
      </c>
      <c r="I170" s="21" t="str">
        <f>"1|"&amp;INDEX([1]全服BOSS!$R$28:$AV$41,MATCH(H170,[1]全服BOSS!$R$28:$R$41,0),MATCH($G170,[1]全服BOSS!$R$28:$AV$28,0))</f>
        <v>1|31600</v>
      </c>
    </row>
    <row r="171" spans="1:9" s="21" customFormat="1" ht="16.5" x14ac:dyDescent="0.15">
      <c r="A171" s="18">
        <v>10168</v>
      </c>
      <c r="B171" s="18">
        <v>91106</v>
      </c>
      <c r="C171" s="19">
        <v>35</v>
      </c>
      <c r="D171" s="20" t="s">
        <v>533</v>
      </c>
      <c r="E171" s="19" t="s">
        <v>239</v>
      </c>
      <c r="F171" s="26">
        <v>59018</v>
      </c>
      <c r="G171" s="21">
        <v>26</v>
      </c>
      <c r="H171" s="21">
        <f t="shared" si="1"/>
        <v>80</v>
      </c>
      <c r="I171" s="21" t="str">
        <f>"1|"&amp;INDEX([1]全服BOSS!$R$28:$AV$41,MATCH(H171,[1]全服BOSS!$R$28:$R$41,0),MATCH($G171,[1]全服BOSS!$R$28:$AV$28,0))</f>
        <v>1|34300</v>
      </c>
    </row>
    <row r="172" spans="1:9" s="21" customFormat="1" ht="16.5" x14ac:dyDescent="0.15">
      <c r="A172" s="18">
        <v>10169</v>
      </c>
      <c r="B172" s="18">
        <v>91106</v>
      </c>
      <c r="C172" s="19">
        <v>37</v>
      </c>
      <c r="D172" s="20" t="s">
        <v>491</v>
      </c>
      <c r="E172" s="19" t="s">
        <v>214</v>
      </c>
      <c r="F172" s="26">
        <v>59019</v>
      </c>
      <c r="G172" s="21">
        <v>28</v>
      </c>
      <c r="H172" s="21">
        <f t="shared" si="1"/>
        <v>80</v>
      </c>
      <c r="I172" s="21" t="str">
        <f>"1|"&amp;INDEX([1]全服BOSS!$R$28:$AV$41,MATCH(H172,[1]全服BOSS!$R$28:$R$41,0),MATCH($G172,[1]全服BOSS!$R$28:$AV$28,0))</f>
        <v>1|36900</v>
      </c>
    </row>
    <row r="173" spans="1:9" s="21" customFormat="1" ht="16.5" x14ac:dyDescent="0.15">
      <c r="A173" s="18">
        <v>10170</v>
      </c>
      <c r="B173" s="18">
        <v>91106</v>
      </c>
      <c r="C173" s="19">
        <v>39</v>
      </c>
      <c r="D173" s="20" t="s">
        <v>534</v>
      </c>
      <c r="E173" s="19" t="s">
        <v>147</v>
      </c>
      <c r="F173" s="26">
        <v>59020</v>
      </c>
      <c r="G173" s="21">
        <v>30</v>
      </c>
      <c r="H173" s="21">
        <f t="shared" si="1"/>
        <v>80</v>
      </c>
      <c r="I173" s="21" t="str">
        <f>"1|"&amp;INDEX([1]全服BOSS!$R$28:$AV$41,MATCH(H173,[1]全服BOSS!$R$28:$R$41,0),MATCH($G173,[1]全服BOSS!$R$28:$AV$28,0))</f>
        <v>1|39500</v>
      </c>
    </row>
    <row r="174" spans="1:9" s="21" customFormat="1" ht="16.5" x14ac:dyDescent="0.15">
      <c r="A174" s="18">
        <v>10171</v>
      </c>
      <c r="B174" s="18">
        <v>91106</v>
      </c>
      <c r="C174" s="19">
        <v>41</v>
      </c>
      <c r="D174" s="20" t="s">
        <v>535</v>
      </c>
      <c r="E174" s="19" t="s">
        <v>240</v>
      </c>
      <c r="F174" s="26">
        <v>59021</v>
      </c>
      <c r="G174" s="21">
        <v>32</v>
      </c>
      <c r="H174" s="21">
        <f t="shared" si="1"/>
        <v>80</v>
      </c>
      <c r="I174" s="21" t="str">
        <f>"1|"&amp;INDEX([1]全服BOSS!$R$28:$AV$41,MATCH(H174,[1]全服BOSS!$R$28:$R$41,0),MATCH($G174,[1]全服BOSS!$R$28:$AV$28,0))</f>
        <v>1|42200</v>
      </c>
    </row>
    <row r="175" spans="1:9" s="21" customFormat="1" ht="16.5" x14ac:dyDescent="0.15">
      <c r="A175" s="18">
        <v>10172</v>
      </c>
      <c r="B175" s="18">
        <v>91106</v>
      </c>
      <c r="C175" s="19">
        <v>43</v>
      </c>
      <c r="D175" s="20" t="s">
        <v>536</v>
      </c>
      <c r="E175" s="19" t="s">
        <v>138</v>
      </c>
      <c r="F175" s="26">
        <v>59022</v>
      </c>
      <c r="G175" s="21">
        <v>34</v>
      </c>
      <c r="H175" s="21">
        <f t="shared" si="1"/>
        <v>80</v>
      </c>
      <c r="I175" s="21" t="str">
        <f>"1|"&amp;INDEX([1]全服BOSS!$R$28:$AV$41,MATCH(H175,[1]全服BOSS!$R$28:$R$41,0),MATCH($G175,[1]全服BOSS!$R$28:$AV$28,0))</f>
        <v>1|44800</v>
      </c>
    </row>
    <row r="176" spans="1:9" s="21" customFormat="1" ht="16.5" x14ac:dyDescent="0.15">
      <c r="A176" s="18">
        <v>10173</v>
      </c>
      <c r="B176" s="18">
        <v>91106</v>
      </c>
      <c r="C176" s="19">
        <v>45</v>
      </c>
      <c r="D176" s="20" t="s">
        <v>537</v>
      </c>
      <c r="E176" s="19" t="s">
        <v>241</v>
      </c>
      <c r="F176" s="26">
        <v>59023</v>
      </c>
      <c r="G176" s="21">
        <v>36</v>
      </c>
      <c r="H176" s="21">
        <f t="shared" si="1"/>
        <v>80</v>
      </c>
      <c r="I176" s="21" t="str">
        <f>"1|"&amp;INDEX([1]全服BOSS!$R$28:$AV$41,MATCH(H176,[1]全服BOSS!$R$28:$R$41,0),MATCH($G176,[1]全服BOSS!$R$28:$AV$28,0))</f>
        <v>1|47500</v>
      </c>
    </row>
    <row r="177" spans="1:9" s="21" customFormat="1" ht="16.5" x14ac:dyDescent="0.15">
      <c r="A177" s="18">
        <v>10174</v>
      </c>
      <c r="B177" s="18">
        <v>91106</v>
      </c>
      <c r="C177" s="19">
        <v>47</v>
      </c>
      <c r="D177" s="20" t="s">
        <v>538</v>
      </c>
      <c r="E177" s="19" t="s">
        <v>242</v>
      </c>
      <c r="F177" s="26">
        <v>59024</v>
      </c>
      <c r="G177" s="21">
        <v>38</v>
      </c>
      <c r="H177" s="21">
        <f t="shared" si="1"/>
        <v>80</v>
      </c>
      <c r="I177" s="21" t="str">
        <f>"1|"&amp;INDEX([1]全服BOSS!$R$28:$AV$41,MATCH(H177,[1]全服BOSS!$R$28:$R$41,0),MATCH($G177,[1]全服BOSS!$R$28:$AV$28,0))</f>
        <v>1|50100</v>
      </c>
    </row>
    <row r="178" spans="1:9" s="21" customFormat="1" ht="16.5" x14ac:dyDescent="0.15">
      <c r="A178" s="18">
        <v>10175</v>
      </c>
      <c r="B178" s="18">
        <v>91106</v>
      </c>
      <c r="C178" s="19">
        <v>49</v>
      </c>
      <c r="D178" s="20" t="s">
        <v>539</v>
      </c>
      <c r="E178" s="19" t="s">
        <v>243</v>
      </c>
      <c r="F178" s="26">
        <v>59025</v>
      </c>
      <c r="G178" s="21">
        <v>40</v>
      </c>
      <c r="H178" s="21">
        <f t="shared" si="1"/>
        <v>80</v>
      </c>
      <c r="I178" s="21" t="str">
        <f>"1|"&amp;INDEX([1]全服BOSS!$R$28:$AV$41,MATCH(H178,[1]全服BOSS!$R$28:$R$41,0),MATCH($G178,[1]全服BOSS!$R$28:$AV$28,0))</f>
        <v>1|52700</v>
      </c>
    </row>
    <row r="179" spans="1:9" s="21" customFormat="1" ht="16.5" x14ac:dyDescent="0.15">
      <c r="A179" s="18">
        <v>10176</v>
      </c>
      <c r="B179" s="18">
        <v>91106</v>
      </c>
      <c r="C179" s="19">
        <v>51</v>
      </c>
      <c r="D179" s="20" t="s">
        <v>540</v>
      </c>
      <c r="E179" s="19" t="s">
        <v>244</v>
      </c>
      <c r="F179" s="26">
        <v>59026</v>
      </c>
      <c r="G179" s="21">
        <v>42</v>
      </c>
      <c r="H179" s="21">
        <f t="shared" si="1"/>
        <v>80</v>
      </c>
      <c r="I179" s="21" t="str">
        <f>"1|"&amp;INDEX([1]全服BOSS!$R$28:$AV$41,MATCH(H179,[1]全服BOSS!$R$28:$R$41,0),MATCH($G179,[1]全服BOSS!$R$28:$AV$28,0))</f>
        <v>1|55400</v>
      </c>
    </row>
    <row r="180" spans="1:9" s="21" customFormat="1" ht="16.5" x14ac:dyDescent="0.15">
      <c r="A180" s="18">
        <v>10177</v>
      </c>
      <c r="B180" s="18">
        <v>91106</v>
      </c>
      <c r="C180" s="19">
        <v>53</v>
      </c>
      <c r="D180" s="20" t="s">
        <v>541</v>
      </c>
      <c r="E180" s="19" t="s">
        <v>245</v>
      </c>
      <c r="F180" s="26">
        <v>59027</v>
      </c>
      <c r="G180" s="21">
        <v>44</v>
      </c>
      <c r="H180" s="21">
        <f t="shared" si="1"/>
        <v>80</v>
      </c>
      <c r="I180" s="21" t="str">
        <f>"1|"&amp;INDEX([1]全服BOSS!$R$28:$AV$41,MATCH(H180,[1]全服BOSS!$R$28:$R$41,0),MATCH($G180,[1]全服BOSS!$R$28:$AV$28,0))</f>
        <v>1|58000</v>
      </c>
    </row>
    <row r="181" spans="1:9" s="21" customFormat="1" ht="16.5" x14ac:dyDescent="0.15">
      <c r="A181" s="18">
        <v>10178</v>
      </c>
      <c r="B181" s="18">
        <v>91106</v>
      </c>
      <c r="C181" s="19">
        <v>55</v>
      </c>
      <c r="D181" s="20" t="s">
        <v>542</v>
      </c>
      <c r="E181" s="19" t="s">
        <v>246</v>
      </c>
      <c r="F181" s="26">
        <v>59028</v>
      </c>
      <c r="G181" s="21">
        <v>46</v>
      </c>
      <c r="H181" s="21">
        <f t="shared" si="1"/>
        <v>80</v>
      </c>
      <c r="I181" s="21" t="str">
        <f>"1|"&amp;INDEX([1]全服BOSS!$R$28:$AV$41,MATCH(H181,[1]全服BOSS!$R$28:$R$41,0),MATCH($G181,[1]全服BOSS!$R$28:$AV$28,0))</f>
        <v>1|60600</v>
      </c>
    </row>
    <row r="182" spans="1:9" s="21" customFormat="1" ht="16.5" x14ac:dyDescent="0.15">
      <c r="A182" s="18">
        <v>10179</v>
      </c>
      <c r="B182" s="18">
        <v>91106</v>
      </c>
      <c r="C182" s="19">
        <v>57</v>
      </c>
      <c r="D182" s="20" t="s">
        <v>543</v>
      </c>
      <c r="E182" s="19" t="s">
        <v>247</v>
      </c>
      <c r="F182" s="26">
        <v>59029</v>
      </c>
      <c r="G182" s="21">
        <v>48</v>
      </c>
      <c r="H182" s="21">
        <f t="shared" si="1"/>
        <v>80</v>
      </c>
      <c r="I182" s="21" t="str">
        <f>"1|"&amp;INDEX([1]全服BOSS!$R$28:$AV$41,MATCH(H182,[1]全服BOSS!$R$28:$R$41,0),MATCH($G182,[1]全服BOSS!$R$28:$AV$28,0))</f>
        <v>1|63300</v>
      </c>
    </row>
    <row r="183" spans="1:9" s="21" customFormat="1" ht="16.5" x14ac:dyDescent="0.15">
      <c r="A183" s="18">
        <v>10180</v>
      </c>
      <c r="B183" s="18">
        <v>91106</v>
      </c>
      <c r="C183" s="19">
        <v>59</v>
      </c>
      <c r="D183" s="20" t="s">
        <v>544</v>
      </c>
      <c r="E183" s="19" t="s">
        <v>248</v>
      </c>
      <c r="F183" s="26">
        <v>59030</v>
      </c>
      <c r="G183" s="21">
        <v>50</v>
      </c>
      <c r="H183" s="21">
        <f t="shared" si="1"/>
        <v>80</v>
      </c>
      <c r="I183" s="21" t="str">
        <f>"1|"&amp;INDEX([1]全服BOSS!$R$28:$AV$41,MATCH(H183,[1]全服BOSS!$R$28:$R$41,0),MATCH($G183,[1]全服BOSS!$R$28:$AV$28,0))</f>
        <v>1|65900</v>
      </c>
    </row>
    <row r="184" spans="1:9" ht="16.5" x14ac:dyDescent="0.15">
      <c r="A184" s="2">
        <v>10181</v>
      </c>
      <c r="B184" s="2">
        <v>91107</v>
      </c>
      <c r="C184" s="10">
        <v>1</v>
      </c>
      <c r="D184" s="14" t="s">
        <v>426</v>
      </c>
      <c r="E184" s="10" t="s">
        <v>71</v>
      </c>
      <c r="F184" s="24">
        <v>59001</v>
      </c>
      <c r="G184">
        <v>1</v>
      </c>
      <c r="H184">
        <f t="shared" si="1"/>
        <v>90</v>
      </c>
      <c r="I184" t="str">
        <f>"1|"&amp;INDEX([1]全服BOSS!$R$28:$AV$41,MATCH(H184,[1]全服BOSS!$R$28:$R$41,0),MATCH($G184,[1]全服BOSS!$R$28:$AV$28,0))</f>
        <v>1|1600</v>
      </c>
    </row>
    <row r="185" spans="1:9" ht="16.5" x14ac:dyDescent="0.15">
      <c r="A185" s="2">
        <v>10182</v>
      </c>
      <c r="B185" s="2">
        <v>91107</v>
      </c>
      <c r="C185" s="10">
        <v>3</v>
      </c>
      <c r="D185" s="14" t="s">
        <v>429</v>
      </c>
      <c r="E185" s="10" t="s">
        <v>187</v>
      </c>
      <c r="F185" s="24">
        <v>59002</v>
      </c>
      <c r="G185">
        <v>2</v>
      </c>
      <c r="H185">
        <f t="shared" si="1"/>
        <v>90</v>
      </c>
      <c r="I185" t="str">
        <f>"1|"&amp;INDEX([1]全服BOSS!$R$28:$AV$41,MATCH(H185,[1]全服BOSS!$R$28:$R$41,0),MATCH($G185,[1]全服BOSS!$R$28:$AV$28,0))</f>
        <v>1|3200</v>
      </c>
    </row>
    <row r="186" spans="1:9" ht="16.5" x14ac:dyDescent="0.15">
      <c r="A186" s="2">
        <v>10183</v>
      </c>
      <c r="B186" s="2">
        <v>91107</v>
      </c>
      <c r="C186" s="10">
        <v>5</v>
      </c>
      <c r="D186" s="14" t="s">
        <v>545</v>
      </c>
      <c r="E186" s="10" t="s">
        <v>90</v>
      </c>
      <c r="F186" s="24">
        <v>59003</v>
      </c>
      <c r="G186">
        <v>3</v>
      </c>
      <c r="H186">
        <f t="shared" si="1"/>
        <v>90</v>
      </c>
      <c r="I186" t="str">
        <f>"1|"&amp;INDEX([1]全服BOSS!$R$28:$AV$41,MATCH(H186,[1]全服BOSS!$R$28:$R$41,0),MATCH($G186,[1]全服BOSS!$R$28:$AV$28,0))</f>
        <v>1|4800</v>
      </c>
    </row>
    <row r="187" spans="1:9" ht="16.5" x14ac:dyDescent="0.15">
      <c r="A187" s="2">
        <v>10184</v>
      </c>
      <c r="B187" s="2">
        <v>91107</v>
      </c>
      <c r="C187" s="10">
        <v>7</v>
      </c>
      <c r="D187" s="14" t="s">
        <v>497</v>
      </c>
      <c r="E187" s="10" t="s">
        <v>219</v>
      </c>
      <c r="F187" s="24">
        <v>59004</v>
      </c>
      <c r="G187">
        <v>4</v>
      </c>
      <c r="H187">
        <f t="shared" si="1"/>
        <v>90</v>
      </c>
      <c r="I187" t="str">
        <f>"1|"&amp;INDEX([1]全服BOSS!$R$28:$AV$41,MATCH(H187,[1]全服BOSS!$R$28:$R$41,0),MATCH($G187,[1]全服BOSS!$R$28:$AV$28,0))</f>
        <v>1|6400</v>
      </c>
    </row>
    <row r="188" spans="1:9" ht="16.5" x14ac:dyDescent="0.15">
      <c r="A188" s="2">
        <v>10185</v>
      </c>
      <c r="B188" s="2">
        <v>91107</v>
      </c>
      <c r="C188" s="10">
        <v>9</v>
      </c>
      <c r="D188" s="14" t="s">
        <v>418</v>
      </c>
      <c r="E188" s="10" t="s">
        <v>83</v>
      </c>
      <c r="F188" s="24">
        <v>59005</v>
      </c>
      <c r="G188">
        <v>5</v>
      </c>
      <c r="H188">
        <f t="shared" si="1"/>
        <v>90</v>
      </c>
      <c r="I188" t="str">
        <f>"1|"&amp;INDEX([1]全服BOSS!$R$28:$AV$41,MATCH(H188,[1]全服BOSS!$R$28:$R$41,0),MATCH($G188,[1]全服BOSS!$R$28:$AV$28,0))</f>
        <v>1|8100</v>
      </c>
    </row>
    <row r="189" spans="1:9" ht="16.5" x14ac:dyDescent="0.15">
      <c r="A189" s="2">
        <v>10186</v>
      </c>
      <c r="B189" s="2">
        <v>91107</v>
      </c>
      <c r="C189" s="10">
        <v>11</v>
      </c>
      <c r="D189" s="14" t="s">
        <v>436</v>
      </c>
      <c r="E189" s="10" t="s">
        <v>158</v>
      </c>
      <c r="F189" s="24">
        <v>59006</v>
      </c>
      <c r="G189">
        <v>6</v>
      </c>
      <c r="H189">
        <f t="shared" si="1"/>
        <v>90</v>
      </c>
      <c r="I189" t="str">
        <f>"1|"&amp;INDEX([1]全服BOSS!$R$28:$AV$41,MATCH(H189,[1]全服BOSS!$R$28:$R$41,0),MATCH($G189,[1]全服BOSS!$R$28:$AV$28,0))</f>
        <v>1|9700</v>
      </c>
    </row>
    <row r="190" spans="1:9" ht="16.5" x14ac:dyDescent="0.15">
      <c r="A190" s="2">
        <v>10187</v>
      </c>
      <c r="B190" s="2">
        <v>91107</v>
      </c>
      <c r="C190" s="10">
        <v>13</v>
      </c>
      <c r="D190" s="14" t="s">
        <v>546</v>
      </c>
      <c r="E190" s="10" t="s">
        <v>143</v>
      </c>
      <c r="F190" s="24">
        <v>59007</v>
      </c>
      <c r="G190">
        <v>7</v>
      </c>
      <c r="H190">
        <f t="shared" si="1"/>
        <v>90</v>
      </c>
      <c r="I190" t="str">
        <f>"1|"&amp;INDEX([1]全服BOSS!$R$28:$AV$41,MATCH(H190,[1]全服BOSS!$R$28:$R$41,0),MATCH($G190,[1]全服BOSS!$R$28:$AV$28,0))</f>
        <v>1|11300</v>
      </c>
    </row>
    <row r="191" spans="1:9" ht="16.5" x14ac:dyDescent="0.15">
      <c r="A191" s="2">
        <v>10188</v>
      </c>
      <c r="B191" s="2">
        <v>91107</v>
      </c>
      <c r="C191" s="10">
        <v>15</v>
      </c>
      <c r="D191" s="14" t="s">
        <v>441</v>
      </c>
      <c r="E191" s="10" t="s">
        <v>96</v>
      </c>
      <c r="F191" s="24">
        <v>59008</v>
      </c>
      <c r="G191">
        <v>8</v>
      </c>
      <c r="H191">
        <f t="shared" si="1"/>
        <v>90</v>
      </c>
      <c r="I191" t="str">
        <f>"1|"&amp;INDEX([1]全服BOSS!$R$28:$AV$41,MATCH(H191,[1]全服BOSS!$R$28:$R$41,0),MATCH($G191,[1]全服BOSS!$R$28:$AV$28,0))</f>
        <v>1|12900</v>
      </c>
    </row>
    <row r="192" spans="1:9" ht="16.5" x14ac:dyDescent="0.15">
      <c r="A192" s="2">
        <v>10189</v>
      </c>
      <c r="B192" s="2">
        <v>91107</v>
      </c>
      <c r="C192" s="10">
        <v>17</v>
      </c>
      <c r="D192" s="14" t="s">
        <v>547</v>
      </c>
      <c r="E192" s="10" t="s">
        <v>249</v>
      </c>
      <c r="F192" s="24">
        <v>59009</v>
      </c>
      <c r="G192">
        <v>9</v>
      </c>
      <c r="H192">
        <f t="shared" si="1"/>
        <v>90</v>
      </c>
      <c r="I192" t="str">
        <f>"1|"&amp;INDEX([1]全服BOSS!$R$28:$AV$41,MATCH(H192,[1]全服BOSS!$R$28:$R$41,0),MATCH($G192,[1]全服BOSS!$R$28:$AV$28,0))</f>
        <v>1|14500</v>
      </c>
    </row>
    <row r="193" spans="1:9" ht="16.5" x14ac:dyDescent="0.15">
      <c r="A193" s="2">
        <v>10190</v>
      </c>
      <c r="B193" s="2">
        <v>91107</v>
      </c>
      <c r="C193" s="10">
        <v>19</v>
      </c>
      <c r="D193" s="14" t="s">
        <v>548</v>
      </c>
      <c r="E193" s="10" t="s">
        <v>250</v>
      </c>
      <c r="F193" s="24">
        <v>59010</v>
      </c>
      <c r="G193">
        <v>10</v>
      </c>
      <c r="H193">
        <f t="shared" ref="H193:H256" si="2">H163+10</f>
        <v>90</v>
      </c>
      <c r="I193" t="str">
        <f>"1|"&amp;INDEX([1]全服BOSS!$R$28:$AV$41,MATCH(H193,[1]全服BOSS!$R$28:$R$41,0),MATCH($G193,[1]全服BOSS!$R$28:$AV$28,0))</f>
        <v>1|16100</v>
      </c>
    </row>
    <row r="194" spans="1:9" ht="16.5" x14ac:dyDescent="0.15">
      <c r="A194" s="2">
        <v>10191</v>
      </c>
      <c r="B194" s="2">
        <v>91107</v>
      </c>
      <c r="C194" s="10">
        <v>21</v>
      </c>
      <c r="D194" s="14" t="s">
        <v>549</v>
      </c>
      <c r="E194" s="10" t="s">
        <v>251</v>
      </c>
      <c r="F194" s="24">
        <v>59011</v>
      </c>
      <c r="G194">
        <v>12</v>
      </c>
      <c r="H194">
        <f t="shared" si="2"/>
        <v>90</v>
      </c>
      <c r="I194" t="str">
        <f>"1|"&amp;INDEX([1]全服BOSS!$R$28:$AV$41,MATCH(H194,[1]全服BOSS!$R$28:$R$41,0),MATCH($G194,[1]全服BOSS!$R$28:$AV$28,0))</f>
        <v>1|19300</v>
      </c>
    </row>
    <row r="195" spans="1:9" ht="16.5" x14ac:dyDescent="0.15">
      <c r="A195" s="2">
        <v>10192</v>
      </c>
      <c r="B195" s="2">
        <v>91107</v>
      </c>
      <c r="C195" s="10">
        <v>23</v>
      </c>
      <c r="D195" s="14" t="s">
        <v>550</v>
      </c>
      <c r="E195" s="10" t="s">
        <v>109</v>
      </c>
      <c r="F195" s="24">
        <v>59012</v>
      </c>
      <c r="G195">
        <v>14</v>
      </c>
      <c r="H195">
        <f t="shared" si="2"/>
        <v>90</v>
      </c>
      <c r="I195" t="str">
        <f>"1|"&amp;INDEX([1]全服BOSS!$R$28:$AV$41,MATCH(H195,[1]全服BOSS!$R$28:$R$41,0),MATCH($G195,[1]全服BOSS!$R$28:$AV$28,0))</f>
        <v>1|22600</v>
      </c>
    </row>
    <row r="196" spans="1:9" ht="16.5" x14ac:dyDescent="0.15">
      <c r="A196" s="2">
        <v>10193</v>
      </c>
      <c r="B196" s="2">
        <v>91107</v>
      </c>
      <c r="C196" s="10">
        <v>25</v>
      </c>
      <c r="D196" s="14" t="s">
        <v>470</v>
      </c>
      <c r="E196" s="10" t="s">
        <v>200</v>
      </c>
      <c r="F196" s="24">
        <v>59013</v>
      </c>
      <c r="G196">
        <v>16</v>
      </c>
      <c r="H196">
        <f t="shared" si="2"/>
        <v>90</v>
      </c>
      <c r="I196" t="str">
        <f>"1|"&amp;INDEX([1]全服BOSS!$R$28:$AV$41,MATCH(H196,[1]全服BOSS!$R$28:$R$41,0),MATCH($G196,[1]全服BOSS!$R$28:$AV$28,0))</f>
        <v>1|25800</v>
      </c>
    </row>
    <row r="197" spans="1:9" ht="16.5" x14ac:dyDescent="0.15">
      <c r="A197" s="2">
        <v>10194</v>
      </c>
      <c r="B197" s="2">
        <v>91107</v>
      </c>
      <c r="C197" s="10">
        <v>27</v>
      </c>
      <c r="D197" s="14" t="s">
        <v>531</v>
      </c>
      <c r="E197" s="10" t="s">
        <v>237</v>
      </c>
      <c r="F197" s="24">
        <v>59014</v>
      </c>
      <c r="G197">
        <v>18</v>
      </c>
      <c r="H197">
        <f t="shared" si="2"/>
        <v>90</v>
      </c>
      <c r="I197" t="str">
        <f>"1|"&amp;INDEX([1]全服BOSS!$R$28:$AV$41,MATCH(H197,[1]全服BOSS!$R$28:$R$41,0),MATCH($G197,[1]全服BOSS!$R$28:$AV$28,0))</f>
        <v>1|29000</v>
      </c>
    </row>
    <row r="198" spans="1:9" ht="16.5" x14ac:dyDescent="0.15">
      <c r="A198" s="2">
        <v>10195</v>
      </c>
      <c r="B198" s="2">
        <v>91107</v>
      </c>
      <c r="C198" s="10">
        <v>29</v>
      </c>
      <c r="D198" s="14" t="s">
        <v>551</v>
      </c>
      <c r="E198" s="10" t="s">
        <v>252</v>
      </c>
      <c r="F198" s="24">
        <v>59015</v>
      </c>
      <c r="G198">
        <v>20</v>
      </c>
      <c r="H198">
        <f t="shared" si="2"/>
        <v>90</v>
      </c>
      <c r="I198" t="str">
        <f>"1|"&amp;INDEX([1]全服BOSS!$R$28:$AV$41,MATCH(H198,[1]全服BOSS!$R$28:$R$41,0),MATCH($G198,[1]全服BOSS!$R$28:$AV$28,0))</f>
        <v>1|32200</v>
      </c>
    </row>
    <row r="199" spans="1:9" ht="16.5" x14ac:dyDescent="0.15">
      <c r="A199" s="2">
        <v>10196</v>
      </c>
      <c r="B199" s="2">
        <v>91107</v>
      </c>
      <c r="C199" s="10">
        <v>31</v>
      </c>
      <c r="D199" s="14" t="s">
        <v>552</v>
      </c>
      <c r="E199" s="10" t="s">
        <v>121</v>
      </c>
      <c r="F199" s="24">
        <v>59016</v>
      </c>
      <c r="G199">
        <v>22</v>
      </c>
      <c r="H199">
        <f t="shared" si="2"/>
        <v>90</v>
      </c>
      <c r="I199" t="str">
        <f>"1|"&amp;INDEX([1]全服BOSS!$R$28:$AV$41,MATCH(H199,[1]全服BOSS!$R$28:$R$41,0),MATCH($G199,[1]全服BOSS!$R$28:$AV$28,0))</f>
        <v>1|35400</v>
      </c>
    </row>
    <row r="200" spans="1:9" ht="16.5" x14ac:dyDescent="0.15">
      <c r="A200" s="2">
        <v>10197</v>
      </c>
      <c r="B200" s="2">
        <v>91107</v>
      </c>
      <c r="C200" s="10">
        <v>33</v>
      </c>
      <c r="D200" s="14" t="s">
        <v>553</v>
      </c>
      <c r="E200" s="10" t="s">
        <v>253</v>
      </c>
      <c r="F200" s="24">
        <v>59017</v>
      </c>
      <c r="G200">
        <v>24</v>
      </c>
      <c r="H200">
        <f t="shared" si="2"/>
        <v>90</v>
      </c>
      <c r="I200" t="str">
        <f>"1|"&amp;INDEX([1]全服BOSS!$R$28:$AV$41,MATCH(H200,[1]全服BOSS!$R$28:$R$41,0),MATCH($G200,[1]全服BOSS!$R$28:$AV$28,0))</f>
        <v>1|38700</v>
      </c>
    </row>
    <row r="201" spans="1:9" ht="16.5" x14ac:dyDescent="0.15">
      <c r="A201" s="2">
        <v>10198</v>
      </c>
      <c r="B201" s="2">
        <v>91107</v>
      </c>
      <c r="C201" s="10">
        <v>35</v>
      </c>
      <c r="D201" s="14" t="s">
        <v>494</v>
      </c>
      <c r="E201" s="10" t="s">
        <v>217</v>
      </c>
      <c r="F201" s="24">
        <v>59018</v>
      </c>
      <c r="G201">
        <v>26</v>
      </c>
      <c r="H201">
        <f t="shared" si="2"/>
        <v>90</v>
      </c>
      <c r="I201" t="str">
        <f>"1|"&amp;INDEX([1]全服BOSS!$R$28:$AV$41,MATCH(H201,[1]全服BOSS!$R$28:$R$41,0),MATCH($G201,[1]全服BOSS!$R$28:$AV$28,0))</f>
        <v>1|41900</v>
      </c>
    </row>
    <row r="202" spans="1:9" ht="16.5" x14ac:dyDescent="0.15">
      <c r="A202" s="2">
        <v>10199</v>
      </c>
      <c r="B202" s="2">
        <v>91107</v>
      </c>
      <c r="C202" s="10">
        <v>37</v>
      </c>
      <c r="D202" s="14" t="s">
        <v>554</v>
      </c>
      <c r="E202" s="10" t="s">
        <v>254</v>
      </c>
      <c r="F202" s="24">
        <v>59019</v>
      </c>
      <c r="G202">
        <v>28</v>
      </c>
      <c r="H202">
        <f t="shared" si="2"/>
        <v>90</v>
      </c>
      <c r="I202" t="str">
        <f>"1|"&amp;INDEX([1]全服BOSS!$R$28:$AV$41,MATCH(H202,[1]全服BOSS!$R$28:$R$41,0),MATCH($G202,[1]全服BOSS!$R$28:$AV$28,0))</f>
        <v>1|45100</v>
      </c>
    </row>
    <row r="203" spans="1:9" ht="16.5" x14ac:dyDescent="0.15">
      <c r="A203" s="2">
        <v>10200</v>
      </c>
      <c r="B203" s="2">
        <v>91107</v>
      </c>
      <c r="C203" s="10">
        <v>39</v>
      </c>
      <c r="D203" s="14" t="s">
        <v>555</v>
      </c>
      <c r="E203" s="10" t="s">
        <v>255</v>
      </c>
      <c r="F203" s="24">
        <v>59020</v>
      </c>
      <c r="G203">
        <v>30</v>
      </c>
      <c r="H203">
        <f t="shared" si="2"/>
        <v>90</v>
      </c>
      <c r="I203" t="str">
        <f>"1|"&amp;INDEX([1]全服BOSS!$R$28:$AV$41,MATCH(H203,[1]全服BOSS!$R$28:$R$41,0),MATCH($G203,[1]全服BOSS!$R$28:$AV$28,0))</f>
        <v>1|48300</v>
      </c>
    </row>
    <row r="204" spans="1:9" ht="16.5" x14ac:dyDescent="0.15">
      <c r="A204" s="2">
        <v>10201</v>
      </c>
      <c r="B204" s="2">
        <v>91107</v>
      </c>
      <c r="C204" s="10">
        <v>41</v>
      </c>
      <c r="D204" s="14" t="s">
        <v>556</v>
      </c>
      <c r="E204" s="10" t="s">
        <v>256</v>
      </c>
      <c r="F204" s="24">
        <v>59021</v>
      </c>
      <c r="G204">
        <v>32</v>
      </c>
      <c r="H204">
        <f t="shared" si="2"/>
        <v>90</v>
      </c>
      <c r="I204" t="str">
        <f>"1|"&amp;INDEX([1]全服BOSS!$R$28:$AV$41,MATCH(H204,[1]全服BOSS!$R$28:$R$41,0),MATCH($G204,[1]全服BOSS!$R$28:$AV$28,0))</f>
        <v>1|51600</v>
      </c>
    </row>
    <row r="205" spans="1:9" ht="16.5" x14ac:dyDescent="0.15">
      <c r="A205" s="2">
        <v>10202</v>
      </c>
      <c r="B205" s="2">
        <v>91107</v>
      </c>
      <c r="C205" s="10">
        <v>43</v>
      </c>
      <c r="D205" s="14" t="s">
        <v>557</v>
      </c>
      <c r="E205" s="10" t="s">
        <v>257</v>
      </c>
      <c r="F205" s="24">
        <v>59022</v>
      </c>
      <c r="G205">
        <v>34</v>
      </c>
      <c r="H205">
        <f t="shared" si="2"/>
        <v>90</v>
      </c>
      <c r="I205" t="str">
        <f>"1|"&amp;INDEX([1]全服BOSS!$R$28:$AV$41,MATCH(H205,[1]全服BOSS!$R$28:$R$41,0),MATCH($G205,[1]全服BOSS!$R$28:$AV$28,0))</f>
        <v>1|54800</v>
      </c>
    </row>
    <row r="206" spans="1:9" ht="16.5" x14ac:dyDescent="0.15">
      <c r="A206" s="2">
        <v>10203</v>
      </c>
      <c r="B206" s="2">
        <v>91107</v>
      </c>
      <c r="C206" s="10">
        <v>45</v>
      </c>
      <c r="D206" s="14" t="s">
        <v>541</v>
      </c>
      <c r="E206" s="10" t="s">
        <v>245</v>
      </c>
      <c r="F206" s="24">
        <v>59023</v>
      </c>
      <c r="G206">
        <v>36</v>
      </c>
      <c r="H206">
        <f t="shared" si="2"/>
        <v>90</v>
      </c>
      <c r="I206" t="str">
        <f>"1|"&amp;INDEX([1]全服BOSS!$R$28:$AV$41,MATCH(H206,[1]全服BOSS!$R$28:$R$41,0),MATCH($G206,[1]全服BOSS!$R$28:$AV$28,0))</f>
        <v>1|58000</v>
      </c>
    </row>
    <row r="207" spans="1:9" ht="16.5" x14ac:dyDescent="0.15">
      <c r="A207" s="2">
        <v>10204</v>
      </c>
      <c r="B207" s="2">
        <v>91107</v>
      </c>
      <c r="C207" s="10">
        <v>47</v>
      </c>
      <c r="D207" s="14" t="s">
        <v>558</v>
      </c>
      <c r="E207" s="10" t="s">
        <v>258</v>
      </c>
      <c r="F207" s="24">
        <v>59024</v>
      </c>
      <c r="G207">
        <v>38</v>
      </c>
      <c r="H207">
        <f t="shared" si="2"/>
        <v>90</v>
      </c>
      <c r="I207" t="str">
        <f>"1|"&amp;INDEX([1]全服BOSS!$R$28:$AV$41,MATCH(H207,[1]全服BOSS!$R$28:$R$41,0),MATCH($G207,[1]全服BOSS!$R$28:$AV$28,0))</f>
        <v>1|61200</v>
      </c>
    </row>
    <row r="208" spans="1:9" ht="16.5" x14ac:dyDescent="0.15">
      <c r="A208" s="2">
        <v>10205</v>
      </c>
      <c r="B208" s="2">
        <v>91107</v>
      </c>
      <c r="C208" s="10">
        <v>49</v>
      </c>
      <c r="D208" s="14" t="s">
        <v>559</v>
      </c>
      <c r="E208" s="10" t="s">
        <v>259</v>
      </c>
      <c r="F208" s="24">
        <v>59025</v>
      </c>
      <c r="G208">
        <v>40</v>
      </c>
      <c r="H208">
        <f t="shared" si="2"/>
        <v>90</v>
      </c>
      <c r="I208" t="str">
        <f>"1|"&amp;INDEX([1]全服BOSS!$R$28:$AV$41,MATCH(H208,[1]全服BOSS!$R$28:$R$41,0),MATCH($G208,[1]全服BOSS!$R$28:$AV$28,0))</f>
        <v>1|64400</v>
      </c>
    </row>
    <row r="209" spans="1:9" ht="16.5" x14ac:dyDescent="0.15">
      <c r="A209" s="2">
        <v>10206</v>
      </c>
      <c r="B209" s="2">
        <v>91107</v>
      </c>
      <c r="C209" s="10">
        <v>51</v>
      </c>
      <c r="D209" s="14" t="s">
        <v>560</v>
      </c>
      <c r="E209" s="10" t="s">
        <v>148</v>
      </c>
      <c r="F209" s="24">
        <v>59026</v>
      </c>
      <c r="G209">
        <v>42</v>
      </c>
      <c r="H209">
        <f t="shared" si="2"/>
        <v>90</v>
      </c>
      <c r="I209" t="str">
        <f>"1|"&amp;INDEX([1]全服BOSS!$R$28:$AV$41,MATCH(H209,[1]全服BOSS!$R$28:$R$41,0),MATCH($G209,[1]全服BOSS!$R$28:$AV$28,0))</f>
        <v>1|67700</v>
      </c>
    </row>
    <row r="210" spans="1:9" ht="16.5" x14ac:dyDescent="0.15">
      <c r="A210" s="2">
        <v>10207</v>
      </c>
      <c r="B210" s="2">
        <v>91107</v>
      </c>
      <c r="C210" s="10">
        <v>53</v>
      </c>
      <c r="D210" s="14" t="s">
        <v>561</v>
      </c>
      <c r="E210" s="10" t="s">
        <v>260</v>
      </c>
      <c r="F210" s="24">
        <v>59027</v>
      </c>
      <c r="G210">
        <v>44</v>
      </c>
      <c r="H210">
        <f t="shared" si="2"/>
        <v>90</v>
      </c>
      <c r="I210" t="str">
        <f>"1|"&amp;INDEX([1]全服BOSS!$R$28:$AV$41,MATCH(H210,[1]全服BOSS!$R$28:$R$41,0),MATCH($G210,[1]全服BOSS!$R$28:$AV$28,0))</f>
        <v>1|70900</v>
      </c>
    </row>
    <row r="211" spans="1:9" ht="16.5" x14ac:dyDescent="0.15">
      <c r="A211" s="2">
        <v>10208</v>
      </c>
      <c r="B211" s="2">
        <v>91107</v>
      </c>
      <c r="C211" s="10">
        <v>55</v>
      </c>
      <c r="D211" s="14" t="s">
        <v>562</v>
      </c>
      <c r="E211" s="10" t="s">
        <v>261</v>
      </c>
      <c r="F211" s="24">
        <v>59028</v>
      </c>
      <c r="G211">
        <v>46</v>
      </c>
      <c r="H211">
        <f t="shared" si="2"/>
        <v>90</v>
      </c>
      <c r="I211" t="str">
        <f>"1|"&amp;INDEX([1]全服BOSS!$R$28:$AV$41,MATCH(H211,[1]全服BOSS!$R$28:$R$41,0),MATCH($G211,[1]全服BOSS!$R$28:$AV$28,0))</f>
        <v>1|74100</v>
      </c>
    </row>
    <row r="212" spans="1:9" ht="16.5" x14ac:dyDescent="0.15">
      <c r="A212" s="2">
        <v>10209</v>
      </c>
      <c r="B212" s="2">
        <v>91107</v>
      </c>
      <c r="C212" s="10">
        <v>57</v>
      </c>
      <c r="D212" s="14" t="s">
        <v>563</v>
      </c>
      <c r="E212" s="10" t="s">
        <v>262</v>
      </c>
      <c r="F212" s="24">
        <v>59029</v>
      </c>
      <c r="G212">
        <v>48</v>
      </c>
      <c r="H212">
        <f t="shared" si="2"/>
        <v>90</v>
      </c>
      <c r="I212" t="str">
        <f>"1|"&amp;INDEX([1]全服BOSS!$R$28:$AV$41,MATCH(H212,[1]全服BOSS!$R$28:$R$41,0),MATCH($G212,[1]全服BOSS!$R$28:$AV$28,0))</f>
        <v>1|77300</v>
      </c>
    </row>
    <row r="213" spans="1:9" ht="16.5" x14ac:dyDescent="0.15">
      <c r="A213" s="2">
        <v>10210</v>
      </c>
      <c r="B213" s="2">
        <v>91107</v>
      </c>
      <c r="C213" s="10">
        <v>59</v>
      </c>
      <c r="D213" s="14" t="s">
        <v>564</v>
      </c>
      <c r="E213" s="10" t="s">
        <v>263</v>
      </c>
      <c r="F213" s="24">
        <v>59030</v>
      </c>
      <c r="G213">
        <v>50</v>
      </c>
      <c r="H213">
        <f t="shared" si="2"/>
        <v>90</v>
      </c>
      <c r="I213" t="str">
        <f>"1|"&amp;INDEX([1]全服BOSS!$R$28:$AV$41,MATCH(H213,[1]全服BOSS!$R$28:$R$41,0),MATCH($G213,[1]全服BOSS!$R$28:$AV$28,0))</f>
        <v>1|80600</v>
      </c>
    </row>
    <row r="214" spans="1:9" s="21" customFormat="1" ht="16.5" x14ac:dyDescent="0.15">
      <c r="A214" s="18">
        <v>10211</v>
      </c>
      <c r="B214" s="18">
        <v>91108</v>
      </c>
      <c r="C214" s="19">
        <v>1</v>
      </c>
      <c r="D214" s="20" t="s">
        <v>565</v>
      </c>
      <c r="E214" s="19" t="s">
        <v>72</v>
      </c>
      <c r="F214" s="26">
        <v>59001</v>
      </c>
      <c r="G214" s="21">
        <v>1</v>
      </c>
      <c r="H214" s="21">
        <f t="shared" si="2"/>
        <v>100</v>
      </c>
      <c r="I214" s="21" t="str">
        <f>"1|"&amp;INDEX([1]全服BOSS!$R$28:$AV$41,MATCH(H214,[1]全服BOSS!$R$28:$R$41,0),MATCH($G214,[1]全服BOSS!$R$28:$AV$28,0))</f>
        <v>1|2400</v>
      </c>
    </row>
    <row r="215" spans="1:9" s="21" customFormat="1" ht="16.5" x14ac:dyDescent="0.15">
      <c r="A215" s="18">
        <v>10212</v>
      </c>
      <c r="B215" s="18">
        <v>91108</v>
      </c>
      <c r="C215" s="19">
        <v>3</v>
      </c>
      <c r="D215" s="20" t="s">
        <v>566</v>
      </c>
      <c r="E215" s="19" t="s">
        <v>102</v>
      </c>
      <c r="F215" s="26">
        <v>59002</v>
      </c>
      <c r="G215" s="21">
        <v>2</v>
      </c>
      <c r="H215" s="21">
        <f t="shared" si="2"/>
        <v>100</v>
      </c>
      <c r="I215" s="21" t="str">
        <f>"1|"&amp;INDEX([1]全服BOSS!$R$28:$AV$41,MATCH(H215,[1]全服BOSS!$R$28:$R$41,0),MATCH($G215,[1]全服BOSS!$R$28:$AV$28,0))</f>
        <v>1|4700</v>
      </c>
    </row>
    <row r="216" spans="1:9" s="21" customFormat="1" ht="16.5" x14ac:dyDescent="0.15">
      <c r="A216" s="18">
        <v>10213</v>
      </c>
      <c r="B216" s="18">
        <v>91108</v>
      </c>
      <c r="C216" s="19">
        <v>5</v>
      </c>
      <c r="D216" s="20" t="s">
        <v>433</v>
      </c>
      <c r="E216" s="19" t="s">
        <v>104</v>
      </c>
      <c r="F216" s="26">
        <v>59003</v>
      </c>
      <c r="G216" s="21">
        <v>3</v>
      </c>
      <c r="H216" s="21">
        <f t="shared" si="2"/>
        <v>100</v>
      </c>
      <c r="I216" s="21" t="str">
        <f>"1|"&amp;INDEX([1]全服BOSS!$R$28:$AV$41,MATCH(H216,[1]全服BOSS!$R$28:$R$41,0),MATCH($G216,[1]全服BOSS!$R$28:$AV$28,0))</f>
        <v>1|7100</v>
      </c>
    </row>
    <row r="217" spans="1:9" s="21" customFormat="1" ht="16.5" x14ac:dyDescent="0.15">
      <c r="A217" s="18">
        <v>10214</v>
      </c>
      <c r="B217" s="18">
        <v>91108</v>
      </c>
      <c r="C217" s="19">
        <v>7</v>
      </c>
      <c r="D217" s="20" t="s">
        <v>567</v>
      </c>
      <c r="E217" s="19" t="s">
        <v>85</v>
      </c>
      <c r="F217" s="26">
        <v>59004</v>
      </c>
      <c r="G217" s="21">
        <v>4</v>
      </c>
      <c r="H217" s="21">
        <f t="shared" si="2"/>
        <v>100</v>
      </c>
      <c r="I217" s="21" t="str">
        <f>"1|"&amp;INDEX([1]全服BOSS!$R$28:$AV$41,MATCH(H217,[1]全服BOSS!$R$28:$R$41,0),MATCH($G217,[1]全服BOSS!$R$28:$AV$28,0))</f>
        <v>1|9400</v>
      </c>
    </row>
    <row r="218" spans="1:9" s="21" customFormat="1" ht="16.5" x14ac:dyDescent="0.15">
      <c r="A218" s="18">
        <v>10215</v>
      </c>
      <c r="B218" s="18">
        <v>91108</v>
      </c>
      <c r="C218" s="19">
        <v>9</v>
      </c>
      <c r="D218" s="20" t="s">
        <v>568</v>
      </c>
      <c r="E218" s="19" t="s">
        <v>264</v>
      </c>
      <c r="F218" s="26">
        <v>59005</v>
      </c>
      <c r="G218" s="21">
        <v>5</v>
      </c>
      <c r="H218" s="21">
        <f t="shared" si="2"/>
        <v>100</v>
      </c>
      <c r="I218" s="21" t="str">
        <f>"1|"&amp;INDEX([1]全服BOSS!$R$28:$AV$41,MATCH(H218,[1]全服BOSS!$R$28:$R$41,0),MATCH($G218,[1]全服BOSS!$R$28:$AV$28,0))</f>
        <v>1|11800</v>
      </c>
    </row>
    <row r="219" spans="1:9" s="21" customFormat="1" ht="16.5" x14ac:dyDescent="0.15">
      <c r="A219" s="18">
        <v>10216</v>
      </c>
      <c r="B219" s="18">
        <v>91108</v>
      </c>
      <c r="C219" s="19">
        <v>11</v>
      </c>
      <c r="D219" s="20" t="s">
        <v>443</v>
      </c>
      <c r="E219" s="19" t="s">
        <v>107</v>
      </c>
      <c r="F219" s="26">
        <v>59006</v>
      </c>
      <c r="G219" s="21">
        <v>6</v>
      </c>
      <c r="H219" s="21">
        <f t="shared" si="2"/>
        <v>100</v>
      </c>
      <c r="I219" s="21" t="str">
        <f>"1|"&amp;INDEX([1]全服BOSS!$R$28:$AV$41,MATCH(H219,[1]全服BOSS!$R$28:$R$41,0),MATCH($G219,[1]全服BOSS!$R$28:$AV$28,0))</f>
        <v>1|14200</v>
      </c>
    </row>
    <row r="220" spans="1:9" s="21" customFormat="1" ht="16.5" x14ac:dyDescent="0.15">
      <c r="A220" s="18">
        <v>10217</v>
      </c>
      <c r="B220" s="18">
        <v>91108</v>
      </c>
      <c r="C220" s="19">
        <v>13</v>
      </c>
      <c r="D220" s="20" t="s">
        <v>569</v>
      </c>
      <c r="E220" s="19" t="s">
        <v>265</v>
      </c>
      <c r="F220" s="26">
        <v>59007</v>
      </c>
      <c r="G220" s="21">
        <v>7</v>
      </c>
      <c r="H220" s="21">
        <f t="shared" si="2"/>
        <v>100</v>
      </c>
      <c r="I220" s="21" t="str">
        <f>"1|"&amp;INDEX([1]全服BOSS!$R$28:$AV$41,MATCH(H220,[1]全服BOSS!$R$28:$R$41,0),MATCH($G220,[1]全服BOSS!$R$28:$AV$28,0))</f>
        <v>1|16500</v>
      </c>
    </row>
    <row r="221" spans="1:9" s="21" customFormat="1" ht="16.5" x14ac:dyDescent="0.15">
      <c r="A221" s="18">
        <v>10218</v>
      </c>
      <c r="B221" s="18">
        <v>91108</v>
      </c>
      <c r="C221" s="19">
        <v>15</v>
      </c>
      <c r="D221" s="20" t="s">
        <v>570</v>
      </c>
      <c r="E221" s="19" t="s">
        <v>266</v>
      </c>
      <c r="F221" s="26">
        <v>59008</v>
      </c>
      <c r="G221" s="21">
        <v>8</v>
      </c>
      <c r="H221" s="21">
        <f t="shared" si="2"/>
        <v>100</v>
      </c>
      <c r="I221" s="21" t="str">
        <f>"1|"&amp;INDEX([1]全服BOSS!$R$28:$AV$41,MATCH(H221,[1]全服BOSS!$R$28:$R$41,0),MATCH($G221,[1]全服BOSS!$R$28:$AV$28,0))</f>
        <v>1|18900</v>
      </c>
    </row>
    <row r="222" spans="1:9" s="21" customFormat="1" ht="16.5" x14ac:dyDescent="0.15">
      <c r="A222" s="18">
        <v>10219</v>
      </c>
      <c r="B222" s="18">
        <v>91108</v>
      </c>
      <c r="C222" s="19">
        <v>17</v>
      </c>
      <c r="D222" s="20" t="s">
        <v>466</v>
      </c>
      <c r="E222" s="19" t="s">
        <v>166</v>
      </c>
      <c r="F222" s="26">
        <v>59009</v>
      </c>
      <c r="G222" s="21">
        <v>9</v>
      </c>
      <c r="H222" s="21">
        <f t="shared" si="2"/>
        <v>100</v>
      </c>
      <c r="I222" s="21" t="str">
        <f>"1|"&amp;INDEX([1]全服BOSS!$R$28:$AV$41,MATCH(H222,[1]全服BOSS!$R$28:$R$41,0),MATCH($G222,[1]全服BOSS!$R$28:$AV$28,0))</f>
        <v>1|21300</v>
      </c>
    </row>
    <row r="223" spans="1:9" s="21" customFormat="1" ht="16.5" x14ac:dyDescent="0.15">
      <c r="A223" s="18">
        <v>10220</v>
      </c>
      <c r="B223" s="18">
        <v>91108</v>
      </c>
      <c r="C223" s="19">
        <v>19</v>
      </c>
      <c r="D223" s="20" t="s">
        <v>468</v>
      </c>
      <c r="E223" s="19" t="s">
        <v>199</v>
      </c>
      <c r="F223" s="26">
        <v>59010</v>
      </c>
      <c r="G223" s="21">
        <v>10</v>
      </c>
      <c r="H223" s="21">
        <f t="shared" si="2"/>
        <v>100</v>
      </c>
      <c r="I223" s="21" t="str">
        <f>"1|"&amp;INDEX([1]全服BOSS!$R$28:$AV$41,MATCH(H223,[1]全服BOSS!$R$28:$R$41,0),MATCH($G223,[1]全服BOSS!$R$28:$AV$28,0))</f>
        <v>1|23600</v>
      </c>
    </row>
    <row r="224" spans="1:9" s="21" customFormat="1" ht="16.5" x14ac:dyDescent="0.15">
      <c r="A224" s="18">
        <v>10221</v>
      </c>
      <c r="B224" s="18">
        <v>91108</v>
      </c>
      <c r="C224" s="19">
        <v>21</v>
      </c>
      <c r="D224" s="20" t="s">
        <v>571</v>
      </c>
      <c r="E224" s="19" t="s">
        <v>119</v>
      </c>
      <c r="F224" s="26">
        <v>59011</v>
      </c>
      <c r="G224" s="21">
        <v>12</v>
      </c>
      <c r="H224" s="21">
        <f t="shared" si="2"/>
        <v>100</v>
      </c>
      <c r="I224" s="21" t="str">
        <f>"1|"&amp;INDEX([1]全服BOSS!$R$28:$AV$41,MATCH(H224,[1]全服BOSS!$R$28:$R$41,0),MATCH($G224,[1]全服BOSS!$R$28:$AV$28,0))</f>
        <v>1|28300</v>
      </c>
    </row>
    <row r="225" spans="1:9" s="21" customFormat="1" ht="16.5" x14ac:dyDescent="0.15">
      <c r="A225" s="18">
        <v>10222</v>
      </c>
      <c r="B225" s="18">
        <v>91108</v>
      </c>
      <c r="C225" s="19">
        <v>23</v>
      </c>
      <c r="D225" s="20" t="s">
        <v>572</v>
      </c>
      <c r="E225" s="19" t="s">
        <v>267</v>
      </c>
      <c r="F225" s="26">
        <v>59012</v>
      </c>
      <c r="G225" s="21">
        <v>14</v>
      </c>
      <c r="H225" s="21">
        <f t="shared" si="2"/>
        <v>100</v>
      </c>
      <c r="I225" s="21" t="str">
        <f>"1|"&amp;INDEX([1]全服BOSS!$R$28:$AV$41,MATCH(H225,[1]全服BOSS!$R$28:$R$41,0),MATCH($G225,[1]全服BOSS!$R$28:$AV$28,0))</f>
        <v>1|33100</v>
      </c>
    </row>
    <row r="226" spans="1:9" s="21" customFormat="1" ht="16.5" x14ac:dyDescent="0.15">
      <c r="A226" s="18">
        <v>10223</v>
      </c>
      <c r="B226" s="18">
        <v>91108</v>
      </c>
      <c r="C226" s="19">
        <v>25</v>
      </c>
      <c r="D226" s="20" t="s">
        <v>573</v>
      </c>
      <c r="E226" s="19" t="s">
        <v>268</v>
      </c>
      <c r="F226" s="26">
        <v>59013</v>
      </c>
      <c r="G226" s="21">
        <v>16</v>
      </c>
      <c r="H226" s="21">
        <f t="shared" si="2"/>
        <v>100</v>
      </c>
      <c r="I226" s="21" t="str">
        <f>"1|"&amp;INDEX([1]全服BOSS!$R$28:$AV$41,MATCH(H226,[1]全服BOSS!$R$28:$R$41,0),MATCH($G226,[1]全服BOSS!$R$28:$AV$28,0))</f>
        <v>1|37800</v>
      </c>
    </row>
    <row r="227" spans="1:9" s="21" customFormat="1" ht="16.5" x14ac:dyDescent="0.15">
      <c r="A227" s="18">
        <v>10224</v>
      </c>
      <c r="B227" s="18">
        <v>91108</v>
      </c>
      <c r="C227" s="19">
        <v>27</v>
      </c>
      <c r="D227" s="20" t="s">
        <v>574</v>
      </c>
      <c r="E227" s="19" t="s">
        <v>123</v>
      </c>
      <c r="F227" s="26">
        <v>59014</v>
      </c>
      <c r="G227" s="21">
        <v>18</v>
      </c>
      <c r="H227" s="21">
        <f t="shared" si="2"/>
        <v>100</v>
      </c>
      <c r="I227" s="21" t="str">
        <f>"1|"&amp;INDEX([1]全服BOSS!$R$28:$AV$41,MATCH(H227,[1]全服BOSS!$R$28:$R$41,0),MATCH($G227,[1]全服BOSS!$R$28:$AV$28,0))</f>
        <v>1|42500</v>
      </c>
    </row>
    <row r="228" spans="1:9" s="21" customFormat="1" ht="16.5" x14ac:dyDescent="0.15">
      <c r="A228" s="18">
        <v>10225</v>
      </c>
      <c r="B228" s="18">
        <v>91108</v>
      </c>
      <c r="C228" s="19">
        <v>29</v>
      </c>
      <c r="D228" s="20" t="s">
        <v>575</v>
      </c>
      <c r="E228" s="19" t="s">
        <v>269</v>
      </c>
      <c r="F228" s="26">
        <v>59015</v>
      </c>
      <c r="G228" s="21">
        <v>20</v>
      </c>
      <c r="H228" s="21">
        <f t="shared" si="2"/>
        <v>100</v>
      </c>
      <c r="I228" s="21" t="str">
        <f>"1|"&amp;INDEX([1]全服BOSS!$R$28:$AV$41,MATCH(H228,[1]全服BOSS!$R$28:$R$41,0),MATCH($G228,[1]全服BOSS!$R$28:$AV$28,0))</f>
        <v>1|47200</v>
      </c>
    </row>
    <row r="229" spans="1:9" s="21" customFormat="1" ht="16.5" x14ac:dyDescent="0.15">
      <c r="A229" s="18">
        <v>10226</v>
      </c>
      <c r="B229" s="18">
        <v>91108</v>
      </c>
      <c r="C229" s="19">
        <v>31</v>
      </c>
      <c r="D229" s="20" t="s">
        <v>576</v>
      </c>
      <c r="E229" s="19" t="s">
        <v>270</v>
      </c>
      <c r="F229" s="26">
        <v>59016</v>
      </c>
      <c r="G229" s="21">
        <v>22</v>
      </c>
      <c r="H229" s="21">
        <f t="shared" si="2"/>
        <v>100</v>
      </c>
      <c r="I229" s="21" t="str">
        <f>"1|"&amp;INDEX([1]全服BOSS!$R$28:$AV$41,MATCH(H229,[1]全服BOSS!$R$28:$R$41,0),MATCH($G229,[1]全服BOSS!$R$28:$AV$28,0))</f>
        <v>1|52000</v>
      </c>
    </row>
    <row r="230" spans="1:9" s="21" customFormat="1" ht="16.5" x14ac:dyDescent="0.15">
      <c r="A230" s="18">
        <v>10227</v>
      </c>
      <c r="B230" s="18">
        <v>91108</v>
      </c>
      <c r="C230" s="19">
        <v>33</v>
      </c>
      <c r="D230" s="20" t="s">
        <v>577</v>
      </c>
      <c r="E230" s="19" t="s">
        <v>271</v>
      </c>
      <c r="F230" s="26">
        <v>59017</v>
      </c>
      <c r="G230" s="21">
        <v>24</v>
      </c>
      <c r="H230" s="21">
        <f t="shared" si="2"/>
        <v>100</v>
      </c>
      <c r="I230" s="21" t="str">
        <f>"1|"&amp;INDEX([1]全服BOSS!$R$28:$AV$41,MATCH(H230,[1]全服BOSS!$R$28:$R$41,0),MATCH($G230,[1]全服BOSS!$R$28:$AV$28,0))</f>
        <v>1|56700</v>
      </c>
    </row>
    <row r="231" spans="1:9" s="21" customFormat="1" ht="16.5" x14ac:dyDescent="0.15">
      <c r="A231" s="18">
        <v>10228</v>
      </c>
      <c r="B231" s="18">
        <v>91108</v>
      </c>
      <c r="C231" s="19">
        <v>35</v>
      </c>
      <c r="D231" s="20" t="s">
        <v>578</v>
      </c>
      <c r="E231" s="19" t="s">
        <v>164</v>
      </c>
      <c r="F231" s="26">
        <v>59018</v>
      </c>
      <c r="G231" s="21">
        <v>26</v>
      </c>
      <c r="H231" s="21">
        <f t="shared" si="2"/>
        <v>100</v>
      </c>
      <c r="I231" s="21" t="str">
        <f>"1|"&amp;INDEX([1]全服BOSS!$R$28:$AV$41,MATCH(H231,[1]全服BOSS!$R$28:$R$41,0),MATCH($G231,[1]全服BOSS!$R$28:$AV$28,0))</f>
        <v>1|61400</v>
      </c>
    </row>
    <row r="232" spans="1:9" s="21" customFormat="1" ht="16.5" x14ac:dyDescent="0.15">
      <c r="A232" s="18">
        <v>10229</v>
      </c>
      <c r="B232" s="18">
        <v>91108</v>
      </c>
      <c r="C232" s="19">
        <v>37</v>
      </c>
      <c r="D232" s="20" t="s">
        <v>579</v>
      </c>
      <c r="E232" s="19" t="s">
        <v>272</v>
      </c>
      <c r="F232" s="26">
        <v>59019</v>
      </c>
      <c r="G232" s="21">
        <v>28</v>
      </c>
      <c r="H232" s="21">
        <f t="shared" si="2"/>
        <v>100</v>
      </c>
      <c r="I232" s="21" t="str">
        <f>"1|"&amp;INDEX([1]全服BOSS!$R$28:$AV$41,MATCH(H232,[1]全服BOSS!$R$28:$R$41,0),MATCH($G232,[1]全服BOSS!$R$28:$AV$28,0))</f>
        <v>1|66100</v>
      </c>
    </row>
    <row r="233" spans="1:9" s="21" customFormat="1" ht="16.5" x14ac:dyDescent="0.15">
      <c r="A233" s="18">
        <v>10230</v>
      </c>
      <c r="B233" s="18">
        <v>91108</v>
      </c>
      <c r="C233" s="19">
        <v>39</v>
      </c>
      <c r="D233" s="20" t="s">
        <v>561</v>
      </c>
      <c r="E233" s="19" t="s">
        <v>260</v>
      </c>
      <c r="F233" s="26">
        <v>59020</v>
      </c>
      <c r="G233" s="21">
        <v>30</v>
      </c>
      <c r="H233" s="21">
        <f t="shared" si="2"/>
        <v>100</v>
      </c>
      <c r="I233" s="21" t="str">
        <f>"1|"&amp;INDEX([1]全服BOSS!$R$28:$AV$41,MATCH(H233,[1]全服BOSS!$R$28:$R$41,0),MATCH($G233,[1]全服BOSS!$R$28:$AV$28,0))</f>
        <v>1|70900</v>
      </c>
    </row>
    <row r="234" spans="1:9" s="21" customFormat="1" ht="16.5" x14ac:dyDescent="0.15">
      <c r="A234" s="18">
        <v>10231</v>
      </c>
      <c r="B234" s="18">
        <v>91108</v>
      </c>
      <c r="C234" s="19">
        <v>41</v>
      </c>
      <c r="D234" s="20" t="s">
        <v>580</v>
      </c>
      <c r="E234" s="19" t="s">
        <v>273</v>
      </c>
      <c r="F234" s="26">
        <v>59021</v>
      </c>
      <c r="G234" s="21">
        <v>32</v>
      </c>
      <c r="H234" s="21">
        <f t="shared" si="2"/>
        <v>100</v>
      </c>
      <c r="I234" s="21" t="str">
        <f>"1|"&amp;INDEX([1]全服BOSS!$R$28:$AV$41,MATCH(H234,[1]全服BOSS!$R$28:$R$41,0),MATCH($G234,[1]全服BOSS!$R$28:$AV$28,0))</f>
        <v>1|75600</v>
      </c>
    </row>
    <row r="235" spans="1:9" s="21" customFormat="1" ht="16.5" x14ac:dyDescent="0.15">
      <c r="A235" s="18">
        <v>10232</v>
      </c>
      <c r="B235" s="18">
        <v>91108</v>
      </c>
      <c r="C235" s="19">
        <v>43</v>
      </c>
      <c r="D235" s="20" t="s">
        <v>581</v>
      </c>
      <c r="E235" s="19" t="s">
        <v>274</v>
      </c>
      <c r="F235" s="26">
        <v>59022</v>
      </c>
      <c r="G235" s="21">
        <v>34</v>
      </c>
      <c r="H235" s="21">
        <f t="shared" si="2"/>
        <v>100</v>
      </c>
      <c r="I235" s="21" t="str">
        <f>"1|"&amp;INDEX([1]全服BOSS!$R$28:$AV$41,MATCH(H235,[1]全服BOSS!$R$28:$R$41,0),MATCH($G235,[1]全服BOSS!$R$28:$AV$28,0))</f>
        <v>1|80300</v>
      </c>
    </row>
    <row r="236" spans="1:9" s="21" customFormat="1" ht="16.5" x14ac:dyDescent="0.15">
      <c r="A236" s="18">
        <v>10233</v>
      </c>
      <c r="B236" s="18">
        <v>91108</v>
      </c>
      <c r="C236" s="19">
        <v>45</v>
      </c>
      <c r="D236" s="20" t="s">
        <v>582</v>
      </c>
      <c r="E236" s="19" t="s">
        <v>275</v>
      </c>
      <c r="F236" s="26">
        <v>59023</v>
      </c>
      <c r="G236" s="21">
        <v>36</v>
      </c>
      <c r="H236" s="21">
        <f t="shared" si="2"/>
        <v>100</v>
      </c>
      <c r="I236" s="21" t="str">
        <f>"1|"&amp;INDEX([1]全服BOSS!$R$28:$AV$41,MATCH(H236,[1]全服BOSS!$R$28:$R$41,0),MATCH($G236,[1]全服BOSS!$R$28:$AV$28,0))</f>
        <v>1|85000</v>
      </c>
    </row>
    <row r="237" spans="1:9" s="21" customFormat="1" ht="16.5" x14ac:dyDescent="0.15">
      <c r="A237" s="18">
        <v>10234</v>
      </c>
      <c r="B237" s="18">
        <v>91108</v>
      </c>
      <c r="C237" s="19">
        <v>47</v>
      </c>
      <c r="D237" s="20" t="s">
        <v>583</v>
      </c>
      <c r="E237" s="19" t="s">
        <v>276</v>
      </c>
      <c r="F237" s="26">
        <v>59024</v>
      </c>
      <c r="G237" s="21">
        <v>38</v>
      </c>
      <c r="H237" s="21">
        <f t="shared" si="2"/>
        <v>100</v>
      </c>
      <c r="I237" s="21" t="str">
        <f>"1|"&amp;INDEX([1]全服BOSS!$R$28:$AV$41,MATCH(H237,[1]全服BOSS!$R$28:$R$41,0),MATCH($G237,[1]全服BOSS!$R$28:$AV$28,0))</f>
        <v>1|89800</v>
      </c>
    </row>
    <row r="238" spans="1:9" s="21" customFormat="1" ht="16.5" x14ac:dyDescent="0.15">
      <c r="A238" s="18">
        <v>10235</v>
      </c>
      <c r="B238" s="18">
        <v>91108</v>
      </c>
      <c r="C238" s="19">
        <v>49</v>
      </c>
      <c r="D238" s="20" t="s">
        <v>584</v>
      </c>
      <c r="E238" s="19" t="s">
        <v>277</v>
      </c>
      <c r="F238" s="26">
        <v>59025</v>
      </c>
      <c r="G238" s="21">
        <v>40</v>
      </c>
      <c r="H238" s="21">
        <f t="shared" si="2"/>
        <v>100</v>
      </c>
      <c r="I238" s="21" t="str">
        <f>"1|"&amp;INDEX([1]全服BOSS!$R$28:$AV$41,MATCH(H238,[1]全服BOSS!$R$28:$R$41,0),MATCH($G238,[1]全服BOSS!$R$28:$AV$28,0))</f>
        <v>1|94500</v>
      </c>
    </row>
    <row r="239" spans="1:9" s="21" customFormat="1" ht="16.5" x14ac:dyDescent="0.15">
      <c r="A239" s="18">
        <v>10236</v>
      </c>
      <c r="B239" s="18">
        <v>91108</v>
      </c>
      <c r="C239" s="19">
        <v>51</v>
      </c>
      <c r="D239" s="20" t="s">
        <v>585</v>
      </c>
      <c r="E239" s="19" t="s">
        <v>278</v>
      </c>
      <c r="F239" s="26">
        <v>59026</v>
      </c>
      <c r="G239" s="21">
        <v>42</v>
      </c>
      <c r="H239" s="21">
        <f t="shared" si="2"/>
        <v>100</v>
      </c>
      <c r="I239" s="21" t="str">
        <f>"1|"&amp;INDEX([1]全服BOSS!$R$28:$AV$41,MATCH(H239,[1]全服BOSS!$R$28:$R$41,0),MATCH($G239,[1]全服BOSS!$R$28:$AV$28,0))</f>
        <v>1|99200</v>
      </c>
    </row>
    <row r="240" spans="1:9" s="21" customFormat="1" ht="16.5" x14ac:dyDescent="0.15">
      <c r="A240" s="18">
        <v>10237</v>
      </c>
      <c r="B240" s="18">
        <v>91108</v>
      </c>
      <c r="C240" s="19">
        <v>53</v>
      </c>
      <c r="D240" s="20" t="s">
        <v>586</v>
      </c>
      <c r="E240" s="19" t="s">
        <v>279</v>
      </c>
      <c r="F240" s="26">
        <v>59027</v>
      </c>
      <c r="G240" s="21">
        <v>44</v>
      </c>
      <c r="H240" s="21">
        <f t="shared" si="2"/>
        <v>100</v>
      </c>
      <c r="I240" s="21" t="str">
        <f>"1|"&amp;INDEX([1]全服BOSS!$R$28:$AV$41,MATCH(H240,[1]全服BOSS!$R$28:$R$41,0),MATCH($G240,[1]全服BOSS!$R$28:$AV$28,0))</f>
        <v>1|104000</v>
      </c>
    </row>
    <row r="241" spans="1:9" s="21" customFormat="1" ht="16.5" x14ac:dyDescent="0.15">
      <c r="A241" s="18">
        <v>10238</v>
      </c>
      <c r="B241" s="18">
        <v>91108</v>
      </c>
      <c r="C241" s="19">
        <v>55</v>
      </c>
      <c r="D241" s="20" t="s">
        <v>587</v>
      </c>
      <c r="E241" s="19" t="s">
        <v>280</v>
      </c>
      <c r="F241" s="26">
        <v>59028</v>
      </c>
      <c r="G241" s="21">
        <v>46</v>
      </c>
      <c r="H241" s="21">
        <f t="shared" si="2"/>
        <v>100</v>
      </c>
      <c r="I241" s="21" t="str">
        <f>"1|"&amp;INDEX([1]全服BOSS!$R$28:$AV$41,MATCH(H241,[1]全服BOSS!$R$28:$R$41,0),MATCH($G241,[1]全服BOSS!$R$28:$AV$28,0))</f>
        <v>1|109000</v>
      </c>
    </row>
    <row r="242" spans="1:9" s="21" customFormat="1" ht="16.5" x14ac:dyDescent="0.15">
      <c r="A242" s="18">
        <v>10239</v>
      </c>
      <c r="B242" s="18">
        <v>91108</v>
      </c>
      <c r="C242" s="19">
        <v>57</v>
      </c>
      <c r="D242" s="20" t="s">
        <v>588</v>
      </c>
      <c r="E242" s="19" t="s">
        <v>281</v>
      </c>
      <c r="F242" s="26">
        <v>59029</v>
      </c>
      <c r="G242" s="21">
        <v>48</v>
      </c>
      <c r="H242" s="21">
        <f t="shared" si="2"/>
        <v>100</v>
      </c>
      <c r="I242" s="21" t="str">
        <f>"1|"&amp;INDEX([1]全服BOSS!$R$28:$AV$41,MATCH(H242,[1]全服BOSS!$R$28:$R$41,0),MATCH($G242,[1]全服BOSS!$R$28:$AV$28,0))</f>
        <v>1|113000</v>
      </c>
    </row>
    <row r="243" spans="1:9" s="21" customFormat="1" ht="16.5" x14ac:dyDescent="0.15">
      <c r="A243" s="18">
        <v>10240</v>
      </c>
      <c r="B243" s="18">
        <v>91108</v>
      </c>
      <c r="C243" s="19">
        <v>59</v>
      </c>
      <c r="D243" s="20" t="s">
        <v>589</v>
      </c>
      <c r="E243" s="19" t="s">
        <v>282</v>
      </c>
      <c r="F243" s="26">
        <v>59030</v>
      </c>
      <c r="G243" s="21">
        <v>50</v>
      </c>
      <c r="H243" s="21">
        <f t="shared" si="2"/>
        <v>100</v>
      </c>
      <c r="I243" s="21" t="str">
        <f>"1|"&amp;INDEX([1]全服BOSS!$R$28:$AV$41,MATCH(H243,[1]全服BOSS!$R$28:$R$41,0),MATCH($G243,[1]全服BOSS!$R$28:$AV$28,0))</f>
        <v>1|118000</v>
      </c>
    </row>
    <row r="244" spans="1:9" ht="16.5" x14ac:dyDescent="0.15">
      <c r="A244" s="2">
        <v>10241</v>
      </c>
      <c r="B244" s="2">
        <v>91109</v>
      </c>
      <c r="C244" s="10">
        <v>1</v>
      </c>
      <c r="D244" s="14" t="s">
        <v>590</v>
      </c>
      <c r="E244" s="10" t="s">
        <v>100</v>
      </c>
      <c r="F244" s="24">
        <v>59001</v>
      </c>
      <c r="G244">
        <v>1</v>
      </c>
      <c r="H244">
        <f t="shared" si="2"/>
        <v>110</v>
      </c>
      <c r="I244" t="str">
        <f>"1|"&amp;INDEX([1]全服BOSS!$R$28:$AV$41,MATCH(H244,[1]全服BOSS!$R$28:$R$41,0),MATCH($G244,[1]全服BOSS!$R$28:$AV$28,0))</f>
        <v>1|3000</v>
      </c>
    </row>
    <row r="245" spans="1:9" ht="16.5" x14ac:dyDescent="0.15">
      <c r="A245" s="2">
        <v>10242</v>
      </c>
      <c r="B245" s="2">
        <v>91109</v>
      </c>
      <c r="C245" s="10">
        <v>3</v>
      </c>
      <c r="D245" s="14" t="s">
        <v>413</v>
      </c>
      <c r="E245" s="10" t="s">
        <v>78</v>
      </c>
      <c r="F245" s="24">
        <v>59002</v>
      </c>
      <c r="G245">
        <v>2</v>
      </c>
      <c r="H245">
        <f t="shared" si="2"/>
        <v>110</v>
      </c>
      <c r="I245" t="str">
        <f>"1|"&amp;INDEX([1]全服BOSS!$R$28:$AV$41,MATCH(H245,[1]全服BOSS!$R$28:$R$41,0),MATCH($G245,[1]全服BOSS!$R$28:$AV$28,0))</f>
        <v>1|6100</v>
      </c>
    </row>
    <row r="246" spans="1:9" ht="16.5" x14ac:dyDescent="0.15">
      <c r="A246" s="2">
        <v>10243</v>
      </c>
      <c r="B246" s="2">
        <v>91109</v>
      </c>
      <c r="C246" s="10">
        <v>5</v>
      </c>
      <c r="D246" s="14" t="s">
        <v>435</v>
      </c>
      <c r="E246" s="10" t="s">
        <v>189</v>
      </c>
      <c r="F246" s="24">
        <v>59003</v>
      </c>
      <c r="G246">
        <v>3</v>
      </c>
      <c r="H246">
        <f t="shared" si="2"/>
        <v>110</v>
      </c>
      <c r="I246" t="str">
        <f>"1|"&amp;INDEX([1]全服BOSS!$R$28:$AV$41,MATCH(H246,[1]全服BOSS!$R$28:$R$41,0),MATCH($G246,[1]全服BOSS!$R$28:$AV$28,0))</f>
        <v>1|9100</v>
      </c>
    </row>
    <row r="247" spans="1:9" ht="16.5" x14ac:dyDescent="0.15">
      <c r="A247" s="2">
        <v>10244</v>
      </c>
      <c r="B247" s="2">
        <v>91109</v>
      </c>
      <c r="C247" s="10">
        <v>7</v>
      </c>
      <c r="D247" s="14" t="s">
        <v>591</v>
      </c>
      <c r="E247" s="10" t="s">
        <v>283</v>
      </c>
      <c r="F247" s="24">
        <v>59004</v>
      </c>
      <c r="G247">
        <v>4</v>
      </c>
      <c r="H247">
        <f t="shared" si="2"/>
        <v>110</v>
      </c>
      <c r="I247" t="str">
        <f>"1|"&amp;INDEX([1]全服BOSS!$R$28:$AV$41,MATCH(H247,[1]全服BOSS!$R$28:$R$41,0),MATCH($G247,[1]全服BOSS!$R$28:$AV$28,0))</f>
        <v>1|12200</v>
      </c>
    </row>
    <row r="248" spans="1:9" ht="16.5" x14ac:dyDescent="0.15">
      <c r="A248" s="2">
        <v>10245</v>
      </c>
      <c r="B248" s="2">
        <v>91109</v>
      </c>
      <c r="C248" s="10">
        <v>9</v>
      </c>
      <c r="D248" s="14" t="s">
        <v>592</v>
      </c>
      <c r="E248" s="10" t="s">
        <v>284</v>
      </c>
      <c r="F248" s="24">
        <v>59005</v>
      </c>
      <c r="G248">
        <v>5</v>
      </c>
      <c r="H248">
        <f t="shared" si="2"/>
        <v>110</v>
      </c>
      <c r="I248" t="str">
        <f>"1|"&amp;INDEX([1]全服BOSS!$R$28:$AV$41,MATCH(H248,[1]全服BOSS!$R$28:$R$41,0),MATCH($G248,[1]全服BOSS!$R$28:$AV$28,0))</f>
        <v>1|15200</v>
      </c>
    </row>
    <row r="249" spans="1:9" ht="16.5" x14ac:dyDescent="0.15">
      <c r="A249" s="2">
        <v>10246</v>
      </c>
      <c r="B249" s="2">
        <v>91109</v>
      </c>
      <c r="C249" s="10">
        <v>11</v>
      </c>
      <c r="D249" s="14" t="s">
        <v>593</v>
      </c>
      <c r="E249" s="10" t="s">
        <v>285</v>
      </c>
      <c r="F249" s="24">
        <v>59006</v>
      </c>
      <c r="G249">
        <v>6</v>
      </c>
      <c r="H249">
        <f t="shared" si="2"/>
        <v>110</v>
      </c>
      <c r="I249" t="str">
        <f>"1|"&amp;INDEX([1]全服BOSS!$R$28:$AV$41,MATCH(H249,[1]全服BOSS!$R$28:$R$41,0),MATCH($G249,[1]全服BOSS!$R$28:$AV$28,0))</f>
        <v>1|18300</v>
      </c>
    </row>
    <row r="250" spans="1:9" ht="16.5" x14ac:dyDescent="0.15">
      <c r="A250" s="2">
        <v>10247</v>
      </c>
      <c r="B250" s="2">
        <v>91109</v>
      </c>
      <c r="C250" s="10">
        <v>13</v>
      </c>
      <c r="D250" s="14" t="s">
        <v>466</v>
      </c>
      <c r="E250" s="10" t="s">
        <v>166</v>
      </c>
      <c r="F250" s="24">
        <v>59007</v>
      </c>
      <c r="G250">
        <v>7</v>
      </c>
      <c r="H250">
        <f t="shared" si="2"/>
        <v>110</v>
      </c>
      <c r="I250" t="str">
        <f>"1|"&amp;INDEX([1]全服BOSS!$R$28:$AV$41,MATCH(H250,[1]全服BOSS!$R$28:$R$41,0),MATCH($G250,[1]全服BOSS!$R$28:$AV$28,0))</f>
        <v>1|21300</v>
      </c>
    </row>
    <row r="251" spans="1:9" ht="16.5" x14ac:dyDescent="0.15">
      <c r="A251" s="2">
        <v>10248</v>
      </c>
      <c r="B251" s="2">
        <v>91109</v>
      </c>
      <c r="C251" s="10">
        <v>15</v>
      </c>
      <c r="D251" s="14" t="s">
        <v>594</v>
      </c>
      <c r="E251" s="10" t="s">
        <v>160</v>
      </c>
      <c r="F251" s="24">
        <v>59008</v>
      </c>
      <c r="G251">
        <v>8</v>
      </c>
      <c r="H251">
        <f t="shared" si="2"/>
        <v>110</v>
      </c>
      <c r="I251" t="str">
        <f>"1|"&amp;INDEX([1]全服BOSS!$R$28:$AV$41,MATCH(H251,[1]全服BOSS!$R$28:$R$41,0),MATCH($G251,[1]全服BOSS!$R$28:$AV$28,0))</f>
        <v>1|24400</v>
      </c>
    </row>
    <row r="252" spans="1:9" ht="16.5" x14ac:dyDescent="0.15">
      <c r="A252" s="2">
        <v>10249</v>
      </c>
      <c r="B252" s="2">
        <v>91109</v>
      </c>
      <c r="C252" s="10">
        <v>17</v>
      </c>
      <c r="D252" s="14" t="s">
        <v>595</v>
      </c>
      <c r="E252" s="10" t="s">
        <v>286</v>
      </c>
      <c r="F252" s="24">
        <v>59009</v>
      </c>
      <c r="G252">
        <v>9</v>
      </c>
      <c r="H252">
        <f t="shared" si="2"/>
        <v>110</v>
      </c>
      <c r="I252" t="str">
        <f>"1|"&amp;INDEX([1]全服BOSS!$R$28:$AV$41,MATCH(H252,[1]全服BOSS!$R$28:$R$41,0),MATCH($G252,[1]全服BOSS!$R$28:$AV$28,0))</f>
        <v>1|27400</v>
      </c>
    </row>
    <row r="253" spans="1:9" ht="16.5" x14ac:dyDescent="0.15">
      <c r="A253" s="2">
        <v>10250</v>
      </c>
      <c r="B253" s="2">
        <v>91109</v>
      </c>
      <c r="C253" s="10">
        <v>19</v>
      </c>
      <c r="D253" s="14" t="s">
        <v>596</v>
      </c>
      <c r="E253" s="10" t="s">
        <v>287</v>
      </c>
      <c r="F253" s="24">
        <v>59010</v>
      </c>
      <c r="G253">
        <v>10</v>
      </c>
      <c r="H253">
        <f t="shared" si="2"/>
        <v>110</v>
      </c>
      <c r="I253" t="str">
        <f>"1|"&amp;INDEX([1]全服BOSS!$R$28:$AV$41,MATCH(H253,[1]全服BOSS!$R$28:$R$41,0),MATCH($G253,[1]全服BOSS!$R$28:$AV$28,0))</f>
        <v>1|30500</v>
      </c>
    </row>
    <row r="254" spans="1:9" ht="16.5" x14ac:dyDescent="0.15">
      <c r="A254" s="2">
        <v>10251</v>
      </c>
      <c r="B254" s="2">
        <v>91109</v>
      </c>
      <c r="C254" s="10">
        <v>21</v>
      </c>
      <c r="D254" s="14" t="s">
        <v>597</v>
      </c>
      <c r="E254" s="10" t="s">
        <v>288</v>
      </c>
      <c r="F254" s="24">
        <v>59011</v>
      </c>
      <c r="G254">
        <v>12</v>
      </c>
      <c r="H254">
        <f t="shared" si="2"/>
        <v>110</v>
      </c>
      <c r="I254" t="str">
        <f>"1|"&amp;INDEX([1]全服BOSS!$R$28:$AV$41,MATCH(H254,[1]全服BOSS!$R$28:$R$41,0),MATCH($G254,[1]全服BOSS!$R$28:$AV$28,0))</f>
        <v>1|36600</v>
      </c>
    </row>
    <row r="255" spans="1:9" ht="16.5" x14ac:dyDescent="0.15">
      <c r="A255" s="2">
        <v>10252</v>
      </c>
      <c r="B255" s="2">
        <v>91109</v>
      </c>
      <c r="C255" s="10">
        <v>23</v>
      </c>
      <c r="D255" s="14" t="s">
        <v>598</v>
      </c>
      <c r="E255" s="10" t="s">
        <v>289</v>
      </c>
      <c r="F255" s="24">
        <v>59012</v>
      </c>
      <c r="G255">
        <v>14</v>
      </c>
      <c r="H255">
        <f t="shared" si="2"/>
        <v>110</v>
      </c>
      <c r="I255" t="str">
        <f>"1|"&amp;INDEX([1]全服BOSS!$R$28:$AV$41,MATCH(H255,[1]全服BOSS!$R$28:$R$41,0),MATCH($G255,[1]全服BOSS!$R$28:$AV$28,0))</f>
        <v>1|42700</v>
      </c>
    </row>
    <row r="256" spans="1:9" ht="16.5" x14ac:dyDescent="0.15">
      <c r="A256" s="2">
        <v>10253</v>
      </c>
      <c r="B256" s="2">
        <v>91109</v>
      </c>
      <c r="C256" s="10">
        <v>25</v>
      </c>
      <c r="D256" s="14" t="s">
        <v>599</v>
      </c>
      <c r="E256" s="10" t="s">
        <v>290</v>
      </c>
      <c r="F256" s="24">
        <v>59013</v>
      </c>
      <c r="G256">
        <v>16</v>
      </c>
      <c r="H256">
        <f t="shared" si="2"/>
        <v>110</v>
      </c>
      <c r="I256" t="str">
        <f>"1|"&amp;INDEX([1]全服BOSS!$R$28:$AV$41,MATCH(H256,[1]全服BOSS!$R$28:$R$41,0),MATCH($G256,[1]全服BOSS!$R$28:$AV$28,0))</f>
        <v>1|48800</v>
      </c>
    </row>
    <row r="257" spans="1:9" ht="16.5" x14ac:dyDescent="0.15">
      <c r="A257" s="2">
        <v>10254</v>
      </c>
      <c r="B257" s="2">
        <v>91109</v>
      </c>
      <c r="C257" s="10">
        <v>27</v>
      </c>
      <c r="D257" s="14" t="s">
        <v>600</v>
      </c>
      <c r="E257" s="10" t="s">
        <v>291</v>
      </c>
      <c r="F257" s="24">
        <v>59014</v>
      </c>
      <c r="G257">
        <v>18</v>
      </c>
      <c r="H257">
        <f t="shared" ref="H257:H320" si="3">H227+10</f>
        <v>110</v>
      </c>
      <c r="I257" t="str">
        <f>"1|"&amp;INDEX([1]全服BOSS!$R$28:$AV$41,MATCH(H257,[1]全服BOSS!$R$28:$R$41,0),MATCH($G257,[1]全服BOSS!$R$28:$AV$28,0))</f>
        <v>1|54900</v>
      </c>
    </row>
    <row r="258" spans="1:9" ht="16.5" x14ac:dyDescent="0.15">
      <c r="A258" s="2">
        <v>10255</v>
      </c>
      <c r="B258" s="2">
        <v>91109</v>
      </c>
      <c r="C258" s="10">
        <v>29</v>
      </c>
      <c r="D258" s="14" t="s">
        <v>601</v>
      </c>
      <c r="E258" s="10" t="s">
        <v>292</v>
      </c>
      <c r="F258" s="24">
        <v>59015</v>
      </c>
      <c r="G258">
        <v>20</v>
      </c>
      <c r="H258">
        <f t="shared" si="3"/>
        <v>110</v>
      </c>
      <c r="I258" t="str">
        <f>"1|"&amp;INDEX([1]全服BOSS!$R$28:$AV$41,MATCH(H258,[1]全服BOSS!$R$28:$R$41,0),MATCH($G258,[1]全服BOSS!$R$28:$AV$28,0))</f>
        <v>1|61000</v>
      </c>
    </row>
    <row r="259" spans="1:9" ht="16.5" x14ac:dyDescent="0.15">
      <c r="A259" s="2">
        <v>10256</v>
      </c>
      <c r="B259" s="2">
        <v>91109</v>
      </c>
      <c r="C259" s="10">
        <v>31</v>
      </c>
      <c r="D259" s="14" t="s">
        <v>602</v>
      </c>
      <c r="E259" s="10" t="s">
        <v>293</v>
      </c>
      <c r="F259" s="24">
        <v>59016</v>
      </c>
      <c r="G259">
        <v>22</v>
      </c>
      <c r="H259">
        <f t="shared" si="3"/>
        <v>110</v>
      </c>
      <c r="I259" t="str">
        <f>"1|"&amp;INDEX([1]全服BOSS!$R$28:$AV$41,MATCH(H259,[1]全服BOSS!$R$28:$R$41,0),MATCH($G259,[1]全服BOSS!$R$28:$AV$28,0))</f>
        <v>1|67100</v>
      </c>
    </row>
    <row r="260" spans="1:9" ht="16.5" x14ac:dyDescent="0.15">
      <c r="A260" s="2">
        <v>10257</v>
      </c>
      <c r="B260" s="2">
        <v>91109</v>
      </c>
      <c r="C260" s="10">
        <v>33</v>
      </c>
      <c r="D260" s="14" t="s">
        <v>603</v>
      </c>
      <c r="E260" s="10" t="s">
        <v>294</v>
      </c>
      <c r="F260" s="24">
        <v>59017</v>
      </c>
      <c r="G260">
        <v>24</v>
      </c>
      <c r="H260">
        <f t="shared" si="3"/>
        <v>110</v>
      </c>
      <c r="I260" t="str">
        <f>"1|"&amp;INDEX([1]全服BOSS!$R$28:$AV$41,MATCH(H260,[1]全服BOSS!$R$28:$R$41,0),MATCH($G260,[1]全服BOSS!$R$28:$AV$28,0))</f>
        <v>1|73200</v>
      </c>
    </row>
    <row r="261" spans="1:9" ht="16.5" x14ac:dyDescent="0.15">
      <c r="A261" s="2">
        <v>10258</v>
      </c>
      <c r="B261" s="2">
        <v>91109</v>
      </c>
      <c r="C261" s="10">
        <v>35</v>
      </c>
      <c r="D261" s="14" t="s">
        <v>604</v>
      </c>
      <c r="E261" s="10" t="s">
        <v>154</v>
      </c>
      <c r="F261" s="24">
        <v>59018</v>
      </c>
      <c r="G261">
        <v>26</v>
      </c>
      <c r="H261">
        <f t="shared" si="3"/>
        <v>110</v>
      </c>
      <c r="I261" t="str">
        <f>"1|"&amp;INDEX([1]全服BOSS!$R$28:$AV$41,MATCH(H261,[1]全服BOSS!$R$28:$R$41,0),MATCH($G261,[1]全服BOSS!$R$28:$AV$28,0))</f>
        <v>1|79300</v>
      </c>
    </row>
    <row r="262" spans="1:9" ht="16.5" x14ac:dyDescent="0.15">
      <c r="A262" s="2">
        <v>10259</v>
      </c>
      <c r="B262" s="2">
        <v>91109</v>
      </c>
      <c r="C262" s="10">
        <v>37</v>
      </c>
      <c r="D262" s="14" t="s">
        <v>605</v>
      </c>
      <c r="E262" s="10" t="s">
        <v>295</v>
      </c>
      <c r="F262" s="24">
        <v>59019</v>
      </c>
      <c r="G262">
        <v>28</v>
      </c>
      <c r="H262">
        <f t="shared" si="3"/>
        <v>110</v>
      </c>
      <c r="I262" t="str">
        <f>"1|"&amp;INDEX([1]全服BOSS!$R$28:$AV$41,MATCH(H262,[1]全服BOSS!$R$28:$R$41,0),MATCH($G262,[1]全服BOSS!$R$28:$AV$28,0))</f>
        <v>1|85400</v>
      </c>
    </row>
    <row r="263" spans="1:9" ht="16.5" x14ac:dyDescent="0.15">
      <c r="A263" s="2">
        <v>10260</v>
      </c>
      <c r="B263" s="2">
        <v>91109</v>
      </c>
      <c r="C263" s="10">
        <v>39</v>
      </c>
      <c r="D263" s="14" t="s">
        <v>606</v>
      </c>
      <c r="E263" s="10" t="s">
        <v>296</v>
      </c>
      <c r="F263" s="24">
        <v>59020</v>
      </c>
      <c r="G263">
        <v>30</v>
      </c>
      <c r="H263">
        <f t="shared" si="3"/>
        <v>110</v>
      </c>
      <c r="I263" t="str">
        <f>"1|"&amp;INDEX([1]全服BOSS!$R$28:$AV$41,MATCH(H263,[1]全服BOSS!$R$28:$R$41,0),MATCH($G263,[1]全服BOSS!$R$28:$AV$28,0))</f>
        <v>1|91500</v>
      </c>
    </row>
    <row r="264" spans="1:9" ht="16.5" x14ac:dyDescent="0.15">
      <c r="A264" s="2">
        <v>10261</v>
      </c>
      <c r="B264" s="2">
        <v>91109</v>
      </c>
      <c r="C264" s="10">
        <v>41</v>
      </c>
      <c r="D264" s="14" t="s">
        <v>607</v>
      </c>
      <c r="E264" s="10" t="s">
        <v>297</v>
      </c>
      <c r="F264" s="24">
        <v>59021</v>
      </c>
      <c r="G264">
        <v>32</v>
      </c>
      <c r="H264">
        <f t="shared" si="3"/>
        <v>110</v>
      </c>
      <c r="I264" t="str">
        <f>"1|"&amp;INDEX([1]全服BOSS!$R$28:$AV$41,MATCH(H264,[1]全服BOSS!$R$28:$R$41,0),MATCH($G264,[1]全服BOSS!$R$28:$AV$28,0))</f>
        <v>1|97600</v>
      </c>
    </row>
    <row r="265" spans="1:9" ht="16.5" x14ac:dyDescent="0.15">
      <c r="A265" s="2">
        <v>10262</v>
      </c>
      <c r="B265" s="2">
        <v>91109</v>
      </c>
      <c r="C265" s="10">
        <v>43</v>
      </c>
      <c r="D265" s="14" t="s">
        <v>586</v>
      </c>
      <c r="E265" s="10" t="s">
        <v>279</v>
      </c>
      <c r="F265" s="24">
        <v>59022</v>
      </c>
      <c r="G265">
        <v>34</v>
      </c>
      <c r="H265">
        <f t="shared" si="3"/>
        <v>110</v>
      </c>
      <c r="I265" t="str">
        <f>"1|"&amp;INDEX([1]全服BOSS!$R$28:$AV$41,MATCH(H265,[1]全服BOSS!$R$28:$R$41,0),MATCH($G265,[1]全服BOSS!$R$28:$AV$28,0))</f>
        <v>1|104000</v>
      </c>
    </row>
    <row r="266" spans="1:9" ht="16.5" x14ac:dyDescent="0.15">
      <c r="A266" s="2">
        <v>10263</v>
      </c>
      <c r="B266" s="2">
        <v>91109</v>
      </c>
      <c r="C266" s="10">
        <v>45</v>
      </c>
      <c r="D266" s="14" t="s">
        <v>608</v>
      </c>
      <c r="E266" s="10" t="s">
        <v>298</v>
      </c>
      <c r="F266" s="24">
        <v>59023</v>
      </c>
      <c r="G266">
        <v>36</v>
      </c>
      <c r="H266">
        <f t="shared" si="3"/>
        <v>110</v>
      </c>
      <c r="I266" t="str">
        <f>"1|"&amp;INDEX([1]全服BOSS!$R$28:$AV$41,MATCH(H266,[1]全服BOSS!$R$28:$R$41,0),MATCH($G266,[1]全服BOSS!$R$28:$AV$28,0))</f>
        <v>1|110000</v>
      </c>
    </row>
    <row r="267" spans="1:9" ht="16.5" x14ac:dyDescent="0.15">
      <c r="A267" s="2">
        <v>10264</v>
      </c>
      <c r="B267" s="2">
        <v>91109</v>
      </c>
      <c r="C267" s="10">
        <v>47</v>
      </c>
      <c r="D267" s="14" t="s">
        <v>609</v>
      </c>
      <c r="E267" s="10" t="s">
        <v>299</v>
      </c>
      <c r="F267" s="24">
        <v>59024</v>
      </c>
      <c r="G267">
        <v>38</v>
      </c>
      <c r="H267">
        <f t="shared" si="3"/>
        <v>110</v>
      </c>
      <c r="I267" t="str">
        <f>"1|"&amp;INDEX([1]全服BOSS!$R$28:$AV$41,MATCH(H267,[1]全服BOSS!$R$28:$R$41,0),MATCH($G267,[1]全服BOSS!$R$28:$AV$28,0))</f>
        <v>1|116000</v>
      </c>
    </row>
    <row r="268" spans="1:9" ht="16.5" x14ac:dyDescent="0.15">
      <c r="A268" s="2">
        <v>10265</v>
      </c>
      <c r="B268" s="2">
        <v>91109</v>
      </c>
      <c r="C268" s="10">
        <v>49</v>
      </c>
      <c r="D268" s="14" t="s">
        <v>610</v>
      </c>
      <c r="E268" s="10" t="s">
        <v>300</v>
      </c>
      <c r="F268" s="24">
        <v>59025</v>
      </c>
      <c r="G268">
        <v>40</v>
      </c>
      <c r="H268">
        <f t="shared" si="3"/>
        <v>110</v>
      </c>
      <c r="I268" t="str">
        <f>"1|"&amp;INDEX([1]全服BOSS!$R$28:$AV$41,MATCH(H268,[1]全服BOSS!$R$28:$R$41,0),MATCH($G268,[1]全服BOSS!$R$28:$AV$28,0))</f>
        <v>1|122000</v>
      </c>
    </row>
    <row r="269" spans="1:9" ht="16.5" x14ac:dyDescent="0.15">
      <c r="A269" s="2">
        <v>10266</v>
      </c>
      <c r="B269" s="2">
        <v>91109</v>
      </c>
      <c r="C269" s="10">
        <v>51</v>
      </c>
      <c r="D269" s="14" t="s">
        <v>611</v>
      </c>
      <c r="E269" s="10" t="s">
        <v>301</v>
      </c>
      <c r="F269" s="24">
        <v>59026</v>
      </c>
      <c r="G269">
        <v>42</v>
      </c>
      <c r="H269">
        <f t="shared" si="3"/>
        <v>110</v>
      </c>
      <c r="I269" t="str">
        <f>"1|"&amp;INDEX([1]全服BOSS!$R$28:$AV$41,MATCH(H269,[1]全服BOSS!$R$28:$R$41,0),MATCH($G269,[1]全服BOSS!$R$28:$AV$28,0))</f>
        <v>1|128000</v>
      </c>
    </row>
    <row r="270" spans="1:9" ht="16.5" x14ac:dyDescent="0.15">
      <c r="A270" s="2">
        <v>10267</v>
      </c>
      <c r="B270" s="2">
        <v>91109</v>
      </c>
      <c r="C270" s="10">
        <v>53</v>
      </c>
      <c r="D270" s="14" t="s">
        <v>612</v>
      </c>
      <c r="E270" s="10" t="s">
        <v>302</v>
      </c>
      <c r="F270" s="24">
        <v>59027</v>
      </c>
      <c r="G270">
        <v>44</v>
      </c>
      <c r="H270">
        <f t="shared" si="3"/>
        <v>110</v>
      </c>
      <c r="I270" t="str">
        <f>"1|"&amp;INDEX([1]全服BOSS!$R$28:$AV$41,MATCH(H270,[1]全服BOSS!$R$28:$R$41,0),MATCH($G270,[1]全服BOSS!$R$28:$AV$28,0))</f>
        <v>1|134000</v>
      </c>
    </row>
    <row r="271" spans="1:9" ht="16.5" x14ac:dyDescent="0.15">
      <c r="A271" s="2">
        <v>10268</v>
      </c>
      <c r="B271" s="2">
        <v>91109</v>
      </c>
      <c r="C271" s="10">
        <v>55</v>
      </c>
      <c r="D271" s="14" t="s">
        <v>613</v>
      </c>
      <c r="E271" s="10" t="s">
        <v>303</v>
      </c>
      <c r="F271" s="24">
        <v>59028</v>
      </c>
      <c r="G271">
        <v>46</v>
      </c>
      <c r="H271">
        <f t="shared" si="3"/>
        <v>110</v>
      </c>
      <c r="I271" t="str">
        <f>"1|"&amp;INDEX([1]全服BOSS!$R$28:$AV$41,MATCH(H271,[1]全服BOSS!$R$28:$R$41,0),MATCH($G271,[1]全服BOSS!$R$28:$AV$28,0))</f>
        <v>1|140000</v>
      </c>
    </row>
    <row r="272" spans="1:9" ht="16.5" x14ac:dyDescent="0.15">
      <c r="A272" s="2">
        <v>10269</v>
      </c>
      <c r="B272" s="2">
        <v>91109</v>
      </c>
      <c r="C272" s="10">
        <v>57</v>
      </c>
      <c r="D272" s="14" t="s">
        <v>614</v>
      </c>
      <c r="E272" s="10" t="s">
        <v>304</v>
      </c>
      <c r="F272" s="24">
        <v>59029</v>
      </c>
      <c r="G272">
        <v>48</v>
      </c>
      <c r="H272">
        <f t="shared" si="3"/>
        <v>110</v>
      </c>
      <c r="I272" t="str">
        <f>"1|"&amp;INDEX([1]全服BOSS!$R$28:$AV$41,MATCH(H272,[1]全服BOSS!$R$28:$R$41,0),MATCH($G272,[1]全服BOSS!$R$28:$AV$28,0))</f>
        <v>1|146000</v>
      </c>
    </row>
    <row r="273" spans="1:9" ht="16.5" x14ac:dyDescent="0.15">
      <c r="A273" s="2">
        <v>10270</v>
      </c>
      <c r="B273" s="2">
        <v>91109</v>
      </c>
      <c r="C273" s="10">
        <v>59</v>
      </c>
      <c r="D273" s="14" t="s">
        <v>615</v>
      </c>
      <c r="E273" s="10" t="s">
        <v>305</v>
      </c>
      <c r="F273" s="24">
        <v>59030</v>
      </c>
      <c r="G273">
        <v>50</v>
      </c>
      <c r="H273">
        <f t="shared" si="3"/>
        <v>110</v>
      </c>
      <c r="I273" t="str">
        <f>"1|"&amp;INDEX([1]全服BOSS!$R$28:$AV$41,MATCH(H273,[1]全服BOSS!$R$28:$R$41,0),MATCH($G273,[1]全服BOSS!$R$28:$AV$28,0))</f>
        <v>1|152000</v>
      </c>
    </row>
    <row r="274" spans="1:9" s="21" customFormat="1" ht="16.5" x14ac:dyDescent="0.15">
      <c r="A274" s="18">
        <v>10271</v>
      </c>
      <c r="B274" s="18">
        <v>91110</v>
      </c>
      <c r="C274" s="19">
        <v>1</v>
      </c>
      <c r="D274" s="20" t="s">
        <v>616</v>
      </c>
      <c r="E274" s="19" t="s">
        <v>74</v>
      </c>
      <c r="F274" s="26">
        <v>59001</v>
      </c>
      <c r="G274" s="21">
        <v>1</v>
      </c>
      <c r="H274" s="21">
        <f t="shared" si="3"/>
        <v>120</v>
      </c>
      <c r="I274" s="21" t="str">
        <f>"1|"&amp;INDEX([1]全服BOSS!$R$28:$AV$41,MATCH(H274,[1]全服BOSS!$R$28:$R$41,0),MATCH($G274,[1]全服BOSS!$R$28:$AV$28,0))</f>
        <v>1|4100</v>
      </c>
    </row>
    <row r="275" spans="1:9" s="21" customFormat="1" ht="16.5" x14ac:dyDescent="0.15">
      <c r="A275" s="18">
        <v>10272</v>
      </c>
      <c r="B275" s="18">
        <v>91110</v>
      </c>
      <c r="C275" s="19">
        <v>3</v>
      </c>
      <c r="D275" s="20" t="s">
        <v>617</v>
      </c>
      <c r="E275" s="19" t="s">
        <v>105</v>
      </c>
      <c r="F275" s="26">
        <v>59002</v>
      </c>
      <c r="G275" s="21">
        <v>2</v>
      </c>
      <c r="H275" s="21">
        <f t="shared" si="3"/>
        <v>120</v>
      </c>
      <c r="I275" s="21" t="str">
        <f>"1|"&amp;INDEX([1]全服BOSS!$R$28:$AV$41,MATCH(H275,[1]全服BOSS!$R$28:$R$41,0),MATCH($G275,[1]全服BOSS!$R$28:$AV$28,0))</f>
        <v>1|8300</v>
      </c>
    </row>
    <row r="276" spans="1:9" s="21" customFormat="1" ht="16.5" x14ac:dyDescent="0.15">
      <c r="A276" s="18">
        <v>10273</v>
      </c>
      <c r="B276" s="18">
        <v>91110</v>
      </c>
      <c r="C276" s="19">
        <v>5</v>
      </c>
      <c r="D276" s="20" t="s">
        <v>618</v>
      </c>
      <c r="E276" s="19" t="s">
        <v>116</v>
      </c>
      <c r="F276" s="26">
        <v>59003</v>
      </c>
      <c r="G276" s="21">
        <v>3</v>
      </c>
      <c r="H276" s="21">
        <f t="shared" si="3"/>
        <v>120</v>
      </c>
      <c r="I276" s="21" t="str">
        <f>"1|"&amp;INDEX([1]全服BOSS!$R$28:$AV$41,MATCH(H276,[1]全服BOSS!$R$28:$R$41,0),MATCH($G276,[1]全服BOSS!$R$28:$AV$28,0))</f>
        <v>1|12400</v>
      </c>
    </row>
    <row r="277" spans="1:9" s="21" customFormat="1" ht="16.5" x14ac:dyDescent="0.15">
      <c r="A277" s="18">
        <v>10274</v>
      </c>
      <c r="B277" s="18">
        <v>91110</v>
      </c>
      <c r="C277" s="19">
        <v>7</v>
      </c>
      <c r="D277" s="20" t="s">
        <v>569</v>
      </c>
      <c r="E277" s="19" t="s">
        <v>265</v>
      </c>
      <c r="F277" s="26">
        <v>59004</v>
      </c>
      <c r="G277" s="21">
        <v>4</v>
      </c>
      <c r="H277" s="21">
        <f t="shared" si="3"/>
        <v>120</v>
      </c>
      <c r="I277" s="21" t="str">
        <f>"1|"&amp;INDEX([1]全服BOSS!$R$28:$AV$41,MATCH(H277,[1]全服BOSS!$R$28:$R$41,0),MATCH($G277,[1]全服BOSS!$R$28:$AV$28,0))</f>
        <v>1|16500</v>
      </c>
    </row>
    <row r="278" spans="1:9" s="21" customFormat="1" ht="16.5" x14ac:dyDescent="0.15">
      <c r="A278" s="18">
        <v>10275</v>
      </c>
      <c r="B278" s="18">
        <v>91110</v>
      </c>
      <c r="C278" s="19">
        <v>9</v>
      </c>
      <c r="D278" s="20" t="s">
        <v>619</v>
      </c>
      <c r="E278" s="19" t="s">
        <v>306</v>
      </c>
      <c r="F278" s="26">
        <v>59005</v>
      </c>
      <c r="G278" s="21">
        <v>5</v>
      </c>
      <c r="H278" s="21">
        <f t="shared" si="3"/>
        <v>120</v>
      </c>
      <c r="I278" s="21" t="str">
        <f>"1|"&amp;INDEX([1]全服BOSS!$R$28:$AV$41,MATCH(H278,[1]全服BOSS!$R$28:$R$41,0),MATCH($G278,[1]全服BOSS!$R$28:$AV$28,0))</f>
        <v>1|20700</v>
      </c>
    </row>
    <row r="279" spans="1:9" s="21" customFormat="1" ht="16.5" x14ac:dyDescent="0.15">
      <c r="A279" s="18">
        <v>10276</v>
      </c>
      <c r="B279" s="18">
        <v>91110</v>
      </c>
      <c r="C279" s="19">
        <v>11</v>
      </c>
      <c r="D279" s="20" t="s">
        <v>620</v>
      </c>
      <c r="E279" s="19" t="s">
        <v>118</v>
      </c>
      <c r="F279" s="26">
        <v>59006</v>
      </c>
      <c r="G279" s="21">
        <v>6</v>
      </c>
      <c r="H279" s="21">
        <f t="shared" si="3"/>
        <v>120</v>
      </c>
      <c r="I279" s="21" t="str">
        <f>"1|"&amp;INDEX([1]全服BOSS!$R$28:$AV$41,MATCH(H279,[1]全服BOSS!$R$28:$R$41,0),MATCH($G279,[1]全服BOSS!$R$28:$AV$28,0))</f>
        <v>1|24800</v>
      </c>
    </row>
    <row r="280" spans="1:9" s="21" customFormat="1" ht="16.5" x14ac:dyDescent="0.15">
      <c r="A280" s="18">
        <v>10277</v>
      </c>
      <c r="B280" s="18">
        <v>91110</v>
      </c>
      <c r="C280" s="19">
        <v>13</v>
      </c>
      <c r="D280" s="20" t="s">
        <v>621</v>
      </c>
      <c r="E280" s="19" t="s">
        <v>307</v>
      </c>
      <c r="F280" s="26">
        <v>59007</v>
      </c>
      <c r="G280" s="21">
        <v>7</v>
      </c>
      <c r="H280" s="21">
        <f t="shared" si="3"/>
        <v>120</v>
      </c>
      <c r="I280" s="21" t="str">
        <f>"1|"&amp;INDEX([1]全服BOSS!$R$28:$AV$41,MATCH(H280,[1]全服BOSS!$R$28:$R$41,0),MATCH($G280,[1]全服BOSS!$R$28:$AV$28,0))</f>
        <v>1|28900</v>
      </c>
    </row>
    <row r="281" spans="1:9" s="21" customFormat="1" ht="16.5" x14ac:dyDescent="0.15">
      <c r="A281" s="18">
        <v>10278</v>
      </c>
      <c r="B281" s="18">
        <v>91110</v>
      </c>
      <c r="C281" s="19">
        <v>15</v>
      </c>
      <c r="D281" s="20" t="s">
        <v>572</v>
      </c>
      <c r="E281" s="19" t="s">
        <v>267</v>
      </c>
      <c r="F281" s="26">
        <v>59008</v>
      </c>
      <c r="G281" s="21">
        <v>8</v>
      </c>
      <c r="H281" s="21">
        <f t="shared" si="3"/>
        <v>120</v>
      </c>
      <c r="I281" s="21" t="str">
        <f>"1|"&amp;INDEX([1]全服BOSS!$R$28:$AV$41,MATCH(H281,[1]全服BOSS!$R$28:$R$41,0),MATCH($G281,[1]全服BOSS!$R$28:$AV$28,0))</f>
        <v>1|33100</v>
      </c>
    </row>
    <row r="282" spans="1:9" s="21" customFormat="1" ht="16.5" x14ac:dyDescent="0.15">
      <c r="A282" s="18">
        <v>10279</v>
      </c>
      <c r="B282" s="18">
        <v>91110</v>
      </c>
      <c r="C282" s="19">
        <v>17</v>
      </c>
      <c r="D282" s="20" t="s">
        <v>622</v>
      </c>
      <c r="E282" s="19" t="s">
        <v>122</v>
      </c>
      <c r="F282" s="26">
        <v>59009</v>
      </c>
      <c r="G282" s="21">
        <v>9</v>
      </c>
      <c r="H282" s="21">
        <f t="shared" si="3"/>
        <v>120</v>
      </c>
      <c r="I282" s="21" t="str">
        <f>"1|"&amp;INDEX([1]全服BOSS!$R$28:$AV$41,MATCH(H282,[1]全服BOSS!$R$28:$R$41,0),MATCH($G282,[1]全服BOSS!$R$28:$AV$28,0))</f>
        <v>1|37200</v>
      </c>
    </row>
    <row r="283" spans="1:9" s="21" customFormat="1" ht="16.5" x14ac:dyDescent="0.15">
      <c r="A283" s="18">
        <v>10280</v>
      </c>
      <c r="B283" s="18">
        <v>91110</v>
      </c>
      <c r="C283" s="19">
        <v>19</v>
      </c>
      <c r="D283" s="20" t="s">
        <v>623</v>
      </c>
      <c r="E283" s="19" t="s">
        <v>308</v>
      </c>
      <c r="F283" s="26">
        <v>59010</v>
      </c>
      <c r="G283" s="21">
        <v>10</v>
      </c>
      <c r="H283" s="21">
        <f t="shared" si="3"/>
        <v>120</v>
      </c>
      <c r="I283" s="21" t="str">
        <f>"1|"&amp;INDEX([1]全服BOSS!$R$28:$AV$41,MATCH(H283,[1]全服BOSS!$R$28:$R$41,0),MATCH($G283,[1]全服BOSS!$R$28:$AV$28,0))</f>
        <v>1|41300</v>
      </c>
    </row>
    <row r="284" spans="1:9" s="21" customFormat="1" ht="16.5" x14ac:dyDescent="0.15">
      <c r="A284" s="18">
        <v>10281</v>
      </c>
      <c r="B284" s="18">
        <v>91110</v>
      </c>
      <c r="C284" s="19">
        <v>21</v>
      </c>
      <c r="D284" s="20" t="s">
        <v>624</v>
      </c>
      <c r="E284" s="19" t="s">
        <v>309</v>
      </c>
      <c r="F284" s="26">
        <v>59011</v>
      </c>
      <c r="G284" s="21">
        <v>12</v>
      </c>
      <c r="H284" s="21">
        <f t="shared" si="3"/>
        <v>120</v>
      </c>
      <c r="I284" s="21" t="str">
        <f>"1|"&amp;INDEX([1]全服BOSS!$R$28:$AV$41,MATCH(H284,[1]全服BOSS!$R$28:$R$41,0),MATCH($G284,[1]全服BOSS!$R$28:$AV$28,0))</f>
        <v>1|49600</v>
      </c>
    </row>
    <row r="285" spans="1:9" s="21" customFormat="1" ht="16.5" x14ac:dyDescent="0.15">
      <c r="A285" s="18">
        <v>10282</v>
      </c>
      <c r="B285" s="18">
        <v>91110</v>
      </c>
      <c r="C285" s="19">
        <v>23</v>
      </c>
      <c r="D285" s="20" t="s">
        <v>625</v>
      </c>
      <c r="E285" s="19" t="s">
        <v>310</v>
      </c>
      <c r="F285" s="26">
        <v>59012</v>
      </c>
      <c r="G285" s="21">
        <v>14</v>
      </c>
      <c r="H285" s="21">
        <f t="shared" si="3"/>
        <v>120</v>
      </c>
      <c r="I285" s="21" t="str">
        <f>"1|"&amp;INDEX([1]全服BOSS!$R$28:$AV$41,MATCH(H285,[1]全服BOSS!$R$28:$R$41,0),MATCH($G285,[1]全服BOSS!$R$28:$AV$28,0))</f>
        <v>1|57800</v>
      </c>
    </row>
    <row r="286" spans="1:9" s="21" customFormat="1" ht="16.5" x14ac:dyDescent="0.15">
      <c r="A286" s="18">
        <v>10283</v>
      </c>
      <c r="B286" s="18">
        <v>91110</v>
      </c>
      <c r="C286" s="19">
        <v>25</v>
      </c>
      <c r="D286" s="20" t="s">
        <v>579</v>
      </c>
      <c r="E286" s="19" t="s">
        <v>272</v>
      </c>
      <c r="F286" s="26">
        <v>59013</v>
      </c>
      <c r="G286" s="21">
        <v>16</v>
      </c>
      <c r="H286" s="21">
        <f t="shared" si="3"/>
        <v>120</v>
      </c>
      <c r="I286" s="21" t="str">
        <f>"1|"&amp;INDEX([1]全服BOSS!$R$28:$AV$41,MATCH(H286,[1]全服BOSS!$R$28:$R$41,0),MATCH($G286,[1]全服BOSS!$R$28:$AV$28,0))</f>
        <v>1|66100</v>
      </c>
    </row>
    <row r="287" spans="1:9" s="21" customFormat="1" ht="16.5" x14ac:dyDescent="0.15">
      <c r="A287" s="18">
        <v>10284</v>
      </c>
      <c r="B287" s="18">
        <v>91110</v>
      </c>
      <c r="C287" s="19">
        <v>27</v>
      </c>
      <c r="D287" s="20" t="s">
        <v>626</v>
      </c>
      <c r="E287" s="19" t="s">
        <v>311</v>
      </c>
      <c r="F287" s="26">
        <v>59014</v>
      </c>
      <c r="G287" s="21">
        <v>18</v>
      </c>
      <c r="H287" s="21">
        <f t="shared" si="3"/>
        <v>120</v>
      </c>
      <c r="I287" s="21" t="str">
        <f>"1|"&amp;INDEX([1]全服BOSS!$R$28:$AV$41,MATCH(H287,[1]全服BOSS!$R$28:$R$41,0),MATCH($G287,[1]全服BOSS!$R$28:$AV$28,0))</f>
        <v>1|74400</v>
      </c>
    </row>
    <row r="288" spans="1:9" s="21" customFormat="1" ht="16.5" x14ac:dyDescent="0.15">
      <c r="A288" s="18">
        <v>10285</v>
      </c>
      <c r="B288" s="18">
        <v>91110</v>
      </c>
      <c r="C288" s="19">
        <v>29</v>
      </c>
      <c r="D288" s="20" t="s">
        <v>627</v>
      </c>
      <c r="E288" s="19" t="s">
        <v>312</v>
      </c>
      <c r="F288" s="26">
        <v>59015</v>
      </c>
      <c r="G288" s="21">
        <v>20</v>
      </c>
      <c r="H288" s="21">
        <f t="shared" si="3"/>
        <v>120</v>
      </c>
      <c r="I288" s="21" t="str">
        <f>"1|"&amp;INDEX([1]全服BOSS!$R$28:$AV$41,MATCH(H288,[1]全服BOSS!$R$28:$R$41,0),MATCH($G288,[1]全服BOSS!$R$28:$AV$28,0))</f>
        <v>1|82600</v>
      </c>
    </row>
    <row r="289" spans="1:9" s="21" customFormat="1" ht="16.5" x14ac:dyDescent="0.15">
      <c r="A289" s="18">
        <v>10286</v>
      </c>
      <c r="B289" s="18">
        <v>91110</v>
      </c>
      <c r="C289" s="19">
        <v>31</v>
      </c>
      <c r="D289" s="20" t="s">
        <v>628</v>
      </c>
      <c r="E289" s="19" t="s">
        <v>313</v>
      </c>
      <c r="F289" s="26">
        <v>59016</v>
      </c>
      <c r="G289" s="21">
        <v>22</v>
      </c>
      <c r="H289" s="21">
        <f t="shared" si="3"/>
        <v>120</v>
      </c>
      <c r="I289" s="21" t="str">
        <f>"1|"&amp;INDEX([1]全服BOSS!$R$28:$AV$41,MATCH(H289,[1]全服BOSS!$R$28:$R$41,0),MATCH($G289,[1]全服BOSS!$R$28:$AV$28,0))</f>
        <v>1|90900</v>
      </c>
    </row>
    <row r="290" spans="1:9" s="21" customFormat="1" ht="16.5" x14ac:dyDescent="0.15">
      <c r="A290" s="18">
        <v>10287</v>
      </c>
      <c r="B290" s="18">
        <v>91110</v>
      </c>
      <c r="C290" s="19">
        <v>33</v>
      </c>
      <c r="D290" s="20" t="s">
        <v>585</v>
      </c>
      <c r="E290" s="19" t="s">
        <v>278</v>
      </c>
      <c r="F290" s="26">
        <v>59017</v>
      </c>
      <c r="G290" s="21">
        <v>24</v>
      </c>
      <c r="H290" s="21">
        <f t="shared" si="3"/>
        <v>120</v>
      </c>
      <c r="I290" s="21" t="str">
        <f>"1|"&amp;INDEX([1]全服BOSS!$R$28:$AV$41,MATCH(H290,[1]全服BOSS!$R$28:$R$41,0),MATCH($G290,[1]全服BOSS!$R$28:$AV$28,0))</f>
        <v>1|99200</v>
      </c>
    </row>
    <row r="291" spans="1:9" s="21" customFormat="1" ht="16.5" x14ac:dyDescent="0.15">
      <c r="A291" s="18">
        <v>10288</v>
      </c>
      <c r="B291" s="18">
        <v>91110</v>
      </c>
      <c r="C291" s="19">
        <v>35</v>
      </c>
      <c r="D291" s="20" t="s">
        <v>629</v>
      </c>
      <c r="E291" s="19" t="s">
        <v>314</v>
      </c>
      <c r="F291" s="26">
        <v>59018</v>
      </c>
      <c r="G291" s="21">
        <v>26</v>
      </c>
      <c r="H291" s="21">
        <f t="shared" si="3"/>
        <v>120</v>
      </c>
      <c r="I291" s="21" t="str">
        <f>"1|"&amp;INDEX([1]全服BOSS!$R$28:$AV$41,MATCH(H291,[1]全服BOSS!$R$28:$R$41,0),MATCH($G291,[1]全服BOSS!$R$28:$AV$28,0))</f>
        <v>1|107000</v>
      </c>
    </row>
    <row r="292" spans="1:9" s="21" customFormat="1" ht="16.5" x14ac:dyDescent="0.15">
      <c r="A292" s="18">
        <v>10289</v>
      </c>
      <c r="B292" s="18">
        <v>91110</v>
      </c>
      <c r="C292" s="19">
        <v>37</v>
      </c>
      <c r="D292" s="20" t="s">
        <v>609</v>
      </c>
      <c r="E292" s="19" t="s">
        <v>299</v>
      </c>
      <c r="F292" s="26">
        <v>59019</v>
      </c>
      <c r="G292" s="21">
        <v>28</v>
      </c>
      <c r="H292" s="21">
        <f t="shared" si="3"/>
        <v>120</v>
      </c>
      <c r="I292" s="21" t="str">
        <f>"1|"&amp;INDEX([1]全服BOSS!$R$28:$AV$41,MATCH(H292,[1]全服BOSS!$R$28:$R$41,0),MATCH($G292,[1]全服BOSS!$R$28:$AV$28,0))</f>
        <v>1|116000</v>
      </c>
    </row>
    <row r="293" spans="1:9" s="21" customFormat="1" ht="16.5" x14ac:dyDescent="0.15">
      <c r="A293" s="18">
        <v>10290</v>
      </c>
      <c r="B293" s="18">
        <v>91110</v>
      </c>
      <c r="C293" s="19">
        <v>39</v>
      </c>
      <c r="D293" s="20" t="s">
        <v>630</v>
      </c>
      <c r="E293" s="19" t="s">
        <v>315</v>
      </c>
      <c r="F293" s="26">
        <v>59020</v>
      </c>
      <c r="G293" s="21">
        <v>30</v>
      </c>
      <c r="H293" s="21">
        <f t="shared" si="3"/>
        <v>120</v>
      </c>
      <c r="I293" s="21" t="str">
        <f>"1|"&amp;INDEX([1]全服BOSS!$R$28:$AV$41,MATCH(H293,[1]全服BOSS!$R$28:$R$41,0),MATCH($G293,[1]全服BOSS!$R$28:$AV$28,0))</f>
        <v>1|124000</v>
      </c>
    </row>
    <row r="294" spans="1:9" s="21" customFormat="1" ht="16.5" x14ac:dyDescent="0.15">
      <c r="A294" s="18">
        <v>10291</v>
      </c>
      <c r="B294" s="18">
        <v>91110</v>
      </c>
      <c r="C294" s="19">
        <v>41</v>
      </c>
      <c r="D294" s="20" t="s">
        <v>631</v>
      </c>
      <c r="E294" s="19" t="s">
        <v>316</v>
      </c>
      <c r="F294" s="26">
        <v>59021</v>
      </c>
      <c r="G294" s="21">
        <v>32</v>
      </c>
      <c r="H294" s="21">
        <f t="shared" si="3"/>
        <v>120</v>
      </c>
      <c r="I294" s="21" t="str">
        <f>"1|"&amp;INDEX([1]全服BOSS!$R$28:$AV$41,MATCH(H294,[1]全服BOSS!$R$28:$R$41,0),MATCH($G294,[1]全服BOSS!$R$28:$AV$28,0))</f>
        <v>1|132000</v>
      </c>
    </row>
    <row r="295" spans="1:9" s="21" customFormat="1" ht="16.5" x14ac:dyDescent="0.15">
      <c r="A295" s="18">
        <v>10292</v>
      </c>
      <c r="B295" s="18">
        <v>91110</v>
      </c>
      <c r="C295" s="19">
        <v>43</v>
      </c>
      <c r="D295" s="20" t="s">
        <v>613</v>
      </c>
      <c r="E295" s="19" t="s">
        <v>303</v>
      </c>
      <c r="F295" s="26">
        <v>59022</v>
      </c>
      <c r="G295" s="21">
        <v>34</v>
      </c>
      <c r="H295" s="21">
        <f t="shared" si="3"/>
        <v>120</v>
      </c>
      <c r="I295" s="21" t="str">
        <f>"1|"&amp;INDEX([1]全服BOSS!$R$28:$AV$41,MATCH(H295,[1]全服BOSS!$R$28:$R$41,0),MATCH($G295,[1]全服BOSS!$R$28:$AV$28,0))</f>
        <v>1|140000</v>
      </c>
    </row>
    <row r="296" spans="1:9" s="21" customFormat="1" ht="16.5" x14ac:dyDescent="0.15">
      <c r="A296" s="18">
        <v>10293</v>
      </c>
      <c r="B296" s="18">
        <v>91110</v>
      </c>
      <c r="C296" s="19">
        <v>45</v>
      </c>
      <c r="D296" s="20" t="s">
        <v>632</v>
      </c>
      <c r="E296" s="19" t="s">
        <v>317</v>
      </c>
      <c r="F296" s="26">
        <v>59023</v>
      </c>
      <c r="G296" s="21">
        <v>36</v>
      </c>
      <c r="H296" s="21">
        <f t="shared" si="3"/>
        <v>120</v>
      </c>
      <c r="I296" s="21" t="str">
        <f>"1|"&amp;INDEX([1]全服BOSS!$R$28:$AV$41,MATCH(H296,[1]全服BOSS!$R$28:$R$41,0),MATCH($G296,[1]全服BOSS!$R$28:$AV$28,0))</f>
        <v>1|149000</v>
      </c>
    </row>
    <row r="297" spans="1:9" s="21" customFormat="1" ht="16.5" x14ac:dyDescent="0.15">
      <c r="A297" s="18">
        <v>10294</v>
      </c>
      <c r="B297" s="18">
        <v>91110</v>
      </c>
      <c r="C297" s="19">
        <v>47</v>
      </c>
      <c r="D297" s="20" t="s">
        <v>633</v>
      </c>
      <c r="E297" s="19" t="s">
        <v>318</v>
      </c>
      <c r="F297" s="26">
        <v>59024</v>
      </c>
      <c r="G297" s="21">
        <v>38</v>
      </c>
      <c r="H297" s="21">
        <f t="shared" si="3"/>
        <v>120</v>
      </c>
      <c r="I297" s="21" t="str">
        <f>"1|"&amp;INDEX([1]全服BOSS!$R$28:$AV$41,MATCH(H297,[1]全服BOSS!$R$28:$R$41,0),MATCH($G297,[1]全服BOSS!$R$28:$AV$28,0))</f>
        <v>1|157000</v>
      </c>
    </row>
    <row r="298" spans="1:9" s="21" customFormat="1" ht="16.5" x14ac:dyDescent="0.15">
      <c r="A298" s="18">
        <v>10295</v>
      </c>
      <c r="B298" s="18">
        <v>91110</v>
      </c>
      <c r="C298" s="19">
        <v>49</v>
      </c>
      <c r="D298" s="20" t="s">
        <v>634</v>
      </c>
      <c r="E298" s="19" t="s">
        <v>319</v>
      </c>
      <c r="F298" s="26">
        <v>59025</v>
      </c>
      <c r="G298" s="21">
        <v>40</v>
      </c>
      <c r="H298" s="21">
        <f t="shared" si="3"/>
        <v>120</v>
      </c>
      <c r="I298" s="21" t="str">
        <f>"1|"&amp;INDEX([1]全服BOSS!$R$28:$AV$41,MATCH(H298,[1]全服BOSS!$R$28:$R$41,0),MATCH($G298,[1]全服BOSS!$R$28:$AV$28,0))</f>
        <v>1|165000</v>
      </c>
    </row>
    <row r="299" spans="1:9" s="21" customFormat="1" ht="16.5" x14ac:dyDescent="0.15">
      <c r="A299" s="18">
        <v>10296</v>
      </c>
      <c r="B299" s="18">
        <v>91110</v>
      </c>
      <c r="C299" s="19">
        <v>51</v>
      </c>
      <c r="D299" s="20" t="s">
        <v>635</v>
      </c>
      <c r="E299" s="19" t="s">
        <v>320</v>
      </c>
      <c r="F299" s="26">
        <v>59026</v>
      </c>
      <c r="G299" s="21">
        <v>42</v>
      </c>
      <c r="H299" s="21">
        <f t="shared" si="3"/>
        <v>120</v>
      </c>
      <c r="I299" s="21" t="str">
        <f>"1|"&amp;INDEX([1]全服BOSS!$R$28:$AV$41,MATCH(H299,[1]全服BOSS!$R$28:$R$41,0),MATCH($G299,[1]全服BOSS!$R$28:$AV$28,0))</f>
        <v>1|174000</v>
      </c>
    </row>
    <row r="300" spans="1:9" s="21" customFormat="1" ht="16.5" x14ac:dyDescent="0.15">
      <c r="A300" s="18">
        <v>10297</v>
      </c>
      <c r="B300" s="18">
        <v>91110</v>
      </c>
      <c r="C300" s="19">
        <v>53</v>
      </c>
      <c r="D300" s="20" t="s">
        <v>636</v>
      </c>
      <c r="E300" s="19" t="s">
        <v>321</v>
      </c>
      <c r="F300" s="26">
        <v>59027</v>
      </c>
      <c r="G300" s="21">
        <v>44</v>
      </c>
      <c r="H300" s="21">
        <f t="shared" si="3"/>
        <v>120</v>
      </c>
      <c r="I300" s="21" t="str">
        <f>"1|"&amp;INDEX([1]全服BOSS!$R$28:$AV$41,MATCH(H300,[1]全服BOSS!$R$28:$R$41,0),MATCH($G300,[1]全服BOSS!$R$28:$AV$28,0))</f>
        <v>1|182000</v>
      </c>
    </row>
    <row r="301" spans="1:9" s="21" customFormat="1" ht="16.5" x14ac:dyDescent="0.15">
      <c r="A301" s="18">
        <v>10298</v>
      </c>
      <c r="B301" s="18">
        <v>91110</v>
      </c>
      <c r="C301" s="19">
        <v>55</v>
      </c>
      <c r="D301" s="20" t="s">
        <v>637</v>
      </c>
      <c r="E301" s="19" t="s">
        <v>322</v>
      </c>
      <c r="F301" s="26">
        <v>59028</v>
      </c>
      <c r="G301" s="21">
        <v>46</v>
      </c>
      <c r="H301" s="21">
        <f t="shared" si="3"/>
        <v>120</v>
      </c>
      <c r="I301" s="21" t="str">
        <f>"1|"&amp;INDEX([1]全服BOSS!$R$28:$AV$41,MATCH(H301,[1]全服BOSS!$R$28:$R$41,0),MATCH($G301,[1]全服BOSS!$R$28:$AV$28,0))</f>
        <v>1|190000</v>
      </c>
    </row>
    <row r="302" spans="1:9" s="21" customFormat="1" ht="16.5" x14ac:dyDescent="0.15">
      <c r="A302" s="18">
        <v>10299</v>
      </c>
      <c r="B302" s="18">
        <v>91110</v>
      </c>
      <c r="C302" s="19">
        <v>57</v>
      </c>
      <c r="D302" s="20" t="s">
        <v>638</v>
      </c>
      <c r="E302" s="19" t="s">
        <v>323</v>
      </c>
      <c r="F302" s="26">
        <v>59029</v>
      </c>
      <c r="G302" s="21">
        <v>48</v>
      </c>
      <c r="H302" s="21">
        <f t="shared" si="3"/>
        <v>120</v>
      </c>
      <c r="I302" s="21" t="str">
        <f>"1|"&amp;INDEX([1]全服BOSS!$R$28:$AV$41,MATCH(H302,[1]全服BOSS!$R$28:$R$41,0),MATCH($G302,[1]全服BOSS!$R$28:$AV$28,0))</f>
        <v>1|198000</v>
      </c>
    </row>
    <row r="303" spans="1:9" s="21" customFormat="1" ht="16.5" x14ac:dyDescent="0.15">
      <c r="A303" s="18">
        <v>10300</v>
      </c>
      <c r="B303" s="18">
        <v>91110</v>
      </c>
      <c r="C303" s="19">
        <v>59</v>
      </c>
      <c r="D303" s="20" t="s">
        <v>639</v>
      </c>
      <c r="E303" s="19" t="s">
        <v>324</v>
      </c>
      <c r="F303" s="26">
        <v>59030</v>
      </c>
      <c r="G303" s="21">
        <v>50</v>
      </c>
      <c r="H303" s="21">
        <f t="shared" si="3"/>
        <v>120</v>
      </c>
      <c r="I303" s="21" t="str">
        <f>"1|"&amp;INDEX([1]全服BOSS!$R$28:$AV$41,MATCH(H303,[1]全服BOSS!$R$28:$R$41,0),MATCH($G303,[1]全服BOSS!$R$28:$AV$28,0))</f>
        <v>1|207000</v>
      </c>
    </row>
    <row r="304" spans="1:9" ht="16.5" x14ac:dyDescent="0.15">
      <c r="A304" s="2">
        <v>10301</v>
      </c>
      <c r="B304" s="2">
        <v>91111</v>
      </c>
      <c r="C304" s="10">
        <v>1</v>
      </c>
      <c r="D304" s="14" t="s">
        <v>640</v>
      </c>
      <c r="E304" s="10" t="s">
        <v>76</v>
      </c>
      <c r="F304" s="24">
        <v>59001</v>
      </c>
      <c r="G304">
        <v>1</v>
      </c>
      <c r="H304">
        <f t="shared" si="3"/>
        <v>130</v>
      </c>
      <c r="I304" t="str">
        <f>"1|"&amp;INDEX([1]全服BOSS!$R$28:$AV$41,MATCH(H304,[1]全服BOSS!$R$28:$R$41,0),MATCH($G304,[1]全服BOSS!$R$28:$AV$28,0))</f>
        <v>1|4900</v>
      </c>
    </row>
    <row r="305" spans="1:9" ht="16.5" x14ac:dyDescent="0.15">
      <c r="A305" s="2">
        <v>10302</v>
      </c>
      <c r="B305" s="2">
        <v>91111</v>
      </c>
      <c r="C305" s="10">
        <v>3</v>
      </c>
      <c r="D305" s="14" t="s">
        <v>641</v>
      </c>
      <c r="E305" s="10" t="s">
        <v>142</v>
      </c>
      <c r="F305" s="24">
        <v>59002</v>
      </c>
      <c r="G305">
        <v>2</v>
      </c>
      <c r="H305">
        <f t="shared" si="3"/>
        <v>130</v>
      </c>
      <c r="I305" t="str">
        <f>"1|"&amp;INDEX([1]全服BOSS!$R$28:$AV$41,MATCH(H305,[1]全服BOSS!$R$28:$R$41,0),MATCH($G305,[1]全服BOSS!$R$28:$AV$28,0))</f>
        <v>1|9900</v>
      </c>
    </row>
    <row r="306" spans="1:9" ht="16.5" x14ac:dyDescent="0.15">
      <c r="A306" s="2">
        <v>10303</v>
      </c>
      <c r="B306" s="2">
        <v>91111</v>
      </c>
      <c r="C306" s="10">
        <v>5</v>
      </c>
      <c r="D306" s="14" t="s">
        <v>503</v>
      </c>
      <c r="E306" s="10" t="s">
        <v>221</v>
      </c>
      <c r="F306" s="24">
        <v>59003</v>
      </c>
      <c r="G306">
        <v>3</v>
      </c>
      <c r="H306">
        <f t="shared" si="3"/>
        <v>130</v>
      </c>
      <c r="I306" t="str">
        <f>"1|"&amp;INDEX([1]全服BOSS!$R$28:$AV$41,MATCH(H306,[1]全服BOSS!$R$28:$R$41,0),MATCH($G306,[1]全服BOSS!$R$28:$AV$28,0))</f>
        <v>1|14800</v>
      </c>
    </row>
    <row r="307" spans="1:9" ht="16.5" x14ac:dyDescent="0.15">
      <c r="A307" s="2">
        <v>10304</v>
      </c>
      <c r="B307" s="2">
        <v>91111</v>
      </c>
      <c r="C307" s="10">
        <v>7</v>
      </c>
      <c r="D307" s="14" t="s">
        <v>642</v>
      </c>
      <c r="E307" s="10" t="s">
        <v>325</v>
      </c>
      <c r="F307" s="24">
        <v>59004</v>
      </c>
      <c r="G307">
        <v>4</v>
      </c>
      <c r="H307">
        <f t="shared" si="3"/>
        <v>130</v>
      </c>
      <c r="I307" t="str">
        <f>"1|"&amp;INDEX([1]全服BOSS!$R$28:$AV$41,MATCH(H307,[1]全服BOSS!$R$28:$R$41,0),MATCH($G307,[1]全服BOSS!$R$28:$AV$28,0))</f>
        <v>1|19700</v>
      </c>
    </row>
    <row r="308" spans="1:9" ht="16.5" x14ac:dyDescent="0.15">
      <c r="A308" s="2">
        <v>10305</v>
      </c>
      <c r="B308" s="2">
        <v>91111</v>
      </c>
      <c r="C308" s="10">
        <v>9</v>
      </c>
      <c r="D308" s="14" t="s">
        <v>469</v>
      </c>
      <c r="E308" s="10" t="s">
        <v>134</v>
      </c>
      <c r="F308" s="24">
        <v>59005</v>
      </c>
      <c r="G308">
        <v>5</v>
      </c>
      <c r="H308">
        <f t="shared" si="3"/>
        <v>130</v>
      </c>
      <c r="I308" t="str">
        <f>"1|"&amp;INDEX([1]全服BOSS!$R$28:$AV$41,MATCH(H308,[1]全服BOSS!$R$28:$R$41,0),MATCH($G308,[1]全服BOSS!$R$28:$AV$28,0))</f>
        <v>1|24700</v>
      </c>
    </row>
    <row r="309" spans="1:9" ht="16.5" x14ac:dyDescent="0.15">
      <c r="A309" s="2">
        <v>10306</v>
      </c>
      <c r="B309" s="2">
        <v>91111</v>
      </c>
      <c r="C309" s="10">
        <v>11</v>
      </c>
      <c r="D309" s="14" t="s">
        <v>643</v>
      </c>
      <c r="E309" s="10" t="s">
        <v>326</v>
      </c>
      <c r="F309" s="24">
        <v>59006</v>
      </c>
      <c r="G309">
        <v>6</v>
      </c>
      <c r="H309">
        <f t="shared" si="3"/>
        <v>130</v>
      </c>
      <c r="I309" t="str">
        <f>"1|"&amp;INDEX([1]全服BOSS!$R$28:$AV$41,MATCH(H309,[1]全服BOSS!$R$28:$R$41,0),MATCH($G309,[1]全服BOSS!$R$28:$AV$28,0))</f>
        <v>1|29600</v>
      </c>
    </row>
    <row r="310" spans="1:9" ht="16.5" x14ac:dyDescent="0.15">
      <c r="A310" s="2">
        <v>10307</v>
      </c>
      <c r="B310" s="2">
        <v>91111</v>
      </c>
      <c r="C310" s="10">
        <v>13</v>
      </c>
      <c r="D310" s="14" t="s">
        <v>644</v>
      </c>
      <c r="E310" s="10" t="s">
        <v>327</v>
      </c>
      <c r="F310" s="24">
        <v>59007</v>
      </c>
      <c r="G310">
        <v>7</v>
      </c>
      <c r="H310">
        <f t="shared" si="3"/>
        <v>130</v>
      </c>
      <c r="I310" t="str">
        <f>"1|"&amp;INDEX([1]全服BOSS!$R$28:$AV$41,MATCH(H310,[1]全服BOSS!$R$28:$R$41,0),MATCH($G310,[1]全服BOSS!$R$28:$AV$28,0))</f>
        <v>1|34500</v>
      </c>
    </row>
    <row r="311" spans="1:9" ht="16.5" x14ac:dyDescent="0.15">
      <c r="A311" s="2">
        <v>10308</v>
      </c>
      <c r="B311" s="2">
        <v>91111</v>
      </c>
      <c r="C311" s="10">
        <v>15</v>
      </c>
      <c r="D311" s="14" t="s">
        <v>534</v>
      </c>
      <c r="E311" s="10" t="s">
        <v>147</v>
      </c>
      <c r="F311" s="24">
        <v>59008</v>
      </c>
      <c r="G311">
        <v>8</v>
      </c>
      <c r="H311">
        <f t="shared" si="3"/>
        <v>130</v>
      </c>
      <c r="I311" t="str">
        <f>"1|"&amp;INDEX([1]全服BOSS!$R$28:$AV$41,MATCH(H311,[1]全服BOSS!$R$28:$R$41,0),MATCH($G311,[1]全服BOSS!$R$28:$AV$28,0))</f>
        <v>1|39500</v>
      </c>
    </row>
    <row r="312" spans="1:9" ht="16.5" x14ac:dyDescent="0.15">
      <c r="A312" s="2">
        <v>10309</v>
      </c>
      <c r="B312" s="2">
        <v>91111</v>
      </c>
      <c r="C312" s="10">
        <v>17</v>
      </c>
      <c r="D312" s="14" t="s">
        <v>645</v>
      </c>
      <c r="E312" s="10" t="s">
        <v>328</v>
      </c>
      <c r="F312" s="24">
        <v>59009</v>
      </c>
      <c r="G312">
        <v>9</v>
      </c>
      <c r="H312">
        <f t="shared" si="3"/>
        <v>130</v>
      </c>
      <c r="I312" t="str">
        <f>"1|"&amp;INDEX([1]全服BOSS!$R$28:$AV$41,MATCH(H312,[1]全服BOSS!$R$28:$R$41,0),MATCH($G312,[1]全服BOSS!$R$28:$AV$28,0))</f>
        <v>1|44400</v>
      </c>
    </row>
    <row r="313" spans="1:9" ht="16.5" x14ac:dyDescent="0.15">
      <c r="A313" s="2">
        <v>10310</v>
      </c>
      <c r="B313" s="2">
        <v>91111</v>
      </c>
      <c r="C313" s="10">
        <v>19</v>
      </c>
      <c r="D313" s="14" t="s">
        <v>646</v>
      </c>
      <c r="E313" s="10" t="s">
        <v>139</v>
      </c>
      <c r="F313" s="24">
        <v>59010</v>
      </c>
      <c r="G313">
        <v>10</v>
      </c>
      <c r="H313">
        <f t="shared" si="3"/>
        <v>130</v>
      </c>
      <c r="I313" t="str">
        <f>"1|"&amp;INDEX([1]全服BOSS!$R$28:$AV$41,MATCH(H313,[1]全服BOSS!$R$28:$R$41,0),MATCH($G313,[1]全服BOSS!$R$28:$AV$28,0))</f>
        <v>1|49300</v>
      </c>
    </row>
    <row r="314" spans="1:9" ht="16.5" x14ac:dyDescent="0.15">
      <c r="A314" s="2">
        <v>10311</v>
      </c>
      <c r="B314" s="2">
        <v>91111</v>
      </c>
      <c r="C314" s="10">
        <v>21</v>
      </c>
      <c r="D314" s="14" t="s">
        <v>647</v>
      </c>
      <c r="E314" s="10" t="s">
        <v>329</v>
      </c>
      <c r="F314" s="24">
        <v>59011</v>
      </c>
      <c r="G314">
        <v>12</v>
      </c>
      <c r="H314">
        <f t="shared" si="3"/>
        <v>130</v>
      </c>
      <c r="I314" t="str">
        <f>"1|"&amp;INDEX([1]全服BOSS!$R$28:$AV$41,MATCH(H314,[1]全服BOSS!$R$28:$R$41,0),MATCH($G314,[1]全服BOSS!$R$28:$AV$28,0))</f>
        <v>1|59200</v>
      </c>
    </row>
    <row r="315" spans="1:9" ht="16.5" x14ac:dyDescent="0.15">
      <c r="A315" s="2">
        <v>10312</v>
      </c>
      <c r="B315" s="2">
        <v>91111</v>
      </c>
      <c r="C315" s="10">
        <v>23</v>
      </c>
      <c r="D315" s="14" t="s">
        <v>648</v>
      </c>
      <c r="E315" s="10" t="s">
        <v>330</v>
      </c>
      <c r="F315" s="24">
        <v>59012</v>
      </c>
      <c r="G315">
        <v>14</v>
      </c>
      <c r="H315">
        <f t="shared" si="3"/>
        <v>130</v>
      </c>
      <c r="I315" t="str">
        <f>"1|"&amp;INDEX([1]全服BOSS!$R$28:$AV$41,MATCH(H315,[1]全服BOSS!$R$28:$R$41,0),MATCH($G315,[1]全服BOSS!$R$28:$AV$28,0))</f>
        <v>1|69100</v>
      </c>
    </row>
    <row r="316" spans="1:9" ht="16.5" x14ac:dyDescent="0.15">
      <c r="A316" s="2">
        <v>10313</v>
      </c>
      <c r="B316" s="2">
        <v>91111</v>
      </c>
      <c r="C316" s="10">
        <v>25</v>
      </c>
      <c r="D316" s="14" t="s">
        <v>649</v>
      </c>
      <c r="E316" s="10" t="s">
        <v>165</v>
      </c>
      <c r="F316" s="24">
        <v>59013</v>
      </c>
      <c r="G316">
        <v>16</v>
      </c>
      <c r="H316">
        <f t="shared" si="3"/>
        <v>130</v>
      </c>
      <c r="I316" t="str">
        <f>"1|"&amp;INDEX([1]全服BOSS!$R$28:$AV$41,MATCH(H316,[1]全服BOSS!$R$28:$R$41,0),MATCH($G316,[1]全服BOSS!$R$28:$AV$28,0))</f>
        <v>1|78900</v>
      </c>
    </row>
    <row r="317" spans="1:9" ht="16.5" x14ac:dyDescent="0.15">
      <c r="A317" s="2">
        <v>10314</v>
      </c>
      <c r="B317" s="2">
        <v>91111</v>
      </c>
      <c r="C317" s="10">
        <v>27</v>
      </c>
      <c r="D317" s="14" t="s">
        <v>650</v>
      </c>
      <c r="E317" s="10" t="s">
        <v>331</v>
      </c>
      <c r="F317" s="24">
        <v>59014</v>
      </c>
      <c r="G317">
        <v>18</v>
      </c>
      <c r="H317">
        <f t="shared" si="3"/>
        <v>130</v>
      </c>
      <c r="I317" t="str">
        <f>"1|"&amp;INDEX([1]全服BOSS!$R$28:$AV$41,MATCH(H317,[1]全服BOSS!$R$28:$R$41,0),MATCH($G317,[1]全服BOSS!$R$28:$AV$28,0))</f>
        <v>1|88800</v>
      </c>
    </row>
    <row r="318" spans="1:9" ht="16.5" x14ac:dyDescent="0.15">
      <c r="A318" s="2">
        <v>10315</v>
      </c>
      <c r="B318" s="2">
        <v>91111</v>
      </c>
      <c r="C318" s="10">
        <v>29</v>
      </c>
      <c r="D318" s="14" t="s">
        <v>651</v>
      </c>
      <c r="E318" s="10" t="s">
        <v>332</v>
      </c>
      <c r="F318" s="24">
        <v>59015</v>
      </c>
      <c r="G318">
        <v>20</v>
      </c>
      <c r="H318">
        <f t="shared" si="3"/>
        <v>130</v>
      </c>
      <c r="I318" t="str">
        <f>"1|"&amp;INDEX([1]全服BOSS!$R$28:$AV$41,MATCH(H318,[1]全服BOSS!$R$28:$R$41,0),MATCH($G318,[1]全服BOSS!$R$28:$AV$28,0))</f>
        <v>1|98700</v>
      </c>
    </row>
    <row r="319" spans="1:9" ht="16.5" x14ac:dyDescent="0.15">
      <c r="A319" s="2">
        <v>10316</v>
      </c>
      <c r="B319" s="2">
        <v>91111</v>
      </c>
      <c r="C319" s="10">
        <v>31</v>
      </c>
      <c r="D319" s="14" t="s">
        <v>587</v>
      </c>
      <c r="E319" s="10" t="s">
        <v>280</v>
      </c>
      <c r="F319" s="24">
        <v>59016</v>
      </c>
      <c r="G319">
        <v>22</v>
      </c>
      <c r="H319">
        <f t="shared" si="3"/>
        <v>130</v>
      </c>
      <c r="I319" t="str">
        <f>"1|"&amp;INDEX([1]全服BOSS!$R$28:$AV$41,MATCH(H319,[1]全服BOSS!$R$28:$R$41,0),MATCH($G319,[1]全服BOSS!$R$28:$AV$28,0))</f>
        <v>1|109000</v>
      </c>
    </row>
    <row r="320" spans="1:9" ht="16.5" x14ac:dyDescent="0.15">
      <c r="A320" s="2">
        <v>10317</v>
      </c>
      <c r="B320" s="2">
        <v>91111</v>
      </c>
      <c r="C320" s="10">
        <v>33</v>
      </c>
      <c r="D320" s="14" t="s">
        <v>589</v>
      </c>
      <c r="E320" s="10" t="s">
        <v>282</v>
      </c>
      <c r="F320" s="24">
        <v>59017</v>
      </c>
      <c r="G320">
        <v>24</v>
      </c>
      <c r="H320">
        <f t="shared" si="3"/>
        <v>130</v>
      </c>
      <c r="I320" t="str">
        <f>"1|"&amp;INDEX([1]全服BOSS!$R$28:$AV$41,MATCH(H320,[1]全服BOSS!$R$28:$R$41,0),MATCH($G320,[1]全服BOSS!$R$28:$AV$28,0))</f>
        <v>1|118000</v>
      </c>
    </row>
    <row r="321" spans="1:9" ht="16.5" x14ac:dyDescent="0.15">
      <c r="A321" s="2">
        <v>10318</v>
      </c>
      <c r="B321" s="2">
        <v>91111</v>
      </c>
      <c r="C321" s="10">
        <v>35</v>
      </c>
      <c r="D321" s="14" t="s">
        <v>611</v>
      </c>
      <c r="E321" s="10" t="s">
        <v>301</v>
      </c>
      <c r="F321" s="24">
        <v>59018</v>
      </c>
      <c r="G321">
        <v>26</v>
      </c>
      <c r="H321">
        <f t="shared" ref="H321:H384" si="4">H291+10</f>
        <v>130</v>
      </c>
      <c r="I321" t="str">
        <f>"1|"&amp;INDEX([1]全服BOSS!$R$28:$AV$41,MATCH(H321,[1]全服BOSS!$R$28:$R$41,0),MATCH($G321,[1]全服BOSS!$R$28:$AV$28,0))</f>
        <v>1|128000</v>
      </c>
    </row>
    <row r="322" spans="1:9" ht="16.5" x14ac:dyDescent="0.15">
      <c r="A322" s="2">
        <v>10319</v>
      </c>
      <c r="B322" s="2">
        <v>91111</v>
      </c>
      <c r="C322" s="10">
        <v>37</v>
      </c>
      <c r="D322" s="14" t="s">
        <v>652</v>
      </c>
      <c r="E322" s="10" t="s">
        <v>333</v>
      </c>
      <c r="F322" s="24">
        <v>59019</v>
      </c>
      <c r="G322">
        <v>28</v>
      </c>
      <c r="H322">
        <f t="shared" si="4"/>
        <v>130</v>
      </c>
      <c r="I322" t="str">
        <f>"1|"&amp;INDEX([1]全服BOSS!$R$28:$AV$41,MATCH(H322,[1]全服BOSS!$R$28:$R$41,0),MATCH($G322,[1]全服BOSS!$R$28:$AV$28,0))</f>
        <v>1|138000</v>
      </c>
    </row>
    <row r="323" spans="1:9" ht="16.5" x14ac:dyDescent="0.15">
      <c r="A323" s="2">
        <v>10320</v>
      </c>
      <c r="B323" s="2">
        <v>91111</v>
      </c>
      <c r="C323" s="10">
        <v>39</v>
      </c>
      <c r="D323" s="14" t="s">
        <v>653</v>
      </c>
      <c r="E323" s="10" t="s">
        <v>334</v>
      </c>
      <c r="F323" s="24">
        <v>59020</v>
      </c>
      <c r="G323">
        <v>30</v>
      </c>
      <c r="H323">
        <f t="shared" si="4"/>
        <v>130</v>
      </c>
      <c r="I323" t="str">
        <f>"1|"&amp;INDEX([1]全服BOSS!$R$28:$AV$41,MATCH(H323,[1]全服BOSS!$R$28:$R$41,0),MATCH($G323,[1]全服BOSS!$R$28:$AV$28,0))</f>
        <v>1|148000</v>
      </c>
    </row>
    <row r="324" spans="1:9" ht="16.5" x14ac:dyDescent="0.15">
      <c r="A324" s="2">
        <v>10321</v>
      </c>
      <c r="B324" s="2">
        <v>91111</v>
      </c>
      <c r="C324" s="10">
        <v>41</v>
      </c>
      <c r="D324" s="14" t="s">
        <v>654</v>
      </c>
      <c r="E324" s="10" t="s">
        <v>335</v>
      </c>
      <c r="F324" s="24">
        <v>59021</v>
      </c>
      <c r="G324">
        <v>32</v>
      </c>
      <c r="H324">
        <f t="shared" si="4"/>
        <v>130</v>
      </c>
      <c r="I324" t="str">
        <f>"1|"&amp;INDEX([1]全服BOSS!$R$28:$AV$41,MATCH(H324,[1]全服BOSS!$R$28:$R$41,0),MATCH($G324,[1]全服BOSS!$R$28:$AV$28,0))</f>
        <v>1|158000</v>
      </c>
    </row>
    <row r="325" spans="1:9" ht="16.5" x14ac:dyDescent="0.15">
      <c r="A325" s="2">
        <v>10322</v>
      </c>
      <c r="B325" s="2">
        <v>91111</v>
      </c>
      <c r="C325" s="10">
        <v>43</v>
      </c>
      <c r="D325" s="14" t="s">
        <v>655</v>
      </c>
      <c r="E325" s="10" t="s">
        <v>336</v>
      </c>
      <c r="F325" s="24">
        <v>59022</v>
      </c>
      <c r="G325">
        <v>34</v>
      </c>
      <c r="H325">
        <f t="shared" si="4"/>
        <v>130</v>
      </c>
      <c r="I325" t="str">
        <f>"1|"&amp;INDEX([1]全服BOSS!$R$28:$AV$41,MATCH(H325,[1]全服BOSS!$R$28:$R$41,0),MATCH($G325,[1]全服BOSS!$R$28:$AV$28,0))</f>
        <v>1|168000</v>
      </c>
    </row>
    <row r="326" spans="1:9" ht="16.5" x14ac:dyDescent="0.15">
      <c r="A326" s="2">
        <v>10323</v>
      </c>
      <c r="B326" s="2">
        <v>91111</v>
      </c>
      <c r="C326" s="10">
        <v>45</v>
      </c>
      <c r="D326" s="14" t="s">
        <v>656</v>
      </c>
      <c r="E326" s="10" t="s">
        <v>337</v>
      </c>
      <c r="F326" s="24">
        <v>59023</v>
      </c>
      <c r="G326">
        <v>36</v>
      </c>
      <c r="H326">
        <f t="shared" si="4"/>
        <v>130</v>
      </c>
      <c r="I326" t="str">
        <f>"1|"&amp;INDEX([1]全服BOSS!$R$28:$AV$41,MATCH(H326,[1]全服BOSS!$R$28:$R$41,0),MATCH($G326,[1]全服BOSS!$R$28:$AV$28,0))</f>
        <v>1|178000</v>
      </c>
    </row>
    <row r="327" spans="1:9" ht="16.5" x14ac:dyDescent="0.15">
      <c r="A327" s="2">
        <v>10324</v>
      </c>
      <c r="B327" s="2">
        <v>91111</v>
      </c>
      <c r="C327" s="10">
        <v>47</v>
      </c>
      <c r="D327" s="14" t="s">
        <v>657</v>
      </c>
      <c r="E327" s="10" t="s">
        <v>338</v>
      </c>
      <c r="F327" s="24">
        <v>59024</v>
      </c>
      <c r="G327">
        <v>38</v>
      </c>
      <c r="H327">
        <f t="shared" si="4"/>
        <v>130</v>
      </c>
      <c r="I327" t="str">
        <f>"1|"&amp;INDEX([1]全服BOSS!$R$28:$AV$41,MATCH(H327,[1]全服BOSS!$R$28:$R$41,0),MATCH($G327,[1]全服BOSS!$R$28:$AV$28,0))</f>
        <v>1|187000</v>
      </c>
    </row>
    <row r="328" spans="1:9" ht="16.5" x14ac:dyDescent="0.15">
      <c r="A328" s="2">
        <v>10325</v>
      </c>
      <c r="B328" s="2">
        <v>91111</v>
      </c>
      <c r="C328" s="10">
        <v>49</v>
      </c>
      <c r="D328" s="14" t="s">
        <v>658</v>
      </c>
      <c r="E328" s="10" t="s">
        <v>339</v>
      </c>
      <c r="F328" s="24">
        <v>59025</v>
      </c>
      <c r="G328">
        <v>40</v>
      </c>
      <c r="H328">
        <f t="shared" si="4"/>
        <v>130</v>
      </c>
      <c r="I328" t="str">
        <f>"1|"&amp;INDEX([1]全服BOSS!$R$28:$AV$41,MATCH(H328,[1]全服BOSS!$R$28:$R$41,0),MATCH($G328,[1]全服BOSS!$R$28:$AV$28,0))</f>
        <v>1|197000</v>
      </c>
    </row>
    <row r="329" spans="1:9" ht="16.5" x14ac:dyDescent="0.15">
      <c r="A329" s="2">
        <v>10326</v>
      </c>
      <c r="B329" s="2">
        <v>91111</v>
      </c>
      <c r="C329" s="10">
        <v>51</v>
      </c>
      <c r="D329" s="14" t="s">
        <v>639</v>
      </c>
      <c r="E329" s="10" t="s">
        <v>324</v>
      </c>
      <c r="F329" s="24">
        <v>59026</v>
      </c>
      <c r="G329">
        <v>42</v>
      </c>
      <c r="H329">
        <f t="shared" si="4"/>
        <v>130</v>
      </c>
      <c r="I329" t="str">
        <f>"1|"&amp;INDEX([1]全服BOSS!$R$28:$AV$41,MATCH(H329,[1]全服BOSS!$R$28:$R$41,0),MATCH($G329,[1]全服BOSS!$R$28:$AV$28,0))</f>
        <v>1|207000</v>
      </c>
    </row>
    <row r="330" spans="1:9" ht="16.5" x14ac:dyDescent="0.15">
      <c r="A330" s="2">
        <v>10327</v>
      </c>
      <c r="B330" s="2">
        <v>91111</v>
      </c>
      <c r="C330" s="10">
        <v>53</v>
      </c>
      <c r="D330" s="14" t="s">
        <v>659</v>
      </c>
      <c r="E330" s="10" t="s">
        <v>340</v>
      </c>
      <c r="F330" s="24">
        <v>59027</v>
      </c>
      <c r="G330">
        <v>44</v>
      </c>
      <c r="H330">
        <f t="shared" si="4"/>
        <v>130</v>
      </c>
      <c r="I330" t="str">
        <f>"1|"&amp;INDEX([1]全服BOSS!$R$28:$AV$41,MATCH(H330,[1]全服BOSS!$R$28:$R$41,0),MATCH($G330,[1]全服BOSS!$R$28:$AV$28,0))</f>
        <v>1|217000</v>
      </c>
    </row>
    <row r="331" spans="1:9" ht="16.5" x14ac:dyDescent="0.15">
      <c r="A331" s="2">
        <v>10328</v>
      </c>
      <c r="B331" s="2">
        <v>91111</v>
      </c>
      <c r="C331" s="10">
        <v>55</v>
      </c>
      <c r="D331" s="14" t="s">
        <v>660</v>
      </c>
      <c r="E331" s="10" t="s">
        <v>341</v>
      </c>
      <c r="F331" s="24">
        <v>59028</v>
      </c>
      <c r="G331">
        <v>46</v>
      </c>
      <c r="H331">
        <f t="shared" si="4"/>
        <v>130</v>
      </c>
      <c r="I331" t="str">
        <f>"1|"&amp;INDEX([1]全服BOSS!$R$28:$AV$41,MATCH(H331,[1]全服BOSS!$R$28:$R$41,0),MATCH($G331,[1]全服BOSS!$R$28:$AV$28,0))</f>
        <v>1|227000</v>
      </c>
    </row>
    <row r="332" spans="1:9" ht="16.5" x14ac:dyDescent="0.15">
      <c r="A332" s="2">
        <v>10329</v>
      </c>
      <c r="B332" s="2">
        <v>91111</v>
      </c>
      <c r="C332" s="10">
        <v>57</v>
      </c>
      <c r="D332" s="14" t="s">
        <v>661</v>
      </c>
      <c r="E332" s="10" t="s">
        <v>342</v>
      </c>
      <c r="F332" s="24">
        <v>59029</v>
      </c>
      <c r="G332">
        <v>48</v>
      </c>
      <c r="H332">
        <f t="shared" si="4"/>
        <v>130</v>
      </c>
      <c r="I332" t="str">
        <f>"1|"&amp;INDEX([1]全服BOSS!$R$28:$AV$41,MATCH(H332,[1]全服BOSS!$R$28:$R$41,0),MATCH($G332,[1]全服BOSS!$R$28:$AV$28,0))</f>
        <v>1|237000</v>
      </c>
    </row>
    <row r="333" spans="1:9" ht="16.5" x14ac:dyDescent="0.15">
      <c r="A333" s="2">
        <v>10330</v>
      </c>
      <c r="B333" s="2">
        <v>91111</v>
      </c>
      <c r="C333" s="10">
        <v>59</v>
      </c>
      <c r="D333" s="14" t="s">
        <v>662</v>
      </c>
      <c r="E333" s="10" t="s">
        <v>343</v>
      </c>
      <c r="F333" s="24">
        <v>59030</v>
      </c>
      <c r="G333">
        <v>50</v>
      </c>
      <c r="H333">
        <f t="shared" si="4"/>
        <v>130</v>
      </c>
      <c r="I333" t="str">
        <f>"1|"&amp;INDEX([1]全服BOSS!$R$28:$AV$41,MATCH(H333,[1]全服BOSS!$R$28:$R$41,0),MATCH($G333,[1]全服BOSS!$R$28:$AV$28,0))</f>
        <v>1|247000</v>
      </c>
    </row>
    <row r="334" spans="1:9" s="21" customFormat="1" ht="16.5" x14ac:dyDescent="0.15">
      <c r="A334" s="18">
        <v>10331</v>
      </c>
      <c r="B334" s="18">
        <v>91112</v>
      </c>
      <c r="C334" s="19">
        <v>1</v>
      </c>
      <c r="D334" s="20" t="s">
        <v>663</v>
      </c>
      <c r="E334" s="19" t="s">
        <v>344</v>
      </c>
      <c r="F334" s="26">
        <v>59001</v>
      </c>
      <c r="G334" s="21">
        <v>1</v>
      </c>
      <c r="H334" s="21">
        <f t="shared" si="4"/>
        <v>140</v>
      </c>
      <c r="I334" s="21" t="str">
        <f>"1|"&amp;INDEX([1]全服BOSS!$R$28:$AV$41,MATCH(H334,[1]全服BOSS!$R$28:$R$41,0),MATCH($G334,[1]全服BOSS!$R$28:$AV$28,0))</f>
        <v>1|6300</v>
      </c>
    </row>
    <row r="335" spans="1:9" s="21" customFormat="1" ht="16.5" x14ac:dyDescent="0.15">
      <c r="A335" s="18">
        <v>10332</v>
      </c>
      <c r="B335" s="18">
        <v>91112</v>
      </c>
      <c r="C335" s="19">
        <v>3</v>
      </c>
      <c r="D335" s="20" t="s">
        <v>664</v>
      </c>
      <c r="E335" s="19" t="s">
        <v>149</v>
      </c>
      <c r="F335" s="26">
        <v>59002</v>
      </c>
      <c r="G335" s="21">
        <v>2</v>
      </c>
      <c r="H335" s="21">
        <f t="shared" si="4"/>
        <v>140</v>
      </c>
      <c r="I335" s="21" t="str">
        <f>"1|"&amp;INDEX([1]全服BOSS!$R$28:$AV$41,MATCH(H335,[1]全服BOSS!$R$28:$R$41,0),MATCH($G335,[1]全服BOSS!$R$28:$AV$28,0))</f>
        <v>1|12600</v>
      </c>
    </row>
    <row r="336" spans="1:9" s="21" customFormat="1" ht="16.5" x14ac:dyDescent="0.15">
      <c r="A336" s="18">
        <v>10333</v>
      </c>
      <c r="B336" s="18">
        <v>91112</v>
      </c>
      <c r="C336" s="19">
        <v>5</v>
      </c>
      <c r="D336" s="20" t="s">
        <v>570</v>
      </c>
      <c r="E336" s="19" t="s">
        <v>266</v>
      </c>
      <c r="F336" s="26">
        <v>59003</v>
      </c>
      <c r="G336" s="21">
        <v>3</v>
      </c>
      <c r="H336" s="21">
        <f t="shared" si="4"/>
        <v>140</v>
      </c>
      <c r="I336" s="21" t="str">
        <f>"1|"&amp;INDEX([1]全服BOSS!$R$28:$AV$41,MATCH(H336,[1]全服BOSS!$R$28:$R$41,0),MATCH($G336,[1]全服BOSS!$R$28:$AV$28,0))</f>
        <v>1|18900</v>
      </c>
    </row>
    <row r="337" spans="1:9" s="21" customFormat="1" ht="16.5" x14ac:dyDescent="0.15">
      <c r="A337" s="18">
        <v>10334</v>
      </c>
      <c r="B337" s="18">
        <v>91112</v>
      </c>
      <c r="C337" s="19">
        <v>7</v>
      </c>
      <c r="D337" s="20" t="s">
        <v>665</v>
      </c>
      <c r="E337" s="19" t="s">
        <v>345</v>
      </c>
      <c r="F337" s="26">
        <v>59004</v>
      </c>
      <c r="G337" s="21">
        <v>4</v>
      </c>
      <c r="H337" s="21">
        <f t="shared" si="4"/>
        <v>140</v>
      </c>
      <c r="I337" s="21" t="str">
        <f>"1|"&amp;INDEX([1]全服BOSS!$R$28:$AV$41,MATCH(H337,[1]全服BOSS!$R$28:$R$41,0),MATCH($G337,[1]全服BOSS!$R$28:$AV$28,0))</f>
        <v>1|25300</v>
      </c>
    </row>
    <row r="338" spans="1:9" s="21" customFormat="1" ht="16.5" x14ac:dyDescent="0.15">
      <c r="A338" s="18">
        <v>10335</v>
      </c>
      <c r="B338" s="18">
        <v>91112</v>
      </c>
      <c r="C338" s="19">
        <v>9</v>
      </c>
      <c r="D338" s="20" t="s">
        <v>532</v>
      </c>
      <c r="E338" s="19" t="s">
        <v>238</v>
      </c>
      <c r="F338" s="26">
        <v>59005</v>
      </c>
      <c r="G338" s="21">
        <v>5</v>
      </c>
      <c r="H338" s="21">
        <f t="shared" si="4"/>
        <v>140</v>
      </c>
      <c r="I338" s="21" t="str">
        <f>"1|"&amp;INDEX([1]全服BOSS!$R$28:$AV$41,MATCH(H338,[1]全服BOSS!$R$28:$R$41,0),MATCH($G338,[1]全服BOSS!$R$28:$AV$28,0))</f>
        <v>1|31600</v>
      </c>
    </row>
    <row r="339" spans="1:9" s="21" customFormat="1" ht="16.5" x14ac:dyDescent="0.15">
      <c r="A339" s="18">
        <v>10336</v>
      </c>
      <c r="B339" s="18">
        <v>91112</v>
      </c>
      <c r="C339" s="19">
        <v>11</v>
      </c>
      <c r="D339" s="20" t="s">
        <v>666</v>
      </c>
      <c r="E339" s="19" t="s">
        <v>346</v>
      </c>
      <c r="F339" s="26">
        <v>59006</v>
      </c>
      <c r="G339" s="21">
        <v>6</v>
      </c>
      <c r="H339" s="21">
        <f t="shared" si="4"/>
        <v>140</v>
      </c>
      <c r="I339" s="21" t="str">
        <f>"1|"&amp;INDEX([1]全服BOSS!$R$28:$AV$41,MATCH(H339,[1]全服BOSS!$R$28:$R$41,0),MATCH($G339,[1]全服BOSS!$R$28:$AV$28,0))</f>
        <v>1|37900</v>
      </c>
    </row>
    <row r="340" spans="1:9" s="21" customFormat="1" ht="16.5" x14ac:dyDescent="0.15">
      <c r="A340" s="18">
        <v>10337</v>
      </c>
      <c r="B340" s="18">
        <v>91112</v>
      </c>
      <c r="C340" s="19">
        <v>13</v>
      </c>
      <c r="D340" s="20" t="s">
        <v>667</v>
      </c>
      <c r="E340" s="19" t="s">
        <v>124</v>
      </c>
      <c r="F340" s="26">
        <v>59007</v>
      </c>
      <c r="G340" s="21">
        <v>7</v>
      </c>
      <c r="H340" s="21">
        <f t="shared" si="4"/>
        <v>140</v>
      </c>
      <c r="I340" s="21" t="str">
        <f>"1|"&amp;INDEX([1]全服BOSS!$R$28:$AV$41,MATCH(H340,[1]全服BOSS!$R$28:$R$41,0),MATCH($G340,[1]全服BOSS!$R$28:$AV$28,0))</f>
        <v>1|44200</v>
      </c>
    </row>
    <row r="341" spans="1:9" s="21" customFormat="1" ht="16.5" x14ac:dyDescent="0.15">
      <c r="A341" s="18">
        <v>10338</v>
      </c>
      <c r="B341" s="18">
        <v>91112</v>
      </c>
      <c r="C341" s="19">
        <v>15</v>
      </c>
      <c r="D341" s="20" t="s">
        <v>668</v>
      </c>
      <c r="E341" s="19" t="s">
        <v>153</v>
      </c>
      <c r="F341" s="26">
        <v>59008</v>
      </c>
      <c r="G341" s="21">
        <v>8</v>
      </c>
      <c r="H341" s="21">
        <f t="shared" si="4"/>
        <v>140</v>
      </c>
      <c r="I341" s="21" t="str">
        <f>"1|"&amp;INDEX([1]全服BOSS!$R$28:$AV$41,MATCH(H341,[1]全服BOSS!$R$28:$R$41,0),MATCH($G341,[1]全服BOSS!$R$28:$AV$28,0))</f>
        <v>1|50500</v>
      </c>
    </row>
    <row r="342" spans="1:9" s="21" customFormat="1" ht="16.5" x14ac:dyDescent="0.15">
      <c r="A342" s="18">
        <v>10339</v>
      </c>
      <c r="B342" s="18">
        <v>91112</v>
      </c>
      <c r="C342" s="19">
        <v>17</v>
      </c>
      <c r="D342" s="20" t="s">
        <v>669</v>
      </c>
      <c r="E342" s="19" t="s">
        <v>347</v>
      </c>
      <c r="F342" s="26">
        <v>59009</v>
      </c>
      <c r="G342" s="21">
        <v>9</v>
      </c>
      <c r="H342" s="21">
        <f t="shared" si="4"/>
        <v>140</v>
      </c>
      <c r="I342" s="21" t="str">
        <f>"1|"&amp;INDEX([1]全服BOSS!$R$28:$AV$41,MATCH(H342,[1]全服BOSS!$R$28:$R$41,0),MATCH($G342,[1]全服BOSS!$R$28:$AV$28,0))</f>
        <v>1|56800</v>
      </c>
    </row>
    <row r="343" spans="1:9" s="21" customFormat="1" ht="16.5" x14ac:dyDescent="0.15">
      <c r="A343" s="18">
        <v>10340</v>
      </c>
      <c r="B343" s="18">
        <v>91112</v>
      </c>
      <c r="C343" s="19">
        <v>19</v>
      </c>
      <c r="D343" s="20" t="s">
        <v>670</v>
      </c>
      <c r="E343" s="19" t="s">
        <v>348</v>
      </c>
      <c r="F343" s="26">
        <v>59010</v>
      </c>
      <c r="G343" s="21">
        <v>10</v>
      </c>
      <c r="H343" s="21">
        <f t="shared" si="4"/>
        <v>140</v>
      </c>
      <c r="I343" s="21" t="str">
        <f>"1|"&amp;INDEX([1]全服BOSS!$R$28:$AV$41,MATCH(H343,[1]全服BOSS!$R$28:$R$41,0),MATCH($G343,[1]全服BOSS!$R$28:$AV$28,0))</f>
        <v>1|63100</v>
      </c>
    </row>
    <row r="344" spans="1:9" s="21" customFormat="1" ht="16.5" x14ac:dyDescent="0.15">
      <c r="A344" s="18">
        <v>10341</v>
      </c>
      <c r="B344" s="18">
        <v>91112</v>
      </c>
      <c r="C344" s="19">
        <v>21</v>
      </c>
      <c r="D344" s="20" t="s">
        <v>671</v>
      </c>
      <c r="E344" s="19" t="s">
        <v>349</v>
      </c>
      <c r="F344" s="26">
        <v>59011</v>
      </c>
      <c r="G344" s="21">
        <v>12</v>
      </c>
      <c r="H344" s="21">
        <f t="shared" si="4"/>
        <v>140</v>
      </c>
      <c r="I344" s="21" t="str">
        <f>"1|"&amp;INDEX([1]全服BOSS!$R$28:$AV$41,MATCH(H344,[1]全服BOSS!$R$28:$R$41,0),MATCH($G344,[1]全服BOSS!$R$28:$AV$28,0))</f>
        <v>1|75800</v>
      </c>
    </row>
    <row r="345" spans="1:9" s="21" customFormat="1" ht="16.5" x14ac:dyDescent="0.15">
      <c r="A345" s="18">
        <v>10342</v>
      </c>
      <c r="B345" s="18">
        <v>91112</v>
      </c>
      <c r="C345" s="19">
        <v>23</v>
      </c>
      <c r="D345" s="20" t="s">
        <v>672</v>
      </c>
      <c r="E345" s="19" t="s">
        <v>350</v>
      </c>
      <c r="F345" s="26">
        <v>59012</v>
      </c>
      <c r="G345" s="21">
        <v>14</v>
      </c>
      <c r="H345" s="21">
        <f t="shared" si="4"/>
        <v>140</v>
      </c>
      <c r="I345" s="21" t="str">
        <f>"1|"&amp;INDEX([1]全服BOSS!$R$28:$AV$41,MATCH(H345,[1]全服BOSS!$R$28:$R$41,0),MATCH($G345,[1]全服BOSS!$R$28:$AV$28,0))</f>
        <v>1|88400</v>
      </c>
    </row>
    <row r="346" spans="1:9" s="21" customFormat="1" ht="16.5" x14ac:dyDescent="0.15">
      <c r="A346" s="18">
        <v>10343</v>
      </c>
      <c r="B346" s="18">
        <v>91112</v>
      </c>
      <c r="C346" s="19">
        <v>25</v>
      </c>
      <c r="D346" s="20" t="s">
        <v>673</v>
      </c>
      <c r="E346" s="19" t="s">
        <v>351</v>
      </c>
      <c r="F346" s="26">
        <v>59013</v>
      </c>
      <c r="G346" s="21">
        <v>16</v>
      </c>
      <c r="H346" s="21">
        <f t="shared" si="4"/>
        <v>140</v>
      </c>
      <c r="I346" s="21" t="str">
        <f>"1|"&amp;INDEX([1]全服BOSS!$R$28:$AV$41,MATCH(H346,[1]全服BOSS!$R$28:$R$41,0),MATCH($G346,[1]全服BOSS!$R$28:$AV$28,0))</f>
        <v>1|101000</v>
      </c>
    </row>
    <row r="347" spans="1:9" s="21" customFormat="1" ht="16.5" x14ac:dyDescent="0.15">
      <c r="A347" s="18">
        <v>10344</v>
      </c>
      <c r="B347" s="18">
        <v>91112</v>
      </c>
      <c r="C347" s="19">
        <v>27</v>
      </c>
      <c r="D347" s="20" t="s">
        <v>674</v>
      </c>
      <c r="E347" s="19" t="s">
        <v>352</v>
      </c>
      <c r="F347" s="26">
        <v>59014</v>
      </c>
      <c r="G347" s="21">
        <v>18</v>
      </c>
      <c r="H347" s="21">
        <f t="shared" si="4"/>
        <v>140</v>
      </c>
      <c r="I347" s="21" t="str">
        <f>"1|"&amp;INDEX([1]全服BOSS!$R$28:$AV$41,MATCH(H347,[1]全服BOSS!$R$28:$R$41,0),MATCH($G347,[1]全服BOSS!$R$28:$AV$28,0))</f>
        <v>1|114000</v>
      </c>
    </row>
    <row r="348" spans="1:9" s="21" customFormat="1" ht="16.5" x14ac:dyDescent="0.15">
      <c r="A348" s="18">
        <v>10345</v>
      </c>
      <c r="B348" s="18">
        <v>91112</v>
      </c>
      <c r="C348" s="19">
        <v>29</v>
      </c>
      <c r="D348" s="20" t="s">
        <v>675</v>
      </c>
      <c r="E348" s="19" t="s">
        <v>353</v>
      </c>
      <c r="F348" s="26">
        <v>59015</v>
      </c>
      <c r="G348" s="21">
        <v>20</v>
      </c>
      <c r="H348" s="21">
        <f t="shared" si="4"/>
        <v>140</v>
      </c>
      <c r="I348" s="21" t="str">
        <f>"1|"&amp;INDEX([1]全服BOSS!$R$28:$AV$41,MATCH(H348,[1]全服BOSS!$R$28:$R$41,0),MATCH($G348,[1]全服BOSS!$R$28:$AV$28,0))</f>
        <v>1|126000</v>
      </c>
    </row>
    <row r="349" spans="1:9" s="21" customFormat="1" ht="16.5" x14ac:dyDescent="0.15">
      <c r="A349" s="18">
        <v>10346</v>
      </c>
      <c r="B349" s="18">
        <v>91112</v>
      </c>
      <c r="C349" s="19">
        <v>31</v>
      </c>
      <c r="D349" s="20" t="s">
        <v>676</v>
      </c>
      <c r="E349" s="19" t="s">
        <v>354</v>
      </c>
      <c r="F349" s="26">
        <v>59016</v>
      </c>
      <c r="G349" s="21">
        <v>22</v>
      </c>
      <c r="H349" s="21">
        <f t="shared" si="4"/>
        <v>140</v>
      </c>
      <c r="I349" s="21" t="str">
        <f>"1|"&amp;INDEX([1]全服BOSS!$R$28:$AV$41,MATCH(H349,[1]全服BOSS!$R$28:$R$41,0),MATCH($G349,[1]全服BOSS!$R$28:$AV$28,0))</f>
        <v>1|139000</v>
      </c>
    </row>
    <row r="350" spans="1:9" s="21" customFormat="1" ht="16.5" x14ac:dyDescent="0.15">
      <c r="A350" s="18">
        <v>10347</v>
      </c>
      <c r="B350" s="18">
        <v>91112</v>
      </c>
      <c r="C350" s="19">
        <v>33</v>
      </c>
      <c r="D350" s="20" t="s">
        <v>615</v>
      </c>
      <c r="E350" s="19" t="s">
        <v>305</v>
      </c>
      <c r="F350" s="26">
        <v>59017</v>
      </c>
      <c r="G350" s="21">
        <v>24</v>
      </c>
      <c r="H350" s="21">
        <f t="shared" si="4"/>
        <v>140</v>
      </c>
      <c r="I350" s="21" t="str">
        <f>"1|"&amp;INDEX([1]全服BOSS!$R$28:$AV$41,MATCH(H350,[1]全服BOSS!$R$28:$R$41,0),MATCH($G350,[1]全服BOSS!$R$28:$AV$28,0))</f>
        <v>1|152000</v>
      </c>
    </row>
    <row r="351" spans="1:9" s="21" customFormat="1" ht="16.5" x14ac:dyDescent="0.15">
      <c r="A351" s="18">
        <v>10348</v>
      </c>
      <c r="B351" s="18">
        <v>91112</v>
      </c>
      <c r="C351" s="19">
        <v>35</v>
      </c>
      <c r="D351" s="20" t="s">
        <v>677</v>
      </c>
      <c r="E351" s="19" t="s">
        <v>355</v>
      </c>
      <c r="F351" s="26">
        <v>59018</v>
      </c>
      <c r="G351" s="21">
        <v>26</v>
      </c>
      <c r="H351" s="21">
        <f t="shared" si="4"/>
        <v>140</v>
      </c>
      <c r="I351" s="21" t="str">
        <f>"1|"&amp;INDEX([1]全服BOSS!$R$28:$AV$41,MATCH(H351,[1]全服BOSS!$R$28:$R$41,0),MATCH($G351,[1]全服BOSS!$R$28:$AV$28,0))</f>
        <v>1|164000</v>
      </c>
    </row>
    <row r="352" spans="1:9" s="21" customFormat="1" ht="16.5" x14ac:dyDescent="0.15">
      <c r="A352" s="18">
        <v>10349</v>
      </c>
      <c r="B352" s="18">
        <v>91112</v>
      </c>
      <c r="C352" s="19">
        <v>37</v>
      </c>
      <c r="D352" s="20" t="s">
        <v>678</v>
      </c>
      <c r="E352" s="19" t="s">
        <v>356</v>
      </c>
      <c r="F352" s="26">
        <v>59019</v>
      </c>
      <c r="G352" s="21">
        <v>28</v>
      </c>
      <c r="H352" s="21">
        <f t="shared" si="4"/>
        <v>140</v>
      </c>
      <c r="I352" s="21" t="str">
        <f>"1|"&amp;INDEX([1]全服BOSS!$R$28:$AV$41,MATCH(H352,[1]全服BOSS!$R$28:$R$41,0),MATCH($G352,[1]全服BOSS!$R$28:$AV$28,0))</f>
        <v>1|177000</v>
      </c>
    </row>
    <row r="353" spans="1:9" s="21" customFormat="1" ht="16.5" x14ac:dyDescent="0.15">
      <c r="A353" s="18">
        <v>10350</v>
      </c>
      <c r="B353" s="18">
        <v>91112</v>
      </c>
      <c r="C353" s="19">
        <v>39</v>
      </c>
      <c r="D353" s="20" t="s">
        <v>679</v>
      </c>
      <c r="E353" s="19" t="s">
        <v>357</v>
      </c>
      <c r="F353" s="26">
        <v>59020</v>
      </c>
      <c r="G353" s="21">
        <v>30</v>
      </c>
      <c r="H353" s="21">
        <f t="shared" si="4"/>
        <v>140</v>
      </c>
      <c r="I353" s="21" t="str">
        <f>"1|"&amp;INDEX([1]全服BOSS!$R$28:$AV$41,MATCH(H353,[1]全服BOSS!$R$28:$R$41,0),MATCH($G353,[1]全服BOSS!$R$28:$AV$28,0))</f>
        <v>1|189000</v>
      </c>
    </row>
    <row r="354" spans="1:9" s="21" customFormat="1" ht="16.5" x14ac:dyDescent="0.15">
      <c r="A354" s="18">
        <v>10351</v>
      </c>
      <c r="B354" s="18">
        <v>91112</v>
      </c>
      <c r="C354" s="19">
        <v>41</v>
      </c>
      <c r="D354" s="20" t="s">
        <v>680</v>
      </c>
      <c r="E354" s="19" t="s">
        <v>358</v>
      </c>
      <c r="F354" s="26">
        <v>59021</v>
      </c>
      <c r="G354" s="21">
        <v>32</v>
      </c>
      <c r="H354" s="21">
        <f t="shared" si="4"/>
        <v>140</v>
      </c>
      <c r="I354" s="21" t="str">
        <f>"1|"&amp;INDEX([1]全服BOSS!$R$28:$AV$41,MATCH(H354,[1]全服BOSS!$R$28:$R$41,0),MATCH($G354,[1]全服BOSS!$R$28:$AV$28,0))</f>
        <v>1|202000</v>
      </c>
    </row>
    <row r="355" spans="1:9" s="21" customFormat="1" ht="16.5" x14ac:dyDescent="0.15">
      <c r="A355" s="18">
        <v>10352</v>
      </c>
      <c r="B355" s="18">
        <v>91112</v>
      </c>
      <c r="C355" s="19">
        <v>43</v>
      </c>
      <c r="D355" s="20" t="s">
        <v>681</v>
      </c>
      <c r="E355" s="19" t="s">
        <v>359</v>
      </c>
      <c r="F355" s="26">
        <v>59022</v>
      </c>
      <c r="G355" s="21">
        <v>34</v>
      </c>
      <c r="H355" s="21">
        <f t="shared" si="4"/>
        <v>140</v>
      </c>
      <c r="I355" s="21" t="str">
        <f>"1|"&amp;INDEX([1]全服BOSS!$R$28:$AV$41,MATCH(H355,[1]全服BOSS!$R$28:$R$41,0),MATCH($G355,[1]全服BOSS!$R$28:$AV$28,0))</f>
        <v>1|215000</v>
      </c>
    </row>
    <row r="356" spans="1:9" s="21" customFormat="1" ht="16.5" x14ac:dyDescent="0.15">
      <c r="A356" s="18">
        <v>10353</v>
      </c>
      <c r="B356" s="18">
        <v>91112</v>
      </c>
      <c r="C356" s="19">
        <v>45</v>
      </c>
      <c r="D356" s="20" t="s">
        <v>660</v>
      </c>
      <c r="E356" s="19" t="s">
        <v>341</v>
      </c>
      <c r="F356" s="26">
        <v>59023</v>
      </c>
      <c r="G356" s="21">
        <v>36</v>
      </c>
      <c r="H356" s="21">
        <f t="shared" si="4"/>
        <v>140</v>
      </c>
      <c r="I356" s="21" t="str">
        <f>"1|"&amp;INDEX([1]全服BOSS!$R$28:$AV$41,MATCH(H356,[1]全服BOSS!$R$28:$R$41,0),MATCH($G356,[1]全服BOSS!$R$28:$AV$28,0))</f>
        <v>1|227000</v>
      </c>
    </row>
    <row r="357" spans="1:9" s="21" customFormat="1" ht="16.5" x14ac:dyDescent="0.15">
      <c r="A357" s="18">
        <v>10354</v>
      </c>
      <c r="B357" s="18">
        <v>91112</v>
      </c>
      <c r="C357" s="19">
        <v>47</v>
      </c>
      <c r="D357" s="20" t="s">
        <v>682</v>
      </c>
      <c r="E357" s="19" t="s">
        <v>360</v>
      </c>
      <c r="F357" s="26">
        <v>59024</v>
      </c>
      <c r="G357" s="21">
        <v>38</v>
      </c>
      <c r="H357" s="21">
        <f t="shared" si="4"/>
        <v>140</v>
      </c>
      <c r="I357" s="21" t="str">
        <f>"1|"&amp;INDEX([1]全服BOSS!$R$28:$AV$41,MATCH(H357,[1]全服BOSS!$R$28:$R$41,0),MATCH($G357,[1]全服BOSS!$R$28:$AV$28,0))</f>
        <v>1|240000</v>
      </c>
    </row>
    <row r="358" spans="1:9" s="21" customFormat="1" ht="16.5" x14ac:dyDescent="0.15">
      <c r="A358" s="18">
        <v>10355</v>
      </c>
      <c r="B358" s="18">
        <v>91112</v>
      </c>
      <c r="C358" s="19">
        <v>49</v>
      </c>
      <c r="D358" s="20" t="s">
        <v>683</v>
      </c>
      <c r="E358" s="19" t="s">
        <v>361</v>
      </c>
      <c r="F358" s="26">
        <v>59025</v>
      </c>
      <c r="G358" s="21">
        <v>40</v>
      </c>
      <c r="H358" s="21">
        <f t="shared" si="4"/>
        <v>140</v>
      </c>
      <c r="I358" s="21" t="str">
        <f>"1|"&amp;INDEX([1]全服BOSS!$R$28:$AV$41,MATCH(H358,[1]全服BOSS!$R$28:$R$41,0),MATCH($G358,[1]全服BOSS!$R$28:$AV$28,0))</f>
        <v>1|253000</v>
      </c>
    </row>
    <row r="359" spans="1:9" s="21" customFormat="1" ht="16.5" x14ac:dyDescent="0.15">
      <c r="A359" s="18">
        <v>10356</v>
      </c>
      <c r="B359" s="18">
        <v>91112</v>
      </c>
      <c r="C359" s="19">
        <v>51</v>
      </c>
      <c r="D359" s="20" t="s">
        <v>684</v>
      </c>
      <c r="E359" s="19" t="s">
        <v>362</v>
      </c>
      <c r="F359" s="26">
        <v>59026</v>
      </c>
      <c r="G359" s="21">
        <v>42</v>
      </c>
      <c r="H359" s="21">
        <f t="shared" si="4"/>
        <v>140</v>
      </c>
      <c r="I359" s="21" t="str">
        <f>"1|"&amp;INDEX([1]全服BOSS!$R$28:$AV$41,MATCH(H359,[1]全服BOSS!$R$28:$R$41,0),MATCH($G359,[1]全服BOSS!$R$28:$AV$28,0))</f>
        <v>1|265000</v>
      </c>
    </row>
    <row r="360" spans="1:9" s="21" customFormat="1" ht="16.5" x14ac:dyDescent="0.15">
      <c r="A360" s="18">
        <v>10357</v>
      </c>
      <c r="B360" s="18">
        <v>91112</v>
      </c>
      <c r="C360" s="19">
        <v>53</v>
      </c>
      <c r="D360" s="20" t="s">
        <v>685</v>
      </c>
      <c r="E360" s="19" t="s">
        <v>363</v>
      </c>
      <c r="F360" s="26">
        <v>59027</v>
      </c>
      <c r="G360" s="21">
        <v>44</v>
      </c>
      <c r="H360" s="21">
        <f t="shared" si="4"/>
        <v>140</v>
      </c>
      <c r="I360" s="21" t="str">
        <f>"1|"&amp;INDEX([1]全服BOSS!$R$28:$AV$41,MATCH(H360,[1]全服BOSS!$R$28:$R$41,0),MATCH($G360,[1]全服BOSS!$R$28:$AV$28,0))</f>
        <v>1|278000</v>
      </c>
    </row>
    <row r="361" spans="1:9" s="21" customFormat="1" ht="16.5" x14ac:dyDescent="0.15">
      <c r="A361" s="18">
        <v>10358</v>
      </c>
      <c r="B361" s="18">
        <v>91112</v>
      </c>
      <c r="C361" s="19">
        <v>55</v>
      </c>
      <c r="D361" s="20" t="s">
        <v>686</v>
      </c>
      <c r="E361" s="19" t="s">
        <v>364</v>
      </c>
      <c r="F361" s="26">
        <v>59028</v>
      </c>
      <c r="G361" s="21">
        <v>46</v>
      </c>
      <c r="H361" s="21">
        <f t="shared" si="4"/>
        <v>140</v>
      </c>
      <c r="I361" s="21" t="str">
        <f>"1|"&amp;INDEX([1]全服BOSS!$R$28:$AV$41,MATCH(H361,[1]全服BOSS!$R$28:$R$41,0),MATCH($G361,[1]全服BOSS!$R$28:$AV$28,0))</f>
        <v>1|290000</v>
      </c>
    </row>
    <row r="362" spans="1:9" s="21" customFormat="1" ht="16.5" x14ac:dyDescent="0.15">
      <c r="A362" s="18">
        <v>10359</v>
      </c>
      <c r="B362" s="18">
        <v>91112</v>
      </c>
      <c r="C362" s="19">
        <v>57</v>
      </c>
      <c r="D362" s="20" t="s">
        <v>687</v>
      </c>
      <c r="E362" s="19" t="s">
        <v>365</v>
      </c>
      <c r="F362" s="26">
        <v>59029</v>
      </c>
      <c r="G362" s="21">
        <v>48</v>
      </c>
      <c r="H362" s="21">
        <f t="shared" si="4"/>
        <v>140</v>
      </c>
      <c r="I362" s="21" t="str">
        <f>"1|"&amp;INDEX([1]全服BOSS!$R$28:$AV$41,MATCH(H362,[1]全服BOSS!$R$28:$R$41,0),MATCH($G362,[1]全服BOSS!$R$28:$AV$28,0))</f>
        <v>1|303000</v>
      </c>
    </row>
    <row r="363" spans="1:9" s="21" customFormat="1" ht="16.5" x14ac:dyDescent="0.15">
      <c r="A363" s="18">
        <v>10360</v>
      </c>
      <c r="B363" s="18">
        <v>91112</v>
      </c>
      <c r="C363" s="19">
        <v>59</v>
      </c>
      <c r="D363" s="20" t="s">
        <v>688</v>
      </c>
      <c r="E363" s="19" t="s">
        <v>366</v>
      </c>
      <c r="F363" s="26">
        <v>59030</v>
      </c>
      <c r="G363" s="21">
        <v>50</v>
      </c>
      <c r="H363" s="21">
        <f t="shared" si="4"/>
        <v>140</v>
      </c>
      <c r="I363" s="21" t="str">
        <f>"1|"&amp;INDEX([1]全服BOSS!$R$28:$AV$41,MATCH(H363,[1]全服BOSS!$R$28:$R$41,0),MATCH($G363,[1]全服BOSS!$R$28:$AV$28,0))</f>
        <v>1|316000</v>
      </c>
    </row>
    <row r="364" spans="1:9" ht="16.5" x14ac:dyDescent="0.15">
      <c r="A364" s="2">
        <v>10361</v>
      </c>
      <c r="B364" s="2">
        <v>91113</v>
      </c>
      <c r="C364" s="10">
        <v>1</v>
      </c>
      <c r="D364" s="14" t="s">
        <v>434</v>
      </c>
      <c r="E364" s="10" t="s">
        <v>129</v>
      </c>
      <c r="F364" s="24">
        <v>59001</v>
      </c>
      <c r="G364">
        <v>1</v>
      </c>
      <c r="H364">
        <f t="shared" si="4"/>
        <v>150</v>
      </c>
      <c r="I364" t="str">
        <f>"1|"&amp;INDEX([1]全服BOSS!$R$28:$AV$41,MATCH(H364,[1]全服BOSS!$R$28:$R$41,0),MATCH($G364,[1]全服BOSS!$R$28:$AV$28,0))</f>
        <v>1|7800</v>
      </c>
    </row>
    <row r="365" spans="1:9" ht="16.5" x14ac:dyDescent="0.15">
      <c r="A365" s="2">
        <v>10362</v>
      </c>
      <c r="B365" s="2">
        <v>91113</v>
      </c>
      <c r="C365" s="10">
        <v>3</v>
      </c>
      <c r="D365" s="14" t="s">
        <v>689</v>
      </c>
      <c r="E365" s="10" t="s">
        <v>367</v>
      </c>
      <c r="F365" s="24">
        <v>59002</v>
      </c>
      <c r="G365">
        <v>2</v>
      </c>
      <c r="H365">
        <f t="shared" si="4"/>
        <v>150</v>
      </c>
      <c r="I365" t="str">
        <f>"1|"&amp;INDEX([1]全服BOSS!$R$28:$AV$41,MATCH(H365,[1]全服BOSS!$R$28:$R$41,0),MATCH($G365,[1]全服BOSS!$R$28:$AV$28,0))</f>
        <v>1|15600</v>
      </c>
    </row>
    <row r="366" spans="1:9" ht="16.5" x14ac:dyDescent="0.15">
      <c r="A366" s="2">
        <v>10363</v>
      </c>
      <c r="B366" s="2">
        <v>91113</v>
      </c>
      <c r="C366" s="10">
        <v>5</v>
      </c>
      <c r="D366" s="14" t="s">
        <v>483</v>
      </c>
      <c r="E366" s="10" t="s">
        <v>208</v>
      </c>
      <c r="F366" s="24">
        <v>59003</v>
      </c>
      <c r="G366">
        <v>3</v>
      </c>
      <c r="H366">
        <f t="shared" si="4"/>
        <v>150</v>
      </c>
      <c r="I366" t="str">
        <f>"1|"&amp;INDEX([1]全服BOSS!$R$28:$AV$41,MATCH(H366,[1]全服BOSS!$R$28:$R$41,0),MATCH($G366,[1]全服BOSS!$R$28:$AV$28,0))</f>
        <v>1|23500</v>
      </c>
    </row>
    <row r="367" spans="1:9" ht="16.5" x14ac:dyDescent="0.15">
      <c r="A367" s="2">
        <v>10364</v>
      </c>
      <c r="B367" s="2">
        <v>91113</v>
      </c>
      <c r="C367" s="10">
        <v>7</v>
      </c>
      <c r="D367" s="14" t="s">
        <v>690</v>
      </c>
      <c r="E367" s="10" t="s">
        <v>368</v>
      </c>
      <c r="F367" s="24">
        <v>59004</v>
      </c>
      <c r="G367">
        <v>4</v>
      </c>
      <c r="H367">
        <f t="shared" si="4"/>
        <v>150</v>
      </c>
      <c r="I367" t="str">
        <f>"1|"&amp;INDEX([1]全服BOSS!$R$28:$AV$41,MATCH(H367,[1]全服BOSS!$R$28:$R$41,0),MATCH($G367,[1]全服BOSS!$R$28:$AV$28,0))</f>
        <v>1|31300</v>
      </c>
    </row>
    <row r="368" spans="1:9" ht="16.5" x14ac:dyDescent="0.15">
      <c r="A368" s="2">
        <v>10365</v>
      </c>
      <c r="B368" s="2">
        <v>91113</v>
      </c>
      <c r="C368" s="10">
        <v>9</v>
      </c>
      <c r="D368" s="14" t="s">
        <v>691</v>
      </c>
      <c r="E368" s="10" t="s">
        <v>369</v>
      </c>
      <c r="F368" s="24">
        <v>59005</v>
      </c>
      <c r="G368">
        <v>5</v>
      </c>
      <c r="H368">
        <f t="shared" si="4"/>
        <v>150</v>
      </c>
      <c r="I368" t="str">
        <f>"1|"&amp;INDEX([1]全服BOSS!$R$28:$AV$41,MATCH(H368,[1]全服BOSS!$R$28:$R$41,0),MATCH($G368,[1]全服BOSS!$R$28:$AV$28,0))</f>
        <v>1|39100</v>
      </c>
    </row>
    <row r="369" spans="1:9" ht="16.5" x14ac:dyDescent="0.15">
      <c r="A369" s="2">
        <v>10366</v>
      </c>
      <c r="B369" s="2">
        <v>91113</v>
      </c>
      <c r="C369" s="10">
        <v>11</v>
      </c>
      <c r="D369" s="14" t="s">
        <v>692</v>
      </c>
      <c r="E369" s="10" t="s">
        <v>152</v>
      </c>
      <c r="F369" s="24">
        <v>59006</v>
      </c>
      <c r="G369">
        <v>6</v>
      </c>
      <c r="H369">
        <f t="shared" si="4"/>
        <v>150</v>
      </c>
      <c r="I369" t="str">
        <f>"1|"&amp;INDEX([1]全服BOSS!$R$28:$AV$41,MATCH(H369,[1]全服BOSS!$R$28:$R$41,0),MATCH($G369,[1]全服BOSS!$R$28:$AV$28,0))</f>
        <v>1|46900</v>
      </c>
    </row>
    <row r="370" spans="1:9" ht="16.5" x14ac:dyDescent="0.15">
      <c r="A370" s="2">
        <v>10367</v>
      </c>
      <c r="B370" s="2">
        <v>91113</v>
      </c>
      <c r="C370" s="10">
        <v>13</v>
      </c>
      <c r="D370" s="14" t="s">
        <v>693</v>
      </c>
      <c r="E370" s="10" t="s">
        <v>370</v>
      </c>
      <c r="F370" s="24">
        <v>59007</v>
      </c>
      <c r="G370">
        <v>7</v>
      </c>
      <c r="H370">
        <f t="shared" si="4"/>
        <v>150</v>
      </c>
      <c r="I370" t="str">
        <f>"1|"&amp;INDEX([1]全服BOSS!$R$28:$AV$41,MATCH(H370,[1]全服BOSS!$R$28:$R$41,0),MATCH($G370,[1]全服BOSS!$R$28:$AV$28,0))</f>
        <v>1|54700</v>
      </c>
    </row>
    <row r="371" spans="1:9" ht="16.5" x14ac:dyDescent="0.15">
      <c r="A371" s="2">
        <v>10368</v>
      </c>
      <c r="B371" s="2">
        <v>91113</v>
      </c>
      <c r="C371" s="10">
        <v>15</v>
      </c>
      <c r="D371" s="14" t="s">
        <v>694</v>
      </c>
      <c r="E371" s="10" t="s">
        <v>371</v>
      </c>
      <c r="F371" s="24">
        <v>59008</v>
      </c>
      <c r="G371">
        <v>8</v>
      </c>
      <c r="H371">
        <f t="shared" si="4"/>
        <v>150</v>
      </c>
      <c r="I371" t="str">
        <f>"1|"&amp;INDEX([1]全服BOSS!$R$28:$AV$41,MATCH(H371,[1]全服BOSS!$R$28:$R$41,0),MATCH($G371,[1]全服BOSS!$R$28:$AV$28,0))</f>
        <v>1|62500</v>
      </c>
    </row>
    <row r="372" spans="1:9" ht="16.5" x14ac:dyDescent="0.15">
      <c r="A372" s="2">
        <v>10369</v>
      </c>
      <c r="B372" s="2">
        <v>91113</v>
      </c>
      <c r="C372" s="10">
        <v>17</v>
      </c>
      <c r="D372" s="14" t="s">
        <v>695</v>
      </c>
      <c r="E372" s="10" t="s">
        <v>372</v>
      </c>
      <c r="F372" s="24">
        <v>59009</v>
      </c>
      <c r="G372">
        <v>9</v>
      </c>
      <c r="H372">
        <f t="shared" si="4"/>
        <v>150</v>
      </c>
      <c r="I372" t="str">
        <f>"1|"&amp;INDEX([1]全服BOSS!$R$28:$AV$41,MATCH(H372,[1]全服BOSS!$R$28:$R$41,0),MATCH($G372,[1]全服BOSS!$R$28:$AV$28,0))</f>
        <v>1|70400</v>
      </c>
    </row>
    <row r="373" spans="1:9" ht="16.5" x14ac:dyDescent="0.15">
      <c r="A373" s="2">
        <v>10370</v>
      </c>
      <c r="B373" s="2">
        <v>91113</v>
      </c>
      <c r="C373" s="10">
        <v>19</v>
      </c>
      <c r="D373" s="14" t="s">
        <v>696</v>
      </c>
      <c r="E373" s="10" t="s">
        <v>373</v>
      </c>
      <c r="F373" s="24">
        <v>59010</v>
      </c>
      <c r="G373">
        <v>10</v>
      </c>
      <c r="H373">
        <f t="shared" si="4"/>
        <v>150</v>
      </c>
      <c r="I373" t="str">
        <f>"1|"&amp;INDEX([1]全服BOSS!$R$28:$AV$41,MATCH(H373,[1]全服BOSS!$R$28:$R$41,0),MATCH($G373,[1]全服BOSS!$R$28:$AV$28,0))</f>
        <v>1|78200</v>
      </c>
    </row>
    <row r="374" spans="1:9" ht="16.5" x14ac:dyDescent="0.15">
      <c r="A374" s="2">
        <v>10371</v>
      </c>
      <c r="B374" s="2">
        <v>91113</v>
      </c>
      <c r="C374" s="10">
        <v>21</v>
      </c>
      <c r="D374" s="14" t="s">
        <v>697</v>
      </c>
      <c r="E374" s="10" t="s">
        <v>374</v>
      </c>
      <c r="F374" s="24">
        <v>59011</v>
      </c>
      <c r="G374">
        <v>12</v>
      </c>
      <c r="H374">
        <f t="shared" si="4"/>
        <v>150</v>
      </c>
      <c r="I374" t="str">
        <f>"1|"&amp;INDEX([1]全服BOSS!$R$28:$AV$41,MATCH(H374,[1]全服BOSS!$R$28:$R$41,0),MATCH($G374,[1]全服BOSS!$R$28:$AV$28,0))</f>
        <v>1|93800</v>
      </c>
    </row>
    <row r="375" spans="1:9" ht="16.5" x14ac:dyDescent="0.15">
      <c r="A375" s="2">
        <v>10372</v>
      </c>
      <c r="B375" s="2">
        <v>91113</v>
      </c>
      <c r="C375" s="10">
        <v>23</v>
      </c>
      <c r="D375" s="14" t="s">
        <v>587</v>
      </c>
      <c r="E375" s="10" t="s">
        <v>280</v>
      </c>
      <c r="F375" s="24">
        <v>59012</v>
      </c>
      <c r="G375">
        <v>14</v>
      </c>
      <c r="H375">
        <f t="shared" si="4"/>
        <v>150</v>
      </c>
      <c r="I375" t="str">
        <f>"1|"&amp;INDEX([1]全服BOSS!$R$28:$AV$41,MATCH(H375,[1]全服BOSS!$R$28:$R$41,0),MATCH($G375,[1]全服BOSS!$R$28:$AV$28,0))</f>
        <v>1|109000</v>
      </c>
    </row>
    <row r="376" spans="1:9" ht="16.5" x14ac:dyDescent="0.15">
      <c r="A376" s="2">
        <v>10373</v>
      </c>
      <c r="B376" s="2">
        <v>91113</v>
      </c>
      <c r="C376" s="10">
        <v>25</v>
      </c>
      <c r="D376" s="14" t="s">
        <v>698</v>
      </c>
      <c r="E376" s="10" t="s">
        <v>375</v>
      </c>
      <c r="F376" s="24">
        <v>59013</v>
      </c>
      <c r="G376">
        <v>16</v>
      </c>
      <c r="H376">
        <f t="shared" si="4"/>
        <v>150</v>
      </c>
      <c r="I376" t="str">
        <f>"1|"&amp;INDEX([1]全服BOSS!$R$28:$AV$41,MATCH(H376,[1]全服BOSS!$R$28:$R$41,0),MATCH($G376,[1]全服BOSS!$R$28:$AV$28,0))</f>
        <v>1|125000</v>
      </c>
    </row>
    <row r="377" spans="1:9" ht="16.5" x14ac:dyDescent="0.15">
      <c r="A377" s="2">
        <v>10374</v>
      </c>
      <c r="B377" s="2">
        <v>91113</v>
      </c>
      <c r="C377" s="10">
        <v>27</v>
      </c>
      <c r="D377" s="14" t="s">
        <v>699</v>
      </c>
      <c r="E377" s="10" t="s">
        <v>376</v>
      </c>
      <c r="F377" s="24">
        <v>59014</v>
      </c>
      <c r="G377">
        <v>18</v>
      </c>
      <c r="H377">
        <f t="shared" si="4"/>
        <v>150</v>
      </c>
      <c r="I377" t="str">
        <f>"1|"&amp;INDEX([1]全服BOSS!$R$28:$AV$41,MATCH(H377,[1]全服BOSS!$R$28:$R$41,0),MATCH($G377,[1]全服BOSS!$R$28:$AV$28,0))</f>
        <v>1|141000</v>
      </c>
    </row>
    <row r="378" spans="1:9" ht="16.5" x14ac:dyDescent="0.15">
      <c r="A378" s="2">
        <v>10375</v>
      </c>
      <c r="B378" s="2">
        <v>91113</v>
      </c>
      <c r="C378" s="10">
        <v>29</v>
      </c>
      <c r="D378" s="14" t="s">
        <v>700</v>
      </c>
      <c r="E378" s="10" t="s">
        <v>377</v>
      </c>
      <c r="F378" s="24">
        <v>59015</v>
      </c>
      <c r="G378">
        <v>20</v>
      </c>
      <c r="H378">
        <f t="shared" si="4"/>
        <v>150</v>
      </c>
      <c r="I378" t="str">
        <f>"1|"&amp;INDEX([1]全服BOSS!$R$28:$AV$41,MATCH(H378,[1]全服BOSS!$R$28:$R$41,0),MATCH($G378,[1]全服BOSS!$R$28:$AV$28,0))</f>
        <v>1|156000</v>
      </c>
    </row>
    <row r="379" spans="1:9" ht="16.5" x14ac:dyDescent="0.15">
      <c r="A379" s="2">
        <v>10376</v>
      </c>
      <c r="B379" s="2">
        <v>91113</v>
      </c>
      <c r="C379" s="10">
        <v>31</v>
      </c>
      <c r="D379" s="14" t="s">
        <v>701</v>
      </c>
      <c r="E379" s="10" t="s">
        <v>378</v>
      </c>
      <c r="F379" s="24">
        <v>59016</v>
      </c>
      <c r="G379">
        <v>22</v>
      </c>
      <c r="H379">
        <f t="shared" si="4"/>
        <v>150</v>
      </c>
      <c r="I379" t="str">
        <f>"1|"&amp;INDEX([1]全服BOSS!$R$28:$AV$41,MATCH(H379,[1]全服BOSS!$R$28:$R$41,0),MATCH($G379,[1]全服BOSS!$R$28:$AV$28,0))</f>
        <v>1|172000</v>
      </c>
    </row>
    <row r="380" spans="1:9" ht="16.5" x14ac:dyDescent="0.15">
      <c r="A380" s="2">
        <v>10377</v>
      </c>
      <c r="B380" s="2">
        <v>91113</v>
      </c>
      <c r="C380" s="10">
        <v>33</v>
      </c>
      <c r="D380" s="14" t="s">
        <v>702</v>
      </c>
      <c r="E380" s="10" t="s">
        <v>379</v>
      </c>
      <c r="F380" s="24">
        <v>59017</v>
      </c>
      <c r="G380">
        <v>24</v>
      </c>
      <c r="H380">
        <f t="shared" si="4"/>
        <v>150</v>
      </c>
      <c r="I380" t="str">
        <f>"1|"&amp;INDEX([1]全服BOSS!$R$28:$AV$41,MATCH(H380,[1]全服BOSS!$R$28:$R$41,0),MATCH($G380,[1]全服BOSS!$R$28:$AV$28,0))</f>
        <v>1|188000</v>
      </c>
    </row>
    <row r="381" spans="1:9" ht="16.5" x14ac:dyDescent="0.15">
      <c r="A381" s="2">
        <v>10378</v>
      </c>
      <c r="B381" s="2">
        <v>91113</v>
      </c>
      <c r="C381" s="10">
        <v>35</v>
      </c>
      <c r="D381" s="14" t="s">
        <v>703</v>
      </c>
      <c r="E381" s="10" t="s">
        <v>380</v>
      </c>
      <c r="F381" s="24">
        <v>59018</v>
      </c>
      <c r="G381">
        <v>26</v>
      </c>
      <c r="H381">
        <f t="shared" si="4"/>
        <v>150</v>
      </c>
      <c r="I381" t="str">
        <f>"1|"&amp;INDEX([1]全服BOSS!$R$28:$AV$41,MATCH(H381,[1]全服BOSS!$R$28:$R$41,0),MATCH($G381,[1]全服BOSS!$R$28:$AV$28,0))</f>
        <v>1|203000</v>
      </c>
    </row>
    <row r="382" spans="1:9" ht="16.5" x14ac:dyDescent="0.15">
      <c r="A382" s="2">
        <v>10379</v>
      </c>
      <c r="B382" s="2">
        <v>91113</v>
      </c>
      <c r="C382" s="10">
        <v>37</v>
      </c>
      <c r="D382" s="14" t="s">
        <v>704</v>
      </c>
      <c r="E382" s="10" t="s">
        <v>381</v>
      </c>
      <c r="F382" s="24">
        <v>59019</v>
      </c>
      <c r="G382">
        <v>28</v>
      </c>
      <c r="H382">
        <f t="shared" si="4"/>
        <v>150</v>
      </c>
      <c r="I382" t="str">
        <f>"1|"&amp;INDEX([1]全服BOSS!$R$28:$AV$41,MATCH(H382,[1]全服BOSS!$R$28:$R$41,0),MATCH($G382,[1]全服BOSS!$R$28:$AV$28,0))</f>
        <v>1|219000</v>
      </c>
    </row>
    <row r="383" spans="1:9" ht="16.5" x14ac:dyDescent="0.15">
      <c r="A383" s="2">
        <v>10380</v>
      </c>
      <c r="B383" s="2">
        <v>91113</v>
      </c>
      <c r="C383" s="10">
        <v>39</v>
      </c>
      <c r="D383" s="14" t="s">
        <v>705</v>
      </c>
      <c r="E383" s="10" t="s">
        <v>382</v>
      </c>
      <c r="F383" s="24">
        <v>59020</v>
      </c>
      <c r="G383">
        <v>30</v>
      </c>
      <c r="H383">
        <f t="shared" si="4"/>
        <v>150</v>
      </c>
      <c r="I383" t="str">
        <f>"1|"&amp;INDEX([1]全服BOSS!$R$28:$AV$41,MATCH(H383,[1]全服BOSS!$R$28:$R$41,0),MATCH($G383,[1]全服BOSS!$R$28:$AV$28,0))</f>
        <v>1|235000</v>
      </c>
    </row>
    <row r="384" spans="1:9" ht="16.5" x14ac:dyDescent="0.15">
      <c r="A384" s="2">
        <v>10381</v>
      </c>
      <c r="B384" s="2">
        <v>91113</v>
      </c>
      <c r="C384" s="10">
        <v>41</v>
      </c>
      <c r="D384" s="14" t="s">
        <v>706</v>
      </c>
      <c r="E384" s="10" t="s">
        <v>383</v>
      </c>
      <c r="F384" s="24">
        <v>59021</v>
      </c>
      <c r="G384">
        <v>32</v>
      </c>
      <c r="H384">
        <f t="shared" si="4"/>
        <v>150</v>
      </c>
      <c r="I384" t="str">
        <f>"1|"&amp;INDEX([1]全服BOSS!$R$28:$AV$41,MATCH(H384,[1]全服BOSS!$R$28:$R$41,0),MATCH($G384,[1]全服BOSS!$R$28:$AV$28,0))</f>
        <v>1|250000</v>
      </c>
    </row>
    <row r="385" spans="1:9" ht="16.5" x14ac:dyDescent="0.15">
      <c r="A385" s="2">
        <v>10382</v>
      </c>
      <c r="B385" s="2">
        <v>91113</v>
      </c>
      <c r="C385" s="10">
        <v>43</v>
      </c>
      <c r="D385" s="14" t="s">
        <v>707</v>
      </c>
      <c r="E385" s="10" t="s">
        <v>384</v>
      </c>
      <c r="F385" s="24">
        <v>59022</v>
      </c>
      <c r="G385">
        <v>34</v>
      </c>
      <c r="H385">
        <f t="shared" ref="H385:H393" si="5">H355+10</f>
        <v>150</v>
      </c>
      <c r="I385" t="str">
        <f>"1|"&amp;INDEX([1]全服BOSS!$R$28:$AV$41,MATCH(H385,[1]全服BOSS!$R$28:$R$41,0),MATCH($G385,[1]全服BOSS!$R$28:$AV$28,0))</f>
        <v>1|266000</v>
      </c>
    </row>
    <row r="386" spans="1:9" ht="16.5" x14ac:dyDescent="0.15">
      <c r="A386" s="2">
        <v>10383</v>
      </c>
      <c r="B386" s="2">
        <v>91113</v>
      </c>
      <c r="C386" s="10">
        <v>45</v>
      </c>
      <c r="D386" s="14" t="s">
        <v>708</v>
      </c>
      <c r="E386" s="10" t="s">
        <v>385</v>
      </c>
      <c r="F386" s="24">
        <v>59023</v>
      </c>
      <c r="G386">
        <v>36</v>
      </c>
      <c r="H386">
        <f t="shared" si="5"/>
        <v>150</v>
      </c>
      <c r="I386" t="str">
        <f>"1|"&amp;INDEX([1]全服BOSS!$R$28:$AV$41,MATCH(H386,[1]全服BOSS!$R$28:$R$41,0),MATCH($G386,[1]全服BOSS!$R$28:$AV$28,0))</f>
        <v>1|281000</v>
      </c>
    </row>
    <row r="387" spans="1:9" ht="16.5" x14ac:dyDescent="0.15">
      <c r="A387" s="2">
        <v>10384</v>
      </c>
      <c r="B387" s="2">
        <v>91113</v>
      </c>
      <c r="C387" s="10">
        <v>47</v>
      </c>
      <c r="D387" s="14" t="s">
        <v>709</v>
      </c>
      <c r="E387" s="10" t="s">
        <v>386</v>
      </c>
      <c r="F387" s="24">
        <v>59024</v>
      </c>
      <c r="G387">
        <v>38</v>
      </c>
      <c r="H387">
        <f t="shared" si="5"/>
        <v>150</v>
      </c>
      <c r="I387" t="str">
        <f>"1|"&amp;INDEX([1]全服BOSS!$R$28:$AV$41,MATCH(H387,[1]全服BOSS!$R$28:$R$41,0),MATCH($G387,[1]全服BOSS!$R$28:$AV$28,0))</f>
        <v>1|297000</v>
      </c>
    </row>
    <row r="388" spans="1:9" ht="16.5" x14ac:dyDescent="0.15">
      <c r="A388" s="2">
        <v>10385</v>
      </c>
      <c r="B388" s="2">
        <v>91113</v>
      </c>
      <c r="C388" s="10">
        <v>49</v>
      </c>
      <c r="D388" s="14" t="s">
        <v>710</v>
      </c>
      <c r="E388" s="10" t="s">
        <v>387</v>
      </c>
      <c r="F388" s="24">
        <v>59025</v>
      </c>
      <c r="G388">
        <v>40</v>
      </c>
      <c r="H388">
        <f t="shared" si="5"/>
        <v>150</v>
      </c>
      <c r="I388" t="str">
        <f>"1|"&amp;INDEX([1]全服BOSS!$R$28:$AV$41,MATCH(H388,[1]全服BOSS!$R$28:$R$41,0),MATCH($G388,[1]全服BOSS!$R$28:$AV$28,0))</f>
        <v>1|313000</v>
      </c>
    </row>
    <row r="389" spans="1:9" ht="16.5" x14ac:dyDescent="0.15">
      <c r="A389" s="2">
        <v>10386</v>
      </c>
      <c r="B389" s="2">
        <v>91113</v>
      </c>
      <c r="C389" s="10">
        <v>51</v>
      </c>
      <c r="D389" s="14" t="s">
        <v>711</v>
      </c>
      <c r="E389" s="10" t="s">
        <v>388</v>
      </c>
      <c r="F389" s="24">
        <v>59026</v>
      </c>
      <c r="G389">
        <v>42</v>
      </c>
      <c r="H389">
        <f t="shared" si="5"/>
        <v>150</v>
      </c>
      <c r="I389" t="str">
        <f>"1|"&amp;INDEX([1]全服BOSS!$R$28:$AV$41,MATCH(H389,[1]全服BOSS!$R$28:$R$41,0),MATCH($G389,[1]全服BOSS!$R$28:$AV$28,0))</f>
        <v>1|328000</v>
      </c>
    </row>
    <row r="390" spans="1:9" ht="16.5" x14ac:dyDescent="0.15">
      <c r="A390" s="2">
        <v>10387</v>
      </c>
      <c r="B390" s="2">
        <v>91113</v>
      </c>
      <c r="C390" s="10">
        <v>53</v>
      </c>
      <c r="D390" s="14" t="s">
        <v>712</v>
      </c>
      <c r="E390" s="10" t="s">
        <v>389</v>
      </c>
      <c r="F390" s="24">
        <v>59027</v>
      </c>
      <c r="G390">
        <v>44</v>
      </c>
      <c r="H390">
        <f t="shared" si="5"/>
        <v>150</v>
      </c>
      <c r="I390" t="str">
        <f>"1|"&amp;INDEX([1]全服BOSS!$R$28:$AV$41,MATCH(H390,[1]全服BOSS!$R$28:$R$41,0),MATCH($G390,[1]全服BOSS!$R$28:$AV$28,0))</f>
        <v>1|344000</v>
      </c>
    </row>
    <row r="391" spans="1:9" ht="16.5" x14ac:dyDescent="0.15">
      <c r="A391" s="2">
        <v>10388</v>
      </c>
      <c r="B391" s="2">
        <v>91113</v>
      </c>
      <c r="C391" s="10">
        <v>55</v>
      </c>
      <c r="D391" s="14" t="s">
        <v>713</v>
      </c>
      <c r="E391" s="10" t="s">
        <v>390</v>
      </c>
      <c r="F391" s="24">
        <v>59028</v>
      </c>
      <c r="G391">
        <v>46</v>
      </c>
      <c r="H391">
        <f t="shared" si="5"/>
        <v>150</v>
      </c>
      <c r="I391" t="str">
        <f>"1|"&amp;INDEX([1]全服BOSS!$R$28:$AV$41,MATCH(H391,[1]全服BOSS!$R$28:$R$41,0),MATCH($G391,[1]全服BOSS!$R$28:$AV$28,0))</f>
        <v>1|360000</v>
      </c>
    </row>
    <row r="392" spans="1:9" ht="16.5" x14ac:dyDescent="0.15">
      <c r="A392" s="2">
        <v>10389</v>
      </c>
      <c r="B392" s="2">
        <v>91113</v>
      </c>
      <c r="C392" s="10">
        <v>57</v>
      </c>
      <c r="D392" s="14" t="s">
        <v>714</v>
      </c>
      <c r="E392" s="10" t="s">
        <v>391</v>
      </c>
      <c r="F392" s="24">
        <v>59029</v>
      </c>
      <c r="G392">
        <v>48</v>
      </c>
      <c r="H392">
        <f t="shared" si="5"/>
        <v>150</v>
      </c>
      <c r="I392" t="str">
        <f>"1|"&amp;INDEX([1]全服BOSS!$R$28:$AV$41,MATCH(H392,[1]全服BOSS!$R$28:$R$41,0),MATCH($G392,[1]全服BOSS!$R$28:$AV$28,0))</f>
        <v>1|375000</v>
      </c>
    </row>
    <row r="393" spans="1:9" ht="16.5" x14ac:dyDescent="0.15">
      <c r="A393" s="2">
        <v>10390</v>
      </c>
      <c r="B393" s="2">
        <v>91113</v>
      </c>
      <c r="C393" s="10">
        <v>59</v>
      </c>
      <c r="D393" s="14" t="s">
        <v>715</v>
      </c>
      <c r="E393" s="10" t="s">
        <v>392</v>
      </c>
      <c r="F393" s="24">
        <v>59030</v>
      </c>
      <c r="G393">
        <v>50</v>
      </c>
      <c r="H393">
        <f t="shared" si="5"/>
        <v>150</v>
      </c>
      <c r="I393" t="str">
        <f>"1|"&amp;INDEX([1]全服BOSS!$R$28:$AV$41,MATCH(H393,[1]全服BOSS!$R$28:$R$41,0),MATCH($G393,[1]全服BOSS!$R$28:$AV$28,0))</f>
        <v>1|391000</v>
      </c>
    </row>
    <row r="394" spans="1:9" s="4" customFormat="1" ht="16.5" x14ac:dyDescent="0.15">
      <c r="A394" s="15">
        <v>20001</v>
      </c>
      <c r="B394" s="15">
        <v>10030</v>
      </c>
      <c r="C394" s="16">
        <v>2</v>
      </c>
      <c r="D394" s="17" t="s">
        <v>716</v>
      </c>
      <c r="E394" s="16" t="s">
        <v>47</v>
      </c>
      <c r="F394" s="27">
        <v>59101</v>
      </c>
    </row>
    <row r="395" spans="1:9" s="4" customFormat="1" ht="16.5" x14ac:dyDescent="0.15">
      <c r="A395" s="15">
        <v>20002</v>
      </c>
      <c r="B395" s="15">
        <v>10030</v>
      </c>
      <c r="C395" s="16">
        <v>4</v>
      </c>
      <c r="D395" s="17" t="s">
        <v>717</v>
      </c>
      <c r="E395" s="16" t="s">
        <v>48</v>
      </c>
      <c r="F395" s="27">
        <v>59102</v>
      </c>
    </row>
    <row r="396" spans="1:9" s="4" customFormat="1" ht="16.5" x14ac:dyDescent="0.15">
      <c r="A396" s="15">
        <v>20003</v>
      </c>
      <c r="B396" s="15">
        <v>10030</v>
      </c>
      <c r="C396" s="16">
        <v>6</v>
      </c>
      <c r="D396" s="17" t="s">
        <v>718</v>
      </c>
      <c r="E396" s="16" t="s">
        <v>49</v>
      </c>
      <c r="F396" s="27">
        <v>59103</v>
      </c>
    </row>
    <row r="397" spans="1:9" s="4" customFormat="1" ht="16.5" x14ac:dyDescent="0.15">
      <c r="A397" s="15">
        <v>20004</v>
      </c>
      <c r="B397" s="15">
        <v>10030</v>
      </c>
      <c r="C397" s="16">
        <v>8</v>
      </c>
      <c r="D397" s="17" t="s">
        <v>719</v>
      </c>
      <c r="E397" s="16" t="s">
        <v>50</v>
      </c>
      <c r="F397" s="27">
        <v>59104</v>
      </c>
    </row>
    <row r="398" spans="1:9" s="4" customFormat="1" ht="16.5" x14ac:dyDescent="0.15">
      <c r="A398" s="15">
        <v>20005</v>
      </c>
      <c r="B398" s="15">
        <v>10030</v>
      </c>
      <c r="C398" s="16">
        <v>10</v>
      </c>
      <c r="D398" s="17" t="s">
        <v>720</v>
      </c>
      <c r="E398" s="16" t="s">
        <v>51</v>
      </c>
      <c r="F398" s="27">
        <v>59105</v>
      </c>
    </row>
    <row r="399" spans="1:9" s="4" customFormat="1" ht="16.5" x14ac:dyDescent="0.15">
      <c r="A399" s="15">
        <v>20006</v>
      </c>
      <c r="B399" s="15">
        <v>10030</v>
      </c>
      <c r="C399" s="16">
        <v>12</v>
      </c>
      <c r="D399" s="17" t="s">
        <v>721</v>
      </c>
      <c r="E399" s="16" t="s">
        <v>52</v>
      </c>
      <c r="F399" s="27">
        <v>59106</v>
      </c>
    </row>
    <row r="400" spans="1:9" s="4" customFormat="1" ht="16.5" x14ac:dyDescent="0.15">
      <c r="A400" s="15">
        <v>20007</v>
      </c>
      <c r="B400" s="15">
        <v>10030</v>
      </c>
      <c r="C400" s="16">
        <v>14</v>
      </c>
      <c r="D400" s="17" t="s">
        <v>722</v>
      </c>
      <c r="E400" s="16" t="s">
        <v>53</v>
      </c>
      <c r="F400" s="27">
        <v>59107</v>
      </c>
    </row>
    <row r="401" spans="1:6" s="4" customFormat="1" ht="16.5" x14ac:dyDescent="0.15">
      <c r="A401" s="15">
        <v>20008</v>
      </c>
      <c r="B401" s="15">
        <v>10030</v>
      </c>
      <c r="C401" s="16">
        <v>16</v>
      </c>
      <c r="D401" s="17" t="s">
        <v>723</v>
      </c>
      <c r="E401" s="16" t="s">
        <v>54</v>
      </c>
      <c r="F401" s="27">
        <v>59108</v>
      </c>
    </row>
    <row r="402" spans="1:6" s="4" customFormat="1" ht="16.5" x14ac:dyDescent="0.15">
      <c r="A402" s="15">
        <v>20009</v>
      </c>
      <c r="B402" s="15">
        <v>10030</v>
      </c>
      <c r="C402" s="16">
        <v>18</v>
      </c>
      <c r="D402" s="17" t="s">
        <v>724</v>
      </c>
      <c r="E402" s="16" t="s">
        <v>55</v>
      </c>
      <c r="F402" s="27">
        <v>59109</v>
      </c>
    </row>
    <row r="403" spans="1:6" s="4" customFormat="1" ht="16.5" x14ac:dyDescent="0.15">
      <c r="A403" s="15">
        <v>20010</v>
      </c>
      <c r="B403" s="15">
        <v>10030</v>
      </c>
      <c r="C403" s="16">
        <v>20</v>
      </c>
      <c r="D403" s="17" t="s">
        <v>725</v>
      </c>
      <c r="E403" s="16" t="s">
        <v>40</v>
      </c>
      <c r="F403" s="27">
        <v>59110</v>
      </c>
    </row>
    <row r="404" spans="1:6" s="4" customFormat="1" ht="16.5" x14ac:dyDescent="0.15">
      <c r="A404" s="15">
        <v>20011</v>
      </c>
      <c r="B404" s="15">
        <v>10030</v>
      </c>
      <c r="C404" s="16">
        <v>22</v>
      </c>
      <c r="D404" s="17" t="s">
        <v>726</v>
      </c>
      <c r="E404" s="16" t="s">
        <v>56</v>
      </c>
      <c r="F404" s="27">
        <v>59111</v>
      </c>
    </row>
    <row r="405" spans="1:6" s="4" customFormat="1" ht="16.5" x14ac:dyDescent="0.15">
      <c r="A405" s="15">
        <v>20012</v>
      </c>
      <c r="B405" s="15">
        <v>10030</v>
      </c>
      <c r="C405" s="16">
        <v>24</v>
      </c>
      <c r="D405" s="17" t="s">
        <v>727</v>
      </c>
      <c r="E405" s="16" t="s">
        <v>57</v>
      </c>
      <c r="F405" s="27">
        <v>59112</v>
      </c>
    </row>
    <row r="406" spans="1:6" s="4" customFormat="1" ht="16.5" x14ac:dyDescent="0.15">
      <c r="A406" s="15">
        <v>20013</v>
      </c>
      <c r="B406" s="15">
        <v>10030</v>
      </c>
      <c r="C406" s="16">
        <v>26</v>
      </c>
      <c r="D406" s="17" t="s">
        <v>728</v>
      </c>
      <c r="E406" s="16" t="s">
        <v>58</v>
      </c>
      <c r="F406" s="27">
        <v>59113</v>
      </c>
    </row>
    <row r="407" spans="1:6" s="4" customFormat="1" ht="16.5" x14ac:dyDescent="0.15">
      <c r="A407" s="15">
        <v>20014</v>
      </c>
      <c r="B407" s="15">
        <v>10030</v>
      </c>
      <c r="C407" s="16">
        <v>28</v>
      </c>
      <c r="D407" s="17" t="s">
        <v>729</v>
      </c>
      <c r="E407" s="16" t="s">
        <v>59</v>
      </c>
      <c r="F407" s="27">
        <v>59114</v>
      </c>
    </row>
    <row r="408" spans="1:6" s="4" customFormat="1" ht="16.5" x14ac:dyDescent="0.15">
      <c r="A408" s="15">
        <v>20015</v>
      </c>
      <c r="B408" s="15">
        <v>10030</v>
      </c>
      <c r="C408" s="16">
        <v>30</v>
      </c>
      <c r="D408" s="17" t="s">
        <v>730</v>
      </c>
      <c r="E408" s="16" t="s">
        <v>41</v>
      </c>
      <c r="F408" s="27">
        <v>59115</v>
      </c>
    </row>
    <row r="409" spans="1:6" s="4" customFormat="1" ht="16.5" x14ac:dyDescent="0.15">
      <c r="A409" s="15">
        <v>20016</v>
      </c>
      <c r="B409" s="15">
        <v>10030</v>
      </c>
      <c r="C409" s="16">
        <v>32</v>
      </c>
      <c r="D409" s="17" t="s">
        <v>731</v>
      </c>
      <c r="E409" s="16" t="s">
        <v>60</v>
      </c>
      <c r="F409" s="27">
        <v>59116</v>
      </c>
    </row>
    <row r="410" spans="1:6" s="4" customFormat="1" ht="16.5" x14ac:dyDescent="0.15">
      <c r="A410" s="15">
        <v>20017</v>
      </c>
      <c r="B410" s="15">
        <v>10030</v>
      </c>
      <c r="C410" s="16">
        <v>34</v>
      </c>
      <c r="D410" s="17" t="s">
        <v>732</v>
      </c>
      <c r="E410" s="16" t="s">
        <v>61</v>
      </c>
      <c r="F410" s="27">
        <v>59117</v>
      </c>
    </row>
    <row r="411" spans="1:6" s="4" customFormat="1" ht="16.5" x14ac:dyDescent="0.15">
      <c r="A411" s="15">
        <v>20018</v>
      </c>
      <c r="B411" s="15">
        <v>10030</v>
      </c>
      <c r="C411" s="16">
        <v>36</v>
      </c>
      <c r="D411" s="17" t="s">
        <v>733</v>
      </c>
      <c r="E411" s="16" t="s">
        <v>62</v>
      </c>
      <c r="F411" s="27">
        <v>59118</v>
      </c>
    </row>
    <row r="412" spans="1:6" s="4" customFormat="1" ht="16.5" x14ac:dyDescent="0.15">
      <c r="A412" s="15">
        <v>20019</v>
      </c>
      <c r="B412" s="15">
        <v>10030</v>
      </c>
      <c r="C412" s="16">
        <v>38</v>
      </c>
      <c r="D412" s="17" t="s">
        <v>734</v>
      </c>
      <c r="E412" s="16" t="s">
        <v>63</v>
      </c>
      <c r="F412" s="27">
        <v>59119</v>
      </c>
    </row>
    <row r="413" spans="1:6" s="4" customFormat="1" ht="16.5" x14ac:dyDescent="0.15">
      <c r="A413" s="15">
        <v>20020</v>
      </c>
      <c r="B413" s="15">
        <v>10030</v>
      </c>
      <c r="C413" s="16">
        <v>40</v>
      </c>
      <c r="D413" s="17" t="s">
        <v>735</v>
      </c>
      <c r="E413" s="16" t="s">
        <v>42</v>
      </c>
      <c r="F413" s="27">
        <v>59120</v>
      </c>
    </row>
    <row r="414" spans="1:6" ht="16.5" x14ac:dyDescent="0.15">
      <c r="A414" s="2">
        <v>30001</v>
      </c>
      <c r="B414" s="14" t="s">
        <v>68</v>
      </c>
      <c r="C414" s="10">
        <v>1</v>
      </c>
      <c r="D414" s="14" t="s">
        <v>736</v>
      </c>
      <c r="E414" s="10" t="s">
        <v>65</v>
      </c>
      <c r="F414" s="24">
        <v>59201</v>
      </c>
    </row>
    <row r="415" spans="1:6" ht="16.5" x14ac:dyDescent="0.15">
      <c r="A415" s="2">
        <v>30002</v>
      </c>
      <c r="B415" s="14" t="s">
        <v>68</v>
      </c>
      <c r="C415" s="10">
        <v>2</v>
      </c>
      <c r="D415" s="14" t="s">
        <v>737</v>
      </c>
      <c r="E415" s="10" t="s">
        <v>66</v>
      </c>
      <c r="F415" s="24">
        <v>59202</v>
      </c>
    </row>
    <row r="416" spans="1:6" ht="16.5" x14ac:dyDescent="0.15">
      <c r="A416" s="2">
        <v>30003</v>
      </c>
      <c r="B416" s="14" t="s">
        <v>68</v>
      </c>
      <c r="C416" s="10">
        <v>3</v>
      </c>
      <c r="D416" s="14" t="s">
        <v>738</v>
      </c>
      <c r="E416" s="10" t="s">
        <v>67</v>
      </c>
      <c r="F416" s="24">
        <v>59203</v>
      </c>
    </row>
    <row r="418" spans="7:7" x14ac:dyDescent="0.15">
      <c r="G418">
        <v>1</v>
      </c>
    </row>
  </sheetData>
  <autoFilter ref="A1:F53"/>
  <phoneticPr fontId="4" type="noConversion"/>
  <pageMargins left="0.7" right="0.7" top="0.75" bottom="0.75" header="0.3" footer="0.3"/>
  <pageSetup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F1:Z75"/>
  <sheetViews>
    <sheetView topLeftCell="G42" workbookViewId="0">
      <selection activeCell="Z1" sqref="Z1:Z75"/>
    </sheetView>
  </sheetViews>
  <sheetFormatPr defaultRowHeight="13.5" x14ac:dyDescent="0.15"/>
  <cols>
    <col min="6" max="6" width="8.5" style="7" customWidth="1"/>
    <col min="7" max="9" width="8.5" customWidth="1"/>
    <col min="11" max="14" width="11" customWidth="1"/>
    <col min="21" max="24" width="11.25" customWidth="1"/>
  </cols>
  <sheetData>
    <row r="1" spans="6:26" ht="16.5" x14ac:dyDescent="0.15">
      <c r="F1" s="5">
        <v>34101</v>
      </c>
      <c r="G1">
        <v>34100</v>
      </c>
      <c r="K1" t="s">
        <v>4</v>
      </c>
      <c r="L1" t="s">
        <v>5</v>
      </c>
      <c r="M1" t="s">
        <v>6</v>
      </c>
      <c r="N1" t="s">
        <v>6</v>
      </c>
      <c r="P1" t="s">
        <v>7</v>
      </c>
      <c r="Q1" t="s">
        <v>8</v>
      </c>
      <c r="R1" t="s">
        <v>6</v>
      </c>
      <c r="S1" t="s">
        <v>6</v>
      </c>
      <c r="U1" t="str">
        <f>IF(K1="","",MID(K1,3,LEN(K1)-2)&amp;"|"&amp;LEFT(P1,LEN(P1)-2))</f>
        <v>4|1|2500</v>
      </c>
      <c r="V1" t="str">
        <f t="shared" ref="V1:X1" si="0">IF(L1="","",MID(L1,3,LEN(L1)-2)&amp;"|"&amp;LEFT(Q1,LEN(Q1)-2))</f>
        <v>1|16503|20</v>
      </c>
      <c r="W1" t="str">
        <f t="shared" si="0"/>
        <v/>
      </c>
      <c r="X1" t="str">
        <f t="shared" si="0"/>
        <v/>
      </c>
      <c r="Z1" t="str">
        <f>U1&amp;","&amp;V1&amp;IF(W1="","",","&amp;W1)&amp;IF(X1="","",","&amp;X1)</f>
        <v>4|1|2500,1|16503|20</v>
      </c>
    </row>
    <row r="2" spans="6:26" ht="16.5" x14ac:dyDescent="0.15">
      <c r="F2" s="5">
        <v>34101</v>
      </c>
      <c r="G2">
        <v>34100</v>
      </c>
      <c r="H2">
        <v>34002</v>
      </c>
      <c r="K2" t="s">
        <v>4</v>
      </c>
      <c r="L2" t="s">
        <v>5</v>
      </c>
      <c r="M2" t="s">
        <v>9</v>
      </c>
      <c r="N2" t="s">
        <v>6</v>
      </c>
      <c r="P2" t="s">
        <v>7</v>
      </c>
      <c r="Q2" t="s">
        <v>8</v>
      </c>
      <c r="R2" t="s">
        <v>10</v>
      </c>
      <c r="S2" t="s">
        <v>6</v>
      </c>
      <c r="U2" t="str">
        <f t="shared" ref="U2:U65" si="1">IF(K2="","",MID(K2,3,LEN(K2)-2)&amp;"|"&amp;LEFT(P2,LEN(P2)-2))</f>
        <v>4|1|2500</v>
      </c>
      <c r="V2" t="str">
        <f t="shared" ref="V2:V65" si="2">IF(L2="","",MID(L2,3,LEN(L2)-2)&amp;"|"&amp;LEFT(Q2,LEN(Q2)-2))</f>
        <v>1|16503|20</v>
      </c>
      <c r="W2" t="str">
        <f t="shared" ref="W2:W65" si="3">IF(M2="","",MID(M2,3,LEN(M2)-2)&amp;"|"&amp;LEFT(R2,LEN(R2)-2))</f>
        <v>1|14308|1</v>
      </c>
      <c r="X2" t="str">
        <f t="shared" ref="X2:X65" si="4">IF(N2="","",MID(N2,3,LEN(N2)-2)&amp;"|"&amp;LEFT(S2,LEN(S2)-2))</f>
        <v/>
      </c>
      <c r="Z2" t="str">
        <f t="shared" ref="Z2:Z65" si="5">U2&amp;","&amp;V2&amp;IF(W2="","",","&amp;W2)&amp;IF(X2="","",","&amp;X2)</f>
        <v>4|1|2500,1|16503|20,1|14308|1</v>
      </c>
    </row>
    <row r="3" spans="6:26" ht="16.5" x14ac:dyDescent="0.15">
      <c r="F3" s="5">
        <v>34101</v>
      </c>
      <c r="G3">
        <v>34100</v>
      </c>
      <c r="H3">
        <v>34005</v>
      </c>
      <c r="K3" t="s">
        <v>4</v>
      </c>
      <c r="L3" t="s">
        <v>5</v>
      </c>
      <c r="M3" t="s">
        <v>11</v>
      </c>
      <c r="N3" t="s">
        <v>6</v>
      </c>
      <c r="P3" t="s">
        <v>7</v>
      </c>
      <c r="Q3" t="s">
        <v>8</v>
      </c>
      <c r="R3" t="s">
        <v>10</v>
      </c>
      <c r="S3" t="s">
        <v>6</v>
      </c>
      <c r="U3" t="str">
        <f t="shared" si="1"/>
        <v>4|1|2500</v>
      </c>
      <c r="V3" t="str">
        <f t="shared" si="2"/>
        <v>1|16503|20</v>
      </c>
      <c r="W3" t="str">
        <f t="shared" si="3"/>
        <v>1|14301|1</v>
      </c>
      <c r="X3" t="str">
        <f t="shared" si="4"/>
        <v/>
      </c>
      <c r="Z3" t="str">
        <f t="shared" si="5"/>
        <v>4|1|2500,1|16503|20,1|14301|1</v>
      </c>
    </row>
    <row r="4" spans="6:26" ht="16.5" x14ac:dyDescent="0.15">
      <c r="F4" s="5">
        <v>34101</v>
      </c>
      <c r="G4">
        <v>34100</v>
      </c>
      <c r="H4">
        <v>34002</v>
      </c>
      <c r="I4">
        <v>34005</v>
      </c>
      <c r="K4" t="s">
        <v>4</v>
      </c>
      <c r="L4" t="s">
        <v>5</v>
      </c>
      <c r="M4" t="s">
        <v>9</v>
      </c>
      <c r="N4" t="s">
        <v>11</v>
      </c>
      <c r="P4" t="s">
        <v>7</v>
      </c>
      <c r="Q4" t="s">
        <v>8</v>
      </c>
      <c r="R4" t="s">
        <v>10</v>
      </c>
      <c r="S4" t="s">
        <v>10</v>
      </c>
      <c r="U4" t="str">
        <f t="shared" si="1"/>
        <v>4|1|2500</v>
      </c>
      <c r="V4" t="str">
        <f t="shared" si="2"/>
        <v>1|16503|20</v>
      </c>
      <c r="W4" t="str">
        <f t="shared" si="3"/>
        <v>1|14308|1</v>
      </c>
      <c r="X4" t="str">
        <f t="shared" si="4"/>
        <v>1|14301|1</v>
      </c>
      <c r="Z4" t="str">
        <f t="shared" si="5"/>
        <v>4|1|2500,1|16503|20,1|14308|1,1|14301|1</v>
      </c>
    </row>
    <row r="5" spans="6:26" ht="16.5" x14ac:dyDescent="0.15">
      <c r="F5" s="5">
        <v>34102</v>
      </c>
      <c r="G5">
        <v>34100</v>
      </c>
      <c r="K5" t="s">
        <v>4</v>
      </c>
      <c r="L5" t="s">
        <v>5</v>
      </c>
      <c r="M5" t="s">
        <v>6</v>
      </c>
      <c r="N5" t="s">
        <v>6</v>
      </c>
      <c r="P5" t="s">
        <v>12</v>
      </c>
      <c r="Q5" t="s">
        <v>8</v>
      </c>
      <c r="R5" t="s">
        <v>6</v>
      </c>
      <c r="S5" t="s">
        <v>6</v>
      </c>
      <c r="U5" t="str">
        <f t="shared" si="1"/>
        <v>4|1|5000</v>
      </c>
      <c r="V5" t="str">
        <f t="shared" si="2"/>
        <v>1|16503|20</v>
      </c>
      <c r="W5" t="str">
        <f t="shared" si="3"/>
        <v/>
      </c>
      <c r="X5" t="str">
        <f t="shared" si="4"/>
        <v/>
      </c>
      <c r="Z5" t="str">
        <f t="shared" si="5"/>
        <v>4|1|5000,1|16503|20</v>
      </c>
    </row>
    <row r="6" spans="6:26" ht="16.5" x14ac:dyDescent="0.15">
      <c r="F6" s="5">
        <v>34102</v>
      </c>
      <c r="G6">
        <v>34100</v>
      </c>
      <c r="H6">
        <v>34002</v>
      </c>
      <c r="K6" t="s">
        <v>4</v>
      </c>
      <c r="L6" t="s">
        <v>5</v>
      </c>
      <c r="M6" t="s">
        <v>9</v>
      </c>
      <c r="N6" t="s">
        <v>6</v>
      </c>
      <c r="P6" t="s">
        <v>12</v>
      </c>
      <c r="Q6" t="s">
        <v>8</v>
      </c>
      <c r="R6" t="s">
        <v>10</v>
      </c>
      <c r="S6" t="s">
        <v>6</v>
      </c>
      <c r="U6" t="str">
        <f t="shared" si="1"/>
        <v>4|1|5000</v>
      </c>
      <c r="V6" t="str">
        <f t="shared" si="2"/>
        <v>1|16503|20</v>
      </c>
      <c r="W6" t="str">
        <f t="shared" si="3"/>
        <v>1|14308|1</v>
      </c>
      <c r="X6" t="str">
        <f t="shared" si="4"/>
        <v/>
      </c>
      <c r="Z6" t="str">
        <f t="shared" si="5"/>
        <v>4|1|5000,1|16503|20,1|14308|1</v>
      </c>
    </row>
    <row r="7" spans="6:26" ht="16.5" x14ac:dyDescent="0.15">
      <c r="F7" s="5">
        <v>34102</v>
      </c>
      <c r="G7">
        <v>34100</v>
      </c>
      <c r="H7">
        <v>34005</v>
      </c>
      <c r="K7" t="s">
        <v>4</v>
      </c>
      <c r="L7" t="s">
        <v>5</v>
      </c>
      <c r="M7" t="s">
        <v>11</v>
      </c>
      <c r="N7" t="s">
        <v>6</v>
      </c>
      <c r="P7" t="s">
        <v>12</v>
      </c>
      <c r="Q7" t="s">
        <v>8</v>
      </c>
      <c r="R7" t="s">
        <v>10</v>
      </c>
      <c r="S7" t="s">
        <v>6</v>
      </c>
      <c r="U7" t="str">
        <f t="shared" si="1"/>
        <v>4|1|5000</v>
      </c>
      <c r="V7" t="str">
        <f t="shared" si="2"/>
        <v>1|16503|20</v>
      </c>
      <c r="W7" t="str">
        <f t="shared" si="3"/>
        <v>1|14301|1</v>
      </c>
      <c r="X7" t="str">
        <f t="shared" si="4"/>
        <v/>
      </c>
      <c r="Z7" t="str">
        <f t="shared" si="5"/>
        <v>4|1|5000,1|16503|20,1|14301|1</v>
      </c>
    </row>
    <row r="8" spans="6:26" ht="16.5" x14ac:dyDescent="0.15">
      <c r="F8" s="5">
        <v>34102</v>
      </c>
      <c r="G8">
        <v>34100</v>
      </c>
      <c r="H8">
        <v>34002</v>
      </c>
      <c r="I8">
        <v>34005</v>
      </c>
      <c r="K8" t="s">
        <v>4</v>
      </c>
      <c r="L8" t="s">
        <v>5</v>
      </c>
      <c r="M8" t="s">
        <v>9</v>
      </c>
      <c r="N8" t="s">
        <v>11</v>
      </c>
      <c r="P8" t="s">
        <v>12</v>
      </c>
      <c r="Q8" t="s">
        <v>8</v>
      </c>
      <c r="R8" t="s">
        <v>10</v>
      </c>
      <c r="S8" t="s">
        <v>10</v>
      </c>
      <c r="U8" t="str">
        <f t="shared" si="1"/>
        <v>4|1|5000</v>
      </c>
      <c r="V8" t="str">
        <f t="shared" si="2"/>
        <v>1|16503|20</v>
      </c>
      <c r="W8" t="str">
        <f t="shared" si="3"/>
        <v>1|14308|1</v>
      </c>
      <c r="X8" t="str">
        <f t="shared" si="4"/>
        <v>1|14301|1</v>
      </c>
      <c r="Z8" t="str">
        <f t="shared" si="5"/>
        <v>4|1|5000,1|16503|20,1|14308|1,1|14301|1</v>
      </c>
    </row>
    <row r="9" spans="6:26" ht="16.5" x14ac:dyDescent="0.15">
      <c r="F9" s="5">
        <v>34103</v>
      </c>
      <c r="G9">
        <v>34100</v>
      </c>
      <c r="K9" t="s">
        <v>4</v>
      </c>
      <c r="L9" t="s">
        <v>5</v>
      </c>
      <c r="M9" t="s">
        <v>6</v>
      </c>
      <c r="N9" t="s">
        <v>6</v>
      </c>
      <c r="P9" t="s">
        <v>13</v>
      </c>
      <c r="Q9" t="s">
        <v>8</v>
      </c>
      <c r="R9" t="s">
        <v>6</v>
      </c>
      <c r="S9" t="s">
        <v>6</v>
      </c>
      <c r="U9" t="str">
        <f t="shared" si="1"/>
        <v>4|1|7500</v>
      </c>
      <c r="V9" t="str">
        <f t="shared" si="2"/>
        <v>1|16503|20</v>
      </c>
      <c r="W9" t="str">
        <f t="shared" si="3"/>
        <v/>
      </c>
      <c r="X9" t="str">
        <f t="shared" si="4"/>
        <v/>
      </c>
      <c r="Z9" t="str">
        <f t="shared" si="5"/>
        <v>4|1|7500,1|16503|20</v>
      </c>
    </row>
    <row r="10" spans="6:26" ht="16.5" x14ac:dyDescent="0.15">
      <c r="F10" s="5">
        <v>34103</v>
      </c>
      <c r="G10">
        <v>34100</v>
      </c>
      <c r="H10">
        <v>34002</v>
      </c>
      <c r="K10" t="s">
        <v>4</v>
      </c>
      <c r="L10" t="s">
        <v>5</v>
      </c>
      <c r="M10" t="s">
        <v>9</v>
      </c>
      <c r="N10" t="s">
        <v>6</v>
      </c>
      <c r="P10" t="s">
        <v>13</v>
      </c>
      <c r="Q10" t="s">
        <v>8</v>
      </c>
      <c r="R10" t="s">
        <v>10</v>
      </c>
      <c r="S10" t="s">
        <v>6</v>
      </c>
      <c r="U10" t="str">
        <f t="shared" si="1"/>
        <v>4|1|7500</v>
      </c>
      <c r="V10" t="str">
        <f t="shared" si="2"/>
        <v>1|16503|20</v>
      </c>
      <c r="W10" t="str">
        <f t="shared" si="3"/>
        <v>1|14308|1</v>
      </c>
      <c r="X10" t="str">
        <f t="shared" si="4"/>
        <v/>
      </c>
      <c r="Z10" t="str">
        <f t="shared" si="5"/>
        <v>4|1|7500,1|16503|20,1|14308|1</v>
      </c>
    </row>
    <row r="11" spans="6:26" ht="16.5" x14ac:dyDescent="0.15">
      <c r="F11" s="5">
        <v>34103</v>
      </c>
      <c r="G11">
        <v>34100</v>
      </c>
      <c r="H11">
        <v>34005</v>
      </c>
      <c r="K11" t="s">
        <v>4</v>
      </c>
      <c r="L11" t="s">
        <v>5</v>
      </c>
      <c r="M11" t="s">
        <v>11</v>
      </c>
      <c r="N11" t="s">
        <v>6</v>
      </c>
      <c r="P11" t="s">
        <v>13</v>
      </c>
      <c r="Q11" t="s">
        <v>8</v>
      </c>
      <c r="R11" t="s">
        <v>10</v>
      </c>
      <c r="S11" t="s">
        <v>6</v>
      </c>
      <c r="U11" t="str">
        <f t="shared" si="1"/>
        <v>4|1|7500</v>
      </c>
      <c r="V11" t="str">
        <f t="shared" si="2"/>
        <v>1|16503|20</v>
      </c>
      <c r="W11" t="str">
        <f t="shared" si="3"/>
        <v>1|14301|1</v>
      </c>
      <c r="X11" t="str">
        <f t="shared" si="4"/>
        <v/>
      </c>
      <c r="Z11" t="str">
        <f t="shared" si="5"/>
        <v>4|1|7500,1|16503|20,1|14301|1</v>
      </c>
    </row>
    <row r="12" spans="6:26" ht="16.5" x14ac:dyDescent="0.15">
      <c r="F12" s="5">
        <v>34103</v>
      </c>
      <c r="G12">
        <v>34100</v>
      </c>
      <c r="H12">
        <v>34003</v>
      </c>
      <c r="I12">
        <v>34005</v>
      </c>
      <c r="K12" t="s">
        <v>4</v>
      </c>
      <c r="L12" t="s">
        <v>5</v>
      </c>
      <c r="M12" t="s">
        <v>14</v>
      </c>
      <c r="N12" t="s">
        <v>11</v>
      </c>
      <c r="P12" t="s">
        <v>13</v>
      </c>
      <c r="Q12" t="s">
        <v>8</v>
      </c>
      <c r="R12" t="s">
        <v>10</v>
      </c>
      <c r="S12" t="s">
        <v>10</v>
      </c>
      <c r="U12" t="str">
        <f t="shared" si="1"/>
        <v>4|1|7500</v>
      </c>
      <c r="V12" t="str">
        <f t="shared" si="2"/>
        <v>1|16503|20</v>
      </c>
      <c r="W12" t="str">
        <f t="shared" si="3"/>
        <v>1|14309|1</v>
      </c>
      <c r="X12" t="str">
        <f t="shared" si="4"/>
        <v>1|14301|1</v>
      </c>
      <c r="Z12" t="str">
        <f t="shared" si="5"/>
        <v>4|1|7500,1|16503|20,1|14309|1,1|14301|1</v>
      </c>
    </row>
    <row r="13" spans="6:26" ht="16.5" x14ac:dyDescent="0.15">
      <c r="F13" s="5">
        <v>34104</v>
      </c>
      <c r="G13">
        <v>34100</v>
      </c>
      <c r="K13" t="s">
        <v>4</v>
      </c>
      <c r="L13" t="s">
        <v>5</v>
      </c>
      <c r="M13" t="s">
        <v>6</v>
      </c>
      <c r="N13" t="s">
        <v>6</v>
      </c>
      <c r="P13" t="s">
        <v>15</v>
      </c>
      <c r="Q13" t="s">
        <v>8</v>
      </c>
      <c r="R13" t="s">
        <v>6</v>
      </c>
      <c r="S13" t="s">
        <v>6</v>
      </c>
      <c r="U13" t="str">
        <f t="shared" si="1"/>
        <v>4|1|10000</v>
      </c>
      <c r="V13" t="str">
        <f t="shared" si="2"/>
        <v>1|16503|20</v>
      </c>
      <c r="W13" t="str">
        <f t="shared" si="3"/>
        <v/>
      </c>
      <c r="X13" t="str">
        <f t="shared" si="4"/>
        <v/>
      </c>
      <c r="Z13" t="str">
        <f t="shared" si="5"/>
        <v>4|1|10000,1|16503|20</v>
      </c>
    </row>
    <row r="14" spans="6:26" ht="16.5" x14ac:dyDescent="0.15">
      <c r="F14" s="5">
        <v>34104</v>
      </c>
      <c r="G14">
        <v>34100</v>
      </c>
      <c r="H14">
        <v>34002</v>
      </c>
      <c r="K14" t="s">
        <v>4</v>
      </c>
      <c r="L14" t="s">
        <v>5</v>
      </c>
      <c r="M14" t="s">
        <v>9</v>
      </c>
      <c r="N14" t="s">
        <v>6</v>
      </c>
      <c r="P14" t="s">
        <v>15</v>
      </c>
      <c r="Q14" t="s">
        <v>8</v>
      </c>
      <c r="R14" t="s">
        <v>10</v>
      </c>
      <c r="S14" t="s">
        <v>6</v>
      </c>
      <c r="U14" t="str">
        <f t="shared" si="1"/>
        <v>4|1|10000</v>
      </c>
      <c r="V14" t="str">
        <f t="shared" si="2"/>
        <v>1|16503|20</v>
      </c>
      <c r="W14" t="str">
        <f t="shared" si="3"/>
        <v>1|14308|1</v>
      </c>
      <c r="X14" t="str">
        <f t="shared" si="4"/>
        <v/>
      </c>
      <c r="Z14" t="str">
        <f t="shared" si="5"/>
        <v>4|1|10000,1|16503|20,1|14308|1</v>
      </c>
    </row>
    <row r="15" spans="6:26" ht="16.5" x14ac:dyDescent="0.15">
      <c r="F15" s="5">
        <v>34104</v>
      </c>
      <c r="G15">
        <v>34100</v>
      </c>
      <c r="H15">
        <v>34005</v>
      </c>
      <c r="K15" t="s">
        <v>4</v>
      </c>
      <c r="L15" t="s">
        <v>5</v>
      </c>
      <c r="M15" t="s">
        <v>11</v>
      </c>
      <c r="N15" t="s">
        <v>6</v>
      </c>
      <c r="P15" t="s">
        <v>15</v>
      </c>
      <c r="Q15" t="s">
        <v>8</v>
      </c>
      <c r="R15" t="s">
        <v>10</v>
      </c>
      <c r="S15" t="s">
        <v>6</v>
      </c>
      <c r="U15" t="str">
        <f t="shared" si="1"/>
        <v>4|1|10000</v>
      </c>
      <c r="V15" t="str">
        <f t="shared" si="2"/>
        <v>1|16503|20</v>
      </c>
      <c r="W15" t="str">
        <f t="shared" si="3"/>
        <v>1|14301|1</v>
      </c>
      <c r="X15" t="str">
        <f t="shared" si="4"/>
        <v/>
      </c>
      <c r="Z15" t="str">
        <f t="shared" si="5"/>
        <v>4|1|10000,1|16503|20,1|14301|1</v>
      </c>
    </row>
    <row r="16" spans="6:26" ht="16.5" x14ac:dyDescent="0.15">
      <c r="F16" s="5">
        <v>34104</v>
      </c>
      <c r="G16">
        <v>34100</v>
      </c>
      <c r="H16">
        <v>34003</v>
      </c>
      <c r="I16">
        <v>34005</v>
      </c>
      <c r="K16" t="s">
        <v>4</v>
      </c>
      <c r="L16" t="s">
        <v>5</v>
      </c>
      <c r="M16" t="s">
        <v>14</v>
      </c>
      <c r="N16" t="s">
        <v>11</v>
      </c>
      <c r="P16" t="s">
        <v>15</v>
      </c>
      <c r="Q16" t="s">
        <v>8</v>
      </c>
      <c r="R16" t="s">
        <v>10</v>
      </c>
      <c r="S16" t="s">
        <v>10</v>
      </c>
      <c r="U16" t="str">
        <f t="shared" si="1"/>
        <v>4|1|10000</v>
      </c>
      <c r="V16" t="str">
        <f t="shared" si="2"/>
        <v>1|16503|20</v>
      </c>
      <c r="W16" t="str">
        <f t="shared" si="3"/>
        <v>1|14309|1</v>
      </c>
      <c r="X16" t="str">
        <f t="shared" si="4"/>
        <v>1|14301|1</v>
      </c>
      <c r="Z16" t="str">
        <f t="shared" si="5"/>
        <v>4|1|10000,1|16503|20,1|14309|1,1|14301|1</v>
      </c>
    </row>
    <row r="17" spans="6:26" ht="16.5" x14ac:dyDescent="0.15">
      <c r="F17" s="5">
        <v>34105</v>
      </c>
      <c r="G17">
        <v>34100</v>
      </c>
      <c r="K17" t="s">
        <v>4</v>
      </c>
      <c r="L17" t="s">
        <v>5</v>
      </c>
      <c r="M17" t="s">
        <v>6</v>
      </c>
      <c r="N17" t="s">
        <v>6</v>
      </c>
      <c r="P17" t="s">
        <v>16</v>
      </c>
      <c r="Q17" t="s">
        <v>8</v>
      </c>
      <c r="R17" t="s">
        <v>6</v>
      </c>
      <c r="S17" t="s">
        <v>6</v>
      </c>
      <c r="U17" t="str">
        <f t="shared" si="1"/>
        <v>4|1|12500</v>
      </c>
      <c r="V17" t="str">
        <f t="shared" si="2"/>
        <v>1|16503|20</v>
      </c>
      <c r="W17" t="str">
        <f t="shared" si="3"/>
        <v/>
      </c>
      <c r="X17" t="str">
        <f t="shared" si="4"/>
        <v/>
      </c>
      <c r="Z17" t="str">
        <f t="shared" si="5"/>
        <v>4|1|12500,1|16503|20</v>
      </c>
    </row>
    <row r="18" spans="6:26" ht="16.5" x14ac:dyDescent="0.15">
      <c r="F18" s="5">
        <v>34105</v>
      </c>
      <c r="G18">
        <v>34100</v>
      </c>
      <c r="H18">
        <v>34003</v>
      </c>
      <c r="K18" t="s">
        <v>4</v>
      </c>
      <c r="L18" t="s">
        <v>5</v>
      </c>
      <c r="M18" t="s">
        <v>14</v>
      </c>
      <c r="N18" t="s">
        <v>6</v>
      </c>
      <c r="P18" t="s">
        <v>16</v>
      </c>
      <c r="Q18" t="s">
        <v>8</v>
      </c>
      <c r="R18" t="s">
        <v>10</v>
      </c>
      <c r="S18" t="s">
        <v>6</v>
      </c>
      <c r="U18" t="str">
        <f t="shared" si="1"/>
        <v>4|1|12500</v>
      </c>
      <c r="V18" t="str">
        <f t="shared" si="2"/>
        <v>1|16503|20</v>
      </c>
      <c r="W18" t="str">
        <f t="shared" si="3"/>
        <v>1|14309|1</v>
      </c>
      <c r="X18" t="str">
        <f t="shared" si="4"/>
        <v/>
      </c>
      <c r="Z18" t="str">
        <f t="shared" si="5"/>
        <v>4|1|12500,1|16503|20,1|14309|1</v>
      </c>
    </row>
    <row r="19" spans="6:26" ht="16.5" x14ac:dyDescent="0.15">
      <c r="F19" s="5">
        <v>34105</v>
      </c>
      <c r="G19">
        <v>34100</v>
      </c>
      <c r="H19">
        <v>34006</v>
      </c>
      <c r="K19" t="s">
        <v>4</v>
      </c>
      <c r="L19" t="s">
        <v>5</v>
      </c>
      <c r="M19" t="s">
        <v>17</v>
      </c>
      <c r="N19" t="s">
        <v>6</v>
      </c>
      <c r="P19" t="s">
        <v>16</v>
      </c>
      <c r="Q19" t="s">
        <v>8</v>
      </c>
      <c r="R19" t="s">
        <v>10</v>
      </c>
      <c r="S19" t="s">
        <v>6</v>
      </c>
      <c r="U19" t="str">
        <f t="shared" si="1"/>
        <v>4|1|12500</v>
      </c>
      <c r="V19" t="str">
        <f t="shared" si="2"/>
        <v>1|16503|20</v>
      </c>
      <c r="W19" t="str">
        <f t="shared" si="3"/>
        <v>1|14302|1</v>
      </c>
      <c r="X19" t="str">
        <f t="shared" si="4"/>
        <v/>
      </c>
      <c r="Z19" t="str">
        <f t="shared" si="5"/>
        <v>4|1|12500,1|16503|20,1|14302|1</v>
      </c>
    </row>
    <row r="20" spans="6:26" ht="16.5" x14ac:dyDescent="0.15">
      <c r="F20" s="5">
        <v>34105</v>
      </c>
      <c r="G20">
        <v>34100</v>
      </c>
      <c r="H20">
        <v>34003</v>
      </c>
      <c r="I20">
        <v>34006</v>
      </c>
      <c r="K20" t="s">
        <v>4</v>
      </c>
      <c r="L20" t="s">
        <v>5</v>
      </c>
      <c r="M20" t="s">
        <v>14</v>
      </c>
      <c r="N20" t="s">
        <v>17</v>
      </c>
      <c r="P20" t="s">
        <v>16</v>
      </c>
      <c r="Q20" t="s">
        <v>8</v>
      </c>
      <c r="R20" t="s">
        <v>10</v>
      </c>
      <c r="S20" t="s">
        <v>10</v>
      </c>
      <c r="U20" t="str">
        <f t="shared" si="1"/>
        <v>4|1|12500</v>
      </c>
      <c r="V20" t="str">
        <f t="shared" si="2"/>
        <v>1|16503|20</v>
      </c>
      <c r="W20" t="str">
        <f t="shared" si="3"/>
        <v>1|14309|1</v>
      </c>
      <c r="X20" t="str">
        <f t="shared" si="4"/>
        <v>1|14302|1</v>
      </c>
      <c r="Z20" t="str">
        <f t="shared" si="5"/>
        <v>4|1|12500,1|16503|20,1|14309|1,1|14302|1</v>
      </c>
    </row>
    <row r="21" spans="6:26" ht="16.5" x14ac:dyDescent="0.15">
      <c r="F21" s="5">
        <v>34106</v>
      </c>
      <c r="G21">
        <v>34100</v>
      </c>
      <c r="K21" t="s">
        <v>4</v>
      </c>
      <c r="L21" t="s">
        <v>5</v>
      </c>
      <c r="M21" t="s">
        <v>6</v>
      </c>
      <c r="N21" t="s">
        <v>6</v>
      </c>
      <c r="P21" t="s">
        <v>18</v>
      </c>
      <c r="Q21" t="s">
        <v>8</v>
      </c>
      <c r="R21" t="s">
        <v>6</v>
      </c>
      <c r="S21" t="s">
        <v>6</v>
      </c>
      <c r="U21" t="str">
        <f t="shared" si="1"/>
        <v>4|1|15000</v>
      </c>
      <c r="V21" t="str">
        <f t="shared" si="2"/>
        <v>1|16503|20</v>
      </c>
      <c r="W21" t="str">
        <f t="shared" si="3"/>
        <v/>
      </c>
      <c r="X21" t="str">
        <f t="shared" si="4"/>
        <v/>
      </c>
      <c r="Z21" t="str">
        <f t="shared" si="5"/>
        <v>4|1|15000,1|16503|20</v>
      </c>
    </row>
    <row r="22" spans="6:26" ht="16.5" x14ac:dyDescent="0.15">
      <c r="F22" s="5">
        <v>34106</v>
      </c>
      <c r="G22">
        <v>34100</v>
      </c>
      <c r="H22">
        <v>34003</v>
      </c>
      <c r="K22" t="s">
        <v>4</v>
      </c>
      <c r="L22" t="s">
        <v>5</v>
      </c>
      <c r="M22" t="s">
        <v>14</v>
      </c>
      <c r="N22" t="s">
        <v>6</v>
      </c>
      <c r="P22" t="s">
        <v>18</v>
      </c>
      <c r="Q22" t="s">
        <v>8</v>
      </c>
      <c r="R22" t="s">
        <v>10</v>
      </c>
      <c r="S22" t="s">
        <v>6</v>
      </c>
      <c r="U22" t="str">
        <f t="shared" si="1"/>
        <v>4|1|15000</v>
      </c>
      <c r="V22" t="str">
        <f t="shared" si="2"/>
        <v>1|16503|20</v>
      </c>
      <c r="W22" t="str">
        <f t="shared" si="3"/>
        <v>1|14309|1</v>
      </c>
      <c r="X22" t="str">
        <f t="shared" si="4"/>
        <v/>
      </c>
      <c r="Z22" t="str">
        <f t="shared" si="5"/>
        <v>4|1|15000,1|16503|20,1|14309|1</v>
      </c>
    </row>
    <row r="23" spans="6:26" ht="16.5" x14ac:dyDescent="0.15">
      <c r="F23" s="5">
        <v>34106</v>
      </c>
      <c r="G23">
        <v>34100</v>
      </c>
      <c r="H23">
        <v>34006</v>
      </c>
      <c r="K23" t="s">
        <v>4</v>
      </c>
      <c r="L23" t="s">
        <v>5</v>
      </c>
      <c r="M23" t="s">
        <v>17</v>
      </c>
      <c r="N23" t="s">
        <v>6</v>
      </c>
      <c r="P23" t="s">
        <v>18</v>
      </c>
      <c r="Q23" t="s">
        <v>8</v>
      </c>
      <c r="R23" t="s">
        <v>10</v>
      </c>
      <c r="S23" t="s">
        <v>6</v>
      </c>
      <c r="U23" t="str">
        <f t="shared" si="1"/>
        <v>4|1|15000</v>
      </c>
      <c r="V23" t="str">
        <f t="shared" si="2"/>
        <v>1|16503|20</v>
      </c>
      <c r="W23" t="str">
        <f t="shared" si="3"/>
        <v>1|14302|1</v>
      </c>
      <c r="X23" t="str">
        <f t="shared" si="4"/>
        <v/>
      </c>
      <c r="Z23" t="str">
        <f t="shared" si="5"/>
        <v>4|1|15000,1|16503|20,1|14302|1</v>
      </c>
    </row>
    <row r="24" spans="6:26" ht="16.5" x14ac:dyDescent="0.15">
      <c r="F24" s="5">
        <v>34106</v>
      </c>
      <c r="G24">
        <v>34100</v>
      </c>
      <c r="H24">
        <v>34003</v>
      </c>
      <c r="I24">
        <v>34006</v>
      </c>
      <c r="K24" t="s">
        <v>4</v>
      </c>
      <c r="L24" t="s">
        <v>5</v>
      </c>
      <c r="M24" t="s">
        <v>14</v>
      </c>
      <c r="N24" t="s">
        <v>17</v>
      </c>
      <c r="P24" t="s">
        <v>18</v>
      </c>
      <c r="Q24" t="s">
        <v>8</v>
      </c>
      <c r="R24" t="s">
        <v>10</v>
      </c>
      <c r="S24" t="s">
        <v>10</v>
      </c>
      <c r="U24" t="str">
        <f t="shared" si="1"/>
        <v>4|1|15000</v>
      </c>
      <c r="V24" t="str">
        <f t="shared" si="2"/>
        <v>1|16503|20</v>
      </c>
      <c r="W24" t="str">
        <f t="shared" si="3"/>
        <v>1|14309|1</v>
      </c>
      <c r="X24" t="str">
        <f t="shared" si="4"/>
        <v>1|14302|1</v>
      </c>
      <c r="Z24" t="str">
        <f t="shared" si="5"/>
        <v>4|1|15000,1|16503|20,1|14309|1,1|14302|1</v>
      </c>
    </row>
    <row r="25" spans="6:26" ht="16.5" x14ac:dyDescent="0.15">
      <c r="F25" s="5">
        <v>34107</v>
      </c>
      <c r="G25">
        <v>34100</v>
      </c>
      <c r="K25" t="s">
        <v>4</v>
      </c>
      <c r="L25" t="s">
        <v>5</v>
      </c>
      <c r="M25" t="s">
        <v>6</v>
      </c>
      <c r="N25" t="s">
        <v>6</v>
      </c>
      <c r="P25" t="s">
        <v>19</v>
      </c>
      <c r="Q25" t="s">
        <v>8</v>
      </c>
      <c r="R25" t="s">
        <v>6</v>
      </c>
      <c r="S25" t="s">
        <v>6</v>
      </c>
      <c r="U25" t="str">
        <f t="shared" si="1"/>
        <v>4|1|17500</v>
      </c>
      <c r="V25" t="str">
        <f t="shared" si="2"/>
        <v>1|16503|20</v>
      </c>
      <c r="W25" t="str">
        <f t="shared" si="3"/>
        <v/>
      </c>
      <c r="X25" t="str">
        <f t="shared" si="4"/>
        <v/>
      </c>
      <c r="Z25" t="str">
        <f t="shared" si="5"/>
        <v>4|1|17500,1|16503|20</v>
      </c>
    </row>
    <row r="26" spans="6:26" ht="16.5" x14ac:dyDescent="0.15">
      <c r="F26" s="5">
        <v>34107</v>
      </c>
      <c r="G26">
        <v>34100</v>
      </c>
      <c r="H26">
        <v>34003</v>
      </c>
      <c r="K26" t="s">
        <v>4</v>
      </c>
      <c r="L26" t="s">
        <v>5</v>
      </c>
      <c r="M26" t="s">
        <v>14</v>
      </c>
      <c r="N26" t="s">
        <v>6</v>
      </c>
      <c r="P26" t="s">
        <v>19</v>
      </c>
      <c r="Q26" t="s">
        <v>8</v>
      </c>
      <c r="R26" t="s">
        <v>10</v>
      </c>
      <c r="S26" t="s">
        <v>6</v>
      </c>
      <c r="U26" t="str">
        <f t="shared" si="1"/>
        <v>4|1|17500</v>
      </c>
      <c r="V26" t="str">
        <f t="shared" si="2"/>
        <v>1|16503|20</v>
      </c>
      <c r="W26" t="str">
        <f t="shared" si="3"/>
        <v>1|14309|1</v>
      </c>
      <c r="X26" t="str">
        <f t="shared" si="4"/>
        <v/>
      </c>
      <c r="Z26" t="str">
        <f t="shared" si="5"/>
        <v>4|1|17500,1|16503|20,1|14309|1</v>
      </c>
    </row>
    <row r="27" spans="6:26" ht="16.5" x14ac:dyDescent="0.15">
      <c r="F27" s="5">
        <v>34107</v>
      </c>
      <c r="G27">
        <v>34100</v>
      </c>
      <c r="H27">
        <v>34006</v>
      </c>
      <c r="K27" t="s">
        <v>4</v>
      </c>
      <c r="L27" t="s">
        <v>5</v>
      </c>
      <c r="M27" t="s">
        <v>17</v>
      </c>
      <c r="N27" t="s">
        <v>6</v>
      </c>
      <c r="P27" t="s">
        <v>19</v>
      </c>
      <c r="Q27" t="s">
        <v>8</v>
      </c>
      <c r="R27" t="s">
        <v>10</v>
      </c>
      <c r="S27" t="s">
        <v>6</v>
      </c>
      <c r="U27" t="str">
        <f t="shared" si="1"/>
        <v>4|1|17500</v>
      </c>
      <c r="V27" t="str">
        <f t="shared" si="2"/>
        <v>1|16503|20</v>
      </c>
      <c r="W27" t="str">
        <f t="shared" si="3"/>
        <v>1|14302|1</v>
      </c>
      <c r="X27" t="str">
        <f t="shared" si="4"/>
        <v/>
      </c>
      <c r="Z27" t="str">
        <f t="shared" si="5"/>
        <v>4|1|17500,1|16503|20,1|14302|1</v>
      </c>
    </row>
    <row r="28" spans="6:26" ht="16.5" x14ac:dyDescent="0.15">
      <c r="F28" s="5">
        <v>34107</v>
      </c>
      <c r="G28">
        <v>34100</v>
      </c>
      <c r="H28">
        <v>34003</v>
      </c>
      <c r="I28">
        <v>34006</v>
      </c>
      <c r="K28" t="s">
        <v>4</v>
      </c>
      <c r="L28" t="s">
        <v>5</v>
      </c>
      <c r="M28" t="s">
        <v>14</v>
      </c>
      <c r="N28" t="s">
        <v>17</v>
      </c>
      <c r="P28" t="s">
        <v>19</v>
      </c>
      <c r="Q28" t="s">
        <v>8</v>
      </c>
      <c r="R28" t="s">
        <v>10</v>
      </c>
      <c r="S28" t="s">
        <v>10</v>
      </c>
      <c r="U28" t="str">
        <f t="shared" si="1"/>
        <v>4|1|17500</v>
      </c>
      <c r="V28" t="str">
        <f t="shared" si="2"/>
        <v>1|16503|20</v>
      </c>
      <c r="W28" t="str">
        <f t="shared" si="3"/>
        <v>1|14309|1</v>
      </c>
      <c r="X28" t="str">
        <f t="shared" si="4"/>
        <v>1|14302|1</v>
      </c>
      <c r="Z28" t="str">
        <f t="shared" si="5"/>
        <v>4|1|17500,1|16503|20,1|14309|1,1|14302|1</v>
      </c>
    </row>
    <row r="29" spans="6:26" ht="16.5" x14ac:dyDescent="0.15">
      <c r="F29" s="5">
        <v>34108</v>
      </c>
      <c r="G29">
        <v>34100</v>
      </c>
      <c r="K29" t="s">
        <v>4</v>
      </c>
      <c r="L29" t="s">
        <v>5</v>
      </c>
      <c r="M29" t="s">
        <v>6</v>
      </c>
      <c r="N29" t="s">
        <v>6</v>
      </c>
      <c r="P29" t="s">
        <v>20</v>
      </c>
      <c r="Q29" t="s">
        <v>8</v>
      </c>
      <c r="R29" t="s">
        <v>6</v>
      </c>
      <c r="S29" t="s">
        <v>6</v>
      </c>
      <c r="U29" t="str">
        <f t="shared" si="1"/>
        <v>4|1|20000</v>
      </c>
      <c r="V29" t="str">
        <f t="shared" si="2"/>
        <v>1|16503|20</v>
      </c>
      <c r="W29" t="str">
        <f t="shared" si="3"/>
        <v/>
      </c>
      <c r="X29" t="str">
        <f t="shared" si="4"/>
        <v/>
      </c>
      <c r="Z29" t="str">
        <f t="shared" si="5"/>
        <v>4|1|20000,1|16503|20</v>
      </c>
    </row>
    <row r="30" spans="6:26" ht="16.5" x14ac:dyDescent="0.15">
      <c r="F30" s="5">
        <v>34108</v>
      </c>
      <c r="G30">
        <v>34100</v>
      </c>
      <c r="H30">
        <v>34003</v>
      </c>
      <c r="K30" t="s">
        <v>4</v>
      </c>
      <c r="L30" t="s">
        <v>5</v>
      </c>
      <c r="M30" t="s">
        <v>14</v>
      </c>
      <c r="N30" t="s">
        <v>6</v>
      </c>
      <c r="P30" t="s">
        <v>20</v>
      </c>
      <c r="Q30" t="s">
        <v>8</v>
      </c>
      <c r="R30" t="s">
        <v>10</v>
      </c>
      <c r="S30" t="s">
        <v>6</v>
      </c>
      <c r="U30" t="str">
        <f t="shared" si="1"/>
        <v>4|1|20000</v>
      </c>
      <c r="V30" t="str">
        <f t="shared" si="2"/>
        <v>1|16503|20</v>
      </c>
      <c r="W30" t="str">
        <f t="shared" si="3"/>
        <v>1|14309|1</v>
      </c>
      <c r="X30" t="str">
        <f t="shared" si="4"/>
        <v/>
      </c>
      <c r="Z30" t="str">
        <f t="shared" si="5"/>
        <v>4|1|20000,1|16503|20,1|14309|1</v>
      </c>
    </row>
    <row r="31" spans="6:26" ht="16.5" x14ac:dyDescent="0.15">
      <c r="F31" s="5">
        <v>34108</v>
      </c>
      <c r="G31">
        <v>34100</v>
      </c>
      <c r="H31">
        <v>34006</v>
      </c>
      <c r="K31" t="s">
        <v>4</v>
      </c>
      <c r="L31" t="s">
        <v>5</v>
      </c>
      <c r="M31" t="s">
        <v>17</v>
      </c>
      <c r="N31" t="s">
        <v>6</v>
      </c>
      <c r="P31" t="s">
        <v>20</v>
      </c>
      <c r="Q31" t="s">
        <v>8</v>
      </c>
      <c r="R31" t="s">
        <v>10</v>
      </c>
      <c r="S31" t="s">
        <v>6</v>
      </c>
      <c r="U31" t="str">
        <f t="shared" si="1"/>
        <v>4|1|20000</v>
      </c>
      <c r="V31" t="str">
        <f t="shared" si="2"/>
        <v>1|16503|20</v>
      </c>
      <c r="W31" t="str">
        <f t="shared" si="3"/>
        <v>1|14302|1</v>
      </c>
      <c r="X31" t="str">
        <f t="shared" si="4"/>
        <v/>
      </c>
      <c r="Z31" t="str">
        <f t="shared" si="5"/>
        <v>4|1|20000,1|16503|20,1|14302|1</v>
      </c>
    </row>
    <row r="32" spans="6:26" ht="16.5" x14ac:dyDescent="0.15">
      <c r="F32" s="5">
        <v>34108</v>
      </c>
      <c r="G32">
        <v>34100</v>
      </c>
      <c r="H32">
        <v>34003</v>
      </c>
      <c r="I32">
        <v>34006</v>
      </c>
      <c r="K32" t="s">
        <v>4</v>
      </c>
      <c r="L32" t="s">
        <v>5</v>
      </c>
      <c r="M32" t="s">
        <v>14</v>
      </c>
      <c r="N32" t="s">
        <v>17</v>
      </c>
      <c r="P32" t="s">
        <v>20</v>
      </c>
      <c r="Q32" t="s">
        <v>8</v>
      </c>
      <c r="R32" t="s">
        <v>10</v>
      </c>
      <c r="S32" t="s">
        <v>10</v>
      </c>
      <c r="U32" t="str">
        <f t="shared" si="1"/>
        <v>4|1|20000</v>
      </c>
      <c r="V32" t="str">
        <f t="shared" si="2"/>
        <v>1|16503|20</v>
      </c>
      <c r="W32" t="str">
        <f t="shared" si="3"/>
        <v>1|14309|1</v>
      </c>
      <c r="X32" t="str">
        <f t="shared" si="4"/>
        <v>1|14302|1</v>
      </c>
      <c r="Z32" t="str">
        <f t="shared" si="5"/>
        <v>4|1|20000,1|16503|20,1|14309|1,1|14302|1</v>
      </c>
    </row>
    <row r="33" spans="6:26" ht="16.5" x14ac:dyDescent="0.15">
      <c r="F33" s="5">
        <v>34109</v>
      </c>
      <c r="G33">
        <v>34100</v>
      </c>
      <c r="K33" t="s">
        <v>4</v>
      </c>
      <c r="L33" t="s">
        <v>5</v>
      </c>
      <c r="M33" t="s">
        <v>6</v>
      </c>
      <c r="N33" t="s">
        <v>6</v>
      </c>
      <c r="P33" t="s">
        <v>21</v>
      </c>
      <c r="Q33" t="s">
        <v>8</v>
      </c>
      <c r="R33" t="s">
        <v>6</v>
      </c>
      <c r="S33" t="s">
        <v>6</v>
      </c>
      <c r="U33" t="str">
        <f t="shared" si="1"/>
        <v>4|1|22500</v>
      </c>
      <c r="V33" t="str">
        <f t="shared" si="2"/>
        <v>1|16503|20</v>
      </c>
      <c r="W33" t="str">
        <f t="shared" si="3"/>
        <v/>
      </c>
      <c r="X33" t="str">
        <f t="shared" si="4"/>
        <v/>
      </c>
      <c r="Z33" t="str">
        <f t="shared" si="5"/>
        <v>4|1|22500,1|16503|20</v>
      </c>
    </row>
    <row r="34" spans="6:26" ht="16.5" x14ac:dyDescent="0.15">
      <c r="F34" s="5">
        <v>34109</v>
      </c>
      <c r="G34">
        <v>34100</v>
      </c>
      <c r="H34">
        <v>34003</v>
      </c>
      <c r="K34" t="s">
        <v>4</v>
      </c>
      <c r="L34" t="s">
        <v>5</v>
      </c>
      <c r="M34" t="s">
        <v>14</v>
      </c>
      <c r="N34" t="s">
        <v>6</v>
      </c>
      <c r="P34" t="s">
        <v>21</v>
      </c>
      <c r="Q34" t="s">
        <v>8</v>
      </c>
      <c r="R34" t="s">
        <v>10</v>
      </c>
      <c r="S34" t="s">
        <v>6</v>
      </c>
      <c r="U34" t="str">
        <f t="shared" si="1"/>
        <v>4|1|22500</v>
      </c>
      <c r="V34" t="str">
        <f t="shared" si="2"/>
        <v>1|16503|20</v>
      </c>
      <c r="W34" t="str">
        <f t="shared" si="3"/>
        <v>1|14309|1</v>
      </c>
      <c r="X34" t="str">
        <f t="shared" si="4"/>
        <v/>
      </c>
      <c r="Z34" t="str">
        <f t="shared" si="5"/>
        <v>4|1|22500,1|16503|20,1|14309|1</v>
      </c>
    </row>
    <row r="35" spans="6:26" ht="16.5" x14ac:dyDescent="0.15">
      <c r="F35" s="5">
        <v>34109</v>
      </c>
      <c r="G35">
        <v>34100</v>
      </c>
      <c r="H35">
        <v>34006</v>
      </c>
      <c r="K35" t="s">
        <v>4</v>
      </c>
      <c r="L35" t="s">
        <v>5</v>
      </c>
      <c r="M35" t="s">
        <v>17</v>
      </c>
      <c r="N35" t="s">
        <v>6</v>
      </c>
      <c r="P35" t="s">
        <v>21</v>
      </c>
      <c r="Q35" t="s">
        <v>8</v>
      </c>
      <c r="R35" t="s">
        <v>10</v>
      </c>
      <c r="S35" t="s">
        <v>6</v>
      </c>
      <c r="U35" t="str">
        <f t="shared" si="1"/>
        <v>4|1|22500</v>
      </c>
      <c r="V35" t="str">
        <f t="shared" si="2"/>
        <v>1|16503|20</v>
      </c>
      <c r="W35" t="str">
        <f t="shared" si="3"/>
        <v>1|14302|1</v>
      </c>
      <c r="X35" t="str">
        <f t="shared" si="4"/>
        <v/>
      </c>
      <c r="Z35" t="str">
        <f t="shared" si="5"/>
        <v>4|1|22500,1|16503|20,1|14302|1</v>
      </c>
    </row>
    <row r="36" spans="6:26" ht="16.5" x14ac:dyDescent="0.15">
      <c r="F36" s="5">
        <v>34109</v>
      </c>
      <c r="G36">
        <v>34100</v>
      </c>
      <c r="H36">
        <v>34004</v>
      </c>
      <c r="I36">
        <v>34006</v>
      </c>
      <c r="K36" t="s">
        <v>4</v>
      </c>
      <c r="L36" t="s">
        <v>5</v>
      </c>
      <c r="M36" t="s">
        <v>22</v>
      </c>
      <c r="N36" t="s">
        <v>17</v>
      </c>
      <c r="P36" t="s">
        <v>21</v>
      </c>
      <c r="Q36" t="s">
        <v>8</v>
      </c>
      <c r="R36" t="s">
        <v>10</v>
      </c>
      <c r="S36" t="s">
        <v>10</v>
      </c>
      <c r="U36" t="str">
        <f t="shared" si="1"/>
        <v>4|1|22500</v>
      </c>
      <c r="V36" t="str">
        <f t="shared" si="2"/>
        <v>1|16503|20</v>
      </c>
      <c r="W36" t="str">
        <f t="shared" si="3"/>
        <v>1|14310|1</v>
      </c>
      <c r="X36" t="str">
        <f t="shared" si="4"/>
        <v>1|14302|1</v>
      </c>
      <c r="Z36" t="str">
        <f t="shared" si="5"/>
        <v>4|1|22500,1|16503|20,1|14310|1,1|14302|1</v>
      </c>
    </row>
    <row r="37" spans="6:26" ht="16.5" x14ac:dyDescent="0.15">
      <c r="F37" s="5">
        <v>34110</v>
      </c>
      <c r="G37">
        <v>34100</v>
      </c>
      <c r="K37" t="s">
        <v>4</v>
      </c>
      <c r="L37" t="s">
        <v>5</v>
      </c>
      <c r="M37" t="s">
        <v>6</v>
      </c>
      <c r="N37" t="s">
        <v>6</v>
      </c>
      <c r="P37" t="s">
        <v>23</v>
      </c>
      <c r="Q37" t="s">
        <v>8</v>
      </c>
      <c r="R37" t="s">
        <v>6</v>
      </c>
      <c r="S37" t="s">
        <v>6</v>
      </c>
      <c r="U37" t="str">
        <f t="shared" si="1"/>
        <v>4|1|25000</v>
      </c>
      <c r="V37" t="str">
        <f t="shared" si="2"/>
        <v>1|16503|20</v>
      </c>
      <c r="W37" t="str">
        <f t="shared" si="3"/>
        <v/>
      </c>
      <c r="X37" t="str">
        <f t="shared" si="4"/>
        <v/>
      </c>
      <c r="Z37" t="str">
        <f t="shared" si="5"/>
        <v>4|1|25000,1|16503|20</v>
      </c>
    </row>
    <row r="38" spans="6:26" ht="16.5" x14ac:dyDescent="0.15">
      <c r="F38" s="5">
        <v>34110</v>
      </c>
      <c r="G38">
        <v>34100</v>
      </c>
      <c r="H38">
        <v>34003</v>
      </c>
      <c r="K38" t="s">
        <v>4</v>
      </c>
      <c r="L38" t="s">
        <v>5</v>
      </c>
      <c r="M38" t="s">
        <v>14</v>
      </c>
      <c r="N38" t="s">
        <v>6</v>
      </c>
      <c r="P38" t="s">
        <v>23</v>
      </c>
      <c r="Q38" t="s">
        <v>8</v>
      </c>
      <c r="R38" t="s">
        <v>10</v>
      </c>
      <c r="S38" t="s">
        <v>6</v>
      </c>
      <c r="U38" t="str">
        <f t="shared" si="1"/>
        <v>4|1|25000</v>
      </c>
      <c r="V38" t="str">
        <f t="shared" si="2"/>
        <v>1|16503|20</v>
      </c>
      <c r="W38" t="str">
        <f t="shared" si="3"/>
        <v>1|14309|1</v>
      </c>
      <c r="X38" t="str">
        <f t="shared" si="4"/>
        <v/>
      </c>
      <c r="Z38" t="str">
        <f t="shared" si="5"/>
        <v>4|1|25000,1|16503|20,1|14309|1</v>
      </c>
    </row>
    <row r="39" spans="6:26" ht="16.5" x14ac:dyDescent="0.15">
      <c r="F39" s="5">
        <v>34110</v>
      </c>
      <c r="G39">
        <v>34100</v>
      </c>
      <c r="H39">
        <v>34006</v>
      </c>
      <c r="K39" t="s">
        <v>4</v>
      </c>
      <c r="L39" t="s">
        <v>5</v>
      </c>
      <c r="M39" t="s">
        <v>17</v>
      </c>
      <c r="N39" t="s">
        <v>6</v>
      </c>
      <c r="P39" t="s">
        <v>23</v>
      </c>
      <c r="Q39" t="s">
        <v>8</v>
      </c>
      <c r="R39" t="s">
        <v>10</v>
      </c>
      <c r="S39" t="s">
        <v>6</v>
      </c>
      <c r="U39" t="str">
        <f t="shared" si="1"/>
        <v>4|1|25000</v>
      </c>
      <c r="V39" t="str">
        <f t="shared" si="2"/>
        <v>1|16503|20</v>
      </c>
      <c r="W39" t="str">
        <f t="shared" si="3"/>
        <v>1|14302|1</v>
      </c>
      <c r="X39" t="str">
        <f t="shared" si="4"/>
        <v/>
      </c>
      <c r="Z39" t="str">
        <f t="shared" si="5"/>
        <v>4|1|25000,1|16503|20,1|14302|1</v>
      </c>
    </row>
    <row r="40" spans="6:26" ht="16.5" x14ac:dyDescent="0.15">
      <c r="F40" s="5">
        <v>34110</v>
      </c>
      <c r="G40">
        <v>34100</v>
      </c>
      <c r="H40">
        <v>34004</v>
      </c>
      <c r="I40">
        <v>34006</v>
      </c>
      <c r="K40" t="s">
        <v>4</v>
      </c>
      <c r="L40" t="s">
        <v>5</v>
      </c>
      <c r="M40" t="s">
        <v>22</v>
      </c>
      <c r="N40" t="s">
        <v>17</v>
      </c>
      <c r="P40" t="s">
        <v>23</v>
      </c>
      <c r="Q40" t="s">
        <v>8</v>
      </c>
      <c r="R40" t="s">
        <v>10</v>
      </c>
      <c r="S40" t="s">
        <v>10</v>
      </c>
      <c r="U40" t="str">
        <f t="shared" si="1"/>
        <v>4|1|25000</v>
      </c>
      <c r="V40" t="str">
        <f t="shared" si="2"/>
        <v>1|16503|20</v>
      </c>
      <c r="W40" t="str">
        <f t="shared" si="3"/>
        <v>1|14310|1</v>
      </c>
      <c r="X40" t="str">
        <f t="shared" si="4"/>
        <v>1|14302|1</v>
      </c>
      <c r="Z40" t="str">
        <f t="shared" si="5"/>
        <v>4|1|25000,1|16503|20,1|14310|1,1|14302|1</v>
      </c>
    </row>
    <row r="41" spans="6:26" ht="16.5" x14ac:dyDescent="0.15">
      <c r="F41" s="5">
        <v>34111</v>
      </c>
      <c r="G41">
        <v>34100</v>
      </c>
      <c r="K41" t="s">
        <v>4</v>
      </c>
      <c r="L41" t="s">
        <v>5</v>
      </c>
      <c r="M41" t="s">
        <v>6</v>
      </c>
      <c r="N41" t="s">
        <v>6</v>
      </c>
      <c r="P41" t="s">
        <v>24</v>
      </c>
      <c r="Q41" t="s">
        <v>8</v>
      </c>
      <c r="R41" t="s">
        <v>6</v>
      </c>
      <c r="S41" t="s">
        <v>6</v>
      </c>
      <c r="U41" t="str">
        <f t="shared" si="1"/>
        <v>4|1|27500</v>
      </c>
      <c r="V41" t="str">
        <f t="shared" si="2"/>
        <v>1|16503|20</v>
      </c>
      <c r="W41" t="str">
        <f t="shared" si="3"/>
        <v/>
      </c>
      <c r="X41" t="str">
        <f t="shared" si="4"/>
        <v/>
      </c>
      <c r="Z41" t="str">
        <f t="shared" si="5"/>
        <v>4|1|27500,1|16503|20</v>
      </c>
    </row>
    <row r="42" spans="6:26" ht="16.5" x14ac:dyDescent="0.15">
      <c r="F42" s="5">
        <v>34111</v>
      </c>
      <c r="G42">
        <v>34100</v>
      </c>
      <c r="H42">
        <v>34003</v>
      </c>
      <c r="K42" t="s">
        <v>4</v>
      </c>
      <c r="L42" t="s">
        <v>5</v>
      </c>
      <c r="M42" t="s">
        <v>14</v>
      </c>
      <c r="N42" t="s">
        <v>6</v>
      </c>
      <c r="P42" t="s">
        <v>24</v>
      </c>
      <c r="Q42" t="s">
        <v>8</v>
      </c>
      <c r="R42" t="s">
        <v>10</v>
      </c>
      <c r="S42" t="s">
        <v>6</v>
      </c>
      <c r="U42" t="str">
        <f t="shared" si="1"/>
        <v>4|1|27500</v>
      </c>
      <c r="V42" t="str">
        <f t="shared" si="2"/>
        <v>1|16503|20</v>
      </c>
      <c r="W42" t="str">
        <f t="shared" si="3"/>
        <v>1|14309|1</v>
      </c>
      <c r="X42" t="str">
        <f t="shared" si="4"/>
        <v/>
      </c>
      <c r="Z42" t="str">
        <f t="shared" si="5"/>
        <v>4|1|27500,1|16503|20,1|14309|1</v>
      </c>
    </row>
    <row r="43" spans="6:26" ht="16.5" x14ac:dyDescent="0.15">
      <c r="F43" s="5">
        <v>34111</v>
      </c>
      <c r="G43">
        <v>34100</v>
      </c>
      <c r="H43">
        <v>34006</v>
      </c>
      <c r="K43" t="s">
        <v>4</v>
      </c>
      <c r="L43" t="s">
        <v>5</v>
      </c>
      <c r="M43" t="s">
        <v>17</v>
      </c>
      <c r="N43" t="s">
        <v>6</v>
      </c>
      <c r="P43" t="s">
        <v>24</v>
      </c>
      <c r="Q43" t="s">
        <v>8</v>
      </c>
      <c r="R43" t="s">
        <v>10</v>
      </c>
      <c r="S43" t="s">
        <v>6</v>
      </c>
      <c r="U43" t="str">
        <f t="shared" si="1"/>
        <v>4|1|27500</v>
      </c>
      <c r="V43" t="str">
        <f t="shared" si="2"/>
        <v>1|16503|20</v>
      </c>
      <c r="W43" t="str">
        <f t="shared" si="3"/>
        <v>1|14302|1</v>
      </c>
      <c r="X43" t="str">
        <f t="shared" si="4"/>
        <v/>
      </c>
      <c r="Z43" t="str">
        <f t="shared" si="5"/>
        <v>4|1|27500,1|16503|20,1|14302|1</v>
      </c>
    </row>
    <row r="44" spans="6:26" ht="16.5" x14ac:dyDescent="0.15">
      <c r="F44" s="5">
        <v>34111</v>
      </c>
      <c r="G44">
        <v>34100</v>
      </c>
      <c r="H44">
        <v>34004</v>
      </c>
      <c r="I44">
        <v>34006</v>
      </c>
      <c r="K44" t="s">
        <v>4</v>
      </c>
      <c r="L44" t="s">
        <v>5</v>
      </c>
      <c r="M44" t="s">
        <v>22</v>
      </c>
      <c r="N44" t="s">
        <v>17</v>
      </c>
      <c r="P44" t="s">
        <v>24</v>
      </c>
      <c r="Q44" t="s">
        <v>8</v>
      </c>
      <c r="R44" t="s">
        <v>10</v>
      </c>
      <c r="S44" t="s">
        <v>10</v>
      </c>
      <c r="U44" t="str">
        <f t="shared" si="1"/>
        <v>4|1|27500</v>
      </c>
      <c r="V44" t="str">
        <f t="shared" si="2"/>
        <v>1|16503|20</v>
      </c>
      <c r="W44" t="str">
        <f t="shared" si="3"/>
        <v>1|14310|1</v>
      </c>
      <c r="X44" t="str">
        <f t="shared" si="4"/>
        <v>1|14302|1</v>
      </c>
      <c r="Z44" t="str">
        <f t="shared" si="5"/>
        <v>4|1|27500,1|16503|20,1|14310|1,1|14302|1</v>
      </c>
    </row>
    <row r="45" spans="6:26" ht="16.5" x14ac:dyDescent="0.15">
      <c r="F45" s="5">
        <v>34112</v>
      </c>
      <c r="G45">
        <v>34100</v>
      </c>
      <c r="K45" t="s">
        <v>4</v>
      </c>
      <c r="L45" t="s">
        <v>5</v>
      </c>
      <c r="M45" t="s">
        <v>6</v>
      </c>
      <c r="N45" t="s">
        <v>6</v>
      </c>
      <c r="P45" t="s">
        <v>25</v>
      </c>
      <c r="Q45" t="s">
        <v>8</v>
      </c>
      <c r="R45" t="s">
        <v>6</v>
      </c>
      <c r="S45" t="s">
        <v>6</v>
      </c>
      <c r="U45" t="str">
        <f t="shared" si="1"/>
        <v>4|1|30000</v>
      </c>
      <c r="V45" t="str">
        <f t="shared" si="2"/>
        <v>1|16503|20</v>
      </c>
      <c r="W45" t="str">
        <f t="shared" si="3"/>
        <v/>
      </c>
      <c r="X45" t="str">
        <f t="shared" si="4"/>
        <v/>
      </c>
      <c r="Z45" t="str">
        <f t="shared" si="5"/>
        <v>4|1|30000,1|16503|20</v>
      </c>
    </row>
    <row r="46" spans="6:26" ht="16.5" x14ac:dyDescent="0.15">
      <c r="F46" s="5">
        <v>34112</v>
      </c>
      <c r="G46">
        <v>34100</v>
      </c>
      <c r="H46">
        <v>34003</v>
      </c>
      <c r="K46" t="s">
        <v>4</v>
      </c>
      <c r="L46" t="s">
        <v>5</v>
      </c>
      <c r="M46" t="s">
        <v>14</v>
      </c>
      <c r="N46" t="s">
        <v>6</v>
      </c>
      <c r="P46" t="s">
        <v>25</v>
      </c>
      <c r="Q46" t="s">
        <v>8</v>
      </c>
      <c r="R46" t="s">
        <v>10</v>
      </c>
      <c r="S46" t="s">
        <v>6</v>
      </c>
      <c r="U46" t="str">
        <f t="shared" si="1"/>
        <v>4|1|30000</v>
      </c>
      <c r="V46" t="str">
        <f t="shared" si="2"/>
        <v>1|16503|20</v>
      </c>
      <c r="W46" t="str">
        <f t="shared" si="3"/>
        <v>1|14309|1</v>
      </c>
      <c r="X46" t="str">
        <f t="shared" si="4"/>
        <v/>
      </c>
      <c r="Z46" t="str">
        <f t="shared" si="5"/>
        <v>4|1|30000,1|16503|20,1|14309|1</v>
      </c>
    </row>
    <row r="47" spans="6:26" ht="16.5" x14ac:dyDescent="0.15">
      <c r="F47" s="5">
        <v>34112</v>
      </c>
      <c r="G47">
        <v>34100</v>
      </c>
      <c r="H47">
        <v>34006</v>
      </c>
      <c r="K47" t="s">
        <v>4</v>
      </c>
      <c r="L47" t="s">
        <v>5</v>
      </c>
      <c r="M47" t="s">
        <v>17</v>
      </c>
      <c r="N47" t="s">
        <v>6</v>
      </c>
      <c r="P47" t="s">
        <v>25</v>
      </c>
      <c r="Q47" t="s">
        <v>8</v>
      </c>
      <c r="R47" t="s">
        <v>10</v>
      </c>
      <c r="S47" t="s">
        <v>6</v>
      </c>
      <c r="U47" t="str">
        <f t="shared" si="1"/>
        <v>4|1|30000</v>
      </c>
      <c r="V47" t="str">
        <f t="shared" si="2"/>
        <v>1|16503|20</v>
      </c>
      <c r="W47" t="str">
        <f t="shared" si="3"/>
        <v>1|14302|1</v>
      </c>
      <c r="X47" t="str">
        <f t="shared" si="4"/>
        <v/>
      </c>
      <c r="Z47" t="str">
        <f t="shared" si="5"/>
        <v>4|1|30000,1|16503|20,1|14302|1</v>
      </c>
    </row>
    <row r="48" spans="6:26" ht="16.5" x14ac:dyDescent="0.15">
      <c r="F48" s="5">
        <v>34112</v>
      </c>
      <c r="G48">
        <v>34100</v>
      </c>
      <c r="H48">
        <v>34004</v>
      </c>
      <c r="I48">
        <v>34006</v>
      </c>
      <c r="K48" t="s">
        <v>4</v>
      </c>
      <c r="L48" t="s">
        <v>5</v>
      </c>
      <c r="M48" t="s">
        <v>22</v>
      </c>
      <c r="N48" t="s">
        <v>17</v>
      </c>
      <c r="P48" t="s">
        <v>25</v>
      </c>
      <c r="Q48" t="s">
        <v>8</v>
      </c>
      <c r="R48" t="s">
        <v>10</v>
      </c>
      <c r="S48" t="s">
        <v>10</v>
      </c>
      <c r="U48" t="str">
        <f t="shared" si="1"/>
        <v>4|1|30000</v>
      </c>
      <c r="V48" t="str">
        <f t="shared" si="2"/>
        <v>1|16503|20</v>
      </c>
      <c r="W48" t="str">
        <f t="shared" si="3"/>
        <v>1|14310|1</v>
      </c>
      <c r="X48" t="str">
        <f t="shared" si="4"/>
        <v>1|14302|1</v>
      </c>
      <c r="Z48" t="str">
        <f t="shared" si="5"/>
        <v>4|1|30000,1|16503|20,1|14310|1,1|14302|1</v>
      </c>
    </row>
    <row r="49" spans="6:26" ht="16.5" x14ac:dyDescent="0.15">
      <c r="F49" s="6">
        <v>34113</v>
      </c>
      <c r="G49">
        <v>34100</v>
      </c>
      <c r="K49" t="s">
        <v>4</v>
      </c>
      <c r="L49" t="s">
        <v>5</v>
      </c>
      <c r="M49" t="s">
        <v>6</v>
      </c>
      <c r="N49" t="s">
        <v>6</v>
      </c>
      <c r="P49" t="s">
        <v>26</v>
      </c>
      <c r="Q49" t="s">
        <v>8</v>
      </c>
      <c r="R49" t="s">
        <v>6</v>
      </c>
      <c r="S49" t="s">
        <v>6</v>
      </c>
      <c r="U49" t="str">
        <f t="shared" si="1"/>
        <v>4|1|32500</v>
      </c>
      <c r="V49" t="str">
        <f t="shared" si="2"/>
        <v>1|16503|20</v>
      </c>
      <c r="W49" t="str">
        <f t="shared" si="3"/>
        <v/>
      </c>
      <c r="X49" t="str">
        <f t="shared" si="4"/>
        <v/>
      </c>
      <c r="Z49" t="str">
        <f t="shared" si="5"/>
        <v>4|1|32500,1|16503|20</v>
      </c>
    </row>
    <row r="50" spans="6:26" ht="16.5" x14ac:dyDescent="0.15">
      <c r="F50" s="6">
        <v>34113</v>
      </c>
      <c r="G50">
        <v>34100</v>
      </c>
      <c r="H50">
        <v>34003</v>
      </c>
      <c r="K50" t="s">
        <v>4</v>
      </c>
      <c r="L50" t="s">
        <v>5</v>
      </c>
      <c r="M50" t="s">
        <v>14</v>
      </c>
      <c r="N50" t="s">
        <v>6</v>
      </c>
      <c r="P50" t="s">
        <v>26</v>
      </c>
      <c r="Q50" t="s">
        <v>8</v>
      </c>
      <c r="R50" t="s">
        <v>10</v>
      </c>
      <c r="S50" t="s">
        <v>6</v>
      </c>
      <c r="U50" t="str">
        <f t="shared" si="1"/>
        <v>4|1|32500</v>
      </c>
      <c r="V50" t="str">
        <f t="shared" si="2"/>
        <v>1|16503|20</v>
      </c>
      <c r="W50" t="str">
        <f t="shared" si="3"/>
        <v>1|14309|1</v>
      </c>
      <c r="X50" t="str">
        <f t="shared" si="4"/>
        <v/>
      </c>
      <c r="Z50" t="str">
        <f t="shared" si="5"/>
        <v>4|1|32500,1|16503|20,1|14309|1</v>
      </c>
    </row>
    <row r="51" spans="6:26" ht="16.5" x14ac:dyDescent="0.15">
      <c r="F51" s="6">
        <v>34113</v>
      </c>
      <c r="G51">
        <v>34100</v>
      </c>
      <c r="H51">
        <v>34006</v>
      </c>
      <c r="K51" t="s">
        <v>4</v>
      </c>
      <c r="L51" t="s">
        <v>5</v>
      </c>
      <c r="M51" t="s">
        <v>17</v>
      </c>
      <c r="N51" t="s">
        <v>6</v>
      </c>
      <c r="P51" t="s">
        <v>26</v>
      </c>
      <c r="Q51" t="s">
        <v>8</v>
      </c>
      <c r="R51" t="s">
        <v>10</v>
      </c>
      <c r="S51" t="s">
        <v>6</v>
      </c>
      <c r="U51" t="str">
        <f t="shared" si="1"/>
        <v>4|1|32500</v>
      </c>
      <c r="V51" t="str">
        <f t="shared" si="2"/>
        <v>1|16503|20</v>
      </c>
      <c r="W51" t="str">
        <f t="shared" si="3"/>
        <v>1|14302|1</v>
      </c>
      <c r="X51" t="str">
        <f t="shared" si="4"/>
        <v/>
      </c>
      <c r="Z51" t="str">
        <f t="shared" si="5"/>
        <v>4|1|32500,1|16503|20,1|14302|1</v>
      </c>
    </row>
    <row r="52" spans="6:26" ht="16.5" x14ac:dyDescent="0.15">
      <c r="F52" s="6">
        <v>34113</v>
      </c>
      <c r="G52">
        <v>34100</v>
      </c>
      <c r="H52">
        <v>34004</v>
      </c>
      <c r="I52">
        <v>34006</v>
      </c>
      <c r="K52" t="s">
        <v>4</v>
      </c>
      <c r="L52" t="s">
        <v>5</v>
      </c>
      <c r="M52" t="s">
        <v>22</v>
      </c>
      <c r="N52" t="s">
        <v>17</v>
      </c>
      <c r="P52" t="s">
        <v>26</v>
      </c>
      <c r="Q52" t="s">
        <v>8</v>
      </c>
      <c r="R52" t="s">
        <v>10</v>
      </c>
      <c r="S52" t="s">
        <v>10</v>
      </c>
      <c r="U52" t="str">
        <f t="shared" si="1"/>
        <v>4|1|32500</v>
      </c>
      <c r="V52" t="str">
        <f t="shared" si="2"/>
        <v>1|16503|20</v>
      </c>
      <c r="W52" t="str">
        <f t="shared" si="3"/>
        <v>1|14310|1</v>
      </c>
      <c r="X52" t="str">
        <f t="shared" si="4"/>
        <v>1|14302|1</v>
      </c>
      <c r="Z52" t="str">
        <f t="shared" si="5"/>
        <v>4|1|32500,1|16503|20,1|14310|1,1|14302|1</v>
      </c>
    </row>
    <row r="53" spans="6:26" ht="16.5" x14ac:dyDescent="0.15">
      <c r="F53" s="6">
        <v>34114</v>
      </c>
      <c r="G53">
        <v>34100</v>
      </c>
      <c r="K53" t="s">
        <v>4</v>
      </c>
      <c r="L53" t="s">
        <v>5</v>
      </c>
      <c r="M53" t="s">
        <v>6</v>
      </c>
      <c r="N53" t="s">
        <v>6</v>
      </c>
      <c r="P53" t="s">
        <v>27</v>
      </c>
      <c r="Q53" t="s">
        <v>8</v>
      </c>
      <c r="R53" t="s">
        <v>6</v>
      </c>
      <c r="S53" t="s">
        <v>6</v>
      </c>
      <c r="U53" t="str">
        <f t="shared" si="1"/>
        <v>4|1|35000</v>
      </c>
      <c r="V53" t="str">
        <f t="shared" si="2"/>
        <v>1|16503|20</v>
      </c>
      <c r="W53" t="str">
        <f t="shared" si="3"/>
        <v/>
      </c>
      <c r="X53" t="str">
        <f t="shared" si="4"/>
        <v/>
      </c>
      <c r="Z53" t="str">
        <f t="shared" si="5"/>
        <v>4|1|35000,1|16503|20</v>
      </c>
    </row>
    <row r="54" spans="6:26" ht="16.5" x14ac:dyDescent="0.15">
      <c r="F54" s="6">
        <v>34114</v>
      </c>
      <c r="G54">
        <v>34100</v>
      </c>
      <c r="H54">
        <v>34003</v>
      </c>
      <c r="K54" t="s">
        <v>4</v>
      </c>
      <c r="L54" t="s">
        <v>5</v>
      </c>
      <c r="M54" t="s">
        <v>14</v>
      </c>
      <c r="N54" t="s">
        <v>6</v>
      </c>
      <c r="P54" t="s">
        <v>27</v>
      </c>
      <c r="Q54" t="s">
        <v>8</v>
      </c>
      <c r="R54" t="s">
        <v>10</v>
      </c>
      <c r="S54" t="s">
        <v>6</v>
      </c>
      <c r="U54" t="str">
        <f t="shared" si="1"/>
        <v>4|1|35000</v>
      </c>
      <c r="V54" t="str">
        <f t="shared" si="2"/>
        <v>1|16503|20</v>
      </c>
      <c r="W54" t="str">
        <f t="shared" si="3"/>
        <v>1|14309|1</v>
      </c>
      <c r="X54" t="str">
        <f t="shared" si="4"/>
        <v/>
      </c>
      <c r="Z54" t="str">
        <f t="shared" si="5"/>
        <v>4|1|35000,1|16503|20,1|14309|1</v>
      </c>
    </row>
    <row r="55" spans="6:26" ht="16.5" x14ac:dyDescent="0.15">
      <c r="F55" s="6">
        <v>34114</v>
      </c>
      <c r="G55">
        <v>34100</v>
      </c>
      <c r="H55">
        <v>34006</v>
      </c>
      <c r="K55" t="s">
        <v>4</v>
      </c>
      <c r="L55" t="s">
        <v>5</v>
      </c>
      <c r="M55" t="s">
        <v>17</v>
      </c>
      <c r="N55" t="s">
        <v>6</v>
      </c>
      <c r="P55" t="s">
        <v>27</v>
      </c>
      <c r="Q55" t="s">
        <v>8</v>
      </c>
      <c r="R55" t="s">
        <v>10</v>
      </c>
      <c r="S55" t="s">
        <v>6</v>
      </c>
      <c r="U55" t="str">
        <f t="shared" si="1"/>
        <v>4|1|35000</v>
      </c>
      <c r="V55" t="str">
        <f t="shared" si="2"/>
        <v>1|16503|20</v>
      </c>
      <c r="W55" t="str">
        <f t="shared" si="3"/>
        <v>1|14302|1</v>
      </c>
      <c r="X55" t="str">
        <f t="shared" si="4"/>
        <v/>
      </c>
      <c r="Z55" t="str">
        <f t="shared" si="5"/>
        <v>4|1|35000,1|16503|20,1|14302|1</v>
      </c>
    </row>
    <row r="56" spans="6:26" ht="16.5" x14ac:dyDescent="0.15">
      <c r="F56" s="6">
        <v>34114</v>
      </c>
      <c r="G56">
        <v>34100</v>
      </c>
      <c r="H56">
        <v>34004</v>
      </c>
      <c r="I56">
        <v>34006</v>
      </c>
      <c r="K56" t="s">
        <v>4</v>
      </c>
      <c r="L56" t="s">
        <v>5</v>
      </c>
      <c r="M56" t="s">
        <v>22</v>
      </c>
      <c r="N56" t="s">
        <v>17</v>
      </c>
      <c r="P56" t="s">
        <v>27</v>
      </c>
      <c r="Q56" t="s">
        <v>8</v>
      </c>
      <c r="R56" t="s">
        <v>10</v>
      </c>
      <c r="S56" t="s">
        <v>10</v>
      </c>
      <c r="U56" t="str">
        <f t="shared" si="1"/>
        <v>4|1|35000</v>
      </c>
      <c r="V56" t="str">
        <f t="shared" si="2"/>
        <v>1|16503|20</v>
      </c>
      <c r="W56" t="str">
        <f t="shared" si="3"/>
        <v>1|14310|1</v>
      </c>
      <c r="X56" t="str">
        <f t="shared" si="4"/>
        <v>1|14302|1</v>
      </c>
      <c r="Z56" t="str">
        <f t="shared" si="5"/>
        <v>4|1|35000,1|16503|20,1|14310|1,1|14302|1</v>
      </c>
    </row>
    <row r="57" spans="6:26" ht="16.5" x14ac:dyDescent="0.15">
      <c r="F57" s="6">
        <v>34115</v>
      </c>
      <c r="G57">
        <v>34100</v>
      </c>
      <c r="K57" t="s">
        <v>4</v>
      </c>
      <c r="L57" t="s">
        <v>5</v>
      </c>
      <c r="M57" t="s">
        <v>6</v>
      </c>
      <c r="N57" t="s">
        <v>6</v>
      </c>
      <c r="P57" t="s">
        <v>28</v>
      </c>
      <c r="Q57" t="s">
        <v>8</v>
      </c>
      <c r="R57" t="s">
        <v>6</v>
      </c>
      <c r="S57" t="s">
        <v>6</v>
      </c>
      <c r="U57" t="str">
        <f t="shared" si="1"/>
        <v>4|1|37500</v>
      </c>
      <c r="V57" t="str">
        <f t="shared" si="2"/>
        <v>1|16503|20</v>
      </c>
      <c r="W57" t="str">
        <f t="shared" si="3"/>
        <v/>
      </c>
      <c r="X57" t="str">
        <f t="shared" si="4"/>
        <v/>
      </c>
      <c r="Z57" t="str">
        <f t="shared" si="5"/>
        <v>4|1|37500,1|16503|20</v>
      </c>
    </row>
    <row r="58" spans="6:26" ht="16.5" x14ac:dyDescent="0.15">
      <c r="F58" s="6">
        <v>34115</v>
      </c>
      <c r="G58">
        <v>34100</v>
      </c>
      <c r="H58">
        <v>34003</v>
      </c>
      <c r="K58" t="s">
        <v>4</v>
      </c>
      <c r="L58" t="s">
        <v>5</v>
      </c>
      <c r="M58" t="s">
        <v>14</v>
      </c>
      <c r="N58" t="s">
        <v>6</v>
      </c>
      <c r="P58" t="s">
        <v>28</v>
      </c>
      <c r="Q58" t="s">
        <v>8</v>
      </c>
      <c r="R58" t="s">
        <v>10</v>
      </c>
      <c r="S58" t="s">
        <v>6</v>
      </c>
      <c r="U58" t="str">
        <f t="shared" si="1"/>
        <v>4|1|37500</v>
      </c>
      <c r="V58" t="str">
        <f t="shared" si="2"/>
        <v>1|16503|20</v>
      </c>
      <c r="W58" t="str">
        <f t="shared" si="3"/>
        <v>1|14309|1</v>
      </c>
      <c r="X58" t="str">
        <f t="shared" si="4"/>
        <v/>
      </c>
      <c r="Z58" t="str">
        <f t="shared" si="5"/>
        <v>4|1|37500,1|16503|20,1|14309|1</v>
      </c>
    </row>
    <row r="59" spans="6:26" ht="16.5" x14ac:dyDescent="0.15">
      <c r="F59" s="6">
        <v>34115</v>
      </c>
      <c r="G59">
        <v>34100</v>
      </c>
      <c r="H59">
        <v>34006</v>
      </c>
      <c r="K59" t="s">
        <v>4</v>
      </c>
      <c r="L59" t="s">
        <v>5</v>
      </c>
      <c r="M59" t="s">
        <v>17</v>
      </c>
      <c r="N59" t="s">
        <v>6</v>
      </c>
      <c r="P59" t="s">
        <v>28</v>
      </c>
      <c r="Q59" t="s">
        <v>8</v>
      </c>
      <c r="R59" t="s">
        <v>10</v>
      </c>
      <c r="S59" t="s">
        <v>6</v>
      </c>
      <c r="U59" t="str">
        <f t="shared" si="1"/>
        <v>4|1|37500</v>
      </c>
      <c r="V59" t="str">
        <f t="shared" si="2"/>
        <v>1|16503|20</v>
      </c>
      <c r="W59" t="str">
        <f t="shared" si="3"/>
        <v>1|14302|1</v>
      </c>
      <c r="X59" t="str">
        <f t="shared" si="4"/>
        <v/>
      </c>
      <c r="Z59" t="str">
        <f t="shared" si="5"/>
        <v>4|1|37500,1|16503|20,1|14302|1</v>
      </c>
    </row>
    <row r="60" spans="6:26" ht="16.5" x14ac:dyDescent="0.15">
      <c r="F60" s="6">
        <v>34115</v>
      </c>
      <c r="G60">
        <v>34100</v>
      </c>
      <c r="H60">
        <v>34004</v>
      </c>
      <c r="I60">
        <v>34006</v>
      </c>
      <c r="K60" t="s">
        <v>4</v>
      </c>
      <c r="L60" t="s">
        <v>5</v>
      </c>
      <c r="M60" t="s">
        <v>22</v>
      </c>
      <c r="N60" t="s">
        <v>17</v>
      </c>
      <c r="P60" t="s">
        <v>28</v>
      </c>
      <c r="Q60" t="s">
        <v>8</v>
      </c>
      <c r="R60" t="s">
        <v>10</v>
      </c>
      <c r="S60" t="s">
        <v>10</v>
      </c>
      <c r="U60" t="str">
        <f t="shared" si="1"/>
        <v>4|1|37500</v>
      </c>
      <c r="V60" t="str">
        <f t="shared" si="2"/>
        <v>1|16503|20</v>
      </c>
      <c r="W60" t="str">
        <f t="shared" si="3"/>
        <v>1|14310|1</v>
      </c>
      <c r="X60" t="str">
        <f t="shared" si="4"/>
        <v>1|14302|1</v>
      </c>
      <c r="Z60" t="str">
        <f t="shared" si="5"/>
        <v>4|1|37500,1|16503|20,1|14310|1,1|14302|1</v>
      </c>
    </row>
    <row r="61" spans="6:26" ht="16.5" x14ac:dyDescent="0.15">
      <c r="F61" s="6">
        <v>34116</v>
      </c>
      <c r="G61">
        <v>34100</v>
      </c>
      <c r="K61" t="s">
        <v>4</v>
      </c>
      <c r="L61" t="s">
        <v>5</v>
      </c>
      <c r="M61" t="s">
        <v>6</v>
      </c>
      <c r="N61" t="s">
        <v>6</v>
      </c>
      <c r="P61" t="s">
        <v>29</v>
      </c>
      <c r="Q61" t="s">
        <v>8</v>
      </c>
      <c r="R61" t="s">
        <v>6</v>
      </c>
      <c r="S61" t="s">
        <v>6</v>
      </c>
      <c r="U61" t="str">
        <f t="shared" si="1"/>
        <v>4|1|40000</v>
      </c>
      <c r="V61" t="str">
        <f t="shared" si="2"/>
        <v>1|16503|20</v>
      </c>
      <c r="W61" t="str">
        <f t="shared" si="3"/>
        <v/>
      </c>
      <c r="X61" t="str">
        <f t="shared" si="4"/>
        <v/>
      </c>
      <c r="Z61" t="str">
        <f t="shared" si="5"/>
        <v>4|1|40000,1|16503|20</v>
      </c>
    </row>
    <row r="62" spans="6:26" ht="16.5" x14ac:dyDescent="0.15">
      <c r="F62" s="6">
        <v>34116</v>
      </c>
      <c r="G62">
        <v>34100</v>
      </c>
      <c r="H62">
        <v>34003</v>
      </c>
      <c r="K62" t="s">
        <v>4</v>
      </c>
      <c r="L62" t="s">
        <v>5</v>
      </c>
      <c r="M62" t="s">
        <v>14</v>
      </c>
      <c r="N62" t="s">
        <v>6</v>
      </c>
      <c r="P62" t="s">
        <v>29</v>
      </c>
      <c r="Q62" t="s">
        <v>8</v>
      </c>
      <c r="R62" t="s">
        <v>10</v>
      </c>
      <c r="S62" t="s">
        <v>6</v>
      </c>
      <c r="U62" t="str">
        <f t="shared" si="1"/>
        <v>4|1|40000</v>
      </c>
      <c r="V62" t="str">
        <f t="shared" si="2"/>
        <v>1|16503|20</v>
      </c>
      <c r="W62" t="str">
        <f t="shared" si="3"/>
        <v>1|14309|1</v>
      </c>
      <c r="X62" t="str">
        <f t="shared" si="4"/>
        <v/>
      </c>
      <c r="Z62" t="str">
        <f t="shared" si="5"/>
        <v>4|1|40000,1|16503|20,1|14309|1</v>
      </c>
    </row>
    <row r="63" spans="6:26" ht="16.5" x14ac:dyDescent="0.15">
      <c r="F63" s="6">
        <v>34116</v>
      </c>
      <c r="G63">
        <v>34100</v>
      </c>
      <c r="H63">
        <v>34006</v>
      </c>
      <c r="K63" t="s">
        <v>4</v>
      </c>
      <c r="L63" t="s">
        <v>5</v>
      </c>
      <c r="M63" t="s">
        <v>17</v>
      </c>
      <c r="N63" t="s">
        <v>6</v>
      </c>
      <c r="P63" t="s">
        <v>29</v>
      </c>
      <c r="Q63" t="s">
        <v>8</v>
      </c>
      <c r="R63" t="s">
        <v>10</v>
      </c>
      <c r="S63" t="s">
        <v>6</v>
      </c>
      <c r="U63" t="str">
        <f t="shared" si="1"/>
        <v>4|1|40000</v>
      </c>
      <c r="V63" t="str">
        <f t="shared" si="2"/>
        <v>1|16503|20</v>
      </c>
      <c r="W63" t="str">
        <f t="shared" si="3"/>
        <v>1|14302|1</v>
      </c>
      <c r="X63" t="str">
        <f t="shared" si="4"/>
        <v/>
      </c>
      <c r="Z63" t="str">
        <f t="shared" si="5"/>
        <v>4|1|40000,1|16503|20,1|14302|1</v>
      </c>
    </row>
    <row r="64" spans="6:26" ht="16.5" x14ac:dyDescent="0.15">
      <c r="F64" s="6">
        <v>34116</v>
      </c>
      <c r="G64">
        <v>34100</v>
      </c>
      <c r="H64">
        <v>34004</v>
      </c>
      <c r="I64">
        <v>34006</v>
      </c>
      <c r="K64" t="s">
        <v>4</v>
      </c>
      <c r="L64" t="s">
        <v>5</v>
      </c>
      <c r="M64" t="s">
        <v>22</v>
      </c>
      <c r="N64" t="s">
        <v>17</v>
      </c>
      <c r="P64" t="s">
        <v>29</v>
      </c>
      <c r="Q64" t="s">
        <v>8</v>
      </c>
      <c r="R64" t="s">
        <v>10</v>
      </c>
      <c r="S64" t="s">
        <v>10</v>
      </c>
      <c r="U64" t="str">
        <f t="shared" si="1"/>
        <v>4|1|40000</v>
      </c>
      <c r="V64" t="str">
        <f t="shared" si="2"/>
        <v>1|16503|20</v>
      </c>
      <c r="W64" t="str">
        <f t="shared" si="3"/>
        <v>1|14310|1</v>
      </c>
      <c r="X64" t="str">
        <f t="shared" si="4"/>
        <v>1|14302|1</v>
      </c>
      <c r="Z64" t="str">
        <f t="shared" si="5"/>
        <v>4|1|40000,1|16503|20,1|14310|1,1|14302|1</v>
      </c>
    </row>
    <row r="65" spans="6:26" ht="16.5" x14ac:dyDescent="0.15">
      <c r="F65" s="6">
        <v>34117</v>
      </c>
      <c r="G65">
        <v>34100</v>
      </c>
      <c r="K65" t="s">
        <v>4</v>
      </c>
      <c r="L65" t="s">
        <v>5</v>
      </c>
      <c r="M65" t="s">
        <v>6</v>
      </c>
      <c r="N65" t="s">
        <v>6</v>
      </c>
      <c r="P65" t="s">
        <v>30</v>
      </c>
      <c r="Q65" t="s">
        <v>8</v>
      </c>
      <c r="R65" t="s">
        <v>6</v>
      </c>
      <c r="S65" t="s">
        <v>6</v>
      </c>
      <c r="U65" t="str">
        <f t="shared" si="1"/>
        <v>4|1|42500</v>
      </c>
      <c r="V65" t="str">
        <f t="shared" si="2"/>
        <v>1|16503|20</v>
      </c>
      <c r="W65" t="str">
        <f t="shared" si="3"/>
        <v/>
      </c>
      <c r="X65" t="str">
        <f t="shared" si="4"/>
        <v/>
      </c>
      <c r="Z65" t="str">
        <f t="shared" si="5"/>
        <v>4|1|42500,1|16503|20</v>
      </c>
    </row>
    <row r="66" spans="6:26" ht="16.5" x14ac:dyDescent="0.15">
      <c r="F66" s="6">
        <v>34117</v>
      </c>
      <c r="G66">
        <v>34100</v>
      </c>
      <c r="H66">
        <v>34003</v>
      </c>
      <c r="K66" t="s">
        <v>4</v>
      </c>
      <c r="L66" t="s">
        <v>5</v>
      </c>
      <c r="M66" t="s">
        <v>14</v>
      </c>
      <c r="N66" t="s">
        <v>6</v>
      </c>
      <c r="P66" t="s">
        <v>30</v>
      </c>
      <c r="Q66" t="s">
        <v>8</v>
      </c>
      <c r="R66" t="s">
        <v>10</v>
      </c>
      <c r="S66" t="s">
        <v>6</v>
      </c>
      <c r="U66" t="str">
        <f t="shared" ref="U66:U75" si="6">IF(K66="","",MID(K66,3,LEN(K66)-2)&amp;"|"&amp;LEFT(P66,LEN(P66)-2))</f>
        <v>4|1|42500</v>
      </c>
      <c r="V66" t="str">
        <f t="shared" ref="V66:V75" si="7">IF(L66="","",MID(L66,3,LEN(L66)-2)&amp;"|"&amp;LEFT(Q66,LEN(Q66)-2))</f>
        <v>1|16503|20</v>
      </c>
      <c r="W66" t="str">
        <f t="shared" ref="W66:W75" si="8">IF(M66="","",MID(M66,3,LEN(M66)-2)&amp;"|"&amp;LEFT(R66,LEN(R66)-2))</f>
        <v>1|14309|1</v>
      </c>
      <c r="X66" t="str">
        <f t="shared" ref="X66:X75" si="9">IF(N66="","",MID(N66,3,LEN(N66)-2)&amp;"|"&amp;LEFT(S66,LEN(S66)-2))</f>
        <v/>
      </c>
      <c r="Z66" t="str">
        <f t="shared" ref="Z66:Z75" si="10">U66&amp;","&amp;V66&amp;IF(W66="","",","&amp;W66)&amp;IF(X66="","",","&amp;X66)</f>
        <v>4|1|42500,1|16503|20,1|14309|1</v>
      </c>
    </row>
    <row r="67" spans="6:26" ht="16.5" x14ac:dyDescent="0.15">
      <c r="F67" s="6">
        <v>34117</v>
      </c>
      <c r="G67">
        <v>34100</v>
      </c>
      <c r="H67">
        <v>34006</v>
      </c>
      <c r="K67" t="s">
        <v>4</v>
      </c>
      <c r="L67" t="s">
        <v>5</v>
      </c>
      <c r="M67" t="s">
        <v>17</v>
      </c>
      <c r="N67" t="s">
        <v>6</v>
      </c>
      <c r="P67" t="s">
        <v>30</v>
      </c>
      <c r="Q67" t="s">
        <v>8</v>
      </c>
      <c r="R67" t="s">
        <v>10</v>
      </c>
      <c r="S67" t="s">
        <v>6</v>
      </c>
      <c r="U67" t="str">
        <f t="shared" si="6"/>
        <v>4|1|42500</v>
      </c>
      <c r="V67" t="str">
        <f t="shared" si="7"/>
        <v>1|16503|20</v>
      </c>
      <c r="W67" t="str">
        <f t="shared" si="8"/>
        <v>1|14302|1</v>
      </c>
      <c r="X67" t="str">
        <f t="shared" si="9"/>
        <v/>
      </c>
      <c r="Z67" t="str">
        <f t="shared" si="10"/>
        <v>4|1|42500,1|16503|20,1|14302|1</v>
      </c>
    </row>
    <row r="68" spans="6:26" ht="16.5" x14ac:dyDescent="0.15">
      <c r="F68" s="6">
        <v>34117</v>
      </c>
      <c r="G68">
        <v>34100</v>
      </c>
      <c r="H68">
        <v>34004</v>
      </c>
      <c r="I68">
        <v>34006</v>
      </c>
      <c r="K68" t="s">
        <v>4</v>
      </c>
      <c r="L68" t="s">
        <v>5</v>
      </c>
      <c r="M68" t="s">
        <v>22</v>
      </c>
      <c r="N68" t="s">
        <v>17</v>
      </c>
      <c r="P68" t="s">
        <v>30</v>
      </c>
      <c r="Q68" t="s">
        <v>8</v>
      </c>
      <c r="R68" t="s">
        <v>10</v>
      </c>
      <c r="S68" t="s">
        <v>10</v>
      </c>
      <c r="U68" t="str">
        <f t="shared" si="6"/>
        <v>4|1|42500</v>
      </c>
      <c r="V68" t="str">
        <f t="shared" si="7"/>
        <v>1|16503|20</v>
      </c>
      <c r="W68" t="str">
        <f t="shared" si="8"/>
        <v>1|14310|1</v>
      </c>
      <c r="X68" t="str">
        <f t="shared" si="9"/>
        <v>1|14302|1</v>
      </c>
      <c r="Z68" t="str">
        <f t="shared" si="10"/>
        <v>4|1|42500,1|16503|20,1|14310|1,1|14302|1</v>
      </c>
    </row>
    <row r="69" spans="6:26" ht="16.5" x14ac:dyDescent="0.15">
      <c r="F69" s="6">
        <v>34118</v>
      </c>
      <c r="G69">
        <v>34100</v>
      </c>
      <c r="K69" t="s">
        <v>4</v>
      </c>
      <c r="L69" t="s">
        <v>5</v>
      </c>
      <c r="M69" t="s">
        <v>6</v>
      </c>
      <c r="N69" t="s">
        <v>6</v>
      </c>
      <c r="P69" t="s">
        <v>31</v>
      </c>
      <c r="Q69" t="s">
        <v>8</v>
      </c>
      <c r="R69" t="s">
        <v>6</v>
      </c>
      <c r="S69" t="s">
        <v>6</v>
      </c>
      <c r="U69" t="str">
        <f t="shared" si="6"/>
        <v>4|1|45000</v>
      </c>
      <c r="V69" t="str">
        <f t="shared" si="7"/>
        <v>1|16503|20</v>
      </c>
      <c r="W69" t="str">
        <f t="shared" si="8"/>
        <v/>
      </c>
      <c r="X69" t="str">
        <f t="shared" si="9"/>
        <v/>
      </c>
      <c r="Z69" t="str">
        <f t="shared" si="10"/>
        <v>4|1|45000,1|16503|20</v>
      </c>
    </row>
    <row r="70" spans="6:26" ht="16.5" x14ac:dyDescent="0.15">
      <c r="F70" s="6">
        <v>34118</v>
      </c>
      <c r="G70">
        <v>34100</v>
      </c>
      <c r="H70">
        <v>34003</v>
      </c>
      <c r="K70" t="s">
        <v>4</v>
      </c>
      <c r="L70" t="s">
        <v>5</v>
      </c>
      <c r="M70" t="s">
        <v>14</v>
      </c>
      <c r="N70" t="s">
        <v>6</v>
      </c>
      <c r="P70" t="s">
        <v>31</v>
      </c>
      <c r="Q70" t="s">
        <v>8</v>
      </c>
      <c r="R70" t="s">
        <v>10</v>
      </c>
      <c r="S70" t="s">
        <v>6</v>
      </c>
      <c r="U70" t="str">
        <f t="shared" si="6"/>
        <v>4|1|45000</v>
      </c>
      <c r="V70" t="str">
        <f t="shared" si="7"/>
        <v>1|16503|20</v>
      </c>
      <c r="W70" t="str">
        <f t="shared" si="8"/>
        <v>1|14309|1</v>
      </c>
      <c r="X70" t="str">
        <f t="shared" si="9"/>
        <v/>
      </c>
      <c r="Z70" t="str">
        <f t="shared" si="10"/>
        <v>4|1|45000,1|16503|20,1|14309|1</v>
      </c>
    </row>
    <row r="71" spans="6:26" ht="16.5" x14ac:dyDescent="0.15">
      <c r="F71" s="6">
        <v>34118</v>
      </c>
      <c r="G71">
        <v>34100</v>
      </c>
      <c r="H71">
        <v>34006</v>
      </c>
      <c r="K71" t="s">
        <v>4</v>
      </c>
      <c r="L71" t="s">
        <v>5</v>
      </c>
      <c r="M71" t="s">
        <v>17</v>
      </c>
      <c r="N71" t="s">
        <v>6</v>
      </c>
      <c r="P71" t="s">
        <v>31</v>
      </c>
      <c r="Q71" t="s">
        <v>8</v>
      </c>
      <c r="R71" t="s">
        <v>10</v>
      </c>
      <c r="S71" t="s">
        <v>6</v>
      </c>
      <c r="U71" t="str">
        <f t="shared" si="6"/>
        <v>4|1|45000</v>
      </c>
      <c r="V71" t="str">
        <f t="shared" si="7"/>
        <v>1|16503|20</v>
      </c>
      <c r="W71" t="str">
        <f t="shared" si="8"/>
        <v>1|14302|1</v>
      </c>
      <c r="X71" t="str">
        <f t="shared" si="9"/>
        <v/>
      </c>
      <c r="Z71" t="str">
        <f t="shared" si="10"/>
        <v>4|1|45000,1|16503|20,1|14302|1</v>
      </c>
    </row>
    <row r="72" spans="6:26" ht="16.5" x14ac:dyDescent="0.15">
      <c r="F72" s="6">
        <v>34118</v>
      </c>
      <c r="G72">
        <v>34100</v>
      </c>
      <c r="H72">
        <v>34004</v>
      </c>
      <c r="I72">
        <v>34006</v>
      </c>
      <c r="K72" t="s">
        <v>4</v>
      </c>
      <c r="L72" t="s">
        <v>5</v>
      </c>
      <c r="M72" t="s">
        <v>22</v>
      </c>
      <c r="N72" t="s">
        <v>17</v>
      </c>
      <c r="P72" t="s">
        <v>31</v>
      </c>
      <c r="Q72" t="s">
        <v>8</v>
      </c>
      <c r="R72" t="s">
        <v>10</v>
      </c>
      <c r="S72" t="s">
        <v>10</v>
      </c>
      <c r="U72" t="str">
        <f t="shared" si="6"/>
        <v>4|1|45000</v>
      </c>
      <c r="V72" t="str">
        <f t="shared" si="7"/>
        <v>1|16503|20</v>
      </c>
      <c r="W72" t="str">
        <f t="shared" si="8"/>
        <v>1|14310|1</v>
      </c>
      <c r="X72" t="str">
        <f t="shared" si="9"/>
        <v>1|14302|1</v>
      </c>
      <c r="Z72" t="str">
        <f t="shared" si="10"/>
        <v>4|1|45000,1|16503|20,1|14310|1,1|14302|1</v>
      </c>
    </row>
    <row r="73" spans="6:26" ht="16.5" x14ac:dyDescent="0.15">
      <c r="F73" s="6">
        <v>34119</v>
      </c>
      <c r="G73">
        <v>34100</v>
      </c>
      <c r="K73" t="s">
        <v>4</v>
      </c>
      <c r="L73" t="s">
        <v>5</v>
      </c>
      <c r="M73" t="s">
        <v>6</v>
      </c>
      <c r="N73" t="s">
        <v>6</v>
      </c>
      <c r="P73" t="s">
        <v>32</v>
      </c>
      <c r="Q73" t="s">
        <v>8</v>
      </c>
      <c r="R73" t="s">
        <v>6</v>
      </c>
      <c r="S73" t="s">
        <v>6</v>
      </c>
      <c r="U73" t="str">
        <f t="shared" si="6"/>
        <v>4|1|47500</v>
      </c>
      <c r="V73" t="str">
        <f t="shared" si="7"/>
        <v>1|16503|20</v>
      </c>
      <c r="W73" t="str">
        <f t="shared" si="8"/>
        <v/>
      </c>
      <c r="X73" t="str">
        <f t="shared" si="9"/>
        <v/>
      </c>
      <c r="Z73" t="str">
        <f t="shared" si="10"/>
        <v>4|1|47500,1|16503|20</v>
      </c>
    </row>
    <row r="74" spans="6:26" ht="16.5" x14ac:dyDescent="0.15">
      <c r="F74" s="6">
        <v>34119</v>
      </c>
      <c r="G74">
        <v>34100</v>
      </c>
      <c r="H74">
        <v>34003</v>
      </c>
      <c r="K74" t="s">
        <v>4</v>
      </c>
      <c r="L74" t="s">
        <v>5</v>
      </c>
      <c r="M74" t="s">
        <v>14</v>
      </c>
      <c r="N74" t="s">
        <v>6</v>
      </c>
      <c r="P74" t="s">
        <v>32</v>
      </c>
      <c r="Q74" t="s">
        <v>8</v>
      </c>
      <c r="R74" t="s">
        <v>10</v>
      </c>
      <c r="S74" t="s">
        <v>6</v>
      </c>
      <c r="U74" t="str">
        <f t="shared" si="6"/>
        <v>4|1|47500</v>
      </c>
      <c r="V74" t="str">
        <f t="shared" si="7"/>
        <v>1|16503|20</v>
      </c>
      <c r="W74" t="str">
        <f t="shared" si="8"/>
        <v>1|14309|1</v>
      </c>
      <c r="X74" t="str">
        <f t="shared" si="9"/>
        <v/>
      </c>
      <c r="Z74" t="str">
        <f t="shared" si="10"/>
        <v>4|1|47500,1|16503|20,1|14309|1</v>
      </c>
    </row>
    <row r="75" spans="6:26" ht="16.5" x14ac:dyDescent="0.15">
      <c r="F75" s="6">
        <v>34119</v>
      </c>
      <c r="G75">
        <v>34100</v>
      </c>
      <c r="H75">
        <v>34006</v>
      </c>
      <c r="K75" t="s">
        <v>4</v>
      </c>
      <c r="L75" t="s">
        <v>5</v>
      </c>
      <c r="M75" t="s">
        <v>17</v>
      </c>
      <c r="N75" t="s">
        <v>6</v>
      </c>
      <c r="P75" t="s">
        <v>32</v>
      </c>
      <c r="Q75" t="s">
        <v>8</v>
      </c>
      <c r="R75" t="s">
        <v>10</v>
      </c>
      <c r="S75" t="s">
        <v>6</v>
      </c>
      <c r="U75" t="str">
        <f t="shared" si="6"/>
        <v>4|1|47500</v>
      </c>
      <c r="V75" t="str">
        <f t="shared" si="7"/>
        <v>1|16503|20</v>
      </c>
      <c r="W75" t="str">
        <f t="shared" si="8"/>
        <v>1|14302|1</v>
      </c>
      <c r="X75" t="str">
        <f t="shared" si="9"/>
        <v/>
      </c>
      <c r="Z75" t="str">
        <f t="shared" si="10"/>
        <v>4|1|47500,1|16503|20,1|14302|1</v>
      </c>
    </row>
  </sheetData>
  <phoneticPr fontId="4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2006-09-16T00:00:00Z</dcterms:created>
  <dcterms:modified xsi:type="dcterms:W3CDTF">2018-02-11T07:17:47Z</dcterms:modified>
</cp:coreProperties>
</file>