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95" windowWidth="14805" windowHeight="7920"/>
  </bookViews>
  <sheets>
    <sheet name="Sheet1" sheetId="6" r:id="rId1"/>
    <sheet name="Sheet2" sheetId="7" r:id="rId2"/>
  </sheets>
  <functionGroups/>
  <externalReferences>
    <externalReference r:id="rId3"/>
    <externalReference r:id="rId4"/>
  </externalReferences>
  <definedNames>
    <definedName name="_xlnm._FilterDatabase" localSheetId="0" hidden="1">Sheet1!$A$1:$J$53</definedName>
  </definedNames>
  <calcPr calcId="124519"/>
</workbook>
</file>

<file path=xl/calcChain.xml><?xml version="1.0" encoding="utf-8"?>
<calcChain xmlns="http://schemas.openxmlformats.org/spreadsheetml/2006/main">
  <c r="U19" i="6"/>
  <c r="V19" s="1"/>
  <c r="U20"/>
  <c r="V20" s="1"/>
  <c r="U21"/>
  <c r="V21" s="1"/>
  <c r="U22"/>
  <c r="V22" s="1"/>
  <c r="U23"/>
  <c r="V23" s="1"/>
  <c r="U24"/>
  <c r="V24" s="1"/>
  <c r="U25"/>
  <c r="V25" s="1"/>
  <c r="U26"/>
  <c r="V26" s="1"/>
  <c r="U27"/>
  <c r="V27" s="1"/>
  <c r="U28"/>
  <c r="V28" s="1"/>
  <c r="U29"/>
  <c r="V29" s="1"/>
  <c r="U30"/>
  <c r="V30" s="1"/>
  <c r="U31"/>
  <c r="V31" s="1"/>
  <c r="U32"/>
  <c r="V32" s="1"/>
  <c r="U33"/>
  <c r="V33" s="1"/>
  <c r="U34"/>
  <c r="V34" s="1"/>
  <c r="U35"/>
  <c r="V35" s="1"/>
  <c r="U36"/>
  <c r="V36" s="1"/>
  <c r="U37"/>
  <c r="V37" s="1"/>
  <c r="U38"/>
  <c r="V38" s="1"/>
  <c r="U39"/>
  <c r="V39" s="1"/>
  <c r="U40"/>
  <c r="V40" s="1"/>
  <c r="U41"/>
  <c r="V41" s="1"/>
  <c r="U42"/>
  <c r="V42" s="1"/>
  <c r="U43"/>
  <c r="V43" s="1"/>
  <c r="U44"/>
  <c r="V44" s="1"/>
  <c r="U45"/>
  <c r="V45" s="1"/>
  <c r="U46"/>
  <c r="V46" s="1"/>
  <c r="U47"/>
  <c r="V47" s="1"/>
  <c r="U48"/>
  <c r="V48" s="1"/>
  <c r="U49"/>
  <c r="V49" s="1"/>
  <c r="U50"/>
  <c r="V50" s="1"/>
  <c r="U51"/>
  <c r="V51" s="1"/>
  <c r="U52"/>
  <c r="V52" s="1"/>
  <c r="U53"/>
  <c r="V53" s="1"/>
  <c r="U54"/>
  <c r="V54" s="1"/>
  <c r="U55"/>
  <c r="V55" s="1"/>
  <c r="U56"/>
  <c r="V56" s="1"/>
  <c r="U57"/>
  <c r="V57" s="1"/>
  <c r="U58"/>
  <c r="V58" s="1"/>
  <c r="U59"/>
  <c r="V59" s="1"/>
  <c r="U60"/>
  <c r="V60" s="1"/>
  <c r="U61"/>
  <c r="V61" s="1"/>
  <c r="U62"/>
  <c r="V62" s="1"/>
  <c r="U63"/>
  <c r="V63" s="1"/>
  <c r="U64"/>
  <c r="V64" s="1"/>
  <c r="U65"/>
  <c r="V65" s="1"/>
  <c r="U66"/>
  <c r="V66" s="1"/>
  <c r="U67"/>
  <c r="V67" s="1"/>
  <c r="U68"/>
  <c r="V68" s="1"/>
  <c r="U69"/>
  <c r="V69" s="1"/>
  <c r="U70"/>
  <c r="V70" s="1"/>
  <c r="U71"/>
  <c r="V71" s="1"/>
  <c r="U72"/>
  <c r="V72" s="1"/>
  <c r="U73"/>
  <c r="V73" s="1"/>
  <c r="U74"/>
  <c r="V74" s="1"/>
  <c r="U75"/>
  <c r="V75" s="1"/>
  <c r="U76"/>
  <c r="V76" s="1"/>
  <c r="U77"/>
  <c r="V77" s="1"/>
  <c r="U78"/>
  <c r="V78" s="1"/>
  <c r="U79"/>
  <c r="V79" s="1"/>
  <c r="U80"/>
  <c r="V80" s="1"/>
  <c r="U81"/>
  <c r="V81" s="1"/>
  <c r="U82"/>
  <c r="V82" s="1"/>
  <c r="U83"/>
  <c r="V83" s="1"/>
  <c r="U84"/>
  <c r="V84" s="1"/>
  <c r="U85"/>
  <c r="V85" s="1"/>
  <c r="U86"/>
  <c r="V86" s="1"/>
  <c r="U87"/>
  <c r="V87" s="1"/>
  <c r="U88"/>
  <c r="V88" s="1"/>
  <c r="U89"/>
  <c r="V89" s="1"/>
  <c r="U90"/>
  <c r="V90" s="1"/>
  <c r="U91"/>
  <c r="V91" s="1"/>
  <c r="U92"/>
  <c r="V92" s="1"/>
  <c r="U93"/>
  <c r="V93" s="1"/>
  <c r="U94"/>
  <c r="V94" s="1"/>
  <c r="U95"/>
  <c r="V95" s="1"/>
  <c r="U96"/>
  <c r="V96" s="1"/>
  <c r="U97"/>
  <c r="V97" s="1"/>
  <c r="U98"/>
  <c r="V98" s="1"/>
  <c r="U99"/>
  <c r="V99" s="1"/>
  <c r="U100"/>
  <c r="V100" s="1"/>
  <c r="U101"/>
  <c r="V101" s="1"/>
  <c r="U102"/>
  <c r="V102" s="1"/>
  <c r="U103"/>
  <c r="V103" s="1"/>
  <c r="U104"/>
  <c r="V104" s="1"/>
  <c r="U105"/>
  <c r="V105" s="1"/>
  <c r="U106"/>
  <c r="V106" s="1"/>
  <c r="U107"/>
  <c r="V107" s="1"/>
  <c r="U108"/>
  <c r="V108" s="1"/>
  <c r="U109"/>
  <c r="V109" s="1"/>
  <c r="U110"/>
  <c r="V110" s="1"/>
  <c r="U111"/>
  <c r="V111" s="1"/>
  <c r="U112"/>
  <c r="V112" s="1"/>
  <c r="U113"/>
  <c r="V113" s="1"/>
  <c r="U114"/>
  <c r="V114" s="1"/>
  <c r="U115"/>
  <c r="V115" s="1"/>
  <c r="U116"/>
  <c r="V116" s="1"/>
  <c r="U117"/>
  <c r="V117" s="1"/>
  <c r="U118"/>
  <c r="V118" s="1"/>
  <c r="U119"/>
  <c r="V119" s="1"/>
  <c r="U120"/>
  <c r="V120" s="1"/>
  <c r="U121"/>
  <c r="V121" s="1"/>
  <c r="U122"/>
  <c r="V122" s="1"/>
  <c r="U123"/>
  <c r="V123" s="1"/>
  <c r="U124"/>
  <c r="V124" s="1"/>
  <c r="U125"/>
  <c r="V125" s="1"/>
  <c r="U126"/>
  <c r="V126" s="1"/>
  <c r="U127"/>
  <c r="V127" s="1"/>
  <c r="U128"/>
  <c r="V128" s="1"/>
  <c r="U129"/>
  <c r="V129" s="1"/>
  <c r="U130"/>
  <c r="V130" s="1"/>
  <c r="U131"/>
  <c r="V131" s="1"/>
  <c r="U132"/>
  <c r="V132" s="1"/>
  <c r="U133"/>
  <c r="V133" s="1"/>
  <c r="U134"/>
  <c r="V134" s="1"/>
  <c r="U135"/>
  <c r="V135" s="1"/>
  <c r="U136"/>
  <c r="V136" s="1"/>
  <c r="U137"/>
  <c r="V137" s="1"/>
  <c r="U138"/>
  <c r="V138" s="1"/>
  <c r="U139"/>
  <c r="V139" s="1"/>
  <c r="U140"/>
  <c r="V140" s="1"/>
  <c r="U141"/>
  <c r="V141" s="1"/>
  <c r="U142"/>
  <c r="V142" s="1"/>
  <c r="U143"/>
  <c r="V143" s="1"/>
  <c r="U144"/>
  <c r="V144" s="1"/>
  <c r="U145"/>
  <c r="V145" s="1"/>
  <c r="U146"/>
  <c r="V146" s="1"/>
  <c r="U147"/>
  <c r="V147" s="1"/>
  <c r="U148"/>
  <c r="V148" s="1"/>
  <c r="U149"/>
  <c r="V149" s="1"/>
  <c r="U150"/>
  <c r="V150" s="1"/>
  <c r="U151"/>
  <c r="V151" s="1"/>
  <c r="U152"/>
  <c r="V152" s="1"/>
  <c r="U153"/>
  <c r="V153" s="1"/>
  <c r="U154"/>
  <c r="V154" s="1"/>
  <c r="U155"/>
  <c r="V155" s="1"/>
  <c r="U156"/>
  <c r="V156" s="1"/>
  <c r="U157"/>
  <c r="V157" s="1"/>
  <c r="U158"/>
  <c r="V158" s="1"/>
  <c r="U159"/>
  <c r="V159" s="1"/>
  <c r="U160"/>
  <c r="V160" s="1"/>
  <c r="U161"/>
  <c r="V161" s="1"/>
  <c r="U162"/>
  <c r="V162" s="1"/>
  <c r="U163"/>
  <c r="V163" s="1"/>
  <c r="U164"/>
  <c r="V164" s="1"/>
  <c r="U165"/>
  <c r="V165" s="1"/>
  <c r="U166"/>
  <c r="V166" s="1"/>
  <c r="U167"/>
  <c r="V167" s="1"/>
  <c r="U168"/>
  <c r="V168" s="1"/>
  <c r="U169"/>
  <c r="V169" s="1"/>
  <c r="U170"/>
  <c r="V170" s="1"/>
  <c r="U171"/>
  <c r="V171" s="1"/>
  <c r="U172"/>
  <c r="V172" s="1"/>
  <c r="U173"/>
  <c r="V173" s="1"/>
  <c r="U174"/>
  <c r="V174" s="1"/>
  <c r="U175"/>
  <c r="V175" s="1"/>
  <c r="U176"/>
  <c r="V176" s="1"/>
  <c r="U177"/>
  <c r="V177" s="1"/>
  <c r="U178"/>
  <c r="V178" s="1"/>
  <c r="U179"/>
  <c r="V179" s="1"/>
  <c r="U180"/>
  <c r="V180" s="1"/>
  <c r="U181"/>
  <c r="V181" s="1"/>
  <c r="U182"/>
  <c r="V182" s="1"/>
  <c r="U183"/>
  <c r="V183" s="1"/>
  <c r="U184"/>
  <c r="V184" s="1"/>
  <c r="U185"/>
  <c r="V185" s="1"/>
  <c r="U186"/>
  <c r="V186" s="1"/>
  <c r="U187"/>
  <c r="V187" s="1"/>
  <c r="U188"/>
  <c r="V188" s="1"/>
  <c r="U189"/>
  <c r="V189" s="1"/>
  <c r="U190"/>
  <c r="V190" s="1"/>
  <c r="U191"/>
  <c r="V191" s="1"/>
  <c r="U192"/>
  <c r="V192" s="1"/>
  <c r="U193"/>
  <c r="V193" s="1"/>
  <c r="U194"/>
  <c r="V194" s="1"/>
  <c r="U195"/>
  <c r="V195" s="1"/>
  <c r="U196"/>
  <c r="V196" s="1"/>
  <c r="U197"/>
  <c r="V197" s="1"/>
  <c r="U198"/>
  <c r="V198" s="1"/>
  <c r="U199"/>
  <c r="V199" s="1"/>
  <c r="U200"/>
  <c r="V200" s="1"/>
  <c r="U201"/>
  <c r="V201" s="1"/>
  <c r="U202"/>
  <c r="V202" s="1"/>
  <c r="U203"/>
  <c r="V203" s="1"/>
  <c r="U204"/>
  <c r="V204" s="1"/>
  <c r="U205"/>
  <c r="V205" s="1"/>
  <c r="U206"/>
  <c r="V206" s="1"/>
  <c r="U207"/>
  <c r="V207" s="1"/>
  <c r="U208"/>
  <c r="V208" s="1"/>
  <c r="U209"/>
  <c r="V209" s="1"/>
  <c r="U210"/>
  <c r="V210" s="1"/>
  <c r="U211"/>
  <c r="V211" s="1"/>
  <c r="U212"/>
  <c r="V212" s="1"/>
  <c r="U213"/>
  <c r="V213" s="1"/>
  <c r="U214"/>
  <c r="V214" s="1"/>
  <c r="U215"/>
  <c r="V215" s="1"/>
  <c r="U216"/>
  <c r="V216" s="1"/>
  <c r="U217"/>
  <c r="V217" s="1"/>
  <c r="U218"/>
  <c r="V218" s="1"/>
  <c r="U219"/>
  <c r="V219" s="1"/>
  <c r="U220"/>
  <c r="V220" s="1"/>
  <c r="U221"/>
  <c r="V221" s="1"/>
  <c r="U222"/>
  <c r="V222" s="1"/>
  <c r="U223"/>
  <c r="V223" s="1"/>
  <c r="U224"/>
  <c r="V224" s="1"/>
  <c r="U225"/>
  <c r="V225" s="1"/>
  <c r="U226"/>
  <c r="V226" s="1"/>
  <c r="U227"/>
  <c r="V227" s="1"/>
  <c r="U228"/>
  <c r="V228" s="1"/>
  <c r="U229"/>
  <c r="V229" s="1"/>
  <c r="U230"/>
  <c r="V230" s="1"/>
  <c r="U231"/>
  <c r="V231" s="1"/>
  <c r="U232"/>
  <c r="V232" s="1"/>
  <c r="U233"/>
  <c r="V233" s="1"/>
  <c r="U234"/>
  <c r="V234" s="1"/>
  <c r="U235"/>
  <c r="V235" s="1"/>
  <c r="U236"/>
  <c r="V236" s="1"/>
  <c r="U237"/>
  <c r="V237" s="1"/>
  <c r="U238"/>
  <c r="V238" s="1"/>
  <c r="U239"/>
  <c r="V239" s="1"/>
  <c r="U240"/>
  <c r="V240" s="1"/>
  <c r="U241"/>
  <c r="V241" s="1"/>
  <c r="U242"/>
  <c r="V242" s="1"/>
  <c r="U243"/>
  <c r="V243" s="1"/>
  <c r="U244"/>
  <c r="V244" s="1"/>
  <c r="U245"/>
  <c r="V245" s="1"/>
  <c r="U246"/>
  <c r="V246" s="1"/>
  <c r="U247"/>
  <c r="V247" s="1"/>
  <c r="U248"/>
  <c r="V248" s="1"/>
  <c r="U249"/>
  <c r="V249" s="1"/>
  <c r="U250"/>
  <c r="V250" s="1"/>
  <c r="U251"/>
  <c r="V251" s="1"/>
  <c r="U252"/>
  <c r="V252" s="1"/>
  <c r="U253"/>
  <c r="V253" s="1"/>
  <c r="U254"/>
  <c r="V254" s="1"/>
  <c r="U255"/>
  <c r="V255" s="1"/>
  <c r="U256"/>
  <c r="V256" s="1"/>
  <c r="U257"/>
  <c r="V257" s="1"/>
  <c r="U258"/>
  <c r="V258" s="1"/>
  <c r="U259"/>
  <c r="V259" s="1"/>
  <c r="U260"/>
  <c r="V260" s="1"/>
  <c r="U261"/>
  <c r="V261" s="1"/>
  <c r="U262"/>
  <c r="V262" s="1"/>
  <c r="U263"/>
  <c r="V263" s="1"/>
  <c r="U264"/>
  <c r="V264" s="1"/>
  <c r="U265"/>
  <c r="V265" s="1"/>
  <c r="U266"/>
  <c r="V266" s="1"/>
  <c r="U267"/>
  <c r="V267" s="1"/>
  <c r="U268"/>
  <c r="V268" s="1"/>
  <c r="U269"/>
  <c r="V269" s="1"/>
  <c r="U270"/>
  <c r="V270" s="1"/>
  <c r="U271"/>
  <c r="V271" s="1"/>
  <c r="U272"/>
  <c r="V272" s="1"/>
  <c r="U273"/>
  <c r="V273" s="1"/>
  <c r="U274"/>
  <c r="V274" s="1"/>
  <c r="U275"/>
  <c r="V275" s="1"/>
  <c r="U276"/>
  <c r="V276" s="1"/>
  <c r="U277"/>
  <c r="V277" s="1"/>
  <c r="U278"/>
  <c r="V278" s="1"/>
  <c r="U279"/>
  <c r="V279" s="1"/>
  <c r="U280"/>
  <c r="V280" s="1"/>
  <c r="U281"/>
  <c r="V281" s="1"/>
  <c r="U282"/>
  <c r="V282" s="1"/>
  <c r="U283"/>
  <c r="V283" s="1"/>
  <c r="U284"/>
  <c r="V284" s="1"/>
  <c r="U285"/>
  <c r="V285" s="1"/>
  <c r="U286"/>
  <c r="V286" s="1"/>
  <c r="U287"/>
  <c r="V287" s="1"/>
  <c r="U288"/>
  <c r="V288" s="1"/>
  <c r="U289"/>
  <c r="V289" s="1"/>
  <c r="U290"/>
  <c r="V290" s="1"/>
  <c r="U291"/>
  <c r="V291" s="1"/>
  <c r="U292"/>
  <c r="V292" s="1"/>
  <c r="U293"/>
  <c r="V293" s="1"/>
  <c r="U294"/>
  <c r="V294" s="1"/>
  <c r="U295"/>
  <c r="V295" s="1"/>
  <c r="U296"/>
  <c r="V296" s="1"/>
  <c r="U297"/>
  <c r="V297" s="1"/>
  <c r="U298"/>
  <c r="V298" s="1"/>
  <c r="U299"/>
  <c r="V299" s="1"/>
  <c r="U300"/>
  <c r="V300" s="1"/>
  <c r="U301"/>
  <c r="V301" s="1"/>
  <c r="U302"/>
  <c r="V302" s="1"/>
  <c r="U303"/>
  <c r="V303" s="1"/>
  <c r="U304"/>
  <c r="V304" s="1"/>
  <c r="U305"/>
  <c r="V305" s="1"/>
  <c r="U306"/>
  <c r="V306" s="1"/>
  <c r="U307"/>
  <c r="V307" s="1"/>
  <c r="U308"/>
  <c r="V308" s="1"/>
  <c r="U309"/>
  <c r="V309" s="1"/>
  <c r="U310"/>
  <c r="V310" s="1"/>
  <c r="U311"/>
  <c r="V311" s="1"/>
  <c r="U312"/>
  <c r="V312" s="1"/>
  <c r="U313"/>
  <c r="V313" s="1"/>
  <c r="U314"/>
  <c r="V314" s="1"/>
  <c r="U315"/>
  <c r="V315" s="1"/>
  <c r="U316"/>
  <c r="V316" s="1"/>
  <c r="U317"/>
  <c r="V317" s="1"/>
  <c r="U318"/>
  <c r="V318" s="1"/>
  <c r="U319"/>
  <c r="V319" s="1"/>
  <c r="U320"/>
  <c r="V320" s="1"/>
  <c r="U321"/>
  <c r="V321" s="1"/>
  <c r="U322"/>
  <c r="V322" s="1"/>
  <c r="U323"/>
  <c r="V323" s="1"/>
  <c r="U324"/>
  <c r="V324" s="1"/>
  <c r="U325"/>
  <c r="V325" s="1"/>
  <c r="U326"/>
  <c r="V326" s="1"/>
  <c r="U327"/>
  <c r="V327" s="1"/>
  <c r="U328"/>
  <c r="V328" s="1"/>
  <c r="U329"/>
  <c r="V329" s="1"/>
  <c r="U330"/>
  <c r="V330" s="1"/>
  <c r="U331"/>
  <c r="V331" s="1"/>
  <c r="U332"/>
  <c r="V332" s="1"/>
  <c r="U333"/>
  <c r="V333" s="1"/>
  <c r="U334"/>
  <c r="V334" s="1"/>
  <c r="U335"/>
  <c r="V335" s="1"/>
  <c r="U336"/>
  <c r="V336" s="1"/>
  <c r="U337"/>
  <c r="V337" s="1"/>
  <c r="U338"/>
  <c r="V338" s="1"/>
  <c r="U339"/>
  <c r="V339" s="1"/>
  <c r="U340"/>
  <c r="V340" s="1"/>
  <c r="U341"/>
  <c r="V341" s="1"/>
  <c r="U342"/>
  <c r="V342" s="1"/>
  <c r="U343"/>
  <c r="V343" s="1"/>
  <c r="U344"/>
  <c r="V344" s="1"/>
  <c r="U345"/>
  <c r="V345" s="1"/>
  <c r="U346"/>
  <c r="V346" s="1"/>
  <c r="U347"/>
  <c r="V347" s="1"/>
  <c r="U348"/>
  <c r="V348" s="1"/>
  <c r="U349"/>
  <c r="V349" s="1"/>
  <c r="U350"/>
  <c r="V350" s="1"/>
  <c r="U351"/>
  <c r="V351" s="1"/>
  <c r="U352"/>
  <c r="V352" s="1"/>
  <c r="U353"/>
  <c r="V353" s="1"/>
  <c r="U354"/>
  <c r="V354" s="1"/>
  <c r="U355"/>
  <c r="V355" s="1"/>
  <c r="U356"/>
  <c r="V356" s="1"/>
  <c r="U357"/>
  <c r="V357" s="1"/>
  <c r="U358"/>
  <c r="V358" s="1"/>
  <c r="U359"/>
  <c r="V359" s="1"/>
  <c r="U360"/>
  <c r="V360" s="1"/>
  <c r="U361"/>
  <c r="V361" s="1"/>
  <c r="U362"/>
  <c r="V362" s="1"/>
  <c r="U363"/>
  <c r="V363" s="1"/>
  <c r="U364"/>
  <c r="V364" s="1"/>
  <c r="U365"/>
  <c r="V365" s="1"/>
  <c r="U366"/>
  <c r="V366" s="1"/>
  <c r="U367"/>
  <c r="V367" s="1"/>
  <c r="U368"/>
  <c r="V368" s="1"/>
  <c r="U369"/>
  <c r="V369" s="1"/>
  <c r="U370"/>
  <c r="V370" s="1"/>
  <c r="U371"/>
  <c r="V371" s="1"/>
  <c r="U372"/>
  <c r="V372" s="1"/>
  <c r="U373"/>
  <c r="V373" s="1"/>
  <c r="U374"/>
  <c r="V374" s="1"/>
  <c r="U375"/>
  <c r="V375" s="1"/>
  <c r="U376"/>
  <c r="V376" s="1"/>
  <c r="U377"/>
  <c r="V377" s="1"/>
  <c r="U378"/>
  <c r="V378" s="1"/>
  <c r="U379"/>
  <c r="V379" s="1"/>
  <c r="U380"/>
  <c r="V380" s="1"/>
  <c r="U381"/>
  <c r="V381" s="1"/>
  <c r="U382"/>
  <c r="V382" s="1"/>
  <c r="U383"/>
  <c r="V383" s="1"/>
  <c r="U384"/>
  <c r="V384" s="1"/>
  <c r="U385"/>
  <c r="V385" s="1"/>
  <c r="U386"/>
  <c r="V386" s="1"/>
  <c r="U387"/>
  <c r="V387" s="1"/>
  <c r="U388"/>
  <c r="V388" s="1"/>
  <c r="U389"/>
  <c r="V389" s="1"/>
  <c r="U390"/>
  <c r="V390" s="1"/>
  <c r="U391"/>
  <c r="V391" s="1"/>
  <c r="U392"/>
  <c r="V392" s="1"/>
  <c r="U393"/>
  <c r="V393" s="1"/>
  <c r="U394"/>
  <c r="V394" s="1"/>
  <c r="U395"/>
  <c r="V395" s="1"/>
  <c r="U396"/>
  <c r="V396" s="1"/>
  <c r="U397"/>
  <c r="V397" s="1"/>
  <c r="U398"/>
  <c r="V398" s="1"/>
  <c r="U399"/>
  <c r="V399" s="1"/>
  <c r="U400"/>
  <c r="V400" s="1"/>
  <c r="U401"/>
  <c r="V401" s="1"/>
  <c r="U402"/>
  <c r="V402" s="1"/>
  <c r="U403"/>
  <c r="V403" s="1"/>
  <c r="U404"/>
  <c r="V404" s="1"/>
  <c r="U405"/>
  <c r="V405" s="1"/>
  <c r="U406"/>
  <c r="V406" s="1"/>
  <c r="U407"/>
  <c r="V407" s="1"/>
  <c r="U408"/>
  <c r="V408" s="1"/>
  <c r="U409"/>
  <c r="V409" s="1"/>
  <c r="U410"/>
  <c r="V410" s="1"/>
  <c r="U411"/>
  <c r="V411" s="1"/>
  <c r="U412"/>
  <c r="V412" s="1"/>
  <c r="U413"/>
  <c r="V413" s="1"/>
  <c r="U5"/>
  <c r="V5" s="1"/>
  <c r="U6"/>
  <c r="V6" s="1"/>
  <c r="U7"/>
  <c r="V7" s="1"/>
  <c r="U8"/>
  <c r="V8" s="1"/>
  <c r="U9"/>
  <c r="V9" s="1"/>
  <c r="U10"/>
  <c r="V10" s="1"/>
  <c r="U11"/>
  <c r="V11" s="1"/>
  <c r="U12"/>
  <c r="V12" s="1"/>
  <c r="U13"/>
  <c r="V13" s="1"/>
  <c r="U14"/>
  <c r="V14" s="1"/>
  <c r="U15"/>
  <c r="V15" s="1"/>
  <c r="U16"/>
  <c r="V16" s="1"/>
  <c r="U17"/>
  <c r="V17" s="1"/>
  <c r="U18"/>
  <c r="V18" s="1"/>
  <c r="U4"/>
  <c r="V4" s="1"/>
  <c r="O5" l="1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K64"/>
  <c r="L64"/>
  <c r="K65"/>
  <c r="L65"/>
  <c r="K66"/>
  <c r="L66"/>
  <c r="K67"/>
  <c r="L67"/>
  <c r="K68"/>
  <c r="L68"/>
  <c r="K69"/>
  <c r="L69"/>
  <c r="K70"/>
  <c r="L70"/>
  <c r="K71"/>
  <c r="L71"/>
  <c r="K72"/>
  <c r="L72"/>
  <c r="K73"/>
  <c r="L73"/>
  <c r="K74"/>
  <c r="L74"/>
  <c r="K75"/>
  <c r="L75"/>
  <c r="K76"/>
  <c r="L76"/>
  <c r="K77"/>
  <c r="L77"/>
  <c r="K78"/>
  <c r="L78"/>
  <c r="N78" s="1"/>
  <c r="K79"/>
  <c r="L79"/>
  <c r="K80"/>
  <c r="L80"/>
  <c r="K81"/>
  <c r="L81"/>
  <c r="K82"/>
  <c r="L82"/>
  <c r="K83"/>
  <c r="L83"/>
  <c r="K84"/>
  <c r="L84"/>
  <c r="N84" s="1"/>
  <c r="K85"/>
  <c r="L85"/>
  <c r="K86"/>
  <c r="L86"/>
  <c r="N86" s="1"/>
  <c r="K87"/>
  <c r="L87"/>
  <c r="K88"/>
  <c r="L88"/>
  <c r="K89"/>
  <c r="L89"/>
  <c r="K90"/>
  <c r="L90"/>
  <c r="K91"/>
  <c r="L91"/>
  <c r="K92"/>
  <c r="L92"/>
  <c r="N92" s="1"/>
  <c r="K93"/>
  <c r="L93"/>
  <c r="K94"/>
  <c r="L94"/>
  <c r="N94" s="1"/>
  <c r="K95"/>
  <c r="L95"/>
  <c r="K96"/>
  <c r="L96"/>
  <c r="N96" s="1"/>
  <c r="K97"/>
  <c r="L97"/>
  <c r="K98"/>
  <c r="L98"/>
  <c r="N98" s="1"/>
  <c r="K99"/>
  <c r="L99"/>
  <c r="N99" s="1"/>
  <c r="K100"/>
  <c r="L100"/>
  <c r="N100" s="1"/>
  <c r="K101"/>
  <c r="L101"/>
  <c r="N101" s="1"/>
  <c r="K102"/>
  <c r="L102"/>
  <c r="K103"/>
  <c r="L103"/>
  <c r="N103" s="1"/>
  <c r="K104"/>
  <c r="L104"/>
  <c r="K105"/>
  <c r="L105"/>
  <c r="K106"/>
  <c r="L106"/>
  <c r="K107"/>
  <c r="L107"/>
  <c r="K108"/>
  <c r="L108"/>
  <c r="K109"/>
  <c r="L109"/>
  <c r="K110"/>
  <c r="L110"/>
  <c r="N110" s="1"/>
  <c r="K111"/>
  <c r="L111"/>
  <c r="N111" s="1"/>
  <c r="K112"/>
  <c r="L112"/>
  <c r="N112" s="1"/>
  <c r="K113"/>
  <c r="L113"/>
  <c r="N113" s="1"/>
  <c r="K114"/>
  <c r="L114"/>
  <c r="N114" s="1"/>
  <c r="K115"/>
  <c r="L115"/>
  <c r="K116"/>
  <c r="L116"/>
  <c r="N116" s="1"/>
  <c r="K117"/>
  <c r="L117"/>
  <c r="K118"/>
  <c r="L118"/>
  <c r="K119"/>
  <c r="L119"/>
  <c r="K120"/>
  <c r="L120"/>
  <c r="N120" s="1"/>
  <c r="K121"/>
  <c r="L121"/>
  <c r="N121" s="1"/>
  <c r="K122"/>
  <c r="L122"/>
  <c r="K123"/>
  <c r="L123"/>
  <c r="K124"/>
  <c r="L124"/>
  <c r="K125"/>
  <c r="L125"/>
  <c r="N125" s="1"/>
  <c r="K126"/>
  <c r="L126"/>
  <c r="K127"/>
  <c r="L127"/>
  <c r="N127" s="1"/>
  <c r="K128"/>
  <c r="L128"/>
  <c r="N128" s="1"/>
  <c r="K129"/>
  <c r="L129"/>
  <c r="K130"/>
  <c r="L130"/>
  <c r="N130" s="1"/>
  <c r="K131"/>
  <c r="L131"/>
  <c r="N131" s="1"/>
  <c r="K132"/>
  <c r="L132"/>
  <c r="N132" s="1"/>
  <c r="K133"/>
  <c r="L133"/>
  <c r="K134"/>
  <c r="L134"/>
  <c r="K135"/>
  <c r="L135"/>
  <c r="N135" s="1"/>
  <c r="K136"/>
  <c r="L136"/>
  <c r="N136" s="1"/>
  <c r="K137"/>
  <c r="L137"/>
  <c r="N137" s="1"/>
  <c r="K138"/>
  <c r="L138"/>
  <c r="K139"/>
  <c r="L139"/>
  <c r="K140"/>
  <c r="L140"/>
  <c r="N140" s="1"/>
  <c r="K141"/>
  <c r="L141"/>
  <c r="K142"/>
  <c r="L142"/>
  <c r="N142" s="1"/>
  <c r="K143"/>
  <c r="L143"/>
  <c r="K144"/>
  <c r="L144"/>
  <c r="K145"/>
  <c r="L145"/>
  <c r="N145" s="1"/>
  <c r="K146"/>
  <c r="L146"/>
  <c r="N146" s="1"/>
  <c r="K147"/>
  <c r="L147"/>
  <c r="N147" s="1"/>
  <c r="K148"/>
  <c r="L148"/>
  <c r="K149"/>
  <c r="L149"/>
  <c r="N149" s="1"/>
  <c r="K150"/>
  <c r="L150"/>
  <c r="N150" s="1"/>
  <c r="K151"/>
  <c r="L151"/>
  <c r="N151" s="1"/>
  <c r="K152"/>
  <c r="L152"/>
  <c r="K153"/>
  <c r="L153"/>
  <c r="K154"/>
  <c r="L154"/>
  <c r="K155"/>
  <c r="L155"/>
  <c r="N155" s="1"/>
  <c r="K156"/>
  <c r="L156"/>
  <c r="N156" s="1"/>
  <c r="K157"/>
  <c r="L157"/>
  <c r="N157" s="1"/>
  <c r="K158"/>
  <c r="L158"/>
  <c r="N158" s="1"/>
  <c r="K159"/>
  <c r="L159"/>
  <c r="K160"/>
  <c r="L160"/>
  <c r="N160" s="1"/>
  <c r="K161"/>
  <c r="L161"/>
  <c r="K162"/>
  <c r="L162"/>
  <c r="N162" s="1"/>
  <c r="K163"/>
  <c r="L163"/>
  <c r="N163" s="1"/>
  <c r="K164"/>
  <c r="L164"/>
  <c r="K165"/>
  <c r="L165"/>
  <c r="N165" s="1"/>
  <c r="K166"/>
  <c r="L166"/>
  <c r="K167"/>
  <c r="L167"/>
  <c r="N167" s="1"/>
  <c r="K168"/>
  <c r="L168"/>
  <c r="K169"/>
  <c r="L169"/>
  <c r="K170"/>
  <c r="L170"/>
  <c r="N170" s="1"/>
  <c r="K171"/>
  <c r="L171"/>
  <c r="K172"/>
  <c r="L172"/>
  <c r="K173"/>
  <c r="L173"/>
  <c r="N173" s="1"/>
  <c r="K174"/>
  <c r="L174"/>
  <c r="N174" s="1"/>
  <c r="K175"/>
  <c r="L175"/>
  <c r="K176"/>
  <c r="L176"/>
  <c r="N176" s="1"/>
  <c r="K177"/>
  <c r="L177"/>
  <c r="K178"/>
  <c r="L178"/>
  <c r="K179"/>
  <c r="L179"/>
  <c r="K180"/>
  <c r="L180"/>
  <c r="K181"/>
  <c r="L181"/>
  <c r="K182"/>
  <c r="L182"/>
  <c r="K183"/>
  <c r="L183"/>
  <c r="N183" s="1"/>
  <c r="K184"/>
  <c r="L184"/>
  <c r="N184" s="1"/>
  <c r="K185"/>
  <c r="L185"/>
  <c r="N185" s="1"/>
  <c r="K186"/>
  <c r="L186"/>
  <c r="K187"/>
  <c r="L187"/>
  <c r="K188"/>
  <c r="L188"/>
  <c r="N188" s="1"/>
  <c r="K189"/>
  <c r="L189"/>
  <c r="K190"/>
  <c r="L190"/>
  <c r="K191"/>
  <c r="L191"/>
  <c r="N191" s="1"/>
  <c r="K192"/>
  <c r="L192"/>
  <c r="N192" s="1"/>
  <c r="K193"/>
  <c r="L193"/>
  <c r="K194"/>
  <c r="L194"/>
  <c r="K195"/>
  <c r="L195"/>
  <c r="N195" s="1"/>
  <c r="K196"/>
  <c r="L196"/>
  <c r="K197"/>
  <c r="L197"/>
  <c r="K198"/>
  <c r="L198"/>
  <c r="N198" s="1"/>
  <c r="K199"/>
  <c r="L199"/>
  <c r="K200"/>
  <c r="L200"/>
  <c r="K201"/>
  <c r="L201"/>
  <c r="K202"/>
  <c r="L202"/>
  <c r="N202" s="1"/>
  <c r="K203"/>
  <c r="L203"/>
  <c r="K204"/>
  <c r="L204"/>
  <c r="K205"/>
  <c r="L205"/>
  <c r="K206"/>
  <c r="L206"/>
  <c r="N206" s="1"/>
  <c r="K207"/>
  <c r="L207"/>
  <c r="K208"/>
  <c r="L208"/>
  <c r="K209"/>
  <c r="L209"/>
  <c r="N209" s="1"/>
  <c r="K210"/>
  <c r="L210"/>
  <c r="N210" s="1"/>
  <c r="K211"/>
  <c r="L211"/>
  <c r="N211" s="1"/>
  <c r="K212"/>
  <c r="L212"/>
  <c r="N212" s="1"/>
  <c r="K213"/>
  <c r="L213"/>
  <c r="K214"/>
  <c r="L214"/>
  <c r="N214" s="1"/>
  <c r="K215"/>
  <c r="L215"/>
  <c r="K216"/>
  <c r="L216"/>
  <c r="K217"/>
  <c r="L217"/>
  <c r="K218"/>
  <c r="L218"/>
  <c r="K219"/>
  <c r="L219"/>
  <c r="N219" s="1"/>
  <c r="K220"/>
  <c r="L220"/>
  <c r="N220" s="1"/>
  <c r="K221"/>
  <c r="L221"/>
  <c r="N221" s="1"/>
  <c r="K222"/>
  <c r="L222"/>
  <c r="K223"/>
  <c r="L223"/>
  <c r="N223" s="1"/>
  <c r="K224"/>
  <c r="L224"/>
  <c r="K225"/>
  <c r="L225"/>
  <c r="K226"/>
  <c r="L226"/>
  <c r="N226" s="1"/>
  <c r="K227"/>
  <c r="L227"/>
  <c r="N227" s="1"/>
  <c r="K228"/>
  <c r="L228"/>
  <c r="N228" s="1"/>
  <c r="K229"/>
  <c r="L229"/>
  <c r="K230"/>
  <c r="L230"/>
  <c r="N230" s="1"/>
  <c r="K231"/>
  <c r="L231"/>
  <c r="K232"/>
  <c r="L232"/>
  <c r="K233"/>
  <c r="L233"/>
  <c r="N233" s="1"/>
  <c r="K234"/>
  <c r="L234"/>
  <c r="K235"/>
  <c r="L235"/>
  <c r="K236"/>
  <c r="L236"/>
  <c r="N236" s="1"/>
  <c r="K237"/>
  <c r="L237"/>
  <c r="K238"/>
  <c r="L238"/>
  <c r="K239"/>
  <c r="L239"/>
  <c r="N239" s="1"/>
  <c r="K240"/>
  <c r="L240"/>
  <c r="N240" s="1"/>
  <c r="K241"/>
  <c r="L241"/>
  <c r="N241" s="1"/>
  <c r="K242"/>
  <c r="L242"/>
  <c r="N242" s="1"/>
  <c r="K243"/>
  <c r="L243"/>
  <c r="K244"/>
  <c r="L244"/>
  <c r="N244" s="1"/>
  <c r="K245"/>
  <c r="L245"/>
  <c r="K246"/>
  <c r="L246"/>
  <c r="N246" s="1"/>
  <c r="K247"/>
  <c r="L247"/>
  <c r="N247" s="1"/>
  <c r="K248"/>
  <c r="L248"/>
  <c r="N248" s="1"/>
  <c r="K249"/>
  <c r="L249"/>
  <c r="K250"/>
  <c r="L250"/>
  <c r="N250" s="1"/>
  <c r="K251"/>
  <c r="L251"/>
  <c r="N251" s="1"/>
  <c r="K252"/>
  <c r="L252"/>
  <c r="K253"/>
  <c r="L253"/>
  <c r="K254"/>
  <c r="L254"/>
  <c r="N254" s="1"/>
  <c r="K255"/>
  <c r="L255"/>
  <c r="N255" s="1"/>
  <c r="K256"/>
  <c r="L256"/>
  <c r="K257"/>
  <c r="L257"/>
  <c r="K258"/>
  <c r="L258"/>
  <c r="K259"/>
  <c r="L259"/>
  <c r="K260"/>
  <c r="L260"/>
  <c r="N260" s="1"/>
  <c r="K261"/>
  <c r="L261"/>
  <c r="K262"/>
  <c r="L262"/>
  <c r="K263"/>
  <c r="L263"/>
  <c r="K264"/>
  <c r="L264"/>
  <c r="N264" s="1"/>
  <c r="K265"/>
  <c r="L265"/>
  <c r="N265" s="1"/>
  <c r="K266"/>
  <c r="L266"/>
  <c r="K267"/>
  <c r="L267"/>
  <c r="N267" s="1"/>
  <c r="K268"/>
  <c r="L268"/>
  <c r="N268" s="1"/>
  <c r="K269"/>
  <c r="L269"/>
  <c r="K270"/>
  <c r="L270"/>
  <c r="N270" s="1"/>
  <c r="K271"/>
  <c r="L271"/>
  <c r="N271" s="1"/>
  <c r="K272"/>
  <c r="L272"/>
  <c r="N272" s="1"/>
  <c r="K273"/>
  <c r="L273"/>
  <c r="N273" s="1"/>
  <c r="K274"/>
  <c r="L274"/>
  <c r="N274" s="1"/>
  <c r="K275"/>
  <c r="L275"/>
  <c r="K276"/>
  <c r="L276"/>
  <c r="N276" s="1"/>
  <c r="K277"/>
  <c r="L277"/>
  <c r="N277" s="1"/>
  <c r="K278"/>
  <c r="L278"/>
  <c r="K279"/>
  <c r="L279"/>
  <c r="K280"/>
  <c r="L280"/>
  <c r="N280" s="1"/>
  <c r="K281"/>
  <c r="L281"/>
  <c r="K282"/>
  <c r="L282"/>
  <c r="N282" s="1"/>
  <c r="K283"/>
  <c r="L283"/>
  <c r="N283" s="1"/>
  <c r="K284"/>
  <c r="L284"/>
  <c r="K285"/>
  <c r="L285"/>
  <c r="K286"/>
  <c r="L286"/>
  <c r="K287"/>
  <c r="L287"/>
  <c r="K288"/>
  <c r="L288"/>
  <c r="N288" s="1"/>
  <c r="K289"/>
  <c r="L289"/>
  <c r="K290"/>
  <c r="L290"/>
  <c r="N290" s="1"/>
  <c r="K291"/>
  <c r="L291"/>
  <c r="N291" s="1"/>
  <c r="K292"/>
  <c r="L292"/>
  <c r="K293"/>
  <c r="L293"/>
  <c r="N293" s="1"/>
  <c r="K294"/>
  <c r="L294"/>
  <c r="N294" s="1"/>
  <c r="K295"/>
  <c r="L295"/>
  <c r="N295" s="1"/>
  <c r="K296"/>
  <c r="L296"/>
  <c r="N296" s="1"/>
  <c r="K297"/>
  <c r="L297"/>
  <c r="N297" s="1"/>
  <c r="K298"/>
  <c r="L298"/>
  <c r="K299"/>
  <c r="L299"/>
  <c r="K300"/>
  <c r="L300"/>
  <c r="K301"/>
  <c r="L301"/>
  <c r="K302"/>
  <c r="L302"/>
  <c r="K303"/>
  <c r="L303"/>
  <c r="K304"/>
  <c r="L304"/>
  <c r="N304" s="1"/>
  <c r="K305"/>
  <c r="L305"/>
  <c r="K306"/>
  <c r="L306"/>
  <c r="N306" s="1"/>
  <c r="K307"/>
  <c r="L307"/>
  <c r="K308"/>
  <c r="L308"/>
  <c r="N308" s="1"/>
  <c r="K309"/>
  <c r="L309"/>
  <c r="N309" s="1"/>
  <c r="K310"/>
  <c r="L310"/>
  <c r="K311"/>
  <c r="L311"/>
  <c r="K312"/>
  <c r="L312"/>
  <c r="N312" s="1"/>
  <c r="K313"/>
  <c r="L313"/>
  <c r="K314"/>
  <c r="L314"/>
  <c r="N314" s="1"/>
  <c r="K315"/>
  <c r="L315"/>
  <c r="K316"/>
  <c r="L316"/>
  <c r="N316" s="1"/>
  <c r="K317"/>
  <c r="L317"/>
  <c r="N317" s="1"/>
  <c r="K318"/>
  <c r="L318"/>
  <c r="N318" s="1"/>
  <c r="K319"/>
  <c r="L319"/>
  <c r="K320"/>
  <c r="L320"/>
  <c r="N320" s="1"/>
  <c r="K321"/>
  <c r="L321"/>
  <c r="K322"/>
  <c r="L322"/>
  <c r="K323"/>
  <c r="L323"/>
  <c r="N323" s="1"/>
  <c r="K324"/>
  <c r="L324"/>
  <c r="K325"/>
  <c r="L325"/>
  <c r="N325" s="1"/>
  <c r="K326"/>
  <c r="L326"/>
  <c r="K327"/>
  <c r="L327"/>
  <c r="N327" s="1"/>
  <c r="K328"/>
  <c r="L328"/>
  <c r="K329"/>
  <c r="L329"/>
  <c r="N329" s="1"/>
  <c r="K330"/>
  <c r="L330"/>
  <c r="K331"/>
  <c r="L331"/>
  <c r="K332"/>
  <c r="L332"/>
  <c r="N332" s="1"/>
  <c r="K333"/>
  <c r="L333"/>
  <c r="K334"/>
  <c r="L334"/>
  <c r="N334" s="1"/>
  <c r="K335"/>
  <c r="L335"/>
  <c r="N335" s="1"/>
  <c r="K336"/>
  <c r="L336"/>
  <c r="K337"/>
  <c r="L337"/>
  <c r="K338"/>
  <c r="L338"/>
  <c r="K339"/>
  <c r="L339"/>
  <c r="K340"/>
  <c r="L340"/>
  <c r="K341"/>
  <c r="L341"/>
  <c r="N341" s="1"/>
  <c r="K342"/>
  <c r="L342"/>
  <c r="K343"/>
  <c r="L343"/>
  <c r="K344"/>
  <c r="L344"/>
  <c r="N344" s="1"/>
  <c r="K345"/>
  <c r="L345"/>
  <c r="N345" s="1"/>
  <c r="K346"/>
  <c r="L346"/>
  <c r="K347"/>
  <c r="L347"/>
  <c r="N347" s="1"/>
  <c r="K348"/>
  <c r="L348"/>
  <c r="K349"/>
  <c r="L349"/>
  <c r="K350"/>
  <c r="L350"/>
  <c r="K351"/>
  <c r="L351"/>
  <c r="N351" s="1"/>
  <c r="K352"/>
  <c r="L352"/>
  <c r="K353"/>
  <c r="L353"/>
  <c r="N353" s="1"/>
  <c r="K354"/>
  <c r="L354"/>
  <c r="K355"/>
  <c r="L355"/>
  <c r="N355" s="1"/>
  <c r="K356"/>
  <c r="L356"/>
  <c r="K357"/>
  <c r="L357"/>
  <c r="N357" s="1"/>
  <c r="K358"/>
  <c r="L358"/>
  <c r="K359"/>
  <c r="L359"/>
  <c r="K360"/>
  <c r="L360"/>
  <c r="N360" s="1"/>
  <c r="K361"/>
  <c r="L361"/>
  <c r="N361" s="1"/>
  <c r="K362"/>
  <c r="L362"/>
  <c r="K363"/>
  <c r="L363"/>
  <c r="N363" s="1"/>
  <c r="K364"/>
  <c r="L364"/>
  <c r="K365"/>
  <c r="L365"/>
  <c r="K366"/>
  <c r="L366"/>
  <c r="N366" s="1"/>
  <c r="K367"/>
  <c r="L367"/>
  <c r="N367" s="1"/>
  <c r="K368"/>
  <c r="L368"/>
  <c r="N368" s="1"/>
  <c r="K369"/>
  <c r="L369"/>
  <c r="N369" s="1"/>
  <c r="K370"/>
  <c r="L370"/>
  <c r="N370" s="1"/>
  <c r="K371"/>
  <c r="L371"/>
  <c r="K372"/>
  <c r="L372"/>
  <c r="N372" s="1"/>
  <c r="K373"/>
  <c r="L373"/>
  <c r="N373" s="1"/>
  <c r="K374"/>
  <c r="L374"/>
  <c r="K375"/>
  <c r="L375"/>
  <c r="K376"/>
  <c r="L376"/>
  <c r="N376" s="1"/>
  <c r="K377"/>
  <c r="L377"/>
  <c r="K378"/>
  <c r="L378"/>
  <c r="N378" s="1"/>
  <c r="K379"/>
  <c r="L379"/>
  <c r="N379" s="1"/>
  <c r="K380"/>
  <c r="L380"/>
  <c r="N380" s="1"/>
  <c r="K381"/>
  <c r="L381"/>
  <c r="K382"/>
  <c r="L382"/>
  <c r="N382" s="1"/>
  <c r="K383"/>
  <c r="L383"/>
  <c r="K384"/>
  <c r="L384"/>
  <c r="N384" s="1"/>
  <c r="K385"/>
  <c r="L385"/>
  <c r="K386"/>
  <c r="L386"/>
  <c r="N386" s="1"/>
  <c r="K387"/>
  <c r="L387"/>
  <c r="K388"/>
  <c r="L388"/>
  <c r="N388" s="1"/>
  <c r="K389"/>
  <c r="L389"/>
  <c r="N389" s="1"/>
  <c r="K390"/>
  <c r="L390"/>
  <c r="K391"/>
  <c r="L391"/>
  <c r="K392"/>
  <c r="L392"/>
  <c r="N392" s="1"/>
  <c r="K393"/>
  <c r="L393"/>
  <c r="N59"/>
  <c r="N60"/>
  <c r="N54"/>
  <c r="N55"/>
  <c r="N56"/>
  <c r="N57"/>
  <c r="N58"/>
  <c r="N61"/>
  <c r="N62"/>
  <c r="N63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4"/>
  <c r="N65"/>
  <c r="N66"/>
  <c r="N67"/>
  <c r="N69"/>
  <c r="N70"/>
  <c r="N71"/>
  <c r="N73"/>
  <c r="N74"/>
  <c r="N75"/>
  <c r="N77"/>
  <c r="N79"/>
  <c r="N81"/>
  <c r="N82"/>
  <c r="N83"/>
  <c r="N85"/>
  <c r="N87"/>
  <c r="N89"/>
  <c r="N90"/>
  <c r="N91"/>
  <c r="N93"/>
  <c r="N97"/>
  <c r="N105"/>
  <c r="N115"/>
  <c r="N64"/>
  <c r="N119"/>
  <c r="N104"/>
  <c r="N88"/>
  <c r="N80"/>
  <c r="N76"/>
  <c r="N72"/>
  <c r="N68"/>
  <c r="N109"/>
  <c r="N95"/>
  <c r="N129"/>
  <c r="N117"/>
  <c r="N134"/>
  <c r="N133"/>
  <c r="N102"/>
  <c r="N118"/>
  <c r="N123"/>
  <c r="N124"/>
  <c r="N106"/>
  <c r="N122"/>
  <c r="N143"/>
  <c r="N107"/>
  <c r="N108"/>
  <c r="N139"/>
  <c r="N181"/>
  <c r="N126"/>
  <c r="N141"/>
  <c r="N153"/>
  <c r="N164"/>
  <c r="N159"/>
  <c r="N180"/>
  <c r="N179"/>
  <c r="N175"/>
  <c r="N152"/>
  <c r="N154"/>
  <c r="N138"/>
  <c r="N144"/>
  <c r="N148"/>
  <c r="N169"/>
  <c r="N161"/>
  <c r="N172"/>
  <c r="N166"/>
  <c r="N203"/>
  <c r="N177"/>
  <c r="N168"/>
  <c r="N205"/>
  <c r="N189"/>
  <c r="N171"/>
  <c r="N187"/>
  <c r="N193"/>
  <c r="N178"/>
  <c r="N182"/>
  <c r="N194"/>
  <c r="N199"/>
  <c r="N207"/>
  <c r="N204"/>
  <c r="N196"/>
  <c r="N197"/>
  <c r="N224"/>
  <c r="N217"/>
  <c r="N213"/>
  <c r="N225"/>
  <c r="N201"/>
  <c r="N235"/>
  <c r="N186"/>
  <c r="N208"/>
  <c r="N190"/>
  <c r="N200"/>
  <c r="N229"/>
  <c r="N238"/>
  <c r="N232"/>
  <c r="N249"/>
  <c r="N234"/>
  <c r="N269"/>
  <c r="N253"/>
  <c r="N237"/>
  <c r="N218"/>
  <c r="N222"/>
  <c r="N231"/>
  <c r="N243"/>
  <c r="N215"/>
  <c r="N263"/>
  <c r="N216"/>
  <c r="N259"/>
  <c r="N285"/>
  <c r="N300"/>
  <c r="N258"/>
  <c r="N266"/>
  <c r="N262"/>
  <c r="N257"/>
  <c r="N299"/>
  <c r="N245"/>
  <c r="N261"/>
  <c r="N301"/>
  <c r="N279"/>
  <c r="N252"/>
  <c r="N256"/>
  <c r="N284"/>
  <c r="N289"/>
  <c r="N278"/>
  <c r="N292"/>
  <c r="N330"/>
  <c r="N281"/>
  <c r="N275"/>
  <c r="N287"/>
  <c r="N315"/>
  <c r="N331"/>
  <c r="N303"/>
  <c r="N313"/>
  <c r="N307"/>
  <c r="N286"/>
  <c r="N298"/>
  <c r="N302"/>
  <c r="N319"/>
  <c r="N385"/>
  <c r="N383"/>
  <c r="N339"/>
  <c r="N359"/>
  <c r="N311"/>
  <c r="N390"/>
  <c r="N322"/>
  <c r="N321"/>
  <c r="N324"/>
  <c r="N374"/>
  <c r="N337"/>
  <c r="N343"/>
  <c r="N333"/>
  <c r="N391"/>
  <c r="N375"/>
  <c r="N305"/>
  <c r="N328"/>
  <c r="N364"/>
  <c r="N326"/>
  <c r="N310"/>
  <c r="N349"/>
  <c r="N336"/>
  <c r="N358"/>
  <c r="N342"/>
  <c r="N350"/>
  <c r="N338"/>
  <c r="N393"/>
  <c r="N371"/>
  <c r="N377"/>
  <c r="N381"/>
  <c r="N352"/>
  <c r="N387"/>
  <c r="N365"/>
  <c r="N340"/>
  <c r="N356"/>
  <c r="N346"/>
  <c r="N362"/>
  <c r="N354"/>
  <c r="N348"/>
  <c r="U2" i="7"/>
  <c r="Z2"/>
  <c r="V2"/>
  <c r="W2"/>
  <c r="X2"/>
  <c r="U3"/>
  <c r="V3"/>
  <c r="W3"/>
  <c r="X3"/>
  <c r="U4"/>
  <c r="V4"/>
  <c r="W4"/>
  <c r="X4"/>
  <c r="U5"/>
  <c r="V5"/>
  <c r="W5"/>
  <c r="X5"/>
  <c r="U6"/>
  <c r="Z6"/>
  <c r="V6"/>
  <c r="W6"/>
  <c r="X6"/>
  <c r="U7"/>
  <c r="V7"/>
  <c r="W7"/>
  <c r="X7"/>
  <c r="U8"/>
  <c r="V8"/>
  <c r="W8"/>
  <c r="X8"/>
  <c r="U9"/>
  <c r="V9"/>
  <c r="W9"/>
  <c r="X9"/>
  <c r="U10"/>
  <c r="Z10"/>
  <c r="V10"/>
  <c r="W10"/>
  <c r="X10"/>
  <c r="U11"/>
  <c r="V11"/>
  <c r="W11"/>
  <c r="X11"/>
  <c r="U12"/>
  <c r="Z12"/>
  <c r="V12"/>
  <c r="W12"/>
  <c r="X12"/>
  <c r="U13"/>
  <c r="V13"/>
  <c r="W13"/>
  <c r="X13"/>
  <c r="U14"/>
  <c r="Z14"/>
  <c r="V14"/>
  <c r="W14"/>
  <c r="X14"/>
  <c r="U15"/>
  <c r="V15"/>
  <c r="W15"/>
  <c r="X15"/>
  <c r="U16"/>
  <c r="V16"/>
  <c r="W16"/>
  <c r="X16"/>
  <c r="U17"/>
  <c r="V17"/>
  <c r="W17"/>
  <c r="X17"/>
  <c r="U18"/>
  <c r="Z18"/>
  <c r="V18"/>
  <c r="W18"/>
  <c r="X18"/>
  <c r="U19"/>
  <c r="V19"/>
  <c r="W19"/>
  <c r="X19"/>
  <c r="U20"/>
  <c r="Z20"/>
  <c r="V20"/>
  <c r="W20"/>
  <c r="X20"/>
  <c r="U21"/>
  <c r="V21"/>
  <c r="W21"/>
  <c r="X21"/>
  <c r="U22"/>
  <c r="Z22"/>
  <c r="V22"/>
  <c r="W22"/>
  <c r="X22"/>
  <c r="U23"/>
  <c r="V23"/>
  <c r="W23"/>
  <c r="X23"/>
  <c r="U24"/>
  <c r="V24"/>
  <c r="W24"/>
  <c r="X24"/>
  <c r="U25"/>
  <c r="V25"/>
  <c r="W25"/>
  <c r="X25"/>
  <c r="U26"/>
  <c r="Z26"/>
  <c r="V26"/>
  <c r="W26"/>
  <c r="X26"/>
  <c r="U27"/>
  <c r="V27"/>
  <c r="W27"/>
  <c r="X27"/>
  <c r="U28"/>
  <c r="Z28"/>
  <c r="V28"/>
  <c r="W28"/>
  <c r="X28"/>
  <c r="U29"/>
  <c r="V29"/>
  <c r="W29"/>
  <c r="X29"/>
  <c r="U30"/>
  <c r="Z30"/>
  <c r="V30"/>
  <c r="W30"/>
  <c r="X30"/>
  <c r="U31"/>
  <c r="V31"/>
  <c r="W31"/>
  <c r="X31"/>
  <c r="U32"/>
  <c r="V32"/>
  <c r="W32"/>
  <c r="X32"/>
  <c r="U33"/>
  <c r="V33"/>
  <c r="W33"/>
  <c r="X33"/>
  <c r="U34"/>
  <c r="Z34"/>
  <c r="V34"/>
  <c r="W34"/>
  <c r="X34"/>
  <c r="U35"/>
  <c r="V35"/>
  <c r="W35"/>
  <c r="X35"/>
  <c r="U36"/>
  <c r="Z36"/>
  <c r="V36"/>
  <c r="W36"/>
  <c r="X36"/>
  <c r="U37"/>
  <c r="V37"/>
  <c r="W37"/>
  <c r="X37"/>
  <c r="U38"/>
  <c r="Z38"/>
  <c r="V38"/>
  <c r="W38"/>
  <c r="X38"/>
  <c r="U39"/>
  <c r="V39"/>
  <c r="W39"/>
  <c r="X39"/>
  <c r="U40"/>
  <c r="V40"/>
  <c r="W40"/>
  <c r="X40"/>
  <c r="U41"/>
  <c r="V41"/>
  <c r="W41"/>
  <c r="X41"/>
  <c r="U42"/>
  <c r="Z42"/>
  <c r="V42"/>
  <c r="W42"/>
  <c r="X42"/>
  <c r="U43"/>
  <c r="V43"/>
  <c r="W43"/>
  <c r="X43"/>
  <c r="U44"/>
  <c r="Z44"/>
  <c r="V44"/>
  <c r="W44"/>
  <c r="X44"/>
  <c r="U45"/>
  <c r="V45"/>
  <c r="W45"/>
  <c r="X45"/>
  <c r="U46"/>
  <c r="Z46"/>
  <c r="V46"/>
  <c r="W46"/>
  <c r="X46"/>
  <c r="U47"/>
  <c r="V47"/>
  <c r="W47"/>
  <c r="X47"/>
  <c r="U48"/>
  <c r="V48"/>
  <c r="W48"/>
  <c r="X48"/>
  <c r="U49"/>
  <c r="V49"/>
  <c r="W49"/>
  <c r="X49"/>
  <c r="U50"/>
  <c r="Z50"/>
  <c r="V50"/>
  <c r="W50"/>
  <c r="X50"/>
  <c r="U51"/>
  <c r="V51"/>
  <c r="W51"/>
  <c r="X51"/>
  <c r="U52"/>
  <c r="Z52"/>
  <c r="V52"/>
  <c r="W52"/>
  <c r="X52"/>
  <c r="U53"/>
  <c r="V53"/>
  <c r="W53"/>
  <c r="X53"/>
  <c r="U54"/>
  <c r="Z54"/>
  <c r="V54"/>
  <c r="W54"/>
  <c r="X54"/>
  <c r="U55"/>
  <c r="V55"/>
  <c r="W55"/>
  <c r="X55"/>
  <c r="U56"/>
  <c r="V56"/>
  <c r="W56"/>
  <c r="X56"/>
  <c r="U57"/>
  <c r="V57"/>
  <c r="W57"/>
  <c r="X57"/>
  <c r="U58"/>
  <c r="Z58"/>
  <c r="V58"/>
  <c r="W58"/>
  <c r="X58"/>
  <c r="U59"/>
  <c r="V59"/>
  <c r="W59"/>
  <c r="X59"/>
  <c r="U60"/>
  <c r="Z60"/>
  <c r="V60"/>
  <c r="W60"/>
  <c r="X60"/>
  <c r="U61"/>
  <c r="V61"/>
  <c r="W61"/>
  <c r="X61"/>
  <c r="U62"/>
  <c r="Z62"/>
  <c r="V62"/>
  <c r="W62"/>
  <c r="X62"/>
  <c r="U63"/>
  <c r="V63"/>
  <c r="W63"/>
  <c r="X63"/>
  <c r="U64"/>
  <c r="V64"/>
  <c r="W64"/>
  <c r="X64"/>
  <c r="U65"/>
  <c r="V65"/>
  <c r="W65"/>
  <c r="X65"/>
  <c r="U66"/>
  <c r="Z66"/>
  <c r="V66"/>
  <c r="W66"/>
  <c r="X66"/>
  <c r="U67"/>
  <c r="V67"/>
  <c r="W67"/>
  <c r="X67"/>
  <c r="U68"/>
  <c r="Z68"/>
  <c r="V68"/>
  <c r="W68"/>
  <c r="X68"/>
  <c r="U69"/>
  <c r="V69"/>
  <c r="W69"/>
  <c r="X69"/>
  <c r="U70"/>
  <c r="Z70"/>
  <c r="V70"/>
  <c r="W70"/>
  <c r="X70"/>
  <c r="U71"/>
  <c r="V71"/>
  <c r="W71"/>
  <c r="X71"/>
  <c r="U72"/>
  <c r="V72"/>
  <c r="W72"/>
  <c r="X72"/>
  <c r="U73"/>
  <c r="V73"/>
  <c r="W73"/>
  <c r="X73"/>
  <c r="U74"/>
  <c r="Z74"/>
  <c r="V74"/>
  <c r="W74"/>
  <c r="X74"/>
  <c r="U75"/>
  <c r="V75"/>
  <c r="W75"/>
  <c r="X75"/>
  <c r="V1"/>
  <c r="W1"/>
  <c r="X1"/>
  <c r="U1"/>
  <c r="Z4"/>
  <c r="Z75"/>
  <c r="Z71"/>
  <c r="Z67"/>
  <c r="Z63"/>
  <c r="Z59"/>
  <c r="Z55"/>
  <c r="Z51"/>
  <c r="Z47"/>
  <c r="Z43"/>
  <c r="Z39"/>
  <c r="Z35"/>
  <c r="Z31"/>
  <c r="Z27"/>
  <c r="Z21"/>
  <c r="Z17"/>
  <c r="Z13"/>
  <c r="Z11"/>
  <c r="Z7"/>
  <c r="Z3"/>
  <c r="Z1"/>
  <c r="Z72"/>
  <c r="Z64"/>
  <c r="Z56"/>
  <c r="Z48"/>
  <c r="Z40"/>
  <c r="Z32"/>
  <c r="Z24"/>
  <c r="Z16"/>
  <c r="Z8"/>
  <c r="Z73"/>
  <c r="Z69"/>
  <c r="Z65"/>
  <c r="Z61"/>
  <c r="Z57"/>
  <c r="Z53"/>
  <c r="Z49"/>
  <c r="Z45"/>
  <c r="Z41"/>
  <c r="Z37"/>
  <c r="Z33"/>
  <c r="Z29"/>
  <c r="Z25"/>
  <c r="Z23"/>
  <c r="Z19"/>
  <c r="Z15"/>
  <c r="Z9"/>
  <c r="Z5"/>
</calcChain>
</file>

<file path=xl/sharedStrings.xml><?xml version="1.0" encoding="utf-8"?>
<sst xmlns="http://schemas.openxmlformats.org/spreadsheetml/2006/main" count="2290" uniqueCount="924">
  <si>
    <t>s</t>
    <phoneticPr fontId="4" type="noConversion"/>
  </si>
  <si>
    <t>head_hunshimowang</t>
  </si>
  <si>
    <t>head_moyujing</t>
  </si>
  <si>
    <t>head_jinghelongwang</t>
  </si>
  <si>
    <t>head_jinqianbaowang</t>
  </si>
  <si>
    <t>head_leigong</t>
  </si>
  <si>
    <t>head_yuhuangdadi</t>
  </si>
  <si>
    <t>head_erlangshen</t>
  </si>
  <si>
    <t>head_yumianfuren</t>
  </si>
  <si>
    <t>head_baigufuren</t>
  </si>
  <si>
    <t>head_honghaier</t>
  </si>
  <si>
    <t>head_hulidaxian</t>
  </si>
  <si>
    <t>head_bailonggongzhu</t>
  </si>
  <si>
    <t>head_change</t>
  </si>
  <si>
    <t>head_zhubajie</t>
  </si>
  <si>
    <t>head_shaheshang</t>
  </si>
  <si>
    <t>head_nezha</t>
  </si>
  <si>
    <t>head_zhizhujing</t>
  </si>
  <si>
    <t>head_wangmuniangniang</t>
  </si>
  <si>
    <t>head_yanglidaxian</t>
  </si>
  <si>
    <t>head_tangsanzang</t>
    <phoneticPr fontId="4" type="noConversion"/>
  </si>
  <si>
    <t>s</t>
  </si>
  <si>
    <t>head_shui_zhizhu</t>
    <phoneticPr fontId="4" type="noConversion"/>
  </si>
  <si>
    <t>head_dizangwang</t>
    <phoneticPr fontId="4" type="noConversion"/>
  </si>
  <si>
    <t>head_taibaijinxing</t>
    <phoneticPr fontId="4" type="noConversion"/>
  </si>
  <si>
    <t>head_moyujing</t>
    <phoneticPr fontId="4" type="noConversion"/>
  </si>
  <si>
    <t>head_jin_damangjing</t>
    <phoneticPr fontId="4" type="noConversion"/>
  </si>
  <si>
    <t>head_change</t>
    <phoneticPr fontId="4" type="noConversion"/>
  </si>
  <si>
    <t>head_jinqianbaowang</t>
    <phoneticPr fontId="4" type="noConversion"/>
  </si>
  <si>
    <t>head_hunshimowang</t>
    <phoneticPr fontId="4" type="noConversion"/>
  </si>
  <si>
    <t>head_tangsanzang</t>
    <phoneticPr fontId="4" type="noConversion"/>
  </si>
  <si>
    <t>head_erlangshen</t>
    <phoneticPr fontId="4" type="noConversion"/>
  </si>
  <si>
    <t>head_leigong</t>
    <phoneticPr fontId="4" type="noConversion"/>
  </si>
  <si>
    <t>head_zhizhujing</t>
    <phoneticPr fontId="4" type="noConversion"/>
  </si>
  <si>
    <t>head_hulidaxian</t>
    <phoneticPr fontId="4" type="noConversion"/>
  </si>
  <si>
    <t>head_xiezijing</t>
    <phoneticPr fontId="4" type="noConversion"/>
  </si>
  <si>
    <t>任务ID  [字符串]</t>
    <phoneticPr fontId="4" type="noConversion"/>
  </si>
  <si>
    <t>任务图标图标名称
（texture下）调用game_res里面资源</t>
  </si>
  <si>
    <t>任务的品质边框
1=绿
2=蓝
3=紫
4=橙</t>
  </si>
  <si>
    <t>任务名称
[字符串]</t>
    <phoneticPr fontId="4" type="noConversion"/>
  </si>
  <si>
    <t>1|4|1</t>
  </si>
  <si>
    <t>1|1|16503</t>
  </si>
  <si>
    <t/>
  </si>
  <si>
    <t>2500|1</t>
  </si>
  <si>
    <t>20|1</t>
  </si>
  <si>
    <t>1|1|14308</t>
  </si>
  <si>
    <t>1|1</t>
  </si>
  <si>
    <t>1|1|14301</t>
  </si>
  <si>
    <t>5000|1</t>
  </si>
  <si>
    <t>7500|1</t>
  </si>
  <si>
    <t>1|1|14309</t>
  </si>
  <si>
    <t>10000|1</t>
  </si>
  <si>
    <t>12500|1</t>
  </si>
  <si>
    <t>1|1|14302</t>
  </si>
  <si>
    <t>15000|1</t>
  </si>
  <si>
    <t>17500|1</t>
  </si>
  <si>
    <t>20000|1</t>
  </si>
  <si>
    <t>22500|1</t>
  </si>
  <si>
    <t>1|1|14310</t>
  </si>
  <si>
    <t>25000|1</t>
  </si>
  <si>
    <t>27500|1</t>
  </si>
  <si>
    <t>30000|1</t>
  </si>
  <si>
    <t>32500|1</t>
  </si>
  <si>
    <t>35000|1</t>
  </si>
  <si>
    <t>37500|1</t>
  </si>
  <si>
    <t>40000|1</t>
  </si>
  <si>
    <t>42500|1</t>
  </si>
  <si>
    <t>45000|1</t>
  </si>
  <si>
    <t>47500|1</t>
  </si>
  <si>
    <t xml:space="preserve">任务内容描述
[字符串]
</t>
    <phoneticPr fontId="4" type="noConversion"/>
  </si>
  <si>
    <t>任务开放等级
调用game_limit</t>
    <phoneticPr fontId="4" type="noConversion"/>
  </si>
  <si>
    <t>不满足条件时的显示效果
0-隐藏
1-显示</t>
    <phoneticPr fontId="4" type="noConversion"/>
  </si>
  <si>
    <t>show_type</t>
    <phoneticPr fontId="4" type="noConversion"/>
  </si>
  <si>
    <t>i</t>
    <phoneticPr fontId="4" type="noConversion"/>
  </si>
  <si>
    <r>
      <t>i</t>
    </r>
    <r>
      <rPr>
        <sz val="10"/>
        <color theme="1"/>
        <rFont val="微软雅黑"/>
        <family val="2"/>
        <charset val="134"/>
      </rPr>
      <t>d</t>
    </r>
    <phoneticPr fontId="4" type="noConversion"/>
  </si>
  <si>
    <r>
      <t>n</t>
    </r>
    <r>
      <rPr>
        <sz val="10"/>
        <color theme="1"/>
        <rFont val="微软雅黑"/>
        <family val="2"/>
        <charset val="134"/>
      </rPr>
      <t>ame</t>
    </r>
    <phoneticPr fontId="4" type="noConversion"/>
  </si>
  <si>
    <t>icon</t>
    <phoneticPr fontId="4" type="noConversion"/>
  </si>
  <si>
    <t>quality</t>
    <phoneticPr fontId="4" type="noConversion"/>
  </si>
  <si>
    <t>target</t>
    <phoneticPr fontId="4" type="noConversion"/>
  </si>
  <si>
    <t>完成奖励
调用填写格式：
[]=无初次通关奖励
直接填写game_reward=读取game_reward表格数据
1|range_reward=读取range_reward表格数据</t>
    <phoneticPr fontId="4" type="noConversion"/>
  </si>
  <si>
    <t>reward</t>
    <phoneticPr fontId="4" type="noConversion"/>
  </si>
  <si>
    <t>limit</t>
    <phoneticPr fontId="4" type="noConversion"/>
  </si>
  <si>
    <t>2|20</t>
  </si>
  <si>
    <t>2|30</t>
  </si>
  <si>
    <t>2|40</t>
  </si>
  <si>
    <t>排序
数值越小的越靠前</t>
    <phoneticPr fontId="4" type="noConversion"/>
  </si>
  <si>
    <t>order</t>
    <phoneticPr fontId="4" type="noConversion"/>
  </si>
  <si>
    <t>i</t>
    <phoneticPr fontId="4" type="noConversion"/>
  </si>
  <si>
    <t>s</t>
    <phoneticPr fontId="4" type="noConversion"/>
  </si>
  <si>
    <r>
      <t xml:space="preserve">任务参数
</t>
    </r>
    <r>
      <rPr>
        <b/>
        <sz val="10"/>
        <color rgb="FFFF0000"/>
        <rFont val="微软雅黑"/>
        <family val="2"/>
        <charset val="134"/>
      </rPr>
      <t>1-噩梦入侵当日累计伤害(1|当日累计伤害值)
2-噩梦入侵当日累计击杀怪物数量（2|当日累计击杀怪物数量）</t>
    </r>
    <r>
      <rPr>
        <b/>
        <sz val="10"/>
        <color theme="1"/>
        <rFont val="微软雅黑"/>
        <family val="2"/>
        <charset val="134"/>
      </rPr>
      <t xml:space="preserve">
(类型可以配置多个用,隔开)</t>
    </r>
    <phoneticPr fontId="4" type="noConversion"/>
  </si>
  <si>
    <t>head_yumianfuren</t>
    <phoneticPr fontId="4" type="noConversion"/>
  </si>
  <si>
    <t>head_change</t>
    <phoneticPr fontId="4" type="noConversion"/>
  </si>
  <si>
    <t>head_zhizhujing</t>
    <phoneticPr fontId="4" type="noConversion"/>
  </si>
  <si>
    <t>head_yutujing</t>
    <phoneticPr fontId="4" type="noConversion"/>
  </si>
  <si>
    <t>head_dizangwang</t>
    <phoneticPr fontId="4" type="noConversion"/>
  </si>
  <si>
    <t>desc</t>
    <phoneticPr fontId="4" type="noConversion"/>
  </si>
  <si>
    <t>2|2</t>
    <phoneticPr fontId="4" type="noConversion"/>
  </si>
  <si>
    <t>2|4</t>
    <phoneticPr fontId="4" type="noConversion"/>
  </si>
  <si>
    <t>2|6</t>
  </si>
  <si>
    <t>2|8</t>
  </si>
  <si>
    <t>2|10</t>
  </si>
  <si>
    <t>2|12</t>
  </si>
  <si>
    <t>2|14</t>
  </si>
  <si>
    <t>2|16</t>
  </si>
  <si>
    <t>2|18</t>
  </si>
  <si>
    <t>2|22</t>
  </si>
  <si>
    <t>2|24</t>
  </si>
  <si>
    <t>2|26</t>
  </si>
  <si>
    <t>2|28</t>
  </si>
  <si>
    <t>2|32</t>
  </si>
  <si>
    <t>2|34</t>
  </si>
  <si>
    <t>2|36</t>
  </si>
  <si>
    <t>2|38</t>
  </si>
  <si>
    <t>1|244200000</t>
  </si>
  <si>
    <t>1|9800000</t>
  </si>
  <si>
    <t>1|96300000</t>
  </si>
  <si>
    <t>1|50300000</t>
  </si>
  <si>
    <t>1|37200000</t>
  </si>
  <si>
    <t>1|300300000</t>
  </si>
  <si>
    <t>1|100600000</t>
  </si>
  <si>
    <t>1|266700000</t>
  </si>
  <si>
    <t>1|381000000</t>
  </si>
  <si>
    <t>1|303400000</t>
  </si>
  <si>
    <t>1|125900000</t>
  </si>
  <si>
    <t>1|940100000</t>
  </si>
  <si>
    <t>1|411000000</t>
  </si>
  <si>
    <t>1|545700000</t>
  </si>
  <si>
    <t>1|682200000</t>
  </si>
  <si>
    <t>1|538700000</t>
  </si>
  <si>
    <t>1|451300000</t>
  </si>
  <si>
    <t>今日累计击杀2个梦魇</t>
  </si>
  <si>
    <t>今日累计击杀4个梦魇</t>
  </si>
  <si>
    <t>今日累计击杀6个梦魇</t>
  </si>
  <si>
    <t>今日累计击杀8个梦魇</t>
  </si>
  <si>
    <t>今日累计击杀10个梦魇</t>
  </si>
  <si>
    <t>今日累计击杀12个梦魇</t>
  </si>
  <si>
    <t>今日累计击杀14个梦魇</t>
  </si>
  <si>
    <t>今日累计击杀16个梦魇</t>
  </si>
  <si>
    <t>今日累计击杀18个梦魇</t>
  </si>
  <si>
    <t>今日累计击杀20个梦魇</t>
  </si>
  <si>
    <t>今日累计击杀22个梦魇</t>
  </si>
  <si>
    <t>今日累计击杀24个梦魇</t>
  </si>
  <si>
    <t>今日累计击杀26个梦魇</t>
  </si>
  <si>
    <t>今日累计击杀28个梦魇</t>
  </si>
  <si>
    <t>今日累计击杀30个梦魇</t>
  </si>
  <si>
    <t>今日累计击杀32个梦魇</t>
  </si>
  <si>
    <t>今日累计击杀34个梦魇</t>
  </si>
  <si>
    <t>今日累计击杀36个梦魇</t>
  </si>
  <si>
    <t>今日累计击杀38个梦魇</t>
  </si>
  <si>
    <t>今日累计击杀40个梦魇</t>
  </si>
  <si>
    <t>a</t>
    <phoneticPr fontId="4" type="noConversion"/>
  </si>
  <si>
    <t>1|2800000</t>
  </si>
  <si>
    <t>1|5700000</t>
  </si>
  <si>
    <t>1|8500000</t>
  </si>
  <si>
    <t>1|14200000</t>
  </si>
  <si>
    <t>1|17000000</t>
  </si>
  <si>
    <t>1|22700000</t>
  </si>
  <si>
    <t>1|31200000</t>
  </si>
  <si>
    <t>1|39700000</t>
  </si>
  <si>
    <t>1|45300000</t>
  </si>
  <si>
    <t>1|53800000</t>
  </si>
  <si>
    <t>1|59500000</t>
  </si>
  <si>
    <t>1|68000000</t>
  </si>
  <si>
    <t>1|73700000</t>
  </si>
  <si>
    <t>1|82200000</t>
  </si>
  <si>
    <t>1|110500000</t>
  </si>
  <si>
    <t>1|124700000</t>
  </si>
  <si>
    <t>1|138800000</t>
  </si>
  <si>
    <t>1|155800000</t>
  </si>
  <si>
    <t>1|170000000</t>
  </si>
  <si>
    <t>1|184100000</t>
  </si>
  <si>
    <t>1|198300000</t>
  </si>
  <si>
    <t>1|212500000</t>
  </si>
  <si>
    <t>1|255000000</t>
  </si>
  <si>
    <t>1|272000000</t>
  </si>
  <si>
    <t>1|286100000</t>
  </si>
  <si>
    <t>1|314500000</t>
  </si>
  <si>
    <t>1|328600000</t>
  </si>
  <si>
    <t>1|342800000</t>
  </si>
  <si>
    <t>1|3700000</t>
  </si>
  <si>
    <t>1|7400000</t>
  </si>
  <si>
    <t>1|11100000</t>
  </si>
  <si>
    <t>1|18500000</t>
  </si>
  <si>
    <t>1|22200000</t>
  </si>
  <si>
    <t>1|29600000</t>
  </si>
  <si>
    <t>1|40700000</t>
  </si>
  <si>
    <t>1|51800000</t>
  </si>
  <si>
    <t>1|59200000</t>
  </si>
  <si>
    <t>1|70400000</t>
  </si>
  <si>
    <t>1|77800000</t>
  </si>
  <si>
    <t>1|88900000</t>
  </si>
  <si>
    <t>1|107400000</t>
  </si>
  <si>
    <t>1|144400000</t>
  </si>
  <si>
    <t>1|162900000</t>
  </si>
  <si>
    <t>1|181400000</t>
  </si>
  <si>
    <t>1|203700000</t>
  </si>
  <si>
    <t>1|222200000</t>
  </si>
  <si>
    <t>1|240700000</t>
  </si>
  <si>
    <t>1|259200000</t>
  </si>
  <si>
    <t>1|277700000</t>
  </si>
  <si>
    <t>1|333300000</t>
  </si>
  <si>
    <t>1|355500000</t>
  </si>
  <si>
    <t>1|374000000</t>
  </si>
  <si>
    <t>1|392500000</t>
  </si>
  <si>
    <t>1|429500000</t>
  </si>
  <si>
    <t>1|448100000</t>
  </si>
  <si>
    <t>1|4600000</t>
  </si>
  <si>
    <t>1|9100000</t>
  </si>
  <si>
    <t>1|13700000</t>
  </si>
  <si>
    <t>1|22900000</t>
  </si>
  <si>
    <t>1|27400000</t>
  </si>
  <si>
    <t>1|36600000</t>
  </si>
  <si>
    <t>1|64000000</t>
  </si>
  <si>
    <t>1|73200000</t>
  </si>
  <si>
    <t>1|86900000</t>
  </si>
  <si>
    <t>1|96000000</t>
  </si>
  <si>
    <t>1|109800000</t>
  </si>
  <si>
    <t>1|118900000</t>
  </si>
  <si>
    <t>1|132600000</t>
  </si>
  <si>
    <t>1|155500000</t>
  </si>
  <si>
    <t>1|178300000</t>
  </si>
  <si>
    <t>1|201200000</t>
  </si>
  <si>
    <t>1|224100000</t>
  </si>
  <si>
    <t>1|251500000</t>
  </si>
  <si>
    <t>1|274400000</t>
  </si>
  <si>
    <t>1|297200000</t>
  </si>
  <si>
    <t>1|320100000</t>
  </si>
  <si>
    <t>1|343000000</t>
  </si>
  <si>
    <t>1|411600000</t>
  </si>
  <si>
    <t>1|439000000</t>
  </si>
  <si>
    <t>1|461900000</t>
  </si>
  <si>
    <t>1|484700000</t>
  </si>
  <si>
    <t>1|507600000</t>
  </si>
  <si>
    <t>1|530500000</t>
  </si>
  <si>
    <t>1|553300000</t>
  </si>
  <si>
    <t>1|5400000</t>
  </si>
  <si>
    <t>1|10900000</t>
  </si>
  <si>
    <t>1|16300000</t>
  </si>
  <si>
    <t>1|27200000</t>
  </si>
  <si>
    <t>1|32700000</t>
  </si>
  <si>
    <t>1|43500000</t>
  </si>
  <si>
    <t>1|59900000</t>
  </si>
  <si>
    <t>1|76200000</t>
  </si>
  <si>
    <t>1|87100000</t>
  </si>
  <si>
    <t>1|103400000</t>
  </si>
  <si>
    <t>1|114300000</t>
  </si>
  <si>
    <t>1|130600000</t>
  </si>
  <si>
    <t>1|141500000</t>
  </si>
  <si>
    <t>1|157800000</t>
  </si>
  <si>
    <t>1|185100000</t>
  </si>
  <si>
    <t>1|212300000</t>
  </si>
  <si>
    <t>1|239500000</t>
  </si>
  <si>
    <t>1|299400000</t>
  </si>
  <si>
    <t>1|326600000</t>
  </si>
  <si>
    <t>1|353800000</t>
  </si>
  <si>
    <t>1|408200000</t>
  </si>
  <si>
    <t>1|489900000</t>
  </si>
  <si>
    <t>1|522500000</t>
  </si>
  <si>
    <t>1|549700000</t>
  </si>
  <si>
    <t>1|577000000</t>
  </si>
  <si>
    <t>1|604200000</t>
  </si>
  <si>
    <t>1|631400000</t>
  </si>
  <si>
    <t>1|658600000</t>
  </si>
  <si>
    <t>1|6300000</t>
  </si>
  <si>
    <t>1|12600000</t>
  </si>
  <si>
    <t>1|18900000</t>
  </si>
  <si>
    <t>1|31600000</t>
  </si>
  <si>
    <t>1|37900000</t>
  </si>
  <si>
    <t>1|50500000</t>
  </si>
  <si>
    <t>1|69400000</t>
  </si>
  <si>
    <t>1|88400000</t>
  </si>
  <si>
    <t>1|101000000</t>
  </si>
  <si>
    <t>1|119900000</t>
  </si>
  <si>
    <t>1|151500000</t>
  </si>
  <si>
    <t>1|164100000</t>
  </si>
  <si>
    <t>1|183100000</t>
  </si>
  <si>
    <t>1|214600000</t>
  </si>
  <si>
    <t>1|246200000</t>
  </si>
  <si>
    <t>1|277800000</t>
  </si>
  <si>
    <t>1|309300000</t>
  </si>
  <si>
    <t>1|347200000</t>
  </si>
  <si>
    <t>1|378800000</t>
  </si>
  <si>
    <t>1|410300000</t>
  </si>
  <si>
    <t>1|441900000</t>
  </si>
  <si>
    <t>1|473500000</t>
  </si>
  <si>
    <t>1|568200000</t>
  </si>
  <si>
    <t>1|606000000</t>
  </si>
  <si>
    <t>1|637600000</t>
  </si>
  <si>
    <t>1|669200000</t>
  </si>
  <si>
    <t>1|700700000</t>
  </si>
  <si>
    <t>1|732300000</t>
  </si>
  <si>
    <t>1|763900000</t>
  </si>
  <si>
    <t>1|7200000</t>
  </si>
  <si>
    <t>1|14400000</t>
  </si>
  <si>
    <t>1|21500000</t>
  </si>
  <si>
    <t>1|35900000</t>
  </si>
  <si>
    <t>1|43100000</t>
  </si>
  <si>
    <t>1|57500000</t>
  </si>
  <si>
    <t>1|79000000</t>
  </si>
  <si>
    <t>1|114900000</t>
  </si>
  <si>
    <t>1|136500000</t>
  </si>
  <si>
    <t>1|150800000</t>
  </si>
  <si>
    <t>1|172400000</t>
  </si>
  <si>
    <t>1|186800000</t>
  </si>
  <si>
    <t>1|208300000</t>
  </si>
  <si>
    <t>1|280100000</t>
  </si>
  <si>
    <t>1|316100000</t>
  </si>
  <si>
    <t>1|352000000</t>
  </si>
  <si>
    <t>1|395100000</t>
  </si>
  <si>
    <t>1|431000000</t>
  </si>
  <si>
    <t>1|466900000</t>
  </si>
  <si>
    <t>1|502800000</t>
  </si>
  <si>
    <t>1|646500000</t>
  </si>
  <si>
    <t>1|689600000</t>
  </si>
  <si>
    <t>1|725500000</t>
  </si>
  <si>
    <t>1|761400000</t>
  </si>
  <si>
    <t>1|797300000</t>
  </si>
  <si>
    <t>1|833200000</t>
  </si>
  <si>
    <t>1|869100000</t>
  </si>
  <si>
    <t>1|8100000</t>
  </si>
  <si>
    <t>1|16100000</t>
  </si>
  <si>
    <t>1|24200000</t>
  </si>
  <si>
    <t>1|40300000</t>
  </si>
  <si>
    <t>1|48300000</t>
  </si>
  <si>
    <t>1|64400000</t>
  </si>
  <si>
    <t>1|88600000</t>
  </si>
  <si>
    <t>1|112700000</t>
  </si>
  <si>
    <t>1|128800000</t>
  </si>
  <si>
    <t>1|153000000</t>
  </si>
  <si>
    <t>1|169100000</t>
  </si>
  <si>
    <t>1|193300000</t>
  </si>
  <si>
    <t>1|209400000</t>
  </si>
  <si>
    <t>1|233500000</t>
  </si>
  <si>
    <t>1|273800000</t>
  </si>
  <si>
    <t>1|314100000</t>
  </si>
  <si>
    <t>1|354300000</t>
  </si>
  <si>
    <t>1|394600000</t>
  </si>
  <si>
    <t>1|442900000</t>
  </si>
  <si>
    <t>1|483200000</t>
  </si>
  <si>
    <t>1|523400000</t>
  </si>
  <si>
    <t>1|563700000</t>
  </si>
  <si>
    <t>1|604000000</t>
  </si>
  <si>
    <t>1|724800000</t>
  </si>
  <si>
    <t>1|773100000</t>
  </si>
  <si>
    <t>1|813400000</t>
  </si>
  <si>
    <t>1|853600000</t>
  </si>
  <si>
    <t>1|893900000</t>
  </si>
  <si>
    <t>1|934100000</t>
  </si>
  <si>
    <t>1|974400000</t>
  </si>
  <si>
    <t>1|8900000</t>
  </si>
  <si>
    <t>1|17800000</t>
  </si>
  <si>
    <t>1|26800000</t>
  </si>
  <si>
    <t>1|44600000</t>
  </si>
  <si>
    <t>1|53500000</t>
  </si>
  <si>
    <t>1|71400000</t>
  </si>
  <si>
    <t>1|98200000</t>
  </si>
  <si>
    <t>1|124900000</t>
  </si>
  <si>
    <t>1|142800000</t>
  </si>
  <si>
    <t>1|169500000</t>
  </si>
  <si>
    <t>1|187400000</t>
  </si>
  <si>
    <t>1|214200000</t>
  </si>
  <si>
    <t>1|232000000</t>
  </si>
  <si>
    <t>1|258800000</t>
  </si>
  <si>
    <t>1|348000000</t>
  </si>
  <si>
    <t>1|392600000</t>
  </si>
  <si>
    <t>1|437200000</t>
  </si>
  <si>
    <t>1|490800000</t>
  </si>
  <si>
    <t>1|535400000</t>
  </si>
  <si>
    <t>1|580000000</t>
  </si>
  <si>
    <t>1|624600000</t>
  </si>
  <si>
    <t>1|803100000</t>
  </si>
  <si>
    <t>1|856600000</t>
  </si>
  <si>
    <t>1|901200000</t>
  </si>
  <si>
    <t>1|945800000</t>
  </si>
  <si>
    <t>1|990500000</t>
  </si>
  <si>
    <t>1|1035100000</t>
  </si>
  <si>
    <t>1|1079700000</t>
  </si>
  <si>
    <t>1|19600000</t>
  </si>
  <si>
    <t>1|29400000</t>
  </si>
  <si>
    <t>1|49000000</t>
  </si>
  <si>
    <t>1|58800000</t>
  </si>
  <si>
    <t>1|78300000</t>
  </si>
  <si>
    <t>1|107700000</t>
  </si>
  <si>
    <t>1|137100000</t>
  </si>
  <si>
    <t>1|156700000</t>
  </si>
  <si>
    <t>1|186100000</t>
  </si>
  <si>
    <t>1|205700000</t>
  </si>
  <si>
    <t>1|235000000</t>
  </si>
  <si>
    <t>1|254600000</t>
  </si>
  <si>
    <t>1|284000000</t>
  </si>
  <si>
    <t>1|333000000</t>
  </si>
  <si>
    <t>1|381900000</t>
  </si>
  <si>
    <t>1|430900000</t>
  </si>
  <si>
    <t>1|479900000</t>
  </si>
  <si>
    <t>1|538600000</t>
  </si>
  <si>
    <t>1|587600000</t>
  </si>
  <si>
    <t>1|636500000</t>
  </si>
  <si>
    <t>1|685500000</t>
  </si>
  <si>
    <t>1|734500000</t>
  </si>
  <si>
    <t>1|881400000</t>
  </si>
  <si>
    <t>1|989100000</t>
  </si>
  <si>
    <t>1|1038100000</t>
  </si>
  <si>
    <t>1|1087000000</t>
  </si>
  <si>
    <t>1|1136000000</t>
  </si>
  <si>
    <t>1|1185000000</t>
  </si>
  <si>
    <t>1|10700000</t>
  </si>
  <si>
    <t>1|21300000</t>
  </si>
  <si>
    <t>1|32000000</t>
  </si>
  <si>
    <t>1|53300000</t>
  </si>
  <si>
    <t>1|85300000</t>
  </si>
  <si>
    <t>1|117300000</t>
  </si>
  <si>
    <t>1|149300000</t>
  </si>
  <si>
    <t>1|170600000</t>
  </si>
  <si>
    <t>1|202600000</t>
  </si>
  <si>
    <t>1|223900000</t>
  </si>
  <si>
    <t>1|255900000</t>
  </si>
  <si>
    <t>1|277200000</t>
  </si>
  <si>
    <t>1|309200000</t>
  </si>
  <si>
    <t>1|362500000</t>
  </si>
  <si>
    <t>1|415900000</t>
  </si>
  <si>
    <t>1|469200000</t>
  </si>
  <si>
    <t>1|586500000</t>
  </si>
  <si>
    <t>1|639800000</t>
  </si>
  <si>
    <t>1|693100000</t>
  </si>
  <si>
    <t>1|746400000</t>
  </si>
  <si>
    <t>1|799700000</t>
  </si>
  <si>
    <t>1|959700000</t>
  </si>
  <si>
    <t>1|1023600000</t>
  </si>
  <si>
    <t>1|1077000000</t>
  </si>
  <si>
    <t>1|1130300000</t>
  </si>
  <si>
    <t>1|1183600000</t>
  </si>
  <si>
    <t>1|1236900000</t>
  </si>
  <si>
    <t>1|1290200000</t>
  </si>
  <si>
    <t>1|11500000</t>
  </si>
  <si>
    <t>1|23100000</t>
  </si>
  <si>
    <t>1|34600000</t>
  </si>
  <si>
    <t>1|57700000</t>
  </si>
  <si>
    <t>1|69200000</t>
  </si>
  <si>
    <t>1|92300000</t>
  </si>
  <si>
    <t>1|126900000</t>
  </si>
  <si>
    <t>1|161500000</t>
  </si>
  <si>
    <t>1|184500000</t>
  </si>
  <si>
    <t>1|219100000</t>
  </si>
  <si>
    <t>1|242200000</t>
  </si>
  <si>
    <t>1|276800000</t>
  </si>
  <si>
    <t>1|299900000</t>
  </si>
  <si>
    <t>1|334500000</t>
  </si>
  <si>
    <t>1|392100000</t>
  </si>
  <si>
    <t>1|449800000</t>
  </si>
  <si>
    <t>1|507500000</t>
  </si>
  <si>
    <t>1|565100000</t>
  </si>
  <si>
    <t>1|634300000</t>
  </si>
  <si>
    <t>1|692000000</t>
  </si>
  <si>
    <t>1|749600000</t>
  </si>
  <si>
    <t>1|807300000</t>
  </si>
  <si>
    <t>1|865000000</t>
  </si>
  <si>
    <t>1|1038000000</t>
  </si>
  <si>
    <t>1|1107200000</t>
  </si>
  <si>
    <t>1|1164800000</t>
  </si>
  <si>
    <t>1|1222500000</t>
  </si>
  <si>
    <t>1|1280200000</t>
  </si>
  <si>
    <t>1|1337800000</t>
  </si>
  <si>
    <t>1|1395500000</t>
  </si>
  <si>
    <t>1|12400000</t>
  </si>
  <si>
    <t>1|24800000</t>
  </si>
  <si>
    <t>1|62000000</t>
  </si>
  <si>
    <t>1|74400000</t>
  </si>
  <si>
    <t>1|99200000</t>
  </si>
  <si>
    <t>1|136400000</t>
  </si>
  <si>
    <t>1|173600000</t>
  </si>
  <si>
    <t>1|198400000</t>
  </si>
  <si>
    <t>1|235700000</t>
  </si>
  <si>
    <t>1|260500000</t>
  </si>
  <si>
    <t>1|297700000</t>
  </si>
  <si>
    <t>1|322500000</t>
  </si>
  <si>
    <t>1|359700000</t>
  </si>
  <si>
    <t>1|421700000</t>
  </si>
  <si>
    <t>1|483700000</t>
  </si>
  <si>
    <t>1|607700000</t>
  </si>
  <si>
    <t>1|744200000</t>
  </si>
  <si>
    <t>1|806200000</t>
  </si>
  <si>
    <t>1|868200000</t>
  </si>
  <si>
    <t>1|930200000</t>
  </si>
  <si>
    <t>1|1116300000</t>
  </si>
  <si>
    <t>1|1190700000</t>
  </si>
  <si>
    <t>1|1252700000</t>
  </si>
  <si>
    <t>1|1314700000</t>
  </si>
  <si>
    <t>1|1376700000</t>
  </si>
  <si>
    <t>1|1438700000</t>
  </si>
  <si>
    <t>1|1500800000</t>
  </si>
  <si>
    <t>1|13300000</t>
  </si>
  <si>
    <t>1|26500000</t>
  </si>
  <si>
    <t>1|39800000</t>
  </si>
  <si>
    <t>1|66400000</t>
  </si>
  <si>
    <t>1|79600000</t>
  </si>
  <si>
    <t>1|106200000</t>
  </si>
  <si>
    <t>1|146000000</t>
  </si>
  <si>
    <t>1|185800000</t>
  </si>
  <si>
    <t>1|212400000</t>
  </si>
  <si>
    <t>1|252200000</t>
  </si>
  <si>
    <t>1|278700000</t>
  </si>
  <si>
    <t>1|318600000</t>
  </si>
  <si>
    <t>1|345100000</t>
  </si>
  <si>
    <t>1|384900000</t>
  </si>
  <si>
    <t>1|517600000</t>
  </si>
  <si>
    <t>1|584000000</t>
  </si>
  <si>
    <t>1|650400000</t>
  </si>
  <si>
    <t>1|730000000</t>
  </si>
  <si>
    <t>1|796400000</t>
  </si>
  <si>
    <t>1|862700000</t>
  </si>
  <si>
    <t>1|929100000</t>
  </si>
  <si>
    <t>1|995500000</t>
  </si>
  <si>
    <t>1|1194600000</t>
  </si>
  <si>
    <t>1|1274200000</t>
  </si>
  <si>
    <t>1|1340600000</t>
  </si>
  <si>
    <t>1|1406900000</t>
  </si>
  <si>
    <t>1|1473300000</t>
  </si>
  <si>
    <t>1|1539700000</t>
  </si>
  <si>
    <t>1|1606000000</t>
  </si>
  <si>
    <t>今日累计伤害达到 [00821c]280[-] 万</t>
  </si>
  <si>
    <t>今日累计伤害达到 [00821c]570[-] 万</t>
  </si>
  <si>
    <t>今日累计伤害达到 [00821c]850[-] 万</t>
  </si>
  <si>
    <t>今日累计伤害达到 [00821c]1420[-] 万</t>
  </si>
  <si>
    <t>今日累计伤害达到 [00821c]1700[-] 万</t>
  </si>
  <si>
    <t>今日累计伤害达到 [00821c]2270[-] 万</t>
  </si>
  <si>
    <t>今日累计伤害达到 [00821c]3120[-] 万</t>
  </si>
  <si>
    <t>今日累计伤害达到 [00821c]3970[-] 万</t>
  </si>
  <si>
    <t>今日累计伤害达到 [00821c]4530[-] 万</t>
  </si>
  <si>
    <t>今日累计伤害达到 [00821c]5380[-] 万</t>
  </si>
  <si>
    <t>今日累计伤害达到 [00821c]5950[-] 万</t>
  </si>
  <si>
    <t>今日累计伤害达到 [00821c]6800[-] 万</t>
  </si>
  <si>
    <t>今日累计伤害达到 [00821c]7370[-] 万</t>
  </si>
  <si>
    <t>今日累计伤害达到 [00821c]8220[-] 万</t>
  </si>
  <si>
    <t>今日累计伤害达到 [00821c]9630[-] 万</t>
  </si>
  <si>
    <t>今日累计伤害达到 [00821c]11050[-] 万</t>
  </si>
  <si>
    <t>今日累计伤害达到 [00821c]12470[-] 万</t>
  </si>
  <si>
    <t>今日累计伤害达到 [00821c]13880[-] 万</t>
  </si>
  <si>
    <t>今日累计伤害达到 [00821c]15580[-] 万</t>
  </si>
  <si>
    <t>今日累计伤害达到 [00821c]17000[-] 万</t>
  </si>
  <si>
    <t>今日累计伤害达到 [00821c]18410[-] 万</t>
  </si>
  <si>
    <t>今日累计伤害达到 [00821c]19830[-] 万</t>
  </si>
  <si>
    <t>今日累计伤害达到 [00821c]21250[-] 万</t>
  </si>
  <si>
    <t>今日累计伤害达到 [00821c]25500[-] 万</t>
  </si>
  <si>
    <t>今日累计伤害达到 [00821c]27200[-] 万</t>
  </si>
  <si>
    <t>今日累计伤害达到 [00821c]28610[-] 万</t>
  </si>
  <si>
    <t>今日累计伤害达到 [00821c]30030[-] 万</t>
  </si>
  <si>
    <t>今日累计伤害达到 [00821c]31450[-] 万</t>
  </si>
  <si>
    <t>今日累计伤害达到 [00821c]32860[-] 万</t>
  </si>
  <si>
    <t>今日累计伤害达到 [00821c]34280[-] 万</t>
  </si>
  <si>
    <t>今日累计伤害达到 [00821c]370[-] 万</t>
  </si>
  <si>
    <t>今日累计伤害达到 [00821c]740[-] 万</t>
  </si>
  <si>
    <t>今日累计伤害达到 [00821c]1110[-] 万</t>
  </si>
  <si>
    <t>今日累计伤害达到 [00821c]1850[-] 万</t>
  </si>
  <si>
    <t>今日累计伤害达到 [00821c]2220[-] 万</t>
  </si>
  <si>
    <t>今日累计伤害达到 [00821c]2960[-] 万</t>
  </si>
  <si>
    <t>今日累计伤害达到 [00821c]4070[-] 万</t>
  </si>
  <si>
    <t>今日累计伤害达到 [00821c]5180[-] 万</t>
  </si>
  <si>
    <t>今日累计伤害达到 [00821c]5920[-] 万</t>
  </si>
  <si>
    <t>今日累计伤害达到 [00821c]7040[-] 万</t>
  </si>
  <si>
    <t>今日累计伤害达到 [00821c]7780[-] 万</t>
  </si>
  <si>
    <t>今日累计伤害达到 [00821c]8890[-] 万</t>
  </si>
  <si>
    <t>今日累计伤害达到 [00821c]10740[-] 万</t>
  </si>
  <si>
    <t>今日累计伤害达到 [00821c]12590[-] 万</t>
  </si>
  <si>
    <t>今日累计伤害达到 [00821c]14440[-] 万</t>
  </si>
  <si>
    <t>今日累计伤害达到 [00821c]16290[-] 万</t>
  </si>
  <si>
    <t>今日累计伤害达到 [00821c]18140[-] 万</t>
  </si>
  <si>
    <t>今日累计伤害达到 [00821c]20370[-] 万</t>
  </si>
  <si>
    <t>今日累计伤害达到 [00821c]22220[-] 万</t>
  </si>
  <si>
    <t>今日累计伤害达到 [00821c]24070[-] 万</t>
  </si>
  <si>
    <t>今日累计伤害达到 [00821c]25920[-] 万</t>
  </si>
  <si>
    <t>今日累计伤害达到 [00821c]27770[-] 万</t>
  </si>
  <si>
    <t>今日累计伤害达到 [00821c]33330[-] 万</t>
  </si>
  <si>
    <t>今日累计伤害达到 [00821c]35550[-] 万</t>
  </si>
  <si>
    <t>今日累计伤害达到 [00821c]37400[-] 万</t>
  </si>
  <si>
    <t>今日累计伤害达到 [00821c]39250[-] 万</t>
  </si>
  <si>
    <t>今日累计伤害达到 [00821c]41100[-] 万</t>
  </si>
  <si>
    <t>今日累计伤害达到 [00821c]42950[-] 万</t>
  </si>
  <si>
    <t>今日累计伤害达到 [00821c]44810[-] 万</t>
  </si>
  <si>
    <t>今日累计伤害达到 [00821c]460[-] 万</t>
  </si>
  <si>
    <t>今日累计伤害达到 [00821c]910[-] 万</t>
  </si>
  <si>
    <t>今日累计伤害达到 [00821c]1370[-] 万</t>
  </si>
  <si>
    <t>今日累计伤害达到 [00821c]2290[-] 万</t>
  </si>
  <si>
    <t>今日累计伤害达到 [00821c]2740[-] 万</t>
  </si>
  <si>
    <t>今日累计伤害达到 [00821c]3660[-] 万</t>
  </si>
  <si>
    <t>今日累计伤害达到 [00821c]5030[-] 万</t>
  </si>
  <si>
    <t>今日累计伤害达到 [00821c]6400[-] 万</t>
  </si>
  <si>
    <t>今日累计伤害达到 [00821c]7320[-] 万</t>
  </si>
  <si>
    <t>今日累计伤害达到 [00821c]8690[-] 万</t>
  </si>
  <si>
    <t>今日累计伤害达到 [00821c]9600[-] 万</t>
  </si>
  <si>
    <t>今日累计伤害达到 [00821c]10980[-] 万</t>
  </si>
  <si>
    <t>今日累计伤害达到 [00821c]11890[-] 万</t>
  </si>
  <si>
    <t>今日累计伤害达到 [00821c]13260[-] 万</t>
  </si>
  <si>
    <t>今日累计伤害达到 [00821c]15550[-] 万</t>
  </si>
  <si>
    <t>今日累计伤害达到 [00821c]17830[-] 万</t>
  </si>
  <si>
    <t>今日累计伤害达到 [00821c]20120[-] 万</t>
  </si>
  <si>
    <t>今日累计伤害达到 [00821c]22410[-] 万</t>
  </si>
  <si>
    <t>今日累计伤害达到 [00821c]25150[-] 万</t>
  </si>
  <si>
    <t>今日累计伤害达到 [00821c]27440[-] 万</t>
  </si>
  <si>
    <t>今日累计伤害达到 [00821c]29720[-] 万</t>
  </si>
  <si>
    <t>今日累计伤害达到 [00821c]32010[-] 万</t>
  </si>
  <si>
    <t>今日累计伤害达到 [00821c]34300[-] 万</t>
  </si>
  <si>
    <t>今日累计伤害达到 [00821c]41160[-] 万</t>
  </si>
  <si>
    <t>今日累计伤害达到 [00821c]43900[-] 万</t>
  </si>
  <si>
    <t>今日累计伤害达到 [00821c]46190[-] 万</t>
  </si>
  <si>
    <t>今日累计伤害达到 [00821c]48470[-] 万</t>
  </si>
  <si>
    <t>今日累计伤害达到 [00821c]50760[-] 万</t>
  </si>
  <si>
    <t>今日累计伤害达到 [00821c]53050[-] 万</t>
  </si>
  <si>
    <t>今日累计伤害达到 [00821c]55330[-] 万</t>
  </si>
  <si>
    <t>今日累计伤害达到 [00821c]540[-] 万</t>
  </si>
  <si>
    <t>今日累计伤害达到 [00821c]1090[-] 万</t>
  </si>
  <si>
    <t>今日累计伤害达到 [00821c]1630[-] 万</t>
  </si>
  <si>
    <t>今日累计伤害达到 [00821c]2720[-] 万</t>
  </si>
  <si>
    <t>今日累计伤害达到 [00821c]3270[-] 万</t>
  </si>
  <si>
    <t>今日累计伤害达到 [00821c]4350[-] 万</t>
  </si>
  <si>
    <t>今日累计伤害达到 [00821c]5990[-] 万</t>
  </si>
  <si>
    <t>今日累计伤害达到 [00821c]7620[-] 万</t>
  </si>
  <si>
    <t>今日累计伤害达到 [00821c]8710[-] 万</t>
  </si>
  <si>
    <t>今日累计伤害达到 [00821c]10340[-] 万</t>
  </si>
  <si>
    <t>今日累计伤害达到 [00821c]11430[-] 万</t>
  </si>
  <si>
    <t>今日累计伤害达到 [00821c]13060[-] 万</t>
  </si>
  <si>
    <t>今日累计伤害达到 [00821c]14150[-] 万</t>
  </si>
  <si>
    <t>今日累计伤害达到 [00821c]15780[-] 万</t>
  </si>
  <si>
    <t>今日累计伤害达到 [00821c]18510[-] 万</t>
  </si>
  <si>
    <t>今日累计伤害达到 [00821c]21230[-] 万</t>
  </si>
  <si>
    <t>今日累计伤害达到 [00821c]23950[-] 万</t>
  </si>
  <si>
    <t>今日累计伤害达到 [00821c]26670[-] 万</t>
  </si>
  <si>
    <t>今日累计伤害达到 [00821c]29940[-] 万</t>
  </si>
  <si>
    <t>今日累计伤害达到 [00821c]32660[-] 万</t>
  </si>
  <si>
    <t>今日累计伤害达到 [00821c]35380[-] 万</t>
  </si>
  <si>
    <t>今日累计伤害达到 [00821c]38100[-] 万</t>
  </si>
  <si>
    <t>今日累计伤害达到 [00821c]40820[-] 万</t>
  </si>
  <si>
    <t>今日累计伤害达到 [00821c]48990[-] 万</t>
  </si>
  <si>
    <t>今日累计伤害达到 [00821c]52250[-] 万</t>
  </si>
  <si>
    <t>今日累计伤害达到 [00821c]54970[-] 万</t>
  </si>
  <si>
    <t>今日累计伤害达到 [00821c]57700[-] 万</t>
  </si>
  <si>
    <t>今日累计伤害达到 [00821c]60420[-] 万</t>
  </si>
  <si>
    <t>今日累计伤害达到 [00821c]63140[-] 万</t>
  </si>
  <si>
    <t>今日累计伤害达到 [00821c]65860[-] 万</t>
  </si>
  <si>
    <t>今日累计伤害达到 [00821c]630[-] 万</t>
  </si>
  <si>
    <t>今日累计伤害达到 [00821c]1260[-] 万</t>
  </si>
  <si>
    <t>今日累计伤害达到 [00821c]1890[-] 万</t>
  </si>
  <si>
    <t>今日累计伤害达到 [00821c]3160[-] 万</t>
  </si>
  <si>
    <t>今日累计伤害达到 [00821c]3790[-] 万</t>
  </si>
  <si>
    <t>今日累计伤害达到 [00821c]5050[-] 万</t>
  </si>
  <si>
    <t>今日累计伤害达到 [00821c]6940[-] 万</t>
  </si>
  <si>
    <t>今日累计伤害达到 [00821c]8840[-] 万</t>
  </si>
  <si>
    <t>今日累计伤害达到 [00821c]10100[-] 万</t>
  </si>
  <si>
    <t>今日累计伤害达到 [00821c]11990[-] 万</t>
  </si>
  <si>
    <t>今日累计伤害达到 [00821c]15150[-] 万</t>
  </si>
  <si>
    <t>今日累计伤害达到 [00821c]16410[-] 万</t>
  </si>
  <si>
    <t>今日累计伤害达到 [00821c]18310[-] 万</t>
  </si>
  <si>
    <t>今日累计伤害达到 [00821c]21460[-] 万</t>
  </si>
  <si>
    <t>今日累计伤害达到 [00821c]24620[-] 万</t>
  </si>
  <si>
    <t>今日累计伤害达到 [00821c]27780[-] 万</t>
  </si>
  <si>
    <t>今日累计伤害达到 [00821c]30930[-] 万</t>
  </si>
  <si>
    <t>今日累计伤害达到 [00821c]34720[-] 万</t>
  </si>
  <si>
    <t>今日累计伤害达到 [00821c]37880[-] 万</t>
  </si>
  <si>
    <t>今日累计伤害达到 [00821c]41030[-] 万</t>
  </si>
  <si>
    <t>今日累计伤害达到 [00821c]44190[-] 万</t>
  </si>
  <si>
    <t>今日累计伤害达到 [00821c]47350[-] 万</t>
  </si>
  <si>
    <t>今日累计伤害达到 [00821c]56820[-] 万</t>
  </si>
  <si>
    <t>今日累计伤害达到 [00821c]60600[-] 万</t>
  </si>
  <si>
    <t>今日累计伤害达到 [00821c]63760[-] 万</t>
  </si>
  <si>
    <t>今日累计伤害达到 [00821c]66920[-] 万</t>
  </si>
  <si>
    <t>今日累计伤害达到 [00821c]70070[-] 万</t>
  </si>
  <si>
    <t>今日累计伤害达到 [00821c]73230[-] 万</t>
  </si>
  <si>
    <t>今日累计伤害达到 [00821c]76390[-] 万</t>
  </si>
  <si>
    <t>今日累计伤害达到 [00821c]720[-] 万</t>
  </si>
  <si>
    <t>今日累计伤害达到 [00821c]1440[-] 万</t>
  </si>
  <si>
    <t>今日累计伤害达到 [00821c]2150[-] 万</t>
  </si>
  <si>
    <t>今日累计伤害达到 [00821c]3590[-] 万</t>
  </si>
  <si>
    <t>今日累计伤害达到 [00821c]4310[-] 万</t>
  </si>
  <si>
    <t>今日累计伤害达到 [00821c]5750[-] 万</t>
  </si>
  <si>
    <t>今日累计伤害达到 [00821c]7900[-] 万</t>
  </si>
  <si>
    <t>今日累计伤害达到 [00821c]10060[-] 万</t>
  </si>
  <si>
    <t>今日累计伤害达到 [00821c]11490[-] 万</t>
  </si>
  <si>
    <t>今日累计伤害达到 [00821c]13650[-] 万</t>
  </si>
  <si>
    <t>今日累计伤害达到 [00821c]15080[-] 万</t>
  </si>
  <si>
    <t>今日累计伤害达到 [00821c]17240[-] 万</t>
  </si>
  <si>
    <t>今日累计伤害达到 [00821c]18680[-] 万</t>
  </si>
  <si>
    <t>今日累计伤害达到 [00821c]20830[-] 万</t>
  </si>
  <si>
    <t>今日累计伤害达到 [00821c]24420[-] 万</t>
  </si>
  <si>
    <t>今日累计伤害达到 [00821c]28010[-] 万</t>
  </si>
  <si>
    <t>今日累计伤害达到 [00821c]31610[-] 万</t>
  </si>
  <si>
    <t>今日累计伤害达到 [00821c]35200[-] 万</t>
  </si>
  <si>
    <t>今日累计伤害达到 [00821c]39510[-] 万</t>
  </si>
  <si>
    <t>今日累计伤害达到 [00821c]43100[-] 万</t>
  </si>
  <si>
    <t>今日累计伤害达到 [00821c]46690[-] 万</t>
  </si>
  <si>
    <t>今日累计伤害达到 [00821c]50280[-] 万</t>
  </si>
  <si>
    <t>今日累计伤害达到 [00821c]53870[-] 万</t>
  </si>
  <si>
    <t>今日累计伤害达到 [00821c]64650[-] 万</t>
  </si>
  <si>
    <t>今日累计伤害达到 [00821c]68960[-] 万</t>
  </si>
  <si>
    <t>今日累计伤害达到 [00821c]72550[-] 万</t>
  </si>
  <si>
    <t>今日累计伤害达到 [00821c]76140[-] 万</t>
  </si>
  <si>
    <t>今日累计伤害达到 [00821c]79730[-] 万</t>
  </si>
  <si>
    <t>今日累计伤害达到 [00821c]83320[-] 万</t>
  </si>
  <si>
    <t>今日累计伤害达到 [00821c]86910[-] 万</t>
  </si>
  <si>
    <t>今日累计伤害达到 [00821c]810[-] 万</t>
  </si>
  <si>
    <t>今日累计伤害达到 [00821c]1610[-] 万</t>
  </si>
  <si>
    <t>今日累计伤害达到 [00821c]2420[-] 万</t>
  </si>
  <si>
    <t>今日累计伤害达到 [00821c]4030[-] 万</t>
  </si>
  <si>
    <t>今日累计伤害达到 [00821c]4830[-] 万</t>
  </si>
  <si>
    <t>今日累计伤害达到 [00821c]6440[-] 万</t>
  </si>
  <si>
    <t>今日累计伤害达到 [00821c]8860[-] 万</t>
  </si>
  <si>
    <t>今日累计伤害达到 [00821c]11270[-] 万</t>
  </si>
  <si>
    <t>今日累计伤害达到 [00821c]12880[-] 万</t>
  </si>
  <si>
    <t>今日累计伤害达到 [00821c]15300[-] 万</t>
  </si>
  <si>
    <t>今日累计伤害达到 [00821c]16910[-] 万</t>
  </si>
  <si>
    <t>今日累计伤害达到 [00821c]19330[-] 万</t>
  </si>
  <si>
    <t>今日累计伤害达到 [00821c]20940[-] 万</t>
  </si>
  <si>
    <t>今日累计伤害达到 [00821c]23350[-] 万</t>
  </si>
  <si>
    <t>今日累计伤害达到 [00821c]27380[-] 万</t>
  </si>
  <si>
    <t>今日累计伤害达到 [00821c]31410[-] 万</t>
  </si>
  <si>
    <t>今日累计伤害达到 [00821c]35430[-] 万</t>
  </si>
  <si>
    <t>今日累计伤害达到 [00821c]39460[-] 万</t>
  </si>
  <si>
    <t>今日累计伤害达到 [00821c]44290[-] 万</t>
  </si>
  <si>
    <t>今日累计伤害达到 [00821c]48320[-] 万</t>
  </si>
  <si>
    <t>今日累计伤害达到 [00821c]52340[-] 万</t>
  </si>
  <si>
    <t>今日累计伤害达到 [00821c]56370[-] 万</t>
  </si>
  <si>
    <t>今日累计伤害达到 [00821c]60400[-] 万</t>
  </si>
  <si>
    <t>今日累计伤害达到 [00821c]72480[-] 万</t>
  </si>
  <si>
    <t>今日累计伤害达到 [00821c]77310[-] 万</t>
  </si>
  <si>
    <t>今日累计伤害达到 [00821c]81340[-] 万</t>
  </si>
  <si>
    <t>今日累计伤害达到 [00821c]85360[-] 万</t>
  </si>
  <si>
    <t>今日累计伤害达到 [00821c]89390[-] 万</t>
  </si>
  <si>
    <t>今日累计伤害达到 [00821c]93410[-] 万</t>
  </si>
  <si>
    <t>今日累计伤害达到 [00821c]97440[-] 万</t>
  </si>
  <si>
    <t>今日累计伤害达到 [00821c]890[-] 万</t>
  </si>
  <si>
    <t>今日累计伤害达到 [00821c]1780[-] 万</t>
  </si>
  <si>
    <t>今日累计伤害达到 [00821c]2680[-] 万</t>
  </si>
  <si>
    <t>今日累计伤害达到 [00821c]4460[-] 万</t>
  </si>
  <si>
    <t>今日累计伤害达到 [00821c]5350[-] 万</t>
  </si>
  <si>
    <t>今日累计伤害达到 [00821c]7140[-] 万</t>
  </si>
  <si>
    <t>今日累计伤害达到 [00821c]9820[-] 万</t>
  </si>
  <si>
    <t>今日累计伤害达到 [00821c]12490[-] 万</t>
  </si>
  <si>
    <t>今日累计伤害达到 [00821c]14280[-] 万</t>
  </si>
  <si>
    <t>今日累计伤害达到 [00821c]16950[-] 万</t>
  </si>
  <si>
    <t>今日累计伤害达到 [00821c]18740[-] 万</t>
  </si>
  <si>
    <t>今日累计伤害达到 [00821c]21420[-] 万</t>
  </si>
  <si>
    <t>今日累计伤害达到 [00821c]23200[-] 万</t>
  </si>
  <si>
    <t>今日累计伤害达到 [00821c]25880[-] 万</t>
  </si>
  <si>
    <t>今日累计伤害达到 [00821c]30340[-] 万</t>
  </si>
  <si>
    <t>今日累计伤害达到 [00821c]34800[-] 万</t>
  </si>
  <si>
    <t>今日累计伤害达到 [00821c]39260[-] 万</t>
  </si>
  <si>
    <t>今日累计伤害达到 [00821c]43720[-] 万</t>
  </si>
  <si>
    <t>今日累计伤害达到 [00821c]49080[-] 万</t>
  </si>
  <si>
    <t>今日累计伤害达到 [00821c]53540[-] 万</t>
  </si>
  <si>
    <t>今日累计伤害达到 [00821c]58000[-] 万</t>
  </si>
  <si>
    <t>今日累计伤害达到 [00821c]62460[-] 万</t>
  </si>
  <si>
    <t>今日累计伤害达到 [00821c]80310[-] 万</t>
  </si>
  <si>
    <t>今日累计伤害达到 [00821c]85660[-] 万</t>
  </si>
  <si>
    <t>今日累计伤害达到 [00821c]90120[-] 万</t>
  </si>
  <si>
    <t>今日累计伤害达到 [00821c]94580[-] 万</t>
  </si>
  <si>
    <t>今日累计伤害达到 [00821c]99050[-] 万</t>
  </si>
  <si>
    <t>今日累计伤害达到 [00821c]103510[-] 万</t>
  </si>
  <si>
    <t>今日累计伤害达到 [00821c]107970[-] 万</t>
  </si>
  <si>
    <t>今日累计伤害达到 [00821c]980[-] 万</t>
  </si>
  <si>
    <t>今日累计伤害达到 [00821c]1960[-] 万</t>
  </si>
  <si>
    <t>今日累计伤害达到 [00821c]2940[-] 万</t>
  </si>
  <si>
    <t>今日累计伤害达到 [00821c]4900[-] 万</t>
  </si>
  <si>
    <t>今日累计伤害达到 [00821c]5880[-] 万</t>
  </si>
  <si>
    <t>今日累计伤害达到 [00821c]7830[-] 万</t>
  </si>
  <si>
    <t>今日累计伤害达到 [00821c]10770[-] 万</t>
  </si>
  <si>
    <t>今日累计伤害达到 [00821c]13710[-] 万</t>
  </si>
  <si>
    <t>今日累计伤害达到 [00821c]15670[-] 万</t>
  </si>
  <si>
    <t>今日累计伤害达到 [00821c]18610[-] 万</t>
  </si>
  <si>
    <t>今日累计伤害达到 [00821c]20570[-] 万</t>
  </si>
  <si>
    <t>今日累计伤害达到 [00821c]23500[-] 万</t>
  </si>
  <si>
    <t>今日累计伤害达到 [00821c]25460[-] 万</t>
  </si>
  <si>
    <t>今日累计伤害达到 [00821c]28400[-] 万</t>
  </si>
  <si>
    <t>今日累计伤害达到 [00821c]33300[-] 万</t>
  </si>
  <si>
    <t>今日累计伤害达到 [00821c]38190[-] 万</t>
  </si>
  <si>
    <t>今日累计伤害达到 [00821c]43090[-] 万</t>
  </si>
  <si>
    <t>今日累计伤害达到 [00821c]47990[-] 万</t>
  </si>
  <si>
    <t>今日累计伤害达到 [00821c]53860[-] 万</t>
  </si>
  <si>
    <t>今日累计伤害达到 [00821c]58760[-] 万</t>
  </si>
  <si>
    <t>今日累计伤害达到 [00821c]63650[-] 万</t>
  </si>
  <si>
    <t>今日累计伤害达到 [00821c]68550[-] 万</t>
  </si>
  <si>
    <t>今日累计伤害达到 [00821c]73450[-] 万</t>
  </si>
  <si>
    <t>今日累计伤害达到 [00821c]88140[-] 万</t>
  </si>
  <si>
    <t>今日累计伤害达到 [00821c]94010[-] 万</t>
  </si>
  <si>
    <t>今日累计伤害达到 [00821c]98910[-] 万</t>
  </si>
  <si>
    <t>今日累计伤害达到 [00821c]103810[-] 万</t>
  </si>
  <si>
    <t>今日累计伤害达到 [00821c]108700[-] 万</t>
  </si>
  <si>
    <t>今日累计伤害达到 [00821c]113600[-] 万</t>
  </si>
  <si>
    <t>今日累计伤害达到 [00821c]118500[-] 万</t>
  </si>
  <si>
    <t>今日累计伤害达到 [00821c]1070[-] 万</t>
  </si>
  <si>
    <t>今日累计伤害达到 [00821c]2130[-] 万</t>
  </si>
  <si>
    <t>今日累计伤害达到 [00821c]3200[-] 万</t>
  </si>
  <si>
    <t>今日累计伤害达到 [00821c]5330[-] 万</t>
  </si>
  <si>
    <t>今日累计伤害达到 [00821c]8530[-] 万</t>
  </si>
  <si>
    <t>今日累计伤害达到 [00821c]11730[-] 万</t>
  </si>
  <si>
    <t>今日累计伤害达到 [00821c]14930[-] 万</t>
  </si>
  <si>
    <t>今日累计伤害达到 [00821c]17060[-] 万</t>
  </si>
  <si>
    <t>今日累计伤害达到 [00821c]20260[-] 万</t>
  </si>
  <si>
    <t>今日累计伤害达到 [00821c]22390[-] 万</t>
  </si>
  <si>
    <t>今日累计伤害达到 [00821c]25590[-] 万</t>
  </si>
  <si>
    <t>今日累计伤害达到 [00821c]27720[-] 万</t>
  </si>
  <si>
    <t>今日累计伤害达到 [00821c]30920[-] 万</t>
  </si>
  <si>
    <t>今日累计伤害达到 [00821c]36250[-] 万</t>
  </si>
  <si>
    <t>今日累计伤害达到 [00821c]41590[-] 万</t>
  </si>
  <si>
    <t>今日累计伤害达到 [00821c]46920[-] 万</t>
  </si>
  <si>
    <t>今日累计伤害达到 [00821c]58650[-] 万</t>
  </si>
  <si>
    <t>今日累计伤害达到 [00821c]63980[-] 万</t>
  </si>
  <si>
    <t>今日累计伤害达到 [00821c]69310[-] 万</t>
  </si>
  <si>
    <t>今日累计伤害达到 [00821c]74640[-] 万</t>
  </si>
  <si>
    <t>今日累计伤害达到 [00821c]79970[-] 万</t>
  </si>
  <si>
    <t>今日累计伤害达到 [00821c]95970[-] 万</t>
  </si>
  <si>
    <t>今日累计伤害达到 [00821c]102360[-] 万</t>
  </si>
  <si>
    <t>今日累计伤害达到 [00821c]107700[-] 万</t>
  </si>
  <si>
    <t>今日累计伤害达到 [00821c]113030[-] 万</t>
  </si>
  <si>
    <t>今日累计伤害达到 [00821c]118360[-] 万</t>
  </si>
  <si>
    <t>今日累计伤害达到 [00821c]123690[-] 万</t>
  </si>
  <si>
    <t>今日累计伤害达到 [00821c]129020[-] 万</t>
  </si>
  <si>
    <t>今日累计伤害达到 [00821c]1150[-] 万</t>
  </si>
  <si>
    <t>今日累计伤害达到 [00821c]2310[-] 万</t>
  </si>
  <si>
    <t>今日累计伤害达到 [00821c]3460[-] 万</t>
  </si>
  <si>
    <t>今日累计伤害达到 [00821c]5770[-] 万</t>
  </si>
  <si>
    <t>今日累计伤害达到 [00821c]6920[-] 万</t>
  </si>
  <si>
    <t>今日累计伤害达到 [00821c]9230[-] 万</t>
  </si>
  <si>
    <t>今日累计伤害达到 [00821c]12690[-] 万</t>
  </si>
  <si>
    <t>今日累计伤害达到 [00821c]16150[-] 万</t>
  </si>
  <si>
    <t>今日累计伤害达到 [00821c]18450[-] 万</t>
  </si>
  <si>
    <t>今日累计伤害达到 [00821c]21910[-] 万</t>
  </si>
  <si>
    <t>今日累计伤害达到 [00821c]24220[-] 万</t>
  </si>
  <si>
    <t>今日累计伤害达到 [00821c]27680[-] 万</t>
  </si>
  <si>
    <t>今日累计伤害达到 [00821c]29990[-] 万</t>
  </si>
  <si>
    <t>今日累计伤害达到 [00821c]33450[-] 万</t>
  </si>
  <si>
    <t>今日累计伤害达到 [00821c]39210[-] 万</t>
  </si>
  <si>
    <t>今日累计伤害达到 [00821c]44980[-] 万</t>
  </si>
  <si>
    <t>今日累计伤害达到 [00821c]50750[-] 万</t>
  </si>
  <si>
    <t>今日累计伤害达到 [00821c]56510[-] 万</t>
  </si>
  <si>
    <t>今日累计伤害达到 [00821c]63430[-] 万</t>
  </si>
  <si>
    <t>今日累计伤害达到 [00821c]69200[-] 万</t>
  </si>
  <si>
    <t>今日累计伤害达到 [00821c]74960[-] 万</t>
  </si>
  <si>
    <t>今日累计伤害达到 [00821c]80730[-] 万</t>
  </si>
  <si>
    <t>今日累计伤害达到 [00821c]86500[-] 万</t>
  </si>
  <si>
    <t>今日累计伤害达到 [00821c]103800[-] 万</t>
  </si>
  <si>
    <t>今日累计伤害达到 [00821c]110720[-] 万</t>
  </si>
  <si>
    <t>今日累计伤害达到 [00821c]116480[-] 万</t>
  </si>
  <si>
    <t>今日累计伤害达到 [00821c]122250[-] 万</t>
  </si>
  <si>
    <t>今日累计伤害达到 [00821c]128020[-] 万</t>
  </si>
  <si>
    <t>今日累计伤害达到 [00821c]133780[-] 万</t>
  </si>
  <si>
    <t>今日累计伤害达到 [00821c]139550[-] 万</t>
  </si>
  <si>
    <t>今日累计伤害达到 [00821c]1240[-] 万</t>
  </si>
  <si>
    <t>今日累计伤害达到 [00821c]2480[-] 万</t>
  </si>
  <si>
    <t>今日累计伤害达到 [00821c]3720[-] 万</t>
  </si>
  <si>
    <t>今日累计伤害达到 [00821c]6200[-] 万</t>
  </si>
  <si>
    <t>今日累计伤害达到 [00821c]7440[-] 万</t>
  </si>
  <si>
    <t>今日累计伤害达到 [00821c]9920[-] 万</t>
  </si>
  <si>
    <t>今日累计伤害达到 [00821c]13640[-] 万</t>
  </si>
  <si>
    <t>今日累计伤害达到 [00821c]17360[-] 万</t>
  </si>
  <si>
    <t>今日累计伤害达到 [00821c]19840[-] 万</t>
  </si>
  <si>
    <t>今日累计伤害达到 [00821c]23570[-] 万</t>
  </si>
  <si>
    <t>今日累计伤害达到 [00821c]26050[-] 万</t>
  </si>
  <si>
    <t>今日累计伤害达到 [00821c]29770[-] 万</t>
  </si>
  <si>
    <t>今日累计伤害达到 [00821c]32250[-] 万</t>
  </si>
  <si>
    <t>今日累计伤害达到 [00821c]35970[-] 万</t>
  </si>
  <si>
    <t>今日累计伤害达到 [00821c]42170[-] 万</t>
  </si>
  <si>
    <t>今日累计伤害达到 [00821c]48370[-] 万</t>
  </si>
  <si>
    <t>今日累计伤害达到 [00821c]54570[-] 万</t>
  </si>
  <si>
    <t>今日累计伤害达到 [00821c]60770[-] 万</t>
  </si>
  <si>
    <t>今日累计伤害达到 [00821c]68220[-] 万</t>
  </si>
  <si>
    <t>今日累计伤害达到 [00821c]74420[-] 万</t>
  </si>
  <si>
    <t>今日累计伤害达到 [00821c]80620[-] 万</t>
  </si>
  <si>
    <t>今日累计伤害达到 [00821c]86820[-] 万</t>
  </si>
  <si>
    <t>今日累计伤害达到 [00821c]93020[-] 万</t>
  </si>
  <si>
    <t>今日累计伤害达到 [00821c]111630[-] 万</t>
  </si>
  <si>
    <t>今日累计伤害达到 [00821c]119070[-] 万</t>
  </si>
  <si>
    <t>今日累计伤害达到 [00821c]125270[-] 万</t>
  </si>
  <si>
    <t>今日累计伤害达到 [00821c]131470[-] 万</t>
  </si>
  <si>
    <t>今日累计伤害达到 [00821c]137670[-] 万</t>
  </si>
  <si>
    <t>今日累计伤害达到 [00821c]143870[-] 万</t>
  </si>
  <si>
    <t>今日累计伤害达到 [00821c]150080[-] 万</t>
  </si>
  <si>
    <t>今日累计伤害达到 [00821c]1330[-] 万</t>
  </si>
  <si>
    <t>今日累计伤害达到 [00821c]2650[-] 万</t>
  </si>
  <si>
    <t>今日累计伤害达到 [00821c]3980[-] 万</t>
  </si>
  <si>
    <t>今日累计伤害达到 [00821c]6640[-] 万</t>
  </si>
  <si>
    <t>今日累计伤害达到 [00821c]7960[-] 万</t>
  </si>
  <si>
    <t>今日累计伤害达到 [00821c]10620[-] 万</t>
  </si>
  <si>
    <t>今日累计伤害达到 [00821c]14600[-] 万</t>
  </si>
  <si>
    <t>今日累计伤害达到 [00821c]18580[-] 万</t>
  </si>
  <si>
    <t>今日累计伤害达到 [00821c]21240[-] 万</t>
  </si>
  <si>
    <t>今日累计伤害达到 [00821c]25220[-] 万</t>
  </si>
  <si>
    <t>今日累计伤害达到 [00821c]27870[-] 万</t>
  </si>
  <si>
    <t>今日累计伤害达到 [00821c]31860[-] 万</t>
  </si>
  <si>
    <t>今日累计伤害达到 [00821c]34510[-] 万</t>
  </si>
  <si>
    <t>今日累计伤害达到 [00821c]38490[-] 万</t>
  </si>
  <si>
    <t>今日累计伤害达到 [00821c]45130[-] 万</t>
  </si>
  <si>
    <t>今日累计伤害达到 [00821c]51760[-] 万</t>
  </si>
  <si>
    <t>今日累计伤害达到 [00821c]58400[-] 万</t>
  </si>
  <si>
    <t>今日累计伤害达到 [00821c]65040[-] 万</t>
  </si>
  <si>
    <t>今日累计伤害达到 [00821c]73000[-] 万</t>
  </si>
  <si>
    <t>今日累计伤害达到 [00821c]79640[-] 万</t>
  </si>
  <si>
    <t>今日累计伤害达到 [00821c]86270[-] 万</t>
  </si>
  <si>
    <t>今日累计伤害达到 [00821c]92910[-] 万</t>
  </si>
  <si>
    <t>今日累计伤害达到 [00821c]99550[-] 万</t>
  </si>
  <si>
    <t>今日累计伤害达到 [00821c]119460[-] 万</t>
  </si>
  <si>
    <t>今日累计伤害达到 [00821c]127420[-] 万</t>
  </si>
  <si>
    <t>今日累计伤害达到 [00821c]134060[-] 万</t>
  </si>
  <si>
    <t>今日累计伤害达到 [00821c]140690[-] 万</t>
  </si>
  <si>
    <t>今日累计伤害达到 [00821c]147330[-] 万</t>
  </si>
  <si>
    <t>今日累计伤害达到 [00821c]153970[-] 万</t>
  </si>
  <si>
    <t>今日累计伤害达到 [00821c]160600[-] 万</t>
  </si>
  <si>
    <t>今日累计击杀 [00821c]2[-] 个梦魇</t>
  </si>
  <si>
    <t>今日累计击杀 [00821c]4[-] 个梦魇</t>
  </si>
  <si>
    <t>今日累计击杀 [00821c]6[-] 个梦魇</t>
  </si>
  <si>
    <t>今日累计击杀 [00821c]8[-] 个梦魇</t>
  </si>
  <si>
    <t>今日累计击杀 [00821c]10[-] 个梦魇</t>
  </si>
  <si>
    <t>今日累计击杀 [00821c]12[-] 个梦魇</t>
  </si>
  <si>
    <t>今日累计击杀 [00821c]14[-] 个梦魇</t>
  </si>
  <si>
    <t>今日累计击杀 [00821c]16[-] 个梦魇</t>
  </si>
  <si>
    <t>今日累计击杀 [00821c]18[-] 个梦魇</t>
  </si>
  <si>
    <t>今日累计击杀 [00821c]20[-] 个梦魇</t>
  </si>
  <si>
    <t>今日累计击杀 [00821c]22[-] 个梦魇</t>
  </si>
  <si>
    <t>今日累计击杀 [00821c]24[-] 个梦魇</t>
  </si>
  <si>
    <t>今日累计击杀 [00821c]26[-] 个梦魇</t>
  </si>
  <si>
    <t>今日累计击杀 [00821c]28[-] 个梦魇</t>
  </si>
  <si>
    <t>今日累计击杀 [00821c]30[-] 个梦魇</t>
  </si>
  <si>
    <t>今日累计击杀 [00821c]32[-] 个梦魇</t>
  </si>
  <si>
    <t>今日累计击杀 [00821c]34[-] 个梦魇</t>
  </si>
  <si>
    <t>今日累计击杀 [00821c]36[-] 个梦魇</t>
  </si>
  <si>
    <t>今日累计击杀 [00821c]38[-] 个梦魇</t>
  </si>
  <si>
    <t>今日累计击杀 [00821c]40[-] 个梦魇</t>
  </si>
</sst>
</file>

<file path=xl/styles.xml><?xml version="1.0" encoding="utf-8"?>
<styleSheet xmlns="http://schemas.openxmlformats.org/spreadsheetml/2006/main">
  <fonts count="15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sz val="11"/>
      <name val="宋体"/>
      <family val="2"/>
      <scheme val="minor"/>
    </font>
    <font>
      <b/>
      <sz val="10"/>
      <color rgb="FFFF000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1"/>
      <color theme="1"/>
      <name val="宋体"/>
      <family val="2"/>
      <scheme val="minor"/>
    </font>
    <font>
      <sz val="10"/>
      <color theme="0" tint="-0.499984740745262"/>
      <name val="微软雅黑"/>
      <family val="2"/>
      <charset val="134"/>
    </font>
    <font>
      <sz val="11"/>
      <color theme="0" tint="-0.499984740745262"/>
      <name val="宋体"/>
      <family val="2"/>
      <scheme val="minor"/>
    </font>
    <font>
      <b/>
      <sz val="10"/>
      <color theme="0" tint="-0.499984740745262"/>
      <name val="微软雅黑"/>
      <family val="2"/>
      <charset val="134"/>
    </font>
    <font>
      <b/>
      <sz val="11"/>
      <color theme="0" tint="-0.499984740745262"/>
      <name val="宋体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top" wrapText="1"/>
    </xf>
    <xf numFmtId="0" fontId="0" fillId="5" borderId="0" xfId="0" applyFill="1"/>
    <xf numFmtId="49" fontId="6" fillId="4" borderId="1" xfId="0" applyNumberFormat="1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7" fillId="0" borderId="0" xfId="0" applyFont="1"/>
    <xf numFmtId="0" fontId="9" fillId="2" borderId="1" xfId="0" applyFont="1" applyFill="1" applyBorder="1" applyAlignment="1">
      <alignment horizontal="left" vertical="top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10" fillId="0" borderId="0" xfId="0" applyFont="1"/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top" wrapText="1"/>
    </xf>
    <xf numFmtId="0" fontId="11" fillId="2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2" fillId="0" borderId="0" xfId="0" applyFont="1"/>
    <xf numFmtId="0" fontId="13" fillId="2" borderId="1" xfId="0" applyFont="1" applyFill="1" applyBorder="1" applyAlignment="1">
      <alignment horizontal="left" vertical="top" wrapText="1"/>
    </xf>
    <xf numFmtId="0" fontId="13" fillId="2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0" borderId="0" xfId="0" applyFont="1"/>
    <xf numFmtId="0" fontId="3" fillId="6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0" fillId="6" borderId="0" xfId="0" applyFill="1"/>
    <xf numFmtId="0" fontId="1" fillId="2" borderId="1" xfId="0" applyNumberFormat="1" applyFont="1" applyFill="1" applyBorder="1" applyAlignment="1">
      <alignment horizontal="left" vertical="top" wrapText="1"/>
    </xf>
    <xf numFmtId="0" fontId="1" fillId="2" borderId="1" xfId="0" applyNumberFormat="1" applyFont="1" applyFill="1" applyBorder="1" applyAlignment="1">
      <alignment horizontal="center" vertical="center"/>
    </xf>
    <xf numFmtId="0" fontId="3" fillId="4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3" fillId="6" borderId="1" xfId="0" applyNumberFormat="1" applyFont="1" applyFill="1" applyBorder="1" applyAlignment="1">
      <alignment horizontal="center" vertical="center"/>
    </xf>
    <xf numFmtId="0" fontId="3" fillId="5" borderId="1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0" fillId="0" borderId="0" xfId="0" applyFill="1"/>
    <xf numFmtId="0" fontId="0" fillId="0" borderId="0" xfId="0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sheng/&#31574;&#21010;/&#25968;&#20540;/&#25968;&#20540;&#35774;&#23450;/&#24618;&#29289;&#23646;&#2461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sheng/&#31574;&#21010;/&#25968;&#20540;/&#25968;&#20540;&#35774;&#23450;/5&#20154;&#20135;&#20986;/&#31070;&#20853;-&#26790;&#39751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玩家属性标准"/>
      <sheetName val="怪物属性_小怪"/>
      <sheetName val="怪物属性_BOSS"/>
      <sheetName val="小怪属性"/>
      <sheetName val="BOSS属性"/>
      <sheetName val="双方生存时长"/>
      <sheetName val="大雁塔怪物"/>
      <sheetName val="日常怪物难度"/>
      <sheetName val="梦魇入侵"/>
      <sheetName val="夜探无底洞"/>
      <sheetName val="精英小怪"/>
      <sheetName val="精英BOSS"/>
      <sheetName val="大闹三界"/>
      <sheetName val="全服BO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8">
          <cell r="D28" t="str">
            <v>触发梦魇数量</v>
          </cell>
          <cell r="E28">
            <v>30</v>
          </cell>
          <cell r="F28">
            <v>40</v>
          </cell>
          <cell r="G28">
            <v>50</v>
          </cell>
          <cell r="H28">
            <v>60</v>
          </cell>
          <cell r="I28">
            <v>70</v>
          </cell>
          <cell r="J28">
            <v>80</v>
          </cell>
          <cell r="K28">
            <v>90</v>
          </cell>
          <cell r="L28">
            <v>100</v>
          </cell>
          <cell r="M28">
            <v>110</v>
          </cell>
          <cell r="N28">
            <v>120</v>
          </cell>
          <cell r="O28">
            <v>130</v>
          </cell>
          <cell r="P28">
            <v>140</v>
          </cell>
          <cell r="Q28">
            <v>150</v>
          </cell>
        </row>
        <row r="29">
          <cell r="D29">
            <v>1</v>
          </cell>
          <cell r="E29">
            <v>7300000</v>
          </cell>
          <cell r="F29">
            <v>9600000</v>
          </cell>
          <cell r="G29">
            <v>11900000</v>
          </cell>
          <cell r="H29">
            <v>14300000</v>
          </cell>
          <cell r="I29">
            <v>16600000</v>
          </cell>
          <cell r="J29">
            <v>19000000</v>
          </cell>
          <cell r="K29">
            <v>21300000</v>
          </cell>
          <cell r="L29">
            <v>23700000</v>
          </cell>
          <cell r="M29">
            <v>26000000</v>
          </cell>
          <cell r="N29">
            <v>28400000</v>
          </cell>
          <cell r="O29">
            <v>30700000</v>
          </cell>
          <cell r="P29">
            <v>33000000</v>
          </cell>
          <cell r="Q29">
            <v>35400000</v>
          </cell>
        </row>
        <row r="30">
          <cell r="D30">
            <v>2</v>
          </cell>
          <cell r="E30">
            <v>14500000</v>
          </cell>
          <cell r="F30">
            <v>19200000</v>
          </cell>
          <cell r="G30">
            <v>23900000</v>
          </cell>
          <cell r="H30">
            <v>28600000</v>
          </cell>
          <cell r="I30">
            <v>33300000</v>
          </cell>
          <cell r="J30">
            <v>38000000</v>
          </cell>
          <cell r="K30">
            <v>42600000</v>
          </cell>
          <cell r="L30">
            <v>47300000</v>
          </cell>
          <cell r="M30">
            <v>52000000</v>
          </cell>
          <cell r="N30">
            <v>56700000</v>
          </cell>
          <cell r="O30">
            <v>61400000</v>
          </cell>
          <cell r="P30">
            <v>66100000</v>
          </cell>
          <cell r="Q30">
            <v>70800000</v>
          </cell>
        </row>
        <row r="31">
          <cell r="D31">
            <v>3</v>
          </cell>
          <cell r="E31">
            <v>21800000</v>
          </cell>
          <cell r="F31">
            <v>28800000</v>
          </cell>
          <cell r="G31">
            <v>35800000</v>
          </cell>
          <cell r="H31">
            <v>42900000</v>
          </cell>
          <cell r="I31">
            <v>49900000</v>
          </cell>
          <cell r="J31">
            <v>56900000</v>
          </cell>
          <cell r="K31">
            <v>64000000</v>
          </cell>
          <cell r="L31">
            <v>71000000</v>
          </cell>
          <cell r="M31">
            <v>78000000</v>
          </cell>
          <cell r="N31">
            <v>85100000</v>
          </cell>
          <cell r="O31">
            <v>92100000</v>
          </cell>
          <cell r="P31">
            <v>99100000</v>
          </cell>
          <cell r="Q31">
            <v>106200000</v>
          </cell>
        </row>
        <row r="32">
          <cell r="D32">
            <v>5</v>
          </cell>
          <cell r="E32">
            <v>36300000</v>
          </cell>
          <cell r="F32">
            <v>48000000</v>
          </cell>
          <cell r="G32">
            <v>59700000</v>
          </cell>
          <cell r="H32">
            <v>71400000</v>
          </cell>
          <cell r="I32">
            <v>83200000</v>
          </cell>
          <cell r="J32">
            <v>94900000</v>
          </cell>
          <cell r="K32">
            <v>106600000</v>
          </cell>
          <cell r="L32">
            <v>118300000</v>
          </cell>
          <cell r="M32">
            <v>130100000</v>
          </cell>
          <cell r="N32">
            <v>141800000</v>
          </cell>
          <cell r="O32">
            <v>153500000</v>
          </cell>
          <cell r="P32">
            <v>165200000</v>
          </cell>
          <cell r="Q32">
            <v>177000000</v>
          </cell>
        </row>
        <row r="33">
          <cell r="D33">
            <v>6</v>
          </cell>
          <cell r="E33">
            <v>43500000</v>
          </cell>
          <cell r="F33">
            <v>57600000</v>
          </cell>
          <cell r="G33">
            <v>71700000</v>
          </cell>
          <cell r="H33">
            <v>85700000</v>
          </cell>
          <cell r="I33">
            <v>99800000</v>
          </cell>
          <cell r="J33">
            <v>113900000</v>
          </cell>
          <cell r="K33">
            <v>127900000</v>
          </cell>
          <cell r="L33">
            <v>142000000</v>
          </cell>
          <cell r="M33">
            <v>156100000</v>
          </cell>
          <cell r="N33">
            <v>170100000</v>
          </cell>
          <cell r="O33">
            <v>184200000</v>
          </cell>
          <cell r="P33">
            <v>198300000</v>
          </cell>
          <cell r="Q33">
            <v>212400000</v>
          </cell>
        </row>
        <row r="34">
          <cell r="D34">
            <v>8</v>
          </cell>
          <cell r="E34">
            <v>58000000</v>
          </cell>
          <cell r="F34">
            <v>76800000</v>
          </cell>
          <cell r="G34">
            <v>95500000</v>
          </cell>
          <cell r="H34">
            <v>114300000</v>
          </cell>
          <cell r="I34">
            <v>133100000</v>
          </cell>
          <cell r="J34">
            <v>151800000</v>
          </cell>
          <cell r="K34">
            <v>170600000</v>
          </cell>
          <cell r="L34">
            <v>189300000</v>
          </cell>
          <cell r="M34">
            <v>208100000</v>
          </cell>
          <cell r="N34">
            <v>226900000</v>
          </cell>
          <cell r="O34">
            <v>245600000</v>
          </cell>
          <cell r="P34">
            <v>264400000</v>
          </cell>
          <cell r="Q34">
            <v>283100000</v>
          </cell>
        </row>
        <row r="35">
          <cell r="D35">
            <v>11</v>
          </cell>
          <cell r="E35">
            <v>79800000</v>
          </cell>
          <cell r="F35">
            <v>105600000</v>
          </cell>
          <cell r="G35">
            <v>131400000</v>
          </cell>
          <cell r="H35">
            <v>157200000</v>
          </cell>
          <cell r="I35">
            <v>183000000</v>
          </cell>
          <cell r="J35">
            <v>208700000</v>
          </cell>
          <cell r="K35">
            <v>234500000</v>
          </cell>
          <cell r="L35">
            <v>260300000</v>
          </cell>
          <cell r="M35">
            <v>286100000</v>
          </cell>
          <cell r="N35">
            <v>311900000</v>
          </cell>
          <cell r="O35">
            <v>337700000</v>
          </cell>
          <cell r="P35">
            <v>363500000</v>
          </cell>
          <cell r="Q35">
            <v>389300000</v>
          </cell>
        </row>
        <row r="36">
          <cell r="D36">
            <v>14</v>
          </cell>
          <cell r="E36">
            <v>101500000</v>
          </cell>
          <cell r="F36">
            <v>134400000</v>
          </cell>
          <cell r="G36">
            <v>167200000</v>
          </cell>
          <cell r="H36">
            <v>200000000</v>
          </cell>
          <cell r="I36">
            <v>232800000</v>
          </cell>
          <cell r="J36">
            <v>265700000</v>
          </cell>
          <cell r="K36">
            <v>298500000</v>
          </cell>
          <cell r="L36">
            <v>331300000</v>
          </cell>
          <cell r="M36">
            <v>364200000</v>
          </cell>
          <cell r="N36">
            <v>397000000</v>
          </cell>
          <cell r="O36">
            <v>429800000</v>
          </cell>
          <cell r="P36">
            <v>462700000</v>
          </cell>
          <cell r="Q36">
            <v>495500000</v>
          </cell>
        </row>
        <row r="37">
          <cell r="D37">
            <v>16</v>
          </cell>
          <cell r="E37">
            <v>116000000</v>
          </cell>
          <cell r="F37">
            <v>153600000</v>
          </cell>
          <cell r="G37">
            <v>191100000</v>
          </cell>
          <cell r="H37">
            <v>228600000</v>
          </cell>
          <cell r="I37">
            <v>266100000</v>
          </cell>
          <cell r="J37">
            <v>303600000</v>
          </cell>
          <cell r="K37">
            <v>341200000</v>
          </cell>
          <cell r="L37">
            <v>378700000</v>
          </cell>
          <cell r="M37">
            <v>416200000</v>
          </cell>
          <cell r="N37">
            <v>453700000</v>
          </cell>
          <cell r="O37">
            <v>491200000</v>
          </cell>
          <cell r="P37">
            <v>528800000</v>
          </cell>
          <cell r="Q37">
            <v>566300000</v>
          </cell>
        </row>
        <row r="38">
          <cell r="D38">
            <v>19</v>
          </cell>
          <cell r="E38">
            <v>137800000</v>
          </cell>
          <cell r="F38">
            <v>182300000</v>
          </cell>
          <cell r="G38">
            <v>226900000</v>
          </cell>
          <cell r="H38">
            <v>271500000</v>
          </cell>
          <cell r="I38">
            <v>316000000</v>
          </cell>
          <cell r="J38">
            <v>360600000</v>
          </cell>
          <cell r="K38">
            <v>405100000</v>
          </cell>
          <cell r="L38">
            <v>449700000</v>
          </cell>
          <cell r="M38">
            <v>494200000</v>
          </cell>
          <cell r="N38">
            <v>538800000</v>
          </cell>
          <cell r="O38">
            <v>583300000</v>
          </cell>
          <cell r="P38">
            <v>627900000</v>
          </cell>
          <cell r="Q38">
            <v>672400000</v>
          </cell>
        </row>
        <row r="39">
          <cell r="D39">
            <v>21</v>
          </cell>
          <cell r="E39">
            <v>152300000</v>
          </cell>
          <cell r="F39">
            <v>201500000</v>
          </cell>
          <cell r="G39">
            <v>250800000</v>
          </cell>
          <cell r="H39">
            <v>300000000</v>
          </cell>
          <cell r="I39">
            <v>349300000</v>
          </cell>
          <cell r="J39">
            <v>398500000</v>
          </cell>
          <cell r="K39">
            <v>447800000</v>
          </cell>
          <cell r="L39">
            <v>497000000</v>
          </cell>
          <cell r="M39">
            <v>546300000</v>
          </cell>
          <cell r="N39">
            <v>595500000</v>
          </cell>
          <cell r="O39">
            <v>644700000</v>
          </cell>
          <cell r="P39">
            <v>694000000</v>
          </cell>
          <cell r="Q39">
            <v>743200000</v>
          </cell>
        </row>
        <row r="40">
          <cell r="D40">
            <v>24</v>
          </cell>
          <cell r="E40">
            <v>174000000</v>
          </cell>
          <cell r="F40">
            <v>230300000</v>
          </cell>
          <cell r="G40">
            <v>286600000</v>
          </cell>
          <cell r="H40">
            <v>342900000</v>
          </cell>
          <cell r="I40">
            <v>399200000</v>
          </cell>
          <cell r="J40">
            <v>455400000</v>
          </cell>
          <cell r="K40">
            <v>511700000</v>
          </cell>
          <cell r="L40">
            <v>568000000</v>
          </cell>
          <cell r="M40">
            <v>624300000</v>
          </cell>
          <cell r="N40">
            <v>680600000</v>
          </cell>
          <cell r="O40">
            <v>736800000</v>
          </cell>
          <cell r="P40">
            <v>793100000</v>
          </cell>
          <cell r="Q40">
            <v>849400000</v>
          </cell>
        </row>
        <row r="41">
          <cell r="D41">
            <v>26</v>
          </cell>
          <cell r="E41">
            <v>188600000</v>
          </cell>
          <cell r="F41">
            <v>249500000</v>
          </cell>
          <cell r="G41">
            <v>310500000</v>
          </cell>
          <cell r="H41">
            <v>371500000</v>
          </cell>
          <cell r="I41">
            <v>432400000</v>
          </cell>
          <cell r="J41">
            <v>493400000</v>
          </cell>
          <cell r="K41">
            <v>554400000</v>
          </cell>
          <cell r="L41">
            <v>615300000</v>
          </cell>
          <cell r="M41">
            <v>676300000</v>
          </cell>
          <cell r="N41">
            <v>737300000</v>
          </cell>
          <cell r="O41">
            <v>798300000</v>
          </cell>
          <cell r="P41">
            <v>859200000</v>
          </cell>
          <cell r="Q41">
            <v>920200000</v>
          </cell>
        </row>
        <row r="42">
          <cell r="D42">
            <v>29</v>
          </cell>
          <cell r="E42">
            <v>210300000</v>
          </cell>
          <cell r="F42">
            <v>278300000</v>
          </cell>
          <cell r="G42">
            <v>346300000</v>
          </cell>
          <cell r="H42">
            <v>414300000</v>
          </cell>
          <cell r="I42">
            <v>482300000</v>
          </cell>
          <cell r="J42">
            <v>550300000</v>
          </cell>
          <cell r="K42">
            <v>618300000</v>
          </cell>
          <cell r="L42">
            <v>686300000</v>
          </cell>
          <cell r="M42">
            <v>754300000</v>
          </cell>
          <cell r="N42">
            <v>822400000</v>
          </cell>
          <cell r="O42">
            <v>890400000</v>
          </cell>
          <cell r="P42">
            <v>958400000</v>
          </cell>
          <cell r="Q42">
            <v>1026400000</v>
          </cell>
        </row>
        <row r="43">
          <cell r="D43">
            <v>32</v>
          </cell>
          <cell r="E43">
            <v>232100000</v>
          </cell>
          <cell r="F43">
            <v>307100000</v>
          </cell>
          <cell r="G43">
            <v>382100000</v>
          </cell>
          <cell r="H43">
            <v>457200000</v>
          </cell>
          <cell r="I43">
            <v>532200000</v>
          </cell>
          <cell r="J43">
            <v>607300000</v>
          </cell>
          <cell r="K43">
            <v>682300000</v>
          </cell>
          <cell r="L43">
            <v>757300000</v>
          </cell>
          <cell r="M43">
            <v>832400000</v>
          </cell>
          <cell r="N43">
            <v>907400000</v>
          </cell>
          <cell r="O43">
            <v>982500000</v>
          </cell>
          <cell r="P43">
            <v>1057500000</v>
          </cell>
          <cell r="Q43">
            <v>1132500000</v>
          </cell>
        </row>
        <row r="44">
          <cell r="D44">
            <v>34</v>
          </cell>
          <cell r="E44">
            <v>246600000</v>
          </cell>
          <cell r="F44">
            <v>326300000</v>
          </cell>
          <cell r="G44">
            <v>406000000</v>
          </cell>
          <cell r="H44">
            <v>485800000</v>
          </cell>
          <cell r="I44">
            <v>565500000</v>
          </cell>
          <cell r="J44">
            <v>645200000</v>
          </cell>
          <cell r="K44">
            <v>724900000</v>
          </cell>
          <cell r="L44">
            <v>804700000</v>
          </cell>
          <cell r="M44">
            <v>884400000</v>
          </cell>
          <cell r="N44">
            <v>964100000</v>
          </cell>
          <cell r="O44">
            <v>1043900000</v>
          </cell>
          <cell r="P44">
            <v>1123600000</v>
          </cell>
          <cell r="Q44">
            <v>1203300000</v>
          </cell>
        </row>
        <row r="45">
          <cell r="D45">
            <v>37</v>
          </cell>
          <cell r="E45">
            <v>268300000</v>
          </cell>
          <cell r="F45">
            <v>355100000</v>
          </cell>
          <cell r="G45">
            <v>441900000</v>
          </cell>
          <cell r="H45">
            <v>528600000</v>
          </cell>
          <cell r="I45">
            <v>615400000</v>
          </cell>
          <cell r="J45">
            <v>702100000</v>
          </cell>
          <cell r="K45">
            <v>788900000</v>
          </cell>
          <cell r="L45">
            <v>875700000</v>
          </cell>
          <cell r="M45">
            <v>962400000</v>
          </cell>
          <cell r="N45">
            <v>1049200000</v>
          </cell>
          <cell r="O45">
            <v>1136000000</v>
          </cell>
          <cell r="P45">
            <v>1222700000</v>
          </cell>
          <cell r="Q45">
            <v>1309500000</v>
          </cell>
        </row>
        <row r="46">
          <cell r="D46">
            <v>39</v>
          </cell>
          <cell r="E46">
            <v>282800000</v>
          </cell>
          <cell r="F46">
            <v>374300000</v>
          </cell>
          <cell r="G46">
            <v>465700000</v>
          </cell>
          <cell r="H46">
            <v>557200000</v>
          </cell>
          <cell r="I46">
            <v>648600000</v>
          </cell>
          <cell r="J46">
            <v>740100000</v>
          </cell>
          <cell r="K46">
            <v>831600000</v>
          </cell>
          <cell r="L46">
            <v>923000000</v>
          </cell>
          <cell r="M46">
            <v>1014500000</v>
          </cell>
          <cell r="N46">
            <v>1105900000</v>
          </cell>
          <cell r="O46">
            <v>1197400000</v>
          </cell>
          <cell r="P46">
            <v>1288800000</v>
          </cell>
          <cell r="Q46">
            <v>1380300000</v>
          </cell>
        </row>
        <row r="47">
          <cell r="D47">
            <v>42</v>
          </cell>
          <cell r="E47">
            <v>304600000</v>
          </cell>
          <cell r="F47">
            <v>403100000</v>
          </cell>
          <cell r="G47">
            <v>501600000</v>
          </cell>
          <cell r="H47">
            <v>600100000</v>
          </cell>
          <cell r="I47">
            <v>698500000</v>
          </cell>
          <cell r="J47">
            <v>797000000</v>
          </cell>
          <cell r="K47">
            <v>895500000</v>
          </cell>
          <cell r="L47">
            <v>994000000</v>
          </cell>
          <cell r="M47">
            <v>1092500000</v>
          </cell>
          <cell r="N47">
            <v>1191000000</v>
          </cell>
          <cell r="O47">
            <v>1289500000</v>
          </cell>
          <cell r="P47">
            <v>1388000000</v>
          </cell>
          <cell r="Q47">
            <v>1486500000</v>
          </cell>
        </row>
        <row r="48">
          <cell r="D48">
            <v>44</v>
          </cell>
          <cell r="E48">
            <v>319100000</v>
          </cell>
          <cell r="F48">
            <v>422300000</v>
          </cell>
          <cell r="G48">
            <v>525400000</v>
          </cell>
          <cell r="H48">
            <v>628600000</v>
          </cell>
          <cell r="I48">
            <v>731800000</v>
          </cell>
          <cell r="J48">
            <v>835000000</v>
          </cell>
          <cell r="K48">
            <v>938200000</v>
          </cell>
          <cell r="L48">
            <v>1041300000</v>
          </cell>
          <cell r="M48">
            <v>1144500000</v>
          </cell>
          <cell r="N48">
            <v>1247700000</v>
          </cell>
          <cell r="O48">
            <v>1350900000</v>
          </cell>
          <cell r="P48">
            <v>1454100000</v>
          </cell>
          <cell r="Q48">
            <v>1557200000</v>
          </cell>
        </row>
        <row r="49">
          <cell r="D49">
            <v>47</v>
          </cell>
          <cell r="E49">
            <v>340800000</v>
          </cell>
          <cell r="F49">
            <v>451100000</v>
          </cell>
          <cell r="G49">
            <v>561300000</v>
          </cell>
          <cell r="H49">
            <v>671500000</v>
          </cell>
          <cell r="I49">
            <v>781700000</v>
          </cell>
          <cell r="J49">
            <v>891900000</v>
          </cell>
          <cell r="K49">
            <v>1002100000</v>
          </cell>
          <cell r="L49">
            <v>1112300000</v>
          </cell>
          <cell r="M49">
            <v>1222600000</v>
          </cell>
          <cell r="N49">
            <v>1332800000</v>
          </cell>
          <cell r="O49">
            <v>1443000000</v>
          </cell>
          <cell r="P49">
            <v>1553200000</v>
          </cell>
          <cell r="Q49">
            <v>1663400000</v>
          </cell>
        </row>
        <row r="50">
          <cell r="D50">
            <v>49</v>
          </cell>
          <cell r="E50">
            <v>355300000</v>
          </cell>
          <cell r="F50">
            <v>470300000</v>
          </cell>
          <cell r="G50">
            <v>585200000</v>
          </cell>
          <cell r="H50">
            <v>700100000</v>
          </cell>
          <cell r="I50">
            <v>815000000</v>
          </cell>
          <cell r="J50">
            <v>929900000</v>
          </cell>
          <cell r="K50">
            <v>1044800000</v>
          </cell>
          <cell r="L50">
            <v>1159700000</v>
          </cell>
          <cell r="M50">
            <v>1274600000</v>
          </cell>
          <cell r="N50">
            <v>1389500000</v>
          </cell>
          <cell r="O50">
            <v>1504400000</v>
          </cell>
          <cell r="P50">
            <v>1619300000</v>
          </cell>
          <cell r="Q50">
            <v>1734200000</v>
          </cell>
        </row>
        <row r="51">
          <cell r="D51">
            <v>52</v>
          </cell>
          <cell r="E51">
            <v>377100000</v>
          </cell>
          <cell r="F51">
            <v>499000000</v>
          </cell>
          <cell r="G51">
            <v>621000000</v>
          </cell>
          <cell r="H51">
            <v>742900000</v>
          </cell>
          <cell r="I51">
            <v>864900000</v>
          </cell>
          <cell r="J51">
            <v>986800000</v>
          </cell>
          <cell r="K51">
            <v>1108700000</v>
          </cell>
          <cell r="L51">
            <v>1230700000</v>
          </cell>
          <cell r="M51">
            <v>1352600000</v>
          </cell>
          <cell r="N51">
            <v>1474600000</v>
          </cell>
          <cell r="O51">
            <v>1596500000</v>
          </cell>
          <cell r="P51">
            <v>1718400000</v>
          </cell>
          <cell r="Q51">
            <v>1840400000</v>
          </cell>
        </row>
        <row r="52">
          <cell r="D52">
            <v>55</v>
          </cell>
          <cell r="E52">
            <v>398900000</v>
          </cell>
          <cell r="F52">
            <v>527800000</v>
          </cell>
          <cell r="G52">
            <v>656800000</v>
          </cell>
          <cell r="H52">
            <v>785800000</v>
          </cell>
          <cell r="I52">
            <v>914800000</v>
          </cell>
          <cell r="J52">
            <v>1043700000</v>
          </cell>
          <cell r="K52">
            <v>1172700000</v>
          </cell>
          <cell r="L52">
            <v>1301700000</v>
          </cell>
          <cell r="M52">
            <v>1430700000</v>
          </cell>
          <cell r="N52">
            <v>1559600000</v>
          </cell>
          <cell r="O52">
            <v>1688600000</v>
          </cell>
          <cell r="P52">
            <v>1817600000</v>
          </cell>
          <cell r="Q52">
            <v>1946600000</v>
          </cell>
        </row>
        <row r="53">
          <cell r="D53">
            <v>57</v>
          </cell>
          <cell r="E53">
            <v>413400000</v>
          </cell>
          <cell r="F53">
            <v>547000000</v>
          </cell>
          <cell r="G53">
            <v>680700000</v>
          </cell>
          <cell r="H53">
            <v>814400000</v>
          </cell>
          <cell r="I53">
            <v>948000000</v>
          </cell>
          <cell r="J53">
            <v>1081700000</v>
          </cell>
          <cell r="K53">
            <v>1215400000</v>
          </cell>
          <cell r="L53">
            <v>1349000000</v>
          </cell>
          <cell r="M53">
            <v>1482700000</v>
          </cell>
          <cell r="N53">
            <v>1616300000</v>
          </cell>
          <cell r="O53">
            <v>1750000000</v>
          </cell>
          <cell r="P53">
            <v>1883700000</v>
          </cell>
          <cell r="Q53">
            <v>2017300000</v>
          </cell>
        </row>
        <row r="54">
          <cell r="D54">
            <v>60</v>
          </cell>
          <cell r="E54">
            <v>435100000</v>
          </cell>
          <cell r="F54">
            <v>575800000</v>
          </cell>
          <cell r="G54">
            <v>716500000</v>
          </cell>
          <cell r="H54">
            <v>857200000</v>
          </cell>
          <cell r="I54">
            <v>997900000</v>
          </cell>
          <cell r="J54">
            <v>1138600000</v>
          </cell>
          <cell r="K54">
            <v>1279300000</v>
          </cell>
          <cell r="L54">
            <v>1420000000</v>
          </cell>
          <cell r="M54">
            <v>1560700000</v>
          </cell>
          <cell r="N54">
            <v>1701400000</v>
          </cell>
          <cell r="O54">
            <v>1842100000</v>
          </cell>
          <cell r="P54">
            <v>1982800000</v>
          </cell>
          <cell r="Q54">
            <v>2123500000</v>
          </cell>
        </row>
        <row r="55">
          <cell r="D55">
            <v>62</v>
          </cell>
          <cell r="E55">
            <v>449600000</v>
          </cell>
          <cell r="F55">
            <v>595000000</v>
          </cell>
          <cell r="G55">
            <v>740400000</v>
          </cell>
          <cell r="H55">
            <v>885800000</v>
          </cell>
          <cell r="I55">
            <v>1031200000</v>
          </cell>
          <cell r="J55">
            <v>1176600000</v>
          </cell>
          <cell r="K55">
            <v>1322000000</v>
          </cell>
          <cell r="L55">
            <v>1467400000</v>
          </cell>
          <cell r="M55">
            <v>1612700000</v>
          </cell>
          <cell r="N55">
            <v>1758100000</v>
          </cell>
          <cell r="O55">
            <v>1903500000</v>
          </cell>
          <cell r="P55">
            <v>2048900000</v>
          </cell>
          <cell r="Q55">
            <v>2194300000</v>
          </cell>
        </row>
        <row r="56">
          <cell r="D56">
            <v>65</v>
          </cell>
          <cell r="E56">
            <v>471400000</v>
          </cell>
          <cell r="F56">
            <v>623800000</v>
          </cell>
          <cell r="G56">
            <v>776200000</v>
          </cell>
          <cell r="H56">
            <v>928700000</v>
          </cell>
          <cell r="I56">
            <v>1081100000</v>
          </cell>
          <cell r="J56">
            <v>1233500000</v>
          </cell>
          <cell r="K56">
            <v>1385900000</v>
          </cell>
          <cell r="L56">
            <v>1538400000</v>
          </cell>
          <cell r="M56">
            <v>1690800000</v>
          </cell>
          <cell r="N56">
            <v>1843200000</v>
          </cell>
          <cell r="O56">
            <v>1995600000</v>
          </cell>
          <cell r="P56">
            <v>2148100000</v>
          </cell>
          <cell r="Q56">
            <v>2300500000</v>
          </cell>
        </row>
        <row r="57">
          <cell r="D57">
            <v>67</v>
          </cell>
          <cell r="E57">
            <v>485900000</v>
          </cell>
          <cell r="F57">
            <v>643000000</v>
          </cell>
          <cell r="G57">
            <v>800100000</v>
          </cell>
          <cell r="H57">
            <v>957200000</v>
          </cell>
          <cell r="I57">
            <v>1114300000</v>
          </cell>
          <cell r="J57">
            <v>1271500000</v>
          </cell>
          <cell r="K57">
            <v>1428600000</v>
          </cell>
          <cell r="L57">
            <v>1585700000</v>
          </cell>
          <cell r="M57">
            <v>1742800000</v>
          </cell>
          <cell r="N57">
            <v>1899900000</v>
          </cell>
          <cell r="O57">
            <v>2057000000</v>
          </cell>
          <cell r="P57">
            <v>2214100000</v>
          </cell>
          <cell r="Q57">
            <v>2371300000</v>
          </cell>
        </row>
        <row r="58">
          <cell r="D58">
            <v>70</v>
          </cell>
          <cell r="E58">
            <v>507600000</v>
          </cell>
          <cell r="F58">
            <v>671800000</v>
          </cell>
          <cell r="G58">
            <v>835900000</v>
          </cell>
          <cell r="H58">
            <v>1000100000</v>
          </cell>
          <cell r="I58">
            <v>1164200000</v>
          </cell>
          <cell r="J58">
            <v>1328400000</v>
          </cell>
          <cell r="K58">
            <v>1492500000</v>
          </cell>
          <cell r="L58">
            <v>1656700000</v>
          </cell>
          <cell r="M58">
            <v>1820800000</v>
          </cell>
          <cell r="N58">
            <v>1985000000</v>
          </cell>
          <cell r="O58">
            <v>2149100000</v>
          </cell>
          <cell r="P58">
            <v>2313300000</v>
          </cell>
          <cell r="Q58">
            <v>2477400000</v>
          </cell>
        </row>
        <row r="59">
          <cell r="D59">
            <v>72</v>
          </cell>
          <cell r="E59">
            <v>522100000</v>
          </cell>
          <cell r="F59">
            <v>691000000</v>
          </cell>
          <cell r="G59">
            <v>859800000</v>
          </cell>
          <cell r="H59">
            <v>1028700000</v>
          </cell>
          <cell r="I59">
            <v>1197500000</v>
          </cell>
          <cell r="J59">
            <v>1366300000</v>
          </cell>
          <cell r="K59">
            <v>1535200000</v>
          </cell>
          <cell r="L59">
            <v>1704000000</v>
          </cell>
          <cell r="M59">
            <v>1872900000</v>
          </cell>
          <cell r="N59">
            <v>2041700000</v>
          </cell>
          <cell r="O59">
            <v>2210500000</v>
          </cell>
          <cell r="P59">
            <v>2379400000</v>
          </cell>
          <cell r="Q59">
            <v>2548200000</v>
          </cell>
        </row>
        <row r="60">
          <cell r="D60">
            <v>75</v>
          </cell>
          <cell r="E60">
            <v>543900000</v>
          </cell>
          <cell r="F60">
            <v>719800000</v>
          </cell>
          <cell r="G60">
            <v>895700000</v>
          </cell>
          <cell r="H60">
            <v>1071500000</v>
          </cell>
          <cell r="I60">
            <v>1247400000</v>
          </cell>
          <cell r="J60">
            <v>1423300000</v>
          </cell>
          <cell r="K60">
            <v>1599200000</v>
          </cell>
          <cell r="L60">
            <v>1775000000</v>
          </cell>
          <cell r="M60">
            <v>1950900000</v>
          </cell>
          <cell r="N60">
            <v>2126800000</v>
          </cell>
          <cell r="O60">
            <v>2302700000</v>
          </cell>
          <cell r="P60">
            <v>2478500000</v>
          </cell>
          <cell r="Q60">
            <v>2654400000</v>
          </cell>
        </row>
        <row r="61">
          <cell r="D61">
            <v>78</v>
          </cell>
          <cell r="E61">
            <v>565700000</v>
          </cell>
          <cell r="F61">
            <v>748600000</v>
          </cell>
          <cell r="G61">
            <v>931500000</v>
          </cell>
          <cell r="H61">
            <v>1114400000</v>
          </cell>
          <cell r="I61">
            <v>1297300000</v>
          </cell>
          <cell r="J61">
            <v>1480200000</v>
          </cell>
          <cell r="K61">
            <v>1663100000</v>
          </cell>
          <cell r="L61">
            <v>1846000000</v>
          </cell>
          <cell r="M61">
            <v>2028900000</v>
          </cell>
          <cell r="N61">
            <v>2211800000</v>
          </cell>
          <cell r="O61">
            <v>2394800000</v>
          </cell>
          <cell r="P61">
            <v>2577700000</v>
          </cell>
          <cell r="Q61">
            <v>2760600000</v>
          </cell>
        </row>
        <row r="62">
          <cell r="D62">
            <v>80</v>
          </cell>
          <cell r="E62">
            <v>580200000</v>
          </cell>
          <cell r="F62">
            <v>767800000</v>
          </cell>
          <cell r="G62">
            <v>955400000</v>
          </cell>
          <cell r="H62">
            <v>1143000000</v>
          </cell>
          <cell r="I62">
            <v>1330600000</v>
          </cell>
          <cell r="J62">
            <v>1518200000</v>
          </cell>
          <cell r="K62">
            <v>1705800000</v>
          </cell>
          <cell r="L62">
            <v>1893400000</v>
          </cell>
          <cell r="M62">
            <v>2081000000</v>
          </cell>
          <cell r="N62">
            <v>2268600000</v>
          </cell>
          <cell r="O62">
            <v>2456200000</v>
          </cell>
          <cell r="P62">
            <v>2643800000</v>
          </cell>
          <cell r="Q62">
            <v>2831400000</v>
          </cell>
        </row>
        <row r="63">
          <cell r="D63">
            <v>83</v>
          </cell>
          <cell r="E63">
            <v>601900000</v>
          </cell>
          <cell r="F63">
            <v>796600000</v>
          </cell>
          <cell r="G63">
            <v>991200000</v>
          </cell>
          <cell r="H63">
            <v>1185800000</v>
          </cell>
          <cell r="I63">
            <v>1380500000</v>
          </cell>
          <cell r="J63">
            <v>1575100000</v>
          </cell>
          <cell r="K63">
            <v>1769700000</v>
          </cell>
          <cell r="L63">
            <v>1964400000</v>
          </cell>
          <cell r="M63">
            <v>2159000000</v>
          </cell>
          <cell r="N63">
            <v>2353600000</v>
          </cell>
          <cell r="O63">
            <v>2548300000</v>
          </cell>
          <cell r="P63">
            <v>2742900000</v>
          </cell>
          <cell r="Q63">
            <v>2937500000</v>
          </cell>
        </row>
        <row r="64">
          <cell r="D64">
            <v>85</v>
          </cell>
          <cell r="E64">
            <v>616400000</v>
          </cell>
          <cell r="F64">
            <v>815700000</v>
          </cell>
          <cell r="G64">
            <v>1015100000</v>
          </cell>
          <cell r="H64">
            <v>1214400000</v>
          </cell>
          <cell r="I64">
            <v>1413700000</v>
          </cell>
          <cell r="J64">
            <v>1613000000</v>
          </cell>
          <cell r="K64">
            <v>1812400000</v>
          </cell>
          <cell r="L64">
            <v>2011700000</v>
          </cell>
          <cell r="M64">
            <v>2211000000</v>
          </cell>
          <cell r="N64">
            <v>2410300000</v>
          </cell>
          <cell r="O64">
            <v>2609700000</v>
          </cell>
          <cell r="P64">
            <v>2809000000</v>
          </cell>
          <cell r="Q64">
            <v>3008300000</v>
          </cell>
        </row>
        <row r="65">
          <cell r="D65">
            <v>88</v>
          </cell>
          <cell r="E65">
            <v>638200000</v>
          </cell>
          <cell r="F65">
            <v>844500000</v>
          </cell>
          <cell r="G65">
            <v>1050900000</v>
          </cell>
          <cell r="H65">
            <v>1257300000</v>
          </cell>
          <cell r="I65">
            <v>1463600000</v>
          </cell>
          <cell r="J65">
            <v>1670000000</v>
          </cell>
          <cell r="K65">
            <v>1876300000</v>
          </cell>
          <cell r="L65">
            <v>2082700000</v>
          </cell>
          <cell r="M65">
            <v>2289100000</v>
          </cell>
          <cell r="N65">
            <v>2495400000</v>
          </cell>
          <cell r="O65">
            <v>2701800000</v>
          </cell>
          <cell r="P65">
            <v>2908100000</v>
          </cell>
          <cell r="Q65">
            <v>3114500000</v>
          </cell>
        </row>
        <row r="66">
          <cell r="D66">
            <v>90</v>
          </cell>
          <cell r="E66">
            <v>652700000</v>
          </cell>
          <cell r="F66">
            <v>863700000</v>
          </cell>
          <cell r="G66">
            <v>1074800000</v>
          </cell>
          <cell r="H66">
            <v>1285800000</v>
          </cell>
          <cell r="I66">
            <v>1496900000</v>
          </cell>
          <cell r="J66">
            <v>1707900000</v>
          </cell>
          <cell r="K66">
            <v>1919000000</v>
          </cell>
          <cell r="L66">
            <v>2130000000</v>
          </cell>
          <cell r="M66">
            <v>2341100000</v>
          </cell>
          <cell r="N66">
            <v>2552100000</v>
          </cell>
          <cell r="O66">
            <v>2763200000</v>
          </cell>
          <cell r="P66">
            <v>2974200000</v>
          </cell>
          <cell r="Q66">
            <v>3185300000</v>
          </cell>
        </row>
        <row r="67">
          <cell r="D67">
            <v>93</v>
          </cell>
          <cell r="E67">
            <v>674400000</v>
          </cell>
          <cell r="F67">
            <v>892500000</v>
          </cell>
          <cell r="G67">
            <v>1110600000</v>
          </cell>
          <cell r="H67">
            <v>1328700000</v>
          </cell>
          <cell r="I67">
            <v>1546800000</v>
          </cell>
          <cell r="J67">
            <v>1764900000</v>
          </cell>
          <cell r="K67">
            <v>1982900000</v>
          </cell>
          <cell r="L67">
            <v>2201000000</v>
          </cell>
          <cell r="M67">
            <v>2419100000</v>
          </cell>
          <cell r="N67">
            <v>2637200000</v>
          </cell>
          <cell r="O67">
            <v>2855300000</v>
          </cell>
          <cell r="P67">
            <v>3073400000</v>
          </cell>
          <cell r="Q67">
            <v>3291500000</v>
          </cell>
        </row>
        <row r="68">
          <cell r="D68">
            <v>96</v>
          </cell>
          <cell r="E68">
            <v>696200000</v>
          </cell>
          <cell r="F68">
            <v>921300000</v>
          </cell>
          <cell r="G68">
            <v>1146400000</v>
          </cell>
          <cell r="H68">
            <v>1371600000</v>
          </cell>
          <cell r="I68">
            <v>1596700000</v>
          </cell>
          <cell r="J68">
            <v>1821800000</v>
          </cell>
          <cell r="K68">
            <v>2046900000</v>
          </cell>
          <cell r="L68">
            <v>2272000000</v>
          </cell>
          <cell r="M68">
            <v>2497200000</v>
          </cell>
          <cell r="N68">
            <v>2722300000</v>
          </cell>
          <cell r="O68">
            <v>2947400000</v>
          </cell>
          <cell r="P68">
            <v>3172500000</v>
          </cell>
          <cell r="Q68">
            <v>3397600000</v>
          </cell>
        </row>
        <row r="69">
          <cell r="D69">
            <v>98</v>
          </cell>
          <cell r="E69">
            <v>710700000</v>
          </cell>
          <cell r="F69">
            <v>940500000</v>
          </cell>
          <cell r="G69">
            <v>1170300000</v>
          </cell>
          <cell r="H69">
            <v>1400100000</v>
          </cell>
          <cell r="I69">
            <v>1629900000</v>
          </cell>
          <cell r="J69">
            <v>1859700000</v>
          </cell>
          <cell r="K69">
            <v>2089600000</v>
          </cell>
          <cell r="L69">
            <v>2319400000</v>
          </cell>
          <cell r="M69">
            <v>2549200000</v>
          </cell>
          <cell r="N69">
            <v>2779000000</v>
          </cell>
          <cell r="O69">
            <v>3008800000</v>
          </cell>
          <cell r="P69">
            <v>3238600000</v>
          </cell>
          <cell r="Q69">
            <v>3468400000</v>
          </cell>
        </row>
        <row r="70">
          <cell r="D70">
            <v>101</v>
          </cell>
          <cell r="E70">
            <v>732500000</v>
          </cell>
          <cell r="F70">
            <v>969300000</v>
          </cell>
          <cell r="G70">
            <v>1206100000</v>
          </cell>
          <cell r="H70">
            <v>1443000000</v>
          </cell>
          <cell r="I70">
            <v>1679800000</v>
          </cell>
          <cell r="J70">
            <v>1916700000</v>
          </cell>
          <cell r="K70">
            <v>2153500000</v>
          </cell>
          <cell r="L70">
            <v>2390400000</v>
          </cell>
          <cell r="M70">
            <v>2627200000</v>
          </cell>
          <cell r="N70">
            <v>2864100000</v>
          </cell>
          <cell r="O70">
            <v>3100900000</v>
          </cell>
          <cell r="P70">
            <v>3337700000</v>
          </cell>
          <cell r="Q70">
            <v>3574600000</v>
          </cell>
        </row>
        <row r="71">
          <cell r="D71">
            <v>103</v>
          </cell>
          <cell r="E71">
            <v>747000000</v>
          </cell>
          <cell r="F71">
            <v>988500000</v>
          </cell>
          <cell r="G71">
            <v>1230000000</v>
          </cell>
          <cell r="H71">
            <v>1471600000</v>
          </cell>
          <cell r="I71">
            <v>1713100000</v>
          </cell>
          <cell r="J71">
            <v>1954600000</v>
          </cell>
          <cell r="K71">
            <v>2196200000</v>
          </cell>
          <cell r="L71">
            <v>2437700000</v>
          </cell>
          <cell r="M71">
            <v>2679200000</v>
          </cell>
          <cell r="N71">
            <v>2920800000</v>
          </cell>
          <cell r="O71">
            <v>3162300000</v>
          </cell>
          <cell r="P71">
            <v>3403800000</v>
          </cell>
          <cell r="Q71">
            <v>3645400000</v>
          </cell>
        </row>
        <row r="72">
          <cell r="D72">
            <v>106</v>
          </cell>
          <cell r="E72">
            <v>768700000</v>
          </cell>
          <cell r="F72">
            <v>1017300000</v>
          </cell>
          <cell r="G72">
            <v>1265900000</v>
          </cell>
          <cell r="H72">
            <v>1514400000</v>
          </cell>
          <cell r="I72">
            <v>1763000000</v>
          </cell>
          <cell r="J72">
            <v>2011600000</v>
          </cell>
          <cell r="K72">
            <v>2260100000</v>
          </cell>
          <cell r="L72">
            <v>2508700000</v>
          </cell>
          <cell r="M72">
            <v>2757300000</v>
          </cell>
          <cell r="N72">
            <v>3005800000</v>
          </cell>
          <cell r="O72">
            <v>3254400000</v>
          </cell>
          <cell r="P72">
            <v>3503000000</v>
          </cell>
          <cell r="Q72">
            <v>3751600000</v>
          </cell>
        </row>
        <row r="73">
          <cell r="D73">
            <v>108</v>
          </cell>
          <cell r="E73">
            <v>783200000</v>
          </cell>
          <cell r="F73">
            <v>1036500000</v>
          </cell>
          <cell r="G73">
            <v>1289700000</v>
          </cell>
          <cell r="H73">
            <v>1543000000</v>
          </cell>
          <cell r="I73">
            <v>1796300000</v>
          </cell>
          <cell r="J73">
            <v>2049500000</v>
          </cell>
          <cell r="K73">
            <v>2302800000</v>
          </cell>
          <cell r="L73">
            <v>2556000000</v>
          </cell>
          <cell r="M73">
            <v>2809300000</v>
          </cell>
          <cell r="N73">
            <v>3062600000</v>
          </cell>
          <cell r="O73">
            <v>3315800000</v>
          </cell>
          <cell r="P73">
            <v>3569100000</v>
          </cell>
          <cell r="Q73">
            <v>3822300000</v>
          </cell>
        </row>
        <row r="74">
          <cell r="D74">
            <v>111</v>
          </cell>
          <cell r="E74">
            <v>805000000</v>
          </cell>
          <cell r="F74">
            <v>1065300000</v>
          </cell>
          <cell r="G74">
            <v>1325600000</v>
          </cell>
          <cell r="H74">
            <v>1585900000</v>
          </cell>
          <cell r="I74">
            <v>1846200000</v>
          </cell>
          <cell r="J74">
            <v>2106400000</v>
          </cell>
          <cell r="K74">
            <v>2366700000</v>
          </cell>
          <cell r="L74">
            <v>2627000000</v>
          </cell>
          <cell r="M74">
            <v>2887300000</v>
          </cell>
          <cell r="N74">
            <v>3147600000</v>
          </cell>
          <cell r="O74">
            <v>3407900000</v>
          </cell>
          <cell r="P74">
            <v>3668200000</v>
          </cell>
          <cell r="Q74">
            <v>3928500000</v>
          </cell>
        </row>
        <row r="75">
          <cell r="D75">
            <v>113</v>
          </cell>
          <cell r="E75">
            <v>819500000</v>
          </cell>
          <cell r="F75">
            <v>1084500000</v>
          </cell>
          <cell r="G75">
            <v>1349400000</v>
          </cell>
          <cell r="H75">
            <v>1614400000</v>
          </cell>
          <cell r="I75">
            <v>1879400000</v>
          </cell>
          <cell r="J75">
            <v>2144400000</v>
          </cell>
          <cell r="K75">
            <v>2409400000</v>
          </cell>
          <cell r="L75">
            <v>2674400000</v>
          </cell>
          <cell r="M75">
            <v>2939400000</v>
          </cell>
          <cell r="N75">
            <v>3204300000</v>
          </cell>
          <cell r="O75">
            <v>3469300000</v>
          </cell>
          <cell r="P75">
            <v>3734300000</v>
          </cell>
          <cell r="Q75">
            <v>3999300000</v>
          </cell>
        </row>
        <row r="76">
          <cell r="D76">
            <v>116</v>
          </cell>
          <cell r="E76">
            <v>841200000</v>
          </cell>
          <cell r="F76">
            <v>1113300000</v>
          </cell>
          <cell r="G76">
            <v>1385300000</v>
          </cell>
          <cell r="H76">
            <v>1657300000</v>
          </cell>
          <cell r="I76">
            <v>1929300000</v>
          </cell>
          <cell r="J76">
            <v>2201300000</v>
          </cell>
          <cell r="K76">
            <v>2473400000</v>
          </cell>
          <cell r="L76">
            <v>2745400000</v>
          </cell>
          <cell r="M76">
            <v>3017400000</v>
          </cell>
          <cell r="N76">
            <v>3289400000</v>
          </cell>
          <cell r="O76">
            <v>3561400000</v>
          </cell>
          <cell r="P76">
            <v>3833500000</v>
          </cell>
          <cell r="Q76">
            <v>4105500000</v>
          </cell>
        </row>
        <row r="77">
          <cell r="D77">
            <v>119</v>
          </cell>
          <cell r="E77">
            <v>863000000</v>
          </cell>
          <cell r="F77">
            <v>1142000000</v>
          </cell>
          <cell r="G77">
            <v>1421100000</v>
          </cell>
          <cell r="H77">
            <v>1700200000</v>
          </cell>
          <cell r="I77">
            <v>1979200000</v>
          </cell>
          <cell r="J77">
            <v>2258300000</v>
          </cell>
          <cell r="K77">
            <v>2537300000</v>
          </cell>
          <cell r="L77">
            <v>2816400000</v>
          </cell>
          <cell r="M77">
            <v>3095400000</v>
          </cell>
          <cell r="N77">
            <v>3374500000</v>
          </cell>
          <cell r="O77">
            <v>3653500000</v>
          </cell>
          <cell r="P77">
            <v>3932600000</v>
          </cell>
          <cell r="Q77">
            <v>4211600000</v>
          </cell>
        </row>
        <row r="78">
          <cell r="D78">
            <v>121</v>
          </cell>
          <cell r="E78">
            <v>877500000</v>
          </cell>
          <cell r="F78">
            <v>1161200000</v>
          </cell>
          <cell r="G78">
            <v>1445000000</v>
          </cell>
          <cell r="H78">
            <v>1728700000</v>
          </cell>
          <cell r="I78">
            <v>2012500000</v>
          </cell>
          <cell r="J78">
            <v>2296200000</v>
          </cell>
          <cell r="K78">
            <v>2580000000</v>
          </cell>
          <cell r="L78">
            <v>2863700000</v>
          </cell>
          <cell r="M78">
            <v>3147500000</v>
          </cell>
          <cell r="N78">
            <v>3431200000</v>
          </cell>
          <cell r="O78">
            <v>3714900000</v>
          </cell>
          <cell r="P78">
            <v>3998700000</v>
          </cell>
          <cell r="Q78">
            <v>4282400000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等级时间"/>
      <sheetName val="神兵相关"/>
      <sheetName val="神兵商店"/>
      <sheetName val="梦魇入侵"/>
      <sheetName val="神兵强化石"/>
      <sheetName val="神兵进阶石"/>
      <sheetName val="Sheet1"/>
    </sheetNames>
    <sheetDataSet>
      <sheetData sheetId="0"/>
      <sheetData sheetId="1"/>
      <sheetData sheetId="2"/>
      <sheetData sheetId="3">
        <row r="3">
          <cell r="K3" t="str">
            <v>任务id</v>
          </cell>
        </row>
        <row r="4">
          <cell r="K4">
            <v>10001</v>
          </cell>
          <cell r="L4" t="str">
            <v>4|1|10000</v>
          </cell>
        </row>
        <row r="5">
          <cell r="K5">
            <v>10002</v>
          </cell>
          <cell r="L5" t="str">
            <v>4|29|100</v>
          </cell>
        </row>
        <row r="6">
          <cell r="K6">
            <v>50001</v>
          </cell>
          <cell r="L6" t="str">
            <v>1|14003|1</v>
          </cell>
        </row>
        <row r="7">
          <cell r="K7">
            <v>10003</v>
          </cell>
          <cell r="L7" t="str">
            <v>1|14211|1</v>
          </cell>
        </row>
        <row r="8">
          <cell r="K8">
            <v>50002</v>
          </cell>
          <cell r="L8" t="str">
            <v>4|29|100</v>
          </cell>
        </row>
        <row r="9">
          <cell r="K9">
            <v>10004</v>
          </cell>
          <cell r="L9" t="str">
            <v>6|4502|1</v>
          </cell>
        </row>
        <row r="10">
          <cell r="K10">
            <v>10005</v>
          </cell>
          <cell r="L10" t="str">
            <v>1|14201|2</v>
          </cell>
        </row>
        <row r="11">
          <cell r="K11">
            <v>50003</v>
          </cell>
          <cell r="L11" t="str">
            <v>1|16005|2</v>
          </cell>
        </row>
        <row r="12">
          <cell r="K12">
            <v>10006</v>
          </cell>
          <cell r="L12" t="str">
            <v>1|17000|10</v>
          </cell>
        </row>
        <row r="13">
          <cell r="K13">
            <v>50004</v>
          </cell>
          <cell r="L13" t="str">
            <v>1|17001|2</v>
          </cell>
        </row>
        <row r="14">
          <cell r="K14">
            <v>50005</v>
          </cell>
          <cell r="L14" t="str">
            <v>4|1|25000</v>
          </cell>
        </row>
        <row r="15">
          <cell r="K15">
            <v>10007</v>
          </cell>
          <cell r="L15" t="str">
            <v>4|29|200</v>
          </cell>
        </row>
        <row r="16">
          <cell r="K16">
            <v>50006</v>
          </cell>
          <cell r="L16" t="str">
            <v>1|14003|1</v>
          </cell>
        </row>
        <row r="17">
          <cell r="K17">
            <v>10008</v>
          </cell>
          <cell r="L17" t="str">
            <v>1|14211|2</v>
          </cell>
        </row>
        <row r="18">
          <cell r="K18">
            <v>50007</v>
          </cell>
          <cell r="L18" t="str">
            <v>4|29|200</v>
          </cell>
        </row>
        <row r="19">
          <cell r="K19">
            <v>10009</v>
          </cell>
          <cell r="L19" t="str">
            <v>6|4502|1</v>
          </cell>
        </row>
        <row r="20">
          <cell r="K20">
            <v>50008</v>
          </cell>
          <cell r="L20" t="str">
            <v>1|14201|3</v>
          </cell>
        </row>
        <row r="21">
          <cell r="K21">
            <v>50009</v>
          </cell>
          <cell r="L21" t="str">
            <v>1|16005|3</v>
          </cell>
        </row>
        <row r="22">
          <cell r="K22">
            <v>10010</v>
          </cell>
          <cell r="L22" t="str">
            <v>1|17000|30</v>
          </cell>
        </row>
        <row r="23">
          <cell r="K23">
            <v>50010</v>
          </cell>
          <cell r="L23" t="str">
            <v>1|17001|3</v>
          </cell>
        </row>
        <row r="24">
          <cell r="K24">
            <v>10011</v>
          </cell>
          <cell r="L24" t="str">
            <v>4|1|40000</v>
          </cell>
        </row>
        <row r="25">
          <cell r="K25">
            <v>50011</v>
          </cell>
          <cell r="L25" t="str">
            <v>4|29|300</v>
          </cell>
        </row>
        <row r="26">
          <cell r="K26">
            <v>10012</v>
          </cell>
          <cell r="L26" t="str">
            <v>1|14003|1</v>
          </cell>
        </row>
        <row r="27">
          <cell r="K27">
            <v>50012</v>
          </cell>
          <cell r="L27" t="str">
            <v>1|14211|2</v>
          </cell>
        </row>
        <row r="28">
          <cell r="K28">
            <v>10013</v>
          </cell>
          <cell r="L28" t="str">
            <v>4|29|300</v>
          </cell>
        </row>
        <row r="29">
          <cell r="K29">
            <v>50013</v>
          </cell>
          <cell r="L29" t="str">
            <v>6|4502|2</v>
          </cell>
        </row>
        <row r="30">
          <cell r="K30">
            <v>50014</v>
          </cell>
          <cell r="L30" t="str">
            <v>1|14201|4</v>
          </cell>
        </row>
        <row r="31">
          <cell r="K31">
            <v>10014</v>
          </cell>
          <cell r="L31" t="str">
            <v>1|16005|5</v>
          </cell>
        </row>
        <row r="32">
          <cell r="K32">
            <v>50015</v>
          </cell>
          <cell r="L32" t="str">
            <v>1|17000|40</v>
          </cell>
        </row>
        <row r="33">
          <cell r="K33">
            <v>50016</v>
          </cell>
          <cell r="L33" t="str">
            <v>1|17001|4</v>
          </cell>
        </row>
        <row r="34">
          <cell r="K34">
            <v>10015</v>
          </cell>
          <cell r="L34" t="str">
            <v>4|1|55000</v>
          </cell>
        </row>
        <row r="35">
          <cell r="K35">
            <v>50017</v>
          </cell>
          <cell r="L35" t="str">
            <v>4|29|400</v>
          </cell>
        </row>
        <row r="36">
          <cell r="K36">
            <v>50018</v>
          </cell>
          <cell r="L36" t="str">
            <v>1|14003|1</v>
          </cell>
        </row>
        <row r="37">
          <cell r="K37">
            <v>50019</v>
          </cell>
          <cell r="L37" t="str">
            <v>1|14211|3</v>
          </cell>
        </row>
        <row r="38">
          <cell r="K38">
            <v>10016</v>
          </cell>
          <cell r="L38" t="str">
            <v>4|29|400</v>
          </cell>
        </row>
        <row r="39">
          <cell r="K39">
            <v>50020</v>
          </cell>
          <cell r="L39" t="str">
            <v>6|4502|2</v>
          </cell>
        </row>
        <row r="40">
          <cell r="K40">
            <v>10017</v>
          </cell>
          <cell r="L40" t="str">
            <v>1|14201|6</v>
          </cell>
        </row>
        <row r="41">
          <cell r="K41">
            <v>10018</v>
          </cell>
          <cell r="L41" t="str">
            <v>1|16005|6</v>
          </cell>
        </row>
        <row r="42">
          <cell r="K42">
            <v>10019</v>
          </cell>
          <cell r="L42" t="str">
            <v>1|17000|50</v>
          </cell>
        </row>
        <row r="43">
          <cell r="K43">
            <v>10020</v>
          </cell>
          <cell r="L43" t="str">
            <v>1|17001|5</v>
          </cell>
        </row>
        <row r="44">
          <cell r="K44">
            <v>10021</v>
          </cell>
          <cell r="L44" t="str">
            <v>4|1|70000</v>
          </cell>
        </row>
        <row r="45">
          <cell r="K45">
            <v>10022</v>
          </cell>
          <cell r="L45" t="str">
            <v>4|29|500</v>
          </cell>
        </row>
        <row r="46">
          <cell r="K46">
            <v>10023</v>
          </cell>
          <cell r="L46" t="str">
            <v>1|14003|2</v>
          </cell>
        </row>
        <row r="47">
          <cell r="K47">
            <v>10024</v>
          </cell>
          <cell r="L47" t="str">
            <v>1|14211|3</v>
          </cell>
        </row>
        <row r="48">
          <cell r="K48">
            <v>10025</v>
          </cell>
          <cell r="L48" t="str">
            <v>4|29|500</v>
          </cell>
        </row>
        <row r="49">
          <cell r="K49">
            <v>10026</v>
          </cell>
          <cell r="L49" t="str">
            <v>6|4502|2</v>
          </cell>
        </row>
        <row r="50">
          <cell r="K50">
            <v>10027</v>
          </cell>
          <cell r="L50" t="str">
            <v>1|14201|7</v>
          </cell>
        </row>
        <row r="51">
          <cell r="K51">
            <v>10028</v>
          </cell>
          <cell r="L51" t="str">
            <v>1|16005|7</v>
          </cell>
        </row>
        <row r="52">
          <cell r="K52">
            <v>10029</v>
          </cell>
          <cell r="L52" t="str">
            <v>1|17000|60</v>
          </cell>
        </row>
        <row r="53">
          <cell r="K53">
            <v>10030</v>
          </cell>
          <cell r="L53" t="str">
            <v>1|17001|6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13"/>
  <sheetViews>
    <sheetView tabSelected="1" workbookViewId="0">
      <pane xSplit="1" ySplit="3" topLeftCell="B4" activePane="bottomRight" state="frozen"/>
      <selection pane="topRight" activeCell="D1" sqref="D1"/>
      <selection pane="bottomLeft" activeCell="A4" sqref="A4"/>
      <selection pane="bottomRight" activeCell="E4" sqref="E4"/>
    </sheetView>
  </sheetViews>
  <sheetFormatPr defaultRowHeight="13.5"/>
  <cols>
    <col min="1" max="1" width="14" customWidth="1"/>
    <col min="2" max="2" width="13.375" bestFit="1" customWidth="1"/>
    <col min="3" max="3" width="14.75" style="27" bestFit="1" customWidth="1"/>
    <col min="4" max="4" width="15.125" style="11" bestFit="1" customWidth="1"/>
    <col min="5" max="5" width="34.25" bestFit="1" customWidth="1"/>
    <col min="6" max="6" width="34.25" style="22" bestFit="1" customWidth="1"/>
    <col min="7" max="7" width="22.5" style="22" bestFit="1" customWidth="1"/>
    <col min="8" max="8" width="13.125" style="22" bestFit="1" customWidth="1"/>
    <col min="9" max="9" width="53" style="11" bestFit="1" customWidth="1"/>
    <col min="10" max="10" width="27.5" style="40" bestFit="1" customWidth="1"/>
    <col min="12" max="12" width="12.75" bestFit="1" customWidth="1"/>
    <col min="13" max="13" width="9" style="42"/>
    <col min="14" max="14" width="26" bestFit="1" customWidth="1"/>
  </cols>
  <sheetData>
    <row r="1" spans="1:22" ht="108.75" customHeight="1">
      <c r="A1" s="3" t="s">
        <v>36</v>
      </c>
      <c r="B1" s="12" t="s">
        <v>70</v>
      </c>
      <c r="C1" s="23" t="s">
        <v>71</v>
      </c>
      <c r="D1" s="8" t="s">
        <v>85</v>
      </c>
      <c r="E1" s="3" t="s">
        <v>39</v>
      </c>
      <c r="F1" s="18" t="s">
        <v>69</v>
      </c>
      <c r="G1" s="18" t="s">
        <v>37</v>
      </c>
      <c r="H1" s="18" t="s">
        <v>38</v>
      </c>
      <c r="I1" s="8" t="s">
        <v>89</v>
      </c>
      <c r="J1" s="34" t="s">
        <v>79</v>
      </c>
    </row>
    <row r="2" spans="1:22" ht="16.5">
      <c r="A2" s="13" t="s">
        <v>74</v>
      </c>
      <c r="B2" s="13" t="s">
        <v>81</v>
      </c>
      <c r="C2" s="24" t="s">
        <v>72</v>
      </c>
      <c r="D2" s="9" t="s">
        <v>86</v>
      </c>
      <c r="E2" s="13" t="s">
        <v>75</v>
      </c>
      <c r="F2" s="19" t="s">
        <v>95</v>
      </c>
      <c r="G2" s="19" t="s">
        <v>76</v>
      </c>
      <c r="H2" s="19" t="s">
        <v>77</v>
      </c>
      <c r="I2" s="9" t="s">
        <v>78</v>
      </c>
      <c r="J2" s="35" t="s">
        <v>80</v>
      </c>
    </row>
    <row r="3" spans="1:22" ht="16.5">
      <c r="A3" s="1" t="s">
        <v>0</v>
      </c>
      <c r="B3" s="13" t="s">
        <v>88</v>
      </c>
      <c r="C3" s="24" t="s">
        <v>73</v>
      </c>
      <c r="D3" s="9" t="s">
        <v>87</v>
      </c>
      <c r="E3" s="1" t="s">
        <v>0</v>
      </c>
      <c r="F3" s="19" t="s">
        <v>21</v>
      </c>
      <c r="G3" s="19" t="s">
        <v>0</v>
      </c>
      <c r="H3" s="19" t="s">
        <v>0</v>
      </c>
      <c r="I3" s="9" t="s">
        <v>21</v>
      </c>
      <c r="J3" s="35" t="s">
        <v>150</v>
      </c>
    </row>
    <row r="4" spans="1:22" ht="16.5">
      <c r="A4" s="2">
        <v>10001</v>
      </c>
      <c r="B4" s="2">
        <v>91101</v>
      </c>
      <c r="C4" s="25">
        <v>0</v>
      </c>
      <c r="D4" s="10">
        <v>1</v>
      </c>
      <c r="E4" s="14" t="s">
        <v>519</v>
      </c>
      <c r="F4" s="20" t="s">
        <v>519</v>
      </c>
      <c r="G4" s="20" t="s">
        <v>90</v>
      </c>
      <c r="H4" s="20">
        <v>1</v>
      </c>
      <c r="I4" s="10" t="s">
        <v>151</v>
      </c>
      <c r="J4" s="36">
        <v>68501</v>
      </c>
      <c r="K4">
        <v>30</v>
      </c>
      <c r="L4" t="str">
        <f>"1|"&amp;INDEX([1]梦魇入侵!$E$28:$Q$78,MATCH($M4,[1]梦魇入侵!$D$28:$D$78,0),MATCH($K4,[1]梦魇入侵!$E$28:$Q$28,0))</f>
        <v>1|7300000</v>
      </c>
      <c r="M4" s="42">
        <v>1</v>
      </c>
      <c r="N4" t="str">
        <f t="shared" ref="N4:N67" si="0">"今日累计伤害达到"&amp;RIGHT($L4,LEN($L4)-2)/10000&amp;"万"</f>
        <v>今日累计伤害达到730万</v>
      </c>
      <c r="O4" t="str">
        <f>VLOOKUP(A4,[2]梦魇入侵!$K:$L,2,0)</f>
        <v>4|1|10000</v>
      </c>
      <c r="U4" t="e">
        <f>INT(MID($E4,MIN(FIND({0,1,2,3,4,5,6,7,8,9},$E4&amp;"0123456789")),LEN($E4)*2-LENB($E4)))</f>
        <v>#VALUE!</v>
      </c>
      <c r="V4" t="str">
        <f>IF(ISERROR($U4),$E4,LEFT($E4,FIND($U4,$E4)-1)&amp;" [379340]"&amp;U4&amp;"[-] "&amp;IFERROR(RIGHT($E4,LEN($E4)-FIND($U4,$E4)-LEN($U4)+1),""))</f>
        <v>今日累计伤害达到 [00821c]280[-] 万</v>
      </c>
    </row>
    <row r="5" spans="1:22" ht="16.5">
      <c r="A5" s="2">
        <v>10002</v>
      </c>
      <c r="B5" s="2">
        <v>91101</v>
      </c>
      <c r="C5" s="25">
        <v>0</v>
      </c>
      <c r="D5" s="10">
        <v>3</v>
      </c>
      <c r="E5" s="14" t="s">
        <v>520</v>
      </c>
      <c r="F5" s="20" t="s">
        <v>520</v>
      </c>
      <c r="G5" s="20" t="s">
        <v>1</v>
      </c>
      <c r="H5" s="20">
        <v>1</v>
      </c>
      <c r="I5" s="10" t="s">
        <v>152</v>
      </c>
      <c r="J5" s="37">
        <v>68502</v>
      </c>
      <c r="K5">
        <v>30</v>
      </c>
      <c r="L5" t="str">
        <f>"1|"&amp;INDEX([1]梦魇入侵!$E$28:$Q$78,MATCH($M5,[1]梦魇入侵!$D$28:$D$78,0),MATCH($K5,[1]梦魇入侵!$E$28:$Q$28,0))</f>
        <v>1|14500000</v>
      </c>
      <c r="M5" s="42">
        <v>2</v>
      </c>
      <c r="N5" t="str">
        <f t="shared" si="0"/>
        <v>今日累计伤害达到1450万</v>
      </c>
      <c r="O5" t="str">
        <f>VLOOKUP(A5,[2]梦魇入侵!$K:$L,2,0)</f>
        <v>4|29|100</v>
      </c>
      <c r="U5" t="e">
        <f>INT(MID($E5,MIN(FIND({0,1,2,3,4,5,6,7,8,9},$E5&amp;"0123456789")),LEN($E5)*2-LENB($E5)))</f>
        <v>#VALUE!</v>
      </c>
      <c r="V5" t="str">
        <f t="shared" ref="V5:V68" si="1">IF(ISERROR($U5),$E5,LEFT($E5,FIND($U5,$E5)-1)&amp;" [379340]"&amp;U5&amp;"[-] "&amp;IFERROR(RIGHT($E5,LEN($E5)-FIND($U5,$E5)-LEN($U5)+1),""))</f>
        <v>今日累计伤害达到 [00821c]570[-] 万</v>
      </c>
    </row>
    <row r="6" spans="1:22" ht="16.5">
      <c r="A6" s="2">
        <v>10003</v>
      </c>
      <c r="B6" s="2">
        <v>91101</v>
      </c>
      <c r="C6" s="25">
        <v>0</v>
      </c>
      <c r="D6" s="10">
        <v>5</v>
      </c>
      <c r="E6" s="14" t="s">
        <v>521</v>
      </c>
      <c r="F6" s="20" t="s">
        <v>521</v>
      </c>
      <c r="G6" s="20" t="s">
        <v>2</v>
      </c>
      <c r="H6" s="20">
        <v>1</v>
      </c>
      <c r="I6" s="10" t="s">
        <v>153</v>
      </c>
      <c r="J6" s="37">
        <v>68503</v>
      </c>
      <c r="K6">
        <v>30</v>
      </c>
      <c r="L6" t="str">
        <f>"1|"&amp;INDEX([1]梦魇入侵!$E$28:$Q$78,MATCH($M6,[1]梦魇入侵!$D$28:$D$78,0),MATCH($K6,[1]梦魇入侵!$E$28:$Q$28,0))</f>
        <v>1|21800000</v>
      </c>
      <c r="M6" s="42">
        <v>3</v>
      </c>
      <c r="N6" t="str">
        <f t="shared" si="0"/>
        <v>今日累计伤害达到2180万</v>
      </c>
      <c r="O6" t="str">
        <f>VLOOKUP(A6,[2]梦魇入侵!$K:$L,2,0)</f>
        <v>1|14211|1</v>
      </c>
      <c r="U6" t="e">
        <f>INT(MID($E6,MIN(FIND({0,1,2,3,4,5,6,7,8,9},$E6&amp;"0123456789")),LEN($E6)*2-LENB($E6)))</f>
        <v>#VALUE!</v>
      </c>
      <c r="V6" t="str">
        <f t="shared" si="1"/>
        <v>今日累计伤害达到 [00821c]850[-] 万</v>
      </c>
    </row>
    <row r="7" spans="1:22" ht="16.5">
      <c r="A7" s="2">
        <v>10004</v>
      </c>
      <c r="B7" s="2">
        <v>91101</v>
      </c>
      <c r="C7" s="25">
        <v>0</v>
      </c>
      <c r="D7" s="10">
        <v>7</v>
      </c>
      <c r="E7" s="14" t="s">
        <v>522</v>
      </c>
      <c r="F7" s="20" t="s">
        <v>522</v>
      </c>
      <c r="G7" s="20" t="s">
        <v>12</v>
      </c>
      <c r="H7" s="20">
        <v>1</v>
      </c>
      <c r="I7" s="10" t="s">
        <v>154</v>
      </c>
      <c r="J7" s="37">
        <v>68504</v>
      </c>
      <c r="K7">
        <v>30</v>
      </c>
      <c r="L7" t="str">
        <f>"1|"&amp;INDEX([1]梦魇入侵!$E$28:$Q$78,MATCH($M7,[1]梦魇入侵!$D$28:$D$78,0),MATCH($K7,[1]梦魇入侵!$E$28:$Q$28,0))</f>
        <v>1|36300000</v>
      </c>
      <c r="M7" s="42">
        <v>5</v>
      </c>
      <c r="N7" t="str">
        <f t="shared" si="0"/>
        <v>今日累计伤害达到3630万</v>
      </c>
      <c r="O7" t="str">
        <f>VLOOKUP(A7,[2]梦魇入侵!$K:$L,2,0)</f>
        <v>6|4502|1</v>
      </c>
      <c r="U7" t="e">
        <f>INT(MID($E7,MIN(FIND({0,1,2,3,4,5,6,7,8,9},$E7&amp;"0123456789")),LEN($E7)*2-LENB($E7)))</f>
        <v>#VALUE!</v>
      </c>
      <c r="V7" t="str">
        <f t="shared" si="1"/>
        <v>今日累计伤害达到 [00821c]1420[-] 万</v>
      </c>
    </row>
    <row r="8" spans="1:22" ht="16.5">
      <c r="A8" s="2">
        <v>10005</v>
      </c>
      <c r="B8" s="2">
        <v>91101</v>
      </c>
      <c r="C8" s="25">
        <v>0</v>
      </c>
      <c r="D8" s="10">
        <v>9</v>
      </c>
      <c r="E8" s="14" t="s">
        <v>523</v>
      </c>
      <c r="F8" s="20" t="s">
        <v>523</v>
      </c>
      <c r="G8" s="20" t="s">
        <v>22</v>
      </c>
      <c r="H8" s="20">
        <v>1</v>
      </c>
      <c r="I8" s="10" t="s">
        <v>155</v>
      </c>
      <c r="J8" s="37">
        <v>68505</v>
      </c>
      <c r="K8">
        <v>30</v>
      </c>
      <c r="L8" t="str">
        <f>"1|"&amp;INDEX([1]梦魇入侵!$E$28:$Q$78,MATCH($M8,[1]梦魇入侵!$D$28:$D$78,0),MATCH($K8,[1]梦魇入侵!$E$28:$Q$28,0))</f>
        <v>1|43500000</v>
      </c>
      <c r="M8" s="42">
        <v>6</v>
      </c>
      <c r="N8" t="str">
        <f t="shared" si="0"/>
        <v>今日累计伤害达到4350万</v>
      </c>
      <c r="O8" t="str">
        <f>VLOOKUP(A8,[2]梦魇入侵!$K:$L,2,0)</f>
        <v>1|14201|2</v>
      </c>
      <c r="U8" t="e">
        <f>INT(MID($E8,MIN(FIND({0,1,2,3,4,5,6,7,8,9},$E8&amp;"0123456789")),LEN($E8)*2-LENB($E8)))</f>
        <v>#VALUE!</v>
      </c>
      <c r="V8" t="str">
        <f t="shared" si="1"/>
        <v>今日累计伤害达到 [00821c]1700[-] 万</v>
      </c>
    </row>
    <row r="9" spans="1:22" ht="16.5">
      <c r="A9" s="2">
        <v>10006</v>
      </c>
      <c r="B9" s="2">
        <v>91101</v>
      </c>
      <c r="C9" s="25">
        <v>0</v>
      </c>
      <c r="D9" s="10">
        <v>11</v>
      </c>
      <c r="E9" s="14" t="s">
        <v>524</v>
      </c>
      <c r="F9" s="20" t="s">
        <v>524</v>
      </c>
      <c r="G9" s="20" t="s">
        <v>3</v>
      </c>
      <c r="H9" s="20">
        <v>1</v>
      </c>
      <c r="I9" s="10" t="s">
        <v>156</v>
      </c>
      <c r="J9" s="37">
        <v>68506</v>
      </c>
      <c r="K9">
        <v>30</v>
      </c>
      <c r="L9" t="str">
        <f>"1|"&amp;INDEX([1]梦魇入侵!$E$28:$Q$78,MATCH($M9,[1]梦魇入侵!$D$28:$D$78,0),MATCH($K9,[1]梦魇入侵!$E$28:$Q$28,0))</f>
        <v>1|58000000</v>
      </c>
      <c r="M9" s="42">
        <v>8</v>
      </c>
      <c r="N9" t="str">
        <f t="shared" si="0"/>
        <v>今日累计伤害达到5800万</v>
      </c>
      <c r="O9" t="str">
        <f>VLOOKUP(A9,[2]梦魇入侵!$K:$L,2,0)</f>
        <v>1|17000|10</v>
      </c>
      <c r="U9" t="e">
        <f>INT(MID($E9,MIN(FIND({0,1,2,3,4,5,6,7,8,9},$E9&amp;"0123456789")),LEN($E9)*2-LENB($E9)))</f>
        <v>#VALUE!</v>
      </c>
      <c r="V9" t="str">
        <f t="shared" si="1"/>
        <v>今日累计伤害达到 [00821c]2270[-] 万</v>
      </c>
    </row>
    <row r="10" spans="1:22" ht="16.5">
      <c r="A10" s="2">
        <v>10007</v>
      </c>
      <c r="B10" s="2">
        <v>91101</v>
      </c>
      <c r="C10" s="25">
        <v>0</v>
      </c>
      <c r="D10" s="10">
        <v>13</v>
      </c>
      <c r="E10" s="14" t="s">
        <v>525</v>
      </c>
      <c r="F10" s="20" t="s">
        <v>525</v>
      </c>
      <c r="G10" s="20" t="s">
        <v>23</v>
      </c>
      <c r="H10" s="20">
        <v>2</v>
      </c>
      <c r="I10" s="10" t="s">
        <v>157</v>
      </c>
      <c r="J10" s="37">
        <v>68507</v>
      </c>
      <c r="K10">
        <v>30</v>
      </c>
      <c r="L10" t="str">
        <f>"1|"&amp;INDEX([1]梦魇入侵!$E$28:$Q$78,MATCH($M10,[1]梦魇入侵!$D$28:$D$78,0),MATCH($K10,[1]梦魇入侵!$E$28:$Q$28,0))</f>
        <v>1|79800000</v>
      </c>
      <c r="M10" s="42">
        <v>11</v>
      </c>
      <c r="N10" t="str">
        <f t="shared" si="0"/>
        <v>今日累计伤害达到7980万</v>
      </c>
      <c r="O10" t="str">
        <f>VLOOKUP(A10,[2]梦魇入侵!$K:$L,2,0)</f>
        <v>4|29|200</v>
      </c>
      <c r="U10" t="e">
        <f>INT(MID($E10,MIN(FIND({0,1,2,3,4,5,6,7,8,9},$E10&amp;"0123456789")),LEN($E10)*2-LENB($E10)))</f>
        <v>#VALUE!</v>
      </c>
      <c r="V10" t="str">
        <f t="shared" si="1"/>
        <v>今日累计伤害达到 [00821c]3120[-] 万</v>
      </c>
    </row>
    <row r="11" spans="1:22" ht="16.5">
      <c r="A11" s="2">
        <v>10008</v>
      </c>
      <c r="B11" s="2">
        <v>91101</v>
      </c>
      <c r="C11" s="25">
        <v>0</v>
      </c>
      <c r="D11" s="10">
        <v>15</v>
      </c>
      <c r="E11" s="14" t="s">
        <v>526</v>
      </c>
      <c r="F11" s="20" t="s">
        <v>526</v>
      </c>
      <c r="G11" s="20" t="s">
        <v>9</v>
      </c>
      <c r="H11" s="20">
        <v>2</v>
      </c>
      <c r="I11" s="10" t="s">
        <v>158</v>
      </c>
      <c r="J11" s="37">
        <v>68508</v>
      </c>
      <c r="K11">
        <v>30</v>
      </c>
      <c r="L11" t="str">
        <f>"1|"&amp;INDEX([1]梦魇入侵!$E$28:$Q$78,MATCH($M11,[1]梦魇入侵!$D$28:$D$78,0),MATCH($K11,[1]梦魇入侵!$E$28:$Q$28,0))</f>
        <v>1|101500000</v>
      </c>
      <c r="M11" s="42">
        <v>14</v>
      </c>
      <c r="N11" t="str">
        <f t="shared" si="0"/>
        <v>今日累计伤害达到10150万</v>
      </c>
      <c r="O11" t="str">
        <f>VLOOKUP(A11,[2]梦魇入侵!$K:$L,2,0)</f>
        <v>1|14211|2</v>
      </c>
      <c r="U11" t="e">
        <f>INT(MID($E11,MIN(FIND({0,1,2,3,4,5,6,7,8,9},$E11&amp;"0123456789")),LEN($E11)*2-LENB($E11)))</f>
        <v>#VALUE!</v>
      </c>
      <c r="V11" t="str">
        <f t="shared" si="1"/>
        <v>今日累计伤害达到 [00821c]3970[-] 万</v>
      </c>
    </row>
    <row r="12" spans="1:22" ht="16.5">
      <c r="A12" s="2">
        <v>10009</v>
      </c>
      <c r="B12" s="2">
        <v>91101</v>
      </c>
      <c r="C12" s="25">
        <v>0</v>
      </c>
      <c r="D12" s="10">
        <v>17</v>
      </c>
      <c r="E12" s="14" t="s">
        <v>527</v>
      </c>
      <c r="F12" s="20" t="s">
        <v>527</v>
      </c>
      <c r="G12" s="20" t="s">
        <v>5</v>
      </c>
      <c r="H12" s="20">
        <v>2</v>
      </c>
      <c r="I12" s="10" t="s">
        <v>159</v>
      </c>
      <c r="J12" s="37">
        <v>68509</v>
      </c>
      <c r="K12">
        <v>30</v>
      </c>
      <c r="L12" t="str">
        <f>"1|"&amp;INDEX([1]梦魇入侵!$E$28:$Q$78,MATCH($M12,[1]梦魇入侵!$D$28:$D$78,0),MATCH($K12,[1]梦魇入侵!$E$28:$Q$28,0))</f>
        <v>1|116000000</v>
      </c>
      <c r="M12" s="42">
        <v>16</v>
      </c>
      <c r="N12" t="str">
        <f t="shared" si="0"/>
        <v>今日累计伤害达到11600万</v>
      </c>
      <c r="O12" t="str">
        <f>VLOOKUP(A12,[2]梦魇入侵!$K:$L,2,0)</f>
        <v>6|4502|1</v>
      </c>
      <c r="U12" t="e">
        <f>INT(MID($E12,MIN(FIND({0,1,2,3,4,5,6,7,8,9},$E12&amp;"0123456789")),LEN($E12)*2-LENB($E12)))</f>
        <v>#VALUE!</v>
      </c>
      <c r="V12" t="str">
        <f t="shared" si="1"/>
        <v>今日累计伤害达到 [00821c]4530[-] 万</v>
      </c>
    </row>
    <row r="13" spans="1:22" ht="16.5">
      <c r="A13" s="2">
        <v>10010</v>
      </c>
      <c r="B13" s="2">
        <v>91101</v>
      </c>
      <c r="C13" s="25">
        <v>0</v>
      </c>
      <c r="D13" s="10">
        <v>19</v>
      </c>
      <c r="E13" s="14" t="s">
        <v>528</v>
      </c>
      <c r="F13" s="20" t="s">
        <v>528</v>
      </c>
      <c r="G13" s="20" t="s">
        <v>24</v>
      </c>
      <c r="H13" s="20">
        <v>2</v>
      </c>
      <c r="I13" s="10" t="s">
        <v>160</v>
      </c>
      <c r="J13" s="37">
        <v>68510</v>
      </c>
      <c r="K13">
        <v>30</v>
      </c>
      <c r="L13" t="str">
        <f>"1|"&amp;INDEX([1]梦魇入侵!$E$28:$Q$78,MATCH($M13,[1]梦魇入侵!$D$28:$D$78,0),MATCH($K13,[1]梦魇入侵!$E$28:$Q$28,0))</f>
        <v>1|137800000</v>
      </c>
      <c r="M13" s="42">
        <v>19</v>
      </c>
      <c r="N13" t="str">
        <f t="shared" si="0"/>
        <v>今日累计伤害达到13780万</v>
      </c>
      <c r="O13" t="str">
        <f>VLOOKUP(A13,[2]梦魇入侵!$K:$L,2,0)</f>
        <v>1|17000|30</v>
      </c>
      <c r="U13" t="e">
        <f>INT(MID($E13,MIN(FIND({0,1,2,3,4,5,6,7,8,9},$E13&amp;"0123456789")),LEN($E13)*2-LENB($E13)))</f>
        <v>#VALUE!</v>
      </c>
      <c r="V13" t="str">
        <f t="shared" si="1"/>
        <v>今日累计伤害达到 [00821c]5380[-] 万</v>
      </c>
    </row>
    <row r="14" spans="1:22" ht="16.5">
      <c r="A14" s="2">
        <v>10011</v>
      </c>
      <c r="B14" s="2">
        <v>91101</v>
      </c>
      <c r="C14" s="25">
        <v>0</v>
      </c>
      <c r="D14" s="10">
        <v>21</v>
      </c>
      <c r="E14" s="14" t="s">
        <v>529</v>
      </c>
      <c r="F14" s="20" t="s">
        <v>529</v>
      </c>
      <c r="G14" s="20" t="s">
        <v>91</v>
      </c>
      <c r="H14" s="20">
        <v>2</v>
      </c>
      <c r="I14" s="10" t="s">
        <v>161</v>
      </c>
      <c r="J14" s="37">
        <v>68511</v>
      </c>
      <c r="K14">
        <v>30</v>
      </c>
      <c r="L14" t="str">
        <f>"1|"&amp;INDEX([1]梦魇入侵!$E$28:$Q$78,MATCH($M14,[1]梦魇入侵!$D$28:$D$78,0),MATCH($K14,[1]梦魇入侵!$E$28:$Q$28,0))</f>
        <v>1|152300000</v>
      </c>
      <c r="M14" s="42">
        <v>21</v>
      </c>
      <c r="N14" t="str">
        <f t="shared" si="0"/>
        <v>今日累计伤害达到15230万</v>
      </c>
      <c r="O14" t="str">
        <f>VLOOKUP(A14,[2]梦魇入侵!$K:$L,2,0)</f>
        <v>4|1|40000</v>
      </c>
      <c r="U14" t="e">
        <f>INT(MID($E14,MIN(FIND({0,1,2,3,4,5,6,7,8,9},$E14&amp;"0123456789")),LEN($E14)*2-LENB($E14)))</f>
        <v>#VALUE!</v>
      </c>
      <c r="V14" t="str">
        <f t="shared" si="1"/>
        <v>今日累计伤害达到 [00821c]5950[-] 万</v>
      </c>
    </row>
    <row r="15" spans="1:22" ht="16.5">
      <c r="A15" s="2">
        <v>10012</v>
      </c>
      <c r="B15" s="2">
        <v>91101</v>
      </c>
      <c r="C15" s="25">
        <v>0</v>
      </c>
      <c r="D15" s="10">
        <v>23</v>
      </c>
      <c r="E15" s="14" t="s">
        <v>530</v>
      </c>
      <c r="F15" s="20" t="s">
        <v>530</v>
      </c>
      <c r="G15" s="20" t="s">
        <v>6</v>
      </c>
      <c r="H15" s="20">
        <v>3</v>
      </c>
      <c r="I15" s="10" t="s">
        <v>162</v>
      </c>
      <c r="J15" s="37">
        <v>68512</v>
      </c>
      <c r="K15">
        <v>30</v>
      </c>
      <c r="L15" t="str">
        <f>"1|"&amp;INDEX([1]梦魇入侵!$E$28:$Q$78,MATCH($M15,[1]梦魇入侵!$D$28:$D$78,0),MATCH($K15,[1]梦魇入侵!$E$28:$Q$28,0))</f>
        <v>1|174000000</v>
      </c>
      <c r="M15" s="42">
        <v>24</v>
      </c>
      <c r="N15" t="str">
        <f t="shared" si="0"/>
        <v>今日累计伤害达到17400万</v>
      </c>
      <c r="O15" t="str">
        <f>VLOOKUP(A15,[2]梦魇入侵!$K:$L,2,0)</f>
        <v>1|14003|1</v>
      </c>
      <c r="U15" t="e">
        <f>INT(MID($E15,MIN(FIND({0,1,2,3,4,5,6,7,8,9},$E15&amp;"0123456789")),LEN($E15)*2-LENB($E15)))</f>
        <v>#VALUE!</v>
      </c>
      <c r="V15" t="str">
        <f t="shared" si="1"/>
        <v>今日累计伤害达到 [00821c]6800[-] 万</v>
      </c>
    </row>
    <row r="16" spans="1:22" ht="16.5">
      <c r="A16" s="2">
        <v>10013</v>
      </c>
      <c r="B16" s="2">
        <v>91101</v>
      </c>
      <c r="C16" s="25">
        <v>0</v>
      </c>
      <c r="D16" s="10">
        <v>25</v>
      </c>
      <c r="E16" s="14" t="s">
        <v>531</v>
      </c>
      <c r="F16" s="20" t="s">
        <v>531</v>
      </c>
      <c r="G16" s="20" t="s">
        <v>4</v>
      </c>
      <c r="H16" s="20">
        <v>3</v>
      </c>
      <c r="I16" s="10" t="s">
        <v>163</v>
      </c>
      <c r="J16" s="37">
        <v>68513</v>
      </c>
      <c r="K16">
        <v>30</v>
      </c>
      <c r="L16" t="str">
        <f>"1|"&amp;INDEX([1]梦魇入侵!$E$28:$Q$78,MATCH($M16,[1]梦魇入侵!$D$28:$D$78,0),MATCH($K16,[1]梦魇入侵!$E$28:$Q$28,0))</f>
        <v>1|188600000</v>
      </c>
      <c r="M16" s="42">
        <v>26</v>
      </c>
      <c r="N16" t="str">
        <f t="shared" si="0"/>
        <v>今日累计伤害达到18860万</v>
      </c>
      <c r="O16" t="str">
        <f>VLOOKUP(A16,[2]梦魇入侵!$K:$L,2,0)</f>
        <v>4|29|300</v>
      </c>
      <c r="U16" t="e">
        <f>INT(MID($E16,MIN(FIND({0,1,2,3,4,5,6,7,8,9},$E16&amp;"0123456789")),LEN($E16)*2-LENB($E16)))</f>
        <v>#VALUE!</v>
      </c>
      <c r="V16" t="str">
        <f t="shared" si="1"/>
        <v>今日累计伤害达到 [00821c]7370[-] 万</v>
      </c>
    </row>
    <row r="17" spans="1:22" ht="16.5">
      <c r="A17" s="2">
        <v>10014</v>
      </c>
      <c r="B17" s="2">
        <v>91101</v>
      </c>
      <c r="C17" s="25">
        <v>0</v>
      </c>
      <c r="D17" s="10">
        <v>27</v>
      </c>
      <c r="E17" s="14" t="s">
        <v>532</v>
      </c>
      <c r="F17" s="20" t="s">
        <v>532</v>
      </c>
      <c r="G17" s="20" t="s">
        <v>25</v>
      </c>
      <c r="H17" s="20">
        <v>3</v>
      </c>
      <c r="I17" s="10" t="s">
        <v>164</v>
      </c>
      <c r="J17" s="37">
        <v>68514</v>
      </c>
      <c r="K17">
        <v>30</v>
      </c>
      <c r="L17" t="str">
        <f>"1|"&amp;INDEX([1]梦魇入侵!$E$28:$Q$78,MATCH($M17,[1]梦魇入侵!$D$28:$D$78,0),MATCH($K17,[1]梦魇入侵!$E$28:$Q$28,0))</f>
        <v>1|210300000</v>
      </c>
      <c r="M17" s="42">
        <v>29</v>
      </c>
      <c r="N17" t="str">
        <f t="shared" si="0"/>
        <v>今日累计伤害达到21030万</v>
      </c>
      <c r="O17" t="str">
        <f>VLOOKUP(A17,[2]梦魇入侵!$K:$L,2,0)</f>
        <v>1|16005|5</v>
      </c>
      <c r="U17" t="e">
        <f>INT(MID($E17,MIN(FIND({0,1,2,3,4,5,6,7,8,9},$E17&amp;"0123456789")),LEN($E17)*2-LENB($E17)))</f>
        <v>#VALUE!</v>
      </c>
      <c r="V17" t="str">
        <f t="shared" si="1"/>
        <v>今日累计伤害达到 [00821c]8220[-] 万</v>
      </c>
    </row>
    <row r="18" spans="1:22" ht="16.5">
      <c r="A18" s="2">
        <v>10015</v>
      </c>
      <c r="B18" s="2">
        <v>91101</v>
      </c>
      <c r="C18" s="25">
        <v>0</v>
      </c>
      <c r="D18" s="10">
        <v>29</v>
      </c>
      <c r="E18" s="14" t="s">
        <v>533</v>
      </c>
      <c r="F18" s="20" t="s">
        <v>533</v>
      </c>
      <c r="G18" s="20" t="s">
        <v>26</v>
      </c>
      <c r="H18" s="20">
        <v>3</v>
      </c>
      <c r="I18" s="10" t="s">
        <v>115</v>
      </c>
      <c r="J18" s="37">
        <v>68515</v>
      </c>
      <c r="K18">
        <v>30</v>
      </c>
      <c r="L18" t="str">
        <f>"1|"&amp;INDEX([1]梦魇入侵!$E$28:$Q$78,MATCH($M18,[1]梦魇入侵!$D$28:$D$78,0),MATCH($K18,[1]梦魇入侵!$E$28:$Q$28,0))</f>
        <v>1|246600000</v>
      </c>
      <c r="M18" s="42">
        <v>34</v>
      </c>
      <c r="N18" t="str">
        <f t="shared" si="0"/>
        <v>今日累计伤害达到24660万</v>
      </c>
      <c r="O18" t="str">
        <f>VLOOKUP(A18,[2]梦魇入侵!$K:$L,2,0)</f>
        <v>4|1|55000</v>
      </c>
      <c r="U18" t="e">
        <f>INT(MID($E18,MIN(FIND({0,1,2,3,4,5,6,7,8,9},$E18&amp;"0123456789")),LEN($E18)*2-LENB($E18)))</f>
        <v>#VALUE!</v>
      </c>
      <c r="V18" t="str">
        <f t="shared" si="1"/>
        <v>今日累计伤害达到 [00821c]9630[-] 万</v>
      </c>
    </row>
    <row r="19" spans="1:22" ht="16.5">
      <c r="A19" s="2">
        <v>10016</v>
      </c>
      <c r="B19" s="2">
        <v>91101</v>
      </c>
      <c r="C19" s="25">
        <v>0</v>
      </c>
      <c r="D19" s="10">
        <v>31</v>
      </c>
      <c r="E19" s="14" t="s">
        <v>534</v>
      </c>
      <c r="F19" s="20" t="s">
        <v>534</v>
      </c>
      <c r="G19" s="20" t="s">
        <v>7</v>
      </c>
      <c r="H19" s="20">
        <v>3</v>
      </c>
      <c r="I19" s="10" t="s">
        <v>165</v>
      </c>
      <c r="J19" s="37">
        <v>68516</v>
      </c>
      <c r="K19">
        <v>30</v>
      </c>
      <c r="L19" t="str">
        <f>"1|"&amp;INDEX([1]梦魇入侵!$E$28:$Q$78,MATCH($M19,[1]梦魇入侵!$D$28:$D$78,0),MATCH($K19,[1]梦魇入侵!$E$28:$Q$28,0))</f>
        <v>1|282800000</v>
      </c>
      <c r="M19" s="42">
        <v>39</v>
      </c>
      <c r="N19" t="str">
        <f t="shared" si="0"/>
        <v>今日累计伤害达到28280万</v>
      </c>
      <c r="O19" t="str">
        <f>VLOOKUP(A19,[2]梦魇入侵!$K:$L,2,0)</f>
        <v>4|29|400</v>
      </c>
      <c r="U19" t="e">
        <f>INT(MID($E19,MIN(FIND({0,1,2,3,4,5,6,7,8,9},$E19&amp;"0123456789")),LEN($E19)*2-LENB($E19)))</f>
        <v>#VALUE!</v>
      </c>
      <c r="V19" t="str">
        <f t="shared" si="1"/>
        <v>今日累计伤害达到 [00821c]11050[-] 万</v>
      </c>
    </row>
    <row r="20" spans="1:22" ht="16.5">
      <c r="A20" s="2">
        <v>10017</v>
      </c>
      <c r="B20" s="2">
        <v>91101</v>
      </c>
      <c r="C20" s="25">
        <v>0</v>
      </c>
      <c r="D20" s="10">
        <v>33</v>
      </c>
      <c r="E20" s="14" t="s">
        <v>535</v>
      </c>
      <c r="F20" s="20" t="s">
        <v>535</v>
      </c>
      <c r="G20" s="20" t="s">
        <v>1</v>
      </c>
      <c r="H20" s="20">
        <v>3</v>
      </c>
      <c r="I20" s="10" t="s">
        <v>166</v>
      </c>
      <c r="J20" s="37">
        <v>68517</v>
      </c>
      <c r="K20">
        <v>30</v>
      </c>
      <c r="L20" t="str">
        <f>"1|"&amp;INDEX([1]梦魇入侵!$E$28:$Q$78,MATCH($M20,[1]梦魇入侵!$D$28:$D$78,0),MATCH($K20,[1]梦魇入侵!$E$28:$Q$28,0))</f>
        <v>1|319100000</v>
      </c>
      <c r="M20" s="42">
        <v>44</v>
      </c>
      <c r="N20" t="str">
        <f t="shared" si="0"/>
        <v>今日累计伤害达到31910万</v>
      </c>
      <c r="O20" t="str">
        <f>VLOOKUP(A20,[2]梦魇入侵!$K:$L,2,0)</f>
        <v>1|14201|6</v>
      </c>
      <c r="U20" t="e">
        <f>INT(MID($E20,MIN(FIND({0,1,2,3,4,5,6,7,8,9},$E20&amp;"0123456789")),LEN($E20)*2-LENB($E20)))</f>
        <v>#VALUE!</v>
      </c>
      <c r="V20" t="str">
        <f t="shared" si="1"/>
        <v>今日累计伤害达到 [00821c]12470[-] 万</v>
      </c>
    </row>
    <row r="21" spans="1:22" ht="16.5">
      <c r="A21" s="2">
        <v>10018</v>
      </c>
      <c r="B21" s="2">
        <v>91101</v>
      </c>
      <c r="C21" s="25">
        <v>0</v>
      </c>
      <c r="D21" s="10">
        <v>35</v>
      </c>
      <c r="E21" s="14" t="s">
        <v>536</v>
      </c>
      <c r="F21" s="20" t="s">
        <v>536</v>
      </c>
      <c r="G21" s="20" t="s">
        <v>27</v>
      </c>
      <c r="H21" s="20">
        <v>4</v>
      </c>
      <c r="I21" s="10" t="s">
        <v>167</v>
      </c>
      <c r="J21" s="37">
        <v>68518</v>
      </c>
      <c r="K21">
        <v>30</v>
      </c>
      <c r="L21" t="str">
        <f>"1|"&amp;INDEX([1]梦魇入侵!$E$28:$Q$78,MATCH($M21,[1]梦魇入侵!$D$28:$D$78,0),MATCH($K21,[1]梦魇入侵!$E$28:$Q$28,0))</f>
        <v>1|355300000</v>
      </c>
      <c r="M21" s="42">
        <v>49</v>
      </c>
      <c r="N21" t="str">
        <f t="shared" si="0"/>
        <v>今日累计伤害达到35530万</v>
      </c>
      <c r="O21" t="str">
        <f>VLOOKUP(A21,[2]梦魇入侵!$K:$L,2,0)</f>
        <v>1|16005|6</v>
      </c>
      <c r="U21" t="e">
        <f>INT(MID($E21,MIN(FIND({0,1,2,3,4,5,6,7,8,9},$E21&amp;"0123456789")),LEN($E21)*2-LENB($E21)))</f>
        <v>#VALUE!</v>
      </c>
      <c r="V21" t="str">
        <f t="shared" si="1"/>
        <v>今日累计伤害达到 [00821c]13880[-] 万</v>
      </c>
    </row>
    <row r="22" spans="1:22" ht="16.5">
      <c r="A22" s="2">
        <v>10019</v>
      </c>
      <c r="B22" s="2">
        <v>91101</v>
      </c>
      <c r="C22" s="25">
        <v>0</v>
      </c>
      <c r="D22" s="10">
        <v>37</v>
      </c>
      <c r="E22" s="14" t="s">
        <v>537</v>
      </c>
      <c r="F22" s="20" t="s">
        <v>537</v>
      </c>
      <c r="G22" s="20" t="s">
        <v>28</v>
      </c>
      <c r="H22" s="20">
        <v>4</v>
      </c>
      <c r="I22" s="10" t="s">
        <v>168</v>
      </c>
      <c r="J22" s="37">
        <v>68519</v>
      </c>
      <c r="K22">
        <v>30</v>
      </c>
      <c r="L22" t="str">
        <f>"1|"&amp;INDEX([1]梦魇入侵!$E$28:$Q$78,MATCH($M22,[1]梦魇入侵!$D$28:$D$78,0),MATCH($K22,[1]梦魇入侵!$E$28:$Q$28,0))</f>
        <v>1|398900000</v>
      </c>
      <c r="M22" s="42">
        <v>55</v>
      </c>
      <c r="N22" t="str">
        <f t="shared" si="0"/>
        <v>今日累计伤害达到39890万</v>
      </c>
      <c r="O22" t="str">
        <f>VLOOKUP(A22,[2]梦魇入侵!$K:$L,2,0)</f>
        <v>1|17000|50</v>
      </c>
      <c r="U22" t="e">
        <f>INT(MID($E22,MIN(FIND({0,1,2,3,4,5,6,7,8,9},$E22&amp;"0123456789")),LEN($E22)*2-LENB($E22)))</f>
        <v>#VALUE!</v>
      </c>
      <c r="V22" t="str">
        <f t="shared" si="1"/>
        <v>今日累计伤害达到 [00821c]15580[-] 万</v>
      </c>
    </row>
    <row r="23" spans="1:22" ht="16.5">
      <c r="A23" s="2">
        <v>10020</v>
      </c>
      <c r="B23" s="2">
        <v>91101</v>
      </c>
      <c r="C23" s="25">
        <v>0</v>
      </c>
      <c r="D23" s="10">
        <v>39</v>
      </c>
      <c r="E23" s="14" t="s">
        <v>538</v>
      </c>
      <c r="F23" s="20" t="s">
        <v>538</v>
      </c>
      <c r="G23" s="20" t="s">
        <v>14</v>
      </c>
      <c r="H23" s="20">
        <v>4</v>
      </c>
      <c r="I23" s="10" t="s">
        <v>169</v>
      </c>
      <c r="J23" s="37">
        <v>68520</v>
      </c>
      <c r="K23">
        <v>30</v>
      </c>
      <c r="L23" t="str">
        <f>"1|"&amp;INDEX([1]梦魇入侵!$E$28:$Q$78,MATCH($M23,[1]梦魇入侵!$D$28:$D$78,0),MATCH($K23,[1]梦魇入侵!$E$28:$Q$28,0))</f>
        <v>1|435100000</v>
      </c>
      <c r="M23" s="42">
        <v>60</v>
      </c>
      <c r="N23" t="str">
        <f t="shared" si="0"/>
        <v>今日累计伤害达到43510万</v>
      </c>
      <c r="O23" t="str">
        <f>VLOOKUP(A23,[2]梦魇入侵!$K:$L,2,0)</f>
        <v>1|17001|5</v>
      </c>
      <c r="U23" t="e">
        <f>INT(MID($E23,MIN(FIND({0,1,2,3,4,5,6,7,8,9},$E23&amp;"0123456789")),LEN($E23)*2-LENB($E23)))</f>
        <v>#VALUE!</v>
      </c>
      <c r="V23" t="str">
        <f t="shared" si="1"/>
        <v>今日累计伤害达到 [00821c]17000[-] 万</v>
      </c>
    </row>
    <row r="24" spans="1:22" ht="16.5">
      <c r="A24" s="2">
        <v>10021</v>
      </c>
      <c r="B24" s="2">
        <v>91101</v>
      </c>
      <c r="C24" s="25">
        <v>0</v>
      </c>
      <c r="D24" s="10">
        <v>41</v>
      </c>
      <c r="E24" s="14" t="s">
        <v>539</v>
      </c>
      <c r="F24" s="20" t="s">
        <v>539</v>
      </c>
      <c r="G24" s="20" t="s">
        <v>4</v>
      </c>
      <c r="H24" s="20">
        <v>4</v>
      </c>
      <c r="I24" s="10" t="s">
        <v>170</v>
      </c>
      <c r="J24" s="37">
        <v>68521</v>
      </c>
      <c r="K24">
        <v>30</v>
      </c>
      <c r="L24" t="str">
        <f>"1|"&amp;INDEX([1]梦魇入侵!$E$28:$Q$78,MATCH($M24,[1]梦魇入侵!$D$28:$D$78,0),MATCH($K24,[1]梦魇入侵!$E$28:$Q$28,0))</f>
        <v>1|471400000</v>
      </c>
      <c r="M24" s="42">
        <v>65</v>
      </c>
      <c r="N24" t="str">
        <f t="shared" si="0"/>
        <v>今日累计伤害达到47140万</v>
      </c>
      <c r="O24" t="str">
        <f>VLOOKUP(A24,[2]梦魇入侵!$K:$L,2,0)</f>
        <v>4|1|70000</v>
      </c>
      <c r="U24" t="e">
        <f>INT(MID($E24,MIN(FIND({0,1,2,3,4,5,6,7,8,9},$E24&amp;"0123456789")),LEN($E24)*2-LENB($E24)))</f>
        <v>#VALUE!</v>
      </c>
      <c r="V24" t="str">
        <f t="shared" si="1"/>
        <v>今日累计伤害达到 [00821c]18410[-] 万</v>
      </c>
    </row>
    <row r="25" spans="1:22" ht="16.5">
      <c r="A25" s="2">
        <v>10022</v>
      </c>
      <c r="B25" s="2">
        <v>91101</v>
      </c>
      <c r="C25" s="25">
        <v>0</v>
      </c>
      <c r="D25" s="10">
        <v>43</v>
      </c>
      <c r="E25" s="14" t="s">
        <v>540</v>
      </c>
      <c r="F25" s="20" t="s">
        <v>540</v>
      </c>
      <c r="G25" s="20" t="s">
        <v>29</v>
      </c>
      <c r="H25" s="20">
        <v>4</v>
      </c>
      <c r="I25" s="10" t="s">
        <v>171</v>
      </c>
      <c r="J25" s="37">
        <v>68522</v>
      </c>
      <c r="K25">
        <v>30</v>
      </c>
      <c r="L25" t="str">
        <f>"1|"&amp;INDEX([1]梦魇入侵!$E$28:$Q$78,MATCH($M25,[1]梦魇入侵!$D$28:$D$78,0),MATCH($K25,[1]梦魇入侵!$E$28:$Q$28,0))</f>
        <v>1|507600000</v>
      </c>
      <c r="M25" s="42">
        <v>70</v>
      </c>
      <c r="N25" t="str">
        <f t="shared" si="0"/>
        <v>今日累计伤害达到50760万</v>
      </c>
      <c r="O25" t="str">
        <f>VLOOKUP(A25,[2]梦魇入侵!$K:$L,2,0)</f>
        <v>4|29|500</v>
      </c>
      <c r="U25" t="e">
        <f>INT(MID($E25,MIN(FIND({0,1,2,3,4,5,6,7,8,9},$E25&amp;"0123456789")),LEN($E25)*2-LENB($E25)))</f>
        <v>#VALUE!</v>
      </c>
      <c r="V25" t="str">
        <f t="shared" si="1"/>
        <v>今日累计伤害达到 [00821c]19830[-] 万</v>
      </c>
    </row>
    <row r="26" spans="1:22" ht="16.5">
      <c r="A26" s="2">
        <v>10023</v>
      </c>
      <c r="B26" s="2">
        <v>91101</v>
      </c>
      <c r="C26" s="25">
        <v>0</v>
      </c>
      <c r="D26" s="10">
        <v>45</v>
      </c>
      <c r="E26" s="14" t="s">
        <v>541</v>
      </c>
      <c r="F26" s="20" t="s">
        <v>541</v>
      </c>
      <c r="G26" s="20" t="s">
        <v>92</v>
      </c>
      <c r="H26" s="20">
        <v>4</v>
      </c>
      <c r="I26" s="10" t="s">
        <v>172</v>
      </c>
      <c r="J26" s="37">
        <v>68523</v>
      </c>
      <c r="K26">
        <v>30</v>
      </c>
      <c r="L26" t="str">
        <f>"1|"&amp;INDEX([1]梦魇入侵!$E$28:$Q$78,MATCH($M26,[1]梦魇入侵!$D$28:$D$78,0),MATCH($K26,[1]梦魇入侵!$E$28:$Q$28,0))</f>
        <v>1|543900000</v>
      </c>
      <c r="M26" s="42">
        <v>75</v>
      </c>
      <c r="N26" t="str">
        <f t="shared" si="0"/>
        <v>今日累计伤害达到54390万</v>
      </c>
      <c r="O26" t="str">
        <f>VLOOKUP(A26,[2]梦魇入侵!$K:$L,2,0)</f>
        <v>1|14003|2</v>
      </c>
      <c r="U26" t="e">
        <f>INT(MID($E26,MIN(FIND({0,1,2,3,4,5,6,7,8,9},$E26&amp;"0123456789")),LEN($E26)*2-LENB($E26)))</f>
        <v>#VALUE!</v>
      </c>
      <c r="V26" t="str">
        <f t="shared" si="1"/>
        <v>今日累计伤害达到 [00821c]21250[-] 万</v>
      </c>
    </row>
    <row r="27" spans="1:22" ht="16.5">
      <c r="A27" s="2">
        <v>10024</v>
      </c>
      <c r="B27" s="2">
        <v>91101</v>
      </c>
      <c r="C27" s="25">
        <v>0</v>
      </c>
      <c r="D27" s="10">
        <v>47</v>
      </c>
      <c r="E27" s="14" t="s">
        <v>542</v>
      </c>
      <c r="F27" s="20" t="s">
        <v>542</v>
      </c>
      <c r="G27" s="20" t="s">
        <v>15</v>
      </c>
      <c r="H27" s="20">
        <v>4</v>
      </c>
      <c r="I27" s="10" t="s">
        <v>173</v>
      </c>
      <c r="J27" s="37">
        <v>68524</v>
      </c>
      <c r="K27">
        <v>30</v>
      </c>
      <c r="L27" t="str">
        <f>"1|"&amp;INDEX([1]梦魇入侵!$E$28:$Q$78,MATCH($M27,[1]梦魇入侵!$D$28:$D$78,0),MATCH($K27,[1]梦魇入侵!$E$28:$Q$28,0))</f>
        <v>1|652700000</v>
      </c>
      <c r="M27" s="42">
        <v>90</v>
      </c>
      <c r="N27" t="str">
        <f t="shared" si="0"/>
        <v>今日累计伤害达到65270万</v>
      </c>
      <c r="O27" t="str">
        <f>VLOOKUP(A27,[2]梦魇入侵!$K:$L,2,0)</f>
        <v>1|14211|3</v>
      </c>
      <c r="U27" t="e">
        <f>INT(MID($E27,MIN(FIND({0,1,2,3,4,5,6,7,8,9},$E27&amp;"0123456789")),LEN($E27)*2-LENB($E27)))</f>
        <v>#VALUE!</v>
      </c>
      <c r="V27" t="str">
        <f t="shared" si="1"/>
        <v>今日累计伤害达到 [00821c]25500[-] 万</v>
      </c>
    </row>
    <row r="28" spans="1:22" ht="16.5">
      <c r="A28" s="2">
        <v>10025</v>
      </c>
      <c r="B28" s="2">
        <v>91101</v>
      </c>
      <c r="C28" s="25">
        <v>0</v>
      </c>
      <c r="D28" s="10">
        <v>49</v>
      </c>
      <c r="E28" s="14" t="s">
        <v>543</v>
      </c>
      <c r="F28" s="20" t="s">
        <v>543</v>
      </c>
      <c r="G28" s="20" t="s">
        <v>16</v>
      </c>
      <c r="H28" s="20">
        <v>4</v>
      </c>
      <c r="I28" s="10" t="s">
        <v>174</v>
      </c>
      <c r="J28" s="37">
        <v>68525</v>
      </c>
      <c r="K28">
        <v>30</v>
      </c>
      <c r="L28" t="str">
        <f>"1|"&amp;INDEX([1]梦魇入侵!$E$28:$Q$78,MATCH($M28,[1]梦魇入侵!$D$28:$D$78,0),MATCH($K28,[1]梦魇入侵!$E$28:$Q$28,0))</f>
        <v>1|696200000</v>
      </c>
      <c r="M28" s="42">
        <v>96</v>
      </c>
      <c r="N28" t="str">
        <f t="shared" si="0"/>
        <v>今日累计伤害达到69620万</v>
      </c>
      <c r="O28" t="str">
        <f>VLOOKUP(A28,[2]梦魇入侵!$K:$L,2,0)</f>
        <v>4|29|500</v>
      </c>
      <c r="U28" t="e">
        <f>INT(MID($E28,MIN(FIND({0,1,2,3,4,5,6,7,8,9},$E28&amp;"0123456789")),LEN($E28)*2-LENB($E28)))</f>
        <v>#VALUE!</v>
      </c>
      <c r="V28" t="str">
        <f t="shared" si="1"/>
        <v>今日累计伤害达到 [00821c]27200[-] 万</v>
      </c>
    </row>
    <row r="29" spans="1:22" ht="16.5">
      <c r="A29" s="2">
        <v>10026</v>
      </c>
      <c r="B29" s="2">
        <v>91101</v>
      </c>
      <c r="C29" s="25">
        <v>0</v>
      </c>
      <c r="D29" s="10">
        <v>51</v>
      </c>
      <c r="E29" s="14" t="s">
        <v>544</v>
      </c>
      <c r="F29" s="20" t="s">
        <v>544</v>
      </c>
      <c r="G29" s="20" t="s">
        <v>30</v>
      </c>
      <c r="H29" s="20">
        <v>4</v>
      </c>
      <c r="I29" s="10" t="s">
        <v>175</v>
      </c>
      <c r="J29" s="37">
        <v>68526</v>
      </c>
      <c r="K29">
        <v>30</v>
      </c>
      <c r="L29" t="str">
        <f>"1|"&amp;INDEX([1]梦魇入侵!$E$28:$Q$78,MATCH($M29,[1]梦魇入侵!$D$28:$D$78,0),MATCH($K29,[1]梦魇入侵!$E$28:$Q$28,0))</f>
        <v>1|732500000</v>
      </c>
      <c r="M29" s="42">
        <v>101</v>
      </c>
      <c r="N29" t="str">
        <f t="shared" si="0"/>
        <v>今日累计伤害达到73250万</v>
      </c>
      <c r="O29" t="str">
        <f>VLOOKUP(A29,[2]梦魇入侵!$K:$L,2,0)</f>
        <v>6|4502|2</v>
      </c>
      <c r="U29" t="e">
        <f>INT(MID($E29,MIN(FIND({0,1,2,3,4,5,6,7,8,9},$E29&amp;"0123456789")),LEN($E29)*2-LENB($E29)))</f>
        <v>#VALUE!</v>
      </c>
      <c r="V29" t="str">
        <f t="shared" si="1"/>
        <v>今日累计伤害达到 [00821c]28610[-] 万</v>
      </c>
    </row>
    <row r="30" spans="1:22" ht="16.5">
      <c r="A30" s="2">
        <v>10027</v>
      </c>
      <c r="B30" s="2">
        <v>91101</v>
      </c>
      <c r="C30" s="25">
        <v>0</v>
      </c>
      <c r="D30" s="10">
        <v>53</v>
      </c>
      <c r="E30" s="14" t="s">
        <v>545</v>
      </c>
      <c r="F30" s="20" t="s">
        <v>545</v>
      </c>
      <c r="G30" s="20" t="s">
        <v>93</v>
      </c>
      <c r="H30" s="20">
        <v>4</v>
      </c>
      <c r="I30" s="10" t="s">
        <v>118</v>
      </c>
      <c r="J30" s="37">
        <v>68527</v>
      </c>
      <c r="K30">
        <v>30</v>
      </c>
      <c r="L30" t="str">
        <f>"1|"&amp;INDEX([1]梦魇入侵!$E$28:$Q$78,MATCH($M30,[1]梦魇入侵!$D$28:$D$78,0),MATCH($K30,[1]梦魇入侵!$E$28:$Q$28,0))</f>
        <v>1|768700000</v>
      </c>
      <c r="M30" s="42">
        <v>106</v>
      </c>
      <c r="N30" t="str">
        <f t="shared" si="0"/>
        <v>今日累计伤害达到76870万</v>
      </c>
      <c r="O30" t="str">
        <f>VLOOKUP(A30,[2]梦魇入侵!$K:$L,2,0)</f>
        <v>1|14201|7</v>
      </c>
      <c r="U30" t="e">
        <f>INT(MID($E30,MIN(FIND({0,1,2,3,4,5,6,7,8,9},$E30&amp;"0123456789")),LEN($E30)*2-LENB($E30)))</f>
        <v>#VALUE!</v>
      </c>
      <c r="V30" t="str">
        <f t="shared" si="1"/>
        <v>今日累计伤害达到 [00821c]30030[-] 万</v>
      </c>
    </row>
    <row r="31" spans="1:22" ht="16.5">
      <c r="A31" s="2">
        <v>10028</v>
      </c>
      <c r="B31" s="2">
        <v>91101</v>
      </c>
      <c r="C31" s="25">
        <v>0</v>
      </c>
      <c r="D31" s="10">
        <v>55</v>
      </c>
      <c r="E31" s="14" t="s">
        <v>546</v>
      </c>
      <c r="F31" s="20" t="s">
        <v>546</v>
      </c>
      <c r="G31" s="20" t="s">
        <v>31</v>
      </c>
      <c r="H31" s="20">
        <v>4</v>
      </c>
      <c r="I31" s="10" t="s">
        <v>176</v>
      </c>
      <c r="J31" s="37">
        <v>68528</v>
      </c>
      <c r="K31">
        <v>30</v>
      </c>
      <c r="L31" t="str">
        <f>"1|"&amp;INDEX([1]梦魇入侵!$E$28:$Q$78,MATCH($M31,[1]梦魇入侵!$D$28:$D$78,0),MATCH($K31,[1]梦魇入侵!$E$28:$Q$28,0))</f>
        <v>1|805000000</v>
      </c>
      <c r="M31" s="42">
        <v>111</v>
      </c>
      <c r="N31" t="str">
        <f t="shared" si="0"/>
        <v>今日累计伤害达到80500万</v>
      </c>
      <c r="O31" t="str">
        <f>VLOOKUP(A31,[2]梦魇入侵!$K:$L,2,0)</f>
        <v>1|16005|7</v>
      </c>
      <c r="U31" t="e">
        <f>INT(MID($E31,MIN(FIND({0,1,2,3,4,5,6,7,8,9},$E31&amp;"0123456789")),LEN($E31)*2-LENB($E31)))</f>
        <v>#VALUE!</v>
      </c>
      <c r="V31" t="str">
        <f t="shared" si="1"/>
        <v>今日累计伤害达到 [00821c]31450[-] 万</v>
      </c>
    </row>
    <row r="32" spans="1:22" ht="16.5">
      <c r="A32" s="2">
        <v>10029</v>
      </c>
      <c r="B32" s="2">
        <v>91101</v>
      </c>
      <c r="C32" s="25">
        <v>0</v>
      </c>
      <c r="D32" s="10">
        <v>57</v>
      </c>
      <c r="E32" s="14" t="s">
        <v>547</v>
      </c>
      <c r="F32" s="20" t="s">
        <v>547</v>
      </c>
      <c r="G32" s="20" t="s">
        <v>94</v>
      </c>
      <c r="H32" s="20">
        <v>4</v>
      </c>
      <c r="I32" s="10" t="s">
        <v>177</v>
      </c>
      <c r="J32" s="37">
        <v>68529</v>
      </c>
      <c r="K32">
        <v>30</v>
      </c>
      <c r="L32" t="str">
        <f>"1|"&amp;INDEX([1]梦魇入侵!$E$28:$Q$78,MATCH($M32,[1]梦魇入侵!$D$28:$D$78,0),MATCH($K32,[1]梦魇入侵!$E$28:$Q$28,0))</f>
        <v>1|841200000</v>
      </c>
      <c r="M32" s="42">
        <v>116</v>
      </c>
      <c r="N32" t="str">
        <f t="shared" si="0"/>
        <v>今日累计伤害达到84120万</v>
      </c>
      <c r="O32" t="str">
        <f>VLOOKUP(A32,[2]梦魇入侵!$K:$L,2,0)</f>
        <v>1|17000|60</v>
      </c>
      <c r="U32" t="e">
        <f>INT(MID($E32,MIN(FIND({0,1,2,3,4,5,6,7,8,9},$E32&amp;"0123456789")),LEN($E32)*2-LENB($E32)))</f>
        <v>#VALUE!</v>
      </c>
      <c r="V32" t="str">
        <f t="shared" si="1"/>
        <v>今日累计伤害达到 [00821c]32860[-] 万</v>
      </c>
    </row>
    <row r="33" spans="1:22" ht="16.5">
      <c r="A33" s="2">
        <v>10030</v>
      </c>
      <c r="B33" s="2">
        <v>91101</v>
      </c>
      <c r="C33" s="25">
        <v>0</v>
      </c>
      <c r="D33" s="10">
        <v>59</v>
      </c>
      <c r="E33" s="14" t="s">
        <v>548</v>
      </c>
      <c r="F33" s="20" t="s">
        <v>548</v>
      </c>
      <c r="G33" s="20" t="s">
        <v>17</v>
      </c>
      <c r="H33" s="20">
        <v>4</v>
      </c>
      <c r="I33" s="10" t="s">
        <v>178</v>
      </c>
      <c r="J33" s="37">
        <v>68530</v>
      </c>
      <c r="K33">
        <v>30</v>
      </c>
      <c r="L33" t="str">
        <f>"1|"&amp;INDEX([1]梦魇入侵!$E$28:$Q$78,MATCH($M33,[1]梦魇入侵!$D$28:$D$78,0),MATCH($K33,[1]梦魇入侵!$E$28:$Q$28,0))</f>
        <v>1|877500000</v>
      </c>
      <c r="M33" s="42">
        <v>121</v>
      </c>
      <c r="N33" t="str">
        <f t="shared" si="0"/>
        <v>今日累计伤害达到87750万</v>
      </c>
      <c r="O33" t="str">
        <f>VLOOKUP(A33,[2]梦魇入侵!$K:$L,2,0)</f>
        <v>1|17001|6</v>
      </c>
      <c r="U33" t="e">
        <f>INT(MID($E33,MIN(FIND({0,1,2,3,4,5,6,7,8,9},$E33&amp;"0123456789")),LEN($E33)*2-LENB($E33)))</f>
        <v>#VALUE!</v>
      </c>
      <c r="V33" t="str">
        <f t="shared" si="1"/>
        <v>今日累计伤害达到 [00821c]34280[-] 万</v>
      </c>
    </row>
    <row r="34" spans="1:22" s="33" customFormat="1" ht="16.5">
      <c r="A34" s="28">
        <v>10031</v>
      </c>
      <c r="B34" s="28">
        <v>91102</v>
      </c>
      <c r="C34" s="29">
        <v>0</v>
      </c>
      <c r="D34" s="30">
        <v>1</v>
      </c>
      <c r="E34" s="31" t="s">
        <v>549</v>
      </c>
      <c r="F34" s="32" t="s">
        <v>549</v>
      </c>
      <c r="G34" s="32" t="s">
        <v>90</v>
      </c>
      <c r="H34" s="32">
        <v>1</v>
      </c>
      <c r="I34" s="30" t="s">
        <v>179</v>
      </c>
      <c r="J34" s="38">
        <v>68501</v>
      </c>
      <c r="K34" s="33">
        <v>40</v>
      </c>
      <c r="L34" s="33" t="str">
        <f>"1|"&amp;INDEX([1]梦魇入侵!$E$28:$Q$78,MATCH($M34,[1]梦魇入侵!$D$28:$D$78,0),MATCH($K34,[1]梦魇入侵!$E$28:$Q$28,0))</f>
        <v>1|9600000</v>
      </c>
      <c r="M34" s="43">
        <v>1</v>
      </c>
      <c r="N34" s="33" t="str">
        <f t="shared" si="0"/>
        <v>今日累计伤害达到960万</v>
      </c>
      <c r="O34"/>
      <c r="U34" s="33" t="e">
        <f>INT(MID($E34,MIN(FIND({0,1,2,3,4,5,6,7,8,9},$E34&amp;"0123456789")),LEN($E34)*2-LENB($E34)))</f>
        <v>#VALUE!</v>
      </c>
      <c r="V34" s="33" t="str">
        <f t="shared" si="1"/>
        <v>今日累计伤害达到 [00821c]370[-] 万</v>
      </c>
    </row>
    <row r="35" spans="1:22" s="33" customFormat="1" ht="16.5">
      <c r="A35" s="28">
        <v>10032</v>
      </c>
      <c r="B35" s="28">
        <v>91102</v>
      </c>
      <c r="C35" s="29">
        <v>0</v>
      </c>
      <c r="D35" s="30">
        <v>3</v>
      </c>
      <c r="E35" s="31" t="s">
        <v>550</v>
      </c>
      <c r="F35" s="32" t="s">
        <v>550</v>
      </c>
      <c r="G35" s="32" t="s">
        <v>9</v>
      </c>
      <c r="H35" s="32">
        <v>1</v>
      </c>
      <c r="I35" s="30" t="s">
        <v>180</v>
      </c>
      <c r="J35" s="38">
        <v>68502</v>
      </c>
      <c r="K35" s="33">
        <v>40</v>
      </c>
      <c r="L35" s="33" t="str">
        <f>"1|"&amp;INDEX([1]梦魇入侵!$E$28:$Q$78,MATCH($M35,[1]梦魇入侵!$D$28:$D$78,0),MATCH($K35,[1]梦魇入侵!$E$28:$Q$28,0))</f>
        <v>1|19200000</v>
      </c>
      <c r="M35" s="43">
        <v>2</v>
      </c>
      <c r="N35" s="33" t="str">
        <f t="shared" si="0"/>
        <v>今日累计伤害达到1920万</v>
      </c>
      <c r="O35"/>
      <c r="U35" s="33" t="e">
        <f>INT(MID($E35,MIN(FIND({0,1,2,3,4,5,6,7,8,9},$E35&amp;"0123456789")),LEN($E35)*2-LENB($E35)))</f>
        <v>#VALUE!</v>
      </c>
      <c r="V35" s="33" t="str">
        <f t="shared" si="1"/>
        <v>今日累计伤害达到 [00821c]740[-] 万</v>
      </c>
    </row>
    <row r="36" spans="1:22" s="33" customFormat="1" ht="16.5">
      <c r="A36" s="28">
        <v>10033</v>
      </c>
      <c r="B36" s="28">
        <v>91102</v>
      </c>
      <c r="C36" s="29">
        <v>0</v>
      </c>
      <c r="D36" s="30">
        <v>5</v>
      </c>
      <c r="E36" s="31" t="s">
        <v>551</v>
      </c>
      <c r="F36" s="32" t="s">
        <v>551</v>
      </c>
      <c r="G36" s="32" t="s">
        <v>32</v>
      </c>
      <c r="H36" s="32">
        <v>1</v>
      </c>
      <c r="I36" s="30" t="s">
        <v>181</v>
      </c>
      <c r="J36" s="38">
        <v>68503</v>
      </c>
      <c r="K36" s="33">
        <v>40</v>
      </c>
      <c r="L36" s="33" t="str">
        <f>"1|"&amp;INDEX([1]梦魇入侵!$E$28:$Q$78,MATCH($M36,[1]梦魇入侵!$D$28:$D$78,0),MATCH($K36,[1]梦魇入侵!$E$28:$Q$28,0))</f>
        <v>1|28800000</v>
      </c>
      <c r="M36" s="43">
        <v>3</v>
      </c>
      <c r="N36" s="33" t="str">
        <f t="shared" si="0"/>
        <v>今日累计伤害达到2880万</v>
      </c>
      <c r="O36"/>
      <c r="U36" s="33" t="e">
        <f>INT(MID($E36,MIN(FIND({0,1,2,3,4,5,6,7,8,9},$E36&amp;"0123456789")),LEN($E36)*2-LENB($E36)))</f>
        <v>#VALUE!</v>
      </c>
      <c r="V36" s="33" t="str">
        <f t="shared" si="1"/>
        <v>今日累计伤害达到 [00821c]1110[-] 万</v>
      </c>
    </row>
    <row r="37" spans="1:22" s="33" customFormat="1" ht="16.5">
      <c r="A37" s="28">
        <v>10034</v>
      </c>
      <c r="B37" s="28">
        <v>91102</v>
      </c>
      <c r="C37" s="29">
        <v>0</v>
      </c>
      <c r="D37" s="30">
        <v>7</v>
      </c>
      <c r="E37" s="31" t="s">
        <v>552</v>
      </c>
      <c r="F37" s="32" t="s">
        <v>552</v>
      </c>
      <c r="G37" s="32" t="s">
        <v>13</v>
      </c>
      <c r="H37" s="32">
        <v>1</v>
      </c>
      <c r="I37" s="30" t="s">
        <v>182</v>
      </c>
      <c r="J37" s="38">
        <v>68504</v>
      </c>
      <c r="K37" s="33">
        <v>40</v>
      </c>
      <c r="L37" s="33" t="str">
        <f>"1|"&amp;INDEX([1]梦魇入侵!$E$28:$Q$78,MATCH($M37,[1]梦魇入侵!$D$28:$D$78,0),MATCH($K37,[1]梦魇入侵!$E$28:$Q$28,0))</f>
        <v>1|48000000</v>
      </c>
      <c r="M37" s="43">
        <v>5</v>
      </c>
      <c r="N37" s="33" t="str">
        <f t="shared" si="0"/>
        <v>今日累计伤害达到4800万</v>
      </c>
      <c r="O37"/>
      <c r="U37" s="33" t="e">
        <f>INT(MID($E37,MIN(FIND({0,1,2,3,4,5,6,7,8,9},$E37&amp;"0123456789")),LEN($E37)*2-LENB($E37)))</f>
        <v>#VALUE!</v>
      </c>
      <c r="V37" s="33" t="str">
        <f t="shared" si="1"/>
        <v>今日累计伤害达到 [00821c]1850[-] 万</v>
      </c>
    </row>
    <row r="38" spans="1:22" s="33" customFormat="1" ht="16.5">
      <c r="A38" s="28">
        <v>10035</v>
      </c>
      <c r="B38" s="28">
        <v>91102</v>
      </c>
      <c r="C38" s="29">
        <v>0</v>
      </c>
      <c r="D38" s="30">
        <v>9</v>
      </c>
      <c r="E38" s="31" t="s">
        <v>553</v>
      </c>
      <c r="F38" s="32" t="s">
        <v>553</v>
      </c>
      <c r="G38" s="32" t="s">
        <v>28</v>
      </c>
      <c r="H38" s="32">
        <v>1</v>
      </c>
      <c r="I38" s="30" t="s">
        <v>183</v>
      </c>
      <c r="J38" s="38">
        <v>68505</v>
      </c>
      <c r="K38" s="33">
        <v>40</v>
      </c>
      <c r="L38" s="33" t="str">
        <f>"1|"&amp;INDEX([1]梦魇入侵!$E$28:$Q$78,MATCH($M38,[1]梦魇入侵!$D$28:$D$78,0),MATCH($K38,[1]梦魇入侵!$E$28:$Q$28,0))</f>
        <v>1|57600000</v>
      </c>
      <c r="M38" s="43">
        <v>6</v>
      </c>
      <c r="N38" s="33" t="str">
        <f t="shared" si="0"/>
        <v>今日累计伤害达到5760万</v>
      </c>
      <c r="O38"/>
      <c r="U38" s="33" t="e">
        <f>INT(MID($E38,MIN(FIND({0,1,2,3,4,5,6,7,8,9},$E38&amp;"0123456789")),LEN($E38)*2-LENB($E38)))</f>
        <v>#VALUE!</v>
      </c>
      <c r="V38" s="33" t="str">
        <f t="shared" si="1"/>
        <v>今日累计伤害达到 [00821c]2220[-] 万</v>
      </c>
    </row>
    <row r="39" spans="1:22" s="33" customFormat="1" ht="16.5">
      <c r="A39" s="28">
        <v>10036</v>
      </c>
      <c r="B39" s="28">
        <v>91102</v>
      </c>
      <c r="C39" s="29">
        <v>0</v>
      </c>
      <c r="D39" s="30">
        <v>11</v>
      </c>
      <c r="E39" s="31" t="s">
        <v>554</v>
      </c>
      <c r="F39" s="32" t="s">
        <v>554</v>
      </c>
      <c r="G39" s="32" t="s">
        <v>18</v>
      </c>
      <c r="H39" s="32">
        <v>1</v>
      </c>
      <c r="I39" s="30" t="s">
        <v>184</v>
      </c>
      <c r="J39" s="38">
        <v>68506</v>
      </c>
      <c r="K39" s="33">
        <v>40</v>
      </c>
      <c r="L39" s="33" t="str">
        <f>"1|"&amp;INDEX([1]梦魇入侵!$E$28:$Q$78,MATCH($M39,[1]梦魇入侵!$D$28:$D$78,0),MATCH($K39,[1]梦魇入侵!$E$28:$Q$28,0))</f>
        <v>1|76800000</v>
      </c>
      <c r="M39" s="43">
        <v>8</v>
      </c>
      <c r="N39" s="33" t="str">
        <f t="shared" si="0"/>
        <v>今日累计伤害达到7680万</v>
      </c>
      <c r="O39"/>
      <c r="U39" s="33" t="e">
        <f>INT(MID($E39,MIN(FIND({0,1,2,3,4,5,6,7,8,9},$E39&amp;"0123456789")),LEN($E39)*2-LENB($E39)))</f>
        <v>#VALUE!</v>
      </c>
      <c r="V39" s="33" t="str">
        <f t="shared" si="1"/>
        <v>今日累计伤害达到 [00821c]2960[-] 万</v>
      </c>
    </row>
    <row r="40" spans="1:22" s="33" customFormat="1" ht="16.5">
      <c r="A40" s="28">
        <v>10037</v>
      </c>
      <c r="B40" s="28">
        <v>91102</v>
      </c>
      <c r="C40" s="29">
        <v>0</v>
      </c>
      <c r="D40" s="30">
        <v>13</v>
      </c>
      <c r="E40" s="31" t="s">
        <v>555</v>
      </c>
      <c r="F40" s="32" t="s">
        <v>555</v>
      </c>
      <c r="G40" s="32" t="s">
        <v>33</v>
      </c>
      <c r="H40" s="32">
        <v>2</v>
      </c>
      <c r="I40" s="30" t="s">
        <v>185</v>
      </c>
      <c r="J40" s="38">
        <v>68507</v>
      </c>
      <c r="K40" s="33">
        <v>40</v>
      </c>
      <c r="L40" s="33" t="str">
        <f>"1|"&amp;INDEX([1]梦魇入侵!$E$28:$Q$78,MATCH($M40,[1]梦魇入侵!$D$28:$D$78,0),MATCH($K40,[1]梦魇入侵!$E$28:$Q$28,0))</f>
        <v>1|105600000</v>
      </c>
      <c r="M40" s="43">
        <v>11</v>
      </c>
      <c r="N40" s="33" t="str">
        <f t="shared" si="0"/>
        <v>今日累计伤害达到10560万</v>
      </c>
      <c r="O40"/>
      <c r="U40" s="33" t="e">
        <f>INT(MID($E40,MIN(FIND({0,1,2,3,4,5,6,7,8,9},$E40&amp;"0123456789")),LEN($E40)*2-LENB($E40)))</f>
        <v>#VALUE!</v>
      </c>
      <c r="V40" s="33" t="str">
        <f t="shared" si="1"/>
        <v>今日累计伤害达到 [00821c]4070[-] 万</v>
      </c>
    </row>
    <row r="41" spans="1:22" s="33" customFormat="1" ht="16.5">
      <c r="A41" s="28">
        <v>10038</v>
      </c>
      <c r="B41" s="28">
        <v>91102</v>
      </c>
      <c r="C41" s="29">
        <v>0</v>
      </c>
      <c r="D41" s="30">
        <v>15</v>
      </c>
      <c r="E41" s="31" t="s">
        <v>556</v>
      </c>
      <c r="F41" s="32" t="s">
        <v>556</v>
      </c>
      <c r="G41" s="32" t="s">
        <v>8</v>
      </c>
      <c r="H41" s="32">
        <v>2</v>
      </c>
      <c r="I41" s="30" t="s">
        <v>186</v>
      </c>
      <c r="J41" s="38">
        <v>68508</v>
      </c>
      <c r="K41" s="33">
        <v>40</v>
      </c>
      <c r="L41" s="33" t="str">
        <f>"1|"&amp;INDEX([1]梦魇入侵!$E$28:$Q$78,MATCH($M41,[1]梦魇入侵!$D$28:$D$78,0),MATCH($K41,[1]梦魇入侵!$E$28:$Q$28,0))</f>
        <v>1|134400000</v>
      </c>
      <c r="M41" s="43">
        <v>14</v>
      </c>
      <c r="N41" s="33" t="str">
        <f t="shared" si="0"/>
        <v>今日累计伤害达到13440万</v>
      </c>
      <c r="O41"/>
      <c r="U41" s="33" t="e">
        <f>INT(MID($E41,MIN(FIND({0,1,2,3,4,5,6,7,8,9},$E41&amp;"0123456789")),LEN($E41)*2-LENB($E41)))</f>
        <v>#VALUE!</v>
      </c>
      <c r="V41" s="33" t="str">
        <f t="shared" si="1"/>
        <v>今日累计伤害达到 [00821c]5180[-] 万</v>
      </c>
    </row>
    <row r="42" spans="1:22" s="33" customFormat="1" ht="16.5">
      <c r="A42" s="28">
        <v>10039</v>
      </c>
      <c r="B42" s="28">
        <v>91102</v>
      </c>
      <c r="C42" s="29">
        <v>0</v>
      </c>
      <c r="D42" s="30">
        <v>17</v>
      </c>
      <c r="E42" s="31" t="s">
        <v>557</v>
      </c>
      <c r="F42" s="32" t="s">
        <v>557</v>
      </c>
      <c r="G42" s="32" t="s">
        <v>33</v>
      </c>
      <c r="H42" s="32">
        <v>2</v>
      </c>
      <c r="I42" s="30" t="s">
        <v>187</v>
      </c>
      <c r="J42" s="38">
        <v>68509</v>
      </c>
      <c r="K42" s="33">
        <v>40</v>
      </c>
      <c r="L42" s="33" t="str">
        <f>"1|"&amp;INDEX([1]梦魇入侵!$E$28:$Q$78,MATCH($M42,[1]梦魇入侵!$D$28:$D$78,0),MATCH($K42,[1]梦魇入侵!$E$28:$Q$28,0))</f>
        <v>1|153600000</v>
      </c>
      <c r="M42" s="43">
        <v>16</v>
      </c>
      <c r="N42" s="33" t="str">
        <f t="shared" si="0"/>
        <v>今日累计伤害达到15360万</v>
      </c>
      <c r="O42"/>
      <c r="U42" s="33" t="e">
        <f>INT(MID($E42,MIN(FIND({0,1,2,3,4,5,6,7,8,9},$E42&amp;"0123456789")),LEN($E42)*2-LENB($E42)))</f>
        <v>#VALUE!</v>
      </c>
      <c r="V42" s="33" t="str">
        <f t="shared" si="1"/>
        <v>今日累计伤害达到 [00821c]5920[-] 万</v>
      </c>
    </row>
    <row r="43" spans="1:22" s="33" customFormat="1" ht="16.5">
      <c r="A43" s="28">
        <v>10040</v>
      </c>
      <c r="B43" s="28">
        <v>91102</v>
      </c>
      <c r="C43" s="29">
        <v>0</v>
      </c>
      <c r="D43" s="30">
        <v>19</v>
      </c>
      <c r="E43" s="31" t="s">
        <v>558</v>
      </c>
      <c r="F43" s="32" t="s">
        <v>558</v>
      </c>
      <c r="G43" s="32" t="s">
        <v>10</v>
      </c>
      <c r="H43" s="32">
        <v>2</v>
      </c>
      <c r="I43" s="30" t="s">
        <v>188</v>
      </c>
      <c r="J43" s="38">
        <v>68510</v>
      </c>
      <c r="K43" s="33">
        <v>40</v>
      </c>
      <c r="L43" s="33" t="str">
        <f>"1|"&amp;INDEX([1]梦魇入侵!$E$28:$Q$78,MATCH($M43,[1]梦魇入侵!$D$28:$D$78,0),MATCH($K43,[1]梦魇入侵!$E$28:$Q$28,0))</f>
        <v>1|182300000</v>
      </c>
      <c r="M43" s="43">
        <v>19</v>
      </c>
      <c r="N43" s="33" t="str">
        <f t="shared" si="0"/>
        <v>今日累计伤害达到18230万</v>
      </c>
      <c r="O43"/>
      <c r="U43" s="33" t="e">
        <f>INT(MID($E43,MIN(FIND({0,1,2,3,4,5,6,7,8,9},$E43&amp;"0123456789")),LEN($E43)*2-LENB($E43)))</f>
        <v>#VALUE!</v>
      </c>
      <c r="V43" s="33" t="str">
        <f t="shared" si="1"/>
        <v>今日累计伤害达到 [00821c]7040[-] 万</v>
      </c>
    </row>
    <row r="44" spans="1:22" s="33" customFormat="1" ht="16.5">
      <c r="A44" s="28">
        <v>10041</v>
      </c>
      <c r="B44" s="28">
        <v>91102</v>
      </c>
      <c r="C44" s="29">
        <v>0</v>
      </c>
      <c r="D44" s="30">
        <v>21</v>
      </c>
      <c r="E44" s="31" t="s">
        <v>559</v>
      </c>
      <c r="F44" s="32" t="s">
        <v>559</v>
      </c>
      <c r="G44" s="32" t="s">
        <v>34</v>
      </c>
      <c r="H44" s="32">
        <v>2</v>
      </c>
      <c r="I44" s="30" t="s">
        <v>189</v>
      </c>
      <c r="J44" s="38">
        <v>68511</v>
      </c>
      <c r="K44" s="33">
        <v>40</v>
      </c>
      <c r="L44" s="33" t="str">
        <f>"1|"&amp;INDEX([1]梦魇入侵!$E$28:$Q$78,MATCH($M44,[1]梦魇入侵!$D$28:$D$78,0),MATCH($K44,[1]梦魇入侵!$E$28:$Q$28,0))</f>
        <v>1|201500000</v>
      </c>
      <c r="M44" s="43">
        <v>21</v>
      </c>
      <c r="N44" s="33" t="str">
        <f t="shared" si="0"/>
        <v>今日累计伤害达到20150万</v>
      </c>
      <c r="O44"/>
      <c r="U44" s="33" t="e">
        <f>INT(MID($E44,MIN(FIND({0,1,2,3,4,5,6,7,8,9},$E44&amp;"0123456789")),LEN($E44)*2-LENB($E44)))</f>
        <v>#VALUE!</v>
      </c>
      <c r="V44" s="33" t="str">
        <f t="shared" si="1"/>
        <v>今日累计伤害达到 [00821c]7780[-] 万</v>
      </c>
    </row>
    <row r="45" spans="1:22" s="33" customFormat="1" ht="16.5">
      <c r="A45" s="28">
        <v>10042</v>
      </c>
      <c r="B45" s="28">
        <v>91102</v>
      </c>
      <c r="C45" s="29">
        <v>0</v>
      </c>
      <c r="D45" s="30">
        <v>23</v>
      </c>
      <c r="E45" s="31" t="s">
        <v>560</v>
      </c>
      <c r="F45" s="32" t="s">
        <v>560</v>
      </c>
      <c r="G45" s="32" t="s">
        <v>19</v>
      </c>
      <c r="H45" s="32">
        <v>3</v>
      </c>
      <c r="I45" s="30" t="s">
        <v>190</v>
      </c>
      <c r="J45" s="38">
        <v>68512</v>
      </c>
      <c r="K45" s="33">
        <v>40</v>
      </c>
      <c r="L45" s="33" t="str">
        <f>"1|"&amp;INDEX([1]梦魇入侵!$E$28:$Q$78,MATCH($M45,[1]梦魇入侵!$D$28:$D$78,0),MATCH($K45,[1]梦魇入侵!$E$28:$Q$28,0))</f>
        <v>1|230300000</v>
      </c>
      <c r="M45" s="43">
        <v>24</v>
      </c>
      <c r="N45" s="33" t="str">
        <f t="shared" si="0"/>
        <v>今日累计伤害达到23030万</v>
      </c>
      <c r="O45"/>
      <c r="U45" s="33" t="e">
        <f>INT(MID($E45,MIN(FIND({0,1,2,3,4,5,6,7,8,9},$E45&amp;"0123456789")),LEN($E45)*2-LENB($E45)))</f>
        <v>#VALUE!</v>
      </c>
      <c r="V45" s="33" t="str">
        <f t="shared" si="1"/>
        <v>今日累计伤害达到 [00821c]8890[-] 万</v>
      </c>
    </row>
    <row r="46" spans="1:22" s="33" customFormat="1" ht="16.5">
      <c r="A46" s="28">
        <v>10043</v>
      </c>
      <c r="B46" s="28">
        <v>91102</v>
      </c>
      <c r="C46" s="29">
        <v>0</v>
      </c>
      <c r="D46" s="30">
        <v>25</v>
      </c>
      <c r="E46" s="31" t="s">
        <v>533</v>
      </c>
      <c r="F46" s="32" t="s">
        <v>533</v>
      </c>
      <c r="G46" s="32" t="s">
        <v>35</v>
      </c>
      <c r="H46" s="32">
        <v>3</v>
      </c>
      <c r="I46" s="30" t="s">
        <v>115</v>
      </c>
      <c r="J46" s="38">
        <v>68513</v>
      </c>
      <c r="K46" s="33">
        <v>40</v>
      </c>
      <c r="L46" s="33" t="str">
        <f>"1|"&amp;INDEX([1]梦魇入侵!$E$28:$Q$78,MATCH($M46,[1]梦魇入侵!$D$28:$D$78,0),MATCH($K46,[1]梦魇入侵!$E$28:$Q$28,0))</f>
        <v>1|249500000</v>
      </c>
      <c r="M46" s="43">
        <v>26</v>
      </c>
      <c r="N46" s="33" t="str">
        <f t="shared" si="0"/>
        <v>今日累计伤害达到24950万</v>
      </c>
      <c r="O46"/>
      <c r="U46" s="33" t="e">
        <f>INT(MID($E46,MIN(FIND({0,1,2,3,4,5,6,7,8,9},$E46&amp;"0123456789")),LEN($E46)*2-LENB($E46)))</f>
        <v>#VALUE!</v>
      </c>
      <c r="V46" s="33" t="str">
        <f t="shared" si="1"/>
        <v>今日累计伤害达到 [00821c]9630[-] 万</v>
      </c>
    </row>
    <row r="47" spans="1:22" s="33" customFormat="1" ht="16.5">
      <c r="A47" s="28">
        <v>10044</v>
      </c>
      <c r="B47" s="28">
        <v>91102</v>
      </c>
      <c r="C47" s="29">
        <v>0</v>
      </c>
      <c r="D47" s="30">
        <v>27</v>
      </c>
      <c r="E47" s="31" t="s">
        <v>561</v>
      </c>
      <c r="F47" s="32" t="s">
        <v>561</v>
      </c>
      <c r="G47" s="32" t="s">
        <v>11</v>
      </c>
      <c r="H47" s="32">
        <v>3</v>
      </c>
      <c r="I47" s="30" t="s">
        <v>191</v>
      </c>
      <c r="J47" s="38">
        <v>68514</v>
      </c>
      <c r="K47" s="33">
        <v>40</v>
      </c>
      <c r="L47" s="33" t="str">
        <f>"1|"&amp;INDEX([1]梦魇入侵!$E$28:$Q$78,MATCH($M47,[1]梦魇入侵!$D$28:$D$78,0),MATCH($K47,[1]梦魇入侵!$E$28:$Q$28,0))</f>
        <v>1|278300000</v>
      </c>
      <c r="M47" s="43">
        <v>29</v>
      </c>
      <c r="N47" s="33" t="str">
        <f t="shared" si="0"/>
        <v>今日累计伤害达到27830万</v>
      </c>
      <c r="O47"/>
      <c r="U47" s="33" t="e">
        <f>INT(MID($E47,MIN(FIND({0,1,2,3,4,5,6,7,8,9},$E47&amp;"0123456789")),LEN($E47)*2-LENB($E47)))</f>
        <v>#VALUE!</v>
      </c>
      <c r="V47" s="33" t="str">
        <f t="shared" si="1"/>
        <v>今日累计伤害达到 [00821c]10740[-] 万</v>
      </c>
    </row>
    <row r="48" spans="1:22" s="33" customFormat="1" ht="16.5">
      <c r="A48" s="28">
        <v>10045</v>
      </c>
      <c r="B48" s="28">
        <v>91102</v>
      </c>
      <c r="C48" s="29">
        <v>0</v>
      </c>
      <c r="D48" s="30">
        <v>29</v>
      </c>
      <c r="E48" s="31" t="s">
        <v>562</v>
      </c>
      <c r="F48" s="32" t="s">
        <v>562</v>
      </c>
      <c r="G48" s="32" t="s">
        <v>8</v>
      </c>
      <c r="H48" s="32">
        <v>3</v>
      </c>
      <c r="I48" s="30" t="s">
        <v>123</v>
      </c>
      <c r="J48" s="38">
        <v>68515</v>
      </c>
      <c r="K48" s="33">
        <v>40</v>
      </c>
      <c r="L48" s="33" t="str">
        <f>"1|"&amp;INDEX([1]梦魇入侵!$E$28:$Q$78,MATCH($M48,[1]梦魇入侵!$D$28:$D$78,0),MATCH($K48,[1]梦魇入侵!$E$28:$Q$28,0))</f>
        <v>1|326300000</v>
      </c>
      <c r="M48" s="43">
        <v>34</v>
      </c>
      <c r="N48" s="33" t="str">
        <f t="shared" si="0"/>
        <v>今日累计伤害达到32630万</v>
      </c>
      <c r="O48"/>
      <c r="U48" s="33" t="e">
        <f>INT(MID($E48,MIN(FIND({0,1,2,3,4,5,6,7,8,9},$E48&amp;"0123456789")),LEN($E48)*2-LENB($E48)))</f>
        <v>#VALUE!</v>
      </c>
      <c r="V48" s="33" t="str">
        <f t="shared" si="1"/>
        <v>今日累计伤害达到 [00821c]12590[-] 万</v>
      </c>
    </row>
    <row r="49" spans="1:22" s="33" customFormat="1" ht="16.5">
      <c r="A49" s="28">
        <v>10046</v>
      </c>
      <c r="B49" s="28">
        <v>91102</v>
      </c>
      <c r="C49" s="29">
        <v>0</v>
      </c>
      <c r="D49" s="30">
        <v>31</v>
      </c>
      <c r="E49" s="31" t="s">
        <v>563</v>
      </c>
      <c r="F49" s="32" t="s">
        <v>563</v>
      </c>
      <c r="G49" s="32" t="s">
        <v>33</v>
      </c>
      <c r="H49" s="32">
        <v>3</v>
      </c>
      <c r="I49" s="30" t="s">
        <v>192</v>
      </c>
      <c r="J49" s="38">
        <v>68516</v>
      </c>
      <c r="K49" s="33">
        <v>40</v>
      </c>
      <c r="L49" s="33" t="str">
        <f>"1|"&amp;INDEX([1]梦魇入侵!$E$28:$Q$78,MATCH($M49,[1]梦魇入侵!$D$28:$D$78,0),MATCH($K49,[1]梦魇入侵!$E$28:$Q$28,0))</f>
        <v>1|374300000</v>
      </c>
      <c r="M49" s="43">
        <v>39</v>
      </c>
      <c r="N49" s="33" t="str">
        <f t="shared" si="0"/>
        <v>今日累计伤害达到37430万</v>
      </c>
      <c r="O49"/>
      <c r="U49" s="33" t="e">
        <f>INT(MID($E49,MIN(FIND({0,1,2,3,4,5,6,7,8,9},$E49&amp;"0123456789")),LEN($E49)*2-LENB($E49)))</f>
        <v>#VALUE!</v>
      </c>
      <c r="V49" s="33" t="str">
        <f t="shared" si="1"/>
        <v>今日累计伤害达到 [00821c]14440[-] 万</v>
      </c>
    </row>
    <row r="50" spans="1:22" s="33" customFormat="1" ht="16.5">
      <c r="A50" s="28">
        <v>10047</v>
      </c>
      <c r="B50" s="28">
        <v>91102</v>
      </c>
      <c r="C50" s="29">
        <v>0</v>
      </c>
      <c r="D50" s="30">
        <v>33</v>
      </c>
      <c r="E50" s="31" t="s">
        <v>564</v>
      </c>
      <c r="F50" s="32" t="s">
        <v>564</v>
      </c>
      <c r="G50" s="32" t="s">
        <v>10</v>
      </c>
      <c r="H50" s="32">
        <v>3</v>
      </c>
      <c r="I50" s="30" t="s">
        <v>193</v>
      </c>
      <c r="J50" s="38">
        <v>68517</v>
      </c>
      <c r="K50" s="33">
        <v>40</v>
      </c>
      <c r="L50" s="33" t="str">
        <f>"1|"&amp;INDEX([1]梦魇入侵!$E$28:$Q$78,MATCH($M50,[1]梦魇入侵!$D$28:$D$78,0),MATCH($K50,[1]梦魇入侵!$E$28:$Q$28,0))</f>
        <v>1|422300000</v>
      </c>
      <c r="M50" s="43">
        <v>44</v>
      </c>
      <c r="N50" s="33" t="str">
        <f t="shared" si="0"/>
        <v>今日累计伤害达到42230万</v>
      </c>
      <c r="O50"/>
      <c r="U50" s="33" t="e">
        <f>INT(MID($E50,MIN(FIND({0,1,2,3,4,5,6,7,8,9},$E50&amp;"0123456789")),LEN($E50)*2-LENB($E50)))</f>
        <v>#VALUE!</v>
      </c>
      <c r="V50" s="33" t="str">
        <f t="shared" si="1"/>
        <v>今日累计伤害达到 [00821c]16290[-] 万</v>
      </c>
    </row>
    <row r="51" spans="1:22" s="33" customFormat="1" ht="16.5">
      <c r="A51" s="28">
        <v>10048</v>
      </c>
      <c r="B51" s="28">
        <v>91102</v>
      </c>
      <c r="C51" s="29">
        <v>0</v>
      </c>
      <c r="D51" s="30">
        <v>35</v>
      </c>
      <c r="E51" s="31" t="s">
        <v>565</v>
      </c>
      <c r="F51" s="32" t="s">
        <v>565</v>
      </c>
      <c r="G51" s="32" t="s">
        <v>34</v>
      </c>
      <c r="H51" s="32">
        <v>4</v>
      </c>
      <c r="I51" s="30" t="s">
        <v>194</v>
      </c>
      <c r="J51" s="38">
        <v>68518</v>
      </c>
      <c r="K51" s="33">
        <v>40</v>
      </c>
      <c r="L51" s="33" t="str">
        <f>"1|"&amp;INDEX([1]梦魇入侵!$E$28:$Q$78,MATCH($M51,[1]梦魇入侵!$D$28:$D$78,0),MATCH($K51,[1]梦魇入侵!$E$28:$Q$28,0))</f>
        <v>1|470300000</v>
      </c>
      <c r="M51" s="43">
        <v>49</v>
      </c>
      <c r="N51" s="33" t="str">
        <f t="shared" si="0"/>
        <v>今日累计伤害达到47030万</v>
      </c>
      <c r="O51"/>
      <c r="U51" s="33" t="e">
        <f>INT(MID($E51,MIN(FIND({0,1,2,3,4,5,6,7,8,9},$E51&amp;"0123456789")),LEN($E51)*2-LENB($E51)))</f>
        <v>#VALUE!</v>
      </c>
      <c r="V51" s="33" t="str">
        <f t="shared" si="1"/>
        <v>今日累计伤害达到 [00821c]18140[-] 万</v>
      </c>
    </row>
    <row r="52" spans="1:22" s="33" customFormat="1" ht="16.5">
      <c r="A52" s="28">
        <v>10049</v>
      </c>
      <c r="B52" s="28">
        <v>91102</v>
      </c>
      <c r="C52" s="29">
        <v>0</v>
      </c>
      <c r="D52" s="30">
        <v>37</v>
      </c>
      <c r="E52" s="31" t="s">
        <v>566</v>
      </c>
      <c r="F52" s="32" t="s">
        <v>566</v>
      </c>
      <c r="G52" s="32" t="s">
        <v>19</v>
      </c>
      <c r="H52" s="32">
        <v>4</v>
      </c>
      <c r="I52" s="30" t="s">
        <v>195</v>
      </c>
      <c r="J52" s="38">
        <v>68519</v>
      </c>
      <c r="K52" s="33">
        <v>40</v>
      </c>
      <c r="L52" s="33" t="str">
        <f>"1|"&amp;INDEX([1]梦魇入侵!$E$28:$Q$78,MATCH($M52,[1]梦魇入侵!$D$28:$D$78,0),MATCH($K52,[1]梦魇入侵!$E$28:$Q$28,0))</f>
        <v>1|527800000</v>
      </c>
      <c r="M52" s="43">
        <v>55</v>
      </c>
      <c r="N52" s="33" t="str">
        <f t="shared" si="0"/>
        <v>今日累计伤害达到52780万</v>
      </c>
      <c r="O52"/>
      <c r="U52" s="33" t="e">
        <f>INT(MID($E52,MIN(FIND({0,1,2,3,4,5,6,7,8,9},$E52&amp;"0123456789")),LEN($E52)*2-LENB($E52)))</f>
        <v>#VALUE!</v>
      </c>
      <c r="V52" s="33" t="str">
        <f t="shared" si="1"/>
        <v>今日累计伤害达到 [00821c]20370[-] 万</v>
      </c>
    </row>
    <row r="53" spans="1:22" s="33" customFormat="1" ht="16.5">
      <c r="A53" s="28">
        <v>10050</v>
      </c>
      <c r="B53" s="28">
        <v>91102</v>
      </c>
      <c r="C53" s="29">
        <v>0</v>
      </c>
      <c r="D53" s="30">
        <v>39</v>
      </c>
      <c r="E53" s="31" t="s">
        <v>567</v>
      </c>
      <c r="F53" s="32" t="s">
        <v>567</v>
      </c>
      <c r="G53" s="32" t="s">
        <v>35</v>
      </c>
      <c r="H53" s="32">
        <v>4</v>
      </c>
      <c r="I53" s="30" t="s">
        <v>196</v>
      </c>
      <c r="J53" s="38">
        <v>68520</v>
      </c>
      <c r="K53" s="33">
        <v>40</v>
      </c>
      <c r="L53" s="33" t="str">
        <f>"1|"&amp;INDEX([1]梦魇入侵!$E$28:$Q$78,MATCH($M53,[1]梦魇入侵!$D$28:$D$78,0),MATCH($K53,[1]梦魇入侵!$E$28:$Q$28,0))</f>
        <v>1|575800000</v>
      </c>
      <c r="M53" s="43">
        <v>60</v>
      </c>
      <c r="N53" s="33" t="str">
        <f t="shared" si="0"/>
        <v>今日累计伤害达到57580万</v>
      </c>
      <c r="O53"/>
      <c r="U53" s="33" t="e">
        <f>INT(MID($E53,MIN(FIND({0,1,2,3,4,5,6,7,8,9},$E53&amp;"0123456789")),LEN($E53)*2-LENB($E53)))</f>
        <v>#VALUE!</v>
      </c>
      <c r="V53" s="33" t="str">
        <f t="shared" si="1"/>
        <v>今日累计伤害达到 [00821c]22220[-] 万</v>
      </c>
    </row>
    <row r="54" spans="1:22" s="33" customFormat="1" ht="16.5">
      <c r="A54" s="28">
        <v>10051</v>
      </c>
      <c r="B54" s="28">
        <v>91102</v>
      </c>
      <c r="C54" s="29">
        <v>0</v>
      </c>
      <c r="D54" s="30">
        <v>41</v>
      </c>
      <c r="E54" s="31" t="s">
        <v>568</v>
      </c>
      <c r="F54" s="32" t="s">
        <v>568</v>
      </c>
      <c r="G54" s="32" t="s">
        <v>34</v>
      </c>
      <c r="H54" s="32">
        <v>4</v>
      </c>
      <c r="I54" s="30" t="s">
        <v>197</v>
      </c>
      <c r="J54" s="38">
        <v>68521</v>
      </c>
      <c r="K54" s="33">
        <v>40</v>
      </c>
      <c r="L54" s="33" t="str">
        <f>"1|"&amp;INDEX([1]梦魇入侵!$E$28:$Q$78,MATCH($M54,[1]梦魇入侵!$D$28:$D$78,0),MATCH($K54,[1]梦魇入侵!$E$28:$Q$28,0))</f>
        <v>1|623800000</v>
      </c>
      <c r="M54" s="43">
        <v>65</v>
      </c>
      <c r="N54" s="33" t="str">
        <f t="shared" si="0"/>
        <v>今日累计伤害达到62380万</v>
      </c>
      <c r="O54"/>
      <c r="U54" s="33" t="e">
        <f>INT(MID($E54,MIN(FIND({0,1,2,3,4,5,6,7,8,9},$E54&amp;"0123456789")),LEN($E54)*2-LENB($E54)))</f>
        <v>#VALUE!</v>
      </c>
      <c r="V54" s="33" t="str">
        <f t="shared" si="1"/>
        <v>今日累计伤害达到 [00821c]24070[-] 万</v>
      </c>
    </row>
    <row r="55" spans="1:22" s="33" customFormat="1" ht="16.5">
      <c r="A55" s="28">
        <v>10052</v>
      </c>
      <c r="B55" s="28">
        <v>91102</v>
      </c>
      <c r="C55" s="29">
        <v>0</v>
      </c>
      <c r="D55" s="30">
        <v>43</v>
      </c>
      <c r="E55" s="31" t="s">
        <v>569</v>
      </c>
      <c r="F55" s="32" t="s">
        <v>569</v>
      </c>
      <c r="G55" s="32" t="s">
        <v>19</v>
      </c>
      <c r="H55" s="32">
        <v>4</v>
      </c>
      <c r="I55" s="30" t="s">
        <v>198</v>
      </c>
      <c r="J55" s="38">
        <v>68522</v>
      </c>
      <c r="K55" s="33">
        <v>40</v>
      </c>
      <c r="L55" s="33" t="str">
        <f>"1|"&amp;INDEX([1]梦魇入侵!$E$28:$Q$78,MATCH($M55,[1]梦魇入侵!$D$28:$D$78,0),MATCH($K55,[1]梦魇入侵!$E$28:$Q$28,0))</f>
        <v>1|671800000</v>
      </c>
      <c r="M55" s="43">
        <v>70</v>
      </c>
      <c r="N55" s="33" t="str">
        <f t="shared" si="0"/>
        <v>今日累计伤害达到67180万</v>
      </c>
      <c r="O55"/>
      <c r="U55" s="33" t="e">
        <f>INT(MID($E55,MIN(FIND({0,1,2,3,4,5,6,7,8,9},$E55&amp;"0123456789")),LEN($E55)*2-LENB($E55)))</f>
        <v>#VALUE!</v>
      </c>
      <c r="V55" s="33" t="str">
        <f t="shared" si="1"/>
        <v>今日累计伤害达到 [00821c]25920[-] 万</v>
      </c>
    </row>
    <row r="56" spans="1:22" s="33" customFormat="1" ht="16.5">
      <c r="A56" s="28">
        <v>10053</v>
      </c>
      <c r="B56" s="28">
        <v>91102</v>
      </c>
      <c r="C56" s="29">
        <v>0</v>
      </c>
      <c r="D56" s="30">
        <v>45</v>
      </c>
      <c r="E56" s="31" t="s">
        <v>570</v>
      </c>
      <c r="F56" s="32" t="s">
        <v>570</v>
      </c>
      <c r="G56" s="32" t="s">
        <v>35</v>
      </c>
      <c r="H56" s="32">
        <v>4</v>
      </c>
      <c r="I56" s="30" t="s">
        <v>199</v>
      </c>
      <c r="J56" s="38">
        <v>68523</v>
      </c>
      <c r="K56" s="33">
        <v>40</v>
      </c>
      <c r="L56" s="33" t="str">
        <f>"1|"&amp;INDEX([1]梦魇入侵!$E$28:$Q$78,MATCH($M56,[1]梦魇入侵!$D$28:$D$78,0),MATCH($K56,[1]梦魇入侵!$E$28:$Q$28,0))</f>
        <v>1|719800000</v>
      </c>
      <c r="M56" s="43">
        <v>75</v>
      </c>
      <c r="N56" s="33" t="str">
        <f t="shared" si="0"/>
        <v>今日累计伤害达到71980万</v>
      </c>
      <c r="O56"/>
      <c r="U56" s="33" t="e">
        <f>INT(MID($E56,MIN(FIND({0,1,2,3,4,5,6,7,8,9},$E56&amp;"0123456789")),LEN($E56)*2-LENB($E56)))</f>
        <v>#VALUE!</v>
      </c>
      <c r="V56" s="33" t="str">
        <f t="shared" si="1"/>
        <v>今日累计伤害达到 [00821c]27770[-] 万</v>
      </c>
    </row>
    <row r="57" spans="1:22" s="33" customFormat="1" ht="16.5">
      <c r="A57" s="28">
        <v>10054</v>
      </c>
      <c r="B57" s="28">
        <v>91102</v>
      </c>
      <c r="C57" s="29">
        <v>0</v>
      </c>
      <c r="D57" s="30">
        <v>47</v>
      </c>
      <c r="E57" s="31" t="s">
        <v>571</v>
      </c>
      <c r="F57" s="32" t="s">
        <v>571</v>
      </c>
      <c r="G57" s="32" t="s">
        <v>11</v>
      </c>
      <c r="H57" s="32">
        <v>4</v>
      </c>
      <c r="I57" s="30" t="s">
        <v>200</v>
      </c>
      <c r="J57" s="38">
        <v>68524</v>
      </c>
      <c r="K57" s="33">
        <v>40</v>
      </c>
      <c r="L57" s="33" t="str">
        <f>"1|"&amp;INDEX([1]梦魇入侵!$E$28:$Q$78,MATCH($M57,[1]梦魇入侵!$D$28:$D$78,0),MATCH($K57,[1]梦魇入侵!$E$28:$Q$28,0))</f>
        <v>1|863700000</v>
      </c>
      <c r="M57" s="43">
        <v>90</v>
      </c>
      <c r="N57" s="33" t="str">
        <f t="shared" si="0"/>
        <v>今日累计伤害达到86370万</v>
      </c>
      <c r="O57"/>
      <c r="U57" s="33" t="e">
        <f>INT(MID($E57,MIN(FIND({0,1,2,3,4,5,6,7,8,9},$E57&amp;"0123456789")),LEN($E57)*2-LENB($E57)))</f>
        <v>#VALUE!</v>
      </c>
      <c r="V57" s="33" t="str">
        <f t="shared" si="1"/>
        <v>今日累计伤害达到 [00821c]33330[-] 万</v>
      </c>
    </row>
    <row r="58" spans="1:22" s="33" customFormat="1" ht="16.5">
      <c r="A58" s="28">
        <v>10055</v>
      </c>
      <c r="B58" s="28">
        <v>91102</v>
      </c>
      <c r="C58" s="29">
        <v>0</v>
      </c>
      <c r="D58" s="30">
        <v>49</v>
      </c>
      <c r="E58" s="31" t="s">
        <v>572</v>
      </c>
      <c r="F58" s="32" t="s">
        <v>572</v>
      </c>
      <c r="G58" s="32" t="s">
        <v>8</v>
      </c>
      <c r="H58" s="32">
        <v>4</v>
      </c>
      <c r="I58" s="30" t="s">
        <v>201</v>
      </c>
      <c r="J58" s="38">
        <v>68525</v>
      </c>
      <c r="K58" s="33">
        <v>40</v>
      </c>
      <c r="L58" s="33" t="str">
        <f>"1|"&amp;INDEX([1]梦魇入侵!$E$28:$Q$78,MATCH($M58,[1]梦魇入侵!$D$28:$D$78,0),MATCH($K58,[1]梦魇入侵!$E$28:$Q$28,0))</f>
        <v>1|921300000</v>
      </c>
      <c r="M58" s="43">
        <v>96</v>
      </c>
      <c r="N58" s="33" t="str">
        <f t="shared" si="0"/>
        <v>今日累计伤害达到92130万</v>
      </c>
      <c r="O58"/>
      <c r="U58" s="33" t="e">
        <f>INT(MID($E58,MIN(FIND({0,1,2,3,4,5,6,7,8,9},$E58&amp;"0123456789")),LEN($E58)*2-LENB($E58)))</f>
        <v>#VALUE!</v>
      </c>
      <c r="V58" s="33" t="str">
        <f t="shared" si="1"/>
        <v>今日累计伤害达到 [00821c]35550[-] 万</v>
      </c>
    </row>
    <row r="59" spans="1:22" s="33" customFormat="1" ht="16.5">
      <c r="A59" s="28">
        <v>10056</v>
      </c>
      <c r="B59" s="28">
        <v>91102</v>
      </c>
      <c r="C59" s="29">
        <v>0</v>
      </c>
      <c r="D59" s="30">
        <v>51</v>
      </c>
      <c r="E59" s="31" t="s">
        <v>573</v>
      </c>
      <c r="F59" s="32" t="s">
        <v>573</v>
      </c>
      <c r="G59" s="32" t="s">
        <v>33</v>
      </c>
      <c r="H59" s="32">
        <v>4</v>
      </c>
      <c r="I59" s="30" t="s">
        <v>202</v>
      </c>
      <c r="J59" s="38">
        <v>68526</v>
      </c>
      <c r="K59" s="33">
        <v>40</v>
      </c>
      <c r="L59" s="33" t="str">
        <f>"1|"&amp;INDEX([1]梦魇入侵!$E$28:$Q$78,MATCH($M59,[1]梦魇入侵!$D$28:$D$78,0),MATCH($K59,[1]梦魇入侵!$E$28:$Q$28,0))</f>
        <v>1|969300000</v>
      </c>
      <c r="M59" s="43">
        <v>101</v>
      </c>
      <c r="N59" s="33" t="str">
        <f t="shared" si="0"/>
        <v>今日累计伤害达到96930万</v>
      </c>
      <c r="O59"/>
      <c r="U59" s="33" t="e">
        <f>INT(MID($E59,MIN(FIND({0,1,2,3,4,5,6,7,8,9},$E59&amp;"0123456789")),LEN($E59)*2-LENB($E59)))</f>
        <v>#VALUE!</v>
      </c>
      <c r="V59" s="33" t="str">
        <f t="shared" si="1"/>
        <v>今日累计伤害达到 [00821c]37400[-] 万</v>
      </c>
    </row>
    <row r="60" spans="1:22" s="33" customFormat="1" ht="16.5">
      <c r="A60" s="28">
        <v>10057</v>
      </c>
      <c r="B60" s="28">
        <v>91102</v>
      </c>
      <c r="C60" s="29">
        <v>0</v>
      </c>
      <c r="D60" s="30">
        <v>53</v>
      </c>
      <c r="E60" s="31" t="s">
        <v>574</v>
      </c>
      <c r="F60" s="32" t="s">
        <v>574</v>
      </c>
      <c r="G60" s="32" t="s">
        <v>10</v>
      </c>
      <c r="H60" s="32">
        <v>4</v>
      </c>
      <c r="I60" s="30" t="s">
        <v>203</v>
      </c>
      <c r="J60" s="38">
        <v>68527</v>
      </c>
      <c r="K60" s="33">
        <v>40</v>
      </c>
      <c r="L60" s="33" t="str">
        <f>"1|"&amp;INDEX([1]梦魇入侵!$E$28:$Q$78,MATCH($M60,[1]梦魇入侵!$D$28:$D$78,0),MATCH($K60,[1]梦魇入侵!$E$28:$Q$28,0))</f>
        <v>1|1017300000</v>
      </c>
      <c r="M60" s="43">
        <v>106</v>
      </c>
      <c r="N60" s="33" t="str">
        <f t="shared" si="0"/>
        <v>今日累计伤害达到101730万</v>
      </c>
      <c r="O60"/>
      <c r="U60" s="33" t="e">
        <f>INT(MID($E60,MIN(FIND({0,1,2,3,4,5,6,7,8,9},$E60&amp;"0123456789")),LEN($E60)*2-LENB($E60)))</f>
        <v>#VALUE!</v>
      </c>
      <c r="V60" s="33" t="str">
        <f t="shared" si="1"/>
        <v>今日累计伤害达到 [00821c]39250[-] 万</v>
      </c>
    </row>
    <row r="61" spans="1:22" s="33" customFormat="1" ht="16.5">
      <c r="A61" s="28">
        <v>10058</v>
      </c>
      <c r="B61" s="28">
        <v>91102</v>
      </c>
      <c r="C61" s="29">
        <v>0</v>
      </c>
      <c r="D61" s="30">
        <v>55</v>
      </c>
      <c r="E61" s="31" t="s">
        <v>575</v>
      </c>
      <c r="F61" s="32" t="s">
        <v>575</v>
      </c>
      <c r="G61" s="32" t="s">
        <v>34</v>
      </c>
      <c r="H61" s="32">
        <v>4</v>
      </c>
      <c r="I61" s="30" t="s">
        <v>125</v>
      </c>
      <c r="J61" s="38">
        <v>68528</v>
      </c>
      <c r="K61" s="33">
        <v>40</v>
      </c>
      <c r="L61" s="33" t="str">
        <f>"1|"&amp;INDEX([1]梦魇入侵!$E$28:$Q$78,MATCH($M61,[1]梦魇入侵!$D$28:$D$78,0),MATCH($K61,[1]梦魇入侵!$E$28:$Q$28,0))</f>
        <v>1|1065300000</v>
      </c>
      <c r="M61" s="43">
        <v>111</v>
      </c>
      <c r="N61" s="33" t="str">
        <f t="shared" si="0"/>
        <v>今日累计伤害达到106530万</v>
      </c>
      <c r="O61"/>
      <c r="U61" s="33" t="e">
        <f>INT(MID($E61,MIN(FIND({0,1,2,3,4,5,6,7,8,9},$E61&amp;"0123456789")),LEN($E61)*2-LENB($E61)))</f>
        <v>#VALUE!</v>
      </c>
      <c r="V61" s="33" t="str">
        <f t="shared" si="1"/>
        <v>今日累计伤害达到 [00821c]41100[-] 万</v>
      </c>
    </row>
    <row r="62" spans="1:22" s="33" customFormat="1" ht="16.5">
      <c r="A62" s="28">
        <v>10059</v>
      </c>
      <c r="B62" s="28">
        <v>91102</v>
      </c>
      <c r="C62" s="29">
        <v>0</v>
      </c>
      <c r="D62" s="30">
        <v>57</v>
      </c>
      <c r="E62" s="31" t="s">
        <v>576</v>
      </c>
      <c r="F62" s="32" t="s">
        <v>576</v>
      </c>
      <c r="G62" s="32" t="s">
        <v>19</v>
      </c>
      <c r="H62" s="32">
        <v>4</v>
      </c>
      <c r="I62" s="30" t="s">
        <v>204</v>
      </c>
      <c r="J62" s="38">
        <v>68529</v>
      </c>
      <c r="K62" s="33">
        <v>40</v>
      </c>
      <c r="L62" s="33" t="str">
        <f>"1|"&amp;INDEX([1]梦魇入侵!$E$28:$Q$78,MATCH($M62,[1]梦魇入侵!$D$28:$D$78,0),MATCH($K62,[1]梦魇入侵!$E$28:$Q$28,0))</f>
        <v>1|1113300000</v>
      </c>
      <c r="M62" s="43">
        <v>116</v>
      </c>
      <c r="N62" s="33" t="str">
        <f t="shared" si="0"/>
        <v>今日累计伤害达到111330万</v>
      </c>
      <c r="O62"/>
      <c r="U62" s="33" t="e">
        <f>INT(MID($E62,MIN(FIND({0,1,2,3,4,5,6,7,8,9},$E62&amp;"0123456789")),LEN($E62)*2-LENB($E62)))</f>
        <v>#VALUE!</v>
      </c>
      <c r="V62" s="33" t="str">
        <f t="shared" si="1"/>
        <v>今日累计伤害达到 [00821c]42950[-] 万</v>
      </c>
    </row>
    <row r="63" spans="1:22" s="33" customFormat="1" ht="16.5">
      <c r="A63" s="28">
        <v>10060</v>
      </c>
      <c r="B63" s="28">
        <v>91102</v>
      </c>
      <c r="C63" s="29">
        <v>0</v>
      </c>
      <c r="D63" s="30">
        <v>59</v>
      </c>
      <c r="E63" s="31" t="s">
        <v>577</v>
      </c>
      <c r="F63" s="32" t="s">
        <v>577</v>
      </c>
      <c r="G63" s="32" t="s">
        <v>35</v>
      </c>
      <c r="H63" s="32">
        <v>4</v>
      </c>
      <c r="I63" s="30" t="s">
        <v>205</v>
      </c>
      <c r="J63" s="38">
        <v>68530</v>
      </c>
      <c r="K63" s="33">
        <v>40</v>
      </c>
      <c r="L63" s="33" t="str">
        <f>"1|"&amp;INDEX([1]梦魇入侵!$E$28:$Q$78,MATCH($M63,[1]梦魇入侵!$D$28:$D$78,0),MATCH($K63,[1]梦魇入侵!$E$28:$Q$28,0))</f>
        <v>1|1161200000</v>
      </c>
      <c r="M63" s="43">
        <v>121</v>
      </c>
      <c r="N63" s="33" t="str">
        <f t="shared" si="0"/>
        <v>今日累计伤害达到116120万</v>
      </c>
      <c r="O63"/>
      <c r="U63" s="33" t="e">
        <f>INT(MID($E63,MIN(FIND({0,1,2,3,4,5,6,7,8,9},$E63&amp;"0123456789")),LEN($E63)*2-LENB($E63)))</f>
        <v>#VALUE!</v>
      </c>
      <c r="V63" s="33" t="str">
        <f t="shared" si="1"/>
        <v>今日累计伤害达到 [00821c]44810[-] 万</v>
      </c>
    </row>
    <row r="64" spans="1:22" ht="16.5">
      <c r="A64" s="2">
        <v>10061</v>
      </c>
      <c r="B64" s="2">
        <v>91103</v>
      </c>
      <c r="C64" s="25">
        <v>0</v>
      </c>
      <c r="D64" s="10">
        <v>1</v>
      </c>
      <c r="E64" s="14" t="s">
        <v>578</v>
      </c>
      <c r="F64" s="20" t="s">
        <v>578</v>
      </c>
      <c r="G64" s="20" t="s">
        <v>90</v>
      </c>
      <c r="H64" s="20">
        <v>1</v>
      </c>
      <c r="I64" s="10" t="s">
        <v>206</v>
      </c>
      <c r="J64" s="36">
        <v>68501</v>
      </c>
      <c r="K64" s="41">
        <f>K34+10</f>
        <v>50</v>
      </c>
      <c r="L64" t="str">
        <f>"1|"&amp;INDEX([1]梦魇入侵!$E$28:$Q$78,MATCH($M64,[1]梦魇入侵!$D$28:$D$78,0),MATCH($K64,[1]梦魇入侵!$E$28:$Q$28,0))</f>
        <v>1|11900000</v>
      </c>
      <c r="M64" s="42">
        <v>1</v>
      </c>
      <c r="N64" t="str">
        <f t="shared" si="0"/>
        <v>今日累计伤害达到1190万</v>
      </c>
      <c r="U64" t="e">
        <f>INT(MID($E64,MIN(FIND({0,1,2,3,4,5,6,7,8,9},$E64&amp;"0123456789")),LEN($E64)*2-LENB($E64)))</f>
        <v>#VALUE!</v>
      </c>
      <c r="V64" t="str">
        <f t="shared" si="1"/>
        <v>今日累计伤害达到 [00821c]460[-] 万</v>
      </c>
    </row>
    <row r="65" spans="1:22" ht="16.5">
      <c r="A65" s="2">
        <v>10062</v>
      </c>
      <c r="B65" s="2">
        <v>91103</v>
      </c>
      <c r="C65" s="25">
        <v>0</v>
      </c>
      <c r="D65" s="10">
        <v>3</v>
      </c>
      <c r="E65" s="14" t="s">
        <v>579</v>
      </c>
      <c r="F65" s="20" t="s">
        <v>579</v>
      </c>
      <c r="G65" s="20" t="s">
        <v>1</v>
      </c>
      <c r="H65" s="20">
        <v>1</v>
      </c>
      <c r="I65" s="10" t="s">
        <v>207</v>
      </c>
      <c r="J65" s="36">
        <v>68502</v>
      </c>
      <c r="K65" s="41">
        <f t="shared" ref="K65:K128" si="2">K35+10</f>
        <v>50</v>
      </c>
      <c r="L65" t="str">
        <f>"1|"&amp;INDEX([1]梦魇入侵!$E$28:$Q$78,MATCH($M65,[1]梦魇入侵!$D$28:$D$78,0),MATCH($K65,[1]梦魇入侵!$E$28:$Q$28,0))</f>
        <v>1|23900000</v>
      </c>
      <c r="M65" s="42">
        <v>2</v>
      </c>
      <c r="N65" t="str">
        <f t="shared" si="0"/>
        <v>今日累计伤害达到2390万</v>
      </c>
      <c r="U65" t="e">
        <f>INT(MID($E65,MIN(FIND({0,1,2,3,4,5,6,7,8,9},$E65&amp;"0123456789")),LEN($E65)*2-LENB($E65)))</f>
        <v>#VALUE!</v>
      </c>
      <c r="V65" t="str">
        <f t="shared" si="1"/>
        <v>今日累计伤害达到 [00821c]910[-] 万</v>
      </c>
    </row>
    <row r="66" spans="1:22" ht="16.5">
      <c r="A66" s="2">
        <v>10063</v>
      </c>
      <c r="B66" s="2">
        <v>91103</v>
      </c>
      <c r="C66" s="25">
        <v>0</v>
      </c>
      <c r="D66" s="10">
        <v>5</v>
      </c>
      <c r="E66" s="14" t="s">
        <v>580</v>
      </c>
      <c r="F66" s="20" t="s">
        <v>580</v>
      </c>
      <c r="G66" s="20" t="s">
        <v>2</v>
      </c>
      <c r="H66" s="20">
        <v>1</v>
      </c>
      <c r="I66" s="10" t="s">
        <v>208</v>
      </c>
      <c r="J66" s="36">
        <v>68503</v>
      </c>
      <c r="K66" s="41">
        <f t="shared" si="2"/>
        <v>50</v>
      </c>
      <c r="L66" t="str">
        <f>"1|"&amp;INDEX([1]梦魇入侵!$E$28:$Q$78,MATCH($M66,[1]梦魇入侵!$D$28:$D$78,0),MATCH($K66,[1]梦魇入侵!$E$28:$Q$28,0))</f>
        <v>1|35800000</v>
      </c>
      <c r="M66" s="42">
        <v>3</v>
      </c>
      <c r="N66" t="str">
        <f t="shared" si="0"/>
        <v>今日累计伤害达到3580万</v>
      </c>
      <c r="U66" t="e">
        <f>INT(MID($E66,MIN(FIND({0,1,2,3,4,5,6,7,8,9},$E66&amp;"0123456789")),LEN($E66)*2-LENB($E66)))</f>
        <v>#VALUE!</v>
      </c>
      <c r="V66" t="str">
        <f t="shared" si="1"/>
        <v>今日累计伤害达到 [00821c]1370[-] 万</v>
      </c>
    </row>
    <row r="67" spans="1:22" ht="16.5">
      <c r="A67" s="2">
        <v>10064</v>
      </c>
      <c r="B67" s="2">
        <v>91103</v>
      </c>
      <c r="C67" s="25">
        <v>0</v>
      </c>
      <c r="D67" s="10">
        <v>7</v>
      </c>
      <c r="E67" s="14" t="s">
        <v>581</v>
      </c>
      <c r="F67" s="20" t="s">
        <v>581</v>
      </c>
      <c r="G67" s="20" t="s">
        <v>12</v>
      </c>
      <c r="H67" s="20">
        <v>1</v>
      </c>
      <c r="I67" s="10" t="s">
        <v>209</v>
      </c>
      <c r="J67" s="36">
        <v>68504</v>
      </c>
      <c r="K67" s="41">
        <f t="shared" si="2"/>
        <v>50</v>
      </c>
      <c r="L67" t="str">
        <f>"1|"&amp;INDEX([1]梦魇入侵!$E$28:$Q$78,MATCH($M67,[1]梦魇入侵!$D$28:$D$78,0),MATCH($K67,[1]梦魇入侵!$E$28:$Q$28,0))</f>
        <v>1|59700000</v>
      </c>
      <c r="M67" s="42">
        <v>5</v>
      </c>
      <c r="N67" t="str">
        <f t="shared" si="0"/>
        <v>今日累计伤害达到5970万</v>
      </c>
      <c r="U67" t="e">
        <f>INT(MID($E67,MIN(FIND({0,1,2,3,4,5,6,7,8,9},$E67&amp;"0123456789")),LEN($E67)*2-LENB($E67)))</f>
        <v>#VALUE!</v>
      </c>
      <c r="V67" t="str">
        <f t="shared" si="1"/>
        <v>今日累计伤害达到 [00821c]2290[-] 万</v>
      </c>
    </row>
    <row r="68" spans="1:22" ht="16.5">
      <c r="A68" s="2">
        <v>10065</v>
      </c>
      <c r="B68" s="2">
        <v>91103</v>
      </c>
      <c r="C68" s="25">
        <v>0</v>
      </c>
      <c r="D68" s="10">
        <v>9</v>
      </c>
      <c r="E68" s="14" t="s">
        <v>582</v>
      </c>
      <c r="F68" s="20" t="s">
        <v>582</v>
      </c>
      <c r="G68" s="20" t="s">
        <v>22</v>
      </c>
      <c r="H68" s="20">
        <v>1</v>
      </c>
      <c r="I68" s="10" t="s">
        <v>210</v>
      </c>
      <c r="J68" s="36">
        <v>68505</v>
      </c>
      <c r="K68" s="41">
        <f t="shared" si="2"/>
        <v>50</v>
      </c>
      <c r="L68" t="str">
        <f>"1|"&amp;INDEX([1]梦魇入侵!$E$28:$Q$78,MATCH($M68,[1]梦魇入侵!$D$28:$D$78,0),MATCH($K68,[1]梦魇入侵!$E$28:$Q$28,0))</f>
        <v>1|71700000</v>
      </c>
      <c r="M68" s="42">
        <v>6</v>
      </c>
      <c r="N68" t="str">
        <f t="shared" ref="N68:N131" si="3">"今日累计伤害达到"&amp;RIGHT($L68,LEN($L68)-2)/10000&amp;"万"</f>
        <v>今日累计伤害达到7170万</v>
      </c>
      <c r="U68" t="e">
        <f>INT(MID($E68,MIN(FIND({0,1,2,3,4,5,6,7,8,9},$E68&amp;"0123456789")),LEN($E68)*2-LENB($E68)))</f>
        <v>#VALUE!</v>
      </c>
      <c r="V68" t="str">
        <f t="shared" si="1"/>
        <v>今日累计伤害达到 [00821c]2740[-] 万</v>
      </c>
    </row>
    <row r="69" spans="1:22" ht="16.5">
      <c r="A69" s="2">
        <v>10066</v>
      </c>
      <c r="B69" s="2">
        <v>91103</v>
      </c>
      <c r="C69" s="25">
        <v>0</v>
      </c>
      <c r="D69" s="10">
        <v>11</v>
      </c>
      <c r="E69" s="14" t="s">
        <v>583</v>
      </c>
      <c r="F69" s="20" t="s">
        <v>583</v>
      </c>
      <c r="G69" s="20" t="s">
        <v>3</v>
      </c>
      <c r="H69" s="20">
        <v>1</v>
      </c>
      <c r="I69" s="10" t="s">
        <v>211</v>
      </c>
      <c r="J69" s="36">
        <v>68506</v>
      </c>
      <c r="K69" s="41">
        <f t="shared" si="2"/>
        <v>50</v>
      </c>
      <c r="L69" t="str">
        <f>"1|"&amp;INDEX([1]梦魇入侵!$E$28:$Q$78,MATCH($M69,[1]梦魇入侵!$D$28:$D$78,0),MATCH($K69,[1]梦魇入侵!$E$28:$Q$28,0))</f>
        <v>1|95500000</v>
      </c>
      <c r="M69" s="42">
        <v>8</v>
      </c>
      <c r="N69" t="str">
        <f t="shared" si="3"/>
        <v>今日累计伤害达到9550万</v>
      </c>
      <c r="U69" t="e">
        <f>INT(MID($E69,MIN(FIND({0,1,2,3,4,5,6,7,8,9},$E69&amp;"0123456789")),LEN($E69)*2-LENB($E69)))</f>
        <v>#VALUE!</v>
      </c>
      <c r="V69" t="str">
        <f t="shared" ref="V69:V132" si="4">IF(ISERROR($U69),$E69,LEFT($E69,FIND($U69,$E69)-1)&amp;" [379340]"&amp;U69&amp;"[-] "&amp;IFERROR(RIGHT($E69,LEN($E69)-FIND($U69,$E69)-LEN($U69)+1),""))</f>
        <v>今日累计伤害达到 [00821c]3660[-] 万</v>
      </c>
    </row>
    <row r="70" spans="1:22" ht="16.5">
      <c r="A70" s="2">
        <v>10067</v>
      </c>
      <c r="B70" s="2">
        <v>91103</v>
      </c>
      <c r="C70" s="25">
        <v>0</v>
      </c>
      <c r="D70" s="10">
        <v>13</v>
      </c>
      <c r="E70" s="14" t="s">
        <v>584</v>
      </c>
      <c r="F70" s="20" t="s">
        <v>584</v>
      </c>
      <c r="G70" s="20" t="s">
        <v>23</v>
      </c>
      <c r="H70" s="20">
        <v>2</v>
      </c>
      <c r="I70" s="10" t="s">
        <v>116</v>
      </c>
      <c r="J70" s="36">
        <v>68507</v>
      </c>
      <c r="K70" s="41">
        <f t="shared" si="2"/>
        <v>50</v>
      </c>
      <c r="L70" t="str">
        <f>"1|"&amp;INDEX([1]梦魇入侵!$E$28:$Q$78,MATCH($M70,[1]梦魇入侵!$D$28:$D$78,0),MATCH($K70,[1]梦魇入侵!$E$28:$Q$28,0))</f>
        <v>1|131400000</v>
      </c>
      <c r="M70" s="42">
        <v>11</v>
      </c>
      <c r="N70" t="str">
        <f t="shared" si="3"/>
        <v>今日累计伤害达到13140万</v>
      </c>
      <c r="U70" t="e">
        <f>INT(MID($E70,MIN(FIND({0,1,2,3,4,5,6,7,8,9},$E70&amp;"0123456789")),LEN($E70)*2-LENB($E70)))</f>
        <v>#VALUE!</v>
      </c>
      <c r="V70" t="str">
        <f t="shared" si="4"/>
        <v>今日累计伤害达到 [00821c]5030[-] 万</v>
      </c>
    </row>
    <row r="71" spans="1:22" ht="16.5">
      <c r="A71" s="2">
        <v>10068</v>
      </c>
      <c r="B71" s="2">
        <v>91103</v>
      </c>
      <c r="C71" s="25">
        <v>0</v>
      </c>
      <c r="D71" s="10">
        <v>15</v>
      </c>
      <c r="E71" s="14" t="s">
        <v>585</v>
      </c>
      <c r="F71" s="20" t="s">
        <v>585</v>
      </c>
      <c r="G71" s="20" t="s">
        <v>9</v>
      </c>
      <c r="H71" s="20">
        <v>2</v>
      </c>
      <c r="I71" s="10" t="s">
        <v>212</v>
      </c>
      <c r="J71" s="36">
        <v>68508</v>
      </c>
      <c r="K71" s="41">
        <f t="shared" si="2"/>
        <v>50</v>
      </c>
      <c r="L71" t="str">
        <f>"1|"&amp;INDEX([1]梦魇入侵!$E$28:$Q$78,MATCH($M71,[1]梦魇入侵!$D$28:$D$78,0),MATCH($K71,[1]梦魇入侵!$E$28:$Q$28,0))</f>
        <v>1|167200000</v>
      </c>
      <c r="M71" s="42">
        <v>14</v>
      </c>
      <c r="N71" t="str">
        <f t="shared" si="3"/>
        <v>今日累计伤害达到16720万</v>
      </c>
      <c r="U71" t="e">
        <f>INT(MID($E71,MIN(FIND({0,1,2,3,4,5,6,7,8,9},$E71&amp;"0123456789")),LEN($E71)*2-LENB($E71)))</f>
        <v>#VALUE!</v>
      </c>
      <c r="V71" t="str">
        <f t="shared" si="4"/>
        <v>今日累计伤害达到 [00821c]6400[-] 万</v>
      </c>
    </row>
    <row r="72" spans="1:22" ht="16.5">
      <c r="A72" s="2">
        <v>10069</v>
      </c>
      <c r="B72" s="2">
        <v>91103</v>
      </c>
      <c r="C72" s="25">
        <v>0</v>
      </c>
      <c r="D72" s="10">
        <v>17</v>
      </c>
      <c r="E72" s="14" t="s">
        <v>586</v>
      </c>
      <c r="F72" s="20" t="s">
        <v>586</v>
      </c>
      <c r="G72" s="20" t="s">
        <v>5</v>
      </c>
      <c r="H72" s="20">
        <v>2</v>
      </c>
      <c r="I72" s="10" t="s">
        <v>213</v>
      </c>
      <c r="J72" s="36">
        <v>68509</v>
      </c>
      <c r="K72" s="41">
        <f t="shared" si="2"/>
        <v>50</v>
      </c>
      <c r="L72" t="str">
        <f>"1|"&amp;INDEX([1]梦魇入侵!$E$28:$Q$78,MATCH($M72,[1]梦魇入侵!$D$28:$D$78,0),MATCH($K72,[1]梦魇入侵!$E$28:$Q$28,0))</f>
        <v>1|191100000</v>
      </c>
      <c r="M72" s="42">
        <v>16</v>
      </c>
      <c r="N72" t="str">
        <f t="shared" si="3"/>
        <v>今日累计伤害达到19110万</v>
      </c>
      <c r="U72" t="e">
        <f>INT(MID($E72,MIN(FIND({0,1,2,3,4,5,6,7,8,9},$E72&amp;"0123456789")),LEN($E72)*2-LENB($E72)))</f>
        <v>#VALUE!</v>
      </c>
      <c r="V72" t="str">
        <f t="shared" si="4"/>
        <v>今日累计伤害达到 [00821c]7320[-] 万</v>
      </c>
    </row>
    <row r="73" spans="1:22" ht="16.5">
      <c r="A73" s="2">
        <v>10070</v>
      </c>
      <c r="B73" s="2">
        <v>91103</v>
      </c>
      <c r="C73" s="25">
        <v>0</v>
      </c>
      <c r="D73" s="10">
        <v>19</v>
      </c>
      <c r="E73" s="14" t="s">
        <v>587</v>
      </c>
      <c r="F73" s="20" t="s">
        <v>587</v>
      </c>
      <c r="G73" s="20" t="s">
        <v>24</v>
      </c>
      <c r="H73" s="20">
        <v>2</v>
      </c>
      <c r="I73" s="10" t="s">
        <v>214</v>
      </c>
      <c r="J73" s="36">
        <v>68510</v>
      </c>
      <c r="K73" s="41">
        <f t="shared" si="2"/>
        <v>50</v>
      </c>
      <c r="L73" t="str">
        <f>"1|"&amp;INDEX([1]梦魇入侵!$E$28:$Q$78,MATCH($M73,[1]梦魇入侵!$D$28:$D$78,0),MATCH($K73,[1]梦魇入侵!$E$28:$Q$28,0))</f>
        <v>1|226900000</v>
      </c>
      <c r="M73" s="42">
        <v>19</v>
      </c>
      <c r="N73" t="str">
        <f t="shared" si="3"/>
        <v>今日累计伤害达到22690万</v>
      </c>
      <c r="U73" t="e">
        <f>INT(MID($E73,MIN(FIND({0,1,2,3,4,5,6,7,8,9},$E73&amp;"0123456789")),LEN($E73)*2-LENB($E73)))</f>
        <v>#VALUE!</v>
      </c>
      <c r="V73" t="str">
        <f t="shared" si="4"/>
        <v>今日累计伤害达到 [00821c]8690[-] 万</v>
      </c>
    </row>
    <row r="74" spans="1:22" ht="16.5">
      <c r="A74" s="2">
        <v>10071</v>
      </c>
      <c r="B74" s="2">
        <v>91103</v>
      </c>
      <c r="C74" s="25">
        <v>0</v>
      </c>
      <c r="D74" s="10">
        <v>21</v>
      </c>
      <c r="E74" s="14" t="s">
        <v>588</v>
      </c>
      <c r="F74" s="20" t="s">
        <v>588</v>
      </c>
      <c r="G74" s="20" t="s">
        <v>27</v>
      </c>
      <c r="H74" s="20">
        <v>2</v>
      </c>
      <c r="I74" s="10" t="s">
        <v>215</v>
      </c>
      <c r="J74" s="36">
        <v>68511</v>
      </c>
      <c r="K74" s="41">
        <f t="shared" si="2"/>
        <v>50</v>
      </c>
      <c r="L74" t="str">
        <f>"1|"&amp;INDEX([1]梦魇入侵!$E$28:$Q$78,MATCH($M74,[1]梦魇入侵!$D$28:$D$78,0),MATCH($K74,[1]梦魇入侵!$E$28:$Q$28,0))</f>
        <v>1|250800000</v>
      </c>
      <c r="M74" s="42">
        <v>21</v>
      </c>
      <c r="N74" t="str">
        <f t="shared" si="3"/>
        <v>今日累计伤害达到25080万</v>
      </c>
      <c r="U74" t="e">
        <f>INT(MID($E74,MIN(FIND({0,1,2,3,4,5,6,7,8,9},$E74&amp;"0123456789")),LEN($E74)*2-LENB($E74)))</f>
        <v>#VALUE!</v>
      </c>
      <c r="V74" t="str">
        <f t="shared" si="4"/>
        <v>今日累计伤害达到 [00821c]9600[-] 万</v>
      </c>
    </row>
    <row r="75" spans="1:22" ht="16.5">
      <c r="A75" s="2">
        <v>10072</v>
      </c>
      <c r="B75" s="2">
        <v>91103</v>
      </c>
      <c r="C75" s="25">
        <v>0</v>
      </c>
      <c r="D75" s="10">
        <v>23</v>
      </c>
      <c r="E75" s="14" t="s">
        <v>589</v>
      </c>
      <c r="F75" s="20" t="s">
        <v>589</v>
      </c>
      <c r="G75" s="20" t="s">
        <v>6</v>
      </c>
      <c r="H75" s="20">
        <v>3</v>
      </c>
      <c r="I75" s="10" t="s">
        <v>216</v>
      </c>
      <c r="J75" s="36">
        <v>68512</v>
      </c>
      <c r="K75" s="41">
        <f t="shared" si="2"/>
        <v>50</v>
      </c>
      <c r="L75" t="str">
        <f>"1|"&amp;INDEX([1]梦魇入侵!$E$28:$Q$78,MATCH($M75,[1]梦魇入侵!$D$28:$D$78,0),MATCH($K75,[1]梦魇入侵!$E$28:$Q$28,0))</f>
        <v>1|286600000</v>
      </c>
      <c r="M75" s="42">
        <v>24</v>
      </c>
      <c r="N75" t="str">
        <f t="shared" si="3"/>
        <v>今日累计伤害达到28660万</v>
      </c>
      <c r="U75" t="e">
        <f>INT(MID($E75,MIN(FIND({0,1,2,3,4,5,6,7,8,9},$E75&amp;"0123456789")),LEN($E75)*2-LENB($E75)))</f>
        <v>#VALUE!</v>
      </c>
      <c r="V75" t="str">
        <f t="shared" si="4"/>
        <v>今日累计伤害达到 [00821c]10980[-] 万</v>
      </c>
    </row>
    <row r="76" spans="1:22" ht="16.5">
      <c r="A76" s="2">
        <v>10073</v>
      </c>
      <c r="B76" s="2">
        <v>91103</v>
      </c>
      <c r="C76" s="25">
        <v>0</v>
      </c>
      <c r="D76" s="10">
        <v>25</v>
      </c>
      <c r="E76" s="14" t="s">
        <v>590</v>
      </c>
      <c r="F76" s="20" t="s">
        <v>590</v>
      </c>
      <c r="G76" s="20" t="s">
        <v>4</v>
      </c>
      <c r="H76" s="20">
        <v>3</v>
      </c>
      <c r="I76" s="10" t="s">
        <v>217</v>
      </c>
      <c r="J76" s="36">
        <v>68513</v>
      </c>
      <c r="K76" s="41">
        <f t="shared" si="2"/>
        <v>50</v>
      </c>
      <c r="L76" t="str">
        <f>"1|"&amp;INDEX([1]梦魇入侵!$E$28:$Q$78,MATCH($M76,[1]梦魇入侵!$D$28:$D$78,0),MATCH($K76,[1]梦魇入侵!$E$28:$Q$28,0))</f>
        <v>1|310500000</v>
      </c>
      <c r="M76" s="42">
        <v>26</v>
      </c>
      <c r="N76" t="str">
        <f t="shared" si="3"/>
        <v>今日累计伤害达到31050万</v>
      </c>
      <c r="U76" t="e">
        <f>INT(MID($E76,MIN(FIND({0,1,2,3,4,5,6,7,8,9},$E76&amp;"0123456789")),LEN($E76)*2-LENB($E76)))</f>
        <v>#VALUE!</v>
      </c>
      <c r="V76" t="str">
        <f t="shared" si="4"/>
        <v>今日累计伤害达到 [00821c]11890[-] 万</v>
      </c>
    </row>
    <row r="77" spans="1:22" ht="16.5">
      <c r="A77" s="2">
        <v>10074</v>
      </c>
      <c r="B77" s="2">
        <v>91103</v>
      </c>
      <c r="C77" s="25">
        <v>0</v>
      </c>
      <c r="D77" s="10">
        <v>27</v>
      </c>
      <c r="E77" s="14" t="s">
        <v>591</v>
      </c>
      <c r="F77" s="20" t="s">
        <v>591</v>
      </c>
      <c r="G77" s="20" t="s">
        <v>25</v>
      </c>
      <c r="H77" s="20">
        <v>3</v>
      </c>
      <c r="I77" s="10" t="s">
        <v>218</v>
      </c>
      <c r="J77" s="36">
        <v>68514</v>
      </c>
      <c r="K77" s="41">
        <f t="shared" si="2"/>
        <v>50</v>
      </c>
      <c r="L77" t="str">
        <f>"1|"&amp;INDEX([1]梦魇入侵!$E$28:$Q$78,MATCH($M77,[1]梦魇入侵!$D$28:$D$78,0),MATCH($K77,[1]梦魇入侵!$E$28:$Q$28,0))</f>
        <v>1|346300000</v>
      </c>
      <c r="M77" s="42">
        <v>29</v>
      </c>
      <c r="N77" t="str">
        <f t="shared" si="3"/>
        <v>今日累计伤害达到34630万</v>
      </c>
      <c r="U77" t="e">
        <f>INT(MID($E77,MIN(FIND({0,1,2,3,4,5,6,7,8,9},$E77&amp;"0123456789")),LEN($E77)*2-LENB($E77)))</f>
        <v>#VALUE!</v>
      </c>
      <c r="V77" t="str">
        <f t="shared" si="4"/>
        <v>今日累计伤害达到 [00821c]13260[-] 万</v>
      </c>
    </row>
    <row r="78" spans="1:22" ht="16.5">
      <c r="A78" s="2">
        <v>10075</v>
      </c>
      <c r="B78" s="2">
        <v>91103</v>
      </c>
      <c r="C78" s="25">
        <v>0</v>
      </c>
      <c r="D78" s="10">
        <v>29</v>
      </c>
      <c r="E78" s="14" t="s">
        <v>592</v>
      </c>
      <c r="F78" s="20" t="s">
        <v>592</v>
      </c>
      <c r="G78" s="20" t="s">
        <v>26</v>
      </c>
      <c r="H78" s="20">
        <v>3</v>
      </c>
      <c r="I78" s="10" t="s">
        <v>219</v>
      </c>
      <c r="J78" s="36">
        <v>68515</v>
      </c>
      <c r="K78" s="41">
        <f t="shared" si="2"/>
        <v>50</v>
      </c>
      <c r="L78" t="str">
        <f>"1|"&amp;INDEX([1]梦魇入侵!$E$28:$Q$78,MATCH($M78,[1]梦魇入侵!$D$28:$D$78,0),MATCH($K78,[1]梦魇入侵!$E$28:$Q$28,0))</f>
        <v>1|406000000</v>
      </c>
      <c r="M78" s="42">
        <v>34</v>
      </c>
      <c r="N78" t="str">
        <f t="shared" si="3"/>
        <v>今日累计伤害达到40600万</v>
      </c>
      <c r="U78" t="e">
        <f>INT(MID($E78,MIN(FIND({0,1,2,3,4,5,6,7,8,9},$E78&amp;"0123456789")),LEN($E78)*2-LENB($E78)))</f>
        <v>#VALUE!</v>
      </c>
      <c r="V78" t="str">
        <f t="shared" si="4"/>
        <v>今日累计伤害达到 [00821c]15550[-] 万</v>
      </c>
    </row>
    <row r="79" spans="1:22" ht="16.5">
      <c r="A79" s="2">
        <v>10076</v>
      </c>
      <c r="B79" s="2">
        <v>91103</v>
      </c>
      <c r="C79" s="25">
        <v>0</v>
      </c>
      <c r="D79" s="10">
        <v>31</v>
      </c>
      <c r="E79" s="14" t="s">
        <v>593</v>
      </c>
      <c r="F79" s="20" t="s">
        <v>593</v>
      </c>
      <c r="G79" s="20" t="s">
        <v>7</v>
      </c>
      <c r="H79" s="20">
        <v>3</v>
      </c>
      <c r="I79" s="10" t="s">
        <v>220</v>
      </c>
      <c r="J79" s="36">
        <v>68516</v>
      </c>
      <c r="K79" s="41">
        <f t="shared" si="2"/>
        <v>50</v>
      </c>
      <c r="L79" t="str">
        <f>"1|"&amp;INDEX([1]梦魇入侵!$E$28:$Q$78,MATCH($M79,[1]梦魇入侵!$D$28:$D$78,0),MATCH($K79,[1]梦魇入侵!$E$28:$Q$28,0))</f>
        <v>1|465700000</v>
      </c>
      <c r="M79" s="42">
        <v>39</v>
      </c>
      <c r="N79" t="str">
        <f t="shared" si="3"/>
        <v>今日累计伤害达到46570万</v>
      </c>
      <c r="U79" t="e">
        <f>INT(MID($E79,MIN(FIND({0,1,2,3,4,5,6,7,8,9},$E79&amp;"0123456789")),LEN($E79)*2-LENB($E79)))</f>
        <v>#VALUE!</v>
      </c>
      <c r="V79" t="str">
        <f t="shared" si="4"/>
        <v>今日累计伤害达到 [00821c]17830[-] 万</v>
      </c>
    </row>
    <row r="80" spans="1:22" ht="16.5">
      <c r="A80" s="2">
        <v>10077</v>
      </c>
      <c r="B80" s="2">
        <v>91103</v>
      </c>
      <c r="C80" s="25">
        <v>0</v>
      </c>
      <c r="D80" s="10">
        <v>33</v>
      </c>
      <c r="E80" s="14" t="s">
        <v>594</v>
      </c>
      <c r="F80" s="20" t="s">
        <v>594</v>
      </c>
      <c r="G80" s="20" t="s">
        <v>1</v>
      </c>
      <c r="H80" s="20">
        <v>3</v>
      </c>
      <c r="I80" s="10" t="s">
        <v>221</v>
      </c>
      <c r="J80" s="36">
        <v>68517</v>
      </c>
      <c r="K80" s="41">
        <f t="shared" si="2"/>
        <v>50</v>
      </c>
      <c r="L80" t="str">
        <f>"1|"&amp;INDEX([1]梦魇入侵!$E$28:$Q$78,MATCH($M80,[1]梦魇入侵!$D$28:$D$78,0),MATCH($K80,[1]梦魇入侵!$E$28:$Q$28,0))</f>
        <v>1|525400000</v>
      </c>
      <c r="M80" s="42">
        <v>44</v>
      </c>
      <c r="N80" t="str">
        <f t="shared" si="3"/>
        <v>今日累计伤害达到52540万</v>
      </c>
      <c r="U80" t="e">
        <f>INT(MID($E80,MIN(FIND({0,1,2,3,4,5,6,7,8,9},$E80&amp;"0123456789")),LEN($E80)*2-LENB($E80)))</f>
        <v>#VALUE!</v>
      </c>
      <c r="V80" t="str">
        <f t="shared" si="4"/>
        <v>今日累计伤害达到 [00821c]20120[-] 万</v>
      </c>
    </row>
    <row r="81" spans="1:22" ht="16.5">
      <c r="A81" s="2">
        <v>10078</v>
      </c>
      <c r="B81" s="2">
        <v>91103</v>
      </c>
      <c r="C81" s="25">
        <v>0</v>
      </c>
      <c r="D81" s="10">
        <v>35</v>
      </c>
      <c r="E81" s="14" t="s">
        <v>595</v>
      </c>
      <c r="F81" s="20" t="s">
        <v>595</v>
      </c>
      <c r="G81" s="20" t="s">
        <v>27</v>
      </c>
      <c r="H81" s="20">
        <v>4</v>
      </c>
      <c r="I81" s="10" t="s">
        <v>222</v>
      </c>
      <c r="J81" s="36">
        <v>68518</v>
      </c>
      <c r="K81" s="41">
        <f t="shared" si="2"/>
        <v>50</v>
      </c>
      <c r="L81" t="str">
        <f>"1|"&amp;INDEX([1]梦魇入侵!$E$28:$Q$78,MATCH($M81,[1]梦魇入侵!$D$28:$D$78,0),MATCH($K81,[1]梦魇入侵!$E$28:$Q$28,0))</f>
        <v>1|585200000</v>
      </c>
      <c r="M81" s="42">
        <v>49</v>
      </c>
      <c r="N81" t="str">
        <f t="shared" si="3"/>
        <v>今日累计伤害达到58520万</v>
      </c>
      <c r="U81" t="e">
        <f>INT(MID($E81,MIN(FIND({0,1,2,3,4,5,6,7,8,9},$E81&amp;"0123456789")),LEN($E81)*2-LENB($E81)))</f>
        <v>#VALUE!</v>
      </c>
      <c r="V81" t="str">
        <f t="shared" si="4"/>
        <v>今日累计伤害达到 [00821c]22410[-] 万</v>
      </c>
    </row>
    <row r="82" spans="1:22" ht="16.5">
      <c r="A82" s="2">
        <v>10079</v>
      </c>
      <c r="B82" s="2">
        <v>91103</v>
      </c>
      <c r="C82" s="25">
        <v>0</v>
      </c>
      <c r="D82" s="10">
        <v>37</v>
      </c>
      <c r="E82" s="14" t="s">
        <v>596</v>
      </c>
      <c r="F82" s="20" t="s">
        <v>596</v>
      </c>
      <c r="G82" s="20" t="s">
        <v>28</v>
      </c>
      <c r="H82" s="20">
        <v>4</v>
      </c>
      <c r="I82" s="10" t="s">
        <v>223</v>
      </c>
      <c r="J82" s="36">
        <v>68519</v>
      </c>
      <c r="K82" s="41">
        <f t="shared" si="2"/>
        <v>50</v>
      </c>
      <c r="L82" t="str">
        <f>"1|"&amp;INDEX([1]梦魇入侵!$E$28:$Q$78,MATCH($M82,[1]梦魇入侵!$D$28:$D$78,0),MATCH($K82,[1]梦魇入侵!$E$28:$Q$28,0))</f>
        <v>1|656800000</v>
      </c>
      <c r="M82" s="42">
        <v>55</v>
      </c>
      <c r="N82" t="str">
        <f t="shared" si="3"/>
        <v>今日累计伤害达到65680万</v>
      </c>
      <c r="U82" t="e">
        <f>INT(MID($E82,MIN(FIND({0,1,2,3,4,5,6,7,8,9},$E82&amp;"0123456789")),LEN($E82)*2-LENB($E82)))</f>
        <v>#VALUE!</v>
      </c>
      <c r="V82" t="str">
        <f t="shared" si="4"/>
        <v>今日累计伤害达到 [00821c]25150[-] 万</v>
      </c>
    </row>
    <row r="83" spans="1:22" ht="16.5">
      <c r="A83" s="2">
        <v>10080</v>
      </c>
      <c r="B83" s="2">
        <v>91103</v>
      </c>
      <c r="C83" s="25">
        <v>0</v>
      </c>
      <c r="D83" s="10">
        <v>39</v>
      </c>
      <c r="E83" s="14" t="s">
        <v>597</v>
      </c>
      <c r="F83" s="20" t="s">
        <v>597</v>
      </c>
      <c r="G83" s="20" t="s">
        <v>14</v>
      </c>
      <c r="H83" s="20">
        <v>4</v>
      </c>
      <c r="I83" s="10" t="s">
        <v>224</v>
      </c>
      <c r="J83" s="36">
        <v>68520</v>
      </c>
      <c r="K83" s="41">
        <f t="shared" si="2"/>
        <v>50</v>
      </c>
      <c r="L83" t="str">
        <f>"1|"&amp;INDEX([1]梦魇入侵!$E$28:$Q$78,MATCH($M83,[1]梦魇入侵!$D$28:$D$78,0),MATCH($K83,[1]梦魇入侵!$E$28:$Q$28,0))</f>
        <v>1|716500000</v>
      </c>
      <c r="M83" s="42">
        <v>60</v>
      </c>
      <c r="N83" t="str">
        <f t="shared" si="3"/>
        <v>今日累计伤害达到71650万</v>
      </c>
      <c r="U83" t="e">
        <f>INT(MID($E83,MIN(FIND({0,1,2,3,4,5,6,7,8,9},$E83&amp;"0123456789")),LEN($E83)*2-LENB($E83)))</f>
        <v>#VALUE!</v>
      </c>
      <c r="V83" t="str">
        <f t="shared" si="4"/>
        <v>今日累计伤害达到 [00821c]27440[-] 万</v>
      </c>
    </row>
    <row r="84" spans="1:22" ht="16.5">
      <c r="A84" s="2">
        <v>10081</v>
      </c>
      <c r="B84" s="2">
        <v>91103</v>
      </c>
      <c r="C84" s="25">
        <v>0</v>
      </c>
      <c r="D84" s="10">
        <v>41</v>
      </c>
      <c r="E84" s="14" t="s">
        <v>598</v>
      </c>
      <c r="F84" s="20" t="s">
        <v>598</v>
      </c>
      <c r="G84" s="20" t="s">
        <v>4</v>
      </c>
      <c r="H84" s="20">
        <v>4</v>
      </c>
      <c r="I84" s="10" t="s">
        <v>225</v>
      </c>
      <c r="J84" s="36">
        <v>68521</v>
      </c>
      <c r="K84" s="41">
        <f t="shared" si="2"/>
        <v>50</v>
      </c>
      <c r="L84" t="str">
        <f>"1|"&amp;INDEX([1]梦魇入侵!$E$28:$Q$78,MATCH($M84,[1]梦魇入侵!$D$28:$D$78,0),MATCH($K84,[1]梦魇入侵!$E$28:$Q$28,0))</f>
        <v>1|776200000</v>
      </c>
      <c r="M84" s="42">
        <v>65</v>
      </c>
      <c r="N84" t="str">
        <f t="shared" si="3"/>
        <v>今日累计伤害达到77620万</v>
      </c>
      <c r="U84" t="e">
        <f>INT(MID($E84,MIN(FIND({0,1,2,3,4,5,6,7,8,9},$E84&amp;"0123456789")),LEN($E84)*2-LENB($E84)))</f>
        <v>#VALUE!</v>
      </c>
      <c r="V84" t="str">
        <f t="shared" si="4"/>
        <v>今日累计伤害达到 [00821c]29720[-] 万</v>
      </c>
    </row>
    <row r="85" spans="1:22" ht="16.5">
      <c r="A85" s="2">
        <v>10082</v>
      </c>
      <c r="B85" s="2">
        <v>91103</v>
      </c>
      <c r="C85" s="25">
        <v>0</v>
      </c>
      <c r="D85" s="10">
        <v>43</v>
      </c>
      <c r="E85" s="14" t="s">
        <v>599</v>
      </c>
      <c r="F85" s="20" t="s">
        <v>599</v>
      </c>
      <c r="G85" s="20" t="s">
        <v>29</v>
      </c>
      <c r="H85" s="20">
        <v>4</v>
      </c>
      <c r="I85" s="10" t="s">
        <v>226</v>
      </c>
      <c r="J85" s="36">
        <v>68522</v>
      </c>
      <c r="K85" s="41">
        <f t="shared" si="2"/>
        <v>50</v>
      </c>
      <c r="L85" t="str">
        <f>"1|"&amp;INDEX([1]梦魇入侵!$E$28:$Q$78,MATCH($M85,[1]梦魇入侵!$D$28:$D$78,0),MATCH($K85,[1]梦魇入侵!$E$28:$Q$28,0))</f>
        <v>1|835900000</v>
      </c>
      <c r="M85" s="42">
        <v>70</v>
      </c>
      <c r="N85" t="str">
        <f t="shared" si="3"/>
        <v>今日累计伤害达到83590万</v>
      </c>
      <c r="U85" t="e">
        <f>INT(MID($E85,MIN(FIND({0,1,2,3,4,5,6,7,8,9},$E85&amp;"0123456789")),LEN($E85)*2-LENB($E85)))</f>
        <v>#VALUE!</v>
      </c>
      <c r="V85" t="str">
        <f t="shared" si="4"/>
        <v>今日累计伤害达到 [00821c]32010[-] 万</v>
      </c>
    </row>
    <row r="86" spans="1:22" ht="16.5">
      <c r="A86" s="2">
        <v>10083</v>
      </c>
      <c r="B86" s="2">
        <v>91103</v>
      </c>
      <c r="C86" s="25">
        <v>0</v>
      </c>
      <c r="D86" s="10">
        <v>45</v>
      </c>
      <c r="E86" s="14" t="s">
        <v>600</v>
      </c>
      <c r="F86" s="20" t="s">
        <v>600</v>
      </c>
      <c r="G86" s="20" t="s">
        <v>33</v>
      </c>
      <c r="H86" s="20">
        <v>4</v>
      </c>
      <c r="I86" s="10" t="s">
        <v>227</v>
      </c>
      <c r="J86" s="36">
        <v>68523</v>
      </c>
      <c r="K86" s="41">
        <f t="shared" si="2"/>
        <v>50</v>
      </c>
      <c r="L86" t="str">
        <f>"1|"&amp;INDEX([1]梦魇入侵!$E$28:$Q$78,MATCH($M86,[1]梦魇入侵!$D$28:$D$78,0),MATCH($K86,[1]梦魇入侵!$E$28:$Q$28,0))</f>
        <v>1|895700000</v>
      </c>
      <c r="M86" s="42">
        <v>75</v>
      </c>
      <c r="N86" t="str">
        <f t="shared" si="3"/>
        <v>今日累计伤害达到89570万</v>
      </c>
      <c r="U86" t="e">
        <f>INT(MID($E86,MIN(FIND({0,1,2,3,4,5,6,7,8,9},$E86&amp;"0123456789")),LEN($E86)*2-LENB($E86)))</f>
        <v>#VALUE!</v>
      </c>
      <c r="V86" t="str">
        <f t="shared" si="4"/>
        <v>今日累计伤害达到 [00821c]34300[-] 万</v>
      </c>
    </row>
    <row r="87" spans="1:22" ht="16.5">
      <c r="A87" s="2">
        <v>10084</v>
      </c>
      <c r="B87" s="2">
        <v>91103</v>
      </c>
      <c r="C87" s="25">
        <v>0</v>
      </c>
      <c r="D87" s="10">
        <v>47</v>
      </c>
      <c r="E87" s="14" t="s">
        <v>601</v>
      </c>
      <c r="F87" s="20" t="s">
        <v>601</v>
      </c>
      <c r="G87" s="20" t="s">
        <v>15</v>
      </c>
      <c r="H87" s="20">
        <v>4</v>
      </c>
      <c r="I87" s="10" t="s">
        <v>228</v>
      </c>
      <c r="J87" s="36">
        <v>68524</v>
      </c>
      <c r="K87" s="41">
        <f t="shared" si="2"/>
        <v>50</v>
      </c>
      <c r="L87" t="str">
        <f>"1|"&amp;INDEX([1]梦魇入侵!$E$28:$Q$78,MATCH($M87,[1]梦魇入侵!$D$28:$D$78,0),MATCH($K87,[1]梦魇入侵!$E$28:$Q$28,0))</f>
        <v>1|1074800000</v>
      </c>
      <c r="M87" s="42">
        <v>90</v>
      </c>
      <c r="N87" t="str">
        <f t="shared" si="3"/>
        <v>今日累计伤害达到107480万</v>
      </c>
      <c r="U87" t="e">
        <f>INT(MID($E87,MIN(FIND({0,1,2,3,4,5,6,7,8,9},$E87&amp;"0123456789")),LEN($E87)*2-LENB($E87)))</f>
        <v>#VALUE!</v>
      </c>
      <c r="V87" t="str">
        <f t="shared" si="4"/>
        <v>今日累计伤害达到 [00821c]41160[-] 万</v>
      </c>
    </row>
    <row r="88" spans="1:22" ht="16.5">
      <c r="A88" s="2">
        <v>10085</v>
      </c>
      <c r="B88" s="2">
        <v>91103</v>
      </c>
      <c r="C88" s="25">
        <v>0</v>
      </c>
      <c r="D88" s="10">
        <v>49</v>
      </c>
      <c r="E88" s="14" t="s">
        <v>602</v>
      </c>
      <c r="F88" s="20" t="s">
        <v>602</v>
      </c>
      <c r="G88" s="20" t="s">
        <v>16</v>
      </c>
      <c r="H88" s="20">
        <v>4</v>
      </c>
      <c r="I88" s="10" t="s">
        <v>229</v>
      </c>
      <c r="J88" s="36">
        <v>68525</v>
      </c>
      <c r="K88" s="41">
        <f t="shared" si="2"/>
        <v>50</v>
      </c>
      <c r="L88" t="str">
        <f>"1|"&amp;INDEX([1]梦魇入侵!$E$28:$Q$78,MATCH($M88,[1]梦魇入侵!$D$28:$D$78,0),MATCH($K88,[1]梦魇入侵!$E$28:$Q$28,0))</f>
        <v>1|1146400000</v>
      </c>
      <c r="M88" s="42">
        <v>96</v>
      </c>
      <c r="N88" t="str">
        <f t="shared" si="3"/>
        <v>今日累计伤害达到114640万</v>
      </c>
      <c r="U88" t="e">
        <f>INT(MID($E88,MIN(FIND({0,1,2,3,4,5,6,7,8,9},$E88&amp;"0123456789")),LEN($E88)*2-LENB($E88)))</f>
        <v>#VALUE!</v>
      </c>
      <c r="V88" t="str">
        <f t="shared" si="4"/>
        <v>今日累计伤害达到 [00821c]43900[-] 万</v>
      </c>
    </row>
    <row r="89" spans="1:22" ht="16.5">
      <c r="A89" s="2">
        <v>10086</v>
      </c>
      <c r="B89" s="2">
        <v>91103</v>
      </c>
      <c r="C89" s="25">
        <v>0</v>
      </c>
      <c r="D89" s="10">
        <v>51</v>
      </c>
      <c r="E89" s="14" t="s">
        <v>603</v>
      </c>
      <c r="F89" s="20" t="s">
        <v>603</v>
      </c>
      <c r="G89" s="20" t="s">
        <v>20</v>
      </c>
      <c r="H89" s="20">
        <v>4</v>
      </c>
      <c r="I89" s="10" t="s">
        <v>230</v>
      </c>
      <c r="J89" s="36">
        <v>68526</v>
      </c>
      <c r="K89" s="41">
        <f t="shared" si="2"/>
        <v>50</v>
      </c>
      <c r="L89" t="str">
        <f>"1|"&amp;INDEX([1]梦魇入侵!$E$28:$Q$78,MATCH($M89,[1]梦魇入侵!$D$28:$D$78,0),MATCH($K89,[1]梦魇入侵!$E$28:$Q$28,0))</f>
        <v>1|1206100000</v>
      </c>
      <c r="M89" s="42">
        <v>101</v>
      </c>
      <c r="N89" t="str">
        <f t="shared" si="3"/>
        <v>今日累计伤害达到120610万</v>
      </c>
      <c r="U89" t="e">
        <f>INT(MID($E89,MIN(FIND({0,1,2,3,4,5,6,7,8,9},$E89&amp;"0123456789")),LEN($E89)*2-LENB($E89)))</f>
        <v>#VALUE!</v>
      </c>
      <c r="V89" t="str">
        <f t="shared" si="4"/>
        <v>今日累计伤害达到 [00821c]46190[-] 万</v>
      </c>
    </row>
    <row r="90" spans="1:22" ht="16.5">
      <c r="A90" s="2">
        <v>10087</v>
      </c>
      <c r="B90" s="2">
        <v>91103</v>
      </c>
      <c r="C90" s="25">
        <v>0</v>
      </c>
      <c r="D90" s="10">
        <v>53</v>
      </c>
      <c r="E90" s="14" t="s">
        <v>604</v>
      </c>
      <c r="F90" s="20" t="s">
        <v>604</v>
      </c>
      <c r="G90" s="20" t="s">
        <v>93</v>
      </c>
      <c r="H90" s="20">
        <v>4</v>
      </c>
      <c r="I90" s="10" t="s">
        <v>231</v>
      </c>
      <c r="J90" s="36">
        <v>68527</v>
      </c>
      <c r="K90" s="41">
        <f t="shared" si="2"/>
        <v>50</v>
      </c>
      <c r="L90" t="str">
        <f>"1|"&amp;INDEX([1]梦魇入侵!$E$28:$Q$78,MATCH($M90,[1]梦魇入侵!$D$28:$D$78,0),MATCH($K90,[1]梦魇入侵!$E$28:$Q$28,0))</f>
        <v>1|1265900000</v>
      </c>
      <c r="M90" s="42">
        <v>106</v>
      </c>
      <c r="N90" t="str">
        <f t="shared" si="3"/>
        <v>今日累计伤害达到126590万</v>
      </c>
      <c r="U90" t="e">
        <f>INT(MID($E90,MIN(FIND({0,1,2,3,4,5,6,7,8,9},$E90&amp;"0123456789")),LEN($E90)*2-LENB($E90)))</f>
        <v>#VALUE!</v>
      </c>
      <c r="V90" t="str">
        <f t="shared" si="4"/>
        <v>今日累计伤害达到 [00821c]48470[-] 万</v>
      </c>
    </row>
    <row r="91" spans="1:22" ht="16.5">
      <c r="A91" s="2">
        <v>10088</v>
      </c>
      <c r="B91" s="2">
        <v>91103</v>
      </c>
      <c r="C91" s="25">
        <v>0</v>
      </c>
      <c r="D91" s="10">
        <v>55</v>
      </c>
      <c r="E91" s="14" t="s">
        <v>605</v>
      </c>
      <c r="F91" s="20" t="s">
        <v>605</v>
      </c>
      <c r="G91" s="20" t="s">
        <v>31</v>
      </c>
      <c r="H91" s="20">
        <v>4</v>
      </c>
      <c r="I91" s="10" t="s">
        <v>232</v>
      </c>
      <c r="J91" s="36">
        <v>68528</v>
      </c>
      <c r="K91" s="41">
        <f t="shared" si="2"/>
        <v>50</v>
      </c>
      <c r="L91" t="str">
        <f>"1|"&amp;INDEX([1]梦魇入侵!$E$28:$Q$78,MATCH($M91,[1]梦魇入侵!$D$28:$D$78,0),MATCH($K91,[1]梦魇入侵!$E$28:$Q$28,0))</f>
        <v>1|1325600000</v>
      </c>
      <c r="M91" s="42">
        <v>111</v>
      </c>
      <c r="N91" t="str">
        <f t="shared" si="3"/>
        <v>今日累计伤害达到132560万</v>
      </c>
      <c r="U91" t="e">
        <f>INT(MID($E91,MIN(FIND({0,1,2,3,4,5,6,7,8,9},$E91&amp;"0123456789")),LEN($E91)*2-LENB($E91)))</f>
        <v>#VALUE!</v>
      </c>
      <c r="V91" t="str">
        <f t="shared" si="4"/>
        <v>今日累计伤害达到 [00821c]50760[-] 万</v>
      </c>
    </row>
    <row r="92" spans="1:22" ht="16.5">
      <c r="A92" s="2">
        <v>10089</v>
      </c>
      <c r="B92" s="2">
        <v>91103</v>
      </c>
      <c r="C92" s="25">
        <v>0</v>
      </c>
      <c r="D92" s="10">
        <v>57</v>
      </c>
      <c r="E92" s="14" t="s">
        <v>606</v>
      </c>
      <c r="F92" s="20" t="s">
        <v>606</v>
      </c>
      <c r="G92" s="20" t="s">
        <v>23</v>
      </c>
      <c r="H92" s="20">
        <v>4</v>
      </c>
      <c r="I92" s="10" t="s">
        <v>233</v>
      </c>
      <c r="J92" s="36">
        <v>68529</v>
      </c>
      <c r="K92" s="41">
        <f t="shared" si="2"/>
        <v>50</v>
      </c>
      <c r="L92" t="str">
        <f>"1|"&amp;INDEX([1]梦魇入侵!$E$28:$Q$78,MATCH($M92,[1]梦魇入侵!$D$28:$D$78,0),MATCH($K92,[1]梦魇入侵!$E$28:$Q$28,0))</f>
        <v>1|1385300000</v>
      </c>
      <c r="M92" s="42">
        <v>116</v>
      </c>
      <c r="N92" t="str">
        <f t="shared" si="3"/>
        <v>今日累计伤害达到138530万</v>
      </c>
      <c r="U92" t="e">
        <f>INT(MID($E92,MIN(FIND({0,1,2,3,4,5,6,7,8,9},$E92&amp;"0123456789")),LEN($E92)*2-LENB($E92)))</f>
        <v>#VALUE!</v>
      </c>
      <c r="V92" t="str">
        <f t="shared" si="4"/>
        <v>今日累计伤害达到 [00821c]53050[-] 万</v>
      </c>
    </row>
    <row r="93" spans="1:22" ht="16.5">
      <c r="A93" s="2">
        <v>10090</v>
      </c>
      <c r="B93" s="2">
        <v>91103</v>
      </c>
      <c r="C93" s="25">
        <v>0</v>
      </c>
      <c r="D93" s="10">
        <v>59</v>
      </c>
      <c r="E93" s="14" t="s">
        <v>607</v>
      </c>
      <c r="F93" s="20" t="s">
        <v>607</v>
      </c>
      <c r="G93" s="20" t="s">
        <v>17</v>
      </c>
      <c r="H93" s="20">
        <v>4</v>
      </c>
      <c r="I93" s="10" t="s">
        <v>234</v>
      </c>
      <c r="J93" s="36">
        <v>68530</v>
      </c>
      <c r="K93" s="41">
        <f t="shared" si="2"/>
        <v>50</v>
      </c>
      <c r="L93" t="str">
        <f>"1|"&amp;INDEX([1]梦魇入侵!$E$28:$Q$78,MATCH($M93,[1]梦魇入侵!$D$28:$D$78,0),MATCH($K93,[1]梦魇入侵!$E$28:$Q$28,0))</f>
        <v>1|1445000000</v>
      </c>
      <c r="M93" s="42">
        <v>121</v>
      </c>
      <c r="N93" t="str">
        <f t="shared" si="3"/>
        <v>今日累计伤害达到144500万</v>
      </c>
      <c r="U93" t="e">
        <f>INT(MID($E93,MIN(FIND({0,1,2,3,4,5,6,7,8,9},$E93&amp;"0123456789")),LEN($E93)*2-LENB($E93)))</f>
        <v>#VALUE!</v>
      </c>
      <c r="V93" t="str">
        <f t="shared" si="4"/>
        <v>今日累计伤害达到 [00821c]55330[-] 万</v>
      </c>
    </row>
    <row r="94" spans="1:22" s="33" customFormat="1" ht="16.5">
      <c r="A94" s="28">
        <v>10091</v>
      </c>
      <c r="B94" s="28">
        <v>91104</v>
      </c>
      <c r="C94" s="29">
        <v>0</v>
      </c>
      <c r="D94" s="30">
        <v>1</v>
      </c>
      <c r="E94" s="31" t="s">
        <v>608</v>
      </c>
      <c r="F94" s="32" t="s">
        <v>608</v>
      </c>
      <c r="G94" s="32" t="s">
        <v>90</v>
      </c>
      <c r="H94" s="32">
        <v>1</v>
      </c>
      <c r="I94" s="30" t="s">
        <v>235</v>
      </c>
      <c r="J94" s="38">
        <v>68501</v>
      </c>
      <c r="K94" s="33">
        <f t="shared" si="2"/>
        <v>60</v>
      </c>
      <c r="L94" s="33" t="str">
        <f>"1|"&amp;INDEX([1]梦魇入侵!$E$28:$Q$78,MATCH($M94,[1]梦魇入侵!$D$28:$D$78,0),MATCH($K94,[1]梦魇入侵!$E$28:$Q$28,0))</f>
        <v>1|14300000</v>
      </c>
      <c r="M94" s="43">
        <v>1</v>
      </c>
      <c r="N94" s="33" t="str">
        <f t="shared" si="3"/>
        <v>今日累计伤害达到1430万</v>
      </c>
      <c r="O94"/>
      <c r="U94" s="33" t="e">
        <f>INT(MID($E94,MIN(FIND({0,1,2,3,4,5,6,7,8,9},$E94&amp;"0123456789")),LEN($E94)*2-LENB($E94)))</f>
        <v>#VALUE!</v>
      </c>
      <c r="V94" s="33" t="str">
        <f t="shared" si="4"/>
        <v>今日累计伤害达到 [00821c]540[-] 万</v>
      </c>
    </row>
    <row r="95" spans="1:22" s="33" customFormat="1" ht="16.5">
      <c r="A95" s="28">
        <v>10092</v>
      </c>
      <c r="B95" s="28">
        <v>91104</v>
      </c>
      <c r="C95" s="29">
        <v>0</v>
      </c>
      <c r="D95" s="30">
        <v>3</v>
      </c>
      <c r="E95" s="31" t="s">
        <v>609</v>
      </c>
      <c r="F95" s="32" t="s">
        <v>609</v>
      </c>
      <c r="G95" s="32" t="s">
        <v>9</v>
      </c>
      <c r="H95" s="32">
        <v>1</v>
      </c>
      <c r="I95" s="30" t="s">
        <v>236</v>
      </c>
      <c r="J95" s="38">
        <v>68502</v>
      </c>
      <c r="K95" s="33">
        <f t="shared" si="2"/>
        <v>60</v>
      </c>
      <c r="L95" s="33" t="str">
        <f>"1|"&amp;INDEX([1]梦魇入侵!$E$28:$Q$78,MATCH($M95,[1]梦魇入侵!$D$28:$D$78,0),MATCH($K95,[1]梦魇入侵!$E$28:$Q$28,0))</f>
        <v>1|28600000</v>
      </c>
      <c r="M95" s="43">
        <v>2</v>
      </c>
      <c r="N95" s="33" t="str">
        <f t="shared" si="3"/>
        <v>今日累计伤害达到2860万</v>
      </c>
      <c r="O95"/>
      <c r="U95" s="33" t="e">
        <f>INT(MID($E95,MIN(FIND({0,1,2,3,4,5,6,7,8,9},$E95&amp;"0123456789")),LEN($E95)*2-LENB($E95)))</f>
        <v>#VALUE!</v>
      </c>
      <c r="V95" s="33" t="str">
        <f t="shared" si="4"/>
        <v>今日累计伤害达到 [00821c]1090[-] 万</v>
      </c>
    </row>
    <row r="96" spans="1:22" s="33" customFormat="1" ht="16.5">
      <c r="A96" s="28">
        <v>10093</v>
      </c>
      <c r="B96" s="28">
        <v>91104</v>
      </c>
      <c r="C96" s="29">
        <v>0</v>
      </c>
      <c r="D96" s="30">
        <v>5</v>
      </c>
      <c r="E96" s="31" t="s">
        <v>610</v>
      </c>
      <c r="F96" s="32" t="s">
        <v>610</v>
      </c>
      <c r="G96" s="32" t="s">
        <v>32</v>
      </c>
      <c r="H96" s="32">
        <v>1</v>
      </c>
      <c r="I96" s="30" t="s">
        <v>237</v>
      </c>
      <c r="J96" s="38">
        <v>68503</v>
      </c>
      <c r="K96" s="33">
        <f t="shared" si="2"/>
        <v>60</v>
      </c>
      <c r="L96" s="33" t="str">
        <f>"1|"&amp;INDEX([1]梦魇入侵!$E$28:$Q$78,MATCH($M96,[1]梦魇入侵!$D$28:$D$78,0),MATCH($K96,[1]梦魇入侵!$E$28:$Q$28,0))</f>
        <v>1|42900000</v>
      </c>
      <c r="M96" s="43">
        <v>3</v>
      </c>
      <c r="N96" s="33" t="str">
        <f t="shared" si="3"/>
        <v>今日累计伤害达到4290万</v>
      </c>
      <c r="O96"/>
      <c r="U96" s="33" t="e">
        <f>INT(MID($E96,MIN(FIND({0,1,2,3,4,5,6,7,8,9},$E96&amp;"0123456789")),LEN($E96)*2-LENB($E96)))</f>
        <v>#VALUE!</v>
      </c>
      <c r="V96" s="33" t="str">
        <f t="shared" si="4"/>
        <v>今日累计伤害达到 [00821c]1630[-] 万</v>
      </c>
    </row>
    <row r="97" spans="1:22" s="33" customFormat="1" ht="16.5">
      <c r="A97" s="28">
        <v>10094</v>
      </c>
      <c r="B97" s="28">
        <v>91104</v>
      </c>
      <c r="C97" s="29">
        <v>0</v>
      </c>
      <c r="D97" s="30">
        <v>7</v>
      </c>
      <c r="E97" s="31" t="s">
        <v>611</v>
      </c>
      <c r="F97" s="32" t="s">
        <v>611</v>
      </c>
      <c r="G97" s="32" t="s">
        <v>13</v>
      </c>
      <c r="H97" s="32">
        <v>1</v>
      </c>
      <c r="I97" s="30" t="s">
        <v>238</v>
      </c>
      <c r="J97" s="38">
        <v>68504</v>
      </c>
      <c r="K97" s="33">
        <f t="shared" si="2"/>
        <v>60</v>
      </c>
      <c r="L97" s="33" t="str">
        <f>"1|"&amp;INDEX([1]梦魇入侵!$E$28:$Q$78,MATCH($M97,[1]梦魇入侵!$D$28:$D$78,0),MATCH($K97,[1]梦魇入侵!$E$28:$Q$28,0))</f>
        <v>1|71400000</v>
      </c>
      <c r="M97" s="43">
        <v>5</v>
      </c>
      <c r="N97" s="33" t="str">
        <f t="shared" si="3"/>
        <v>今日累计伤害达到7140万</v>
      </c>
      <c r="O97"/>
      <c r="U97" s="33" t="e">
        <f>INT(MID($E97,MIN(FIND({0,1,2,3,4,5,6,7,8,9},$E97&amp;"0123456789")),LEN($E97)*2-LENB($E97)))</f>
        <v>#VALUE!</v>
      </c>
      <c r="V97" s="33" t="str">
        <f t="shared" si="4"/>
        <v>今日累计伤害达到 [00821c]2720[-] 万</v>
      </c>
    </row>
    <row r="98" spans="1:22" s="33" customFormat="1" ht="16.5">
      <c r="A98" s="28">
        <v>10095</v>
      </c>
      <c r="B98" s="28">
        <v>91104</v>
      </c>
      <c r="C98" s="29">
        <v>0</v>
      </c>
      <c r="D98" s="30">
        <v>9</v>
      </c>
      <c r="E98" s="31" t="s">
        <v>612</v>
      </c>
      <c r="F98" s="32" t="s">
        <v>612</v>
      </c>
      <c r="G98" s="32" t="s">
        <v>28</v>
      </c>
      <c r="H98" s="32">
        <v>1</v>
      </c>
      <c r="I98" s="30" t="s">
        <v>239</v>
      </c>
      <c r="J98" s="38">
        <v>68505</v>
      </c>
      <c r="K98" s="33">
        <f t="shared" si="2"/>
        <v>60</v>
      </c>
      <c r="L98" s="33" t="str">
        <f>"1|"&amp;INDEX([1]梦魇入侵!$E$28:$Q$78,MATCH($M98,[1]梦魇入侵!$D$28:$D$78,0),MATCH($K98,[1]梦魇入侵!$E$28:$Q$28,0))</f>
        <v>1|85700000</v>
      </c>
      <c r="M98" s="43">
        <v>6</v>
      </c>
      <c r="N98" s="33" t="str">
        <f t="shared" si="3"/>
        <v>今日累计伤害达到8570万</v>
      </c>
      <c r="O98"/>
      <c r="U98" s="33" t="e">
        <f>INT(MID($E98,MIN(FIND({0,1,2,3,4,5,6,7,8,9},$E98&amp;"0123456789")),LEN($E98)*2-LENB($E98)))</f>
        <v>#VALUE!</v>
      </c>
      <c r="V98" s="33" t="str">
        <f t="shared" si="4"/>
        <v>今日累计伤害达到 [00821c]3270[-] 万</v>
      </c>
    </row>
    <row r="99" spans="1:22" s="33" customFormat="1" ht="16.5">
      <c r="A99" s="28">
        <v>10096</v>
      </c>
      <c r="B99" s="28">
        <v>91104</v>
      </c>
      <c r="C99" s="29">
        <v>0</v>
      </c>
      <c r="D99" s="30">
        <v>11</v>
      </c>
      <c r="E99" s="31" t="s">
        <v>613</v>
      </c>
      <c r="F99" s="32" t="s">
        <v>613</v>
      </c>
      <c r="G99" s="32" t="s">
        <v>18</v>
      </c>
      <c r="H99" s="32">
        <v>1</v>
      </c>
      <c r="I99" s="30" t="s">
        <v>240</v>
      </c>
      <c r="J99" s="38">
        <v>68506</v>
      </c>
      <c r="K99" s="33">
        <f t="shared" si="2"/>
        <v>60</v>
      </c>
      <c r="L99" s="33" t="str">
        <f>"1|"&amp;INDEX([1]梦魇入侵!$E$28:$Q$78,MATCH($M99,[1]梦魇入侵!$D$28:$D$78,0),MATCH($K99,[1]梦魇入侵!$E$28:$Q$28,0))</f>
        <v>1|114300000</v>
      </c>
      <c r="M99" s="43">
        <v>8</v>
      </c>
      <c r="N99" s="33" t="str">
        <f t="shared" si="3"/>
        <v>今日累计伤害达到11430万</v>
      </c>
      <c r="O99"/>
      <c r="U99" s="33" t="e">
        <f>INT(MID($E99,MIN(FIND({0,1,2,3,4,5,6,7,8,9},$E99&amp;"0123456789")),LEN($E99)*2-LENB($E99)))</f>
        <v>#VALUE!</v>
      </c>
      <c r="V99" s="33" t="str">
        <f t="shared" si="4"/>
        <v>今日累计伤害达到 [00821c]4350[-] 万</v>
      </c>
    </row>
    <row r="100" spans="1:22" s="33" customFormat="1" ht="16.5">
      <c r="A100" s="28">
        <v>10097</v>
      </c>
      <c r="B100" s="28">
        <v>91104</v>
      </c>
      <c r="C100" s="29">
        <v>0</v>
      </c>
      <c r="D100" s="30">
        <v>13</v>
      </c>
      <c r="E100" s="31" t="s">
        <v>614</v>
      </c>
      <c r="F100" s="32" t="s">
        <v>614</v>
      </c>
      <c r="G100" s="32" t="s">
        <v>33</v>
      </c>
      <c r="H100" s="32">
        <v>2</v>
      </c>
      <c r="I100" s="30" t="s">
        <v>241</v>
      </c>
      <c r="J100" s="38">
        <v>68507</v>
      </c>
      <c r="K100" s="33">
        <f t="shared" si="2"/>
        <v>60</v>
      </c>
      <c r="L100" s="33" t="str">
        <f>"1|"&amp;INDEX([1]梦魇入侵!$E$28:$Q$78,MATCH($M100,[1]梦魇入侵!$D$28:$D$78,0),MATCH($K100,[1]梦魇入侵!$E$28:$Q$28,0))</f>
        <v>1|157200000</v>
      </c>
      <c r="M100" s="43">
        <v>11</v>
      </c>
      <c r="N100" s="33" t="str">
        <f t="shared" si="3"/>
        <v>今日累计伤害达到15720万</v>
      </c>
      <c r="O100"/>
      <c r="U100" s="33" t="e">
        <f>INT(MID($E100,MIN(FIND({0,1,2,3,4,5,6,7,8,9},$E100&amp;"0123456789")),LEN($E100)*2-LENB($E100)))</f>
        <v>#VALUE!</v>
      </c>
      <c r="V100" s="33" t="str">
        <f t="shared" si="4"/>
        <v>今日累计伤害达到 [00821c]5990[-] 万</v>
      </c>
    </row>
    <row r="101" spans="1:22" s="33" customFormat="1" ht="16.5">
      <c r="A101" s="28">
        <v>10098</v>
      </c>
      <c r="B101" s="28">
        <v>91104</v>
      </c>
      <c r="C101" s="29">
        <v>0</v>
      </c>
      <c r="D101" s="30">
        <v>15</v>
      </c>
      <c r="E101" s="31" t="s">
        <v>615</v>
      </c>
      <c r="F101" s="32" t="s">
        <v>615</v>
      </c>
      <c r="G101" s="32" t="s">
        <v>8</v>
      </c>
      <c r="H101" s="32">
        <v>2</v>
      </c>
      <c r="I101" s="30" t="s">
        <v>242</v>
      </c>
      <c r="J101" s="38">
        <v>68508</v>
      </c>
      <c r="K101" s="33">
        <f t="shared" si="2"/>
        <v>60</v>
      </c>
      <c r="L101" s="33" t="str">
        <f>"1|"&amp;INDEX([1]梦魇入侵!$E$28:$Q$78,MATCH($M101,[1]梦魇入侵!$D$28:$D$78,0),MATCH($K101,[1]梦魇入侵!$E$28:$Q$28,0))</f>
        <v>1|200000000</v>
      </c>
      <c r="M101" s="43">
        <v>14</v>
      </c>
      <c r="N101" s="33" t="str">
        <f t="shared" si="3"/>
        <v>今日累计伤害达到20000万</v>
      </c>
      <c r="O101"/>
      <c r="U101" s="33" t="e">
        <f>INT(MID($E101,MIN(FIND({0,1,2,3,4,5,6,7,8,9},$E101&amp;"0123456789")),LEN($E101)*2-LENB($E101)))</f>
        <v>#VALUE!</v>
      </c>
      <c r="V101" s="33" t="str">
        <f t="shared" si="4"/>
        <v>今日累计伤害达到 [00821c]7620[-] 万</v>
      </c>
    </row>
    <row r="102" spans="1:22" s="33" customFormat="1" ht="16.5">
      <c r="A102" s="28">
        <v>10099</v>
      </c>
      <c r="B102" s="28">
        <v>91104</v>
      </c>
      <c r="C102" s="29">
        <v>0</v>
      </c>
      <c r="D102" s="30">
        <v>17</v>
      </c>
      <c r="E102" s="31" t="s">
        <v>616</v>
      </c>
      <c r="F102" s="32" t="s">
        <v>616</v>
      </c>
      <c r="G102" s="32" t="s">
        <v>33</v>
      </c>
      <c r="H102" s="32">
        <v>2</v>
      </c>
      <c r="I102" s="30" t="s">
        <v>243</v>
      </c>
      <c r="J102" s="38">
        <v>68509</v>
      </c>
      <c r="K102" s="33">
        <f t="shared" si="2"/>
        <v>60</v>
      </c>
      <c r="L102" s="33" t="str">
        <f>"1|"&amp;INDEX([1]梦魇入侵!$E$28:$Q$78,MATCH($M102,[1]梦魇入侵!$D$28:$D$78,0),MATCH($K102,[1]梦魇入侵!$E$28:$Q$28,0))</f>
        <v>1|228600000</v>
      </c>
      <c r="M102" s="43">
        <v>16</v>
      </c>
      <c r="N102" s="33" t="str">
        <f t="shared" si="3"/>
        <v>今日累计伤害达到22860万</v>
      </c>
      <c r="O102"/>
      <c r="U102" s="33" t="e">
        <f>INT(MID($E102,MIN(FIND({0,1,2,3,4,5,6,7,8,9},$E102&amp;"0123456789")),LEN($E102)*2-LENB($E102)))</f>
        <v>#VALUE!</v>
      </c>
      <c r="V102" s="33" t="str">
        <f t="shared" si="4"/>
        <v>今日累计伤害达到 [00821c]8710[-] 万</v>
      </c>
    </row>
    <row r="103" spans="1:22" s="33" customFormat="1" ht="16.5">
      <c r="A103" s="28">
        <v>10100</v>
      </c>
      <c r="B103" s="28">
        <v>91104</v>
      </c>
      <c r="C103" s="29">
        <v>0</v>
      </c>
      <c r="D103" s="30">
        <v>19</v>
      </c>
      <c r="E103" s="31" t="s">
        <v>617</v>
      </c>
      <c r="F103" s="32" t="s">
        <v>617</v>
      </c>
      <c r="G103" s="32" t="s">
        <v>10</v>
      </c>
      <c r="H103" s="32">
        <v>2</v>
      </c>
      <c r="I103" s="30" t="s">
        <v>244</v>
      </c>
      <c r="J103" s="38">
        <v>68510</v>
      </c>
      <c r="K103" s="33">
        <f t="shared" si="2"/>
        <v>60</v>
      </c>
      <c r="L103" s="33" t="str">
        <f>"1|"&amp;INDEX([1]梦魇入侵!$E$28:$Q$78,MATCH($M103,[1]梦魇入侵!$D$28:$D$78,0),MATCH($K103,[1]梦魇入侵!$E$28:$Q$28,0))</f>
        <v>1|271500000</v>
      </c>
      <c r="M103" s="43">
        <v>19</v>
      </c>
      <c r="N103" s="33" t="str">
        <f t="shared" si="3"/>
        <v>今日累计伤害达到27150万</v>
      </c>
      <c r="O103"/>
      <c r="U103" s="33" t="e">
        <f>INT(MID($E103,MIN(FIND({0,1,2,3,4,5,6,7,8,9},$E103&amp;"0123456789")),LEN($E103)*2-LENB($E103)))</f>
        <v>#VALUE!</v>
      </c>
      <c r="V103" s="33" t="str">
        <f t="shared" si="4"/>
        <v>今日累计伤害达到 [00821c]10340[-] 万</v>
      </c>
    </row>
    <row r="104" spans="1:22" s="33" customFormat="1" ht="16.5">
      <c r="A104" s="28">
        <v>10101</v>
      </c>
      <c r="B104" s="28">
        <v>91104</v>
      </c>
      <c r="C104" s="29">
        <v>0</v>
      </c>
      <c r="D104" s="30">
        <v>21</v>
      </c>
      <c r="E104" s="31" t="s">
        <v>618</v>
      </c>
      <c r="F104" s="32" t="s">
        <v>618</v>
      </c>
      <c r="G104" s="32" t="s">
        <v>34</v>
      </c>
      <c r="H104" s="32">
        <v>2</v>
      </c>
      <c r="I104" s="30" t="s">
        <v>245</v>
      </c>
      <c r="J104" s="38">
        <v>68511</v>
      </c>
      <c r="K104" s="33">
        <f t="shared" si="2"/>
        <v>60</v>
      </c>
      <c r="L104" s="33" t="str">
        <f>"1|"&amp;INDEX([1]梦魇入侵!$E$28:$Q$78,MATCH($M104,[1]梦魇入侵!$D$28:$D$78,0),MATCH($K104,[1]梦魇入侵!$E$28:$Q$28,0))</f>
        <v>1|300000000</v>
      </c>
      <c r="M104" s="43">
        <v>21</v>
      </c>
      <c r="N104" s="33" t="str">
        <f t="shared" si="3"/>
        <v>今日累计伤害达到30000万</v>
      </c>
      <c r="O104"/>
      <c r="U104" s="33" t="e">
        <f>INT(MID($E104,MIN(FIND({0,1,2,3,4,5,6,7,8,9},$E104&amp;"0123456789")),LEN($E104)*2-LENB($E104)))</f>
        <v>#VALUE!</v>
      </c>
      <c r="V104" s="33" t="str">
        <f t="shared" si="4"/>
        <v>今日累计伤害达到 [00821c]11430[-] 万</v>
      </c>
    </row>
    <row r="105" spans="1:22" s="33" customFormat="1" ht="16.5">
      <c r="A105" s="28">
        <v>10102</v>
      </c>
      <c r="B105" s="28">
        <v>91104</v>
      </c>
      <c r="C105" s="29">
        <v>0</v>
      </c>
      <c r="D105" s="30">
        <v>23</v>
      </c>
      <c r="E105" s="31" t="s">
        <v>619</v>
      </c>
      <c r="F105" s="32" t="s">
        <v>619</v>
      </c>
      <c r="G105" s="32" t="s">
        <v>19</v>
      </c>
      <c r="H105" s="32">
        <v>3</v>
      </c>
      <c r="I105" s="30" t="s">
        <v>246</v>
      </c>
      <c r="J105" s="38">
        <v>68512</v>
      </c>
      <c r="K105" s="33">
        <f t="shared" si="2"/>
        <v>60</v>
      </c>
      <c r="L105" s="33" t="str">
        <f>"1|"&amp;INDEX([1]梦魇入侵!$E$28:$Q$78,MATCH($M105,[1]梦魇入侵!$D$28:$D$78,0),MATCH($K105,[1]梦魇入侵!$E$28:$Q$28,0))</f>
        <v>1|342900000</v>
      </c>
      <c r="M105" s="43">
        <v>24</v>
      </c>
      <c r="N105" s="33" t="str">
        <f t="shared" si="3"/>
        <v>今日累计伤害达到34290万</v>
      </c>
      <c r="O105"/>
      <c r="U105" s="33" t="e">
        <f>INT(MID($E105,MIN(FIND({0,1,2,3,4,5,6,7,8,9},$E105&amp;"0123456789")),LEN($E105)*2-LENB($E105)))</f>
        <v>#VALUE!</v>
      </c>
      <c r="V105" s="33" t="str">
        <f t="shared" si="4"/>
        <v>今日累计伤害达到 [00821c]13060[-] 万</v>
      </c>
    </row>
    <row r="106" spans="1:22" s="33" customFormat="1" ht="16.5">
      <c r="A106" s="28">
        <v>10103</v>
      </c>
      <c r="B106" s="28">
        <v>91104</v>
      </c>
      <c r="C106" s="29">
        <v>0</v>
      </c>
      <c r="D106" s="30">
        <v>25</v>
      </c>
      <c r="E106" s="31" t="s">
        <v>620</v>
      </c>
      <c r="F106" s="32" t="s">
        <v>620</v>
      </c>
      <c r="G106" s="32" t="s">
        <v>35</v>
      </c>
      <c r="H106" s="32">
        <v>3</v>
      </c>
      <c r="I106" s="30" t="s">
        <v>247</v>
      </c>
      <c r="J106" s="38">
        <v>68513</v>
      </c>
      <c r="K106" s="33">
        <f t="shared" si="2"/>
        <v>60</v>
      </c>
      <c r="L106" s="33" t="str">
        <f>"1|"&amp;INDEX([1]梦魇入侵!$E$28:$Q$78,MATCH($M106,[1]梦魇入侵!$D$28:$D$78,0),MATCH($K106,[1]梦魇入侵!$E$28:$Q$28,0))</f>
        <v>1|371500000</v>
      </c>
      <c r="M106" s="43">
        <v>26</v>
      </c>
      <c r="N106" s="33" t="str">
        <f t="shared" si="3"/>
        <v>今日累计伤害达到37150万</v>
      </c>
      <c r="O106"/>
      <c r="U106" s="33" t="e">
        <f>INT(MID($E106,MIN(FIND({0,1,2,3,4,5,6,7,8,9},$E106&amp;"0123456789")),LEN($E106)*2-LENB($E106)))</f>
        <v>#VALUE!</v>
      </c>
      <c r="V106" s="33" t="str">
        <f t="shared" si="4"/>
        <v>今日累计伤害达到 [00821c]14150[-] 万</v>
      </c>
    </row>
    <row r="107" spans="1:22" s="33" customFormat="1" ht="16.5">
      <c r="A107" s="28">
        <v>10104</v>
      </c>
      <c r="B107" s="28">
        <v>91104</v>
      </c>
      <c r="C107" s="29">
        <v>0</v>
      </c>
      <c r="D107" s="30">
        <v>27</v>
      </c>
      <c r="E107" s="31" t="s">
        <v>621</v>
      </c>
      <c r="F107" s="32" t="s">
        <v>621</v>
      </c>
      <c r="G107" s="32" t="s">
        <v>11</v>
      </c>
      <c r="H107" s="32">
        <v>3</v>
      </c>
      <c r="I107" s="30" t="s">
        <v>248</v>
      </c>
      <c r="J107" s="38">
        <v>68514</v>
      </c>
      <c r="K107" s="33">
        <f t="shared" si="2"/>
        <v>60</v>
      </c>
      <c r="L107" s="33" t="str">
        <f>"1|"&amp;INDEX([1]梦魇入侵!$E$28:$Q$78,MATCH($M107,[1]梦魇入侵!$D$28:$D$78,0),MATCH($K107,[1]梦魇入侵!$E$28:$Q$28,0))</f>
        <v>1|414300000</v>
      </c>
      <c r="M107" s="43">
        <v>29</v>
      </c>
      <c r="N107" s="33" t="str">
        <f t="shared" si="3"/>
        <v>今日累计伤害达到41430万</v>
      </c>
      <c r="O107"/>
      <c r="U107" s="33" t="e">
        <f>INT(MID($E107,MIN(FIND({0,1,2,3,4,5,6,7,8,9},$E107&amp;"0123456789")),LEN($E107)*2-LENB($E107)))</f>
        <v>#VALUE!</v>
      </c>
      <c r="V107" s="33" t="str">
        <f t="shared" si="4"/>
        <v>今日累计伤害达到 [00821c]15780[-] 万</v>
      </c>
    </row>
    <row r="108" spans="1:22" s="33" customFormat="1" ht="16.5">
      <c r="A108" s="28">
        <v>10105</v>
      </c>
      <c r="B108" s="28">
        <v>91104</v>
      </c>
      <c r="C108" s="29">
        <v>0</v>
      </c>
      <c r="D108" s="30">
        <v>29</v>
      </c>
      <c r="E108" s="31" t="s">
        <v>622</v>
      </c>
      <c r="F108" s="32" t="s">
        <v>622</v>
      </c>
      <c r="G108" s="32" t="s">
        <v>8</v>
      </c>
      <c r="H108" s="32">
        <v>3</v>
      </c>
      <c r="I108" s="30" t="s">
        <v>249</v>
      </c>
      <c r="J108" s="38">
        <v>68515</v>
      </c>
      <c r="K108" s="33">
        <f t="shared" si="2"/>
        <v>60</v>
      </c>
      <c r="L108" s="33" t="str">
        <f>"1|"&amp;INDEX([1]梦魇入侵!$E$28:$Q$78,MATCH($M108,[1]梦魇入侵!$D$28:$D$78,0),MATCH($K108,[1]梦魇入侵!$E$28:$Q$28,0))</f>
        <v>1|485800000</v>
      </c>
      <c r="M108" s="43">
        <v>34</v>
      </c>
      <c r="N108" s="33" t="str">
        <f t="shared" si="3"/>
        <v>今日累计伤害达到48580万</v>
      </c>
      <c r="O108"/>
      <c r="U108" s="33" t="e">
        <f>INT(MID($E108,MIN(FIND({0,1,2,3,4,5,6,7,8,9},$E108&amp;"0123456789")),LEN($E108)*2-LENB($E108)))</f>
        <v>#VALUE!</v>
      </c>
      <c r="V108" s="33" t="str">
        <f t="shared" si="4"/>
        <v>今日累计伤害达到 [00821c]18510[-] 万</v>
      </c>
    </row>
    <row r="109" spans="1:22" s="33" customFormat="1" ht="16.5">
      <c r="A109" s="28">
        <v>10106</v>
      </c>
      <c r="B109" s="28">
        <v>91104</v>
      </c>
      <c r="C109" s="29">
        <v>0</v>
      </c>
      <c r="D109" s="30">
        <v>31</v>
      </c>
      <c r="E109" s="31" t="s">
        <v>623</v>
      </c>
      <c r="F109" s="32" t="s">
        <v>623</v>
      </c>
      <c r="G109" s="32" t="s">
        <v>33</v>
      </c>
      <c r="H109" s="32">
        <v>3</v>
      </c>
      <c r="I109" s="30" t="s">
        <v>250</v>
      </c>
      <c r="J109" s="38">
        <v>68516</v>
      </c>
      <c r="K109" s="33">
        <f t="shared" si="2"/>
        <v>60</v>
      </c>
      <c r="L109" s="33" t="str">
        <f>"1|"&amp;INDEX([1]梦魇入侵!$E$28:$Q$78,MATCH($M109,[1]梦魇入侵!$D$28:$D$78,0),MATCH($K109,[1]梦魇入侵!$E$28:$Q$28,0))</f>
        <v>1|557200000</v>
      </c>
      <c r="M109" s="43">
        <v>39</v>
      </c>
      <c r="N109" s="33" t="str">
        <f t="shared" si="3"/>
        <v>今日累计伤害达到55720万</v>
      </c>
      <c r="O109"/>
      <c r="U109" s="33" t="e">
        <f>INT(MID($E109,MIN(FIND({0,1,2,3,4,5,6,7,8,9},$E109&amp;"0123456789")),LEN($E109)*2-LENB($E109)))</f>
        <v>#VALUE!</v>
      </c>
      <c r="V109" s="33" t="str">
        <f t="shared" si="4"/>
        <v>今日累计伤害达到 [00821c]21230[-] 万</v>
      </c>
    </row>
    <row r="110" spans="1:22" s="33" customFormat="1" ht="16.5">
      <c r="A110" s="28">
        <v>10107</v>
      </c>
      <c r="B110" s="28">
        <v>91104</v>
      </c>
      <c r="C110" s="29">
        <v>0</v>
      </c>
      <c r="D110" s="30">
        <v>33</v>
      </c>
      <c r="E110" s="31" t="s">
        <v>624</v>
      </c>
      <c r="F110" s="32" t="s">
        <v>624</v>
      </c>
      <c r="G110" s="32" t="s">
        <v>10</v>
      </c>
      <c r="H110" s="32">
        <v>3</v>
      </c>
      <c r="I110" s="30" t="s">
        <v>251</v>
      </c>
      <c r="J110" s="38">
        <v>68517</v>
      </c>
      <c r="K110" s="33">
        <f t="shared" si="2"/>
        <v>60</v>
      </c>
      <c r="L110" s="33" t="str">
        <f>"1|"&amp;INDEX([1]梦魇入侵!$E$28:$Q$78,MATCH($M110,[1]梦魇入侵!$D$28:$D$78,0),MATCH($K110,[1]梦魇入侵!$E$28:$Q$28,0))</f>
        <v>1|628600000</v>
      </c>
      <c r="M110" s="43">
        <v>44</v>
      </c>
      <c r="N110" s="33" t="str">
        <f t="shared" si="3"/>
        <v>今日累计伤害达到62860万</v>
      </c>
      <c r="O110"/>
      <c r="U110" s="33" t="e">
        <f>INT(MID($E110,MIN(FIND({0,1,2,3,4,5,6,7,8,9},$E110&amp;"0123456789")),LEN($E110)*2-LENB($E110)))</f>
        <v>#VALUE!</v>
      </c>
      <c r="V110" s="33" t="str">
        <f t="shared" si="4"/>
        <v>今日累计伤害达到 [00821c]23950[-] 万</v>
      </c>
    </row>
    <row r="111" spans="1:22" s="33" customFormat="1" ht="16.5">
      <c r="A111" s="28">
        <v>10108</v>
      </c>
      <c r="B111" s="28">
        <v>91104</v>
      </c>
      <c r="C111" s="29">
        <v>0</v>
      </c>
      <c r="D111" s="30">
        <v>35</v>
      </c>
      <c r="E111" s="31" t="s">
        <v>625</v>
      </c>
      <c r="F111" s="32" t="s">
        <v>625</v>
      </c>
      <c r="G111" s="32" t="s">
        <v>34</v>
      </c>
      <c r="H111" s="32">
        <v>4</v>
      </c>
      <c r="I111" s="30" t="s">
        <v>120</v>
      </c>
      <c r="J111" s="38">
        <v>68518</v>
      </c>
      <c r="K111" s="33">
        <f t="shared" si="2"/>
        <v>60</v>
      </c>
      <c r="L111" s="33" t="str">
        <f>"1|"&amp;INDEX([1]梦魇入侵!$E$28:$Q$78,MATCH($M111,[1]梦魇入侵!$D$28:$D$78,0),MATCH($K111,[1]梦魇入侵!$E$28:$Q$28,0))</f>
        <v>1|700100000</v>
      </c>
      <c r="M111" s="43">
        <v>49</v>
      </c>
      <c r="N111" s="33" t="str">
        <f t="shared" si="3"/>
        <v>今日累计伤害达到70010万</v>
      </c>
      <c r="O111"/>
      <c r="U111" s="33" t="e">
        <f>INT(MID($E111,MIN(FIND({0,1,2,3,4,5,6,7,8,9},$E111&amp;"0123456789")),LEN($E111)*2-LENB($E111)))</f>
        <v>#VALUE!</v>
      </c>
      <c r="V111" s="33" t="str">
        <f t="shared" si="4"/>
        <v>今日累计伤害达到 [00821c]26670[-] 万</v>
      </c>
    </row>
    <row r="112" spans="1:22" s="33" customFormat="1" ht="16.5">
      <c r="A112" s="28">
        <v>10109</v>
      </c>
      <c r="B112" s="28">
        <v>91104</v>
      </c>
      <c r="C112" s="29">
        <v>0</v>
      </c>
      <c r="D112" s="30">
        <v>37</v>
      </c>
      <c r="E112" s="31" t="s">
        <v>626</v>
      </c>
      <c r="F112" s="32" t="s">
        <v>626</v>
      </c>
      <c r="G112" s="32" t="s">
        <v>19</v>
      </c>
      <c r="H112" s="32">
        <v>4</v>
      </c>
      <c r="I112" s="30" t="s">
        <v>252</v>
      </c>
      <c r="J112" s="38">
        <v>68519</v>
      </c>
      <c r="K112" s="33">
        <f t="shared" si="2"/>
        <v>60</v>
      </c>
      <c r="L112" s="33" t="str">
        <f>"1|"&amp;INDEX([1]梦魇入侵!$E$28:$Q$78,MATCH($M112,[1]梦魇入侵!$D$28:$D$78,0),MATCH($K112,[1]梦魇入侵!$E$28:$Q$28,0))</f>
        <v>1|785800000</v>
      </c>
      <c r="M112" s="43">
        <v>55</v>
      </c>
      <c r="N112" s="33" t="str">
        <f t="shared" si="3"/>
        <v>今日累计伤害达到78580万</v>
      </c>
      <c r="O112"/>
      <c r="U112" s="33" t="e">
        <f>INT(MID($E112,MIN(FIND({0,1,2,3,4,5,6,7,8,9},$E112&amp;"0123456789")),LEN($E112)*2-LENB($E112)))</f>
        <v>#VALUE!</v>
      </c>
      <c r="V112" s="33" t="str">
        <f t="shared" si="4"/>
        <v>今日累计伤害达到 [00821c]29940[-] 万</v>
      </c>
    </row>
    <row r="113" spans="1:22" s="33" customFormat="1" ht="16.5">
      <c r="A113" s="28">
        <v>10110</v>
      </c>
      <c r="B113" s="28">
        <v>91104</v>
      </c>
      <c r="C113" s="29">
        <v>0</v>
      </c>
      <c r="D113" s="30">
        <v>39</v>
      </c>
      <c r="E113" s="31" t="s">
        <v>627</v>
      </c>
      <c r="F113" s="32" t="s">
        <v>627</v>
      </c>
      <c r="G113" s="32" t="s">
        <v>35</v>
      </c>
      <c r="H113" s="32">
        <v>4</v>
      </c>
      <c r="I113" s="30" t="s">
        <v>253</v>
      </c>
      <c r="J113" s="38">
        <v>68520</v>
      </c>
      <c r="K113" s="33">
        <f t="shared" si="2"/>
        <v>60</v>
      </c>
      <c r="L113" s="33" t="str">
        <f>"1|"&amp;INDEX([1]梦魇入侵!$E$28:$Q$78,MATCH($M113,[1]梦魇入侵!$D$28:$D$78,0),MATCH($K113,[1]梦魇入侵!$E$28:$Q$28,0))</f>
        <v>1|857200000</v>
      </c>
      <c r="M113" s="43">
        <v>60</v>
      </c>
      <c r="N113" s="33" t="str">
        <f t="shared" si="3"/>
        <v>今日累计伤害达到85720万</v>
      </c>
      <c r="O113"/>
      <c r="U113" s="33" t="e">
        <f>INT(MID($E113,MIN(FIND({0,1,2,3,4,5,6,7,8,9},$E113&amp;"0123456789")),LEN($E113)*2-LENB($E113)))</f>
        <v>#VALUE!</v>
      </c>
      <c r="V113" s="33" t="str">
        <f t="shared" si="4"/>
        <v>今日累计伤害达到 [00821c]32660[-] 万</v>
      </c>
    </row>
    <row r="114" spans="1:22" s="33" customFormat="1" ht="16.5">
      <c r="A114" s="28">
        <v>10111</v>
      </c>
      <c r="B114" s="28">
        <v>91104</v>
      </c>
      <c r="C114" s="29">
        <v>0</v>
      </c>
      <c r="D114" s="30">
        <v>41</v>
      </c>
      <c r="E114" s="31" t="s">
        <v>628</v>
      </c>
      <c r="F114" s="32" t="s">
        <v>628</v>
      </c>
      <c r="G114" s="32" t="s">
        <v>34</v>
      </c>
      <c r="H114" s="32">
        <v>4</v>
      </c>
      <c r="I114" s="30" t="s">
        <v>254</v>
      </c>
      <c r="J114" s="38">
        <v>68521</v>
      </c>
      <c r="K114" s="33">
        <f t="shared" si="2"/>
        <v>60</v>
      </c>
      <c r="L114" s="33" t="str">
        <f>"1|"&amp;INDEX([1]梦魇入侵!$E$28:$Q$78,MATCH($M114,[1]梦魇入侵!$D$28:$D$78,0),MATCH($K114,[1]梦魇入侵!$E$28:$Q$28,0))</f>
        <v>1|928700000</v>
      </c>
      <c r="M114" s="43">
        <v>65</v>
      </c>
      <c r="N114" s="33" t="str">
        <f t="shared" si="3"/>
        <v>今日累计伤害达到92870万</v>
      </c>
      <c r="O114"/>
      <c r="U114" s="33" t="e">
        <f>INT(MID($E114,MIN(FIND({0,1,2,3,4,5,6,7,8,9},$E114&amp;"0123456789")),LEN($E114)*2-LENB($E114)))</f>
        <v>#VALUE!</v>
      </c>
      <c r="V114" s="33" t="str">
        <f t="shared" si="4"/>
        <v>今日累计伤害达到 [00821c]35380[-] 万</v>
      </c>
    </row>
    <row r="115" spans="1:22" s="33" customFormat="1" ht="16.5">
      <c r="A115" s="28">
        <v>10112</v>
      </c>
      <c r="B115" s="28">
        <v>91104</v>
      </c>
      <c r="C115" s="29">
        <v>0</v>
      </c>
      <c r="D115" s="30">
        <v>43</v>
      </c>
      <c r="E115" s="31" t="s">
        <v>629</v>
      </c>
      <c r="F115" s="32" t="s">
        <v>629</v>
      </c>
      <c r="G115" s="32" t="s">
        <v>19</v>
      </c>
      <c r="H115" s="32">
        <v>4</v>
      </c>
      <c r="I115" s="30" t="s">
        <v>121</v>
      </c>
      <c r="J115" s="38">
        <v>68522</v>
      </c>
      <c r="K115" s="33">
        <f t="shared" si="2"/>
        <v>60</v>
      </c>
      <c r="L115" s="33" t="str">
        <f>"1|"&amp;INDEX([1]梦魇入侵!$E$28:$Q$78,MATCH($M115,[1]梦魇入侵!$D$28:$D$78,0),MATCH($K115,[1]梦魇入侵!$E$28:$Q$28,0))</f>
        <v>1|1000100000</v>
      </c>
      <c r="M115" s="43">
        <v>70</v>
      </c>
      <c r="N115" s="33" t="str">
        <f t="shared" si="3"/>
        <v>今日累计伤害达到100010万</v>
      </c>
      <c r="O115"/>
      <c r="U115" s="33" t="e">
        <f>INT(MID($E115,MIN(FIND({0,1,2,3,4,5,6,7,8,9},$E115&amp;"0123456789")),LEN($E115)*2-LENB($E115)))</f>
        <v>#VALUE!</v>
      </c>
      <c r="V115" s="33" t="str">
        <f t="shared" si="4"/>
        <v>今日累计伤害达到 [00821c]38100[-] 万</v>
      </c>
    </row>
    <row r="116" spans="1:22" s="33" customFormat="1" ht="16.5">
      <c r="A116" s="28">
        <v>10113</v>
      </c>
      <c r="B116" s="28">
        <v>91104</v>
      </c>
      <c r="C116" s="29">
        <v>0</v>
      </c>
      <c r="D116" s="30">
        <v>45</v>
      </c>
      <c r="E116" s="31" t="s">
        <v>630</v>
      </c>
      <c r="F116" s="32" t="s">
        <v>630</v>
      </c>
      <c r="G116" s="32" t="s">
        <v>35</v>
      </c>
      <c r="H116" s="32">
        <v>4</v>
      </c>
      <c r="I116" s="30" t="s">
        <v>255</v>
      </c>
      <c r="J116" s="38">
        <v>68523</v>
      </c>
      <c r="K116" s="33">
        <f t="shared" si="2"/>
        <v>60</v>
      </c>
      <c r="L116" s="33" t="str">
        <f>"1|"&amp;INDEX([1]梦魇入侵!$E$28:$Q$78,MATCH($M116,[1]梦魇入侵!$D$28:$D$78,0),MATCH($K116,[1]梦魇入侵!$E$28:$Q$28,0))</f>
        <v>1|1071500000</v>
      </c>
      <c r="M116" s="43">
        <v>75</v>
      </c>
      <c r="N116" s="33" t="str">
        <f t="shared" si="3"/>
        <v>今日累计伤害达到107150万</v>
      </c>
      <c r="O116"/>
      <c r="U116" s="33" t="e">
        <f>INT(MID($E116,MIN(FIND({0,1,2,3,4,5,6,7,8,9},$E116&amp;"0123456789")),LEN($E116)*2-LENB($E116)))</f>
        <v>#VALUE!</v>
      </c>
      <c r="V116" s="33" t="str">
        <f t="shared" si="4"/>
        <v>今日累计伤害达到 [00821c]40820[-] 万</v>
      </c>
    </row>
    <row r="117" spans="1:22" s="33" customFormat="1" ht="16.5">
      <c r="A117" s="28">
        <v>10114</v>
      </c>
      <c r="B117" s="28">
        <v>91104</v>
      </c>
      <c r="C117" s="29">
        <v>0</v>
      </c>
      <c r="D117" s="30">
        <v>47</v>
      </c>
      <c r="E117" s="31" t="s">
        <v>631</v>
      </c>
      <c r="F117" s="32" t="s">
        <v>631</v>
      </c>
      <c r="G117" s="32" t="s">
        <v>11</v>
      </c>
      <c r="H117" s="32">
        <v>4</v>
      </c>
      <c r="I117" s="30" t="s">
        <v>256</v>
      </c>
      <c r="J117" s="38">
        <v>68524</v>
      </c>
      <c r="K117" s="33">
        <f t="shared" si="2"/>
        <v>60</v>
      </c>
      <c r="L117" s="33" t="str">
        <f>"1|"&amp;INDEX([1]梦魇入侵!$E$28:$Q$78,MATCH($M117,[1]梦魇入侵!$D$28:$D$78,0),MATCH($K117,[1]梦魇入侵!$E$28:$Q$28,0))</f>
        <v>1|1285800000</v>
      </c>
      <c r="M117" s="43">
        <v>90</v>
      </c>
      <c r="N117" s="33" t="str">
        <f t="shared" si="3"/>
        <v>今日累计伤害达到128580万</v>
      </c>
      <c r="O117"/>
      <c r="U117" s="33" t="e">
        <f>INT(MID($E117,MIN(FIND({0,1,2,3,4,5,6,7,8,9},$E117&amp;"0123456789")),LEN($E117)*2-LENB($E117)))</f>
        <v>#VALUE!</v>
      </c>
      <c r="V117" s="33" t="str">
        <f t="shared" si="4"/>
        <v>今日累计伤害达到 [00821c]48990[-] 万</v>
      </c>
    </row>
    <row r="118" spans="1:22" s="33" customFormat="1" ht="16.5">
      <c r="A118" s="28">
        <v>10115</v>
      </c>
      <c r="B118" s="28">
        <v>91104</v>
      </c>
      <c r="C118" s="29">
        <v>0</v>
      </c>
      <c r="D118" s="30">
        <v>49</v>
      </c>
      <c r="E118" s="31" t="s">
        <v>632</v>
      </c>
      <c r="F118" s="32" t="s">
        <v>632</v>
      </c>
      <c r="G118" s="32" t="s">
        <v>8</v>
      </c>
      <c r="H118" s="32">
        <v>4</v>
      </c>
      <c r="I118" s="30" t="s">
        <v>257</v>
      </c>
      <c r="J118" s="38">
        <v>68525</v>
      </c>
      <c r="K118" s="33">
        <f t="shared" si="2"/>
        <v>60</v>
      </c>
      <c r="L118" s="33" t="str">
        <f>"1|"&amp;INDEX([1]梦魇入侵!$E$28:$Q$78,MATCH($M118,[1]梦魇入侵!$D$28:$D$78,0),MATCH($K118,[1]梦魇入侵!$E$28:$Q$28,0))</f>
        <v>1|1371600000</v>
      </c>
      <c r="M118" s="43">
        <v>96</v>
      </c>
      <c r="N118" s="33" t="str">
        <f t="shared" si="3"/>
        <v>今日累计伤害达到137160万</v>
      </c>
      <c r="O118"/>
      <c r="U118" s="33" t="e">
        <f>INT(MID($E118,MIN(FIND({0,1,2,3,4,5,6,7,8,9},$E118&amp;"0123456789")),LEN($E118)*2-LENB($E118)))</f>
        <v>#VALUE!</v>
      </c>
      <c r="V118" s="33" t="str">
        <f t="shared" si="4"/>
        <v>今日累计伤害达到 [00821c]52250[-] 万</v>
      </c>
    </row>
    <row r="119" spans="1:22" s="33" customFormat="1" ht="16.5">
      <c r="A119" s="28">
        <v>10116</v>
      </c>
      <c r="B119" s="28">
        <v>91104</v>
      </c>
      <c r="C119" s="29">
        <v>0</v>
      </c>
      <c r="D119" s="30">
        <v>51</v>
      </c>
      <c r="E119" s="31" t="s">
        <v>633</v>
      </c>
      <c r="F119" s="32" t="s">
        <v>633</v>
      </c>
      <c r="G119" s="32" t="s">
        <v>33</v>
      </c>
      <c r="H119" s="32">
        <v>4</v>
      </c>
      <c r="I119" s="30" t="s">
        <v>258</v>
      </c>
      <c r="J119" s="38">
        <v>68526</v>
      </c>
      <c r="K119" s="33">
        <f t="shared" si="2"/>
        <v>60</v>
      </c>
      <c r="L119" s="33" t="str">
        <f>"1|"&amp;INDEX([1]梦魇入侵!$E$28:$Q$78,MATCH($M119,[1]梦魇入侵!$D$28:$D$78,0),MATCH($K119,[1]梦魇入侵!$E$28:$Q$28,0))</f>
        <v>1|1443000000</v>
      </c>
      <c r="M119" s="43">
        <v>101</v>
      </c>
      <c r="N119" s="33" t="str">
        <f t="shared" si="3"/>
        <v>今日累计伤害达到144300万</v>
      </c>
      <c r="O119"/>
      <c r="U119" s="33" t="e">
        <f>INT(MID($E119,MIN(FIND({0,1,2,3,4,5,6,7,8,9},$E119&amp;"0123456789")),LEN($E119)*2-LENB($E119)))</f>
        <v>#VALUE!</v>
      </c>
      <c r="V119" s="33" t="str">
        <f t="shared" si="4"/>
        <v>今日累计伤害达到 [00821c]54970[-] 万</v>
      </c>
    </row>
    <row r="120" spans="1:22" s="33" customFormat="1" ht="16.5">
      <c r="A120" s="28">
        <v>10117</v>
      </c>
      <c r="B120" s="28">
        <v>91104</v>
      </c>
      <c r="C120" s="29">
        <v>0</v>
      </c>
      <c r="D120" s="30">
        <v>53</v>
      </c>
      <c r="E120" s="31" t="s">
        <v>634</v>
      </c>
      <c r="F120" s="32" t="s">
        <v>634</v>
      </c>
      <c r="G120" s="32" t="s">
        <v>10</v>
      </c>
      <c r="H120" s="32">
        <v>4</v>
      </c>
      <c r="I120" s="30" t="s">
        <v>259</v>
      </c>
      <c r="J120" s="38">
        <v>68527</v>
      </c>
      <c r="K120" s="33">
        <f t="shared" si="2"/>
        <v>60</v>
      </c>
      <c r="L120" s="33" t="str">
        <f>"1|"&amp;INDEX([1]梦魇入侵!$E$28:$Q$78,MATCH($M120,[1]梦魇入侵!$D$28:$D$78,0),MATCH($K120,[1]梦魇入侵!$E$28:$Q$28,0))</f>
        <v>1|1514400000</v>
      </c>
      <c r="M120" s="43">
        <v>106</v>
      </c>
      <c r="N120" s="33" t="str">
        <f t="shared" si="3"/>
        <v>今日累计伤害达到151440万</v>
      </c>
      <c r="O120"/>
      <c r="U120" s="33" t="e">
        <f>INT(MID($E120,MIN(FIND({0,1,2,3,4,5,6,7,8,9},$E120&amp;"0123456789")),LEN($E120)*2-LENB($E120)))</f>
        <v>#VALUE!</v>
      </c>
      <c r="V120" s="33" t="str">
        <f t="shared" si="4"/>
        <v>今日累计伤害达到 [00821c]57700[-] 万</v>
      </c>
    </row>
    <row r="121" spans="1:22" s="33" customFormat="1" ht="16.5">
      <c r="A121" s="28">
        <v>10118</v>
      </c>
      <c r="B121" s="28">
        <v>91104</v>
      </c>
      <c r="C121" s="29">
        <v>0</v>
      </c>
      <c r="D121" s="30">
        <v>55</v>
      </c>
      <c r="E121" s="31" t="s">
        <v>635</v>
      </c>
      <c r="F121" s="32" t="s">
        <v>635</v>
      </c>
      <c r="G121" s="32" t="s">
        <v>34</v>
      </c>
      <c r="H121" s="32">
        <v>4</v>
      </c>
      <c r="I121" s="30" t="s">
        <v>260</v>
      </c>
      <c r="J121" s="38">
        <v>68528</v>
      </c>
      <c r="K121" s="33">
        <f t="shared" si="2"/>
        <v>60</v>
      </c>
      <c r="L121" s="33" t="str">
        <f>"1|"&amp;INDEX([1]梦魇入侵!$E$28:$Q$78,MATCH($M121,[1]梦魇入侵!$D$28:$D$78,0),MATCH($K121,[1]梦魇入侵!$E$28:$Q$28,0))</f>
        <v>1|1585900000</v>
      </c>
      <c r="M121" s="43">
        <v>111</v>
      </c>
      <c r="N121" s="33" t="str">
        <f t="shared" si="3"/>
        <v>今日累计伤害达到158590万</v>
      </c>
      <c r="O121"/>
      <c r="U121" s="33" t="e">
        <f>INT(MID($E121,MIN(FIND({0,1,2,3,4,5,6,7,8,9},$E121&amp;"0123456789")),LEN($E121)*2-LENB($E121)))</f>
        <v>#VALUE!</v>
      </c>
      <c r="V121" s="33" t="str">
        <f t="shared" si="4"/>
        <v>今日累计伤害达到 [00821c]60420[-] 万</v>
      </c>
    </row>
    <row r="122" spans="1:22" s="33" customFormat="1" ht="16.5">
      <c r="A122" s="28">
        <v>10119</v>
      </c>
      <c r="B122" s="28">
        <v>91104</v>
      </c>
      <c r="C122" s="29">
        <v>0</v>
      </c>
      <c r="D122" s="30">
        <v>57</v>
      </c>
      <c r="E122" s="31" t="s">
        <v>636</v>
      </c>
      <c r="F122" s="32" t="s">
        <v>636</v>
      </c>
      <c r="G122" s="32" t="s">
        <v>19</v>
      </c>
      <c r="H122" s="32">
        <v>4</v>
      </c>
      <c r="I122" s="30" t="s">
        <v>261</v>
      </c>
      <c r="J122" s="38">
        <v>68529</v>
      </c>
      <c r="K122" s="33">
        <f t="shared" si="2"/>
        <v>60</v>
      </c>
      <c r="L122" s="33" t="str">
        <f>"1|"&amp;INDEX([1]梦魇入侵!$E$28:$Q$78,MATCH($M122,[1]梦魇入侵!$D$28:$D$78,0),MATCH($K122,[1]梦魇入侵!$E$28:$Q$28,0))</f>
        <v>1|1657300000</v>
      </c>
      <c r="M122" s="43">
        <v>116</v>
      </c>
      <c r="N122" s="33" t="str">
        <f t="shared" si="3"/>
        <v>今日累计伤害达到165730万</v>
      </c>
      <c r="O122"/>
      <c r="U122" s="33" t="e">
        <f>INT(MID($E122,MIN(FIND({0,1,2,3,4,5,6,7,8,9},$E122&amp;"0123456789")),LEN($E122)*2-LENB($E122)))</f>
        <v>#VALUE!</v>
      </c>
      <c r="V122" s="33" t="str">
        <f t="shared" si="4"/>
        <v>今日累计伤害达到 [00821c]63140[-] 万</v>
      </c>
    </row>
    <row r="123" spans="1:22" s="33" customFormat="1" ht="16.5">
      <c r="A123" s="28">
        <v>10120</v>
      </c>
      <c r="B123" s="28">
        <v>91104</v>
      </c>
      <c r="C123" s="29">
        <v>0</v>
      </c>
      <c r="D123" s="30">
        <v>59</v>
      </c>
      <c r="E123" s="31" t="s">
        <v>637</v>
      </c>
      <c r="F123" s="32" t="s">
        <v>637</v>
      </c>
      <c r="G123" s="32" t="s">
        <v>35</v>
      </c>
      <c r="H123" s="32">
        <v>4</v>
      </c>
      <c r="I123" s="30" t="s">
        <v>262</v>
      </c>
      <c r="J123" s="38">
        <v>68530</v>
      </c>
      <c r="K123" s="33">
        <f t="shared" si="2"/>
        <v>60</v>
      </c>
      <c r="L123" s="33" t="str">
        <f>"1|"&amp;INDEX([1]梦魇入侵!$E$28:$Q$78,MATCH($M123,[1]梦魇入侵!$D$28:$D$78,0),MATCH($K123,[1]梦魇入侵!$E$28:$Q$28,0))</f>
        <v>1|1728700000</v>
      </c>
      <c r="M123" s="43">
        <v>121</v>
      </c>
      <c r="N123" s="33" t="str">
        <f t="shared" si="3"/>
        <v>今日累计伤害达到172870万</v>
      </c>
      <c r="O123"/>
      <c r="U123" s="33" t="e">
        <f>INT(MID($E123,MIN(FIND({0,1,2,3,4,5,6,7,8,9},$E123&amp;"0123456789")),LEN($E123)*2-LENB($E123)))</f>
        <v>#VALUE!</v>
      </c>
      <c r="V123" s="33" t="str">
        <f t="shared" si="4"/>
        <v>今日累计伤害达到 [00821c]65860[-] 万</v>
      </c>
    </row>
    <row r="124" spans="1:22" ht="16.5">
      <c r="A124" s="2">
        <v>10121</v>
      </c>
      <c r="B124" s="2">
        <v>91105</v>
      </c>
      <c r="C124" s="25">
        <v>0</v>
      </c>
      <c r="D124" s="10">
        <v>1</v>
      </c>
      <c r="E124" s="14" t="s">
        <v>638</v>
      </c>
      <c r="F124" s="20" t="s">
        <v>638</v>
      </c>
      <c r="G124" s="20" t="s">
        <v>90</v>
      </c>
      <c r="H124" s="20">
        <v>1</v>
      </c>
      <c r="I124" s="10" t="s">
        <v>263</v>
      </c>
      <c r="J124" s="36">
        <v>68501</v>
      </c>
      <c r="K124">
        <f t="shared" si="2"/>
        <v>70</v>
      </c>
      <c r="L124" t="str">
        <f>"1|"&amp;INDEX([1]梦魇入侵!$E$28:$Q$78,MATCH($M124,[1]梦魇入侵!$D$28:$D$78,0),MATCH($K124,[1]梦魇入侵!$E$28:$Q$28,0))</f>
        <v>1|16600000</v>
      </c>
      <c r="M124" s="42">
        <v>1</v>
      </c>
      <c r="N124" t="str">
        <f t="shared" si="3"/>
        <v>今日累计伤害达到1660万</v>
      </c>
      <c r="U124" t="e">
        <f>INT(MID($E124,MIN(FIND({0,1,2,3,4,5,6,7,8,9},$E124&amp;"0123456789")),LEN($E124)*2-LENB($E124)))</f>
        <v>#VALUE!</v>
      </c>
      <c r="V124" t="str">
        <f t="shared" si="4"/>
        <v>今日累计伤害达到 [00821c]630[-] 万</v>
      </c>
    </row>
    <row r="125" spans="1:22" ht="16.5">
      <c r="A125" s="2">
        <v>10122</v>
      </c>
      <c r="B125" s="2">
        <v>91105</v>
      </c>
      <c r="C125" s="25">
        <v>0</v>
      </c>
      <c r="D125" s="10">
        <v>3</v>
      </c>
      <c r="E125" s="14" t="s">
        <v>639</v>
      </c>
      <c r="F125" s="20" t="s">
        <v>639</v>
      </c>
      <c r="G125" s="20" t="s">
        <v>1</v>
      </c>
      <c r="H125" s="20">
        <v>1</v>
      </c>
      <c r="I125" s="10" t="s">
        <v>264</v>
      </c>
      <c r="J125" s="36">
        <v>68502</v>
      </c>
      <c r="K125">
        <f t="shared" si="2"/>
        <v>70</v>
      </c>
      <c r="L125" t="str">
        <f>"1|"&amp;INDEX([1]梦魇入侵!$E$28:$Q$78,MATCH($M125,[1]梦魇入侵!$D$28:$D$78,0),MATCH($K125,[1]梦魇入侵!$E$28:$Q$28,0))</f>
        <v>1|33300000</v>
      </c>
      <c r="M125" s="42">
        <v>2</v>
      </c>
      <c r="N125" t="str">
        <f t="shared" si="3"/>
        <v>今日累计伤害达到3330万</v>
      </c>
      <c r="U125" t="e">
        <f>INT(MID($E125,MIN(FIND({0,1,2,3,4,5,6,7,8,9},$E125&amp;"0123456789")),LEN($E125)*2-LENB($E125)))</f>
        <v>#VALUE!</v>
      </c>
      <c r="V125" t="str">
        <f t="shared" si="4"/>
        <v>今日累计伤害达到 [00821c]1260[-] 万</v>
      </c>
    </row>
    <row r="126" spans="1:22" ht="16.5">
      <c r="A126" s="2">
        <v>10123</v>
      </c>
      <c r="B126" s="2">
        <v>91105</v>
      </c>
      <c r="C126" s="25">
        <v>0</v>
      </c>
      <c r="D126" s="10">
        <v>5</v>
      </c>
      <c r="E126" s="14" t="s">
        <v>640</v>
      </c>
      <c r="F126" s="20" t="s">
        <v>640</v>
      </c>
      <c r="G126" s="20" t="s">
        <v>2</v>
      </c>
      <c r="H126" s="20">
        <v>1</v>
      </c>
      <c r="I126" s="10" t="s">
        <v>265</v>
      </c>
      <c r="J126" s="36">
        <v>68503</v>
      </c>
      <c r="K126">
        <f t="shared" si="2"/>
        <v>70</v>
      </c>
      <c r="L126" t="str">
        <f>"1|"&amp;INDEX([1]梦魇入侵!$E$28:$Q$78,MATCH($M126,[1]梦魇入侵!$D$28:$D$78,0),MATCH($K126,[1]梦魇入侵!$E$28:$Q$28,0))</f>
        <v>1|49900000</v>
      </c>
      <c r="M126" s="42">
        <v>3</v>
      </c>
      <c r="N126" t="str">
        <f t="shared" si="3"/>
        <v>今日累计伤害达到4990万</v>
      </c>
      <c r="U126" t="e">
        <f>INT(MID($E126,MIN(FIND({0,1,2,3,4,5,6,7,8,9},$E126&amp;"0123456789")),LEN($E126)*2-LENB($E126)))</f>
        <v>#VALUE!</v>
      </c>
      <c r="V126" t="str">
        <f t="shared" si="4"/>
        <v>今日累计伤害达到 [00821c]1890[-] 万</v>
      </c>
    </row>
    <row r="127" spans="1:22" ht="16.5">
      <c r="A127" s="2">
        <v>10124</v>
      </c>
      <c r="B127" s="2">
        <v>91105</v>
      </c>
      <c r="C127" s="25">
        <v>0</v>
      </c>
      <c r="D127" s="10">
        <v>7</v>
      </c>
      <c r="E127" s="14" t="s">
        <v>641</v>
      </c>
      <c r="F127" s="20" t="s">
        <v>641</v>
      </c>
      <c r="G127" s="20" t="s">
        <v>12</v>
      </c>
      <c r="H127" s="20">
        <v>1</v>
      </c>
      <c r="I127" s="10" t="s">
        <v>266</v>
      </c>
      <c r="J127" s="36">
        <v>68504</v>
      </c>
      <c r="K127">
        <f t="shared" si="2"/>
        <v>70</v>
      </c>
      <c r="L127" t="str">
        <f>"1|"&amp;INDEX([1]梦魇入侵!$E$28:$Q$78,MATCH($M127,[1]梦魇入侵!$D$28:$D$78,0),MATCH($K127,[1]梦魇入侵!$E$28:$Q$28,0))</f>
        <v>1|83200000</v>
      </c>
      <c r="M127" s="42">
        <v>5</v>
      </c>
      <c r="N127" t="str">
        <f t="shared" si="3"/>
        <v>今日累计伤害达到8320万</v>
      </c>
      <c r="U127" t="e">
        <f>INT(MID($E127,MIN(FIND({0,1,2,3,4,5,6,7,8,9},$E127&amp;"0123456789")),LEN($E127)*2-LENB($E127)))</f>
        <v>#VALUE!</v>
      </c>
      <c r="V127" t="str">
        <f t="shared" si="4"/>
        <v>今日累计伤害达到 [00821c]3160[-] 万</v>
      </c>
    </row>
    <row r="128" spans="1:22" ht="16.5">
      <c r="A128" s="2">
        <v>10125</v>
      </c>
      <c r="B128" s="2">
        <v>91105</v>
      </c>
      <c r="C128" s="25">
        <v>0</v>
      </c>
      <c r="D128" s="10">
        <v>9</v>
      </c>
      <c r="E128" s="14" t="s">
        <v>642</v>
      </c>
      <c r="F128" s="20" t="s">
        <v>642</v>
      </c>
      <c r="G128" s="20" t="s">
        <v>22</v>
      </c>
      <c r="H128" s="20">
        <v>1</v>
      </c>
      <c r="I128" s="10" t="s">
        <v>267</v>
      </c>
      <c r="J128" s="36">
        <v>68505</v>
      </c>
      <c r="K128">
        <f t="shared" si="2"/>
        <v>70</v>
      </c>
      <c r="L128" t="str">
        <f>"1|"&amp;INDEX([1]梦魇入侵!$E$28:$Q$78,MATCH($M128,[1]梦魇入侵!$D$28:$D$78,0),MATCH($K128,[1]梦魇入侵!$E$28:$Q$28,0))</f>
        <v>1|99800000</v>
      </c>
      <c r="M128" s="42">
        <v>6</v>
      </c>
      <c r="N128" t="str">
        <f t="shared" si="3"/>
        <v>今日累计伤害达到9980万</v>
      </c>
      <c r="U128" t="e">
        <f>INT(MID($E128,MIN(FIND({0,1,2,3,4,5,6,7,8,9},$E128&amp;"0123456789")),LEN($E128)*2-LENB($E128)))</f>
        <v>#VALUE!</v>
      </c>
      <c r="V128" t="str">
        <f t="shared" si="4"/>
        <v>今日累计伤害达到 [00821c]3790[-] 万</v>
      </c>
    </row>
    <row r="129" spans="1:22" ht="16.5">
      <c r="A129" s="2">
        <v>10126</v>
      </c>
      <c r="B129" s="2">
        <v>91105</v>
      </c>
      <c r="C129" s="25">
        <v>0</v>
      </c>
      <c r="D129" s="10">
        <v>11</v>
      </c>
      <c r="E129" s="14" t="s">
        <v>643</v>
      </c>
      <c r="F129" s="20" t="s">
        <v>643</v>
      </c>
      <c r="G129" s="20" t="s">
        <v>3</v>
      </c>
      <c r="H129" s="20">
        <v>1</v>
      </c>
      <c r="I129" s="10" t="s">
        <v>268</v>
      </c>
      <c r="J129" s="36">
        <v>68506</v>
      </c>
      <c r="K129">
        <f t="shared" ref="K129:K192" si="5">K99+10</f>
        <v>70</v>
      </c>
      <c r="L129" t="str">
        <f>"1|"&amp;INDEX([1]梦魇入侵!$E$28:$Q$78,MATCH($M129,[1]梦魇入侵!$D$28:$D$78,0),MATCH($K129,[1]梦魇入侵!$E$28:$Q$28,0))</f>
        <v>1|133100000</v>
      </c>
      <c r="M129" s="42">
        <v>8</v>
      </c>
      <c r="N129" t="str">
        <f t="shared" si="3"/>
        <v>今日累计伤害达到13310万</v>
      </c>
      <c r="U129" t="e">
        <f>INT(MID($E129,MIN(FIND({0,1,2,3,4,5,6,7,8,9},$E129&amp;"0123456789")),LEN($E129)*2-LENB($E129)))</f>
        <v>#VALUE!</v>
      </c>
      <c r="V129" t="str">
        <f t="shared" si="4"/>
        <v>今日累计伤害达到 [00821c]5050[-] 万</v>
      </c>
    </row>
    <row r="130" spans="1:22" ht="16.5">
      <c r="A130" s="2">
        <v>10127</v>
      </c>
      <c r="B130" s="2">
        <v>91105</v>
      </c>
      <c r="C130" s="25">
        <v>0</v>
      </c>
      <c r="D130" s="10">
        <v>13</v>
      </c>
      <c r="E130" s="14" t="s">
        <v>644</v>
      </c>
      <c r="F130" s="20" t="s">
        <v>644</v>
      </c>
      <c r="G130" s="20" t="s">
        <v>23</v>
      </c>
      <c r="H130" s="20">
        <v>2</v>
      </c>
      <c r="I130" s="10" t="s">
        <v>269</v>
      </c>
      <c r="J130" s="36">
        <v>68507</v>
      </c>
      <c r="K130">
        <f t="shared" si="5"/>
        <v>70</v>
      </c>
      <c r="L130" t="str">
        <f>"1|"&amp;INDEX([1]梦魇入侵!$E$28:$Q$78,MATCH($M130,[1]梦魇入侵!$D$28:$D$78,0),MATCH($K130,[1]梦魇入侵!$E$28:$Q$28,0))</f>
        <v>1|183000000</v>
      </c>
      <c r="M130" s="42">
        <v>11</v>
      </c>
      <c r="N130" t="str">
        <f t="shared" si="3"/>
        <v>今日累计伤害达到18300万</v>
      </c>
      <c r="U130" t="e">
        <f>INT(MID($E130,MIN(FIND({0,1,2,3,4,5,6,7,8,9},$E130&amp;"0123456789")),LEN($E130)*2-LENB($E130)))</f>
        <v>#VALUE!</v>
      </c>
      <c r="V130" t="str">
        <f t="shared" si="4"/>
        <v>今日累计伤害达到 [00821c]6940[-] 万</v>
      </c>
    </row>
    <row r="131" spans="1:22" ht="16.5">
      <c r="A131" s="2">
        <v>10128</v>
      </c>
      <c r="B131" s="2">
        <v>91105</v>
      </c>
      <c r="C131" s="25">
        <v>0</v>
      </c>
      <c r="D131" s="10">
        <v>15</v>
      </c>
      <c r="E131" s="14" t="s">
        <v>645</v>
      </c>
      <c r="F131" s="20" t="s">
        <v>645</v>
      </c>
      <c r="G131" s="20" t="s">
        <v>9</v>
      </c>
      <c r="H131" s="20">
        <v>2</v>
      </c>
      <c r="I131" s="10" t="s">
        <v>270</v>
      </c>
      <c r="J131" s="36">
        <v>68508</v>
      </c>
      <c r="K131">
        <f t="shared" si="5"/>
        <v>70</v>
      </c>
      <c r="L131" t="str">
        <f>"1|"&amp;INDEX([1]梦魇入侵!$E$28:$Q$78,MATCH($M131,[1]梦魇入侵!$D$28:$D$78,0),MATCH($K131,[1]梦魇入侵!$E$28:$Q$28,0))</f>
        <v>1|232800000</v>
      </c>
      <c r="M131" s="42">
        <v>14</v>
      </c>
      <c r="N131" t="str">
        <f t="shared" si="3"/>
        <v>今日累计伤害达到23280万</v>
      </c>
      <c r="U131" t="e">
        <f>INT(MID($E131,MIN(FIND({0,1,2,3,4,5,6,7,8,9},$E131&amp;"0123456789")),LEN($E131)*2-LENB($E131)))</f>
        <v>#VALUE!</v>
      </c>
      <c r="V131" t="str">
        <f t="shared" si="4"/>
        <v>今日累计伤害达到 [00821c]8840[-] 万</v>
      </c>
    </row>
    <row r="132" spans="1:22" ht="16.5">
      <c r="A132" s="2">
        <v>10129</v>
      </c>
      <c r="B132" s="2">
        <v>91105</v>
      </c>
      <c r="C132" s="25">
        <v>0</v>
      </c>
      <c r="D132" s="10">
        <v>17</v>
      </c>
      <c r="E132" s="14" t="s">
        <v>646</v>
      </c>
      <c r="F132" s="20" t="s">
        <v>646</v>
      </c>
      <c r="G132" s="20" t="s">
        <v>5</v>
      </c>
      <c r="H132" s="20">
        <v>2</v>
      </c>
      <c r="I132" s="10" t="s">
        <v>271</v>
      </c>
      <c r="J132" s="36">
        <v>68509</v>
      </c>
      <c r="K132">
        <f t="shared" si="5"/>
        <v>70</v>
      </c>
      <c r="L132" t="str">
        <f>"1|"&amp;INDEX([1]梦魇入侵!$E$28:$Q$78,MATCH($M132,[1]梦魇入侵!$D$28:$D$78,0),MATCH($K132,[1]梦魇入侵!$E$28:$Q$28,0))</f>
        <v>1|266100000</v>
      </c>
      <c r="M132" s="42">
        <v>16</v>
      </c>
      <c r="N132" t="str">
        <f t="shared" ref="N132:N195" si="6">"今日累计伤害达到"&amp;RIGHT($L132,LEN($L132)-2)/10000&amp;"万"</f>
        <v>今日累计伤害达到26610万</v>
      </c>
      <c r="U132" t="e">
        <f>INT(MID($E132,MIN(FIND({0,1,2,3,4,5,6,7,8,9},$E132&amp;"0123456789")),LEN($E132)*2-LENB($E132)))</f>
        <v>#VALUE!</v>
      </c>
      <c r="V132" t="str">
        <f t="shared" si="4"/>
        <v>今日累计伤害达到 [00821c]10100[-] 万</v>
      </c>
    </row>
    <row r="133" spans="1:22" ht="16.5">
      <c r="A133" s="2">
        <v>10130</v>
      </c>
      <c r="B133" s="2">
        <v>91105</v>
      </c>
      <c r="C133" s="25">
        <v>0</v>
      </c>
      <c r="D133" s="10">
        <v>19</v>
      </c>
      <c r="E133" s="14" t="s">
        <v>647</v>
      </c>
      <c r="F133" s="20" t="s">
        <v>647</v>
      </c>
      <c r="G133" s="20" t="s">
        <v>24</v>
      </c>
      <c r="H133" s="20">
        <v>2</v>
      </c>
      <c r="I133" s="10" t="s">
        <v>272</v>
      </c>
      <c r="J133" s="36">
        <v>68510</v>
      </c>
      <c r="K133">
        <f t="shared" si="5"/>
        <v>70</v>
      </c>
      <c r="L133" t="str">
        <f>"1|"&amp;INDEX([1]梦魇入侵!$E$28:$Q$78,MATCH($M133,[1]梦魇入侵!$D$28:$D$78,0),MATCH($K133,[1]梦魇入侵!$E$28:$Q$28,0))</f>
        <v>1|316000000</v>
      </c>
      <c r="M133" s="42">
        <v>19</v>
      </c>
      <c r="N133" t="str">
        <f t="shared" si="6"/>
        <v>今日累计伤害达到31600万</v>
      </c>
      <c r="U133" t="e">
        <f>INT(MID($E133,MIN(FIND({0,1,2,3,4,5,6,7,8,9},$E133&amp;"0123456789")),LEN($E133)*2-LENB($E133)))</f>
        <v>#VALUE!</v>
      </c>
      <c r="V133" t="str">
        <f t="shared" ref="V133:V196" si="7">IF(ISERROR($U133),$E133,LEFT($E133,FIND($U133,$E133)-1)&amp;" [379340]"&amp;U133&amp;"[-] "&amp;IFERROR(RIGHT($E133,LEN($E133)-FIND($U133,$E133)-LEN($U133)+1),""))</f>
        <v>今日累计伤害达到 [00821c]11990[-] 万</v>
      </c>
    </row>
    <row r="134" spans="1:22" ht="16.5">
      <c r="A134" s="2">
        <v>10131</v>
      </c>
      <c r="B134" s="2">
        <v>91105</v>
      </c>
      <c r="C134" s="25">
        <v>0</v>
      </c>
      <c r="D134" s="10">
        <v>21</v>
      </c>
      <c r="E134" s="14" t="s">
        <v>591</v>
      </c>
      <c r="F134" s="20" t="s">
        <v>591</v>
      </c>
      <c r="G134" s="20" t="s">
        <v>27</v>
      </c>
      <c r="H134" s="20">
        <v>2</v>
      </c>
      <c r="I134" s="10" t="s">
        <v>218</v>
      </c>
      <c r="J134" s="36">
        <v>68511</v>
      </c>
      <c r="K134">
        <f t="shared" si="5"/>
        <v>70</v>
      </c>
      <c r="L134" t="str">
        <f>"1|"&amp;INDEX([1]梦魇入侵!$E$28:$Q$78,MATCH($M134,[1]梦魇入侵!$D$28:$D$78,0),MATCH($K134,[1]梦魇入侵!$E$28:$Q$28,0))</f>
        <v>1|349300000</v>
      </c>
      <c r="M134" s="42">
        <v>21</v>
      </c>
      <c r="N134" t="str">
        <f t="shared" si="6"/>
        <v>今日累计伤害达到34930万</v>
      </c>
      <c r="U134" t="e">
        <f>INT(MID($E134,MIN(FIND({0,1,2,3,4,5,6,7,8,9},$E134&amp;"0123456789")),LEN($E134)*2-LENB($E134)))</f>
        <v>#VALUE!</v>
      </c>
      <c r="V134" t="str">
        <f t="shared" si="7"/>
        <v>今日累计伤害达到 [00821c]13260[-] 万</v>
      </c>
    </row>
    <row r="135" spans="1:22" ht="16.5">
      <c r="A135" s="2">
        <v>10132</v>
      </c>
      <c r="B135" s="2">
        <v>91105</v>
      </c>
      <c r="C135" s="25">
        <v>0</v>
      </c>
      <c r="D135" s="10">
        <v>23</v>
      </c>
      <c r="E135" s="14" t="s">
        <v>648</v>
      </c>
      <c r="F135" s="20" t="s">
        <v>648</v>
      </c>
      <c r="G135" s="20" t="s">
        <v>6</v>
      </c>
      <c r="H135" s="20">
        <v>3</v>
      </c>
      <c r="I135" s="10" t="s">
        <v>273</v>
      </c>
      <c r="J135" s="36">
        <v>68512</v>
      </c>
      <c r="K135">
        <f t="shared" si="5"/>
        <v>70</v>
      </c>
      <c r="L135" t="str">
        <f>"1|"&amp;INDEX([1]梦魇入侵!$E$28:$Q$78,MATCH($M135,[1]梦魇入侵!$D$28:$D$78,0),MATCH($K135,[1]梦魇入侵!$E$28:$Q$28,0))</f>
        <v>1|399200000</v>
      </c>
      <c r="M135" s="42">
        <v>24</v>
      </c>
      <c r="N135" t="str">
        <f t="shared" si="6"/>
        <v>今日累计伤害达到39920万</v>
      </c>
      <c r="U135" t="e">
        <f>INT(MID($E135,MIN(FIND({0,1,2,3,4,5,6,7,8,9},$E135&amp;"0123456789")),LEN($E135)*2-LENB($E135)))</f>
        <v>#VALUE!</v>
      </c>
      <c r="V135" t="str">
        <f t="shared" si="7"/>
        <v>今日累计伤害达到 [00821c]15150[-] 万</v>
      </c>
    </row>
    <row r="136" spans="1:22" ht="16.5">
      <c r="A136" s="2">
        <v>10133</v>
      </c>
      <c r="B136" s="2">
        <v>91105</v>
      </c>
      <c r="C136" s="25">
        <v>0</v>
      </c>
      <c r="D136" s="10">
        <v>25</v>
      </c>
      <c r="E136" s="14" t="s">
        <v>649</v>
      </c>
      <c r="F136" s="20" t="s">
        <v>649</v>
      </c>
      <c r="G136" s="20" t="s">
        <v>4</v>
      </c>
      <c r="H136" s="20">
        <v>3</v>
      </c>
      <c r="I136" s="10" t="s">
        <v>274</v>
      </c>
      <c r="J136" s="36">
        <v>68513</v>
      </c>
      <c r="K136">
        <f t="shared" si="5"/>
        <v>70</v>
      </c>
      <c r="L136" t="str">
        <f>"1|"&amp;INDEX([1]梦魇入侵!$E$28:$Q$78,MATCH($M136,[1]梦魇入侵!$D$28:$D$78,0),MATCH($K136,[1]梦魇入侵!$E$28:$Q$28,0))</f>
        <v>1|432400000</v>
      </c>
      <c r="M136" s="42">
        <v>26</v>
      </c>
      <c r="N136" t="str">
        <f t="shared" si="6"/>
        <v>今日累计伤害达到43240万</v>
      </c>
      <c r="U136" t="e">
        <f>INT(MID($E136,MIN(FIND({0,1,2,3,4,5,6,7,8,9},$E136&amp;"0123456789")),LEN($E136)*2-LENB($E136)))</f>
        <v>#VALUE!</v>
      </c>
      <c r="V136" t="str">
        <f t="shared" si="7"/>
        <v>今日累计伤害达到 [00821c]16410[-] 万</v>
      </c>
    </row>
    <row r="137" spans="1:22" ht="16.5">
      <c r="A137" s="2">
        <v>10134</v>
      </c>
      <c r="B137" s="2">
        <v>91105</v>
      </c>
      <c r="C137" s="25">
        <v>0</v>
      </c>
      <c r="D137" s="10">
        <v>27</v>
      </c>
      <c r="E137" s="14" t="s">
        <v>650</v>
      </c>
      <c r="F137" s="20" t="s">
        <v>650</v>
      </c>
      <c r="G137" s="20" t="s">
        <v>25</v>
      </c>
      <c r="H137" s="20">
        <v>3</v>
      </c>
      <c r="I137" s="10" t="s">
        <v>275</v>
      </c>
      <c r="J137" s="36">
        <v>68514</v>
      </c>
      <c r="K137">
        <f t="shared" si="5"/>
        <v>70</v>
      </c>
      <c r="L137" t="str">
        <f>"1|"&amp;INDEX([1]梦魇入侵!$E$28:$Q$78,MATCH($M137,[1]梦魇入侵!$D$28:$D$78,0),MATCH($K137,[1]梦魇入侵!$E$28:$Q$28,0))</f>
        <v>1|482300000</v>
      </c>
      <c r="M137" s="42">
        <v>29</v>
      </c>
      <c r="N137" t="str">
        <f t="shared" si="6"/>
        <v>今日累计伤害达到48230万</v>
      </c>
      <c r="U137" t="e">
        <f>INT(MID($E137,MIN(FIND({0,1,2,3,4,5,6,7,8,9},$E137&amp;"0123456789")),LEN($E137)*2-LENB($E137)))</f>
        <v>#VALUE!</v>
      </c>
      <c r="V137" t="str">
        <f t="shared" si="7"/>
        <v>今日累计伤害达到 [00821c]18310[-] 万</v>
      </c>
    </row>
    <row r="138" spans="1:22" ht="16.5">
      <c r="A138" s="2">
        <v>10135</v>
      </c>
      <c r="B138" s="2">
        <v>91105</v>
      </c>
      <c r="C138" s="25">
        <v>0</v>
      </c>
      <c r="D138" s="10">
        <v>29</v>
      </c>
      <c r="E138" s="14" t="s">
        <v>651</v>
      </c>
      <c r="F138" s="20" t="s">
        <v>651</v>
      </c>
      <c r="G138" s="20" t="s">
        <v>26</v>
      </c>
      <c r="H138" s="20">
        <v>3</v>
      </c>
      <c r="I138" s="10" t="s">
        <v>276</v>
      </c>
      <c r="J138" s="36">
        <v>68515</v>
      </c>
      <c r="K138">
        <f t="shared" si="5"/>
        <v>70</v>
      </c>
      <c r="L138" t="str">
        <f>"1|"&amp;INDEX([1]梦魇入侵!$E$28:$Q$78,MATCH($M138,[1]梦魇入侵!$D$28:$D$78,0),MATCH($K138,[1]梦魇入侵!$E$28:$Q$28,0))</f>
        <v>1|565500000</v>
      </c>
      <c r="M138" s="42">
        <v>34</v>
      </c>
      <c r="N138" t="str">
        <f t="shared" si="6"/>
        <v>今日累计伤害达到56550万</v>
      </c>
      <c r="U138" t="e">
        <f>INT(MID($E138,MIN(FIND({0,1,2,3,4,5,6,7,8,9},$E138&amp;"0123456789")),LEN($E138)*2-LENB($E138)))</f>
        <v>#VALUE!</v>
      </c>
      <c r="V138" t="str">
        <f t="shared" si="7"/>
        <v>今日累计伤害达到 [00821c]21460[-] 万</v>
      </c>
    </row>
    <row r="139" spans="1:22" ht="16.5">
      <c r="A139" s="2">
        <v>10136</v>
      </c>
      <c r="B139" s="2">
        <v>91105</v>
      </c>
      <c r="C139" s="25">
        <v>0</v>
      </c>
      <c r="D139" s="10">
        <v>31</v>
      </c>
      <c r="E139" s="14" t="s">
        <v>652</v>
      </c>
      <c r="F139" s="20" t="s">
        <v>652</v>
      </c>
      <c r="G139" s="20" t="s">
        <v>7</v>
      </c>
      <c r="H139" s="20">
        <v>3</v>
      </c>
      <c r="I139" s="10" t="s">
        <v>277</v>
      </c>
      <c r="J139" s="36">
        <v>68516</v>
      </c>
      <c r="K139">
        <f t="shared" si="5"/>
        <v>70</v>
      </c>
      <c r="L139" t="str">
        <f>"1|"&amp;INDEX([1]梦魇入侵!$E$28:$Q$78,MATCH($M139,[1]梦魇入侵!$D$28:$D$78,0),MATCH($K139,[1]梦魇入侵!$E$28:$Q$28,0))</f>
        <v>1|648600000</v>
      </c>
      <c r="M139" s="42">
        <v>39</v>
      </c>
      <c r="N139" t="str">
        <f t="shared" si="6"/>
        <v>今日累计伤害达到64860万</v>
      </c>
      <c r="U139" t="e">
        <f>INT(MID($E139,MIN(FIND({0,1,2,3,4,5,6,7,8,9},$E139&amp;"0123456789")),LEN($E139)*2-LENB($E139)))</f>
        <v>#VALUE!</v>
      </c>
      <c r="V139" t="str">
        <f t="shared" si="7"/>
        <v>今日累计伤害达到 [00821c]24620[-] 万</v>
      </c>
    </row>
    <row r="140" spans="1:22" ht="16.5">
      <c r="A140" s="2">
        <v>10137</v>
      </c>
      <c r="B140" s="2">
        <v>91105</v>
      </c>
      <c r="C140" s="25">
        <v>0</v>
      </c>
      <c r="D140" s="10">
        <v>33</v>
      </c>
      <c r="E140" s="14" t="s">
        <v>653</v>
      </c>
      <c r="F140" s="20" t="s">
        <v>653</v>
      </c>
      <c r="G140" s="20" t="s">
        <v>1</v>
      </c>
      <c r="H140" s="20">
        <v>3</v>
      </c>
      <c r="I140" s="10" t="s">
        <v>278</v>
      </c>
      <c r="J140" s="36">
        <v>68517</v>
      </c>
      <c r="K140">
        <f t="shared" si="5"/>
        <v>70</v>
      </c>
      <c r="L140" t="str">
        <f>"1|"&amp;INDEX([1]梦魇入侵!$E$28:$Q$78,MATCH($M140,[1]梦魇入侵!$D$28:$D$78,0),MATCH($K140,[1]梦魇入侵!$E$28:$Q$28,0))</f>
        <v>1|731800000</v>
      </c>
      <c r="M140" s="42">
        <v>44</v>
      </c>
      <c r="N140" t="str">
        <f t="shared" si="6"/>
        <v>今日累计伤害达到73180万</v>
      </c>
      <c r="U140" t="e">
        <f>INT(MID($E140,MIN(FIND({0,1,2,3,4,5,6,7,8,9},$E140&amp;"0123456789")),LEN($E140)*2-LENB($E140)))</f>
        <v>#VALUE!</v>
      </c>
      <c r="V140" t="str">
        <f t="shared" si="7"/>
        <v>今日累计伤害达到 [00821c]27780[-] 万</v>
      </c>
    </row>
    <row r="141" spans="1:22" ht="16.5">
      <c r="A141" s="2">
        <v>10138</v>
      </c>
      <c r="B141" s="2">
        <v>91105</v>
      </c>
      <c r="C141" s="25">
        <v>0</v>
      </c>
      <c r="D141" s="10">
        <v>35</v>
      </c>
      <c r="E141" s="14" t="s">
        <v>654</v>
      </c>
      <c r="F141" s="20" t="s">
        <v>654</v>
      </c>
      <c r="G141" s="20" t="s">
        <v>27</v>
      </c>
      <c r="H141" s="20">
        <v>4</v>
      </c>
      <c r="I141" s="10" t="s">
        <v>279</v>
      </c>
      <c r="J141" s="36">
        <v>68518</v>
      </c>
      <c r="K141">
        <f t="shared" si="5"/>
        <v>70</v>
      </c>
      <c r="L141" t="str">
        <f>"1|"&amp;INDEX([1]梦魇入侵!$E$28:$Q$78,MATCH($M141,[1]梦魇入侵!$D$28:$D$78,0),MATCH($K141,[1]梦魇入侵!$E$28:$Q$28,0))</f>
        <v>1|815000000</v>
      </c>
      <c r="M141" s="42">
        <v>49</v>
      </c>
      <c r="N141" t="str">
        <f t="shared" si="6"/>
        <v>今日累计伤害达到81500万</v>
      </c>
      <c r="U141" t="e">
        <f>INT(MID($E141,MIN(FIND({0,1,2,3,4,5,6,7,8,9},$E141&amp;"0123456789")),LEN($E141)*2-LENB($E141)))</f>
        <v>#VALUE!</v>
      </c>
      <c r="V141" t="str">
        <f t="shared" si="7"/>
        <v>今日累计伤害达到 [00821c]30930[-] 万</v>
      </c>
    </row>
    <row r="142" spans="1:22" ht="16.5">
      <c r="A142" s="2">
        <v>10139</v>
      </c>
      <c r="B142" s="2">
        <v>91105</v>
      </c>
      <c r="C142" s="25">
        <v>0</v>
      </c>
      <c r="D142" s="10">
        <v>37</v>
      </c>
      <c r="E142" s="14" t="s">
        <v>655</v>
      </c>
      <c r="F142" s="20" t="s">
        <v>655</v>
      </c>
      <c r="G142" s="20" t="s">
        <v>28</v>
      </c>
      <c r="H142" s="20">
        <v>4</v>
      </c>
      <c r="I142" s="10" t="s">
        <v>280</v>
      </c>
      <c r="J142" s="36">
        <v>68519</v>
      </c>
      <c r="K142">
        <f t="shared" si="5"/>
        <v>70</v>
      </c>
      <c r="L142" t="str">
        <f>"1|"&amp;INDEX([1]梦魇入侵!$E$28:$Q$78,MATCH($M142,[1]梦魇入侵!$D$28:$D$78,0),MATCH($K142,[1]梦魇入侵!$E$28:$Q$28,0))</f>
        <v>1|914800000</v>
      </c>
      <c r="M142" s="42">
        <v>55</v>
      </c>
      <c r="N142" t="str">
        <f t="shared" si="6"/>
        <v>今日累计伤害达到91480万</v>
      </c>
      <c r="U142" t="e">
        <f>INT(MID($E142,MIN(FIND({0,1,2,3,4,5,6,7,8,9},$E142&amp;"0123456789")),LEN($E142)*2-LENB($E142)))</f>
        <v>#VALUE!</v>
      </c>
      <c r="V142" t="str">
        <f t="shared" si="7"/>
        <v>今日累计伤害达到 [00821c]34720[-] 万</v>
      </c>
    </row>
    <row r="143" spans="1:22" ht="16.5">
      <c r="A143" s="2">
        <v>10140</v>
      </c>
      <c r="B143" s="2">
        <v>91105</v>
      </c>
      <c r="C143" s="25">
        <v>0</v>
      </c>
      <c r="D143" s="10">
        <v>39</v>
      </c>
      <c r="E143" s="14" t="s">
        <v>656</v>
      </c>
      <c r="F143" s="20" t="s">
        <v>656</v>
      </c>
      <c r="G143" s="20" t="s">
        <v>14</v>
      </c>
      <c r="H143" s="20">
        <v>4</v>
      </c>
      <c r="I143" s="10" t="s">
        <v>281</v>
      </c>
      <c r="J143" s="36">
        <v>68520</v>
      </c>
      <c r="K143">
        <f t="shared" si="5"/>
        <v>70</v>
      </c>
      <c r="L143" t="str">
        <f>"1|"&amp;INDEX([1]梦魇入侵!$E$28:$Q$78,MATCH($M143,[1]梦魇入侵!$D$28:$D$78,0),MATCH($K143,[1]梦魇入侵!$E$28:$Q$28,0))</f>
        <v>1|997900000</v>
      </c>
      <c r="M143" s="42">
        <v>60</v>
      </c>
      <c r="N143" t="str">
        <f t="shared" si="6"/>
        <v>今日累计伤害达到99790万</v>
      </c>
      <c r="U143" t="e">
        <f>INT(MID($E143,MIN(FIND({0,1,2,3,4,5,6,7,8,9},$E143&amp;"0123456789")),LEN($E143)*2-LENB($E143)))</f>
        <v>#VALUE!</v>
      </c>
      <c r="V143" t="str">
        <f t="shared" si="7"/>
        <v>今日累计伤害达到 [00821c]37880[-] 万</v>
      </c>
    </row>
    <row r="144" spans="1:22" ht="16.5">
      <c r="A144" s="2">
        <v>10141</v>
      </c>
      <c r="B144" s="2">
        <v>91105</v>
      </c>
      <c r="C144" s="25">
        <v>0</v>
      </c>
      <c r="D144" s="10">
        <v>41</v>
      </c>
      <c r="E144" s="14" t="s">
        <v>657</v>
      </c>
      <c r="F144" s="20" t="s">
        <v>657</v>
      </c>
      <c r="G144" s="20" t="s">
        <v>4</v>
      </c>
      <c r="H144" s="20">
        <v>4</v>
      </c>
      <c r="I144" s="10" t="s">
        <v>282</v>
      </c>
      <c r="J144" s="36">
        <v>68521</v>
      </c>
      <c r="K144">
        <f t="shared" si="5"/>
        <v>70</v>
      </c>
      <c r="L144" t="str">
        <f>"1|"&amp;INDEX([1]梦魇入侵!$E$28:$Q$78,MATCH($M144,[1]梦魇入侵!$D$28:$D$78,0),MATCH($K144,[1]梦魇入侵!$E$28:$Q$28,0))</f>
        <v>1|1081100000</v>
      </c>
      <c r="M144" s="42">
        <v>65</v>
      </c>
      <c r="N144" t="str">
        <f t="shared" si="6"/>
        <v>今日累计伤害达到108110万</v>
      </c>
      <c r="U144" t="e">
        <f>INT(MID($E144,MIN(FIND({0,1,2,3,4,5,6,7,8,9},$E144&amp;"0123456789")),LEN($E144)*2-LENB($E144)))</f>
        <v>#VALUE!</v>
      </c>
      <c r="V144" t="str">
        <f t="shared" si="7"/>
        <v>今日累计伤害达到 [00821c]41030[-] 万</v>
      </c>
    </row>
    <row r="145" spans="1:22" ht="16.5">
      <c r="A145" s="2">
        <v>10142</v>
      </c>
      <c r="B145" s="2">
        <v>91105</v>
      </c>
      <c r="C145" s="25">
        <v>0</v>
      </c>
      <c r="D145" s="10">
        <v>43</v>
      </c>
      <c r="E145" s="14" t="s">
        <v>658</v>
      </c>
      <c r="F145" s="20" t="s">
        <v>658</v>
      </c>
      <c r="G145" s="20" t="s">
        <v>29</v>
      </c>
      <c r="H145" s="20">
        <v>4</v>
      </c>
      <c r="I145" s="10" t="s">
        <v>283</v>
      </c>
      <c r="J145" s="36">
        <v>68522</v>
      </c>
      <c r="K145">
        <f t="shared" si="5"/>
        <v>70</v>
      </c>
      <c r="L145" t="str">
        <f>"1|"&amp;INDEX([1]梦魇入侵!$E$28:$Q$78,MATCH($M145,[1]梦魇入侵!$D$28:$D$78,0),MATCH($K145,[1]梦魇入侵!$E$28:$Q$28,0))</f>
        <v>1|1164200000</v>
      </c>
      <c r="M145" s="42">
        <v>70</v>
      </c>
      <c r="N145" t="str">
        <f t="shared" si="6"/>
        <v>今日累计伤害达到116420万</v>
      </c>
      <c r="U145" t="e">
        <f>INT(MID($E145,MIN(FIND({0,1,2,3,4,5,6,7,8,9},$E145&amp;"0123456789")),LEN($E145)*2-LENB($E145)))</f>
        <v>#VALUE!</v>
      </c>
      <c r="V145" t="str">
        <f t="shared" si="7"/>
        <v>今日累计伤害达到 [00821c]44190[-] 万</v>
      </c>
    </row>
    <row r="146" spans="1:22" ht="16.5">
      <c r="A146" s="2">
        <v>10143</v>
      </c>
      <c r="B146" s="2">
        <v>91105</v>
      </c>
      <c r="C146" s="25">
        <v>0</v>
      </c>
      <c r="D146" s="10">
        <v>45</v>
      </c>
      <c r="E146" s="14" t="s">
        <v>659</v>
      </c>
      <c r="F146" s="20" t="s">
        <v>659</v>
      </c>
      <c r="G146" s="20" t="s">
        <v>33</v>
      </c>
      <c r="H146" s="20">
        <v>4</v>
      </c>
      <c r="I146" s="10" t="s">
        <v>284</v>
      </c>
      <c r="J146" s="36">
        <v>68523</v>
      </c>
      <c r="K146">
        <f t="shared" si="5"/>
        <v>70</v>
      </c>
      <c r="L146" t="str">
        <f>"1|"&amp;INDEX([1]梦魇入侵!$E$28:$Q$78,MATCH($M146,[1]梦魇入侵!$D$28:$D$78,0),MATCH($K146,[1]梦魇入侵!$E$28:$Q$28,0))</f>
        <v>1|1247400000</v>
      </c>
      <c r="M146" s="42">
        <v>75</v>
      </c>
      <c r="N146" t="str">
        <f t="shared" si="6"/>
        <v>今日累计伤害达到124740万</v>
      </c>
      <c r="U146" t="e">
        <f>INT(MID($E146,MIN(FIND({0,1,2,3,4,5,6,7,8,9},$E146&amp;"0123456789")),LEN($E146)*2-LENB($E146)))</f>
        <v>#VALUE!</v>
      </c>
      <c r="V146" t="str">
        <f t="shared" si="7"/>
        <v>今日累计伤害达到 [00821c]47350[-] 万</v>
      </c>
    </row>
    <row r="147" spans="1:22" ht="16.5">
      <c r="A147" s="2">
        <v>10144</v>
      </c>
      <c r="B147" s="2">
        <v>91105</v>
      </c>
      <c r="C147" s="25">
        <v>0</v>
      </c>
      <c r="D147" s="10">
        <v>47</v>
      </c>
      <c r="E147" s="14" t="s">
        <v>660</v>
      </c>
      <c r="F147" s="20" t="s">
        <v>660</v>
      </c>
      <c r="G147" s="20" t="s">
        <v>15</v>
      </c>
      <c r="H147" s="20">
        <v>4</v>
      </c>
      <c r="I147" s="10" t="s">
        <v>285</v>
      </c>
      <c r="J147" s="36">
        <v>68524</v>
      </c>
      <c r="K147">
        <f t="shared" si="5"/>
        <v>70</v>
      </c>
      <c r="L147" t="str">
        <f>"1|"&amp;INDEX([1]梦魇入侵!$E$28:$Q$78,MATCH($M147,[1]梦魇入侵!$D$28:$D$78,0),MATCH($K147,[1]梦魇入侵!$E$28:$Q$28,0))</f>
        <v>1|1496900000</v>
      </c>
      <c r="M147" s="42">
        <v>90</v>
      </c>
      <c r="N147" t="str">
        <f t="shared" si="6"/>
        <v>今日累计伤害达到149690万</v>
      </c>
      <c r="U147" t="e">
        <f>INT(MID($E147,MIN(FIND({0,1,2,3,4,5,6,7,8,9},$E147&amp;"0123456789")),LEN($E147)*2-LENB($E147)))</f>
        <v>#VALUE!</v>
      </c>
      <c r="V147" t="str">
        <f t="shared" si="7"/>
        <v>今日累计伤害达到 [00821c]56820[-] 万</v>
      </c>
    </row>
    <row r="148" spans="1:22" ht="16.5">
      <c r="A148" s="2">
        <v>10145</v>
      </c>
      <c r="B148" s="2">
        <v>91105</v>
      </c>
      <c r="C148" s="25">
        <v>0</v>
      </c>
      <c r="D148" s="10">
        <v>49</v>
      </c>
      <c r="E148" s="14" t="s">
        <v>661</v>
      </c>
      <c r="F148" s="20" t="s">
        <v>661</v>
      </c>
      <c r="G148" s="20" t="s">
        <v>16</v>
      </c>
      <c r="H148" s="20">
        <v>4</v>
      </c>
      <c r="I148" s="10" t="s">
        <v>286</v>
      </c>
      <c r="J148" s="36">
        <v>68525</v>
      </c>
      <c r="K148">
        <f t="shared" si="5"/>
        <v>70</v>
      </c>
      <c r="L148" t="str">
        <f>"1|"&amp;INDEX([1]梦魇入侵!$E$28:$Q$78,MATCH($M148,[1]梦魇入侵!$D$28:$D$78,0),MATCH($K148,[1]梦魇入侵!$E$28:$Q$28,0))</f>
        <v>1|1596700000</v>
      </c>
      <c r="M148" s="42">
        <v>96</v>
      </c>
      <c r="N148" t="str">
        <f t="shared" si="6"/>
        <v>今日累计伤害达到159670万</v>
      </c>
      <c r="U148" t="e">
        <f>INT(MID($E148,MIN(FIND({0,1,2,3,4,5,6,7,8,9},$E148&amp;"0123456789")),LEN($E148)*2-LENB($E148)))</f>
        <v>#VALUE!</v>
      </c>
      <c r="V148" t="str">
        <f t="shared" si="7"/>
        <v>今日累计伤害达到 [00821c]60600[-] 万</v>
      </c>
    </row>
    <row r="149" spans="1:22" ht="16.5">
      <c r="A149" s="2">
        <v>10146</v>
      </c>
      <c r="B149" s="2">
        <v>91105</v>
      </c>
      <c r="C149" s="25">
        <v>0</v>
      </c>
      <c r="D149" s="10">
        <v>51</v>
      </c>
      <c r="E149" s="14" t="s">
        <v>662</v>
      </c>
      <c r="F149" s="20" t="s">
        <v>662</v>
      </c>
      <c r="G149" s="20" t="s">
        <v>20</v>
      </c>
      <c r="H149" s="20">
        <v>4</v>
      </c>
      <c r="I149" s="10" t="s">
        <v>287</v>
      </c>
      <c r="J149" s="36">
        <v>68526</v>
      </c>
      <c r="K149">
        <f t="shared" si="5"/>
        <v>70</v>
      </c>
      <c r="L149" t="str">
        <f>"1|"&amp;INDEX([1]梦魇入侵!$E$28:$Q$78,MATCH($M149,[1]梦魇入侵!$D$28:$D$78,0),MATCH($K149,[1]梦魇入侵!$E$28:$Q$28,0))</f>
        <v>1|1679800000</v>
      </c>
      <c r="M149" s="42">
        <v>101</v>
      </c>
      <c r="N149" t="str">
        <f t="shared" si="6"/>
        <v>今日累计伤害达到167980万</v>
      </c>
      <c r="U149" t="e">
        <f>INT(MID($E149,MIN(FIND({0,1,2,3,4,5,6,7,8,9},$E149&amp;"0123456789")),LEN($E149)*2-LENB($E149)))</f>
        <v>#VALUE!</v>
      </c>
      <c r="V149" t="str">
        <f t="shared" si="7"/>
        <v>今日累计伤害达到 [00821c]63760[-] 万</v>
      </c>
    </row>
    <row r="150" spans="1:22" ht="16.5">
      <c r="A150" s="2">
        <v>10147</v>
      </c>
      <c r="B150" s="2">
        <v>91105</v>
      </c>
      <c r="C150" s="25">
        <v>0</v>
      </c>
      <c r="D150" s="10">
        <v>53</v>
      </c>
      <c r="E150" s="14" t="s">
        <v>663</v>
      </c>
      <c r="F150" s="20" t="s">
        <v>663</v>
      </c>
      <c r="G150" s="20" t="s">
        <v>93</v>
      </c>
      <c r="H150" s="20">
        <v>4</v>
      </c>
      <c r="I150" s="10" t="s">
        <v>288</v>
      </c>
      <c r="J150" s="36">
        <v>68527</v>
      </c>
      <c r="K150">
        <f t="shared" si="5"/>
        <v>70</v>
      </c>
      <c r="L150" t="str">
        <f>"1|"&amp;INDEX([1]梦魇入侵!$E$28:$Q$78,MATCH($M150,[1]梦魇入侵!$D$28:$D$78,0),MATCH($K150,[1]梦魇入侵!$E$28:$Q$28,0))</f>
        <v>1|1763000000</v>
      </c>
      <c r="M150" s="42">
        <v>106</v>
      </c>
      <c r="N150" t="str">
        <f t="shared" si="6"/>
        <v>今日累计伤害达到176300万</v>
      </c>
      <c r="U150" t="e">
        <f>INT(MID($E150,MIN(FIND({0,1,2,3,4,5,6,7,8,9},$E150&amp;"0123456789")),LEN($E150)*2-LENB($E150)))</f>
        <v>#VALUE!</v>
      </c>
      <c r="V150" t="str">
        <f t="shared" si="7"/>
        <v>今日累计伤害达到 [00821c]66920[-] 万</v>
      </c>
    </row>
    <row r="151" spans="1:22" ht="16.5">
      <c r="A151" s="2">
        <v>10148</v>
      </c>
      <c r="B151" s="2">
        <v>91105</v>
      </c>
      <c r="C151" s="25">
        <v>0</v>
      </c>
      <c r="D151" s="10">
        <v>55</v>
      </c>
      <c r="E151" s="14" t="s">
        <v>664</v>
      </c>
      <c r="F151" s="20" t="s">
        <v>664</v>
      </c>
      <c r="G151" s="20" t="s">
        <v>31</v>
      </c>
      <c r="H151" s="20">
        <v>4</v>
      </c>
      <c r="I151" s="10" t="s">
        <v>289</v>
      </c>
      <c r="J151" s="36">
        <v>68528</v>
      </c>
      <c r="K151">
        <f t="shared" si="5"/>
        <v>70</v>
      </c>
      <c r="L151" t="str">
        <f>"1|"&amp;INDEX([1]梦魇入侵!$E$28:$Q$78,MATCH($M151,[1]梦魇入侵!$D$28:$D$78,0),MATCH($K151,[1]梦魇入侵!$E$28:$Q$28,0))</f>
        <v>1|1846200000</v>
      </c>
      <c r="M151" s="42">
        <v>111</v>
      </c>
      <c r="N151" t="str">
        <f t="shared" si="6"/>
        <v>今日累计伤害达到184620万</v>
      </c>
      <c r="U151" t="e">
        <f>INT(MID($E151,MIN(FIND({0,1,2,3,4,5,6,7,8,9},$E151&amp;"0123456789")),LEN($E151)*2-LENB($E151)))</f>
        <v>#VALUE!</v>
      </c>
      <c r="V151" t="str">
        <f t="shared" si="7"/>
        <v>今日累计伤害达到 [00821c]70070[-] 万</v>
      </c>
    </row>
    <row r="152" spans="1:22" ht="16.5">
      <c r="A152" s="2">
        <v>10149</v>
      </c>
      <c r="B152" s="2">
        <v>91105</v>
      </c>
      <c r="C152" s="25">
        <v>0</v>
      </c>
      <c r="D152" s="10">
        <v>57</v>
      </c>
      <c r="E152" s="14" t="s">
        <v>665</v>
      </c>
      <c r="F152" s="20" t="s">
        <v>665</v>
      </c>
      <c r="G152" s="20" t="s">
        <v>23</v>
      </c>
      <c r="H152" s="20">
        <v>4</v>
      </c>
      <c r="I152" s="10" t="s">
        <v>290</v>
      </c>
      <c r="J152" s="36">
        <v>68529</v>
      </c>
      <c r="K152">
        <f t="shared" si="5"/>
        <v>70</v>
      </c>
      <c r="L152" t="str">
        <f>"1|"&amp;INDEX([1]梦魇入侵!$E$28:$Q$78,MATCH($M152,[1]梦魇入侵!$D$28:$D$78,0),MATCH($K152,[1]梦魇入侵!$E$28:$Q$28,0))</f>
        <v>1|1929300000</v>
      </c>
      <c r="M152" s="42">
        <v>116</v>
      </c>
      <c r="N152" t="str">
        <f t="shared" si="6"/>
        <v>今日累计伤害达到192930万</v>
      </c>
      <c r="U152" t="e">
        <f>INT(MID($E152,MIN(FIND({0,1,2,3,4,5,6,7,8,9},$E152&amp;"0123456789")),LEN($E152)*2-LENB($E152)))</f>
        <v>#VALUE!</v>
      </c>
      <c r="V152" t="str">
        <f t="shared" si="7"/>
        <v>今日累计伤害达到 [00821c]73230[-] 万</v>
      </c>
    </row>
    <row r="153" spans="1:22" ht="16.5">
      <c r="A153" s="2">
        <v>10150</v>
      </c>
      <c r="B153" s="2">
        <v>91105</v>
      </c>
      <c r="C153" s="25">
        <v>0</v>
      </c>
      <c r="D153" s="10">
        <v>59</v>
      </c>
      <c r="E153" s="14" t="s">
        <v>666</v>
      </c>
      <c r="F153" s="20" t="s">
        <v>666</v>
      </c>
      <c r="G153" s="20" t="s">
        <v>17</v>
      </c>
      <c r="H153" s="20">
        <v>4</v>
      </c>
      <c r="I153" s="10" t="s">
        <v>291</v>
      </c>
      <c r="J153" s="36">
        <v>68530</v>
      </c>
      <c r="K153">
        <f t="shared" si="5"/>
        <v>70</v>
      </c>
      <c r="L153" t="str">
        <f>"1|"&amp;INDEX([1]梦魇入侵!$E$28:$Q$78,MATCH($M153,[1]梦魇入侵!$D$28:$D$78,0),MATCH($K153,[1]梦魇入侵!$E$28:$Q$28,0))</f>
        <v>1|2012500000</v>
      </c>
      <c r="M153" s="42">
        <v>121</v>
      </c>
      <c r="N153" t="str">
        <f t="shared" si="6"/>
        <v>今日累计伤害达到201250万</v>
      </c>
      <c r="U153" t="e">
        <f>INT(MID($E153,MIN(FIND({0,1,2,3,4,5,6,7,8,9},$E153&amp;"0123456789")),LEN($E153)*2-LENB($E153)))</f>
        <v>#VALUE!</v>
      </c>
      <c r="V153" t="str">
        <f t="shared" si="7"/>
        <v>今日累计伤害达到 [00821c]76390[-] 万</v>
      </c>
    </row>
    <row r="154" spans="1:22" s="33" customFormat="1" ht="16.5">
      <c r="A154" s="28">
        <v>10151</v>
      </c>
      <c r="B154" s="28">
        <v>91106</v>
      </c>
      <c r="C154" s="29">
        <v>0</v>
      </c>
      <c r="D154" s="30">
        <v>1</v>
      </c>
      <c r="E154" s="31" t="s">
        <v>667</v>
      </c>
      <c r="F154" s="32" t="s">
        <v>667</v>
      </c>
      <c r="G154" s="32" t="s">
        <v>90</v>
      </c>
      <c r="H154" s="32">
        <v>1</v>
      </c>
      <c r="I154" s="30" t="s">
        <v>292</v>
      </c>
      <c r="J154" s="38">
        <v>68501</v>
      </c>
      <c r="K154" s="33">
        <f t="shared" si="5"/>
        <v>80</v>
      </c>
      <c r="L154" s="33" t="str">
        <f>"1|"&amp;INDEX([1]梦魇入侵!$E$28:$Q$78,MATCH($M154,[1]梦魇入侵!$D$28:$D$78,0),MATCH($K154,[1]梦魇入侵!$E$28:$Q$28,0))</f>
        <v>1|19000000</v>
      </c>
      <c r="M154" s="43">
        <v>1</v>
      </c>
      <c r="N154" s="33" t="str">
        <f t="shared" si="6"/>
        <v>今日累计伤害达到1900万</v>
      </c>
      <c r="O154"/>
      <c r="U154" s="33" t="e">
        <f>INT(MID($E154,MIN(FIND({0,1,2,3,4,5,6,7,8,9},$E154&amp;"0123456789")),LEN($E154)*2-LENB($E154)))</f>
        <v>#VALUE!</v>
      </c>
      <c r="V154" s="33" t="str">
        <f t="shared" si="7"/>
        <v>今日累计伤害达到 [00821c]720[-] 万</v>
      </c>
    </row>
    <row r="155" spans="1:22" s="33" customFormat="1" ht="16.5">
      <c r="A155" s="28">
        <v>10152</v>
      </c>
      <c r="B155" s="28">
        <v>91106</v>
      </c>
      <c r="C155" s="29">
        <v>0</v>
      </c>
      <c r="D155" s="30">
        <v>3</v>
      </c>
      <c r="E155" s="31" t="s">
        <v>668</v>
      </c>
      <c r="F155" s="32" t="s">
        <v>668</v>
      </c>
      <c r="G155" s="32" t="s">
        <v>9</v>
      </c>
      <c r="H155" s="32">
        <v>1</v>
      </c>
      <c r="I155" s="30" t="s">
        <v>293</v>
      </c>
      <c r="J155" s="38">
        <v>68502</v>
      </c>
      <c r="K155" s="33">
        <f t="shared" si="5"/>
        <v>80</v>
      </c>
      <c r="L155" s="33" t="str">
        <f>"1|"&amp;INDEX([1]梦魇入侵!$E$28:$Q$78,MATCH($M155,[1]梦魇入侵!$D$28:$D$78,0),MATCH($K155,[1]梦魇入侵!$E$28:$Q$28,0))</f>
        <v>1|38000000</v>
      </c>
      <c r="M155" s="43">
        <v>2</v>
      </c>
      <c r="N155" s="33" t="str">
        <f t="shared" si="6"/>
        <v>今日累计伤害达到3800万</v>
      </c>
      <c r="O155"/>
      <c r="U155" s="33" t="e">
        <f>INT(MID($E155,MIN(FIND({0,1,2,3,4,5,6,7,8,9},$E155&amp;"0123456789")),LEN($E155)*2-LENB($E155)))</f>
        <v>#VALUE!</v>
      </c>
      <c r="V155" s="33" t="str">
        <f t="shared" si="7"/>
        <v>今日累计伤害达到 [00821c]1440[-] 万</v>
      </c>
    </row>
    <row r="156" spans="1:22" s="33" customFormat="1" ht="16.5">
      <c r="A156" s="28">
        <v>10153</v>
      </c>
      <c r="B156" s="28">
        <v>91106</v>
      </c>
      <c r="C156" s="29">
        <v>0</v>
      </c>
      <c r="D156" s="30">
        <v>5</v>
      </c>
      <c r="E156" s="31" t="s">
        <v>669</v>
      </c>
      <c r="F156" s="32" t="s">
        <v>669</v>
      </c>
      <c r="G156" s="32" t="s">
        <v>32</v>
      </c>
      <c r="H156" s="32">
        <v>1</v>
      </c>
      <c r="I156" s="30" t="s">
        <v>294</v>
      </c>
      <c r="J156" s="38">
        <v>68503</v>
      </c>
      <c r="K156" s="33">
        <f t="shared" si="5"/>
        <v>80</v>
      </c>
      <c r="L156" s="33" t="str">
        <f>"1|"&amp;INDEX([1]梦魇入侵!$E$28:$Q$78,MATCH($M156,[1]梦魇入侵!$D$28:$D$78,0),MATCH($K156,[1]梦魇入侵!$E$28:$Q$28,0))</f>
        <v>1|56900000</v>
      </c>
      <c r="M156" s="43">
        <v>3</v>
      </c>
      <c r="N156" s="33" t="str">
        <f t="shared" si="6"/>
        <v>今日累计伤害达到5690万</v>
      </c>
      <c r="O156"/>
      <c r="U156" s="33" t="e">
        <f>INT(MID($E156,MIN(FIND({0,1,2,3,4,5,6,7,8,9},$E156&amp;"0123456789")),LEN($E156)*2-LENB($E156)))</f>
        <v>#VALUE!</v>
      </c>
      <c r="V156" s="33" t="str">
        <f t="shared" si="7"/>
        <v>今日累计伤害达到 [00821c]2150[-] 万</v>
      </c>
    </row>
    <row r="157" spans="1:22" s="33" customFormat="1" ht="16.5">
      <c r="A157" s="28">
        <v>10154</v>
      </c>
      <c r="B157" s="28">
        <v>91106</v>
      </c>
      <c r="C157" s="29">
        <v>0</v>
      </c>
      <c r="D157" s="30">
        <v>7</v>
      </c>
      <c r="E157" s="31" t="s">
        <v>670</v>
      </c>
      <c r="F157" s="32" t="s">
        <v>670</v>
      </c>
      <c r="G157" s="32" t="s">
        <v>13</v>
      </c>
      <c r="H157" s="32">
        <v>1</v>
      </c>
      <c r="I157" s="30" t="s">
        <v>295</v>
      </c>
      <c r="J157" s="38">
        <v>68504</v>
      </c>
      <c r="K157" s="33">
        <f t="shared" si="5"/>
        <v>80</v>
      </c>
      <c r="L157" s="33" t="str">
        <f>"1|"&amp;INDEX([1]梦魇入侵!$E$28:$Q$78,MATCH($M157,[1]梦魇入侵!$D$28:$D$78,0),MATCH($K157,[1]梦魇入侵!$E$28:$Q$28,0))</f>
        <v>1|94900000</v>
      </c>
      <c r="M157" s="43">
        <v>5</v>
      </c>
      <c r="N157" s="33" t="str">
        <f t="shared" si="6"/>
        <v>今日累计伤害达到9490万</v>
      </c>
      <c r="O157"/>
      <c r="U157" s="33" t="e">
        <f>INT(MID($E157,MIN(FIND({0,1,2,3,4,5,6,7,8,9},$E157&amp;"0123456789")),LEN($E157)*2-LENB($E157)))</f>
        <v>#VALUE!</v>
      </c>
      <c r="V157" s="33" t="str">
        <f t="shared" si="7"/>
        <v>今日累计伤害达到 [00821c]3590[-] 万</v>
      </c>
    </row>
    <row r="158" spans="1:22" s="33" customFormat="1" ht="16.5">
      <c r="A158" s="28">
        <v>10155</v>
      </c>
      <c r="B158" s="28">
        <v>91106</v>
      </c>
      <c r="C158" s="29">
        <v>0</v>
      </c>
      <c r="D158" s="30">
        <v>9</v>
      </c>
      <c r="E158" s="31" t="s">
        <v>671</v>
      </c>
      <c r="F158" s="32" t="s">
        <v>671</v>
      </c>
      <c r="G158" s="32" t="s">
        <v>28</v>
      </c>
      <c r="H158" s="32">
        <v>1</v>
      </c>
      <c r="I158" s="30" t="s">
        <v>296</v>
      </c>
      <c r="J158" s="38">
        <v>68505</v>
      </c>
      <c r="K158" s="33">
        <f t="shared" si="5"/>
        <v>80</v>
      </c>
      <c r="L158" s="33" t="str">
        <f>"1|"&amp;INDEX([1]梦魇入侵!$E$28:$Q$78,MATCH($M158,[1]梦魇入侵!$D$28:$D$78,0),MATCH($K158,[1]梦魇入侵!$E$28:$Q$28,0))</f>
        <v>1|113900000</v>
      </c>
      <c r="M158" s="43">
        <v>6</v>
      </c>
      <c r="N158" s="33" t="str">
        <f t="shared" si="6"/>
        <v>今日累计伤害达到11390万</v>
      </c>
      <c r="O158"/>
      <c r="U158" s="33" t="e">
        <f>INT(MID($E158,MIN(FIND({0,1,2,3,4,5,6,7,8,9},$E158&amp;"0123456789")),LEN($E158)*2-LENB($E158)))</f>
        <v>#VALUE!</v>
      </c>
      <c r="V158" s="33" t="str">
        <f t="shared" si="7"/>
        <v>今日累计伤害达到 [00821c]4310[-] 万</v>
      </c>
    </row>
    <row r="159" spans="1:22" s="33" customFormat="1" ht="16.5">
      <c r="A159" s="28">
        <v>10156</v>
      </c>
      <c r="B159" s="28">
        <v>91106</v>
      </c>
      <c r="C159" s="29">
        <v>0</v>
      </c>
      <c r="D159" s="30">
        <v>11</v>
      </c>
      <c r="E159" s="31" t="s">
        <v>672</v>
      </c>
      <c r="F159" s="32" t="s">
        <v>672</v>
      </c>
      <c r="G159" s="32" t="s">
        <v>18</v>
      </c>
      <c r="H159" s="32">
        <v>1</v>
      </c>
      <c r="I159" s="30" t="s">
        <v>297</v>
      </c>
      <c r="J159" s="38">
        <v>68506</v>
      </c>
      <c r="K159" s="33">
        <f t="shared" si="5"/>
        <v>80</v>
      </c>
      <c r="L159" s="33" t="str">
        <f>"1|"&amp;INDEX([1]梦魇入侵!$E$28:$Q$78,MATCH($M159,[1]梦魇入侵!$D$28:$D$78,0),MATCH($K159,[1]梦魇入侵!$E$28:$Q$28,0))</f>
        <v>1|151800000</v>
      </c>
      <c r="M159" s="43">
        <v>8</v>
      </c>
      <c r="N159" s="33" t="str">
        <f t="shared" si="6"/>
        <v>今日累计伤害达到15180万</v>
      </c>
      <c r="O159"/>
      <c r="U159" s="33" t="e">
        <f>INT(MID($E159,MIN(FIND({0,1,2,3,4,5,6,7,8,9},$E159&amp;"0123456789")),LEN($E159)*2-LENB($E159)))</f>
        <v>#VALUE!</v>
      </c>
      <c r="V159" s="33" t="str">
        <f t="shared" si="7"/>
        <v>今日累计伤害达到 [00821c]5750[-] 万</v>
      </c>
    </row>
    <row r="160" spans="1:22" s="33" customFormat="1" ht="16.5">
      <c r="A160" s="28">
        <v>10157</v>
      </c>
      <c r="B160" s="28">
        <v>91106</v>
      </c>
      <c r="C160" s="29">
        <v>0</v>
      </c>
      <c r="D160" s="30">
        <v>13</v>
      </c>
      <c r="E160" s="31" t="s">
        <v>673</v>
      </c>
      <c r="F160" s="32" t="s">
        <v>673</v>
      </c>
      <c r="G160" s="32" t="s">
        <v>33</v>
      </c>
      <c r="H160" s="32">
        <v>2</v>
      </c>
      <c r="I160" s="30" t="s">
        <v>298</v>
      </c>
      <c r="J160" s="38">
        <v>68507</v>
      </c>
      <c r="K160" s="33">
        <f t="shared" si="5"/>
        <v>80</v>
      </c>
      <c r="L160" s="33" t="str">
        <f>"1|"&amp;INDEX([1]梦魇入侵!$E$28:$Q$78,MATCH($M160,[1]梦魇入侵!$D$28:$D$78,0),MATCH($K160,[1]梦魇入侵!$E$28:$Q$28,0))</f>
        <v>1|208700000</v>
      </c>
      <c r="M160" s="43">
        <v>11</v>
      </c>
      <c r="N160" s="33" t="str">
        <f t="shared" si="6"/>
        <v>今日累计伤害达到20870万</v>
      </c>
      <c r="O160"/>
      <c r="U160" s="33" t="e">
        <f>INT(MID($E160,MIN(FIND({0,1,2,3,4,5,6,7,8,9},$E160&amp;"0123456789")),LEN($E160)*2-LENB($E160)))</f>
        <v>#VALUE!</v>
      </c>
      <c r="V160" s="33" t="str">
        <f t="shared" si="7"/>
        <v>今日累计伤害达到 [00821c]7900[-] 万</v>
      </c>
    </row>
    <row r="161" spans="1:22" s="33" customFormat="1" ht="16.5">
      <c r="A161" s="28">
        <v>10158</v>
      </c>
      <c r="B161" s="28">
        <v>91106</v>
      </c>
      <c r="C161" s="29">
        <v>0</v>
      </c>
      <c r="D161" s="30">
        <v>15</v>
      </c>
      <c r="E161" s="31" t="s">
        <v>674</v>
      </c>
      <c r="F161" s="32" t="s">
        <v>674</v>
      </c>
      <c r="G161" s="32" t="s">
        <v>8</v>
      </c>
      <c r="H161" s="32">
        <v>2</v>
      </c>
      <c r="I161" s="30" t="s">
        <v>119</v>
      </c>
      <c r="J161" s="38">
        <v>68508</v>
      </c>
      <c r="K161" s="33">
        <f t="shared" si="5"/>
        <v>80</v>
      </c>
      <c r="L161" s="33" t="str">
        <f>"1|"&amp;INDEX([1]梦魇入侵!$E$28:$Q$78,MATCH($M161,[1]梦魇入侵!$D$28:$D$78,0),MATCH($K161,[1]梦魇入侵!$E$28:$Q$28,0))</f>
        <v>1|265700000</v>
      </c>
      <c r="M161" s="43">
        <v>14</v>
      </c>
      <c r="N161" s="33" t="str">
        <f t="shared" si="6"/>
        <v>今日累计伤害达到26570万</v>
      </c>
      <c r="O161"/>
      <c r="U161" s="33" t="e">
        <f>INT(MID($E161,MIN(FIND({0,1,2,3,4,5,6,7,8,9},$E161&amp;"0123456789")),LEN($E161)*2-LENB($E161)))</f>
        <v>#VALUE!</v>
      </c>
      <c r="V161" s="33" t="str">
        <f t="shared" si="7"/>
        <v>今日累计伤害达到 [00821c]10060[-] 万</v>
      </c>
    </row>
    <row r="162" spans="1:22" s="33" customFormat="1" ht="16.5">
      <c r="A162" s="28">
        <v>10159</v>
      </c>
      <c r="B162" s="28">
        <v>91106</v>
      </c>
      <c r="C162" s="29">
        <v>0</v>
      </c>
      <c r="D162" s="30">
        <v>17</v>
      </c>
      <c r="E162" s="31" t="s">
        <v>675</v>
      </c>
      <c r="F162" s="32" t="s">
        <v>675</v>
      </c>
      <c r="G162" s="32" t="s">
        <v>33</v>
      </c>
      <c r="H162" s="32">
        <v>2</v>
      </c>
      <c r="I162" s="30" t="s">
        <v>299</v>
      </c>
      <c r="J162" s="38">
        <v>68509</v>
      </c>
      <c r="K162" s="33">
        <f t="shared" si="5"/>
        <v>80</v>
      </c>
      <c r="L162" s="33" t="str">
        <f>"1|"&amp;INDEX([1]梦魇入侵!$E$28:$Q$78,MATCH($M162,[1]梦魇入侵!$D$28:$D$78,0),MATCH($K162,[1]梦魇入侵!$E$28:$Q$28,0))</f>
        <v>1|303600000</v>
      </c>
      <c r="M162" s="43">
        <v>16</v>
      </c>
      <c r="N162" s="33" t="str">
        <f t="shared" si="6"/>
        <v>今日累计伤害达到30360万</v>
      </c>
      <c r="O162"/>
      <c r="U162" s="33" t="e">
        <f>INT(MID($E162,MIN(FIND({0,1,2,3,4,5,6,7,8,9},$E162&amp;"0123456789")),LEN($E162)*2-LENB($E162)))</f>
        <v>#VALUE!</v>
      </c>
      <c r="V162" s="33" t="str">
        <f t="shared" si="7"/>
        <v>今日累计伤害达到 [00821c]11490[-] 万</v>
      </c>
    </row>
    <row r="163" spans="1:22" s="33" customFormat="1" ht="16.5">
      <c r="A163" s="28">
        <v>10160</v>
      </c>
      <c r="B163" s="28">
        <v>91106</v>
      </c>
      <c r="C163" s="29">
        <v>0</v>
      </c>
      <c r="D163" s="30">
        <v>19</v>
      </c>
      <c r="E163" s="31" t="s">
        <v>676</v>
      </c>
      <c r="F163" s="32" t="s">
        <v>676</v>
      </c>
      <c r="G163" s="32" t="s">
        <v>10</v>
      </c>
      <c r="H163" s="32">
        <v>2</v>
      </c>
      <c r="I163" s="30" t="s">
        <v>300</v>
      </c>
      <c r="J163" s="38">
        <v>68510</v>
      </c>
      <c r="K163" s="33">
        <f t="shared" si="5"/>
        <v>80</v>
      </c>
      <c r="L163" s="33" t="str">
        <f>"1|"&amp;INDEX([1]梦魇入侵!$E$28:$Q$78,MATCH($M163,[1]梦魇入侵!$D$28:$D$78,0),MATCH($K163,[1]梦魇入侵!$E$28:$Q$28,0))</f>
        <v>1|360600000</v>
      </c>
      <c r="M163" s="43">
        <v>19</v>
      </c>
      <c r="N163" s="33" t="str">
        <f t="shared" si="6"/>
        <v>今日累计伤害达到36060万</v>
      </c>
      <c r="O163"/>
      <c r="U163" s="33" t="e">
        <f>INT(MID($E163,MIN(FIND({0,1,2,3,4,5,6,7,8,9},$E163&amp;"0123456789")),LEN($E163)*2-LENB($E163)))</f>
        <v>#VALUE!</v>
      </c>
      <c r="V163" s="33" t="str">
        <f t="shared" si="7"/>
        <v>今日累计伤害达到 [00821c]13650[-] 万</v>
      </c>
    </row>
    <row r="164" spans="1:22" s="33" customFormat="1" ht="16.5">
      <c r="A164" s="28">
        <v>10161</v>
      </c>
      <c r="B164" s="28">
        <v>91106</v>
      </c>
      <c r="C164" s="29">
        <v>0</v>
      </c>
      <c r="D164" s="30">
        <v>21</v>
      </c>
      <c r="E164" s="31" t="s">
        <v>677</v>
      </c>
      <c r="F164" s="32" t="s">
        <v>677</v>
      </c>
      <c r="G164" s="32" t="s">
        <v>34</v>
      </c>
      <c r="H164" s="32">
        <v>2</v>
      </c>
      <c r="I164" s="30" t="s">
        <v>301</v>
      </c>
      <c r="J164" s="38">
        <v>68511</v>
      </c>
      <c r="K164" s="33">
        <f t="shared" si="5"/>
        <v>80</v>
      </c>
      <c r="L164" s="33" t="str">
        <f>"1|"&amp;INDEX([1]梦魇入侵!$E$28:$Q$78,MATCH($M164,[1]梦魇入侵!$D$28:$D$78,0),MATCH($K164,[1]梦魇入侵!$E$28:$Q$28,0))</f>
        <v>1|398500000</v>
      </c>
      <c r="M164" s="43">
        <v>21</v>
      </c>
      <c r="N164" s="33" t="str">
        <f t="shared" si="6"/>
        <v>今日累计伤害达到39850万</v>
      </c>
      <c r="O164"/>
      <c r="U164" s="33" t="e">
        <f>INT(MID($E164,MIN(FIND({0,1,2,3,4,5,6,7,8,9},$E164&amp;"0123456789")),LEN($E164)*2-LENB($E164)))</f>
        <v>#VALUE!</v>
      </c>
      <c r="V164" s="33" t="str">
        <f t="shared" si="7"/>
        <v>今日累计伤害达到 [00821c]15080[-] 万</v>
      </c>
    </row>
    <row r="165" spans="1:22" s="33" customFormat="1" ht="16.5">
      <c r="A165" s="28">
        <v>10162</v>
      </c>
      <c r="B165" s="28">
        <v>91106</v>
      </c>
      <c r="C165" s="29">
        <v>0</v>
      </c>
      <c r="D165" s="30">
        <v>23</v>
      </c>
      <c r="E165" s="31" t="s">
        <v>678</v>
      </c>
      <c r="F165" s="32" t="s">
        <v>678</v>
      </c>
      <c r="G165" s="32" t="s">
        <v>19</v>
      </c>
      <c r="H165" s="32">
        <v>3</v>
      </c>
      <c r="I165" s="30" t="s">
        <v>302</v>
      </c>
      <c r="J165" s="38">
        <v>68512</v>
      </c>
      <c r="K165" s="33">
        <f t="shared" si="5"/>
        <v>80</v>
      </c>
      <c r="L165" s="33" t="str">
        <f>"1|"&amp;INDEX([1]梦魇入侵!$E$28:$Q$78,MATCH($M165,[1]梦魇入侵!$D$28:$D$78,0),MATCH($K165,[1]梦魇入侵!$E$28:$Q$28,0))</f>
        <v>1|455400000</v>
      </c>
      <c r="M165" s="43">
        <v>24</v>
      </c>
      <c r="N165" s="33" t="str">
        <f t="shared" si="6"/>
        <v>今日累计伤害达到45540万</v>
      </c>
      <c r="O165"/>
      <c r="U165" s="33" t="e">
        <f>INT(MID($E165,MIN(FIND({0,1,2,3,4,5,6,7,8,9},$E165&amp;"0123456789")),LEN($E165)*2-LENB($E165)))</f>
        <v>#VALUE!</v>
      </c>
      <c r="V165" s="33" t="str">
        <f t="shared" si="7"/>
        <v>今日累计伤害达到 [00821c]17240[-] 万</v>
      </c>
    </row>
    <row r="166" spans="1:22" s="33" customFormat="1" ht="16.5">
      <c r="A166" s="28">
        <v>10163</v>
      </c>
      <c r="B166" s="28">
        <v>91106</v>
      </c>
      <c r="C166" s="29">
        <v>0</v>
      </c>
      <c r="D166" s="30">
        <v>25</v>
      </c>
      <c r="E166" s="31" t="s">
        <v>679</v>
      </c>
      <c r="F166" s="32" t="s">
        <v>679</v>
      </c>
      <c r="G166" s="32" t="s">
        <v>35</v>
      </c>
      <c r="H166" s="32">
        <v>3</v>
      </c>
      <c r="I166" s="30" t="s">
        <v>303</v>
      </c>
      <c r="J166" s="38">
        <v>68513</v>
      </c>
      <c r="K166" s="33">
        <f t="shared" si="5"/>
        <v>80</v>
      </c>
      <c r="L166" s="33" t="str">
        <f>"1|"&amp;INDEX([1]梦魇入侵!$E$28:$Q$78,MATCH($M166,[1]梦魇入侵!$D$28:$D$78,0),MATCH($K166,[1]梦魇入侵!$E$28:$Q$28,0))</f>
        <v>1|493400000</v>
      </c>
      <c r="M166" s="43">
        <v>26</v>
      </c>
      <c r="N166" s="33" t="str">
        <f t="shared" si="6"/>
        <v>今日累计伤害达到49340万</v>
      </c>
      <c r="O166"/>
      <c r="U166" s="33" t="e">
        <f>INT(MID($E166,MIN(FIND({0,1,2,3,4,5,6,7,8,9},$E166&amp;"0123456789")),LEN($E166)*2-LENB($E166)))</f>
        <v>#VALUE!</v>
      </c>
      <c r="V166" s="33" t="str">
        <f t="shared" si="7"/>
        <v>今日累计伤害达到 [00821c]18680[-] 万</v>
      </c>
    </row>
    <row r="167" spans="1:22" s="33" customFormat="1" ht="16.5">
      <c r="A167" s="28">
        <v>10164</v>
      </c>
      <c r="B167" s="28">
        <v>91106</v>
      </c>
      <c r="C167" s="29">
        <v>0</v>
      </c>
      <c r="D167" s="30">
        <v>27</v>
      </c>
      <c r="E167" s="31" t="s">
        <v>680</v>
      </c>
      <c r="F167" s="32" t="s">
        <v>680</v>
      </c>
      <c r="G167" s="32" t="s">
        <v>11</v>
      </c>
      <c r="H167" s="32">
        <v>3</v>
      </c>
      <c r="I167" s="30" t="s">
        <v>304</v>
      </c>
      <c r="J167" s="38">
        <v>68514</v>
      </c>
      <c r="K167" s="33">
        <f t="shared" si="5"/>
        <v>80</v>
      </c>
      <c r="L167" s="33" t="str">
        <f>"1|"&amp;INDEX([1]梦魇入侵!$E$28:$Q$78,MATCH($M167,[1]梦魇入侵!$D$28:$D$78,0),MATCH($K167,[1]梦魇入侵!$E$28:$Q$28,0))</f>
        <v>1|550300000</v>
      </c>
      <c r="M167" s="43">
        <v>29</v>
      </c>
      <c r="N167" s="33" t="str">
        <f t="shared" si="6"/>
        <v>今日累计伤害达到55030万</v>
      </c>
      <c r="O167"/>
      <c r="U167" s="33" t="e">
        <f>INT(MID($E167,MIN(FIND({0,1,2,3,4,5,6,7,8,9},$E167&amp;"0123456789")),LEN($E167)*2-LENB($E167)))</f>
        <v>#VALUE!</v>
      </c>
      <c r="V167" s="33" t="str">
        <f t="shared" si="7"/>
        <v>今日累计伤害达到 [00821c]20830[-] 万</v>
      </c>
    </row>
    <row r="168" spans="1:22" s="33" customFormat="1" ht="16.5">
      <c r="A168" s="28">
        <v>10165</v>
      </c>
      <c r="B168" s="28">
        <v>91106</v>
      </c>
      <c r="C168" s="29">
        <v>0</v>
      </c>
      <c r="D168" s="30">
        <v>29</v>
      </c>
      <c r="E168" s="31" t="s">
        <v>681</v>
      </c>
      <c r="F168" s="32" t="s">
        <v>681</v>
      </c>
      <c r="G168" s="32" t="s">
        <v>8</v>
      </c>
      <c r="H168" s="32">
        <v>3</v>
      </c>
      <c r="I168" s="30" t="s">
        <v>113</v>
      </c>
      <c r="J168" s="38">
        <v>68515</v>
      </c>
      <c r="K168" s="33">
        <f t="shared" si="5"/>
        <v>80</v>
      </c>
      <c r="L168" s="33" t="str">
        <f>"1|"&amp;INDEX([1]梦魇入侵!$E$28:$Q$78,MATCH($M168,[1]梦魇入侵!$D$28:$D$78,0),MATCH($K168,[1]梦魇入侵!$E$28:$Q$28,0))</f>
        <v>1|645200000</v>
      </c>
      <c r="M168" s="43">
        <v>34</v>
      </c>
      <c r="N168" s="33" t="str">
        <f t="shared" si="6"/>
        <v>今日累计伤害达到64520万</v>
      </c>
      <c r="O168"/>
      <c r="U168" s="33" t="e">
        <f>INT(MID($E168,MIN(FIND({0,1,2,3,4,5,6,7,8,9},$E168&amp;"0123456789")),LEN($E168)*2-LENB($E168)))</f>
        <v>#VALUE!</v>
      </c>
      <c r="V168" s="33" t="str">
        <f t="shared" si="7"/>
        <v>今日累计伤害达到 [00821c]24420[-] 万</v>
      </c>
    </row>
    <row r="169" spans="1:22" s="33" customFormat="1" ht="16.5">
      <c r="A169" s="28">
        <v>10166</v>
      </c>
      <c r="B169" s="28">
        <v>91106</v>
      </c>
      <c r="C169" s="29">
        <v>0</v>
      </c>
      <c r="D169" s="30">
        <v>31</v>
      </c>
      <c r="E169" s="31" t="s">
        <v>682</v>
      </c>
      <c r="F169" s="32" t="s">
        <v>682</v>
      </c>
      <c r="G169" s="32" t="s">
        <v>33</v>
      </c>
      <c r="H169" s="32">
        <v>3</v>
      </c>
      <c r="I169" s="30" t="s">
        <v>305</v>
      </c>
      <c r="J169" s="38">
        <v>68516</v>
      </c>
      <c r="K169" s="33">
        <f t="shared" si="5"/>
        <v>80</v>
      </c>
      <c r="L169" s="33" t="str">
        <f>"1|"&amp;INDEX([1]梦魇入侵!$E$28:$Q$78,MATCH($M169,[1]梦魇入侵!$D$28:$D$78,0),MATCH($K169,[1]梦魇入侵!$E$28:$Q$28,0))</f>
        <v>1|740100000</v>
      </c>
      <c r="M169" s="43">
        <v>39</v>
      </c>
      <c r="N169" s="33" t="str">
        <f t="shared" si="6"/>
        <v>今日累计伤害达到74010万</v>
      </c>
      <c r="O169"/>
      <c r="U169" s="33" t="e">
        <f>INT(MID($E169,MIN(FIND({0,1,2,3,4,5,6,7,8,9},$E169&amp;"0123456789")),LEN($E169)*2-LENB($E169)))</f>
        <v>#VALUE!</v>
      </c>
      <c r="V169" s="33" t="str">
        <f t="shared" si="7"/>
        <v>今日累计伤害达到 [00821c]28010[-] 万</v>
      </c>
    </row>
    <row r="170" spans="1:22" s="33" customFormat="1" ht="16.5">
      <c r="A170" s="28">
        <v>10167</v>
      </c>
      <c r="B170" s="28">
        <v>91106</v>
      </c>
      <c r="C170" s="29">
        <v>0</v>
      </c>
      <c r="D170" s="30">
        <v>33</v>
      </c>
      <c r="E170" s="31" t="s">
        <v>683</v>
      </c>
      <c r="F170" s="32" t="s">
        <v>683</v>
      </c>
      <c r="G170" s="32" t="s">
        <v>10</v>
      </c>
      <c r="H170" s="32">
        <v>3</v>
      </c>
      <c r="I170" s="30" t="s">
        <v>306</v>
      </c>
      <c r="J170" s="38">
        <v>68517</v>
      </c>
      <c r="K170" s="33">
        <f t="shared" si="5"/>
        <v>80</v>
      </c>
      <c r="L170" s="33" t="str">
        <f>"1|"&amp;INDEX([1]梦魇入侵!$E$28:$Q$78,MATCH($M170,[1]梦魇入侵!$D$28:$D$78,0),MATCH($K170,[1]梦魇入侵!$E$28:$Q$28,0))</f>
        <v>1|835000000</v>
      </c>
      <c r="M170" s="43">
        <v>44</v>
      </c>
      <c r="N170" s="33" t="str">
        <f t="shared" si="6"/>
        <v>今日累计伤害达到83500万</v>
      </c>
      <c r="O170"/>
      <c r="U170" s="33" t="e">
        <f>INT(MID($E170,MIN(FIND({0,1,2,3,4,5,6,7,8,9},$E170&amp;"0123456789")),LEN($E170)*2-LENB($E170)))</f>
        <v>#VALUE!</v>
      </c>
      <c r="V170" s="33" t="str">
        <f t="shared" si="7"/>
        <v>今日累计伤害达到 [00821c]31610[-] 万</v>
      </c>
    </row>
    <row r="171" spans="1:22" s="33" customFormat="1" ht="16.5">
      <c r="A171" s="28">
        <v>10168</v>
      </c>
      <c r="B171" s="28">
        <v>91106</v>
      </c>
      <c r="C171" s="29">
        <v>0</v>
      </c>
      <c r="D171" s="30">
        <v>35</v>
      </c>
      <c r="E171" s="31" t="s">
        <v>684</v>
      </c>
      <c r="F171" s="32" t="s">
        <v>684</v>
      </c>
      <c r="G171" s="32" t="s">
        <v>34</v>
      </c>
      <c r="H171" s="32">
        <v>4</v>
      </c>
      <c r="I171" s="30" t="s">
        <v>307</v>
      </c>
      <c r="J171" s="38">
        <v>68518</v>
      </c>
      <c r="K171" s="33">
        <f t="shared" si="5"/>
        <v>80</v>
      </c>
      <c r="L171" s="33" t="str">
        <f>"1|"&amp;INDEX([1]梦魇入侵!$E$28:$Q$78,MATCH($M171,[1]梦魇入侵!$D$28:$D$78,0),MATCH($K171,[1]梦魇入侵!$E$28:$Q$28,0))</f>
        <v>1|929900000</v>
      </c>
      <c r="M171" s="43">
        <v>49</v>
      </c>
      <c r="N171" s="33" t="str">
        <f t="shared" si="6"/>
        <v>今日累计伤害达到92990万</v>
      </c>
      <c r="O171"/>
      <c r="U171" s="33" t="e">
        <f>INT(MID($E171,MIN(FIND({0,1,2,3,4,5,6,7,8,9},$E171&amp;"0123456789")),LEN($E171)*2-LENB($E171)))</f>
        <v>#VALUE!</v>
      </c>
      <c r="V171" s="33" t="str">
        <f t="shared" si="7"/>
        <v>今日累计伤害达到 [00821c]35200[-] 万</v>
      </c>
    </row>
    <row r="172" spans="1:22" s="33" customFormat="1" ht="16.5">
      <c r="A172" s="28">
        <v>10169</v>
      </c>
      <c r="B172" s="28">
        <v>91106</v>
      </c>
      <c r="C172" s="29">
        <v>0</v>
      </c>
      <c r="D172" s="30">
        <v>37</v>
      </c>
      <c r="E172" s="31" t="s">
        <v>685</v>
      </c>
      <c r="F172" s="32" t="s">
        <v>685</v>
      </c>
      <c r="G172" s="32" t="s">
        <v>19</v>
      </c>
      <c r="H172" s="32">
        <v>4</v>
      </c>
      <c r="I172" s="30" t="s">
        <v>308</v>
      </c>
      <c r="J172" s="38">
        <v>68519</v>
      </c>
      <c r="K172" s="33">
        <f t="shared" si="5"/>
        <v>80</v>
      </c>
      <c r="L172" s="33" t="str">
        <f>"1|"&amp;INDEX([1]梦魇入侵!$E$28:$Q$78,MATCH($M172,[1]梦魇入侵!$D$28:$D$78,0),MATCH($K172,[1]梦魇入侵!$E$28:$Q$28,0))</f>
        <v>1|1043700000</v>
      </c>
      <c r="M172" s="43">
        <v>55</v>
      </c>
      <c r="N172" s="33" t="str">
        <f t="shared" si="6"/>
        <v>今日累计伤害达到104370万</v>
      </c>
      <c r="O172"/>
      <c r="U172" s="33" t="e">
        <f>INT(MID($E172,MIN(FIND({0,1,2,3,4,5,6,7,8,9},$E172&amp;"0123456789")),LEN($E172)*2-LENB($E172)))</f>
        <v>#VALUE!</v>
      </c>
      <c r="V172" s="33" t="str">
        <f t="shared" si="7"/>
        <v>今日累计伤害达到 [00821c]39510[-] 万</v>
      </c>
    </row>
    <row r="173" spans="1:22" s="33" customFormat="1" ht="16.5">
      <c r="A173" s="28">
        <v>10170</v>
      </c>
      <c r="B173" s="28">
        <v>91106</v>
      </c>
      <c r="C173" s="29">
        <v>0</v>
      </c>
      <c r="D173" s="30">
        <v>39</v>
      </c>
      <c r="E173" s="31" t="s">
        <v>686</v>
      </c>
      <c r="F173" s="32" t="s">
        <v>686</v>
      </c>
      <c r="G173" s="32" t="s">
        <v>35</v>
      </c>
      <c r="H173" s="32">
        <v>4</v>
      </c>
      <c r="I173" s="30" t="s">
        <v>309</v>
      </c>
      <c r="J173" s="38">
        <v>68520</v>
      </c>
      <c r="K173" s="33">
        <f t="shared" si="5"/>
        <v>80</v>
      </c>
      <c r="L173" s="33" t="str">
        <f>"1|"&amp;INDEX([1]梦魇入侵!$E$28:$Q$78,MATCH($M173,[1]梦魇入侵!$D$28:$D$78,0),MATCH($K173,[1]梦魇入侵!$E$28:$Q$28,0))</f>
        <v>1|1138600000</v>
      </c>
      <c r="M173" s="43">
        <v>60</v>
      </c>
      <c r="N173" s="33" t="str">
        <f t="shared" si="6"/>
        <v>今日累计伤害达到113860万</v>
      </c>
      <c r="O173"/>
      <c r="U173" s="33" t="e">
        <f>INT(MID($E173,MIN(FIND({0,1,2,3,4,5,6,7,8,9},$E173&amp;"0123456789")),LEN($E173)*2-LENB($E173)))</f>
        <v>#VALUE!</v>
      </c>
      <c r="V173" s="33" t="str">
        <f t="shared" si="7"/>
        <v>今日累计伤害达到 [00821c]43100[-] 万</v>
      </c>
    </row>
    <row r="174" spans="1:22" s="33" customFormat="1" ht="16.5">
      <c r="A174" s="28">
        <v>10171</v>
      </c>
      <c r="B174" s="28">
        <v>91106</v>
      </c>
      <c r="C174" s="29">
        <v>0</v>
      </c>
      <c r="D174" s="30">
        <v>41</v>
      </c>
      <c r="E174" s="31" t="s">
        <v>687</v>
      </c>
      <c r="F174" s="32" t="s">
        <v>687</v>
      </c>
      <c r="G174" s="32" t="s">
        <v>34</v>
      </c>
      <c r="H174" s="32">
        <v>4</v>
      </c>
      <c r="I174" s="30" t="s">
        <v>310</v>
      </c>
      <c r="J174" s="38">
        <v>68521</v>
      </c>
      <c r="K174" s="33">
        <f t="shared" si="5"/>
        <v>80</v>
      </c>
      <c r="L174" s="33" t="str">
        <f>"1|"&amp;INDEX([1]梦魇入侵!$E$28:$Q$78,MATCH($M174,[1]梦魇入侵!$D$28:$D$78,0),MATCH($K174,[1]梦魇入侵!$E$28:$Q$28,0))</f>
        <v>1|1233500000</v>
      </c>
      <c r="M174" s="43">
        <v>65</v>
      </c>
      <c r="N174" s="33" t="str">
        <f t="shared" si="6"/>
        <v>今日累计伤害达到123350万</v>
      </c>
      <c r="O174"/>
      <c r="U174" s="33" t="e">
        <f>INT(MID($E174,MIN(FIND({0,1,2,3,4,5,6,7,8,9},$E174&amp;"0123456789")),LEN($E174)*2-LENB($E174)))</f>
        <v>#VALUE!</v>
      </c>
      <c r="V174" s="33" t="str">
        <f t="shared" si="7"/>
        <v>今日累计伤害达到 [00821c]46690[-] 万</v>
      </c>
    </row>
    <row r="175" spans="1:22" s="33" customFormat="1" ht="16.5">
      <c r="A175" s="28">
        <v>10172</v>
      </c>
      <c r="B175" s="28">
        <v>91106</v>
      </c>
      <c r="C175" s="29">
        <v>0</v>
      </c>
      <c r="D175" s="30">
        <v>43</v>
      </c>
      <c r="E175" s="31" t="s">
        <v>688</v>
      </c>
      <c r="F175" s="32" t="s">
        <v>688</v>
      </c>
      <c r="G175" s="32" t="s">
        <v>19</v>
      </c>
      <c r="H175" s="32">
        <v>4</v>
      </c>
      <c r="I175" s="30" t="s">
        <v>311</v>
      </c>
      <c r="J175" s="38">
        <v>68522</v>
      </c>
      <c r="K175" s="33">
        <f t="shared" si="5"/>
        <v>80</v>
      </c>
      <c r="L175" s="33" t="str">
        <f>"1|"&amp;INDEX([1]梦魇入侵!$E$28:$Q$78,MATCH($M175,[1]梦魇入侵!$D$28:$D$78,0),MATCH($K175,[1]梦魇入侵!$E$28:$Q$28,0))</f>
        <v>1|1328400000</v>
      </c>
      <c r="M175" s="43">
        <v>70</v>
      </c>
      <c r="N175" s="33" t="str">
        <f t="shared" si="6"/>
        <v>今日累计伤害达到132840万</v>
      </c>
      <c r="O175"/>
      <c r="U175" s="33" t="e">
        <f>INT(MID($E175,MIN(FIND({0,1,2,3,4,5,6,7,8,9},$E175&amp;"0123456789")),LEN($E175)*2-LENB($E175)))</f>
        <v>#VALUE!</v>
      </c>
      <c r="V175" s="33" t="str">
        <f t="shared" si="7"/>
        <v>今日累计伤害达到 [00821c]50280[-] 万</v>
      </c>
    </row>
    <row r="176" spans="1:22" s="33" customFormat="1" ht="16.5">
      <c r="A176" s="28">
        <v>10173</v>
      </c>
      <c r="B176" s="28">
        <v>91106</v>
      </c>
      <c r="C176" s="29">
        <v>0</v>
      </c>
      <c r="D176" s="30">
        <v>45</v>
      </c>
      <c r="E176" s="31" t="s">
        <v>689</v>
      </c>
      <c r="F176" s="32" t="s">
        <v>689</v>
      </c>
      <c r="G176" s="32" t="s">
        <v>35</v>
      </c>
      <c r="H176" s="32">
        <v>4</v>
      </c>
      <c r="I176" s="30" t="s">
        <v>128</v>
      </c>
      <c r="J176" s="38">
        <v>68523</v>
      </c>
      <c r="K176" s="33">
        <f t="shared" si="5"/>
        <v>80</v>
      </c>
      <c r="L176" s="33" t="str">
        <f>"1|"&amp;INDEX([1]梦魇入侵!$E$28:$Q$78,MATCH($M176,[1]梦魇入侵!$D$28:$D$78,0),MATCH($K176,[1]梦魇入侵!$E$28:$Q$28,0))</f>
        <v>1|1423300000</v>
      </c>
      <c r="M176" s="43">
        <v>75</v>
      </c>
      <c r="N176" s="33" t="str">
        <f t="shared" si="6"/>
        <v>今日累计伤害达到142330万</v>
      </c>
      <c r="O176"/>
      <c r="U176" s="33" t="e">
        <f>INT(MID($E176,MIN(FIND({0,1,2,3,4,5,6,7,8,9},$E176&amp;"0123456789")),LEN($E176)*2-LENB($E176)))</f>
        <v>#VALUE!</v>
      </c>
      <c r="V176" s="33" t="str">
        <f t="shared" si="7"/>
        <v>今日累计伤害达到 [00821c]53870[-] 万</v>
      </c>
    </row>
    <row r="177" spans="1:22" s="33" customFormat="1" ht="16.5">
      <c r="A177" s="28">
        <v>10174</v>
      </c>
      <c r="B177" s="28">
        <v>91106</v>
      </c>
      <c r="C177" s="29">
        <v>0</v>
      </c>
      <c r="D177" s="30">
        <v>47</v>
      </c>
      <c r="E177" s="31" t="s">
        <v>690</v>
      </c>
      <c r="F177" s="32" t="s">
        <v>690</v>
      </c>
      <c r="G177" s="32" t="s">
        <v>11</v>
      </c>
      <c r="H177" s="32">
        <v>4</v>
      </c>
      <c r="I177" s="30" t="s">
        <v>312</v>
      </c>
      <c r="J177" s="38">
        <v>68524</v>
      </c>
      <c r="K177" s="33">
        <f t="shared" si="5"/>
        <v>80</v>
      </c>
      <c r="L177" s="33" t="str">
        <f>"1|"&amp;INDEX([1]梦魇入侵!$E$28:$Q$78,MATCH($M177,[1]梦魇入侵!$D$28:$D$78,0),MATCH($K177,[1]梦魇入侵!$E$28:$Q$28,0))</f>
        <v>1|1707900000</v>
      </c>
      <c r="M177" s="43">
        <v>90</v>
      </c>
      <c r="N177" s="33" t="str">
        <f t="shared" si="6"/>
        <v>今日累计伤害达到170790万</v>
      </c>
      <c r="O177"/>
      <c r="U177" s="33" t="e">
        <f>INT(MID($E177,MIN(FIND({0,1,2,3,4,5,6,7,8,9},$E177&amp;"0123456789")),LEN($E177)*2-LENB($E177)))</f>
        <v>#VALUE!</v>
      </c>
      <c r="V177" s="33" t="str">
        <f t="shared" si="7"/>
        <v>今日累计伤害达到 [00821c]64650[-] 万</v>
      </c>
    </row>
    <row r="178" spans="1:22" s="33" customFormat="1" ht="16.5">
      <c r="A178" s="28">
        <v>10175</v>
      </c>
      <c r="B178" s="28">
        <v>91106</v>
      </c>
      <c r="C178" s="29">
        <v>0</v>
      </c>
      <c r="D178" s="30">
        <v>49</v>
      </c>
      <c r="E178" s="31" t="s">
        <v>691</v>
      </c>
      <c r="F178" s="32" t="s">
        <v>691</v>
      </c>
      <c r="G178" s="32" t="s">
        <v>8</v>
      </c>
      <c r="H178" s="32">
        <v>4</v>
      </c>
      <c r="I178" s="30" t="s">
        <v>313</v>
      </c>
      <c r="J178" s="38">
        <v>68525</v>
      </c>
      <c r="K178" s="33">
        <f t="shared" si="5"/>
        <v>80</v>
      </c>
      <c r="L178" s="33" t="str">
        <f>"1|"&amp;INDEX([1]梦魇入侵!$E$28:$Q$78,MATCH($M178,[1]梦魇入侵!$D$28:$D$78,0),MATCH($K178,[1]梦魇入侵!$E$28:$Q$28,0))</f>
        <v>1|1821800000</v>
      </c>
      <c r="M178" s="43">
        <v>96</v>
      </c>
      <c r="N178" s="33" t="str">
        <f t="shared" si="6"/>
        <v>今日累计伤害达到182180万</v>
      </c>
      <c r="O178"/>
      <c r="U178" s="33" t="e">
        <f>INT(MID($E178,MIN(FIND({0,1,2,3,4,5,6,7,8,9},$E178&amp;"0123456789")),LEN($E178)*2-LENB($E178)))</f>
        <v>#VALUE!</v>
      </c>
      <c r="V178" s="33" t="str">
        <f t="shared" si="7"/>
        <v>今日累计伤害达到 [00821c]68960[-] 万</v>
      </c>
    </row>
    <row r="179" spans="1:22" s="33" customFormat="1" ht="16.5">
      <c r="A179" s="28">
        <v>10176</v>
      </c>
      <c r="B179" s="28">
        <v>91106</v>
      </c>
      <c r="C179" s="29">
        <v>0</v>
      </c>
      <c r="D179" s="30">
        <v>51</v>
      </c>
      <c r="E179" s="31" t="s">
        <v>692</v>
      </c>
      <c r="F179" s="32" t="s">
        <v>692</v>
      </c>
      <c r="G179" s="32" t="s">
        <v>33</v>
      </c>
      <c r="H179" s="32">
        <v>4</v>
      </c>
      <c r="I179" s="30" t="s">
        <v>314</v>
      </c>
      <c r="J179" s="38">
        <v>68526</v>
      </c>
      <c r="K179" s="33">
        <f t="shared" si="5"/>
        <v>80</v>
      </c>
      <c r="L179" s="33" t="str">
        <f>"1|"&amp;INDEX([1]梦魇入侵!$E$28:$Q$78,MATCH($M179,[1]梦魇入侵!$D$28:$D$78,0),MATCH($K179,[1]梦魇入侵!$E$28:$Q$28,0))</f>
        <v>1|1916700000</v>
      </c>
      <c r="M179" s="43">
        <v>101</v>
      </c>
      <c r="N179" s="33" t="str">
        <f t="shared" si="6"/>
        <v>今日累计伤害达到191670万</v>
      </c>
      <c r="O179"/>
      <c r="U179" s="33" t="e">
        <f>INT(MID($E179,MIN(FIND({0,1,2,3,4,5,6,7,8,9},$E179&amp;"0123456789")),LEN($E179)*2-LENB($E179)))</f>
        <v>#VALUE!</v>
      </c>
      <c r="V179" s="33" t="str">
        <f t="shared" si="7"/>
        <v>今日累计伤害达到 [00821c]72550[-] 万</v>
      </c>
    </row>
    <row r="180" spans="1:22" s="33" customFormat="1" ht="16.5">
      <c r="A180" s="28">
        <v>10177</v>
      </c>
      <c r="B180" s="28">
        <v>91106</v>
      </c>
      <c r="C180" s="29">
        <v>0</v>
      </c>
      <c r="D180" s="30">
        <v>53</v>
      </c>
      <c r="E180" s="31" t="s">
        <v>693</v>
      </c>
      <c r="F180" s="32" t="s">
        <v>693</v>
      </c>
      <c r="G180" s="32" t="s">
        <v>10</v>
      </c>
      <c r="H180" s="32">
        <v>4</v>
      </c>
      <c r="I180" s="30" t="s">
        <v>315</v>
      </c>
      <c r="J180" s="38">
        <v>68527</v>
      </c>
      <c r="K180" s="33">
        <f t="shared" si="5"/>
        <v>80</v>
      </c>
      <c r="L180" s="33" t="str">
        <f>"1|"&amp;INDEX([1]梦魇入侵!$E$28:$Q$78,MATCH($M180,[1]梦魇入侵!$D$28:$D$78,0),MATCH($K180,[1]梦魇入侵!$E$28:$Q$28,0))</f>
        <v>1|2011600000</v>
      </c>
      <c r="M180" s="43">
        <v>106</v>
      </c>
      <c r="N180" s="33" t="str">
        <f t="shared" si="6"/>
        <v>今日累计伤害达到201160万</v>
      </c>
      <c r="O180"/>
      <c r="U180" s="33" t="e">
        <f>INT(MID($E180,MIN(FIND({0,1,2,3,4,5,6,7,8,9},$E180&amp;"0123456789")),LEN($E180)*2-LENB($E180)))</f>
        <v>#VALUE!</v>
      </c>
      <c r="V180" s="33" t="str">
        <f t="shared" si="7"/>
        <v>今日累计伤害达到 [00821c]76140[-] 万</v>
      </c>
    </row>
    <row r="181" spans="1:22" s="33" customFormat="1" ht="16.5">
      <c r="A181" s="28">
        <v>10178</v>
      </c>
      <c r="B181" s="28">
        <v>91106</v>
      </c>
      <c r="C181" s="29">
        <v>0</v>
      </c>
      <c r="D181" s="30">
        <v>55</v>
      </c>
      <c r="E181" s="31" t="s">
        <v>694</v>
      </c>
      <c r="F181" s="32" t="s">
        <v>694</v>
      </c>
      <c r="G181" s="32" t="s">
        <v>34</v>
      </c>
      <c r="H181" s="32">
        <v>4</v>
      </c>
      <c r="I181" s="30" t="s">
        <v>316</v>
      </c>
      <c r="J181" s="38">
        <v>68528</v>
      </c>
      <c r="K181" s="33">
        <f t="shared" si="5"/>
        <v>80</v>
      </c>
      <c r="L181" s="33" t="str">
        <f>"1|"&amp;INDEX([1]梦魇入侵!$E$28:$Q$78,MATCH($M181,[1]梦魇入侵!$D$28:$D$78,0),MATCH($K181,[1]梦魇入侵!$E$28:$Q$28,0))</f>
        <v>1|2106400000</v>
      </c>
      <c r="M181" s="43">
        <v>111</v>
      </c>
      <c r="N181" s="33" t="str">
        <f t="shared" si="6"/>
        <v>今日累计伤害达到210640万</v>
      </c>
      <c r="O181"/>
      <c r="U181" s="33" t="e">
        <f>INT(MID($E181,MIN(FIND({0,1,2,3,4,5,6,7,8,9},$E181&amp;"0123456789")),LEN($E181)*2-LENB($E181)))</f>
        <v>#VALUE!</v>
      </c>
      <c r="V181" s="33" t="str">
        <f t="shared" si="7"/>
        <v>今日累计伤害达到 [00821c]79730[-] 万</v>
      </c>
    </row>
    <row r="182" spans="1:22" s="33" customFormat="1" ht="16.5">
      <c r="A182" s="28">
        <v>10179</v>
      </c>
      <c r="B182" s="28">
        <v>91106</v>
      </c>
      <c r="C182" s="29">
        <v>0</v>
      </c>
      <c r="D182" s="30">
        <v>57</v>
      </c>
      <c r="E182" s="31" t="s">
        <v>695</v>
      </c>
      <c r="F182" s="32" t="s">
        <v>695</v>
      </c>
      <c r="G182" s="32" t="s">
        <v>19</v>
      </c>
      <c r="H182" s="32">
        <v>4</v>
      </c>
      <c r="I182" s="30" t="s">
        <v>317</v>
      </c>
      <c r="J182" s="38">
        <v>68529</v>
      </c>
      <c r="K182" s="33">
        <f t="shared" si="5"/>
        <v>80</v>
      </c>
      <c r="L182" s="33" t="str">
        <f>"1|"&amp;INDEX([1]梦魇入侵!$E$28:$Q$78,MATCH($M182,[1]梦魇入侵!$D$28:$D$78,0),MATCH($K182,[1]梦魇入侵!$E$28:$Q$28,0))</f>
        <v>1|2201300000</v>
      </c>
      <c r="M182" s="43">
        <v>116</v>
      </c>
      <c r="N182" s="33" t="str">
        <f t="shared" si="6"/>
        <v>今日累计伤害达到220130万</v>
      </c>
      <c r="O182"/>
      <c r="U182" s="33" t="e">
        <f>INT(MID($E182,MIN(FIND({0,1,2,3,4,5,6,7,8,9},$E182&amp;"0123456789")),LEN($E182)*2-LENB($E182)))</f>
        <v>#VALUE!</v>
      </c>
      <c r="V182" s="33" t="str">
        <f t="shared" si="7"/>
        <v>今日累计伤害达到 [00821c]83320[-] 万</v>
      </c>
    </row>
    <row r="183" spans="1:22" s="33" customFormat="1" ht="16.5">
      <c r="A183" s="28">
        <v>10180</v>
      </c>
      <c r="B183" s="28">
        <v>91106</v>
      </c>
      <c r="C183" s="29">
        <v>0</v>
      </c>
      <c r="D183" s="30">
        <v>59</v>
      </c>
      <c r="E183" s="31" t="s">
        <v>696</v>
      </c>
      <c r="F183" s="32" t="s">
        <v>696</v>
      </c>
      <c r="G183" s="32" t="s">
        <v>35</v>
      </c>
      <c r="H183" s="32">
        <v>4</v>
      </c>
      <c r="I183" s="30" t="s">
        <v>318</v>
      </c>
      <c r="J183" s="38">
        <v>68530</v>
      </c>
      <c r="K183" s="33">
        <f t="shared" si="5"/>
        <v>80</v>
      </c>
      <c r="L183" s="33" t="str">
        <f>"1|"&amp;INDEX([1]梦魇入侵!$E$28:$Q$78,MATCH($M183,[1]梦魇入侵!$D$28:$D$78,0),MATCH($K183,[1]梦魇入侵!$E$28:$Q$28,0))</f>
        <v>1|2296200000</v>
      </c>
      <c r="M183" s="43">
        <v>121</v>
      </c>
      <c r="N183" s="33" t="str">
        <f t="shared" si="6"/>
        <v>今日累计伤害达到229620万</v>
      </c>
      <c r="O183"/>
      <c r="U183" s="33" t="e">
        <f>INT(MID($E183,MIN(FIND({0,1,2,3,4,5,6,7,8,9},$E183&amp;"0123456789")),LEN($E183)*2-LENB($E183)))</f>
        <v>#VALUE!</v>
      </c>
      <c r="V183" s="33" t="str">
        <f t="shared" si="7"/>
        <v>今日累计伤害达到 [00821c]86910[-] 万</v>
      </c>
    </row>
    <row r="184" spans="1:22" ht="16.5">
      <c r="A184" s="2">
        <v>10181</v>
      </c>
      <c r="B184" s="2">
        <v>91107</v>
      </c>
      <c r="C184" s="25">
        <v>0</v>
      </c>
      <c r="D184" s="10">
        <v>1</v>
      </c>
      <c r="E184" s="14" t="s">
        <v>697</v>
      </c>
      <c r="F184" s="20" t="s">
        <v>697</v>
      </c>
      <c r="G184" s="20" t="s">
        <v>90</v>
      </c>
      <c r="H184" s="20">
        <v>1</v>
      </c>
      <c r="I184" s="10" t="s">
        <v>319</v>
      </c>
      <c r="J184" s="36">
        <v>68501</v>
      </c>
      <c r="K184">
        <f t="shared" si="5"/>
        <v>90</v>
      </c>
      <c r="L184" t="str">
        <f>"1|"&amp;INDEX([1]梦魇入侵!$E$28:$Q$78,MATCH($M184,[1]梦魇入侵!$D$28:$D$78,0),MATCH($K184,[1]梦魇入侵!$E$28:$Q$28,0))</f>
        <v>1|21300000</v>
      </c>
      <c r="M184" s="42">
        <v>1</v>
      </c>
      <c r="N184" t="str">
        <f t="shared" si="6"/>
        <v>今日累计伤害达到2130万</v>
      </c>
      <c r="U184" t="e">
        <f>INT(MID($E184,MIN(FIND({0,1,2,3,4,5,6,7,8,9},$E184&amp;"0123456789")),LEN($E184)*2-LENB($E184)))</f>
        <v>#VALUE!</v>
      </c>
      <c r="V184" t="str">
        <f t="shared" si="7"/>
        <v>今日累计伤害达到 [00821c]810[-] 万</v>
      </c>
    </row>
    <row r="185" spans="1:22" ht="16.5">
      <c r="A185" s="2">
        <v>10182</v>
      </c>
      <c r="B185" s="2">
        <v>91107</v>
      </c>
      <c r="C185" s="25">
        <v>0</v>
      </c>
      <c r="D185" s="10">
        <v>3</v>
      </c>
      <c r="E185" s="14" t="s">
        <v>698</v>
      </c>
      <c r="F185" s="20" t="s">
        <v>698</v>
      </c>
      <c r="G185" s="20" t="s">
        <v>1</v>
      </c>
      <c r="H185" s="20">
        <v>1</v>
      </c>
      <c r="I185" s="10" t="s">
        <v>320</v>
      </c>
      <c r="J185" s="36">
        <v>68502</v>
      </c>
      <c r="K185">
        <f t="shared" si="5"/>
        <v>90</v>
      </c>
      <c r="L185" t="str">
        <f>"1|"&amp;INDEX([1]梦魇入侵!$E$28:$Q$78,MATCH($M185,[1]梦魇入侵!$D$28:$D$78,0),MATCH($K185,[1]梦魇入侵!$E$28:$Q$28,0))</f>
        <v>1|42600000</v>
      </c>
      <c r="M185" s="42">
        <v>2</v>
      </c>
      <c r="N185" t="str">
        <f t="shared" si="6"/>
        <v>今日累计伤害达到4260万</v>
      </c>
      <c r="U185" t="e">
        <f>INT(MID($E185,MIN(FIND({0,1,2,3,4,5,6,7,8,9},$E185&amp;"0123456789")),LEN($E185)*2-LENB($E185)))</f>
        <v>#VALUE!</v>
      </c>
      <c r="V185" t="str">
        <f t="shared" si="7"/>
        <v>今日累计伤害达到 [00821c]1610[-] 万</v>
      </c>
    </row>
    <row r="186" spans="1:22" ht="16.5">
      <c r="A186" s="2">
        <v>10183</v>
      </c>
      <c r="B186" s="2">
        <v>91107</v>
      </c>
      <c r="C186" s="25">
        <v>0</v>
      </c>
      <c r="D186" s="10">
        <v>5</v>
      </c>
      <c r="E186" s="14" t="s">
        <v>699</v>
      </c>
      <c r="F186" s="20" t="s">
        <v>699</v>
      </c>
      <c r="G186" s="20" t="s">
        <v>2</v>
      </c>
      <c r="H186" s="20">
        <v>1</v>
      </c>
      <c r="I186" s="10" t="s">
        <v>321</v>
      </c>
      <c r="J186" s="36">
        <v>68503</v>
      </c>
      <c r="K186">
        <f t="shared" si="5"/>
        <v>90</v>
      </c>
      <c r="L186" t="str">
        <f>"1|"&amp;INDEX([1]梦魇入侵!$E$28:$Q$78,MATCH($M186,[1]梦魇入侵!$D$28:$D$78,0),MATCH($K186,[1]梦魇入侵!$E$28:$Q$28,0))</f>
        <v>1|64000000</v>
      </c>
      <c r="M186" s="42">
        <v>3</v>
      </c>
      <c r="N186" t="str">
        <f t="shared" si="6"/>
        <v>今日累计伤害达到6400万</v>
      </c>
      <c r="U186" t="e">
        <f>INT(MID($E186,MIN(FIND({0,1,2,3,4,5,6,7,8,9},$E186&amp;"0123456789")),LEN($E186)*2-LENB($E186)))</f>
        <v>#VALUE!</v>
      </c>
      <c r="V186" t="str">
        <f t="shared" si="7"/>
        <v>今日累计伤害达到 [00821c]2420[-] 万</v>
      </c>
    </row>
    <row r="187" spans="1:22" ht="16.5">
      <c r="A187" s="2">
        <v>10184</v>
      </c>
      <c r="B187" s="2">
        <v>91107</v>
      </c>
      <c r="C187" s="25">
        <v>0</v>
      </c>
      <c r="D187" s="10">
        <v>7</v>
      </c>
      <c r="E187" s="14" t="s">
        <v>700</v>
      </c>
      <c r="F187" s="20" t="s">
        <v>700</v>
      </c>
      <c r="G187" s="20" t="s">
        <v>12</v>
      </c>
      <c r="H187" s="20">
        <v>1</v>
      </c>
      <c r="I187" s="10" t="s">
        <v>322</v>
      </c>
      <c r="J187" s="36">
        <v>68504</v>
      </c>
      <c r="K187">
        <f t="shared" si="5"/>
        <v>90</v>
      </c>
      <c r="L187" t="str">
        <f>"1|"&amp;INDEX([1]梦魇入侵!$E$28:$Q$78,MATCH($M187,[1]梦魇入侵!$D$28:$D$78,0),MATCH($K187,[1]梦魇入侵!$E$28:$Q$28,0))</f>
        <v>1|106600000</v>
      </c>
      <c r="M187" s="42">
        <v>5</v>
      </c>
      <c r="N187" t="str">
        <f t="shared" si="6"/>
        <v>今日累计伤害达到10660万</v>
      </c>
      <c r="U187" t="e">
        <f>INT(MID($E187,MIN(FIND({0,1,2,3,4,5,6,7,8,9},$E187&amp;"0123456789")),LEN($E187)*2-LENB($E187)))</f>
        <v>#VALUE!</v>
      </c>
      <c r="V187" t="str">
        <f t="shared" si="7"/>
        <v>今日累计伤害达到 [00821c]4030[-] 万</v>
      </c>
    </row>
    <row r="188" spans="1:22" ht="16.5">
      <c r="A188" s="2">
        <v>10185</v>
      </c>
      <c r="B188" s="2">
        <v>91107</v>
      </c>
      <c r="C188" s="25">
        <v>0</v>
      </c>
      <c r="D188" s="10">
        <v>9</v>
      </c>
      <c r="E188" s="14" t="s">
        <v>701</v>
      </c>
      <c r="F188" s="20" t="s">
        <v>701</v>
      </c>
      <c r="G188" s="20" t="s">
        <v>22</v>
      </c>
      <c r="H188" s="20">
        <v>1</v>
      </c>
      <c r="I188" s="10" t="s">
        <v>323</v>
      </c>
      <c r="J188" s="36">
        <v>68505</v>
      </c>
      <c r="K188">
        <f t="shared" si="5"/>
        <v>90</v>
      </c>
      <c r="L188" t="str">
        <f>"1|"&amp;INDEX([1]梦魇入侵!$E$28:$Q$78,MATCH($M188,[1]梦魇入侵!$D$28:$D$78,0),MATCH($K188,[1]梦魇入侵!$E$28:$Q$28,0))</f>
        <v>1|127900000</v>
      </c>
      <c r="M188" s="42">
        <v>6</v>
      </c>
      <c r="N188" t="str">
        <f t="shared" si="6"/>
        <v>今日累计伤害达到12790万</v>
      </c>
      <c r="U188" t="e">
        <f>INT(MID($E188,MIN(FIND({0,1,2,3,4,5,6,7,8,9},$E188&amp;"0123456789")),LEN($E188)*2-LENB($E188)))</f>
        <v>#VALUE!</v>
      </c>
      <c r="V188" t="str">
        <f t="shared" si="7"/>
        <v>今日累计伤害达到 [00821c]4830[-] 万</v>
      </c>
    </row>
    <row r="189" spans="1:22" ht="16.5">
      <c r="A189" s="2">
        <v>10186</v>
      </c>
      <c r="B189" s="2">
        <v>91107</v>
      </c>
      <c r="C189" s="25">
        <v>0</v>
      </c>
      <c r="D189" s="10">
        <v>11</v>
      </c>
      <c r="E189" s="14" t="s">
        <v>702</v>
      </c>
      <c r="F189" s="20" t="s">
        <v>702</v>
      </c>
      <c r="G189" s="20" t="s">
        <v>3</v>
      </c>
      <c r="H189" s="20">
        <v>1</v>
      </c>
      <c r="I189" s="10" t="s">
        <v>324</v>
      </c>
      <c r="J189" s="36">
        <v>68506</v>
      </c>
      <c r="K189">
        <f t="shared" si="5"/>
        <v>90</v>
      </c>
      <c r="L189" t="str">
        <f>"1|"&amp;INDEX([1]梦魇入侵!$E$28:$Q$78,MATCH($M189,[1]梦魇入侵!$D$28:$D$78,0),MATCH($K189,[1]梦魇入侵!$E$28:$Q$28,0))</f>
        <v>1|170600000</v>
      </c>
      <c r="M189" s="42">
        <v>8</v>
      </c>
      <c r="N189" t="str">
        <f t="shared" si="6"/>
        <v>今日累计伤害达到17060万</v>
      </c>
      <c r="U189" t="e">
        <f>INT(MID($E189,MIN(FIND({0,1,2,3,4,5,6,7,8,9},$E189&amp;"0123456789")),LEN($E189)*2-LENB($E189)))</f>
        <v>#VALUE!</v>
      </c>
      <c r="V189" t="str">
        <f t="shared" si="7"/>
        <v>今日累计伤害达到 [00821c]6440[-] 万</v>
      </c>
    </row>
    <row r="190" spans="1:22" ht="16.5">
      <c r="A190" s="2">
        <v>10187</v>
      </c>
      <c r="B190" s="2">
        <v>91107</v>
      </c>
      <c r="C190" s="25">
        <v>0</v>
      </c>
      <c r="D190" s="10">
        <v>13</v>
      </c>
      <c r="E190" s="14" t="s">
        <v>703</v>
      </c>
      <c r="F190" s="20" t="s">
        <v>703</v>
      </c>
      <c r="G190" s="20" t="s">
        <v>23</v>
      </c>
      <c r="H190" s="20">
        <v>2</v>
      </c>
      <c r="I190" s="10" t="s">
        <v>325</v>
      </c>
      <c r="J190" s="36">
        <v>68507</v>
      </c>
      <c r="K190">
        <f t="shared" si="5"/>
        <v>90</v>
      </c>
      <c r="L190" t="str">
        <f>"1|"&amp;INDEX([1]梦魇入侵!$E$28:$Q$78,MATCH($M190,[1]梦魇入侵!$D$28:$D$78,0),MATCH($K190,[1]梦魇入侵!$E$28:$Q$28,0))</f>
        <v>1|234500000</v>
      </c>
      <c r="M190" s="42">
        <v>11</v>
      </c>
      <c r="N190" t="str">
        <f t="shared" si="6"/>
        <v>今日累计伤害达到23450万</v>
      </c>
      <c r="U190" t="e">
        <f>INT(MID($E190,MIN(FIND({0,1,2,3,4,5,6,7,8,9},$E190&amp;"0123456789")),LEN($E190)*2-LENB($E190)))</f>
        <v>#VALUE!</v>
      </c>
      <c r="V190" t="str">
        <f t="shared" si="7"/>
        <v>今日累计伤害达到 [00821c]8860[-] 万</v>
      </c>
    </row>
    <row r="191" spans="1:22" ht="16.5">
      <c r="A191" s="2">
        <v>10188</v>
      </c>
      <c r="B191" s="2">
        <v>91107</v>
      </c>
      <c r="C191" s="25">
        <v>0</v>
      </c>
      <c r="D191" s="10">
        <v>15</v>
      </c>
      <c r="E191" s="14" t="s">
        <v>704</v>
      </c>
      <c r="F191" s="20" t="s">
        <v>704</v>
      </c>
      <c r="G191" s="20" t="s">
        <v>9</v>
      </c>
      <c r="H191" s="20">
        <v>2</v>
      </c>
      <c r="I191" s="10" t="s">
        <v>326</v>
      </c>
      <c r="J191" s="36">
        <v>68508</v>
      </c>
      <c r="K191">
        <f t="shared" si="5"/>
        <v>90</v>
      </c>
      <c r="L191" t="str">
        <f>"1|"&amp;INDEX([1]梦魇入侵!$E$28:$Q$78,MATCH($M191,[1]梦魇入侵!$D$28:$D$78,0),MATCH($K191,[1]梦魇入侵!$E$28:$Q$28,0))</f>
        <v>1|298500000</v>
      </c>
      <c r="M191" s="42">
        <v>14</v>
      </c>
      <c r="N191" t="str">
        <f t="shared" si="6"/>
        <v>今日累计伤害达到29850万</v>
      </c>
      <c r="U191" t="e">
        <f>INT(MID($E191,MIN(FIND({0,1,2,3,4,5,6,7,8,9},$E191&amp;"0123456789")),LEN($E191)*2-LENB($E191)))</f>
        <v>#VALUE!</v>
      </c>
      <c r="V191" t="str">
        <f t="shared" si="7"/>
        <v>今日累计伤害达到 [00821c]11270[-] 万</v>
      </c>
    </row>
    <row r="192" spans="1:22" ht="16.5">
      <c r="A192" s="2">
        <v>10189</v>
      </c>
      <c r="B192" s="2">
        <v>91107</v>
      </c>
      <c r="C192" s="25">
        <v>0</v>
      </c>
      <c r="D192" s="10">
        <v>17</v>
      </c>
      <c r="E192" s="14" t="s">
        <v>705</v>
      </c>
      <c r="F192" s="20" t="s">
        <v>705</v>
      </c>
      <c r="G192" s="20" t="s">
        <v>5</v>
      </c>
      <c r="H192" s="20">
        <v>2</v>
      </c>
      <c r="I192" s="10" t="s">
        <v>327</v>
      </c>
      <c r="J192" s="36">
        <v>68509</v>
      </c>
      <c r="K192">
        <f t="shared" si="5"/>
        <v>90</v>
      </c>
      <c r="L192" t="str">
        <f>"1|"&amp;INDEX([1]梦魇入侵!$E$28:$Q$78,MATCH($M192,[1]梦魇入侵!$D$28:$D$78,0),MATCH($K192,[1]梦魇入侵!$E$28:$Q$28,0))</f>
        <v>1|341200000</v>
      </c>
      <c r="M192" s="42">
        <v>16</v>
      </c>
      <c r="N192" t="str">
        <f t="shared" si="6"/>
        <v>今日累计伤害达到34120万</v>
      </c>
      <c r="U192" t="e">
        <f>INT(MID($E192,MIN(FIND({0,1,2,3,4,5,6,7,8,9},$E192&amp;"0123456789")),LEN($E192)*2-LENB($E192)))</f>
        <v>#VALUE!</v>
      </c>
      <c r="V192" t="str">
        <f t="shared" si="7"/>
        <v>今日累计伤害达到 [00821c]12880[-] 万</v>
      </c>
    </row>
    <row r="193" spans="1:22" ht="16.5">
      <c r="A193" s="2">
        <v>10190</v>
      </c>
      <c r="B193" s="2">
        <v>91107</v>
      </c>
      <c r="C193" s="25">
        <v>0</v>
      </c>
      <c r="D193" s="10">
        <v>19</v>
      </c>
      <c r="E193" s="14" t="s">
        <v>706</v>
      </c>
      <c r="F193" s="20" t="s">
        <v>706</v>
      </c>
      <c r="G193" s="20" t="s">
        <v>24</v>
      </c>
      <c r="H193" s="20">
        <v>2</v>
      </c>
      <c r="I193" s="10" t="s">
        <v>328</v>
      </c>
      <c r="J193" s="36">
        <v>68510</v>
      </c>
      <c r="K193">
        <f t="shared" ref="K193:K256" si="8">K163+10</f>
        <v>90</v>
      </c>
      <c r="L193" t="str">
        <f>"1|"&amp;INDEX([1]梦魇入侵!$E$28:$Q$78,MATCH($M193,[1]梦魇入侵!$D$28:$D$78,0),MATCH($K193,[1]梦魇入侵!$E$28:$Q$28,0))</f>
        <v>1|405100000</v>
      </c>
      <c r="M193" s="42">
        <v>19</v>
      </c>
      <c r="N193" t="str">
        <f t="shared" si="6"/>
        <v>今日累计伤害达到40510万</v>
      </c>
      <c r="U193" t="e">
        <f>INT(MID($E193,MIN(FIND({0,1,2,3,4,5,6,7,8,9},$E193&amp;"0123456789")),LEN($E193)*2-LENB($E193)))</f>
        <v>#VALUE!</v>
      </c>
      <c r="V193" t="str">
        <f t="shared" si="7"/>
        <v>今日累计伤害达到 [00821c]15300[-] 万</v>
      </c>
    </row>
    <row r="194" spans="1:22" ht="16.5">
      <c r="A194" s="2">
        <v>10191</v>
      </c>
      <c r="B194" s="2">
        <v>91107</v>
      </c>
      <c r="C194" s="25">
        <v>0</v>
      </c>
      <c r="D194" s="10">
        <v>21</v>
      </c>
      <c r="E194" s="14" t="s">
        <v>707</v>
      </c>
      <c r="F194" s="20" t="s">
        <v>707</v>
      </c>
      <c r="G194" s="20" t="s">
        <v>27</v>
      </c>
      <c r="H194" s="20">
        <v>2</v>
      </c>
      <c r="I194" s="10" t="s">
        <v>329</v>
      </c>
      <c r="J194" s="36">
        <v>68511</v>
      </c>
      <c r="K194">
        <f t="shared" si="8"/>
        <v>90</v>
      </c>
      <c r="L194" t="str">
        <f>"1|"&amp;INDEX([1]梦魇入侵!$E$28:$Q$78,MATCH($M194,[1]梦魇入侵!$D$28:$D$78,0),MATCH($K194,[1]梦魇入侵!$E$28:$Q$28,0))</f>
        <v>1|447800000</v>
      </c>
      <c r="M194" s="42">
        <v>21</v>
      </c>
      <c r="N194" t="str">
        <f t="shared" si="6"/>
        <v>今日累计伤害达到44780万</v>
      </c>
      <c r="U194" t="e">
        <f>INT(MID($E194,MIN(FIND({0,1,2,3,4,5,6,7,8,9},$E194&amp;"0123456789")),LEN($E194)*2-LENB($E194)))</f>
        <v>#VALUE!</v>
      </c>
      <c r="V194" t="str">
        <f t="shared" si="7"/>
        <v>今日累计伤害达到 [00821c]16910[-] 万</v>
      </c>
    </row>
    <row r="195" spans="1:22" ht="16.5">
      <c r="A195" s="2">
        <v>10192</v>
      </c>
      <c r="B195" s="2">
        <v>91107</v>
      </c>
      <c r="C195" s="25">
        <v>0</v>
      </c>
      <c r="D195" s="10">
        <v>23</v>
      </c>
      <c r="E195" s="14" t="s">
        <v>708</v>
      </c>
      <c r="F195" s="20" t="s">
        <v>708</v>
      </c>
      <c r="G195" s="20" t="s">
        <v>6</v>
      </c>
      <c r="H195" s="20">
        <v>3</v>
      </c>
      <c r="I195" s="10" t="s">
        <v>330</v>
      </c>
      <c r="J195" s="36">
        <v>68512</v>
      </c>
      <c r="K195">
        <f t="shared" si="8"/>
        <v>90</v>
      </c>
      <c r="L195" t="str">
        <f>"1|"&amp;INDEX([1]梦魇入侵!$E$28:$Q$78,MATCH($M195,[1]梦魇入侵!$D$28:$D$78,0),MATCH($K195,[1]梦魇入侵!$E$28:$Q$28,0))</f>
        <v>1|511700000</v>
      </c>
      <c r="M195" s="42">
        <v>24</v>
      </c>
      <c r="N195" t="str">
        <f t="shared" si="6"/>
        <v>今日累计伤害达到51170万</v>
      </c>
      <c r="U195" t="e">
        <f>INT(MID($E195,MIN(FIND({0,1,2,3,4,5,6,7,8,9},$E195&amp;"0123456789")),LEN($E195)*2-LENB($E195)))</f>
        <v>#VALUE!</v>
      </c>
      <c r="V195" t="str">
        <f t="shared" si="7"/>
        <v>今日累计伤害达到 [00821c]19330[-] 万</v>
      </c>
    </row>
    <row r="196" spans="1:22" ht="16.5">
      <c r="A196" s="2">
        <v>10193</v>
      </c>
      <c r="B196" s="2">
        <v>91107</v>
      </c>
      <c r="C196" s="25">
        <v>0</v>
      </c>
      <c r="D196" s="10">
        <v>25</v>
      </c>
      <c r="E196" s="14" t="s">
        <v>709</v>
      </c>
      <c r="F196" s="20" t="s">
        <v>709</v>
      </c>
      <c r="G196" s="20" t="s">
        <v>4</v>
      </c>
      <c r="H196" s="20">
        <v>3</v>
      </c>
      <c r="I196" s="10" t="s">
        <v>331</v>
      </c>
      <c r="J196" s="36">
        <v>68513</v>
      </c>
      <c r="K196">
        <f t="shared" si="8"/>
        <v>90</v>
      </c>
      <c r="L196" t="str">
        <f>"1|"&amp;INDEX([1]梦魇入侵!$E$28:$Q$78,MATCH($M196,[1]梦魇入侵!$D$28:$D$78,0),MATCH($K196,[1]梦魇入侵!$E$28:$Q$28,0))</f>
        <v>1|554400000</v>
      </c>
      <c r="M196" s="42">
        <v>26</v>
      </c>
      <c r="N196" t="str">
        <f t="shared" ref="N196:N259" si="9">"今日累计伤害达到"&amp;RIGHT($L196,LEN($L196)-2)/10000&amp;"万"</f>
        <v>今日累计伤害达到55440万</v>
      </c>
      <c r="U196" t="e">
        <f>INT(MID($E196,MIN(FIND({0,1,2,3,4,5,6,7,8,9},$E196&amp;"0123456789")),LEN($E196)*2-LENB($E196)))</f>
        <v>#VALUE!</v>
      </c>
      <c r="V196" t="str">
        <f t="shared" si="7"/>
        <v>今日累计伤害达到 [00821c]20940[-] 万</v>
      </c>
    </row>
    <row r="197" spans="1:22" ht="16.5">
      <c r="A197" s="2">
        <v>10194</v>
      </c>
      <c r="B197" s="2">
        <v>91107</v>
      </c>
      <c r="C197" s="25">
        <v>0</v>
      </c>
      <c r="D197" s="10">
        <v>27</v>
      </c>
      <c r="E197" s="14" t="s">
        <v>710</v>
      </c>
      <c r="F197" s="20" t="s">
        <v>710</v>
      </c>
      <c r="G197" s="20" t="s">
        <v>25</v>
      </c>
      <c r="H197" s="20">
        <v>3</v>
      </c>
      <c r="I197" s="10" t="s">
        <v>332</v>
      </c>
      <c r="J197" s="36">
        <v>68514</v>
      </c>
      <c r="K197">
        <f t="shared" si="8"/>
        <v>90</v>
      </c>
      <c r="L197" t="str">
        <f>"1|"&amp;INDEX([1]梦魇入侵!$E$28:$Q$78,MATCH($M197,[1]梦魇入侵!$D$28:$D$78,0),MATCH($K197,[1]梦魇入侵!$E$28:$Q$28,0))</f>
        <v>1|618300000</v>
      </c>
      <c r="M197" s="42">
        <v>29</v>
      </c>
      <c r="N197" t="str">
        <f t="shared" si="9"/>
        <v>今日累计伤害达到61830万</v>
      </c>
      <c r="U197" t="e">
        <f>INT(MID($E197,MIN(FIND({0,1,2,3,4,5,6,7,8,9},$E197&amp;"0123456789")),LEN($E197)*2-LENB($E197)))</f>
        <v>#VALUE!</v>
      </c>
      <c r="V197" t="str">
        <f t="shared" ref="V197:V260" si="10">IF(ISERROR($U197),$E197,LEFT($E197,FIND($U197,$E197)-1)&amp;" [379340]"&amp;U197&amp;"[-] "&amp;IFERROR(RIGHT($E197,LEN($E197)-FIND($U197,$E197)-LEN($U197)+1),""))</f>
        <v>今日累计伤害达到 [00821c]23350[-] 万</v>
      </c>
    </row>
    <row r="198" spans="1:22" ht="16.5">
      <c r="A198" s="2">
        <v>10195</v>
      </c>
      <c r="B198" s="2">
        <v>91107</v>
      </c>
      <c r="C198" s="25">
        <v>0</v>
      </c>
      <c r="D198" s="10">
        <v>29</v>
      </c>
      <c r="E198" s="14" t="s">
        <v>711</v>
      </c>
      <c r="F198" s="20" t="s">
        <v>711</v>
      </c>
      <c r="G198" s="20" t="s">
        <v>26</v>
      </c>
      <c r="H198" s="20">
        <v>3</v>
      </c>
      <c r="I198" s="10" t="s">
        <v>333</v>
      </c>
      <c r="J198" s="36">
        <v>68515</v>
      </c>
      <c r="K198">
        <f t="shared" si="8"/>
        <v>90</v>
      </c>
      <c r="L198" t="str">
        <f>"1|"&amp;INDEX([1]梦魇入侵!$E$28:$Q$78,MATCH($M198,[1]梦魇入侵!$D$28:$D$78,0),MATCH($K198,[1]梦魇入侵!$E$28:$Q$28,0))</f>
        <v>1|724900000</v>
      </c>
      <c r="M198" s="42">
        <v>34</v>
      </c>
      <c r="N198" t="str">
        <f t="shared" si="9"/>
        <v>今日累计伤害达到72490万</v>
      </c>
      <c r="U198" t="e">
        <f>INT(MID($E198,MIN(FIND({0,1,2,3,4,5,6,7,8,9},$E198&amp;"0123456789")),LEN($E198)*2-LENB($E198)))</f>
        <v>#VALUE!</v>
      </c>
      <c r="V198" t="str">
        <f t="shared" si="10"/>
        <v>今日累计伤害达到 [00821c]27380[-] 万</v>
      </c>
    </row>
    <row r="199" spans="1:22" ht="16.5">
      <c r="A199" s="2">
        <v>10196</v>
      </c>
      <c r="B199" s="2">
        <v>91107</v>
      </c>
      <c r="C199" s="25">
        <v>0</v>
      </c>
      <c r="D199" s="10">
        <v>31</v>
      </c>
      <c r="E199" s="14" t="s">
        <v>712</v>
      </c>
      <c r="F199" s="20" t="s">
        <v>712</v>
      </c>
      <c r="G199" s="20" t="s">
        <v>7</v>
      </c>
      <c r="H199" s="20">
        <v>3</v>
      </c>
      <c r="I199" s="10" t="s">
        <v>334</v>
      </c>
      <c r="J199" s="36">
        <v>68516</v>
      </c>
      <c r="K199">
        <f t="shared" si="8"/>
        <v>90</v>
      </c>
      <c r="L199" t="str">
        <f>"1|"&amp;INDEX([1]梦魇入侵!$E$28:$Q$78,MATCH($M199,[1]梦魇入侵!$D$28:$D$78,0),MATCH($K199,[1]梦魇入侵!$E$28:$Q$28,0))</f>
        <v>1|831600000</v>
      </c>
      <c r="M199" s="42">
        <v>39</v>
      </c>
      <c r="N199" t="str">
        <f t="shared" si="9"/>
        <v>今日累计伤害达到83160万</v>
      </c>
      <c r="U199" t="e">
        <f>INT(MID($E199,MIN(FIND({0,1,2,3,4,5,6,7,8,9},$E199&amp;"0123456789")),LEN($E199)*2-LENB($E199)))</f>
        <v>#VALUE!</v>
      </c>
      <c r="V199" t="str">
        <f t="shared" si="10"/>
        <v>今日累计伤害达到 [00821c]31410[-] 万</v>
      </c>
    </row>
    <row r="200" spans="1:22" ht="16.5">
      <c r="A200" s="2">
        <v>10197</v>
      </c>
      <c r="B200" s="2">
        <v>91107</v>
      </c>
      <c r="C200" s="25">
        <v>0</v>
      </c>
      <c r="D200" s="10">
        <v>33</v>
      </c>
      <c r="E200" s="14" t="s">
        <v>713</v>
      </c>
      <c r="F200" s="20" t="s">
        <v>713</v>
      </c>
      <c r="G200" s="20" t="s">
        <v>1</v>
      </c>
      <c r="H200" s="20">
        <v>3</v>
      </c>
      <c r="I200" s="10" t="s">
        <v>335</v>
      </c>
      <c r="J200" s="36">
        <v>68517</v>
      </c>
      <c r="K200">
        <f t="shared" si="8"/>
        <v>90</v>
      </c>
      <c r="L200" t="str">
        <f>"1|"&amp;INDEX([1]梦魇入侵!$E$28:$Q$78,MATCH($M200,[1]梦魇入侵!$D$28:$D$78,0),MATCH($K200,[1]梦魇入侵!$E$28:$Q$28,0))</f>
        <v>1|938200000</v>
      </c>
      <c r="M200" s="42">
        <v>44</v>
      </c>
      <c r="N200" t="str">
        <f t="shared" si="9"/>
        <v>今日累计伤害达到93820万</v>
      </c>
      <c r="U200" t="e">
        <f>INT(MID($E200,MIN(FIND({0,1,2,3,4,5,6,7,8,9},$E200&amp;"0123456789")),LEN($E200)*2-LENB($E200)))</f>
        <v>#VALUE!</v>
      </c>
      <c r="V200" t="str">
        <f t="shared" si="10"/>
        <v>今日累计伤害达到 [00821c]35430[-] 万</v>
      </c>
    </row>
    <row r="201" spans="1:22" ht="16.5">
      <c r="A201" s="2">
        <v>10198</v>
      </c>
      <c r="B201" s="2">
        <v>91107</v>
      </c>
      <c r="C201" s="25">
        <v>0</v>
      </c>
      <c r="D201" s="10">
        <v>35</v>
      </c>
      <c r="E201" s="14" t="s">
        <v>714</v>
      </c>
      <c r="F201" s="20" t="s">
        <v>714</v>
      </c>
      <c r="G201" s="20" t="s">
        <v>27</v>
      </c>
      <c r="H201" s="20">
        <v>4</v>
      </c>
      <c r="I201" s="10" t="s">
        <v>336</v>
      </c>
      <c r="J201" s="36">
        <v>68518</v>
      </c>
      <c r="K201">
        <f t="shared" si="8"/>
        <v>90</v>
      </c>
      <c r="L201" t="str">
        <f>"1|"&amp;INDEX([1]梦魇入侵!$E$28:$Q$78,MATCH($M201,[1]梦魇入侵!$D$28:$D$78,0),MATCH($K201,[1]梦魇入侵!$E$28:$Q$28,0))</f>
        <v>1|1044800000</v>
      </c>
      <c r="M201" s="42">
        <v>49</v>
      </c>
      <c r="N201" t="str">
        <f t="shared" si="9"/>
        <v>今日累计伤害达到104480万</v>
      </c>
      <c r="U201" t="e">
        <f>INT(MID($E201,MIN(FIND({0,1,2,3,4,5,6,7,8,9},$E201&amp;"0123456789")),LEN($E201)*2-LENB($E201)))</f>
        <v>#VALUE!</v>
      </c>
      <c r="V201" t="str">
        <f t="shared" si="10"/>
        <v>今日累计伤害达到 [00821c]39460[-] 万</v>
      </c>
    </row>
    <row r="202" spans="1:22" ht="16.5">
      <c r="A202" s="2">
        <v>10199</v>
      </c>
      <c r="B202" s="2">
        <v>91107</v>
      </c>
      <c r="C202" s="25">
        <v>0</v>
      </c>
      <c r="D202" s="10">
        <v>37</v>
      </c>
      <c r="E202" s="14" t="s">
        <v>715</v>
      </c>
      <c r="F202" s="20" t="s">
        <v>715</v>
      </c>
      <c r="G202" s="20" t="s">
        <v>28</v>
      </c>
      <c r="H202" s="20">
        <v>4</v>
      </c>
      <c r="I202" s="10" t="s">
        <v>337</v>
      </c>
      <c r="J202" s="36">
        <v>68519</v>
      </c>
      <c r="K202">
        <f t="shared" si="8"/>
        <v>90</v>
      </c>
      <c r="L202" t="str">
        <f>"1|"&amp;INDEX([1]梦魇入侵!$E$28:$Q$78,MATCH($M202,[1]梦魇入侵!$D$28:$D$78,0),MATCH($K202,[1]梦魇入侵!$E$28:$Q$28,0))</f>
        <v>1|1172700000</v>
      </c>
      <c r="M202" s="42">
        <v>55</v>
      </c>
      <c r="N202" t="str">
        <f t="shared" si="9"/>
        <v>今日累计伤害达到117270万</v>
      </c>
      <c r="U202" t="e">
        <f>INT(MID($E202,MIN(FIND({0,1,2,3,4,5,6,7,8,9},$E202&amp;"0123456789")),LEN($E202)*2-LENB($E202)))</f>
        <v>#VALUE!</v>
      </c>
      <c r="V202" t="str">
        <f t="shared" si="10"/>
        <v>今日累计伤害达到 [00821c]44290[-] 万</v>
      </c>
    </row>
    <row r="203" spans="1:22" ht="16.5">
      <c r="A203" s="2">
        <v>10200</v>
      </c>
      <c r="B203" s="2">
        <v>91107</v>
      </c>
      <c r="C203" s="25">
        <v>0</v>
      </c>
      <c r="D203" s="10">
        <v>39</v>
      </c>
      <c r="E203" s="14" t="s">
        <v>716</v>
      </c>
      <c r="F203" s="20" t="s">
        <v>716</v>
      </c>
      <c r="G203" s="20" t="s">
        <v>14</v>
      </c>
      <c r="H203" s="20">
        <v>4</v>
      </c>
      <c r="I203" s="10" t="s">
        <v>338</v>
      </c>
      <c r="J203" s="36">
        <v>68520</v>
      </c>
      <c r="K203">
        <f t="shared" si="8"/>
        <v>90</v>
      </c>
      <c r="L203" t="str">
        <f>"1|"&amp;INDEX([1]梦魇入侵!$E$28:$Q$78,MATCH($M203,[1]梦魇入侵!$D$28:$D$78,0),MATCH($K203,[1]梦魇入侵!$E$28:$Q$28,0))</f>
        <v>1|1279300000</v>
      </c>
      <c r="M203" s="42">
        <v>60</v>
      </c>
      <c r="N203" t="str">
        <f t="shared" si="9"/>
        <v>今日累计伤害达到127930万</v>
      </c>
      <c r="U203" t="e">
        <f>INT(MID($E203,MIN(FIND({0,1,2,3,4,5,6,7,8,9},$E203&amp;"0123456789")),LEN($E203)*2-LENB($E203)))</f>
        <v>#VALUE!</v>
      </c>
      <c r="V203" t="str">
        <f t="shared" si="10"/>
        <v>今日累计伤害达到 [00821c]48320[-] 万</v>
      </c>
    </row>
    <row r="204" spans="1:22" ht="16.5">
      <c r="A204" s="2">
        <v>10201</v>
      </c>
      <c r="B204" s="2">
        <v>91107</v>
      </c>
      <c r="C204" s="25">
        <v>0</v>
      </c>
      <c r="D204" s="10">
        <v>41</v>
      </c>
      <c r="E204" s="14" t="s">
        <v>717</v>
      </c>
      <c r="F204" s="20" t="s">
        <v>717</v>
      </c>
      <c r="G204" s="20" t="s">
        <v>4</v>
      </c>
      <c r="H204" s="20">
        <v>4</v>
      </c>
      <c r="I204" s="10" t="s">
        <v>339</v>
      </c>
      <c r="J204" s="36">
        <v>68521</v>
      </c>
      <c r="K204">
        <f t="shared" si="8"/>
        <v>90</v>
      </c>
      <c r="L204" t="str">
        <f>"1|"&amp;INDEX([1]梦魇入侵!$E$28:$Q$78,MATCH($M204,[1]梦魇入侵!$D$28:$D$78,0),MATCH($K204,[1]梦魇入侵!$E$28:$Q$28,0))</f>
        <v>1|1385900000</v>
      </c>
      <c r="M204" s="42">
        <v>65</v>
      </c>
      <c r="N204" t="str">
        <f t="shared" si="9"/>
        <v>今日累计伤害达到138590万</v>
      </c>
      <c r="U204" t="e">
        <f>INT(MID($E204,MIN(FIND({0,1,2,3,4,5,6,7,8,9},$E204&amp;"0123456789")),LEN($E204)*2-LENB($E204)))</f>
        <v>#VALUE!</v>
      </c>
      <c r="V204" t="str">
        <f t="shared" si="10"/>
        <v>今日累计伤害达到 [00821c]52340[-] 万</v>
      </c>
    </row>
    <row r="205" spans="1:22" ht="16.5">
      <c r="A205" s="2">
        <v>10202</v>
      </c>
      <c r="B205" s="2">
        <v>91107</v>
      </c>
      <c r="C205" s="25">
        <v>0</v>
      </c>
      <c r="D205" s="10">
        <v>43</v>
      </c>
      <c r="E205" s="14" t="s">
        <v>718</v>
      </c>
      <c r="F205" s="20" t="s">
        <v>718</v>
      </c>
      <c r="G205" s="20" t="s">
        <v>29</v>
      </c>
      <c r="H205" s="20">
        <v>4</v>
      </c>
      <c r="I205" s="10" t="s">
        <v>340</v>
      </c>
      <c r="J205" s="36">
        <v>68522</v>
      </c>
      <c r="K205">
        <f t="shared" si="8"/>
        <v>90</v>
      </c>
      <c r="L205" t="str">
        <f>"1|"&amp;INDEX([1]梦魇入侵!$E$28:$Q$78,MATCH($M205,[1]梦魇入侵!$D$28:$D$78,0),MATCH($K205,[1]梦魇入侵!$E$28:$Q$28,0))</f>
        <v>1|1492500000</v>
      </c>
      <c r="M205" s="42">
        <v>70</v>
      </c>
      <c r="N205" t="str">
        <f t="shared" si="9"/>
        <v>今日累计伤害达到149250万</v>
      </c>
      <c r="U205" t="e">
        <f>INT(MID($E205,MIN(FIND({0,1,2,3,4,5,6,7,8,9},$E205&amp;"0123456789")),LEN($E205)*2-LENB($E205)))</f>
        <v>#VALUE!</v>
      </c>
      <c r="V205" t="str">
        <f t="shared" si="10"/>
        <v>今日累计伤害达到 [00821c]56370[-] 万</v>
      </c>
    </row>
    <row r="206" spans="1:22" ht="16.5">
      <c r="A206" s="2">
        <v>10203</v>
      </c>
      <c r="B206" s="2">
        <v>91107</v>
      </c>
      <c r="C206" s="25">
        <v>0</v>
      </c>
      <c r="D206" s="10">
        <v>45</v>
      </c>
      <c r="E206" s="14" t="s">
        <v>719</v>
      </c>
      <c r="F206" s="20" t="s">
        <v>719</v>
      </c>
      <c r="G206" s="20" t="s">
        <v>33</v>
      </c>
      <c r="H206" s="20">
        <v>4</v>
      </c>
      <c r="I206" s="10" t="s">
        <v>341</v>
      </c>
      <c r="J206" s="36">
        <v>68523</v>
      </c>
      <c r="K206">
        <f t="shared" si="8"/>
        <v>90</v>
      </c>
      <c r="L206" t="str">
        <f>"1|"&amp;INDEX([1]梦魇入侵!$E$28:$Q$78,MATCH($M206,[1]梦魇入侵!$D$28:$D$78,0),MATCH($K206,[1]梦魇入侵!$E$28:$Q$28,0))</f>
        <v>1|1599200000</v>
      </c>
      <c r="M206" s="42">
        <v>75</v>
      </c>
      <c r="N206" t="str">
        <f t="shared" si="9"/>
        <v>今日累计伤害达到159920万</v>
      </c>
      <c r="U206" t="e">
        <f>INT(MID($E206,MIN(FIND({0,1,2,3,4,5,6,7,8,9},$E206&amp;"0123456789")),LEN($E206)*2-LENB($E206)))</f>
        <v>#VALUE!</v>
      </c>
      <c r="V206" t="str">
        <f t="shared" si="10"/>
        <v>今日累计伤害达到 [00821c]60400[-] 万</v>
      </c>
    </row>
    <row r="207" spans="1:22" ht="16.5">
      <c r="A207" s="2">
        <v>10204</v>
      </c>
      <c r="B207" s="2">
        <v>91107</v>
      </c>
      <c r="C207" s="25">
        <v>0</v>
      </c>
      <c r="D207" s="10">
        <v>47</v>
      </c>
      <c r="E207" s="14" t="s">
        <v>720</v>
      </c>
      <c r="F207" s="20" t="s">
        <v>720</v>
      </c>
      <c r="G207" s="20" t="s">
        <v>15</v>
      </c>
      <c r="H207" s="20">
        <v>4</v>
      </c>
      <c r="I207" s="10" t="s">
        <v>342</v>
      </c>
      <c r="J207" s="36">
        <v>68524</v>
      </c>
      <c r="K207">
        <f t="shared" si="8"/>
        <v>90</v>
      </c>
      <c r="L207" t="str">
        <f>"1|"&amp;INDEX([1]梦魇入侵!$E$28:$Q$78,MATCH($M207,[1]梦魇入侵!$D$28:$D$78,0),MATCH($K207,[1]梦魇入侵!$E$28:$Q$28,0))</f>
        <v>1|1919000000</v>
      </c>
      <c r="M207" s="42">
        <v>90</v>
      </c>
      <c r="N207" t="str">
        <f t="shared" si="9"/>
        <v>今日累计伤害达到191900万</v>
      </c>
      <c r="U207" t="e">
        <f>INT(MID($E207,MIN(FIND({0,1,2,3,4,5,6,7,8,9},$E207&amp;"0123456789")),LEN($E207)*2-LENB($E207)))</f>
        <v>#VALUE!</v>
      </c>
      <c r="V207" t="str">
        <f t="shared" si="10"/>
        <v>今日累计伤害达到 [00821c]72480[-] 万</v>
      </c>
    </row>
    <row r="208" spans="1:22" ht="16.5">
      <c r="A208" s="2">
        <v>10205</v>
      </c>
      <c r="B208" s="2">
        <v>91107</v>
      </c>
      <c r="C208" s="25">
        <v>0</v>
      </c>
      <c r="D208" s="10">
        <v>49</v>
      </c>
      <c r="E208" s="14" t="s">
        <v>721</v>
      </c>
      <c r="F208" s="20" t="s">
        <v>721</v>
      </c>
      <c r="G208" s="20" t="s">
        <v>16</v>
      </c>
      <c r="H208" s="20">
        <v>4</v>
      </c>
      <c r="I208" s="10" t="s">
        <v>343</v>
      </c>
      <c r="J208" s="36">
        <v>68525</v>
      </c>
      <c r="K208">
        <f t="shared" si="8"/>
        <v>90</v>
      </c>
      <c r="L208" t="str">
        <f>"1|"&amp;INDEX([1]梦魇入侵!$E$28:$Q$78,MATCH($M208,[1]梦魇入侵!$D$28:$D$78,0),MATCH($K208,[1]梦魇入侵!$E$28:$Q$28,0))</f>
        <v>1|2046900000</v>
      </c>
      <c r="M208" s="42">
        <v>96</v>
      </c>
      <c r="N208" t="str">
        <f t="shared" si="9"/>
        <v>今日累计伤害达到204690万</v>
      </c>
      <c r="U208" t="e">
        <f>INT(MID($E208,MIN(FIND({0,1,2,3,4,5,6,7,8,9},$E208&amp;"0123456789")),LEN($E208)*2-LENB($E208)))</f>
        <v>#VALUE!</v>
      </c>
      <c r="V208" t="str">
        <f t="shared" si="10"/>
        <v>今日累计伤害达到 [00821c]77310[-] 万</v>
      </c>
    </row>
    <row r="209" spans="1:22" ht="16.5">
      <c r="A209" s="2">
        <v>10206</v>
      </c>
      <c r="B209" s="2">
        <v>91107</v>
      </c>
      <c r="C209" s="25">
        <v>0</v>
      </c>
      <c r="D209" s="10">
        <v>51</v>
      </c>
      <c r="E209" s="14" t="s">
        <v>722</v>
      </c>
      <c r="F209" s="20" t="s">
        <v>722</v>
      </c>
      <c r="G209" s="20" t="s">
        <v>20</v>
      </c>
      <c r="H209" s="20">
        <v>4</v>
      </c>
      <c r="I209" s="10" t="s">
        <v>344</v>
      </c>
      <c r="J209" s="36">
        <v>68526</v>
      </c>
      <c r="K209">
        <f t="shared" si="8"/>
        <v>90</v>
      </c>
      <c r="L209" t="str">
        <f>"1|"&amp;INDEX([1]梦魇入侵!$E$28:$Q$78,MATCH($M209,[1]梦魇入侵!$D$28:$D$78,0),MATCH($K209,[1]梦魇入侵!$E$28:$Q$28,0))</f>
        <v>1|2153500000</v>
      </c>
      <c r="M209" s="42">
        <v>101</v>
      </c>
      <c r="N209" t="str">
        <f t="shared" si="9"/>
        <v>今日累计伤害达到215350万</v>
      </c>
      <c r="U209" t="e">
        <f>INT(MID($E209,MIN(FIND({0,1,2,3,4,5,6,7,8,9},$E209&amp;"0123456789")),LEN($E209)*2-LENB($E209)))</f>
        <v>#VALUE!</v>
      </c>
      <c r="V209" t="str">
        <f t="shared" si="10"/>
        <v>今日累计伤害达到 [00821c]81340[-] 万</v>
      </c>
    </row>
    <row r="210" spans="1:22" ht="16.5">
      <c r="A210" s="2">
        <v>10207</v>
      </c>
      <c r="B210" s="2">
        <v>91107</v>
      </c>
      <c r="C210" s="25">
        <v>0</v>
      </c>
      <c r="D210" s="10">
        <v>53</v>
      </c>
      <c r="E210" s="14" t="s">
        <v>723</v>
      </c>
      <c r="F210" s="20" t="s">
        <v>723</v>
      </c>
      <c r="G210" s="20" t="s">
        <v>93</v>
      </c>
      <c r="H210" s="20">
        <v>4</v>
      </c>
      <c r="I210" s="10" t="s">
        <v>345</v>
      </c>
      <c r="J210" s="36">
        <v>68527</v>
      </c>
      <c r="K210">
        <f t="shared" si="8"/>
        <v>90</v>
      </c>
      <c r="L210" t="str">
        <f>"1|"&amp;INDEX([1]梦魇入侵!$E$28:$Q$78,MATCH($M210,[1]梦魇入侵!$D$28:$D$78,0),MATCH($K210,[1]梦魇入侵!$E$28:$Q$28,0))</f>
        <v>1|2260100000</v>
      </c>
      <c r="M210" s="42">
        <v>106</v>
      </c>
      <c r="N210" t="str">
        <f t="shared" si="9"/>
        <v>今日累计伤害达到226010万</v>
      </c>
      <c r="U210" t="e">
        <f>INT(MID($E210,MIN(FIND({0,1,2,3,4,5,6,7,8,9},$E210&amp;"0123456789")),LEN($E210)*2-LENB($E210)))</f>
        <v>#VALUE!</v>
      </c>
      <c r="V210" t="str">
        <f t="shared" si="10"/>
        <v>今日累计伤害达到 [00821c]85360[-] 万</v>
      </c>
    </row>
    <row r="211" spans="1:22" ht="16.5">
      <c r="A211" s="2">
        <v>10208</v>
      </c>
      <c r="B211" s="2">
        <v>91107</v>
      </c>
      <c r="C211" s="25">
        <v>0</v>
      </c>
      <c r="D211" s="10">
        <v>55</v>
      </c>
      <c r="E211" s="14" t="s">
        <v>724</v>
      </c>
      <c r="F211" s="20" t="s">
        <v>724</v>
      </c>
      <c r="G211" s="20" t="s">
        <v>31</v>
      </c>
      <c r="H211" s="20">
        <v>4</v>
      </c>
      <c r="I211" s="10" t="s">
        <v>346</v>
      </c>
      <c r="J211" s="36">
        <v>68528</v>
      </c>
      <c r="K211">
        <f t="shared" si="8"/>
        <v>90</v>
      </c>
      <c r="L211" t="str">
        <f>"1|"&amp;INDEX([1]梦魇入侵!$E$28:$Q$78,MATCH($M211,[1]梦魇入侵!$D$28:$D$78,0),MATCH($K211,[1]梦魇入侵!$E$28:$Q$28,0))</f>
        <v>1|2366700000</v>
      </c>
      <c r="M211" s="42">
        <v>111</v>
      </c>
      <c r="N211" t="str">
        <f t="shared" si="9"/>
        <v>今日累计伤害达到236670万</v>
      </c>
      <c r="U211" t="e">
        <f>INT(MID($E211,MIN(FIND({0,1,2,3,4,5,6,7,8,9},$E211&amp;"0123456789")),LEN($E211)*2-LENB($E211)))</f>
        <v>#VALUE!</v>
      </c>
      <c r="V211" t="str">
        <f t="shared" si="10"/>
        <v>今日累计伤害达到 [00821c]89390[-] 万</v>
      </c>
    </row>
    <row r="212" spans="1:22" ht="16.5">
      <c r="A212" s="2">
        <v>10209</v>
      </c>
      <c r="B212" s="2">
        <v>91107</v>
      </c>
      <c r="C212" s="25">
        <v>0</v>
      </c>
      <c r="D212" s="10">
        <v>57</v>
      </c>
      <c r="E212" s="14" t="s">
        <v>725</v>
      </c>
      <c r="F212" s="20" t="s">
        <v>725</v>
      </c>
      <c r="G212" s="20" t="s">
        <v>23</v>
      </c>
      <c r="H212" s="20">
        <v>4</v>
      </c>
      <c r="I212" s="10" t="s">
        <v>347</v>
      </c>
      <c r="J212" s="36">
        <v>68529</v>
      </c>
      <c r="K212">
        <f t="shared" si="8"/>
        <v>90</v>
      </c>
      <c r="L212" t="str">
        <f>"1|"&amp;INDEX([1]梦魇入侵!$E$28:$Q$78,MATCH($M212,[1]梦魇入侵!$D$28:$D$78,0),MATCH($K212,[1]梦魇入侵!$E$28:$Q$28,0))</f>
        <v>1|2473400000</v>
      </c>
      <c r="M212" s="42">
        <v>116</v>
      </c>
      <c r="N212" t="str">
        <f t="shared" si="9"/>
        <v>今日累计伤害达到247340万</v>
      </c>
      <c r="U212" t="e">
        <f>INT(MID($E212,MIN(FIND({0,1,2,3,4,5,6,7,8,9},$E212&amp;"0123456789")),LEN($E212)*2-LENB($E212)))</f>
        <v>#VALUE!</v>
      </c>
      <c r="V212" t="str">
        <f t="shared" si="10"/>
        <v>今日累计伤害达到 [00821c]93410[-] 万</v>
      </c>
    </row>
    <row r="213" spans="1:22" ht="16.5">
      <c r="A213" s="2">
        <v>10210</v>
      </c>
      <c r="B213" s="2">
        <v>91107</v>
      </c>
      <c r="C213" s="25">
        <v>0</v>
      </c>
      <c r="D213" s="10">
        <v>59</v>
      </c>
      <c r="E213" s="14" t="s">
        <v>726</v>
      </c>
      <c r="F213" s="20" t="s">
        <v>726</v>
      </c>
      <c r="G213" s="20" t="s">
        <v>17</v>
      </c>
      <c r="H213" s="20">
        <v>4</v>
      </c>
      <c r="I213" s="10" t="s">
        <v>348</v>
      </c>
      <c r="J213" s="36">
        <v>68530</v>
      </c>
      <c r="K213">
        <f t="shared" si="8"/>
        <v>90</v>
      </c>
      <c r="L213" t="str">
        <f>"1|"&amp;INDEX([1]梦魇入侵!$E$28:$Q$78,MATCH($M213,[1]梦魇入侵!$D$28:$D$78,0),MATCH($K213,[1]梦魇入侵!$E$28:$Q$28,0))</f>
        <v>1|2580000000</v>
      </c>
      <c r="M213" s="42">
        <v>121</v>
      </c>
      <c r="N213" t="str">
        <f t="shared" si="9"/>
        <v>今日累计伤害达到258000万</v>
      </c>
      <c r="U213" t="e">
        <f>INT(MID($E213,MIN(FIND({0,1,2,3,4,5,6,7,8,9},$E213&amp;"0123456789")),LEN($E213)*2-LENB($E213)))</f>
        <v>#VALUE!</v>
      </c>
      <c r="V213" t="str">
        <f t="shared" si="10"/>
        <v>今日累计伤害达到 [00821c]97440[-] 万</v>
      </c>
    </row>
    <row r="214" spans="1:22" s="33" customFormat="1" ht="16.5">
      <c r="A214" s="28">
        <v>10211</v>
      </c>
      <c r="B214" s="28">
        <v>91108</v>
      </c>
      <c r="C214" s="29">
        <v>0</v>
      </c>
      <c r="D214" s="30">
        <v>1</v>
      </c>
      <c r="E214" s="31" t="s">
        <v>727</v>
      </c>
      <c r="F214" s="32" t="s">
        <v>727</v>
      </c>
      <c r="G214" s="32" t="s">
        <v>90</v>
      </c>
      <c r="H214" s="32">
        <v>1</v>
      </c>
      <c r="I214" s="30" t="s">
        <v>349</v>
      </c>
      <c r="J214" s="38">
        <v>68501</v>
      </c>
      <c r="K214" s="33">
        <f t="shared" si="8"/>
        <v>100</v>
      </c>
      <c r="L214" s="33" t="str">
        <f>"1|"&amp;INDEX([1]梦魇入侵!$E$28:$Q$78,MATCH($M214,[1]梦魇入侵!$D$28:$D$78,0),MATCH($K214,[1]梦魇入侵!$E$28:$Q$28,0))</f>
        <v>1|23700000</v>
      </c>
      <c r="M214" s="43">
        <v>1</v>
      </c>
      <c r="N214" s="33" t="str">
        <f t="shared" si="9"/>
        <v>今日累计伤害达到2370万</v>
      </c>
      <c r="O214"/>
      <c r="U214" s="33" t="e">
        <f>INT(MID($E214,MIN(FIND({0,1,2,3,4,5,6,7,8,9},$E214&amp;"0123456789")),LEN($E214)*2-LENB($E214)))</f>
        <v>#VALUE!</v>
      </c>
      <c r="V214" s="33" t="str">
        <f t="shared" si="10"/>
        <v>今日累计伤害达到 [00821c]890[-] 万</v>
      </c>
    </row>
    <row r="215" spans="1:22" s="33" customFormat="1" ht="16.5">
      <c r="A215" s="28">
        <v>10212</v>
      </c>
      <c r="B215" s="28">
        <v>91108</v>
      </c>
      <c r="C215" s="29">
        <v>0</v>
      </c>
      <c r="D215" s="30">
        <v>3</v>
      </c>
      <c r="E215" s="31" t="s">
        <v>728</v>
      </c>
      <c r="F215" s="32" t="s">
        <v>728</v>
      </c>
      <c r="G215" s="32" t="s">
        <v>9</v>
      </c>
      <c r="H215" s="32">
        <v>1</v>
      </c>
      <c r="I215" s="30" t="s">
        <v>350</v>
      </c>
      <c r="J215" s="38">
        <v>68502</v>
      </c>
      <c r="K215" s="33">
        <f t="shared" si="8"/>
        <v>100</v>
      </c>
      <c r="L215" s="33" t="str">
        <f>"1|"&amp;INDEX([1]梦魇入侵!$E$28:$Q$78,MATCH($M215,[1]梦魇入侵!$D$28:$D$78,0),MATCH($K215,[1]梦魇入侵!$E$28:$Q$28,0))</f>
        <v>1|47300000</v>
      </c>
      <c r="M215" s="43">
        <v>2</v>
      </c>
      <c r="N215" s="33" t="str">
        <f t="shared" si="9"/>
        <v>今日累计伤害达到4730万</v>
      </c>
      <c r="O215"/>
      <c r="U215" s="33" t="e">
        <f>INT(MID($E215,MIN(FIND({0,1,2,3,4,5,6,7,8,9},$E215&amp;"0123456789")),LEN($E215)*2-LENB($E215)))</f>
        <v>#VALUE!</v>
      </c>
      <c r="V215" s="33" t="str">
        <f t="shared" si="10"/>
        <v>今日累计伤害达到 [00821c]1780[-] 万</v>
      </c>
    </row>
    <row r="216" spans="1:22" s="33" customFormat="1" ht="16.5">
      <c r="A216" s="28">
        <v>10213</v>
      </c>
      <c r="B216" s="28">
        <v>91108</v>
      </c>
      <c r="C216" s="29">
        <v>0</v>
      </c>
      <c r="D216" s="30">
        <v>5</v>
      </c>
      <c r="E216" s="31" t="s">
        <v>729</v>
      </c>
      <c r="F216" s="32" t="s">
        <v>729</v>
      </c>
      <c r="G216" s="32" t="s">
        <v>32</v>
      </c>
      <c r="H216" s="32">
        <v>1</v>
      </c>
      <c r="I216" s="30" t="s">
        <v>351</v>
      </c>
      <c r="J216" s="38">
        <v>68503</v>
      </c>
      <c r="K216" s="33">
        <f t="shared" si="8"/>
        <v>100</v>
      </c>
      <c r="L216" s="33" t="str">
        <f>"1|"&amp;INDEX([1]梦魇入侵!$E$28:$Q$78,MATCH($M216,[1]梦魇入侵!$D$28:$D$78,0),MATCH($K216,[1]梦魇入侵!$E$28:$Q$28,0))</f>
        <v>1|71000000</v>
      </c>
      <c r="M216" s="43">
        <v>3</v>
      </c>
      <c r="N216" s="33" t="str">
        <f t="shared" si="9"/>
        <v>今日累计伤害达到7100万</v>
      </c>
      <c r="O216"/>
      <c r="U216" s="33" t="e">
        <f>INT(MID($E216,MIN(FIND({0,1,2,3,4,5,6,7,8,9},$E216&amp;"0123456789")),LEN($E216)*2-LENB($E216)))</f>
        <v>#VALUE!</v>
      </c>
      <c r="V216" s="33" t="str">
        <f t="shared" si="10"/>
        <v>今日累计伤害达到 [00821c]2680[-] 万</v>
      </c>
    </row>
    <row r="217" spans="1:22" s="33" customFormat="1" ht="16.5">
      <c r="A217" s="28">
        <v>10214</v>
      </c>
      <c r="B217" s="28">
        <v>91108</v>
      </c>
      <c r="C217" s="29">
        <v>0</v>
      </c>
      <c r="D217" s="30">
        <v>7</v>
      </c>
      <c r="E217" s="31" t="s">
        <v>730</v>
      </c>
      <c r="F217" s="32" t="s">
        <v>730</v>
      </c>
      <c r="G217" s="32" t="s">
        <v>13</v>
      </c>
      <c r="H217" s="32">
        <v>1</v>
      </c>
      <c r="I217" s="30" t="s">
        <v>352</v>
      </c>
      <c r="J217" s="38">
        <v>68504</v>
      </c>
      <c r="K217" s="33">
        <f t="shared" si="8"/>
        <v>100</v>
      </c>
      <c r="L217" s="33" t="str">
        <f>"1|"&amp;INDEX([1]梦魇入侵!$E$28:$Q$78,MATCH($M217,[1]梦魇入侵!$D$28:$D$78,0),MATCH($K217,[1]梦魇入侵!$E$28:$Q$28,0))</f>
        <v>1|118300000</v>
      </c>
      <c r="M217" s="43">
        <v>5</v>
      </c>
      <c r="N217" s="33" t="str">
        <f t="shared" si="9"/>
        <v>今日累计伤害达到11830万</v>
      </c>
      <c r="O217"/>
      <c r="U217" s="33" t="e">
        <f>INT(MID($E217,MIN(FIND({0,1,2,3,4,5,6,7,8,9},$E217&amp;"0123456789")),LEN($E217)*2-LENB($E217)))</f>
        <v>#VALUE!</v>
      </c>
      <c r="V217" s="33" t="str">
        <f t="shared" si="10"/>
        <v>今日累计伤害达到 [00821c]4460[-] 万</v>
      </c>
    </row>
    <row r="218" spans="1:22" s="33" customFormat="1" ht="16.5">
      <c r="A218" s="28">
        <v>10215</v>
      </c>
      <c r="B218" s="28">
        <v>91108</v>
      </c>
      <c r="C218" s="29">
        <v>0</v>
      </c>
      <c r="D218" s="30">
        <v>9</v>
      </c>
      <c r="E218" s="31" t="s">
        <v>731</v>
      </c>
      <c r="F218" s="32" t="s">
        <v>731</v>
      </c>
      <c r="G218" s="32" t="s">
        <v>28</v>
      </c>
      <c r="H218" s="32">
        <v>1</v>
      </c>
      <c r="I218" s="30" t="s">
        <v>353</v>
      </c>
      <c r="J218" s="38">
        <v>68505</v>
      </c>
      <c r="K218" s="33">
        <f t="shared" si="8"/>
        <v>100</v>
      </c>
      <c r="L218" s="33" t="str">
        <f>"1|"&amp;INDEX([1]梦魇入侵!$E$28:$Q$78,MATCH($M218,[1]梦魇入侵!$D$28:$D$78,0),MATCH($K218,[1]梦魇入侵!$E$28:$Q$28,0))</f>
        <v>1|142000000</v>
      </c>
      <c r="M218" s="43">
        <v>6</v>
      </c>
      <c r="N218" s="33" t="str">
        <f t="shared" si="9"/>
        <v>今日累计伤害达到14200万</v>
      </c>
      <c r="O218"/>
      <c r="U218" s="33" t="e">
        <f>INT(MID($E218,MIN(FIND({0,1,2,3,4,5,6,7,8,9},$E218&amp;"0123456789")),LEN($E218)*2-LENB($E218)))</f>
        <v>#VALUE!</v>
      </c>
      <c r="V218" s="33" t="str">
        <f t="shared" si="10"/>
        <v>今日累计伤害达到 [00821c]5350[-] 万</v>
      </c>
    </row>
    <row r="219" spans="1:22" s="33" customFormat="1" ht="16.5">
      <c r="A219" s="28">
        <v>10216</v>
      </c>
      <c r="B219" s="28">
        <v>91108</v>
      </c>
      <c r="C219" s="29">
        <v>0</v>
      </c>
      <c r="D219" s="30">
        <v>11</v>
      </c>
      <c r="E219" s="31" t="s">
        <v>732</v>
      </c>
      <c r="F219" s="32" t="s">
        <v>732</v>
      </c>
      <c r="G219" s="32" t="s">
        <v>18</v>
      </c>
      <c r="H219" s="32">
        <v>1</v>
      </c>
      <c r="I219" s="30" t="s">
        <v>354</v>
      </c>
      <c r="J219" s="38">
        <v>68506</v>
      </c>
      <c r="K219" s="33">
        <f t="shared" si="8"/>
        <v>100</v>
      </c>
      <c r="L219" s="33" t="str">
        <f>"1|"&amp;INDEX([1]梦魇入侵!$E$28:$Q$78,MATCH($M219,[1]梦魇入侵!$D$28:$D$78,0),MATCH($K219,[1]梦魇入侵!$E$28:$Q$28,0))</f>
        <v>1|189300000</v>
      </c>
      <c r="M219" s="43">
        <v>8</v>
      </c>
      <c r="N219" s="33" t="str">
        <f t="shared" si="9"/>
        <v>今日累计伤害达到18930万</v>
      </c>
      <c r="O219"/>
      <c r="U219" s="33" t="e">
        <f>INT(MID($E219,MIN(FIND({0,1,2,3,4,5,6,7,8,9},$E219&amp;"0123456789")),LEN($E219)*2-LENB($E219)))</f>
        <v>#VALUE!</v>
      </c>
      <c r="V219" s="33" t="str">
        <f t="shared" si="10"/>
        <v>今日累计伤害达到 [00821c]7140[-] 万</v>
      </c>
    </row>
    <row r="220" spans="1:22" s="33" customFormat="1" ht="16.5">
      <c r="A220" s="28">
        <v>10217</v>
      </c>
      <c r="B220" s="28">
        <v>91108</v>
      </c>
      <c r="C220" s="29">
        <v>0</v>
      </c>
      <c r="D220" s="30">
        <v>13</v>
      </c>
      <c r="E220" s="31" t="s">
        <v>733</v>
      </c>
      <c r="F220" s="32" t="s">
        <v>733</v>
      </c>
      <c r="G220" s="32" t="s">
        <v>33</v>
      </c>
      <c r="H220" s="32">
        <v>2</v>
      </c>
      <c r="I220" s="30" t="s">
        <v>355</v>
      </c>
      <c r="J220" s="38">
        <v>68507</v>
      </c>
      <c r="K220" s="33">
        <f t="shared" si="8"/>
        <v>100</v>
      </c>
      <c r="L220" s="33" t="str">
        <f>"1|"&amp;INDEX([1]梦魇入侵!$E$28:$Q$78,MATCH($M220,[1]梦魇入侵!$D$28:$D$78,0),MATCH($K220,[1]梦魇入侵!$E$28:$Q$28,0))</f>
        <v>1|260300000</v>
      </c>
      <c r="M220" s="43">
        <v>11</v>
      </c>
      <c r="N220" s="33" t="str">
        <f t="shared" si="9"/>
        <v>今日累计伤害达到26030万</v>
      </c>
      <c r="O220"/>
      <c r="U220" s="33" t="e">
        <f>INT(MID($E220,MIN(FIND({0,1,2,3,4,5,6,7,8,9},$E220&amp;"0123456789")),LEN($E220)*2-LENB($E220)))</f>
        <v>#VALUE!</v>
      </c>
      <c r="V220" s="33" t="str">
        <f t="shared" si="10"/>
        <v>今日累计伤害达到 [00821c]9820[-] 万</v>
      </c>
    </row>
    <row r="221" spans="1:22" s="33" customFormat="1" ht="16.5">
      <c r="A221" s="28">
        <v>10218</v>
      </c>
      <c r="B221" s="28">
        <v>91108</v>
      </c>
      <c r="C221" s="29">
        <v>0</v>
      </c>
      <c r="D221" s="30">
        <v>15</v>
      </c>
      <c r="E221" s="31" t="s">
        <v>734</v>
      </c>
      <c r="F221" s="32" t="s">
        <v>734</v>
      </c>
      <c r="G221" s="32" t="s">
        <v>8</v>
      </c>
      <c r="H221" s="32">
        <v>2</v>
      </c>
      <c r="I221" s="30" t="s">
        <v>356</v>
      </c>
      <c r="J221" s="38">
        <v>68508</v>
      </c>
      <c r="K221" s="33">
        <f t="shared" si="8"/>
        <v>100</v>
      </c>
      <c r="L221" s="33" t="str">
        <f>"1|"&amp;INDEX([1]梦魇入侵!$E$28:$Q$78,MATCH($M221,[1]梦魇入侵!$D$28:$D$78,0),MATCH($K221,[1]梦魇入侵!$E$28:$Q$28,0))</f>
        <v>1|331300000</v>
      </c>
      <c r="M221" s="43">
        <v>14</v>
      </c>
      <c r="N221" s="33" t="str">
        <f t="shared" si="9"/>
        <v>今日累计伤害达到33130万</v>
      </c>
      <c r="O221"/>
      <c r="U221" s="33" t="e">
        <f>INT(MID($E221,MIN(FIND({0,1,2,3,4,5,6,7,8,9},$E221&amp;"0123456789")),LEN($E221)*2-LENB($E221)))</f>
        <v>#VALUE!</v>
      </c>
      <c r="V221" s="33" t="str">
        <f t="shared" si="10"/>
        <v>今日累计伤害达到 [00821c]12490[-] 万</v>
      </c>
    </row>
    <row r="222" spans="1:22" s="33" customFormat="1" ht="16.5">
      <c r="A222" s="28">
        <v>10219</v>
      </c>
      <c r="B222" s="28">
        <v>91108</v>
      </c>
      <c r="C222" s="29">
        <v>0</v>
      </c>
      <c r="D222" s="30">
        <v>17</v>
      </c>
      <c r="E222" s="31" t="s">
        <v>735</v>
      </c>
      <c r="F222" s="32" t="s">
        <v>735</v>
      </c>
      <c r="G222" s="32" t="s">
        <v>33</v>
      </c>
      <c r="H222" s="32">
        <v>2</v>
      </c>
      <c r="I222" s="30" t="s">
        <v>357</v>
      </c>
      <c r="J222" s="38">
        <v>68509</v>
      </c>
      <c r="K222" s="33">
        <f t="shared" si="8"/>
        <v>100</v>
      </c>
      <c r="L222" s="33" t="str">
        <f>"1|"&amp;INDEX([1]梦魇入侵!$E$28:$Q$78,MATCH($M222,[1]梦魇入侵!$D$28:$D$78,0),MATCH($K222,[1]梦魇入侵!$E$28:$Q$28,0))</f>
        <v>1|378700000</v>
      </c>
      <c r="M222" s="43">
        <v>16</v>
      </c>
      <c r="N222" s="33" t="str">
        <f t="shared" si="9"/>
        <v>今日累计伤害达到37870万</v>
      </c>
      <c r="O222"/>
      <c r="U222" s="33" t="e">
        <f>INT(MID($E222,MIN(FIND({0,1,2,3,4,5,6,7,8,9},$E222&amp;"0123456789")),LEN($E222)*2-LENB($E222)))</f>
        <v>#VALUE!</v>
      </c>
      <c r="V222" s="33" t="str">
        <f t="shared" si="10"/>
        <v>今日累计伤害达到 [00821c]14280[-] 万</v>
      </c>
    </row>
    <row r="223" spans="1:22" s="33" customFormat="1" ht="16.5">
      <c r="A223" s="28">
        <v>10220</v>
      </c>
      <c r="B223" s="28">
        <v>91108</v>
      </c>
      <c r="C223" s="29">
        <v>0</v>
      </c>
      <c r="D223" s="30">
        <v>19</v>
      </c>
      <c r="E223" s="31" t="s">
        <v>736</v>
      </c>
      <c r="F223" s="32" t="s">
        <v>736</v>
      </c>
      <c r="G223" s="32" t="s">
        <v>10</v>
      </c>
      <c r="H223" s="32">
        <v>2</v>
      </c>
      <c r="I223" s="30" t="s">
        <v>358</v>
      </c>
      <c r="J223" s="38">
        <v>68510</v>
      </c>
      <c r="K223" s="33">
        <f t="shared" si="8"/>
        <v>100</v>
      </c>
      <c r="L223" s="33" t="str">
        <f>"1|"&amp;INDEX([1]梦魇入侵!$E$28:$Q$78,MATCH($M223,[1]梦魇入侵!$D$28:$D$78,0),MATCH($K223,[1]梦魇入侵!$E$28:$Q$28,0))</f>
        <v>1|449700000</v>
      </c>
      <c r="M223" s="43">
        <v>19</v>
      </c>
      <c r="N223" s="33" t="str">
        <f t="shared" si="9"/>
        <v>今日累计伤害达到44970万</v>
      </c>
      <c r="O223"/>
      <c r="U223" s="33" t="e">
        <f>INT(MID($E223,MIN(FIND({0,1,2,3,4,5,6,7,8,9},$E223&amp;"0123456789")),LEN($E223)*2-LENB($E223)))</f>
        <v>#VALUE!</v>
      </c>
      <c r="V223" s="33" t="str">
        <f t="shared" si="10"/>
        <v>今日累计伤害达到 [00821c]16950[-] 万</v>
      </c>
    </row>
    <row r="224" spans="1:22" s="33" customFormat="1" ht="16.5">
      <c r="A224" s="28">
        <v>10221</v>
      </c>
      <c r="B224" s="28">
        <v>91108</v>
      </c>
      <c r="C224" s="29">
        <v>0</v>
      </c>
      <c r="D224" s="30">
        <v>21</v>
      </c>
      <c r="E224" s="31" t="s">
        <v>737</v>
      </c>
      <c r="F224" s="32" t="s">
        <v>737</v>
      </c>
      <c r="G224" s="32" t="s">
        <v>34</v>
      </c>
      <c r="H224" s="32">
        <v>2</v>
      </c>
      <c r="I224" s="30" t="s">
        <v>359</v>
      </c>
      <c r="J224" s="38">
        <v>68511</v>
      </c>
      <c r="K224" s="33">
        <f t="shared" si="8"/>
        <v>100</v>
      </c>
      <c r="L224" s="33" t="str">
        <f>"1|"&amp;INDEX([1]梦魇入侵!$E$28:$Q$78,MATCH($M224,[1]梦魇入侵!$D$28:$D$78,0),MATCH($K224,[1]梦魇入侵!$E$28:$Q$28,0))</f>
        <v>1|497000000</v>
      </c>
      <c r="M224" s="43">
        <v>21</v>
      </c>
      <c r="N224" s="33" t="str">
        <f t="shared" si="9"/>
        <v>今日累计伤害达到49700万</v>
      </c>
      <c r="O224"/>
      <c r="U224" s="33" t="e">
        <f>INT(MID($E224,MIN(FIND({0,1,2,3,4,5,6,7,8,9},$E224&amp;"0123456789")),LEN($E224)*2-LENB($E224)))</f>
        <v>#VALUE!</v>
      </c>
      <c r="V224" s="33" t="str">
        <f t="shared" si="10"/>
        <v>今日累计伤害达到 [00821c]18740[-] 万</v>
      </c>
    </row>
    <row r="225" spans="1:22" s="33" customFormat="1" ht="16.5">
      <c r="A225" s="28">
        <v>10222</v>
      </c>
      <c r="B225" s="28">
        <v>91108</v>
      </c>
      <c r="C225" s="29">
        <v>0</v>
      </c>
      <c r="D225" s="30">
        <v>23</v>
      </c>
      <c r="E225" s="31" t="s">
        <v>738</v>
      </c>
      <c r="F225" s="32" t="s">
        <v>738</v>
      </c>
      <c r="G225" s="32" t="s">
        <v>19</v>
      </c>
      <c r="H225" s="32">
        <v>3</v>
      </c>
      <c r="I225" s="30" t="s">
        <v>360</v>
      </c>
      <c r="J225" s="38">
        <v>68512</v>
      </c>
      <c r="K225" s="33">
        <f t="shared" si="8"/>
        <v>100</v>
      </c>
      <c r="L225" s="33" t="str">
        <f>"1|"&amp;INDEX([1]梦魇入侵!$E$28:$Q$78,MATCH($M225,[1]梦魇入侵!$D$28:$D$78,0),MATCH($K225,[1]梦魇入侵!$E$28:$Q$28,0))</f>
        <v>1|568000000</v>
      </c>
      <c r="M225" s="43">
        <v>24</v>
      </c>
      <c r="N225" s="33" t="str">
        <f t="shared" si="9"/>
        <v>今日累计伤害达到56800万</v>
      </c>
      <c r="O225"/>
      <c r="U225" s="33" t="e">
        <f>INT(MID($E225,MIN(FIND({0,1,2,3,4,5,6,7,8,9},$E225&amp;"0123456789")),LEN($E225)*2-LENB($E225)))</f>
        <v>#VALUE!</v>
      </c>
      <c r="V225" s="33" t="str">
        <f t="shared" si="10"/>
        <v>今日累计伤害达到 [00821c]21420[-] 万</v>
      </c>
    </row>
    <row r="226" spans="1:22" s="33" customFormat="1" ht="16.5">
      <c r="A226" s="28">
        <v>10223</v>
      </c>
      <c r="B226" s="28">
        <v>91108</v>
      </c>
      <c r="C226" s="29">
        <v>0</v>
      </c>
      <c r="D226" s="30">
        <v>25</v>
      </c>
      <c r="E226" s="31" t="s">
        <v>739</v>
      </c>
      <c r="F226" s="32" t="s">
        <v>739</v>
      </c>
      <c r="G226" s="32" t="s">
        <v>35</v>
      </c>
      <c r="H226" s="32">
        <v>3</v>
      </c>
      <c r="I226" s="30" t="s">
        <v>361</v>
      </c>
      <c r="J226" s="38">
        <v>68513</v>
      </c>
      <c r="K226" s="33">
        <f t="shared" si="8"/>
        <v>100</v>
      </c>
      <c r="L226" s="33" t="str">
        <f>"1|"&amp;INDEX([1]梦魇入侵!$E$28:$Q$78,MATCH($M226,[1]梦魇入侵!$D$28:$D$78,0),MATCH($K226,[1]梦魇入侵!$E$28:$Q$28,0))</f>
        <v>1|615300000</v>
      </c>
      <c r="M226" s="43">
        <v>26</v>
      </c>
      <c r="N226" s="33" t="str">
        <f t="shared" si="9"/>
        <v>今日累计伤害达到61530万</v>
      </c>
      <c r="O226"/>
      <c r="U226" s="33" t="e">
        <f>INT(MID($E226,MIN(FIND({0,1,2,3,4,5,6,7,8,9},$E226&amp;"0123456789")),LEN($E226)*2-LENB($E226)))</f>
        <v>#VALUE!</v>
      </c>
      <c r="V226" s="33" t="str">
        <f t="shared" si="10"/>
        <v>今日累计伤害达到 [00821c]23200[-] 万</v>
      </c>
    </row>
    <row r="227" spans="1:22" s="33" customFormat="1" ht="16.5">
      <c r="A227" s="28">
        <v>10224</v>
      </c>
      <c r="B227" s="28">
        <v>91108</v>
      </c>
      <c r="C227" s="29">
        <v>0</v>
      </c>
      <c r="D227" s="30">
        <v>27</v>
      </c>
      <c r="E227" s="31" t="s">
        <v>740</v>
      </c>
      <c r="F227" s="32" t="s">
        <v>740</v>
      </c>
      <c r="G227" s="32" t="s">
        <v>11</v>
      </c>
      <c r="H227" s="32">
        <v>3</v>
      </c>
      <c r="I227" s="30" t="s">
        <v>362</v>
      </c>
      <c r="J227" s="38">
        <v>68514</v>
      </c>
      <c r="K227" s="33">
        <f t="shared" si="8"/>
        <v>100</v>
      </c>
      <c r="L227" s="33" t="str">
        <f>"1|"&amp;INDEX([1]梦魇入侵!$E$28:$Q$78,MATCH($M227,[1]梦魇入侵!$D$28:$D$78,0),MATCH($K227,[1]梦魇入侵!$E$28:$Q$28,0))</f>
        <v>1|686300000</v>
      </c>
      <c r="M227" s="43">
        <v>29</v>
      </c>
      <c r="N227" s="33" t="str">
        <f t="shared" si="9"/>
        <v>今日累计伤害达到68630万</v>
      </c>
      <c r="O227"/>
      <c r="U227" s="33" t="e">
        <f>INT(MID($E227,MIN(FIND({0,1,2,3,4,5,6,7,8,9},$E227&amp;"0123456789")),LEN($E227)*2-LENB($E227)))</f>
        <v>#VALUE!</v>
      </c>
      <c r="V227" s="33" t="str">
        <f t="shared" si="10"/>
        <v>今日累计伤害达到 [00821c]25880[-] 万</v>
      </c>
    </row>
    <row r="228" spans="1:22" s="33" customFormat="1" ht="16.5">
      <c r="A228" s="28">
        <v>10225</v>
      </c>
      <c r="B228" s="28">
        <v>91108</v>
      </c>
      <c r="C228" s="29">
        <v>0</v>
      </c>
      <c r="D228" s="30">
        <v>29</v>
      </c>
      <c r="E228" s="31" t="s">
        <v>741</v>
      </c>
      <c r="F228" s="32" t="s">
        <v>741</v>
      </c>
      <c r="G228" s="32" t="s">
        <v>8</v>
      </c>
      <c r="H228" s="32">
        <v>3</v>
      </c>
      <c r="I228" s="30" t="s">
        <v>122</v>
      </c>
      <c r="J228" s="38">
        <v>68515</v>
      </c>
      <c r="K228" s="33">
        <f t="shared" si="8"/>
        <v>100</v>
      </c>
      <c r="L228" s="33" t="str">
        <f>"1|"&amp;INDEX([1]梦魇入侵!$E$28:$Q$78,MATCH($M228,[1]梦魇入侵!$D$28:$D$78,0),MATCH($K228,[1]梦魇入侵!$E$28:$Q$28,0))</f>
        <v>1|804700000</v>
      </c>
      <c r="M228" s="43">
        <v>34</v>
      </c>
      <c r="N228" s="33" t="str">
        <f t="shared" si="9"/>
        <v>今日累计伤害达到80470万</v>
      </c>
      <c r="O228"/>
      <c r="U228" s="33" t="e">
        <f>INT(MID($E228,MIN(FIND({0,1,2,3,4,5,6,7,8,9},$E228&amp;"0123456789")),LEN($E228)*2-LENB($E228)))</f>
        <v>#VALUE!</v>
      </c>
      <c r="V228" s="33" t="str">
        <f t="shared" si="10"/>
        <v>今日累计伤害达到 [00821c]30340[-] 万</v>
      </c>
    </row>
    <row r="229" spans="1:22" s="33" customFormat="1" ht="16.5">
      <c r="A229" s="28">
        <v>10226</v>
      </c>
      <c r="B229" s="28">
        <v>91108</v>
      </c>
      <c r="C229" s="29">
        <v>0</v>
      </c>
      <c r="D229" s="30">
        <v>31</v>
      </c>
      <c r="E229" s="31" t="s">
        <v>742</v>
      </c>
      <c r="F229" s="32" t="s">
        <v>742</v>
      </c>
      <c r="G229" s="32" t="s">
        <v>33</v>
      </c>
      <c r="H229" s="32">
        <v>3</v>
      </c>
      <c r="I229" s="30" t="s">
        <v>363</v>
      </c>
      <c r="J229" s="38">
        <v>68516</v>
      </c>
      <c r="K229" s="33">
        <f t="shared" si="8"/>
        <v>100</v>
      </c>
      <c r="L229" s="33" t="str">
        <f>"1|"&amp;INDEX([1]梦魇入侵!$E$28:$Q$78,MATCH($M229,[1]梦魇入侵!$D$28:$D$78,0),MATCH($K229,[1]梦魇入侵!$E$28:$Q$28,0))</f>
        <v>1|923000000</v>
      </c>
      <c r="M229" s="43">
        <v>39</v>
      </c>
      <c r="N229" s="33" t="str">
        <f t="shared" si="9"/>
        <v>今日累计伤害达到92300万</v>
      </c>
      <c r="O229"/>
      <c r="U229" s="33" t="e">
        <f>INT(MID($E229,MIN(FIND({0,1,2,3,4,5,6,7,8,9},$E229&amp;"0123456789")),LEN($E229)*2-LENB($E229)))</f>
        <v>#VALUE!</v>
      </c>
      <c r="V229" s="33" t="str">
        <f t="shared" si="10"/>
        <v>今日累计伤害达到 [00821c]34800[-] 万</v>
      </c>
    </row>
    <row r="230" spans="1:22" s="33" customFormat="1" ht="16.5">
      <c r="A230" s="28">
        <v>10227</v>
      </c>
      <c r="B230" s="28">
        <v>91108</v>
      </c>
      <c r="C230" s="29">
        <v>0</v>
      </c>
      <c r="D230" s="30">
        <v>33</v>
      </c>
      <c r="E230" s="31" t="s">
        <v>743</v>
      </c>
      <c r="F230" s="32" t="s">
        <v>743</v>
      </c>
      <c r="G230" s="32" t="s">
        <v>10</v>
      </c>
      <c r="H230" s="32">
        <v>3</v>
      </c>
      <c r="I230" s="30" t="s">
        <v>364</v>
      </c>
      <c r="J230" s="38">
        <v>68517</v>
      </c>
      <c r="K230" s="33">
        <f t="shared" si="8"/>
        <v>100</v>
      </c>
      <c r="L230" s="33" t="str">
        <f>"1|"&amp;INDEX([1]梦魇入侵!$E$28:$Q$78,MATCH($M230,[1]梦魇入侵!$D$28:$D$78,0),MATCH($K230,[1]梦魇入侵!$E$28:$Q$28,0))</f>
        <v>1|1041300000</v>
      </c>
      <c r="M230" s="43">
        <v>44</v>
      </c>
      <c r="N230" s="33" t="str">
        <f t="shared" si="9"/>
        <v>今日累计伤害达到104130万</v>
      </c>
      <c r="O230"/>
      <c r="U230" s="33" t="e">
        <f>INT(MID($E230,MIN(FIND({0,1,2,3,4,5,6,7,8,9},$E230&amp;"0123456789")),LEN($E230)*2-LENB($E230)))</f>
        <v>#VALUE!</v>
      </c>
      <c r="V230" s="33" t="str">
        <f t="shared" si="10"/>
        <v>今日累计伤害达到 [00821c]39260[-] 万</v>
      </c>
    </row>
    <row r="231" spans="1:22" s="33" customFormat="1" ht="16.5">
      <c r="A231" s="28">
        <v>10228</v>
      </c>
      <c r="B231" s="28">
        <v>91108</v>
      </c>
      <c r="C231" s="29">
        <v>0</v>
      </c>
      <c r="D231" s="30">
        <v>35</v>
      </c>
      <c r="E231" s="31" t="s">
        <v>744</v>
      </c>
      <c r="F231" s="32" t="s">
        <v>744</v>
      </c>
      <c r="G231" s="32" t="s">
        <v>34</v>
      </c>
      <c r="H231" s="32">
        <v>4</v>
      </c>
      <c r="I231" s="30" t="s">
        <v>365</v>
      </c>
      <c r="J231" s="38">
        <v>68518</v>
      </c>
      <c r="K231" s="33">
        <f t="shared" si="8"/>
        <v>100</v>
      </c>
      <c r="L231" s="33" t="str">
        <f>"1|"&amp;INDEX([1]梦魇入侵!$E$28:$Q$78,MATCH($M231,[1]梦魇入侵!$D$28:$D$78,0),MATCH($K231,[1]梦魇入侵!$E$28:$Q$28,0))</f>
        <v>1|1159700000</v>
      </c>
      <c r="M231" s="43">
        <v>49</v>
      </c>
      <c r="N231" s="33" t="str">
        <f t="shared" si="9"/>
        <v>今日累计伤害达到115970万</v>
      </c>
      <c r="O231"/>
      <c r="U231" s="33" t="e">
        <f>INT(MID($E231,MIN(FIND({0,1,2,3,4,5,6,7,8,9},$E231&amp;"0123456789")),LEN($E231)*2-LENB($E231)))</f>
        <v>#VALUE!</v>
      </c>
      <c r="V231" s="33" t="str">
        <f t="shared" si="10"/>
        <v>今日累计伤害达到 [00821c]43720[-] 万</v>
      </c>
    </row>
    <row r="232" spans="1:22" s="33" customFormat="1" ht="16.5">
      <c r="A232" s="28">
        <v>10229</v>
      </c>
      <c r="B232" s="28">
        <v>91108</v>
      </c>
      <c r="C232" s="29">
        <v>0</v>
      </c>
      <c r="D232" s="30">
        <v>37</v>
      </c>
      <c r="E232" s="31" t="s">
        <v>745</v>
      </c>
      <c r="F232" s="32" t="s">
        <v>745</v>
      </c>
      <c r="G232" s="32" t="s">
        <v>19</v>
      </c>
      <c r="H232" s="32">
        <v>4</v>
      </c>
      <c r="I232" s="30" t="s">
        <v>366</v>
      </c>
      <c r="J232" s="38">
        <v>68519</v>
      </c>
      <c r="K232" s="33">
        <f t="shared" si="8"/>
        <v>100</v>
      </c>
      <c r="L232" s="33" t="str">
        <f>"1|"&amp;INDEX([1]梦魇入侵!$E$28:$Q$78,MATCH($M232,[1]梦魇入侵!$D$28:$D$78,0),MATCH($K232,[1]梦魇入侵!$E$28:$Q$28,0))</f>
        <v>1|1301700000</v>
      </c>
      <c r="M232" s="43">
        <v>55</v>
      </c>
      <c r="N232" s="33" t="str">
        <f t="shared" si="9"/>
        <v>今日累计伤害达到130170万</v>
      </c>
      <c r="O232"/>
      <c r="U232" s="33" t="e">
        <f>INT(MID($E232,MIN(FIND({0,1,2,3,4,5,6,7,8,9},$E232&amp;"0123456789")),LEN($E232)*2-LENB($E232)))</f>
        <v>#VALUE!</v>
      </c>
      <c r="V232" s="33" t="str">
        <f t="shared" si="10"/>
        <v>今日累计伤害达到 [00821c]49080[-] 万</v>
      </c>
    </row>
    <row r="233" spans="1:22" s="33" customFormat="1" ht="16.5">
      <c r="A233" s="28">
        <v>10230</v>
      </c>
      <c r="B233" s="28">
        <v>91108</v>
      </c>
      <c r="C233" s="29">
        <v>0</v>
      </c>
      <c r="D233" s="30">
        <v>39</v>
      </c>
      <c r="E233" s="31" t="s">
        <v>746</v>
      </c>
      <c r="F233" s="32" t="s">
        <v>746</v>
      </c>
      <c r="G233" s="32" t="s">
        <v>35</v>
      </c>
      <c r="H233" s="32">
        <v>4</v>
      </c>
      <c r="I233" s="30" t="s">
        <v>367</v>
      </c>
      <c r="J233" s="38">
        <v>68520</v>
      </c>
      <c r="K233" s="33">
        <f t="shared" si="8"/>
        <v>100</v>
      </c>
      <c r="L233" s="33" t="str">
        <f>"1|"&amp;INDEX([1]梦魇入侵!$E$28:$Q$78,MATCH($M233,[1]梦魇入侵!$D$28:$D$78,0),MATCH($K233,[1]梦魇入侵!$E$28:$Q$28,0))</f>
        <v>1|1420000000</v>
      </c>
      <c r="M233" s="43">
        <v>60</v>
      </c>
      <c r="N233" s="33" t="str">
        <f t="shared" si="9"/>
        <v>今日累计伤害达到142000万</v>
      </c>
      <c r="O233"/>
      <c r="U233" s="33" t="e">
        <f>INT(MID($E233,MIN(FIND({0,1,2,3,4,5,6,7,8,9},$E233&amp;"0123456789")),LEN($E233)*2-LENB($E233)))</f>
        <v>#VALUE!</v>
      </c>
      <c r="V233" s="33" t="str">
        <f t="shared" si="10"/>
        <v>今日累计伤害达到 [00821c]53540[-] 万</v>
      </c>
    </row>
    <row r="234" spans="1:22" s="33" customFormat="1" ht="16.5">
      <c r="A234" s="28">
        <v>10231</v>
      </c>
      <c r="B234" s="28">
        <v>91108</v>
      </c>
      <c r="C234" s="29">
        <v>0</v>
      </c>
      <c r="D234" s="30">
        <v>41</v>
      </c>
      <c r="E234" s="31" t="s">
        <v>747</v>
      </c>
      <c r="F234" s="32" t="s">
        <v>747</v>
      </c>
      <c r="G234" s="32" t="s">
        <v>34</v>
      </c>
      <c r="H234" s="32">
        <v>4</v>
      </c>
      <c r="I234" s="30" t="s">
        <v>368</v>
      </c>
      <c r="J234" s="38">
        <v>68521</v>
      </c>
      <c r="K234" s="33">
        <f t="shared" si="8"/>
        <v>100</v>
      </c>
      <c r="L234" s="33" t="str">
        <f>"1|"&amp;INDEX([1]梦魇入侵!$E$28:$Q$78,MATCH($M234,[1]梦魇入侵!$D$28:$D$78,0),MATCH($K234,[1]梦魇入侵!$E$28:$Q$28,0))</f>
        <v>1|1538400000</v>
      </c>
      <c r="M234" s="43">
        <v>65</v>
      </c>
      <c r="N234" s="33" t="str">
        <f t="shared" si="9"/>
        <v>今日累计伤害达到153840万</v>
      </c>
      <c r="O234"/>
      <c r="U234" s="33" t="e">
        <f>INT(MID($E234,MIN(FIND({0,1,2,3,4,5,6,7,8,9},$E234&amp;"0123456789")),LEN($E234)*2-LENB($E234)))</f>
        <v>#VALUE!</v>
      </c>
      <c r="V234" s="33" t="str">
        <f t="shared" si="10"/>
        <v>今日累计伤害达到 [00821c]58000[-] 万</v>
      </c>
    </row>
    <row r="235" spans="1:22" s="33" customFormat="1" ht="16.5">
      <c r="A235" s="28">
        <v>10232</v>
      </c>
      <c r="B235" s="28">
        <v>91108</v>
      </c>
      <c r="C235" s="29">
        <v>0</v>
      </c>
      <c r="D235" s="30">
        <v>43</v>
      </c>
      <c r="E235" s="31" t="s">
        <v>748</v>
      </c>
      <c r="F235" s="32" t="s">
        <v>748</v>
      </c>
      <c r="G235" s="32" t="s">
        <v>19</v>
      </c>
      <c r="H235" s="32">
        <v>4</v>
      </c>
      <c r="I235" s="30" t="s">
        <v>369</v>
      </c>
      <c r="J235" s="38">
        <v>68522</v>
      </c>
      <c r="K235" s="33">
        <f t="shared" si="8"/>
        <v>100</v>
      </c>
      <c r="L235" s="33" t="str">
        <f>"1|"&amp;INDEX([1]梦魇入侵!$E$28:$Q$78,MATCH($M235,[1]梦魇入侵!$D$28:$D$78,0),MATCH($K235,[1]梦魇入侵!$E$28:$Q$28,0))</f>
        <v>1|1656700000</v>
      </c>
      <c r="M235" s="43">
        <v>70</v>
      </c>
      <c r="N235" s="33" t="str">
        <f t="shared" si="9"/>
        <v>今日累计伤害达到165670万</v>
      </c>
      <c r="O235"/>
      <c r="U235" s="33" t="e">
        <f>INT(MID($E235,MIN(FIND({0,1,2,3,4,5,6,7,8,9},$E235&amp;"0123456789")),LEN($E235)*2-LENB($E235)))</f>
        <v>#VALUE!</v>
      </c>
      <c r="V235" s="33" t="str">
        <f t="shared" si="10"/>
        <v>今日累计伤害达到 [00821c]62460[-] 万</v>
      </c>
    </row>
    <row r="236" spans="1:22" s="33" customFormat="1" ht="16.5">
      <c r="A236" s="28">
        <v>10233</v>
      </c>
      <c r="B236" s="28">
        <v>91108</v>
      </c>
      <c r="C236" s="29">
        <v>0</v>
      </c>
      <c r="D236" s="30">
        <v>45</v>
      </c>
      <c r="E236" s="31" t="s">
        <v>663</v>
      </c>
      <c r="F236" s="32" t="s">
        <v>663</v>
      </c>
      <c r="G236" s="32" t="s">
        <v>35</v>
      </c>
      <c r="H236" s="32">
        <v>4</v>
      </c>
      <c r="I236" s="30" t="s">
        <v>288</v>
      </c>
      <c r="J236" s="38">
        <v>68523</v>
      </c>
      <c r="K236" s="33">
        <f t="shared" si="8"/>
        <v>100</v>
      </c>
      <c r="L236" s="33" t="str">
        <f>"1|"&amp;INDEX([1]梦魇入侵!$E$28:$Q$78,MATCH($M236,[1]梦魇入侵!$D$28:$D$78,0),MATCH($K236,[1]梦魇入侵!$E$28:$Q$28,0))</f>
        <v>1|1775000000</v>
      </c>
      <c r="M236" s="43">
        <v>75</v>
      </c>
      <c r="N236" s="33" t="str">
        <f t="shared" si="9"/>
        <v>今日累计伤害达到177500万</v>
      </c>
      <c r="O236"/>
      <c r="U236" s="33" t="e">
        <f>INT(MID($E236,MIN(FIND({0,1,2,3,4,5,6,7,8,9},$E236&amp;"0123456789")),LEN($E236)*2-LENB($E236)))</f>
        <v>#VALUE!</v>
      </c>
      <c r="V236" s="33" t="str">
        <f t="shared" si="10"/>
        <v>今日累计伤害达到 [00821c]66920[-] 万</v>
      </c>
    </row>
    <row r="237" spans="1:22" s="33" customFormat="1" ht="16.5">
      <c r="A237" s="28">
        <v>10234</v>
      </c>
      <c r="B237" s="28">
        <v>91108</v>
      </c>
      <c r="C237" s="29">
        <v>0</v>
      </c>
      <c r="D237" s="30">
        <v>47</v>
      </c>
      <c r="E237" s="31" t="s">
        <v>749</v>
      </c>
      <c r="F237" s="32" t="s">
        <v>749</v>
      </c>
      <c r="G237" s="32" t="s">
        <v>11</v>
      </c>
      <c r="H237" s="32">
        <v>4</v>
      </c>
      <c r="I237" s="30" t="s">
        <v>370</v>
      </c>
      <c r="J237" s="38">
        <v>68524</v>
      </c>
      <c r="K237" s="33">
        <f t="shared" si="8"/>
        <v>100</v>
      </c>
      <c r="L237" s="33" t="str">
        <f>"1|"&amp;INDEX([1]梦魇入侵!$E$28:$Q$78,MATCH($M237,[1]梦魇入侵!$D$28:$D$78,0),MATCH($K237,[1]梦魇入侵!$E$28:$Q$28,0))</f>
        <v>1|2130000000</v>
      </c>
      <c r="M237" s="43">
        <v>90</v>
      </c>
      <c r="N237" s="33" t="str">
        <f t="shared" si="9"/>
        <v>今日累计伤害达到213000万</v>
      </c>
      <c r="O237"/>
      <c r="U237" s="33" t="e">
        <f>INT(MID($E237,MIN(FIND({0,1,2,3,4,5,6,7,8,9},$E237&amp;"0123456789")),LEN($E237)*2-LENB($E237)))</f>
        <v>#VALUE!</v>
      </c>
      <c r="V237" s="33" t="str">
        <f t="shared" si="10"/>
        <v>今日累计伤害达到 [00821c]80310[-] 万</v>
      </c>
    </row>
    <row r="238" spans="1:22" s="33" customFormat="1" ht="16.5">
      <c r="A238" s="28">
        <v>10235</v>
      </c>
      <c r="B238" s="28">
        <v>91108</v>
      </c>
      <c r="C238" s="29">
        <v>0</v>
      </c>
      <c r="D238" s="30">
        <v>49</v>
      </c>
      <c r="E238" s="31" t="s">
        <v>750</v>
      </c>
      <c r="F238" s="32" t="s">
        <v>750</v>
      </c>
      <c r="G238" s="32" t="s">
        <v>8</v>
      </c>
      <c r="H238" s="32">
        <v>4</v>
      </c>
      <c r="I238" s="30" t="s">
        <v>371</v>
      </c>
      <c r="J238" s="38">
        <v>68525</v>
      </c>
      <c r="K238" s="33">
        <f t="shared" si="8"/>
        <v>100</v>
      </c>
      <c r="L238" s="33" t="str">
        <f>"1|"&amp;INDEX([1]梦魇入侵!$E$28:$Q$78,MATCH($M238,[1]梦魇入侵!$D$28:$D$78,0),MATCH($K238,[1]梦魇入侵!$E$28:$Q$28,0))</f>
        <v>1|2272000000</v>
      </c>
      <c r="M238" s="43">
        <v>96</v>
      </c>
      <c r="N238" s="33" t="str">
        <f t="shared" si="9"/>
        <v>今日累计伤害达到227200万</v>
      </c>
      <c r="O238"/>
      <c r="U238" s="33" t="e">
        <f>INT(MID($E238,MIN(FIND({0,1,2,3,4,5,6,7,8,9},$E238&amp;"0123456789")),LEN($E238)*2-LENB($E238)))</f>
        <v>#VALUE!</v>
      </c>
      <c r="V238" s="33" t="str">
        <f t="shared" si="10"/>
        <v>今日累计伤害达到 [00821c]85660[-] 万</v>
      </c>
    </row>
    <row r="239" spans="1:22" s="33" customFormat="1" ht="16.5">
      <c r="A239" s="28">
        <v>10236</v>
      </c>
      <c r="B239" s="28">
        <v>91108</v>
      </c>
      <c r="C239" s="29">
        <v>0</v>
      </c>
      <c r="D239" s="30">
        <v>51</v>
      </c>
      <c r="E239" s="31" t="s">
        <v>751</v>
      </c>
      <c r="F239" s="32" t="s">
        <v>751</v>
      </c>
      <c r="G239" s="32" t="s">
        <v>33</v>
      </c>
      <c r="H239" s="32">
        <v>4</v>
      </c>
      <c r="I239" s="30" t="s">
        <v>372</v>
      </c>
      <c r="J239" s="38">
        <v>68526</v>
      </c>
      <c r="K239" s="33">
        <f t="shared" si="8"/>
        <v>100</v>
      </c>
      <c r="L239" s="33" t="str">
        <f>"1|"&amp;INDEX([1]梦魇入侵!$E$28:$Q$78,MATCH($M239,[1]梦魇入侵!$D$28:$D$78,0),MATCH($K239,[1]梦魇入侵!$E$28:$Q$28,0))</f>
        <v>1|2390400000</v>
      </c>
      <c r="M239" s="43">
        <v>101</v>
      </c>
      <c r="N239" s="33" t="str">
        <f t="shared" si="9"/>
        <v>今日累计伤害达到239040万</v>
      </c>
      <c r="O239"/>
      <c r="U239" s="33" t="e">
        <f>INT(MID($E239,MIN(FIND({0,1,2,3,4,5,6,7,8,9},$E239&amp;"0123456789")),LEN($E239)*2-LENB($E239)))</f>
        <v>#VALUE!</v>
      </c>
      <c r="V239" s="33" t="str">
        <f t="shared" si="10"/>
        <v>今日累计伤害达到 [00821c]90120[-] 万</v>
      </c>
    </row>
    <row r="240" spans="1:22" s="33" customFormat="1" ht="16.5">
      <c r="A240" s="28">
        <v>10237</v>
      </c>
      <c r="B240" s="28">
        <v>91108</v>
      </c>
      <c r="C240" s="29">
        <v>0</v>
      </c>
      <c r="D240" s="30">
        <v>53</v>
      </c>
      <c r="E240" s="31" t="s">
        <v>752</v>
      </c>
      <c r="F240" s="32" t="s">
        <v>752</v>
      </c>
      <c r="G240" s="32" t="s">
        <v>10</v>
      </c>
      <c r="H240" s="32">
        <v>4</v>
      </c>
      <c r="I240" s="30" t="s">
        <v>373</v>
      </c>
      <c r="J240" s="38">
        <v>68527</v>
      </c>
      <c r="K240" s="33">
        <f t="shared" si="8"/>
        <v>100</v>
      </c>
      <c r="L240" s="33" t="str">
        <f>"1|"&amp;INDEX([1]梦魇入侵!$E$28:$Q$78,MATCH($M240,[1]梦魇入侵!$D$28:$D$78,0),MATCH($K240,[1]梦魇入侵!$E$28:$Q$28,0))</f>
        <v>1|2508700000</v>
      </c>
      <c r="M240" s="43">
        <v>106</v>
      </c>
      <c r="N240" s="33" t="str">
        <f t="shared" si="9"/>
        <v>今日累计伤害达到250870万</v>
      </c>
      <c r="O240"/>
      <c r="U240" s="33" t="e">
        <f>INT(MID($E240,MIN(FIND({0,1,2,3,4,5,6,7,8,9},$E240&amp;"0123456789")),LEN($E240)*2-LENB($E240)))</f>
        <v>#VALUE!</v>
      </c>
      <c r="V240" s="33" t="str">
        <f t="shared" si="10"/>
        <v>今日累计伤害达到 [00821c]94580[-] 万</v>
      </c>
    </row>
    <row r="241" spans="1:22" s="33" customFormat="1" ht="16.5">
      <c r="A241" s="28">
        <v>10238</v>
      </c>
      <c r="B241" s="28">
        <v>91108</v>
      </c>
      <c r="C241" s="29">
        <v>0</v>
      </c>
      <c r="D241" s="30">
        <v>55</v>
      </c>
      <c r="E241" s="31" t="s">
        <v>753</v>
      </c>
      <c r="F241" s="32" t="s">
        <v>753</v>
      </c>
      <c r="G241" s="32" t="s">
        <v>34</v>
      </c>
      <c r="H241" s="32">
        <v>4</v>
      </c>
      <c r="I241" s="30" t="s">
        <v>374</v>
      </c>
      <c r="J241" s="38">
        <v>68528</v>
      </c>
      <c r="K241" s="33">
        <f t="shared" si="8"/>
        <v>100</v>
      </c>
      <c r="L241" s="33" t="str">
        <f>"1|"&amp;INDEX([1]梦魇入侵!$E$28:$Q$78,MATCH($M241,[1]梦魇入侵!$D$28:$D$78,0),MATCH($K241,[1]梦魇入侵!$E$28:$Q$28,0))</f>
        <v>1|2627000000</v>
      </c>
      <c r="M241" s="43">
        <v>111</v>
      </c>
      <c r="N241" s="33" t="str">
        <f t="shared" si="9"/>
        <v>今日累计伤害达到262700万</v>
      </c>
      <c r="O241"/>
      <c r="U241" s="33" t="e">
        <f>INT(MID($E241,MIN(FIND({0,1,2,3,4,5,6,7,8,9},$E241&amp;"0123456789")),LEN($E241)*2-LENB($E241)))</f>
        <v>#VALUE!</v>
      </c>
      <c r="V241" s="33" t="str">
        <f t="shared" si="10"/>
        <v>今日累计伤害达到 [00821c]99050[-] 万</v>
      </c>
    </row>
    <row r="242" spans="1:22" s="33" customFormat="1" ht="16.5">
      <c r="A242" s="28">
        <v>10239</v>
      </c>
      <c r="B242" s="28">
        <v>91108</v>
      </c>
      <c r="C242" s="29">
        <v>0</v>
      </c>
      <c r="D242" s="30">
        <v>57</v>
      </c>
      <c r="E242" s="31" t="s">
        <v>754</v>
      </c>
      <c r="F242" s="32" t="s">
        <v>754</v>
      </c>
      <c r="G242" s="32" t="s">
        <v>19</v>
      </c>
      <c r="H242" s="32">
        <v>4</v>
      </c>
      <c r="I242" s="30" t="s">
        <v>375</v>
      </c>
      <c r="J242" s="38">
        <v>68529</v>
      </c>
      <c r="K242" s="33">
        <f t="shared" si="8"/>
        <v>100</v>
      </c>
      <c r="L242" s="33" t="str">
        <f>"1|"&amp;INDEX([1]梦魇入侵!$E$28:$Q$78,MATCH($M242,[1]梦魇入侵!$D$28:$D$78,0),MATCH($K242,[1]梦魇入侵!$E$28:$Q$28,0))</f>
        <v>1|2745400000</v>
      </c>
      <c r="M242" s="43">
        <v>116</v>
      </c>
      <c r="N242" s="33" t="str">
        <f t="shared" si="9"/>
        <v>今日累计伤害达到274540万</v>
      </c>
      <c r="O242"/>
      <c r="U242" s="33" t="e">
        <f>INT(MID($E242,MIN(FIND({0,1,2,3,4,5,6,7,8,9},$E242&amp;"0123456789")),LEN($E242)*2-LENB($E242)))</f>
        <v>#VALUE!</v>
      </c>
      <c r="V242" s="33" t="str">
        <f t="shared" si="10"/>
        <v>今日累计伤害达到 [00821c]103510[-] 万</v>
      </c>
    </row>
    <row r="243" spans="1:22" s="33" customFormat="1" ht="16.5">
      <c r="A243" s="28">
        <v>10240</v>
      </c>
      <c r="B243" s="28">
        <v>91108</v>
      </c>
      <c r="C243" s="29">
        <v>0</v>
      </c>
      <c r="D243" s="30">
        <v>59</v>
      </c>
      <c r="E243" s="31" t="s">
        <v>755</v>
      </c>
      <c r="F243" s="32" t="s">
        <v>755</v>
      </c>
      <c r="G243" s="32" t="s">
        <v>35</v>
      </c>
      <c r="H243" s="32">
        <v>4</v>
      </c>
      <c r="I243" s="30" t="s">
        <v>376</v>
      </c>
      <c r="J243" s="38">
        <v>68530</v>
      </c>
      <c r="K243" s="33">
        <f t="shared" si="8"/>
        <v>100</v>
      </c>
      <c r="L243" s="33" t="str">
        <f>"1|"&amp;INDEX([1]梦魇入侵!$E$28:$Q$78,MATCH($M243,[1]梦魇入侵!$D$28:$D$78,0),MATCH($K243,[1]梦魇入侵!$E$28:$Q$28,0))</f>
        <v>1|2863700000</v>
      </c>
      <c r="M243" s="43">
        <v>121</v>
      </c>
      <c r="N243" s="33" t="str">
        <f t="shared" si="9"/>
        <v>今日累计伤害达到286370万</v>
      </c>
      <c r="O243"/>
      <c r="U243" s="33" t="e">
        <f>INT(MID($E243,MIN(FIND({0,1,2,3,4,5,6,7,8,9},$E243&amp;"0123456789")),LEN($E243)*2-LENB($E243)))</f>
        <v>#VALUE!</v>
      </c>
      <c r="V243" s="33" t="str">
        <f t="shared" si="10"/>
        <v>今日累计伤害达到 [00821c]107970[-] 万</v>
      </c>
    </row>
    <row r="244" spans="1:22" ht="16.5">
      <c r="A244" s="2">
        <v>10241</v>
      </c>
      <c r="B244" s="2">
        <v>91109</v>
      </c>
      <c r="C244" s="25">
        <v>0</v>
      </c>
      <c r="D244" s="10">
        <v>1</v>
      </c>
      <c r="E244" s="14" t="s">
        <v>756</v>
      </c>
      <c r="F244" s="20" t="s">
        <v>756</v>
      </c>
      <c r="G244" s="20" t="s">
        <v>90</v>
      </c>
      <c r="H244" s="20">
        <v>1</v>
      </c>
      <c r="I244" s="10" t="s">
        <v>114</v>
      </c>
      <c r="J244" s="36">
        <v>68501</v>
      </c>
      <c r="K244">
        <f t="shared" si="8"/>
        <v>110</v>
      </c>
      <c r="L244" t="str">
        <f>"1|"&amp;INDEX([1]梦魇入侵!$E$28:$Q$78,MATCH($M244,[1]梦魇入侵!$D$28:$D$78,0),MATCH($K244,[1]梦魇入侵!$E$28:$Q$28,0))</f>
        <v>1|26000000</v>
      </c>
      <c r="M244" s="42">
        <v>1</v>
      </c>
      <c r="N244" t="str">
        <f t="shared" si="9"/>
        <v>今日累计伤害达到2600万</v>
      </c>
      <c r="U244" t="e">
        <f>INT(MID($E244,MIN(FIND({0,1,2,3,4,5,6,7,8,9},$E244&amp;"0123456789")),LEN($E244)*2-LENB($E244)))</f>
        <v>#VALUE!</v>
      </c>
      <c r="V244" t="str">
        <f t="shared" si="10"/>
        <v>今日累计伤害达到 [00821c]980[-] 万</v>
      </c>
    </row>
    <row r="245" spans="1:22" ht="16.5">
      <c r="A245" s="2">
        <v>10242</v>
      </c>
      <c r="B245" s="2">
        <v>91109</v>
      </c>
      <c r="C245" s="25">
        <v>0</v>
      </c>
      <c r="D245" s="10">
        <v>3</v>
      </c>
      <c r="E245" s="14" t="s">
        <v>757</v>
      </c>
      <c r="F245" s="20" t="s">
        <v>757</v>
      </c>
      <c r="G245" s="20" t="s">
        <v>1</v>
      </c>
      <c r="H245" s="20">
        <v>1</v>
      </c>
      <c r="I245" s="10" t="s">
        <v>377</v>
      </c>
      <c r="J245" s="36">
        <v>68502</v>
      </c>
      <c r="K245">
        <f t="shared" si="8"/>
        <v>110</v>
      </c>
      <c r="L245" t="str">
        <f>"1|"&amp;INDEX([1]梦魇入侵!$E$28:$Q$78,MATCH($M245,[1]梦魇入侵!$D$28:$D$78,0),MATCH($K245,[1]梦魇入侵!$E$28:$Q$28,0))</f>
        <v>1|52000000</v>
      </c>
      <c r="M245" s="42">
        <v>2</v>
      </c>
      <c r="N245" t="str">
        <f t="shared" si="9"/>
        <v>今日累计伤害达到5200万</v>
      </c>
      <c r="U245" t="e">
        <f>INT(MID($E245,MIN(FIND({0,1,2,3,4,5,6,7,8,9},$E245&amp;"0123456789")),LEN($E245)*2-LENB($E245)))</f>
        <v>#VALUE!</v>
      </c>
      <c r="V245" t="str">
        <f t="shared" si="10"/>
        <v>今日累计伤害达到 [00821c]1960[-] 万</v>
      </c>
    </row>
    <row r="246" spans="1:22" ht="16.5">
      <c r="A246" s="2">
        <v>10243</v>
      </c>
      <c r="B246" s="2">
        <v>91109</v>
      </c>
      <c r="C246" s="25">
        <v>0</v>
      </c>
      <c r="D246" s="10">
        <v>5</v>
      </c>
      <c r="E246" s="14" t="s">
        <v>758</v>
      </c>
      <c r="F246" s="20" t="s">
        <v>758</v>
      </c>
      <c r="G246" s="20" t="s">
        <v>2</v>
      </c>
      <c r="H246" s="20">
        <v>1</v>
      </c>
      <c r="I246" s="10" t="s">
        <v>378</v>
      </c>
      <c r="J246" s="36">
        <v>68503</v>
      </c>
      <c r="K246">
        <f t="shared" si="8"/>
        <v>110</v>
      </c>
      <c r="L246" t="str">
        <f>"1|"&amp;INDEX([1]梦魇入侵!$E$28:$Q$78,MATCH($M246,[1]梦魇入侵!$D$28:$D$78,0),MATCH($K246,[1]梦魇入侵!$E$28:$Q$28,0))</f>
        <v>1|78000000</v>
      </c>
      <c r="M246" s="42">
        <v>3</v>
      </c>
      <c r="N246" t="str">
        <f t="shared" si="9"/>
        <v>今日累计伤害达到7800万</v>
      </c>
      <c r="U246" t="e">
        <f>INT(MID($E246,MIN(FIND({0,1,2,3,4,5,6,7,8,9},$E246&amp;"0123456789")),LEN($E246)*2-LENB($E246)))</f>
        <v>#VALUE!</v>
      </c>
      <c r="V246" t="str">
        <f t="shared" si="10"/>
        <v>今日累计伤害达到 [00821c]2940[-] 万</v>
      </c>
    </row>
    <row r="247" spans="1:22" ht="16.5">
      <c r="A247" s="2">
        <v>10244</v>
      </c>
      <c r="B247" s="2">
        <v>91109</v>
      </c>
      <c r="C247" s="25">
        <v>0</v>
      </c>
      <c r="D247" s="10">
        <v>7</v>
      </c>
      <c r="E247" s="14" t="s">
        <v>759</v>
      </c>
      <c r="F247" s="20" t="s">
        <v>759</v>
      </c>
      <c r="G247" s="20" t="s">
        <v>12</v>
      </c>
      <c r="H247" s="20">
        <v>1</v>
      </c>
      <c r="I247" s="10" t="s">
        <v>379</v>
      </c>
      <c r="J247" s="36">
        <v>68504</v>
      </c>
      <c r="K247">
        <f t="shared" si="8"/>
        <v>110</v>
      </c>
      <c r="L247" t="str">
        <f>"1|"&amp;INDEX([1]梦魇入侵!$E$28:$Q$78,MATCH($M247,[1]梦魇入侵!$D$28:$D$78,0),MATCH($K247,[1]梦魇入侵!$E$28:$Q$28,0))</f>
        <v>1|130100000</v>
      </c>
      <c r="M247" s="42">
        <v>5</v>
      </c>
      <c r="N247" t="str">
        <f t="shared" si="9"/>
        <v>今日累计伤害达到13010万</v>
      </c>
      <c r="U247" t="e">
        <f>INT(MID($E247,MIN(FIND({0,1,2,3,4,5,6,7,8,9},$E247&amp;"0123456789")),LEN($E247)*2-LENB($E247)))</f>
        <v>#VALUE!</v>
      </c>
      <c r="V247" t="str">
        <f t="shared" si="10"/>
        <v>今日累计伤害达到 [00821c]4900[-] 万</v>
      </c>
    </row>
    <row r="248" spans="1:22" ht="16.5">
      <c r="A248" s="2">
        <v>10245</v>
      </c>
      <c r="B248" s="2">
        <v>91109</v>
      </c>
      <c r="C248" s="25">
        <v>0</v>
      </c>
      <c r="D248" s="10">
        <v>9</v>
      </c>
      <c r="E248" s="14" t="s">
        <v>760</v>
      </c>
      <c r="F248" s="20" t="s">
        <v>760</v>
      </c>
      <c r="G248" s="20" t="s">
        <v>22</v>
      </c>
      <c r="H248" s="20">
        <v>1</v>
      </c>
      <c r="I248" s="10" t="s">
        <v>380</v>
      </c>
      <c r="J248" s="36">
        <v>68505</v>
      </c>
      <c r="K248">
        <f t="shared" si="8"/>
        <v>110</v>
      </c>
      <c r="L248" t="str">
        <f>"1|"&amp;INDEX([1]梦魇入侵!$E$28:$Q$78,MATCH($M248,[1]梦魇入侵!$D$28:$D$78,0),MATCH($K248,[1]梦魇入侵!$E$28:$Q$28,0))</f>
        <v>1|156100000</v>
      </c>
      <c r="M248" s="42">
        <v>6</v>
      </c>
      <c r="N248" t="str">
        <f t="shared" si="9"/>
        <v>今日累计伤害达到15610万</v>
      </c>
      <c r="U248" t="e">
        <f>INT(MID($E248,MIN(FIND({0,1,2,3,4,5,6,7,8,9},$E248&amp;"0123456789")),LEN($E248)*2-LENB($E248)))</f>
        <v>#VALUE!</v>
      </c>
      <c r="V248" t="str">
        <f t="shared" si="10"/>
        <v>今日累计伤害达到 [00821c]5880[-] 万</v>
      </c>
    </row>
    <row r="249" spans="1:22" ht="16.5">
      <c r="A249" s="2">
        <v>10246</v>
      </c>
      <c r="B249" s="2">
        <v>91109</v>
      </c>
      <c r="C249" s="25">
        <v>0</v>
      </c>
      <c r="D249" s="10">
        <v>11</v>
      </c>
      <c r="E249" s="14" t="s">
        <v>761</v>
      </c>
      <c r="F249" s="20" t="s">
        <v>761</v>
      </c>
      <c r="G249" s="20" t="s">
        <v>3</v>
      </c>
      <c r="H249" s="20">
        <v>1</v>
      </c>
      <c r="I249" s="10" t="s">
        <v>381</v>
      </c>
      <c r="J249" s="36">
        <v>68506</v>
      </c>
      <c r="K249">
        <f t="shared" si="8"/>
        <v>110</v>
      </c>
      <c r="L249" t="str">
        <f>"1|"&amp;INDEX([1]梦魇入侵!$E$28:$Q$78,MATCH($M249,[1]梦魇入侵!$D$28:$D$78,0),MATCH($K249,[1]梦魇入侵!$E$28:$Q$28,0))</f>
        <v>1|208100000</v>
      </c>
      <c r="M249" s="42">
        <v>8</v>
      </c>
      <c r="N249" t="str">
        <f t="shared" si="9"/>
        <v>今日累计伤害达到20810万</v>
      </c>
      <c r="U249" t="e">
        <f>INT(MID($E249,MIN(FIND({0,1,2,3,4,5,6,7,8,9},$E249&amp;"0123456789")),LEN($E249)*2-LENB($E249)))</f>
        <v>#VALUE!</v>
      </c>
      <c r="V249" t="str">
        <f t="shared" si="10"/>
        <v>今日累计伤害达到 [00821c]7830[-] 万</v>
      </c>
    </row>
    <row r="250" spans="1:22" ht="16.5">
      <c r="A250" s="2">
        <v>10247</v>
      </c>
      <c r="B250" s="2">
        <v>91109</v>
      </c>
      <c r="C250" s="25">
        <v>0</v>
      </c>
      <c r="D250" s="10">
        <v>13</v>
      </c>
      <c r="E250" s="14" t="s">
        <v>762</v>
      </c>
      <c r="F250" s="20" t="s">
        <v>762</v>
      </c>
      <c r="G250" s="20" t="s">
        <v>23</v>
      </c>
      <c r="H250" s="20">
        <v>2</v>
      </c>
      <c r="I250" s="10" t="s">
        <v>382</v>
      </c>
      <c r="J250" s="36">
        <v>68507</v>
      </c>
      <c r="K250">
        <f t="shared" si="8"/>
        <v>110</v>
      </c>
      <c r="L250" t="str">
        <f>"1|"&amp;INDEX([1]梦魇入侵!$E$28:$Q$78,MATCH($M250,[1]梦魇入侵!$D$28:$D$78,0),MATCH($K250,[1]梦魇入侵!$E$28:$Q$28,0))</f>
        <v>1|286100000</v>
      </c>
      <c r="M250" s="42">
        <v>11</v>
      </c>
      <c r="N250" t="str">
        <f t="shared" si="9"/>
        <v>今日累计伤害达到28610万</v>
      </c>
      <c r="U250" t="e">
        <f>INT(MID($E250,MIN(FIND({0,1,2,3,4,5,6,7,8,9},$E250&amp;"0123456789")),LEN($E250)*2-LENB($E250)))</f>
        <v>#VALUE!</v>
      </c>
      <c r="V250" t="str">
        <f t="shared" si="10"/>
        <v>今日累计伤害达到 [00821c]10770[-] 万</v>
      </c>
    </row>
    <row r="251" spans="1:22" ht="16.5">
      <c r="A251" s="2">
        <v>10248</v>
      </c>
      <c r="B251" s="2">
        <v>91109</v>
      </c>
      <c r="C251" s="25">
        <v>0</v>
      </c>
      <c r="D251" s="10">
        <v>15</v>
      </c>
      <c r="E251" s="14" t="s">
        <v>763</v>
      </c>
      <c r="F251" s="20" t="s">
        <v>763</v>
      </c>
      <c r="G251" s="20" t="s">
        <v>9</v>
      </c>
      <c r="H251" s="20">
        <v>2</v>
      </c>
      <c r="I251" s="10" t="s">
        <v>383</v>
      </c>
      <c r="J251" s="36">
        <v>68508</v>
      </c>
      <c r="K251">
        <f t="shared" si="8"/>
        <v>110</v>
      </c>
      <c r="L251" t="str">
        <f>"1|"&amp;INDEX([1]梦魇入侵!$E$28:$Q$78,MATCH($M251,[1]梦魇入侵!$D$28:$D$78,0),MATCH($K251,[1]梦魇入侵!$E$28:$Q$28,0))</f>
        <v>1|364200000</v>
      </c>
      <c r="M251" s="42">
        <v>14</v>
      </c>
      <c r="N251" t="str">
        <f t="shared" si="9"/>
        <v>今日累计伤害达到36420万</v>
      </c>
      <c r="U251" t="e">
        <f>INT(MID($E251,MIN(FIND({0,1,2,3,4,5,6,7,8,9},$E251&amp;"0123456789")),LEN($E251)*2-LENB($E251)))</f>
        <v>#VALUE!</v>
      </c>
      <c r="V251" t="str">
        <f t="shared" si="10"/>
        <v>今日累计伤害达到 [00821c]13710[-] 万</v>
      </c>
    </row>
    <row r="252" spans="1:22" ht="16.5">
      <c r="A252" s="2">
        <v>10249</v>
      </c>
      <c r="B252" s="2">
        <v>91109</v>
      </c>
      <c r="C252" s="25">
        <v>0</v>
      </c>
      <c r="D252" s="10">
        <v>17</v>
      </c>
      <c r="E252" s="14" t="s">
        <v>764</v>
      </c>
      <c r="F252" s="20" t="s">
        <v>764</v>
      </c>
      <c r="G252" s="20" t="s">
        <v>5</v>
      </c>
      <c r="H252" s="20">
        <v>2</v>
      </c>
      <c r="I252" s="10" t="s">
        <v>384</v>
      </c>
      <c r="J252" s="36">
        <v>68509</v>
      </c>
      <c r="K252">
        <f t="shared" si="8"/>
        <v>110</v>
      </c>
      <c r="L252" t="str">
        <f>"1|"&amp;INDEX([1]梦魇入侵!$E$28:$Q$78,MATCH($M252,[1]梦魇入侵!$D$28:$D$78,0),MATCH($K252,[1]梦魇入侵!$E$28:$Q$28,0))</f>
        <v>1|416200000</v>
      </c>
      <c r="M252" s="42">
        <v>16</v>
      </c>
      <c r="N252" t="str">
        <f t="shared" si="9"/>
        <v>今日累计伤害达到41620万</v>
      </c>
      <c r="U252" t="e">
        <f>INT(MID($E252,MIN(FIND({0,1,2,3,4,5,6,7,8,9},$E252&amp;"0123456789")),LEN($E252)*2-LENB($E252)))</f>
        <v>#VALUE!</v>
      </c>
      <c r="V252" t="str">
        <f t="shared" si="10"/>
        <v>今日累计伤害达到 [00821c]15670[-] 万</v>
      </c>
    </row>
    <row r="253" spans="1:22" ht="16.5">
      <c r="A253" s="2">
        <v>10250</v>
      </c>
      <c r="B253" s="2">
        <v>91109</v>
      </c>
      <c r="C253" s="25">
        <v>0</v>
      </c>
      <c r="D253" s="10">
        <v>19</v>
      </c>
      <c r="E253" s="14" t="s">
        <v>765</v>
      </c>
      <c r="F253" s="20" t="s">
        <v>765</v>
      </c>
      <c r="G253" s="20" t="s">
        <v>24</v>
      </c>
      <c r="H253" s="20">
        <v>2</v>
      </c>
      <c r="I253" s="10" t="s">
        <v>385</v>
      </c>
      <c r="J253" s="36">
        <v>68510</v>
      </c>
      <c r="K253">
        <f t="shared" si="8"/>
        <v>110</v>
      </c>
      <c r="L253" t="str">
        <f>"1|"&amp;INDEX([1]梦魇入侵!$E$28:$Q$78,MATCH($M253,[1]梦魇入侵!$D$28:$D$78,0),MATCH($K253,[1]梦魇入侵!$E$28:$Q$28,0))</f>
        <v>1|494200000</v>
      </c>
      <c r="M253" s="42">
        <v>19</v>
      </c>
      <c r="N253" t="str">
        <f t="shared" si="9"/>
        <v>今日累计伤害达到49420万</v>
      </c>
      <c r="U253" t="e">
        <f>INT(MID($E253,MIN(FIND({0,1,2,3,4,5,6,7,8,9},$E253&amp;"0123456789")),LEN($E253)*2-LENB($E253)))</f>
        <v>#VALUE!</v>
      </c>
      <c r="V253" t="str">
        <f t="shared" si="10"/>
        <v>今日累计伤害达到 [00821c]18610[-] 万</v>
      </c>
    </row>
    <row r="254" spans="1:22" ht="16.5">
      <c r="A254" s="2">
        <v>10251</v>
      </c>
      <c r="B254" s="2">
        <v>91109</v>
      </c>
      <c r="C254" s="25">
        <v>0</v>
      </c>
      <c r="D254" s="10">
        <v>21</v>
      </c>
      <c r="E254" s="14" t="s">
        <v>766</v>
      </c>
      <c r="F254" s="20" t="s">
        <v>766</v>
      </c>
      <c r="G254" s="20" t="s">
        <v>27</v>
      </c>
      <c r="H254" s="20">
        <v>2</v>
      </c>
      <c r="I254" s="10" t="s">
        <v>386</v>
      </c>
      <c r="J254" s="36">
        <v>68511</v>
      </c>
      <c r="K254">
        <f t="shared" si="8"/>
        <v>110</v>
      </c>
      <c r="L254" t="str">
        <f>"1|"&amp;INDEX([1]梦魇入侵!$E$28:$Q$78,MATCH($M254,[1]梦魇入侵!$D$28:$D$78,0),MATCH($K254,[1]梦魇入侵!$E$28:$Q$28,0))</f>
        <v>1|546300000</v>
      </c>
      <c r="M254" s="42">
        <v>21</v>
      </c>
      <c r="N254" t="str">
        <f t="shared" si="9"/>
        <v>今日累计伤害达到54630万</v>
      </c>
      <c r="U254" t="e">
        <f>INT(MID($E254,MIN(FIND({0,1,2,3,4,5,6,7,8,9},$E254&amp;"0123456789")),LEN($E254)*2-LENB($E254)))</f>
        <v>#VALUE!</v>
      </c>
      <c r="V254" t="str">
        <f t="shared" si="10"/>
        <v>今日累计伤害达到 [00821c]20570[-] 万</v>
      </c>
    </row>
    <row r="255" spans="1:22" ht="16.5">
      <c r="A255" s="2">
        <v>10252</v>
      </c>
      <c r="B255" s="2">
        <v>91109</v>
      </c>
      <c r="C255" s="25">
        <v>0</v>
      </c>
      <c r="D255" s="10">
        <v>23</v>
      </c>
      <c r="E255" s="14" t="s">
        <v>767</v>
      </c>
      <c r="F255" s="20" t="s">
        <v>767</v>
      </c>
      <c r="G255" s="20" t="s">
        <v>6</v>
      </c>
      <c r="H255" s="20">
        <v>3</v>
      </c>
      <c r="I255" s="10" t="s">
        <v>387</v>
      </c>
      <c r="J255" s="36">
        <v>68512</v>
      </c>
      <c r="K255">
        <f t="shared" si="8"/>
        <v>110</v>
      </c>
      <c r="L255" t="str">
        <f>"1|"&amp;INDEX([1]梦魇入侵!$E$28:$Q$78,MATCH($M255,[1]梦魇入侵!$D$28:$D$78,0),MATCH($K255,[1]梦魇入侵!$E$28:$Q$28,0))</f>
        <v>1|624300000</v>
      </c>
      <c r="M255" s="42">
        <v>24</v>
      </c>
      <c r="N255" t="str">
        <f t="shared" si="9"/>
        <v>今日累计伤害达到62430万</v>
      </c>
      <c r="U255" t="e">
        <f>INT(MID($E255,MIN(FIND({0,1,2,3,4,5,6,7,8,9},$E255&amp;"0123456789")),LEN($E255)*2-LENB($E255)))</f>
        <v>#VALUE!</v>
      </c>
      <c r="V255" t="str">
        <f t="shared" si="10"/>
        <v>今日累计伤害达到 [00821c]23500[-] 万</v>
      </c>
    </row>
    <row r="256" spans="1:22" ht="16.5">
      <c r="A256" s="2">
        <v>10253</v>
      </c>
      <c r="B256" s="2">
        <v>91109</v>
      </c>
      <c r="C256" s="25">
        <v>0</v>
      </c>
      <c r="D256" s="10">
        <v>25</v>
      </c>
      <c r="E256" s="14" t="s">
        <v>768</v>
      </c>
      <c r="F256" s="20" t="s">
        <v>768</v>
      </c>
      <c r="G256" s="20" t="s">
        <v>4</v>
      </c>
      <c r="H256" s="20">
        <v>3</v>
      </c>
      <c r="I256" s="10" t="s">
        <v>388</v>
      </c>
      <c r="J256" s="36">
        <v>68513</v>
      </c>
      <c r="K256">
        <f t="shared" si="8"/>
        <v>110</v>
      </c>
      <c r="L256" t="str">
        <f>"1|"&amp;INDEX([1]梦魇入侵!$E$28:$Q$78,MATCH($M256,[1]梦魇入侵!$D$28:$D$78,0),MATCH($K256,[1]梦魇入侵!$E$28:$Q$28,0))</f>
        <v>1|676300000</v>
      </c>
      <c r="M256" s="42">
        <v>26</v>
      </c>
      <c r="N256" t="str">
        <f t="shared" si="9"/>
        <v>今日累计伤害达到67630万</v>
      </c>
      <c r="U256" t="e">
        <f>INT(MID($E256,MIN(FIND({0,1,2,3,4,5,6,7,8,9},$E256&amp;"0123456789")),LEN($E256)*2-LENB($E256)))</f>
        <v>#VALUE!</v>
      </c>
      <c r="V256" t="str">
        <f t="shared" si="10"/>
        <v>今日累计伤害达到 [00821c]25460[-] 万</v>
      </c>
    </row>
    <row r="257" spans="1:22" ht="16.5">
      <c r="A257" s="2">
        <v>10254</v>
      </c>
      <c r="B257" s="2">
        <v>91109</v>
      </c>
      <c r="C257" s="25">
        <v>0</v>
      </c>
      <c r="D257" s="10">
        <v>27</v>
      </c>
      <c r="E257" s="14" t="s">
        <v>769</v>
      </c>
      <c r="F257" s="20" t="s">
        <v>769</v>
      </c>
      <c r="G257" s="20" t="s">
        <v>25</v>
      </c>
      <c r="H257" s="20">
        <v>3</v>
      </c>
      <c r="I257" s="10" t="s">
        <v>389</v>
      </c>
      <c r="J257" s="36">
        <v>68514</v>
      </c>
      <c r="K257">
        <f t="shared" ref="K257:K320" si="11">K227+10</f>
        <v>110</v>
      </c>
      <c r="L257" t="str">
        <f>"1|"&amp;INDEX([1]梦魇入侵!$E$28:$Q$78,MATCH($M257,[1]梦魇入侵!$D$28:$D$78,0),MATCH($K257,[1]梦魇入侵!$E$28:$Q$28,0))</f>
        <v>1|754300000</v>
      </c>
      <c r="M257" s="42">
        <v>29</v>
      </c>
      <c r="N257" t="str">
        <f t="shared" si="9"/>
        <v>今日累计伤害达到75430万</v>
      </c>
      <c r="U257" t="e">
        <f>INT(MID($E257,MIN(FIND({0,1,2,3,4,5,6,7,8,9},$E257&amp;"0123456789")),LEN($E257)*2-LENB($E257)))</f>
        <v>#VALUE!</v>
      </c>
      <c r="V257" t="str">
        <f t="shared" si="10"/>
        <v>今日累计伤害达到 [00821c]28400[-] 万</v>
      </c>
    </row>
    <row r="258" spans="1:22" ht="16.5">
      <c r="A258" s="2">
        <v>10255</v>
      </c>
      <c r="B258" s="2">
        <v>91109</v>
      </c>
      <c r="C258" s="25">
        <v>0</v>
      </c>
      <c r="D258" s="10">
        <v>29</v>
      </c>
      <c r="E258" s="14" t="s">
        <v>770</v>
      </c>
      <c r="F258" s="20" t="s">
        <v>770</v>
      </c>
      <c r="G258" s="20" t="s">
        <v>26</v>
      </c>
      <c r="H258" s="20">
        <v>3</v>
      </c>
      <c r="I258" s="10" t="s">
        <v>390</v>
      </c>
      <c r="J258" s="36">
        <v>68515</v>
      </c>
      <c r="K258">
        <f t="shared" si="11"/>
        <v>110</v>
      </c>
      <c r="L258" t="str">
        <f>"1|"&amp;INDEX([1]梦魇入侵!$E$28:$Q$78,MATCH($M258,[1]梦魇入侵!$D$28:$D$78,0),MATCH($K258,[1]梦魇入侵!$E$28:$Q$28,0))</f>
        <v>1|884400000</v>
      </c>
      <c r="M258" s="42">
        <v>34</v>
      </c>
      <c r="N258" t="str">
        <f t="shared" si="9"/>
        <v>今日累计伤害达到88440万</v>
      </c>
      <c r="U258" t="e">
        <f>INT(MID($E258,MIN(FIND({0,1,2,3,4,5,6,7,8,9},$E258&amp;"0123456789")),LEN($E258)*2-LENB($E258)))</f>
        <v>#VALUE!</v>
      </c>
      <c r="V258" t="str">
        <f t="shared" si="10"/>
        <v>今日累计伤害达到 [00821c]33300[-] 万</v>
      </c>
    </row>
    <row r="259" spans="1:22" ht="16.5">
      <c r="A259" s="2">
        <v>10256</v>
      </c>
      <c r="B259" s="2">
        <v>91109</v>
      </c>
      <c r="C259" s="25">
        <v>0</v>
      </c>
      <c r="D259" s="10">
        <v>31</v>
      </c>
      <c r="E259" s="14" t="s">
        <v>771</v>
      </c>
      <c r="F259" s="20" t="s">
        <v>771</v>
      </c>
      <c r="G259" s="20" t="s">
        <v>7</v>
      </c>
      <c r="H259" s="20">
        <v>3</v>
      </c>
      <c r="I259" s="10" t="s">
        <v>391</v>
      </c>
      <c r="J259" s="36">
        <v>68516</v>
      </c>
      <c r="K259">
        <f t="shared" si="11"/>
        <v>110</v>
      </c>
      <c r="L259" t="str">
        <f>"1|"&amp;INDEX([1]梦魇入侵!$E$28:$Q$78,MATCH($M259,[1]梦魇入侵!$D$28:$D$78,0),MATCH($K259,[1]梦魇入侵!$E$28:$Q$28,0))</f>
        <v>1|1014500000</v>
      </c>
      <c r="M259" s="42">
        <v>39</v>
      </c>
      <c r="N259" t="str">
        <f t="shared" si="9"/>
        <v>今日累计伤害达到101450万</v>
      </c>
      <c r="U259" t="e">
        <f>INT(MID($E259,MIN(FIND({0,1,2,3,4,5,6,7,8,9},$E259&amp;"0123456789")),LEN($E259)*2-LENB($E259)))</f>
        <v>#VALUE!</v>
      </c>
      <c r="V259" t="str">
        <f t="shared" si="10"/>
        <v>今日累计伤害达到 [00821c]38190[-] 万</v>
      </c>
    </row>
    <row r="260" spans="1:22" ht="16.5">
      <c r="A260" s="2">
        <v>10257</v>
      </c>
      <c r="B260" s="2">
        <v>91109</v>
      </c>
      <c r="C260" s="25">
        <v>0</v>
      </c>
      <c r="D260" s="10">
        <v>33</v>
      </c>
      <c r="E260" s="14" t="s">
        <v>772</v>
      </c>
      <c r="F260" s="20" t="s">
        <v>772</v>
      </c>
      <c r="G260" s="20" t="s">
        <v>1</v>
      </c>
      <c r="H260" s="20">
        <v>3</v>
      </c>
      <c r="I260" s="10" t="s">
        <v>392</v>
      </c>
      <c r="J260" s="36">
        <v>68517</v>
      </c>
      <c r="K260">
        <f t="shared" si="11"/>
        <v>110</v>
      </c>
      <c r="L260" t="str">
        <f>"1|"&amp;INDEX([1]梦魇入侵!$E$28:$Q$78,MATCH($M260,[1]梦魇入侵!$D$28:$D$78,0),MATCH($K260,[1]梦魇入侵!$E$28:$Q$28,0))</f>
        <v>1|1144500000</v>
      </c>
      <c r="M260" s="42">
        <v>44</v>
      </c>
      <c r="N260" t="str">
        <f t="shared" ref="N260:N323" si="12">"今日累计伤害达到"&amp;RIGHT($L260,LEN($L260)-2)/10000&amp;"万"</f>
        <v>今日累计伤害达到114450万</v>
      </c>
      <c r="U260" t="e">
        <f>INT(MID($E260,MIN(FIND({0,1,2,3,4,5,6,7,8,9},$E260&amp;"0123456789")),LEN($E260)*2-LENB($E260)))</f>
        <v>#VALUE!</v>
      </c>
      <c r="V260" t="str">
        <f t="shared" si="10"/>
        <v>今日累计伤害达到 [00821c]43090[-] 万</v>
      </c>
    </row>
    <row r="261" spans="1:22" ht="16.5">
      <c r="A261" s="2">
        <v>10258</v>
      </c>
      <c r="B261" s="2">
        <v>91109</v>
      </c>
      <c r="C261" s="25">
        <v>0</v>
      </c>
      <c r="D261" s="10">
        <v>35</v>
      </c>
      <c r="E261" s="14" t="s">
        <v>773</v>
      </c>
      <c r="F261" s="20" t="s">
        <v>773</v>
      </c>
      <c r="G261" s="20" t="s">
        <v>27</v>
      </c>
      <c r="H261" s="20">
        <v>4</v>
      </c>
      <c r="I261" s="10" t="s">
        <v>393</v>
      </c>
      <c r="J261" s="36">
        <v>68518</v>
      </c>
      <c r="K261">
        <f t="shared" si="11"/>
        <v>110</v>
      </c>
      <c r="L261" t="str">
        <f>"1|"&amp;INDEX([1]梦魇入侵!$E$28:$Q$78,MATCH($M261,[1]梦魇入侵!$D$28:$D$78,0),MATCH($K261,[1]梦魇入侵!$E$28:$Q$28,0))</f>
        <v>1|1274600000</v>
      </c>
      <c r="M261" s="42">
        <v>49</v>
      </c>
      <c r="N261" t="str">
        <f t="shared" si="12"/>
        <v>今日累计伤害达到127460万</v>
      </c>
      <c r="U261" t="e">
        <f>INT(MID($E261,MIN(FIND({0,1,2,3,4,5,6,7,8,9},$E261&amp;"0123456789")),LEN($E261)*2-LENB($E261)))</f>
        <v>#VALUE!</v>
      </c>
      <c r="V261" t="str">
        <f t="shared" ref="V261:V324" si="13">IF(ISERROR($U261),$E261,LEFT($E261,FIND($U261,$E261)-1)&amp;" [379340]"&amp;U261&amp;"[-] "&amp;IFERROR(RIGHT($E261,LEN($E261)-FIND($U261,$E261)-LEN($U261)+1),""))</f>
        <v>今日累计伤害达到 [00821c]47990[-] 万</v>
      </c>
    </row>
    <row r="262" spans="1:22" ht="16.5">
      <c r="A262" s="2">
        <v>10259</v>
      </c>
      <c r="B262" s="2">
        <v>91109</v>
      </c>
      <c r="C262" s="25">
        <v>0</v>
      </c>
      <c r="D262" s="10">
        <v>37</v>
      </c>
      <c r="E262" s="14" t="s">
        <v>774</v>
      </c>
      <c r="F262" s="20" t="s">
        <v>774</v>
      </c>
      <c r="G262" s="20" t="s">
        <v>28</v>
      </c>
      <c r="H262" s="20">
        <v>4</v>
      </c>
      <c r="I262" s="10" t="s">
        <v>394</v>
      </c>
      <c r="J262" s="36">
        <v>68519</v>
      </c>
      <c r="K262">
        <f t="shared" si="11"/>
        <v>110</v>
      </c>
      <c r="L262" t="str">
        <f>"1|"&amp;INDEX([1]梦魇入侵!$E$28:$Q$78,MATCH($M262,[1]梦魇入侵!$D$28:$D$78,0),MATCH($K262,[1]梦魇入侵!$E$28:$Q$28,0))</f>
        <v>1|1430700000</v>
      </c>
      <c r="M262" s="42">
        <v>55</v>
      </c>
      <c r="N262" t="str">
        <f t="shared" si="12"/>
        <v>今日累计伤害达到143070万</v>
      </c>
      <c r="U262" t="e">
        <f>INT(MID($E262,MIN(FIND({0,1,2,3,4,5,6,7,8,9},$E262&amp;"0123456789")),LEN($E262)*2-LENB($E262)))</f>
        <v>#VALUE!</v>
      </c>
      <c r="V262" t="str">
        <f t="shared" si="13"/>
        <v>今日累计伤害达到 [00821c]53860[-] 万</v>
      </c>
    </row>
    <row r="263" spans="1:22" ht="16.5">
      <c r="A263" s="2">
        <v>10260</v>
      </c>
      <c r="B263" s="2">
        <v>91109</v>
      </c>
      <c r="C263" s="25">
        <v>0</v>
      </c>
      <c r="D263" s="10">
        <v>39</v>
      </c>
      <c r="E263" s="14" t="s">
        <v>775</v>
      </c>
      <c r="F263" s="20" t="s">
        <v>775</v>
      </c>
      <c r="G263" s="20" t="s">
        <v>14</v>
      </c>
      <c r="H263" s="20">
        <v>4</v>
      </c>
      <c r="I263" s="10" t="s">
        <v>395</v>
      </c>
      <c r="J263" s="36">
        <v>68520</v>
      </c>
      <c r="K263">
        <f t="shared" si="11"/>
        <v>110</v>
      </c>
      <c r="L263" t="str">
        <f>"1|"&amp;INDEX([1]梦魇入侵!$E$28:$Q$78,MATCH($M263,[1]梦魇入侵!$D$28:$D$78,0),MATCH($K263,[1]梦魇入侵!$E$28:$Q$28,0))</f>
        <v>1|1560700000</v>
      </c>
      <c r="M263" s="42">
        <v>60</v>
      </c>
      <c r="N263" t="str">
        <f t="shared" si="12"/>
        <v>今日累计伤害达到156070万</v>
      </c>
      <c r="U263" t="e">
        <f>INT(MID($E263,MIN(FIND({0,1,2,3,4,5,6,7,8,9},$E263&amp;"0123456789")),LEN($E263)*2-LENB($E263)))</f>
        <v>#VALUE!</v>
      </c>
      <c r="V263" t="str">
        <f t="shared" si="13"/>
        <v>今日累计伤害达到 [00821c]58760[-] 万</v>
      </c>
    </row>
    <row r="264" spans="1:22" ht="16.5">
      <c r="A264" s="2">
        <v>10261</v>
      </c>
      <c r="B264" s="2">
        <v>91109</v>
      </c>
      <c r="C264" s="25">
        <v>0</v>
      </c>
      <c r="D264" s="10">
        <v>41</v>
      </c>
      <c r="E264" s="14" t="s">
        <v>776</v>
      </c>
      <c r="F264" s="20" t="s">
        <v>776</v>
      </c>
      <c r="G264" s="20" t="s">
        <v>4</v>
      </c>
      <c r="H264" s="20">
        <v>4</v>
      </c>
      <c r="I264" s="10" t="s">
        <v>396</v>
      </c>
      <c r="J264" s="36">
        <v>68521</v>
      </c>
      <c r="K264">
        <f t="shared" si="11"/>
        <v>110</v>
      </c>
      <c r="L264" t="str">
        <f>"1|"&amp;INDEX([1]梦魇入侵!$E$28:$Q$78,MATCH($M264,[1]梦魇入侵!$D$28:$D$78,0),MATCH($K264,[1]梦魇入侵!$E$28:$Q$28,0))</f>
        <v>1|1690800000</v>
      </c>
      <c r="M264" s="42">
        <v>65</v>
      </c>
      <c r="N264" t="str">
        <f t="shared" si="12"/>
        <v>今日累计伤害达到169080万</v>
      </c>
      <c r="U264" t="e">
        <f>INT(MID($E264,MIN(FIND({0,1,2,3,4,5,6,7,8,9},$E264&amp;"0123456789")),LEN($E264)*2-LENB($E264)))</f>
        <v>#VALUE!</v>
      </c>
      <c r="V264" t="str">
        <f t="shared" si="13"/>
        <v>今日累计伤害达到 [00821c]63650[-] 万</v>
      </c>
    </row>
    <row r="265" spans="1:22" ht="16.5">
      <c r="A265" s="2">
        <v>10262</v>
      </c>
      <c r="B265" s="2">
        <v>91109</v>
      </c>
      <c r="C265" s="25">
        <v>0</v>
      </c>
      <c r="D265" s="10">
        <v>43</v>
      </c>
      <c r="E265" s="14" t="s">
        <v>777</v>
      </c>
      <c r="F265" s="20" t="s">
        <v>777</v>
      </c>
      <c r="G265" s="20" t="s">
        <v>29</v>
      </c>
      <c r="H265" s="20">
        <v>4</v>
      </c>
      <c r="I265" s="10" t="s">
        <v>397</v>
      </c>
      <c r="J265" s="36">
        <v>68522</v>
      </c>
      <c r="K265">
        <f t="shared" si="11"/>
        <v>110</v>
      </c>
      <c r="L265" t="str">
        <f>"1|"&amp;INDEX([1]梦魇入侵!$E$28:$Q$78,MATCH($M265,[1]梦魇入侵!$D$28:$D$78,0),MATCH($K265,[1]梦魇入侵!$E$28:$Q$28,0))</f>
        <v>1|1820800000</v>
      </c>
      <c r="M265" s="42">
        <v>70</v>
      </c>
      <c r="N265" t="str">
        <f t="shared" si="12"/>
        <v>今日累计伤害达到182080万</v>
      </c>
      <c r="U265" t="e">
        <f>INT(MID($E265,MIN(FIND({0,1,2,3,4,5,6,7,8,9},$E265&amp;"0123456789")),LEN($E265)*2-LENB($E265)))</f>
        <v>#VALUE!</v>
      </c>
      <c r="V265" t="str">
        <f t="shared" si="13"/>
        <v>今日累计伤害达到 [00821c]68550[-] 万</v>
      </c>
    </row>
    <row r="266" spans="1:22" ht="16.5">
      <c r="A266" s="2">
        <v>10263</v>
      </c>
      <c r="B266" s="2">
        <v>91109</v>
      </c>
      <c r="C266" s="25">
        <v>0</v>
      </c>
      <c r="D266" s="10">
        <v>45</v>
      </c>
      <c r="E266" s="14" t="s">
        <v>778</v>
      </c>
      <c r="F266" s="20" t="s">
        <v>778</v>
      </c>
      <c r="G266" s="20" t="s">
        <v>33</v>
      </c>
      <c r="H266" s="20">
        <v>4</v>
      </c>
      <c r="I266" s="10" t="s">
        <v>398</v>
      </c>
      <c r="J266" s="36">
        <v>68523</v>
      </c>
      <c r="K266">
        <f t="shared" si="11"/>
        <v>110</v>
      </c>
      <c r="L266" t="str">
        <f>"1|"&amp;INDEX([1]梦魇入侵!$E$28:$Q$78,MATCH($M266,[1]梦魇入侵!$D$28:$D$78,0),MATCH($K266,[1]梦魇入侵!$E$28:$Q$28,0))</f>
        <v>1|1950900000</v>
      </c>
      <c r="M266" s="42">
        <v>75</v>
      </c>
      <c r="N266" t="str">
        <f t="shared" si="12"/>
        <v>今日累计伤害达到195090万</v>
      </c>
      <c r="U266" t="e">
        <f>INT(MID($E266,MIN(FIND({0,1,2,3,4,5,6,7,8,9},$E266&amp;"0123456789")),LEN($E266)*2-LENB($E266)))</f>
        <v>#VALUE!</v>
      </c>
      <c r="V266" t="str">
        <f t="shared" si="13"/>
        <v>今日累计伤害达到 [00821c]73450[-] 万</v>
      </c>
    </row>
    <row r="267" spans="1:22" ht="16.5">
      <c r="A267" s="2">
        <v>10264</v>
      </c>
      <c r="B267" s="2">
        <v>91109</v>
      </c>
      <c r="C267" s="25">
        <v>0</v>
      </c>
      <c r="D267" s="10">
        <v>47</v>
      </c>
      <c r="E267" s="14" t="s">
        <v>779</v>
      </c>
      <c r="F267" s="20" t="s">
        <v>779</v>
      </c>
      <c r="G267" s="20" t="s">
        <v>15</v>
      </c>
      <c r="H267" s="20">
        <v>4</v>
      </c>
      <c r="I267" s="10" t="s">
        <v>399</v>
      </c>
      <c r="J267" s="36">
        <v>68524</v>
      </c>
      <c r="K267">
        <f t="shared" si="11"/>
        <v>110</v>
      </c>
      <c r="L267" t="str">
        <f>"1|"&amp;INDEX([1]梦魇入侵!$E$28:$Q$78,MATCH($M267,[1]梦魇入侵!$D$28:$D$78,0),MATCH($K267,[1]梦魇入侵!$E$28:$Q$28,0))</f>
        <v>1|2341100000</v>
      </c>
      <c r="M267" s="42">
        <v>90</v>
      </c>
      <c r="N267" t="str">
        <f t="shared" si="12"/>
        <v>今日累计伤害达到234110万</v>
      </c>
      <c r="U267" t="e">
        <f>INT(MID($E267,MIN(FIND({0,1,2,3,4,5,6,7,8,9},$E267&amp;"0123456789")),LEN($E267)*2-LENB($E267)))</f>
        <v>#VALUE!</v>
      </c>
      <c r="V267" t="str">
        <f t="shared" si="13"/>
        <v>今日累计伤害达到 [00821c]88140[-] 万</v>
      </c>
    </row>
    <row r="268" spans="1:22" ht="16.5">
      <c r="A268" s="2">
        <v>10265</v>
      </c>
      <c r="B268" s="2">
        <v>91109</v>
      </c>
      <c r="C268" s="25">
        <v>0</v>
      </c>
      <c r="D268" s="10">
        <v>49</v>
      </c>
      <c r="E268" s="14" t="s">
        <v>780</v>
      </c>
      <c r="F268" s="20" t="s">
        <v>780</v>
      </c>
      <c r="G268" s="20" t="s">
        <v>16</v>
      </c>
      <c r="H268" s="20">
        <v>4</v>
      </c>
      <c r="I268" s="10" t="s">
        <v>124</v>
      </c>
      <c r="J268" s="36">
        <v>68525</v>
      </c>
      <c r="K268">
        <f t="shared" si="11"/>
        <v>110</v>
      </c>
      <c r="L268" t="str">
        <f>"1|"&amp;INDEX([1]梦魇入侵!$E$28:$Q$78,MATCH($M268,[1]梦魇入侵!$D$28:$D$78,0),MATCH($K268,[1]梦魇入侵!$E$28:$Q$28,0))</f>
        <v>1|2497200000</v>
      </c>
      <c r="M268" s="42">
        <v>96</v>
      </c>
      <c r="N268" t="str">
        <f t="shared" si="12"/>
        <v>今日累计伤害达到249720万</v>
      </c>
      <c r="U268" t="e">
        <f>INT(MID($E268,MIN(FIND({0,1,2,3,4,5,6,7,8,9},$E268&amp;"0123456789")),LEN($E268)*2-LENB($E268)))</f>
        <v>#VALUE!</v>
      </c>
      <c r="V268" t="str">
        <f t="shared" si="13"/>
        <v>今日累计伤害达到 [00821c]94010[-] 万</v>
      </c>
    </row>
    <row r="269" spans="1:22" ht="16.5">
      <c r="A269" s="2">
        <v>10266</v>
      </c>
      <c r="B269" s="2">
        <v>91109</v>
      </c>
      <c r="C269" s="25">
        <v>0</v>
      </c>
      <c r="D269" s="10">
        <v>51</v>
      </c>
      <c r="E269" s="14" t="s">
        <v>781</v>
      </c>
      <c r="F269" s="20" t="s">
        <v>781</v>
      </c>
      <c r="G269" s="20" t="s">
        <v>20</v>
      </c>
      <c r="H269" s="20">
        <v>4</v>
      </c>
      <c r="I269" s="10" t="s">
        <v>400</v>
      </c>
      <c r="J269" s="36">
        <v>68526</v>
      </c>
      <c r="K269">
        <f t="shared" si="11"/>
        <v>110</v>
      </c>
      <c r="L269" t="str">
        <f>"1|"&amp;INDEX([1]梦魇入侵!$E$28:$Q$78,MATCH($M269,[1]梦魇入侵!$D$28:$D$78,0),MATCH($K269,[1]梦魇入侵!$E$28:$Q$28,0))</f>
        <v>1|2627200000</v>
      </c>
      <c r="M269" s="42">
        <v>101</v>
      </c>
      <c r="N269" t="str">
        <f t="shared" si="12"/>
        <v>今日累计伤害达到262720万</v>
      </c>
      <c r="U269" t="e">
        <f>INT(MID($E269,MIN(FIND({0,1,2,3,4,5,6,7,8,9},$E269&amp;"0123456789")),LEN($E269)*2-LENB($E269)))</f>
        <v>#VALUE!</v>
      </c>
      <c r="V269" t="str">
        <f t="shared" si="13"/>
        <v>今日累计伤害达到 [00821c]98910[-] 万</v>
      </c>
    </row>
    <row r="270" spans="1:22" ht="16.5">
      <c r="A270" s="2">
        <v>10267</v>
      </c>
      <c r="B270" s="2">
        <v>91109</v>
      </c>
      <c r="C270" s="25">
        <v>0</v>
      </c>
      <c r="D270" s="10">
        <v>53</v>
      </c>
      <c r="E270" s="14" t="s">
        <v>782</v>
      </c>
      <c r="F270" s="20" t="s">
        <v>782</v>
      </c>
      <c r="G270" s="20" t="s">
        <v>93</v>
      </c>
      <c r="H270" s="20">
        <v>4</v>
      </c>
      <c r="I270" s="10" t="s">
        <v>401</v>
      </c>
      <c r="J270" s="36">
        <v>68527</v>
      </c>
      <c r="K270">
        <f t="shared" si="11"/>
        <v>110</v>
      </c>
      <c r="L270" t="str">
        <f>"1|"&amp;INDEX([1]梦魇入侵!$E$28:$Q$78,MATCH($M270,[1]梦魇入侵!$D$28:$D$78,0),MATCH($K270,[1]梦魇入侵!$E$28:$Q$28,0))</f>
        <v>1|2757300000</v>
      </c>
      <c r="M270" s="42">
        <v>106</v>
      </c>
      <c r="N270" t="str">
        <f t="shared" si="12"/>
        <v>今日累计伤害达到275730万</v>
      </c>
      <c r="U270" t="e">
        <f>INT(MID($E270,MIN(FIND({0,1,2,3,4,5,6,7,8,9},$E270&amp;"0123456789")),LEN($E270)*2-LENB($E270)))</f>
        <v>#VALUE!</v>
      </c>
      <c r="V270" t="str">
        <f t="shared" si="13"/>
        <v>今日累计伤害达到 [00821c]103810[-] 万</v>
      </c>
    </row>
    <row r="271" spans="1:22" ht="16.5">
      <c r="A271" s="2">
        <v>10268</v>
      </c>
      <c r="B271" s="2">
        <v>91109</v>
      </c>
      <c r="C271" s="25">
        <v>0</v>
      </c>
      <c r="D271" s="10">
        <v>55</v>
      </c>
      <c r="E271" s="14" t="s">
        <v>783</v>
      </c>
      <c r="F271" s="20" t="s">
        <v>783</v>
      </c>
      <c r="G271" s="20" t="s">
        <v>31</v>
      </c>
      <c r="H271" s="20">
        <v>4</v>
      </c>
      <c r="I271" s="10" t="s">
        <v>402</v>
      </c>
      <c r="J271" s="36">
        <v>68528</v>
      </c>
      <c r="K271">
        <f t="shared" si="11"/>
        <v>110</v>
      </c>
      <c r="L271" t="str">
        <f>"1|"&amp;INDEX([1]梦魇入侵!$E$28:$Q$78,MATCH($M271,[1]梦魇入侵!$D$28:$D$78,0),MATCH($K271,[1]梦魇入侵!$E$28:$Q$28,0))</f>
        <v>1|2887300000</v>
      </c>
      <c r="M271" s="42">
        <v>111</v>
      </c>
      <c r="N271" t="str">
        <f t="shared" si="12"/>
        <v>今日累计伤害达到288730万</v>
      </c>
      <c r="U271" t="e">
        <f>INT(MID($E271,MIN(FIND({0,1,2,3,4,5,6,7,8,9},$E271&amp;"0123456789")),LEN($E271)*2-LENB($E271)))</f>
        <v>#VALUE!</v>
      </c>
      <c r="V271" t="str">
        <f t="shared" si="13"/>
        <v>今日累计伤害达到 [00821c]108700[-] 万</v>
      </c>
    </row>
    <row r="272" spans="1:22" ht="16.5">
      <c r="A272" s="2">
        <v>10269</v>
      </c>
      <c r="B272" s="2">
        <v>91109</v>
      </c>
      <c r="C272" s="25">
        <v>0</v>
      </c>
      <c r="D272" s="10">
        <v>57</v>
      </c>
      <c r="E272" s="14" t="s">
        <v>784</v>
      </c>
      <c r="F272" s="20" t="s">
        <v>784</v>
      </c>
      <c r="G272" s="20" t="s">
        <v>23</v>
      </c>
      <c r="H272" s="20">
        <v>4</v>
      </c>
      <c r="I272" s="10" t="s">
        <v>403</v>
      </c>
      <c r="J272" s="36">
        <v>68529</v>
      </c>
      <c r="K272">
        <f t="shared" si="11"/>
        <v>110</v>
      </c>
      <c r="L272" t="str">
        <f>"1|"&amp;INDEX([1]梦魇入侵!$E$28:$Q$78,MATCH($M272,[1]梦魇入侵!$D$28:$D$78,0),MATCH($K272,[1]梦魇入侵!$E$28:$Q$28,0))</f>
        <v>1|3017400000</v>
      </c>
      <c r="M272" s="42">
        <v>116</v>
      </c>
      <c r="N272" t="str">
        <f t="shared" si="12"/>
        <v>今日累计伤害达到301740万</v>
      </c>
      <c r="U272" t="e">
        <f>INT(MID($E272,MIN(FIND({0,1,2,3,4,5,6,7,8,9},$E272&amp;"0123456789")),LEN($E272)*2-LENB($E272)))</f>
        <v>#VALUE!</v>
      </c>
      <c r="V272" t="str">
        <f t="shared" si="13"/>
        <v>今日累计伤害达到 [00821c]113600[-] 万</v>
      </c>
    </row>
    <row r="273" spans="1:22" ht="16.5">
      <c r="A273" s="2">
        <v>10270</v>
      </c>
      <c r="B273" s="2">
        <v>91109</v>
      </c>
      <c r="C273" s="25">
        <v>0</v>
      </c>
      <c r="D273" s="10">
        <v>59</v>
      </c>
      <c r="E273" s="14" t="s">
        <v>785</v>
      </c>
      <c r="F273" s="20" t="s">
        <v>785</v>
      </c>
      <c r="G273" s="20" t="s">
        <v>17</v>
      </c>
      <c r="H273" s="20">
        <v>4</v>
      </c>
      <c r="I273" s="10" t="s">
        <v>404</v>
      </c>
      <c r="J273" s="36">
        <v>68530</v>
      </c>
      <c r="K273">
        <f t="shared" si="11"/>
        <v>110</v>
      </c>
      <c r="L273" t="str">
        <f>"1|"&amp;INDEX([1]梦魇入侵!$E$28:$Q$78,MATCH($M273,[1]梦魇入侵!$D$28:$D$78,0),MATCH($K273,[1]梦魇入侵!$E$28:$Q$28,0))</f>
        <v>1|3147500000</v>
      </c>
      <c r="M273" s="42">
        <v>121</v>
      </c>
      <c r="N273" t="str">
        <f t="shared" si="12"/>
        <v>今日累计伤害达到314750万</v>
      </c>
      <c r="U273" t="e">
        <f>INT(MID($E273,MIN(FIND({0,1,2,3,4,5,6,7,8,9},$E273&amp;"0123456789")),LEN($E273)*2-LENB($E273)))</f>
        <v>#VALUE!</v>
      </c>
      <c r="V273" t="str">
        <f t="shared" si="13"/>
        <v>今日累计伤害达到 [00821c]118500[-] 万</v>
      </c>
    </row>
    <row r="274" spans="1:22" s="33" customFormat="1" ht="16.5">
      <c r="A274" s="28">
        <v>10271</v>
      </c>
      <c r="B274" s="28">
        <v>91110</v>
      </c>
      <c r="C274" s="29">
        <v>0</v>
      </c>
      <c r="D274" s="30">
        <v>1</v>
      </c>
      <c r="E274" s="31" t="s">
        <v>786</v>
      </c>
      <c r="F274" s="32" t="s">
        <v>786</v>
      </c>
      <c r="G274" s="32" t="s">
        <v>90</v>
      </c>
      <c r="H274" s="32">
        <v>1</v>
      </c>
      <c r="I274" s="30" t="s">
        <v>405</v>
      </c>
      <c r="J274" s="38">
        <v>68501</v>
      </c>
      <c r="K274" s="33">
        <f t="shared" si="11"/>
        <v>120</v>
      </c>
      <c r="L274" s="33" t="str">
        <f>"1|"&amp;INDEX([1]梦魇入侵!$E$28:$Q$78,MATCH($M274,[1]梦魇入侵!$D$28:$D$78,0),MATCH($K274,[1]梦魇入侵!$E$28:$Q$28,0))</f>
        <v>1|28400000</v>
      </c>
      <c r="M274" s="43">
        <v>1</v>
      </c>
      <c r="N274" s="33" t="str">
        <f t="shared" si="12"/>
        <v>今日累计伤害达到2840万</v>
      </c>
      <c r="O274"/>
      <c r="U274" s="33" t="e">
        <f>INT(MID($E274,MIN(FIND({0,1,2,3,4,5,6,7,8,9},$E274&amp;"0123456789")),LEN($E274)*2-LENB($E274)))</f>
        <v>#VALUE!</v>
      </c>
      <c r="V274" s="33" t="str">
        <f t="shared" si="13"/>
        <v>今日累计伤害达到 [00821c]1070[-] 万</v>
      </c>
    </row>
    <row r="275" spans="1:22" s="33" customFormat="1" ht="16.5">
      <c r="A275" s="28">
        <v>10272</v>
      </c>
      <c r="B275" s="28">
        <v>91110</v>
      </c>
      <c r="C275" s="29">
        <v>0</v>
      </c>
      <c r="D275" s="30">
        <v>3</v>
      </c>
      <c r="E275" s="31" t="s">
        <v>787</v>
      </c>
      <c r="F275" s="32" t="s">
        <v>787</v>
      </c>
      <c r="G275" s="32" t="s">
        <v>9</v>
      </c>
      <c r="H275" s="32">
        <v>1</v>
      </c>
      <c r="I275" s="30" t="s">
        <v>406</v>
      </c>
      <c r="J275" s="38">
        <v>68502</v>
      </c>
      <c r="K275" s="33">
        <f t="shared" si="11"/>
        <v>120</v>
      </c>
      <c r="L275" s="33" t="str">
        <f>"1|"&amp;INDEX([1]梦魇入侵!$E$28:$Q$78,MATCH($M275,[1]梦魇入侵!$D$28:$D$78,0),MATCH($K275,[1]梦魇入侵!$E$28:$Q$28,0))</f>
        <v>1|56700000</v>
      </c>
      <c r="M275" s="43">
        <v>2</v>
      </c>
      <c r="N275" s="33" t="str">
        <f t="shared" si="12"/>
        <v>今日累计伤害达到5670万</v>
      </c>
      <c r="O275"/>
      <c r="U275" s="33" t="e">
        <f>INT(MID($E275,MIN(FIND({0,1,2,3,4,5,6,7,8,9},$E275&amp;"0123456789")),LEN($E275)*2-LENB($E275)))</f>
        <v>#VALUE!</v>
      </c>
      <c r="V275" s="33" t="str">
        <f t="shared" si="13"/>
        <v>今日累计伤害达到 [00821c]2130[-] 万</v>
      </c>
    </row>
    <row r="276" spans="1:22" s="33" customFormat="1" ht="16.5">
      <c r="A276" s="28">
        <v>10273</v>
      </c>
      <c r="B276" s="28">
        <v>91110</v>
      </c>
      <c r="C276" s="29">
        <v>0</v>
      </c>
      <c r="D276" s="30">
        <v>5</v>
      </c>
      <c r="E276" s="31" t="s">
        <v>788</v>
      </c>
      <c r="F276" s="32" t="s">
        <v>788</v>
      </c>
      <c r="G276" s="32" t="s">
        <v>32</v>
      </c>
      <c r="H276" s="32">
        <v>1</v>
      </c>
      <c r="I276" s="30" t="s">
        <v>407</v>
      </c>
      <c r="J276" s="38">
        <v>68503</v>
      </c>
      <c r="K276" s="33">
        <f t="shared" si="11"/>
        <v>120</v>
      </c>
      <c r="L276" s="33" t="str">
        <f>"1|"&amp;INDEX([1]梦魇入侵!$E$28:$Q$78,MATCH($M276,[1]梦魇入侵!$D$28:$D$78,0),MATCH($K276,[1]梦魇入侵!$E$28:$Q$28,0))</f>
        <v>1|85100000</v>
      </c>
      <c r="M276" s="43">
        <v>3</v>
      </c>
      <c r="N276" s="33" t="str">
        <f t="shared" si="12"/>
        <v>今日累计伤害达到8510万</v>
      </c>
      <c r="O276"/>
      <c r="U276" s="33" t="e">
        <f>INT(MID($E276,MIN(FIND({0,1,2,3,4,5,6,7,8,9},$E276&amp;"0123456789")),LEN($E276)*2-LENB($E276)))</f>
        <v>#VALUE!</v>
      </c>
      <c r="V276" s="33" t="str">
        <f t="shared" si="13"/>
        <v>今日累计伤害达到 [00821c]3200[-] 万</v>
      </c>
    </row>
    <row r="277" spans="1:22" s="33" customFormat="1" ht="16.5">
      <c r="A277" s="28">
        <v>10274</v>
      </c>
      <c r="B277" s="28">
        <v>91110</v>
      </c>
      <c r="C277" s="29">
        <v>0</v>
      </c>
      <c r="D277" s="30">
        <v>7</v>
      </c>
      <c r="E277" s="31" t="s">
        <v>789</v>
      </c>
      <c r="F277" s="32" t="s">
        <v>789</v>
      </c>
      <c r="G277" s="32" t="s">
        <v>13</v>
      </c>
      <c r="H277" s="32">
        <v>1</v>
      </c>
      <c r="I277" s="30" t="s">
        <v>408</v>
      </c>
      <c r="J277" s="38">
        <v>68504</v>
      </c>
      <c r="K277" s="33">
        <f t="shared" si="11"/>
        <v>120</v>
      </c>
      <c r="L277" s="33" t="str">
        <f>"1|"&amp;INDEX([1]梦魇入侵!$E$28:$Q$78,MATCH($M277,[1]梦魇入侵!$D$28:$D$78,0),MATCH($K277,[1]梦魇入侵!$E$28:$Q$28,0))</f>
        <v>1|141800000</v>
      </c>
      <c r="M277" s="43">
        <v>5</v>
      </c>
      <c r="N277" s="33" t="str">
        <f t="shared" si="12"/>
        <v>今日累计伤害达到14180万</v>
      </c>
      <c r="O277"/>
      <c r="U277" s="33" t="e">
        <f>INT(MID($E277,MIN(FIND({0,1,2,3,4,5,6,7,8,9},$E277&amp;"0123456789")),LEN($E277)*2-LENB($E277)))</f>
        <v>#VALUE!</v>
      </c>
      <c r="V277" s="33" t="str">
        <f t="shared" si="13"/>
        <v>今日累计伤害达到 [00821c]5330[-] 万</v>
      </c>
    </row>
    <row r="278" spans="1:22" s="33" customFormat="1" ht="16.5">
      <c r="A278" s="28">
        <v>10275</v>
      </c>
      <c r="B278" s="28">
        <v>91110</v>
      </c>
      <c r="C278" s="29">
        <v>0</v>
      </c>
      <c r="D278" s="30">
        <v>9</v>
      </c>
      <c r="E278" s="31" t="s">
        <v>585</v>
      </c>
      <c r="F278" s="32" t="s">
        <v>585</v>
      </c>
      <c r="G278" s="32" t="s">
        <v>28</v>
      </c>
      <c r="H278" s="32">
        <v>1</v>
      </c>
      <c r="I278" s="30" t="s">
        <v>212</v>
      </c>
      <c r="J278" s="38">
        <v>68505</v>
      </c>
      <c r="K278" s="33">
        <f t="shared" si="11"/>
        <v>120</v>
      </c>
      <c r="L278" s="33" t="str">
        <f>"1|"&amp;INDEX([1]梦魇入侵!$E$28:$Q$78,MATCH($M278,[1]梦魇入侵!$D$28:$D$78,0),MATCH($K278,[1]梦魇入侵!$E$28:$Q$28,0))</f>
        <v>1|170100000</v>
      </c>
      <c r="M278" s="43">
        <v>6</v>
      </c>
      <c r="N278" s="33" t="str">
        <f t="shared" si="12"/>
        <v>今日累计伤害达到17010万</v>
      </c>
      <c r="O278"/>
      <c r="U278" s="33" t="e">
        <f>INT(MID($E278,MIN(FIND({0,1,2,3,4,5,6,7,8,9},$E278&amp;"0123456789")),LEN($E278)*2-LENB($E278)))</f>
        <v>#VALUE!</v>
      </c>
      <c r="V278" s="33" t="str">
        <f t="shared" si="13"/>
        <v>今日累计伤害达到 [00821c]6400[-] 万</v>
      </c>
    </row>
    <row r="279" spans="1:22" s="33" customFormat="1" ht="16.5">
      <c r="A279" s="28">
        <v>10276</v>
      </c>
      <c r="B279" s="28">
        <v>91110</v>
      </c>
      <c r="C279" s="29">
        <v>0</v>
      </c>
      <c r="D279" s="30">
        <v>11</v>
      </c>
      <c r="E279" s="31" t="s">
        <v>790</v>
      </c>
      <c r="F279" s="32" t="s">
        <v>790</v>
      </c>
      <c r="G279" s="32" t="s">
        <v>18</v>
      </c>
      <c r="H279" s="32">
        <v>1</v>
      </c>
      <c r="I279" s="30" t="s">
        <v>409</v>
      </c>
      <c r="J279" s="38">
        <v>68506</v>
      </c>
      <c r="K279" s="33">
        <f t="shared" si="11"/>
        <v>120</v>
      </c>
      <c r="L279" s="33" t="str">
        <f>"1|"&amp;INDEX([1]梦魇入侵!$E$28:$Q$78,MATCH($M279,[1]梦魇入侵!$D$28:$D$78,0),MATCH($K279,[1]梦魇入侵!$E$28:$Q$28,0))</f>
        <v>1|226900000</v>
      </c>
      <c r="M279" s="43">
        <v>8</v>
      </c>
      <c r="N279" s="33" t="str">
        <f t="shared" si="12"/>
        <v>今日累计伤害达到22690万</v>
      </c>
      <c r="O279"/>
      <c r="U279" s="33" t="e">
        <f>INT(MID($E279,MIN(FIND({0,1,2,3,4,5,6,7,8,9},$E279&amp;"0123456789")),LEN($E279)*2-LENB($E279)))</f>
        <v>#VALUE!</v>
      </c>
      <c r="V279" s="33" t="str">
        <f t="shared" si="13"/>
        <v>今日累计伤害达到 [00821c]8530[-] 万</v>
      </c>
    </row>
    <row r="280" spans="1:22" s="33" customFormat="1" ht="16.5">
      <c r="A280" s="28">
        <v>10277</v>
      </c>
      <c r="B280" s="28">
        <v>91110</v>
      </c>
      <c r="C280" s="29">
        <v>0</v>
      </c>
      <c r="D280" s="30">
        <v>13</v>
      </c>
      <c r="E280" s="31" t="s">
        <v>791</v>
      </c>
      <c r="F280" s="32" t="s">
        <v>791</v>
      </c>
      <c r="G280" s="32" t="s">
        <v>33</v>
      </c>
      <c r="H280" s="32">
        <v>2</v>
      </c>
      <c r="I280" s="30" t="s">
        <v>410</v>
      </c>
      <c r="J280" s="38">
        <v>68507</v>
      </c>
      <c r="K280" s="33">
        <f t="shared" si="11"/>
        <v>120</v>
      </c>
      <c r="L280" s="33" t="str">
        <f>"1|"&amp;INDEX([1]梦魇入侵!$E$28:$Q$78,MATCH($M280,[1]梦魇入侵!$D$28:$D$78,0),MATCH($K280,[1]梦魇入侵!$E$28:$Q$28,0))</f>
        <v>1|311900000</v>
      </c>
      <c r="M280" s="43">
        <v>11</v>
      </c>
      <c r="N280" s="33" t="str">
        <f t="shared" si="12"/>
        <v>今日累计伤害达到31190万</v>
      </c>
      <c r="O280"/>
      <c r="U280" s="33" t="e">
        <f>INT(MID($E280,MIN(FIND({0,1,2,3,4,5,6,7,8,9},$E280&amp;"0123456789")),LEN($E280)*2-LENB($E280)))</f>
        <v>#VALUE!</v>
      </c>
      <c r="V280" s="33" t="str">
        <f t="shared" si="13"/>
        <v>今日累计伤害达到 [00821c]11730[-] 万</v>
      </c>
    </row>
    <row r="281" spans="1:22" s="33" customFormat="1" ht="16.5">
      <c r="A281" s="28">
        <v>10278</v>
      </c>
      <c r="B281" s="28">
        <v>91110</v>
      </c>
      <c r="C281" s="29">
        <v>0</v>
      </c>
      <c r="D281" s="30">
        <v>15</v>
      </c>
      <c r="E281" s="31" t="s">
        <v>792</v>
      </c>
      <c r="F281" s="32" t="s">
        <v>792</v>
      </c>
      <c r="G281" s="32" t="s">
        <v>8</v>
      </c>
      <c r="H281" s="32">
        <v>2</v>
      </c>
      <c r="I281" s="30" t="s">
        <v>411</v>
      </c>
      <c r="J281" s="38">
        <v>68508</v>
      </c>
      <c r="K281" s="33">
        <f t="shared" si="11"/>
        <v>120</v>
      </c>
      <c r="L281" s="33" t="str">
        <f>"1|"&amp;INDEX([1]梦魇入侵!$E$28:$Q$78,MATCH($M281,[1]梦魇入侵!$D$28:$D$78,0),MATCH($K281,[1]梦魇入侵!$E$28:$Q$28,0))</f>
        <v>1|397000000</v>
      </c>
      <c r="M281" s="43">
        <v>14</v>
      </c>
      <c r="N281" s="33" t="str">
        <f t="shared" si="12"/>
        <v>今日累计伤害达到39700万</v>
      </c>
      <c r="O281"/>
      <c r="U281" s="33" t="e">
        <f>INT(MID($E281,MIN(FIND({0,1,2,3,4,5,6,7,8,9},$E281&amp;"0123456789")),LEN($E281)*2-LENB($E281)))</f>
        <v>#VALUE!</v>
      </c>
      <c r="V281" s="33" t="str">
        <f t="shared" si="13"/>
        <v>今日累计伤害达到 [00821c]14930[-] 万</v>
      </c>
    </row>
    <row r="282" spans="1:22" s="33" customFormat="1" ht="16.5">
      <c r="A282" s="28">
        <v>10279</v>
      </c>
      <c r="B282" s="28">
        <v>91110</v>
      </c>
      <c r="C282" s="29">
        <v>0</v>
      </c>
      <c r="D282" s="30">
        <v>17</v>
      </c>
      <c r="E282" s="31" t="s">
        <v>793</v>
      </c>
      <c r="F282" s="32" t="s">
        <v>793</v>
      </c>
      <c r="G282" s="32" t="s">
        <v>33</v>
      </c>
      <c r="H282" s="32">
        <v>2</v>
      </c>
      <c r="I282" s="30" t="s">
        <v>412</v>
      </c>
      <c r="J282" s="38">
        <v>68509</v>
      </c>
      <c r="K282" s="33">
        <f t="shared" si="11"/>
        <v>120</v>
      </c>
      <c r="L282" s="33" t="str">
        <f>"1|"&amp;INDEX([1]梦魇入侵!$E$28:$Q$78,MATCH($M282,[1]梦魇入侵!$D$28:$D$78,0),MATCH($K282,[1]梦魇入侵!$E$28:$Q$28,0))</f>
        <v>1|453700000</v>
      </c>
      <c r="M282" s="43">
        <v>16</v>
      </c>
      <c r="N282" s="33" t="str">
        <f t="shared" si="12"/>
        <v>今日累计伤害达到45370万</v>
      </c>
      <c r="O282"/>
      <c r="U282" s="33" t="e">
        <f>INT(MID($E282,MIN(FIND({0,1,2,3,4,5,6,7,8,9},$E282&amp;"0123456789")),LEN($E282)*2-LENB($E282)))</f>
        <v>#VALUE!</v>
      </c>
      <c r="V282" s="33" t="str">
        <f t="shared" si="13"/>
        <v>今日累计伤害达到 [00821c]17060[-] 万</v>
      </c>
    </row>
    <row r="283" spans="1:22" s="33" customFormat="1" ht="16.5">
      <c r="A283" s="28">
        <v>10280</v>
      </c>
      <c r="B283" s="28">
        <v>91110</v>
      </c>
      <c r="C283" s="29">
        <v>0</v>
      </c>
      <c r="D283" s="30">
        <v>19</v>
      </c>
      <c r="E283" s="31" t="s">
        <v>794</v>
      </c>
      <c r="F283" s="32" t="s">
        <v>794</v>
      </c>
      <c r="G283" s="32" t="s">
        <v>10</v>
      </c>
      <c r="H283" s="32">
        <v>2</v>
      </c>
      <c r="I283" s="30" t="s">
        <v>413</v>
      </c>
      <c r="J283" s="38">
        <v>68510</v>
      </c>
      <c r="K283" s="33">
        <f t="shared" si="11"/>
        <v>120</v>
      </c>
      <c r="L283" s="33" t="str">
        <f>"1|"&amp;INDEX([1]梦魇入侵!$E$28:$Q$78,MATCH($M283,[1]梦魇入侵!$D$28:$D$78,0),MATCH($K283,[1]梦魇入侵!$E$28:$Q$28,0))</f>
        <v>1|538800000</v>
      </c>
      <c r="M283" s="43">
        <v>19</v>
      </c>
      <c r="N283" s="33" t="str">
        <f t="shared" si="12"/>
        <v>今日累计伤害达到53880万</v>
      </c>
      <c r="O283"/>
      <c r="U283" s="33" t="e">
        <f>INT(MID($E283,MIN(FIND({0,1,2,3,4,5,6,7,8,9},$E283&amp;"0123456789")),LEN($E283)*2-LENB($E283)))</f>
        <v>#VALUE!</v>
      </c>
      <c r="V283" s="33" t="str">
        <f t="shared" si="13"/>
        <v>今日累计伤害达到 [00821c]20260[-] 万</v>
      </c>
    </row>
    <row r="284" spans="1:22" s="33" customFormat="1" ht="16.5">
      <c r="A284" s="28">
        <v>10281</v>
      </c>
      <c r="B284" s="28">
        <v>91110</v>
      </c>
      <c r="C284" s="29">
        <v>0</v>
      </c>
      <c r="D284" s="30">
        <v>21</v>
      </c>
      <c r="E284" s="31" t="s">
        <v>795</v>
      </c>
      <c r="F284" s="32" t="s">
        <v>795</v>
      </c>
      <c r="G284" s="32" t="s">
        <v>34</v>
      </c>
      <c r="H284" s="32">
        <v>2</v>
      </c>
      <c r="I284" s="30" t="s">
        <v>414</v>
      </c>
      <c r="J284" s="38">
        <v>68511</v>
      </c>
      <c r="K284" s="33">
        <f t="shared" si="11"/>
        <v>120</v>
      </c>
      <c r="L284" s="33" t="str">
        <f>"1|"&amp;INDEX([1]梦魇入侵!$E$28:$Q$78,MATCH($M284,[1]梦魇入侵!$D$28:$D$78,0),MATCH($K284,[1]梦魇入侵!$E$28:$Q$28,0))</f>
        <v>1|595500000</v>
      </c>
      <c r="M284" s="43">
        <v>21</v>
      </c>
      <c r="N284" s="33" t="str">
        <f t="shared" si="12"/>
        <v>今日累计伤害达到59550万</v>
      </c>
      <c r="O284"/>
      <c r="U284" s="33" t="e">
        <f>INT(MID($E284,MIN(FIND({0,1,2,3,4,5,6,7,8,9},$E284&amp;"0123456789")),LEN($E284)*2-LENB($E284)))</f>
        <v>#VALUE!</v>
      </c>
      <c r="V284" s="33" t="str">
        <f t="shared" si="13"/>
        <v>今日累计伤害达到 [00821c]22390[-] 万</v>
      </c>
    </row>
    <row r="285" spans="1:22" s="33" customFormat="1" ht="16.5">
      <c r="A285" s="28">
        <v>10282</v>
      </c>
      <c r="B285" s="28">
        <v>91110</v>
      </c>
      <c r="C285" s="29">
        <v>0</v>
      </c>
      <c r="D285" s="30">
        <v>23</v>
      </c>
      <c r="E285" s="31" t="s">
        <v>796</v>
      </c>
      <c r="F285" s="32" t="s">
        <v>796</v>
      </c>
      <c r="G285" s="32" t="s">
        <v>19</v>
      </c>
      <c r="H285" s="32">
        <v>3</v>
      </c>
      <c r="I285" s="30" t="s">
        <v>415</v>
      </c>
      <c r="J285" s="38">
        <v>68512</v>
      </c>
      <c r="K285" s="33">
        <f t="shared" si="11"/>
        <v>120</v>
      </c>
      <c r="L285" s="33" t="str">
        <f>"1|"&amp;INDEX([1]梦魇入侵!$E$28:$Q$78,MATCH($M285,[1]梦魇入侵!$D$28:$D$78,0),MATCH($K285,[1]梦魇入侵!$E$28:$Q$28,0))</f>
        <v>1|680600000</v>
      </c>
      <c r="M285" s="43">
        <v>24</v>
      </c>
      <c r="N285" s="33" t="str">
        <f t="shared" si="12"/>
        <v>今日累计伤害达到68060万</v>
      </c>
      <c r="O285"/>
      <c r="U285" s="33" t="e">
        <f>INT(MID($E285,MIN(FIND({0,1,2,3,4,5,6,7,8,9},$E285&amp;"0123456789")),LEN($E285)*2-LENB($E285)))</f>
        <v>#VALUE!</v>
      </c>
      <c r="V285" s="33" t="str">
        <f t="shared" si="13"/>
        <v>今日累计伤害达到 [00821c]25590[-] 万</v>
      </c>
    </row>
    <row r="286" spans="1:22" s="33" customFormat="1" ht="16.5">
      <c r="A286" s="28">
        <v>10283</v>
      </c>
      <c r="B286" s="28">
        <v>91110</v>
      </c>
      <c r="C286" s="29">
        <v>0</v>
      </c>
      <c r="D286" s="30">
        <v>25</v>
      </c>
      <c r="E286" s="31" t="s">
        <v>797</v>
      </c>
      <c r="F286" s="32" t="s">
        <v>797</v>
      </c>
      <c r="G286" s="32" t="s">
        <v>35</v>
      </c>
      <c r="H286" s="32">
        <v>3</v>
      </c>
      <c r="I286" s="30" t="s">
        <v>416</v>
      </c>
      <c r="J286" s="38">
        <v>68513</v>
      </c>
      <c r="K286" s="33">
        <f t="shared" si="11"/>
        <v>120</v>
      </c>
      <c r="L286" s="33" t="str">
        <f>"1|"&amp;INDEX([1]梦魇入侵!$E$28:$Q$78,MATCH($M286,[1]梦魇入侵!$D$28:$D$78,0),MATCH($K286,[1]梦魇入侵!$E$28:$Q$28,0))</f>
        <v>1|737300000</v>
      </c>
      <c r="M286" s="43">
        <v>26</v>
      </c>
      <c r="N286" s="33" t="str">
        <f t="shared" si="12"/>
        <v>今日累计伤害达到73730万</v>
      </c>
      <c r="O286"/>
      <c r="U286" s="33" t="e">
        <f>INT(MID($E286,MIN(FIND({0,1,2,3,4,5,6,7,8,9},$E286&amp;"0123456789")),LEN($E286)*2-LENB($E286)))</f>
        <v>#VALUE!</v>
      </c>
      <c r="V286" s="33" t="str">
        <f t="shared" si="13"/>
        <v>今日累计伤害达到 [00821c]27720[-] 万</v>
      </c>
    </row>
    <row r="287" spans="1:22" s="33" customFormat="1" ht="16.5">
      <c r="A287" s="28">
        <v>10284</v>
      </c>
      <c r="B287" s="28">
        <v>91110</v>
      </c>
      <c r="C287" s="29">
        <v>0</v>
      </c>
      <c r="D287" s="30">
        <v>27</v>
      </c>
      <c r="E287" s="31" t="s">
        <v>798</v>
      </c>
      <c r="F287" s="32" t="s">
        <v>798</v>
      </c>
      <c r="G287" s="32" t="s">
        <v>11</v>
      </c>
      <c r="H287" s="32">
        <v>3</v>
      </c>
      <c r="I287" s="30" t="s">
        <v>417</v>
      </c>
      <c r="J287" s="38">
        <v>68514</v>
      </c>
      <c r="K287" s="33">
        <f t="shared" si="11"/>
        <v>120</v>
      </c>
      <c r="L287" s="33" t="str">
        <f>"1|"&amp;INDEX([1]梦魇入侵!$E$28:$Q$78,MATCH($M287,[1]梦魇入侵!$D$28:$D$78,0),MATCH($K287,[1]梦魇入侵!$E$28:$Q$28,0))</f>
        <v>1|822400000</v>
      </c>
      <c r="M287" s="43">
        <v>29</v>
      </c>
      <c r="N287" s="33" t="str">
        <f t="shared" si="12"/>
        <v>今日累计伤害达到82240万</v>
      </c>
      <c r="O287"/>
      <c r="U287" s="33" t="e">
        <f>INT(MID($E287,MIN(FIND({0,1,2,3,4,5,6,7,8,9},$E287&amp;"0123456789")),LEN($E287)*2-LENB($E287)))</f>
        <v>#VALUE!</v>
      </c>
      <c r="V287" s="33" t="str">
        <f t="shared" si="13"/>
        <v>今日累计伤害达到 [00821c]30920[-] 万</v>
      </c>
    </row>
    <row r="288" spans="1:22" s="33" customFormat="1" ht="16.5">
      <c r="A288" s="28">
        <v>10285</v>
      </c>
      <c r="B288" s="28">
        <v>91110</v>
      </c>
      <c r="C288" s="29">
        <v>0</v>
      </c>
      <c r="D288" s="30">
        <v>29</v>
      </c>
      <c r="E288" s="31" t="s">
        <v>799</v>
      </c>
      <c r="F288" s="32" t="s">
        <v>799</v>
      </c>
      <c r="G288" s="32" t="s">
        <v>8</v>
      </c>
      <c r="H288" s="32">
        <v>3</v>
      </c>
      <c r="I288" s="30" t="s">
        <v>418</v>
      </c>
      <c r="J288" s="38">
        <v>68515</v>
      </c>
      <c r="K288" s="33">
        <f t="shared" si="11"/>
        <v>120</v>
      </c>
      <c r="L288" s="33" t="str">
        <f>"1|"&amp;INDEX([1]梦魇入侵!$E$28:$Q$78,MATCH($M288,[1]梦魇入侵!$D$28:$D$78,0),MATCH($K288,[1]梦魇入侵!$E$28:$Q$28,0))</f>
        <v>1|964100000</v>
      </c>
      <c r="M288" s="43">
        <v>34</v>
      </c>
      <c r="N288" s="33" t="str">
        <f t="shared" si="12"/>
        <v>今日累计伤害达到96410万</v>
      </c>
      <c r="O288"/>
      <c r="U288" s="33" t="e">
        <f>INT(MID($E288,MIN(FIND({0,1,2,3,4,5,6,7,8,9},$E288&amp;"0123456789")),LEN($E288)*2-LENB($E288)))</f>
        <v>#VALUE!</v>
      </c>
      <c r="V288" s="33" t="str">
        <f t="shared" si="13"/>
        <v>今日累计伤害达到 [00821c]36250[-] 万</v>
      </c>
    </row>
    <row r="289" spans="1:22" s="33" customFormat="1" ht="16.5">
      <c r="A289" s="28">
        <v>10286</v>
      </c>
      <c r="B289" s="28">
        <v>91110</v>
      </c>
      <c r="C289" s="29">
        <v>0</v>
      </c>
      <c r="D289" s="30">
        <v>31</v>
      </c>
      <c r="E289" s="31" t="s">
        <v>800</v>
      </c>
      <c r="F289" s="32" t="s">
        <v>800</v>
      </c>
      <c r="G289" s="32" t="s">
        <v>33</v>
      </c>
      <c r="H289" s="32">
        <v>3</v>
      </c>
      <c r="I289" s="30" t="s">
        <v>419</v>
      </c>
      <c r="J289" s="38">
        <v>68516</v>
      </c>
      <c r="K289" s="33">
        <f t="shared" si="11"/>
        <v>120</v>
      </c>
      <c r="L289" s="33" t="str">
        <f>"1|"&amp;INDEX([1]梦魇入侵!$E$28:$Q$78,MATCH($M289,[1]梦魇入侵!$D$28:$D$78,0),MATCH($K289,[1]梦魇入侵!$E$28:$Q$28,0))</f>
        <v>1|1105900000</v>
      </c>
      <c r="M289" s="43">
        <v>39</v>
      </c>
      <c r="N289" s="33" t="str">
        <f t="shared" si="12"/>
        <v>今日累计伤害达到110590万</v>
      </c>
      <c r="O289"/>
      <c r="U289" s="33" t="e">
        <f>INT(MID($E289,MIN(FIND({0,1,2,3,4,5,6,7,8,9},$E289&amp;"0123456789")),LEN($E289)*2-LENB($E289)))</f>
        <v>#VALUE!</v>
      </c>
      <c r="V289" s="33" t="str">
        <f t="shared" si="13"/>
        <v>今日累计伤害达到 [00821c]41590[-] 万</v>
      </c>
    </row>
    <row r="290" spans="1:22" s="33" customFormat="1" ht="16.5">
      <c r="A290" s="28">
        <v>10287</v>
      </c>
      <c r="B290" s="28">
        <v>91110</v>
      </c>
      <c r="C290" s="29">
        <v>0</v>
      </c>
      <c r="D290" s="30">
        <v>33</v>
      </c>
      <c r="E290" s="31" t="s">
        <v>801</v>
      </c>
      <c r="F290" s="32" t="s">
        <v>801</v>
      </c>
      <c r="G290" s="32" t="s">
        <v>10</v>
      </c>
      <c r="H290" s="32">
        <v>3</v>
      </c>
      <c r="I290" s="30" t="s">
        <v>420</v>
      </c>
      <c r="J290" s="38">
        <v>68517</v>
      </c>
      <c r="K290" s="33">
        <f t="shared" si="11"/>
        <v>120</v>
      </c>
      <c r="L290" s="33" t="str">
        <f>"1|"&amp;INDEX([1]梦魇入侵!$E$28:$Q$78,MATCH($M290,[1]梦魇入侵!$D$28:$D$78,0),MATCH($K290,[1]梦魇入侵!$E$28:$Q$28,0))</f>
        <v>1|1247700000</v>
      </c>
      <c r="M290" s="43">
        <v>44</v>
      </c>
      <c r="N290" s="33" t="str">
        <f t="shared" si="12"/>
        <v>今日累计伤害达到124770万</v>
      </c>
      <c r="O290"/>
      <c r="U290" s="33" t="e">
        <f>INT(MID($E290,MIN(FIND({0,1,2,3,4,5,6,7,8,9},$E290&amp;"0123456789")),LEN($E290)*2-LENB($E290)))</f>
        <v>#VALUE!</v>
      </c>
      <c r="V290" s="33" t="str">
        <f t="shared" si="13"/>
        <v>今日累计伤害达到 [00821c]46920[-] 万</v>
      </c>
    </row>
    <row r="291" spans="1:22" s="33" customFormat="1" ht="16.5">
      <c r="A291" s="28">
        <v>10288</v>
      </c>
      <c r="B291" s="28">
        <v>91110</v>
      </c>
      <c r="C291" s="29">
        <v>0</v>
      </c>
      <c r="D291" s="30">
        <v>35</v>
      </c>
      <c r="E291" s="31" t="s">
        <v>632</v>
      </c>
      <c r="F291" s="32" t="s">
        <v>632</v>
      </c>
      <c r="G291" s="32" t="s">
        <v>34</v>
      </c>
      <c r="H291" s="32">
        <v>4</v>
      </c>
      <c r="I291" s="30" t="s">
        <v>257</v>
      </c>
      <c r="J291" s="38">
        <v>68518</v>
      </c>
      <c r="K291" s="33">
        <f t="shared" si="11"/>
        <v>120</v>
      </c>
      <c r="L291" s="33" t="str">
        <f>"1|"&amp;INDEX([1]梦魇入侵!$E$28:$Q$78,MATCH($M291,[1]梦魇入侵!$D$28:$D$78,0),MATCH($K291,[1]梦魇入侵!$E$28:$Q$28,0))</f>
        <v>1|1389500000</v>
      </c>
      <c r="M291" s="43">
        <v>49</v>
      </c>
      <c r="N291" s="33" t="str">
        <f t="shared" si="12"/>
        <v>今日累计伤害达到138950万</v>
      </c>
      <c r="O291"/>
      <c r="U291" s="33" t="e">
        <f>INT(MID($E291,MIN(FIND({0,1,2,3,4,5,6,7,8,9},$E291&amp;"0123456789")),LEN($E291)*2-LENB($E291)))</f>
        <v>#VALUE!</v>
      </c>
      <c r="V291" s="33" t="str">
        <f t="shared" si="13"/>
        <v>今日累计伤害达到 [00821c]52250[-] 万</v>
      </c>
    </row>
    <row r="292" spans="1:22" s="33" customFormat="1" ht="16.5">
      <c r="A292" s="28">
        <v>10289</v>
      </c>
      <c r="B292" s="28">
        <v>91110</v>
      </c>
      <c r="C292" s="29">
        <v>0</v>
      </c>
      <c r="D292" s="30">
        <v>37</v>
      </c>
      <c r="E292" s="31" t="s">
        <v>802</v>
      </c>
      <c r="F292" s="32" t="s">
        <v>802</v>
      </c>
      <c r="G292" s="32" t="s">
        <v>19</v>
      </c>
      <c r="H292" s="32">
        <v>4</v>
      </c>
      <c r="I292" s="30" t="s">
        <v>421</v>
      </c>
      <c r="J292" s="38">
        <v>68519</v>
      </c>
      <c r="K292" s="33">
        <f t="shared" si="11"/>
        <v>120</v>
      </c>
      <c r="L292" s="33" t="str">
        <f>"1|"&amp;INDEX([1]梦魇入侵!$E$28:$Q$78,MATCH($M292,[1]梦魇入侵!$D$28:$D$78,0),MATCH($K292,[1]梦魇入侵!$E$28:$Q$28,0))</f>
        <v>1|1559600000</v>
      </c>
      <c r="M292" s="43">
        <v>55</v>
      </c>
      <c r="N292" s="33" t="str">
        <f t="shared" si="12"/>
        <v>今日累计伤害达到155960万</v>
      </c>
      <c r="O292"/>
      <c r="U292" s="33" t="e">
        <f>INT(MID($E292,MIN(FIND({0,1,2,3,4,5,6,7,8,9},$E292&amp;"0123456789")),LEN($E292)*2-LENB($E292)))</f>
        <v>#VALUE!</v>
      </c>
      <c r="V292" s="33" t="str">
        <f t="shared" si="13"/>
        <v>今日累计伤害达到 [00821c]58650[-] 万</v>
      </c>
    </row>
    <row r="293" spans="1:22" s="33" customFormat="1" ht="16.5">
      <c r="A293" s="28">
        <v>10290</v>
      </c>
      <c r="B293" s="28">
        <v>91110</v>
      </c>
      <c r="C293" s="29">
        <v>0</v>
      </c>
      <c r="D293" s="30">
        <v>39</v>
      </c>
      <c r="E293" s="31" t="s">
        <v>803</v>
      </c>
      <c r="F293" s="32" t="s">
        <v>803</v>
      </c>
      <c r="G293" s="32" t="s">
        <v>35</v>
      </c>
      <c r="H293" s="32">
        <v>4</v>
      </c>
      <c r="I293" s="30" t="s">
        <v>422</v>
      </c>
      <c r="J293" s="38">
        <v>68520</v>
      </c>
      <c r="K293" s="33">
        <f t="shared" si="11"/>
        <v>120</v>
      </c>
      <c r="L293" s="33" t="str">
        <f>"1|"&amp;INDEX([1]梦魇入侵!$E$28:$Q$78,MATCH($M293,[1]梦魇入侵!$D$28:$D$78,0),MATCH($K293,[1]梦魇入侵!$E$28:$Q$28,0))</f>
        <v>1|1701400000</v>
      </c>
      <c r="M293" s="43">
        <v>60</v>
      </c>
      <c r="N293" s="33" t="str">
        <f t="shared" si="12"/>
        <v>今日累计伤害达到170140万</v>
      </c>
      <c r="O293"/>
      <c r="U293" s="33" t="e">
        <f>INT(MID($E293,MIN(FIND({0,1,2,3,4,5,6,7,8,9},$E293&amp;"0123456789")),LEN($E293)*2-LENB($E293)))</f>
        <v>#VALUE!</v>
      </c>
      <c r="V293" s="33" t="str">
        <f t="shared" si="13"/>
        <v>今日累计伤害达到 [00821c]63980[-] 万</v>
      </c>
    </row>
    <row r="294" spans="1:22" s="33" customFormat="1" ht="16.5">
      <c r="A294" s="28">
        <v>10291</v>
      </c>
      <c r="B294" s="28">
        <v>91110</v>
      </c>
      <c r="C294" s="29">
        <v>0</v>
      </c>
      <c r="D294" s="30">
        <v>41</v>
      </c>
      <c r="E294" s="31" t="s">
        <v>804</v>
      </c>
      <c r="F294" s="32" t="s">
        <v>804</v>
      </c>
      <c r="G294" s="32" t="s">
        <v>34</v>
      </c>
      <c r="H294" s="32">
        <v>4</v>
      </c>
      <c r="I294" s="30" t="s">
        <v>423</v>
      </c>
      <c r="J294" s="38">
        <v>68521</v>
      </c>
      <c r="K294" s="33">
        <f t="shared" si="11"/>
        <v>120</v>
      </c>
      <c r="L294" s="33" t="str">
        <f>"1|"&amp;INDEX([1]梦魇入侵!$E$28:$Q$78,MATCH($M294,[1]梦魇入侵!$D$28:$D$78,0),MATCH($K294,[1]梦魇入侵!$E$28:$Q$28,0))</f>
        <v>1|1843200000</v>
      </c>
      <c r="M294" s="43">
        <v>65</v>
      </c>
      <c r="N294" s="33" t="str">
        <f t="shared" si="12"/>
        <v>今日累计伤害达到184320万</v>
      </c>
      <c r="O294"/>
      <c r="U294" s="33" t="e">
        <f>INT(MID($E294,MIN(FIND({0,1,2,3,4,5,6,7,8,9},$E294&amp;"0123456789")),LEN($E294)*2-LENB($E294)))</f>
        <v>#VALUE!</v>
      </c>
      <c r="V294" s="33" t="str">
        <f t="shared" si="13"/>
        <v>今日累计伤害达到 [00821c]69310[-] 万</v>
      </c>
    </row>
    <row r="295" spans="1:22" s="33" customFormat="1" ht="16.5">
      <c r="A295" s="28">
        <v>10292</v>
      </c>
      <c r="B295" s="28">
        <v>91110</v>
      </c>
      <c r="C295" s="29">
        <v>0</v>
      </c>
      <c r="D295" s="30">
        <v>43</v>
      </c>
      <c r="E295" s="31" t="s">
        <v>805</v>
      </c>
      <c r="F295" s="32" t="s">
        <v>805</v>
      </c>
      <c r="G295" s="32" t="s">
        <v>19</v>
      </c>
      <c r="H295" s="32">
        <v>4</v>
      </c>
      <c r="I295" s="30" t="s">
        <v>424</v>
      </c>
      <c r="J295" s="38">
        <v>68522</v>
      </c>
      <c r="K295" s="33">
        <f t="shared" si="11"/>
        <v>120</v>
      </c>
      <c r="L295" s="33" t="str">
        <f>"1|"&amp;INDEX([1]梦魇入侵!$E$28:$Q$78,MATCH($M295,[1]梦魇入侵!$D$28:$D$78,0),MATCH($K295,[1]梦魇入侵!$E$28:$Q$28,0))</f>
        <v>1|1985000000</v>
      </c>
      <c r="M295" s="43">
        <v>70</v>
      </c>
      <c r="N295" s="33" t="str">
        <f t="shared" si="12"/>
        <v>今日累计伤害达到198500万</v>
      </c>
      <c r="O295"/>
      <c r="U295" s="33" t="e">
        <f>INT(MID($E295,MIN(FIND({0,1,2,3,4,5,6,7,8,9},$E295&amp;"0123456789")),LEN($E295)*2-LENB($E295)))</f>
        <v>#VALUE!</v>
      </c>
      <c r="V295" s="33" t="str">
        <f t="shared" si="13"/>
        <v>今日累计伤害达到 [00821c]74640[-] 万</v>
      </c>
    </row>
    <row r="296" spans="1:22" s="33" customFormat="1" ht="16.5">
      <c r="A296" s="28">
        <v>10293</v>
      </c>
      <c r="B296" s="28">
        <v>91110</v>
      </c>
      <c r="C296" s="29">
        <v>0</v>
      </c>
      <c r="D296" s="30">
        <v>45</v>
      </c>
      <c r="E296" s="31" t="s">
        <v>806</v>
      </c>
      <c r="F296" s="32" t="s">
        <v>806</v>
      </c>
      <c r="G296" s="32" t="s">
        <v>35</v>
      </c>
      <c r="H296" s="32">
        <v>4</v>
      </c>
      <c r="I296" s="30" t="s">
        <v>425</v>
      </c>
      <c r="J296" s="38">
        <v>68523</v>
      </c>
      <c r="K296" s="33">
        <f t="shared" si="11"/>
        <v>120</v>
      </c>
      <c r="L296" s="33" t="str">
        <f>"1|"&amp;INDEX([1]梦魇入侵!$E$28:$Q$78,MATCH($M296,[1]梦魇入侵!$D$28:$D$78,0),MATCH($K296,[1]梦魇入侵!$E$28:$Q$28,0))</f>
        <v>1|2126800000</v>
      </c>
      <c r="M296" s="43">
        <v>75</v>
      </c>
      <c r="N296" s="33" t="str">
        <f t="shared" si="12"/>
        <v>今日累计伤害达到212680万</v>
      </c>
      <c r="O296"/>
      <c r="U296" s="33" t="e">
        <f>INT(MID($E296,MIN(FIND({0,1,2,3,4,5,6,7,8,9},$E296&amp;"0123456789")),LEN($E296)*2-LENB($E296)))</f>
        <v>#VALUE!</v>
      </c>
      <c r="V296" s="33" t="str">
        <f t="shared" si="13"/>
        <v>今日累计伤害达到 [00821c]79970[-] 万</v>
      </c>
    </row>
    <row r="297" spans="1:22" s="33" customFormat="1" ht="16.5">
      <c r="A297" s="28">
        <v>10294</v>
      </c>
      <c r="B297" s="28">
        <v>91110</v>
      </c>
      <c r="C297" s="29">
        <v>0</v>
      </c>
      <c r="D297" s="30">
        <v>47</v>
      </c>
      <c r="E297" s="31" t="s">
        <v>807</v>
      </c>
      <c r="F297" s="32" t="s">
        <v>807</v>
      </c>
      <c r="G297" s="32" t="s">
        <v>11</v>
      </c>
      <c r="H297" s="32">
        <v>4</v>
      </c>
      <c r="I297" s="30" t="s">
        <v>426</v>
      </c>
      <c r="J297" s="38">
        <v>68524</v>
      </c>
      <c r="K297" s="33">
        <f t="shared" si="11"/>
        <v>120</v>
      </c>
      <c r="L297" s="33" t="str">
        <f>"1|"&amp;INDEX([1]梦魇入侵!$E$28:$Q$78,MATCH($M297,[1]梦魇入侵!$D$28:$D$78,0),MATCH($K297,[1]梦魇入侵!$E$28:$Q$28,0))</f>
        <v>1|2552100000</v>
      </c>
      <c r="M297" s="43">
        <v>90</v>
      </c>
      <c r="N297" s="33" t="str">
        <f t="shared" si="12"/>
        <v>今日累计伤害达到255210万</v>
      </c>
      <c r="O297"/>
      <c r="U297" s="33" t="e">
        <f>INT(MID($E297,MIN(FIND({0,1,2,3,4,5,6,7,8,9},$E297&amp;"0123456789")),LEN($E297)*2-LENB($E297)))</f>
        <v>#VALUE!</v>
      </c>
      <c r="V297" s="33" t="str">
        <f t="shared" si="13"/>
        <v>今日累计伤害达到 [00821c]95970[-] 万</v>
      </c>
    </row>
    <row r="298" spans="1:22" s="33" customFormat="1" ht="16.5">
      <c r="A298" s="28">
        <v>10295</v>
      </c>
      <c r="B298" s="28">
        <v>91110</v>
      </c>
      <c r="C298" s="29">
        <v>0</v>
      </c>
      <c r="D298" s="30">
        <v>49</v>
      </c>
      <c r="E298" s="31" t="s">
        <v>808</v>
      </c>
      <c r="F298" s="32" t="s">
        <v>808</v>
      </c>
      <c r="G298" s="32" t="s">
        <v>8</v>
      </c>
      <c r="H298" s="32">
        <v>4</v>
      </c>
      <c r="I298" s="30" t="s">
        <v>427</v>
      </c>
      <c r="J298" s="38">
        <v>68525</v>
      </c>
      <c r="K298" s="33">
        <f t="shared" si="11"/>
        <v>120</v>
      </c>
      <c r="L298" s="33" t="str">
        <f>"1|"&amp;INDEX([1]梦魇入侵!$E$28:$Q$78,MATCH($M298,[1]梦魇入侵!$D$28:$D$78,0),MATCH($K298,[1]梦魇入侵!$E$28:$Q$28,0))</f>
        <v>1|2722300000</v>
      </c>
      <c r="M298" s="43">
        <v>96</v>
      </c>
      <c r="N298" s="33" t="str">
        <f t="shared" si="12"/>
        <v>今日累计伤害达到272230万</v>
      </c>
      <c r="O298"/>
      <c r="U298" s="33" t="e">
        <f>INT(MID($E298,MIN(FIND({0,1,2,3,4,5,6,7,8,9},$E298&amp;"0123456789")),LEN($E298)*2-LENB($E298)))</f>
        <v>#VALUE!</v>
      </c>
      <c r="V298" s="33" t="str">
        <f t="shared" si="13"/>
        <v>今日累计伤害达到 [00821c]102360[-] 万</v>
      </c>
    </row>
    <row r="299" spans="1:22" s="33" customFormat="1" ht="16.5">
      <c r="A299" s="28">
        <v>10296</v>
      </c>
      <c r="B299" s="28">
        <v>91110</v>
      </c>
      <c r="C299" s="29">
        <v>0</v>
      </c>
      <c r="D299" s="30">
        <v>51</v>
      </c>
      <c r="E299" s="31" t="s">
        <v>809</v>
      </c>
      <c r="F299" s="32" t="s">
        <v>809</v>
      </c>
      <c r="G299" s="32" t="s">
        <v>33</v>
      </c>
      <c r="H299" s="32">
        <v>4</v>
      </c>
      <c r="I299" s="30" t="s">
        <v>428</v>
      </c>
      <c r="J299" s="38">
        <v>68526</v>
      </c>
      <c r="K299" s="33">
        <f t="shared" si="11"/>
        <v>120</v>
      </c>
      <c r="L299" s="33" t="str">
        <f>"1|"&amp;INDEX([1]梦魇入侵!$E$28:$Q$78,MATCH($M299,[1]梦魇入侵!$D$28:$D$78,0),MATCH($K299,[1]梦魇入侵!$E$28:$Q$28,0))</f>
        <v>1|2864100000</v>
      </c>
      <c r="M299" s="43">
        <v>101</v>
      </c>
      <c r="N299" s="33" t="str">
        <f t="shared" si="12"/>
        <v>今日累计伤害达到286410万</v>
      </c>
      <c r="O299"/>
      <c r="U299" s="33" t="e">
        <f>INT(MID($E299,MIN(FIND({0,1,2,3,4,5,6,7,8,9},$E299&amp;"0123456789")),LEN($E299)*2-LENB($E299)))</f>
        <v>#VALUE!</v>
      </c>
      <c r="V299" s="33" t="str">
        <f t="shared" si="13"/>
        <v>今日累计伤害达到 [00821c]107700[-] 万</v>
      </c>
    </row>
    <row r="300" spans="1:22" s="33" customFormat="1" ht="16.5">
      <c r="A300" s="28">
        <v>10297</v>
      </c>
      <c r="B300" s="28">
        <v>91110</v>
      </c>
      <c r="C300" s="29">
        <v>0</v>
      </c>
      <c r="D300" s="30">
        <v>53</v>
      </c>
      <c r="E300" s="31" t="s">
        <v>810</v>
      </c>
      <c r="F300" s="32" t="s">
        <v>810</v>
      </c>
      <c r="G300" s="32" t="s">
        <v>10</v>
      </c>
      <c r="H300" s="32">
        <v>4</v>
      </c>
      <c r="I300" s="30" t="s">
        <v>429</v>
      </c>
      <c r="J300" s="38">
        <v>68527</v>
      </c>
      <c r="K300" s="33">
        <f t="shared" si="11"/>
        <v>120</v>
      </c>
      <c r="L300" s="33" t="str">
        <f>"1|"&amp;INDEX([1]梦魇入侵!$E$28:$Q$78,MATCH($M300,[1]梦魇入侵!$D$28:$D$78,0),MATCH($K300,[1]梦魇入侵!$E$28:$Q$28,0))</f>
        <v>1|3005800000</v>
      </c>
      <c r="M300" s="43">
        <v>106</v>
      </c>
      <c r="N300" s="33" t="str">
        <f t="shared" si="12"/>
        <v>今日累计伤害达到300580万</v>
      </c>
      <c r="O300"/>
      <c r="U300" s="33" t="e">
        <f>INT(MID($E300,MIN(FIND({0,1,2,3,4,5,6,7,8,9},$E300&amp;"0123456789")),LEN($E300)*2-LENB($E300)))</f>
        <v>#VALUE!</v>
      </c>
      <c r="V300" s="33" t="str">
        <f t="shared" si="13"/>
        <v>今日累计伤害达到 [00821c]113030[-] 万</v>
      </c>
    </row>
    <row r="301" spans="1:22" s="33" customFormat="1" ht="16.5">
      <c r="A301" s="28">
        <v>10298</v>
      </c>
      <c r="B301" s="28">
        <v>91110</v>
      </c>
      <c r="C301" s="29">
        <v>0</v>
      </c>
      <c r="D301" s="30">
        <v>55</v>
      </c>
      <c r="E301" s="31" t="s">
        <v>811</v>
      </c>
      <c r="F301" s="32" t="s">
        <v>811</v>
      </c>
      <c r="G301" s="32" t="s">
        <v>34</v>
      </c>
      <c r="H301" s="32">
        <v>4</v>
      </c>
      <c r="I301" s="30" t="s">
        <v>430</v>
      </c>
      <c r="J301" s="38">
        <v>68528</v>
      </c>
      <c r="K301" s="33">
        <f t="shared" si="11"/>
        <v>120</v>
      </c>
      <c r="L301" s="33" t="str">
        <f>"1|"&amp;INDEX([1]梦魇入侵!$E$28:$Q$78,MATCH($M301,[1]梦魇入侵!$D$28:$D$78,0),MATCH($K301,[1]梦魇入侵!$E$28:$Q$28,0))</f>
        <v>1|3147600000</v>
      </c>
      <c r="M301" s="43">
        <v>111</v>
      </c>
      <c r="N301" s="33" t="str">
        <f t="shared" si="12"/>
        <v>今日累计伤害达到314760万</v>
      </c>
      <c r="O301"/>
      <c r="U301" s="33" t="e">
        <f>INT(MID($E301,MIN(FIND({0,1,2,3,4,5,6,7,8,9},$E301&amp;"0123456789")),LEN($E301)*2-LENB($E301)))</f>
        <v>#VALUE!</v>
      </c>
      <c r="V301" s="33" t="str">
        <f t="shared" si="13"/>
        <v>今日累计伤害达到 [00821c]118360[-] 万</v>
      </c>
    </row>
    <row r="302" spans="1:22" s="33" customFormat="1" ht="16.5">
      <c r="A302" s="28">
        <v>10299</v>
      </c>
      <c r="B302" s="28">
        <v>91110</v>
      </c>
      <c r="C302" s="29">
        <v>0</v>
      </c>
      <c r="D302" s="30">
        <v>57</v>
      </c>
      <c r="E302" s="31" t="s">
        <v>812</v>
      </c>
      <c r="F302" s="32" t="s">
        <v>812</v>
      </c>
      <c r="G302" s="32" t="s">
        <v>19</v>
      </c>
      <c r="H302" s="32">
        <v>4</v>
      </c>
      <c r="I302" s="30" t="s">
        <v>431</v>
      </c>
      <c r="J302" s="38">
        <v>68529</v>
      </c>
      <c r="K302" s="33">
        <f t="shared" si="11"/>
        <v>120</v>
      </c>
      <c r="L302" s="33" t="str">
        <f>"1|"&amp;INDEX([1]梦魇入侵!$E$28:$Q$78,MATCH($M302,[1]梦魇入侵!$D$28:$D$78,0),MATCH($K302,[1]梦魇入侵!$E$28:$Q$28,0))</f>
        <v>1|3289400000</v>
      </c>
      <c r="M302" s="43">
        <v>116</v>
      </c>
      <c r="N302" s="33" t="str">
        <f t="shared" si="12"/>
        <v>今日累计伤害达到328940万</v>
      </c>
      <c r="O302"/>
      <c r="U302" s="33" t="e">
        <f>INT(MID($E302,MIN(FIND({0,1,2,3,4,5,6,7,8,9},$E302&amp;"0123456789")),LEN($E302)*2-LENB($E302)))</f>
        <v>#VALUE!</v>
      </c>
      <c r="V302" s="33" t="str">
        <f t="shared" si="13"/>
        <v>今日累计伤害达到 [00821c]123690[-] 万</v>
      </c>
    </row>
    <row r="303" spans="1:22" s="33" customFormat="1" ht="16.5">
      <c r="A303" s="28">
        <v>10300</v>
      </c>
      <c r="B303" s="28">
        <v>91110</v>
      </c>
      <c r="C303" s="29">
        <v>0</v>
      </c>
      <c r="D303" s="30">
        <v>59</v>
      </c>
      <c r="E303" s="31" t="s">
        <v>813</v>
      </c>
      <c r="F303" s="32" t="s">
        <v>813</v>
      </c>
      <c r="G303" s="32" t="s">
        <v>35</v>
      </c>
      <c r="H303" s="32">
        <v>4</v>
      </c>
      <c r="I303" s="30" t="s">
        <v>432</v>
      </c>
      <c r="J303" s="38">
        <v>68530</v>
      </c>
      <c r="K303" s="33">
        <f t="shared" si="11"/>
        <v>120</v>
      </c>
      <c r="L303" s="33" t="str">
        <f>"1|"&amp;INDEX([1]梦魇入侵!$E$28:$Q$78,MATCH($M303,[1]梦魇入侵!$D$28:$D$78,0),MATCH($K303,[1]梦魇入侵!$E$28:$Q$28,0))</f>
        <v>1|3431200000</v>
      </c>
      <c r="M303" s="43">
        <v>121</v>
      </c>
      <c r="N303" s="33" t="str">
        <f t="shared" si="12"/>
        <v>今日累计伤害达到343120万</v>
      </c>
      <c r="O303"/>
      <c r="U303" s="33" t="e">
        <f>INT(MID($E303,MIN(FIND({0,1,2,3,4,5,6,7,8,9},$E303&amp;"0123456789")),LEN($E303)*2-LENB($E303)))</f>
        <v>#VALUE!</v>
      </c>
      <c r="V303" s="33" t="str">
        <f t="shared" si="13"/>
        <v>今日累计伤害达到 [00821c]129020[-] 万</v>
      </c>
    </row>
    <row r="304" spans="1:22" ht="16.5">
      <c r="A304" s="2">
        <v>10301</v>
      </c>
      <c r="B304" s="2">
        <v>91111</v>
      </c>
      <c r="C304" s="25">
        <v>0</v>
      </c>
      <c r="D304" s="10">
        <v>1</v>
      </c>
      <c r="E304" s="14" t="s">
        <v>814</v>
      </c>
      <c r="F304" s="20" t="s">
        <v>814</v>
      </c>
      <c r="G304" s="20" t="s">
        <v>90</v>
      </c>
      <c r="H304" s="20">
        <v>1</v>
      </c>
      <c r="I304" s="10" t="s">
        <v>433</v>
      </c>
      <c r="J304" s="36">
        <v>68501</v>
      </c>
      <c r="K304">
        <f t="shared" si="11"/>
        <v>130</v>
      </c>
      <c r="L304" t="str">
        <f>"1|"&amp;INDEX([1]梦魇入侵!$E$28:$Q$78,MATCH($M304,[1]梦魇入侵!$D$28:$D$78,0),MATCH($K304,[1]梦魇入侵!$E$28:$Q$28,0))</f>
        <v>1|30700000</v>
      </c>
      <c r="M304" s="42">
        <v>1</v>
      </c>
      <c r="N304" t="str">
        <f t="shared" si="12"/>
        <v>今日累计伤害达到3070万</v>
      </c>
      <c r="U304" t="e">
        <f>INT(MID($E304,MIN(FIND({0,1,2,3,4,5,6,7,8,9},$E304&amp;"0123456789")),LEN($E304)*2-LENB($E304)))</f>
        <v>#VALUE!</v>
      </c>
      <c r="V304" t="str">
        <f t="shared" si="13"/>
        <v>今日累计伤害达到 [00821c]1150[-] 万</v>
      </c>
    </row>
    <row r="305" spans="1:22" ht="16.5">
      <c r="A305" s="2">
        <v>10302</v>
      </c>
      <c r="B305" s="2">
        <v>91111</v>
      </c>
      <c r="C305" s="25">
        <v>0</v>
      </c>
      <c r="D305" s="10">
        <v>3</v>
      </c>
      <c r="E305" s="14" t="s">
        <v>815</v>
      </c>
      <c r="F305" s="20" t="s">
        <v>815</v>
      </c>
      <c r="G305" s="20" t="s">
        <v>1</v>
      </c>
      <c r="H305" s="20">
        <v>1</v>
      </c>
      <c r="I305" s="10" t="s">
        <v>434</v>
      </c>
      <c r="J305" s="36">
        <v>68502</v>
      </c>
      <c r="K305">
        <f t="shared" si="11"/>
        <v>130</v>
      </c>
      <c r="L305" t="str">
        <f>"1|"&amp;INDEX([1]梦魇入侵!$E$28:$Q$78,MATCH($M305,[1]梦魇入侵!$D$28:$D$78,0),MATCH($K305,[1]梦魇入侵!$E$28:$Q$28,0))</f>
        <v>1|61400000</v>
      </c>
      <c r="M305" s="42">
        <v>2</v>
      </c>
      <c r="N305" t="str">
        <f t="shared" si="12"/>
        <v>今日累计伤害达到6140万</v>
      </c>
      <c r="U305" t="e">
        <f>INT(MID($E305,MIN(FIND({0,1,2,3,4,5,6,7,8,9},$E305&amp;"0123456789")),LEN($E305)*2-LENB($E305)))</f>
        <v>#VALUE!</v>
      </c>
      <c r="V305" t="str">
        <f t="shared" si="13"/>
        <v>今日累计伤害达到 [00821c]2310[-] 万</v>
      </c>
    </row>
    <row r="306" spans="1:22" ht="16.5">
      <c r="A306" s="2">
        <v>10303</v>
      </c>
      <c r="B306" s="2">
        <v>91111</v>
      </c>
      <c r="C306" s="25">
        <v>0</v>
      </c>
      <c r="D306" s="10">
        <v>5</v>
      </c>
      <c r="E306" s="14" t="s">
        <v>816</v>
      </c>
      <c r="F306" s="20" t="s">
        <v>816</v>
      </c>
      <c r="G306" s="20" t="s">
        <v>2</v>
      </c>
      <c r="H306" s="20">
        <v>1</v>
      </c>
      <c r="I306" s="10" t="s">
        <v>435</v>
      </c>
      <c r="J306" s="36">
        <v>68503</v>
      </c>
      <c r="K306">
        <f t="shared" si="11"/>
        <v>130</v>
      </c>
      <c r="L306" t="str">
        <f>"1|"&amp;INDEX([1]梦魇入侵!$E$28:$Q$78,MATCH($M306,[1]梦魇入侵!$D$28:$D$78,0),MATCH($K306,[1]梦魇入侵!$E$28:$Q$28,0))</f>
        <v>1|92100000</v>
      </c>
      <c r="M306" s="42">
        <v>3</v>
      </c>
      <c r="N306" t="str">
        <f t="shared" si="12"/>
        <v>今日累计伤害达到9210万</v>
      </c>
      <c r="U306" t="e">
        <f>INT(MID($E306,MIN(FIND({0,1,2,3,4,5,6,7,8,9},$E306&amp;"0123456789")),LEN($E306)*2-LENB($E306)))</f>
        <v>#VALUE!</v>
      </c>
      <c r="V306" t="str">
        <f t="shared" si="13"/>
        <v>今日累计伤害达到 [00821c]3460[-] 万</v>
      </c>
    </row>
    <row r="307" spans="1:22" ht="16.5">
      <c r="A307" s="2">
        <v>10304</v>
      </c>
      <c r="B307" s="2">
        <v>91111</v>
      </c>
      <c r="C307" s="25">
        <v>0</v>
      </c>
      <c r="D307" s="10">
        <v>7</v>
      </c>
      <c r="E307" s="14" t="s">
        <v>817</v>
      </c>
      <c r="F307" s="20" t="s">
        <v>817</v>
      </c>
      <c r="G307" s="20" t="s">
        <v>12</v>
      </c>
      <c r="H307" s="20">
        <v>1</v>
      </c>
      <c r="I307" s="10" t="s">
        <v>436</v>
      </c>
      <c r="J307" s="36">
        <v>68504</v>
      </c>
      <c r="K307">
        <f t="shared" si="11"/>
        <v>130</v>
      </c>
      <c r="L307" t="str">
        <f>"1|"&amp;INDEX([1]梦魇入侵!$E$28:$Q$78,MATCH($M307,[1]梦魇入侵!$D$28:$D$78,0),MATCH($K307,[1]梦魇入侵!$E$28:$Q$28,0))</f>
        <v>1|153500000</v>
      </c>
      <c r="M307" s="42">
        <v>5</v>
      </c>
      <c r="N307" t="str">
        <f t="shared" si="12"/>
        <v>今日累计伤害达到15350万</v>
      </c>
      <c r="U307" t="e">
        <f>INT(MID($E307,MIN(FIND({0,1,2,3,4,5,6,7,8,9},$E307&amp;"0123456789")),LEN($E307)*2-LENB($E307)))</f>
        <v>#VALUE!</v>
      </c>
      <c r="V307" t="str">
        <f t="shared" si="13"/>
        <v>今日累计伤害达到 [00821c]5770[-] 万</v>
      </c>
    </row>
    <row r="308" spans="1:22" ht="16.5">
      <c r="A308" s="2">
        <v>10305</v>
      </c>
      <c r="B308" s="2">
        <v>91111</v>
      </c>
      <c r="C308" s="25">
        <v>0</v>
      </c>
      <c r="D308" s="10">
        <v>9</v>
      </c>
      <c r="E308" s="14" t="s">
        <v>818</v>
      </c>
      <c r="F308" s="20" t="s">
        <v>818</v>
      </c>
      <c r="G308" s="20" t="s">
        <v>22</v>
      </c>
      <c r="H308" s="20">
        <v>1</v>
      </c>
      <c r="I308" s="10" t="s">
        <v>437</v>
      </c>
      <c r="J308" s="36">
        <v>68505</v>
      </c>
      <c r="K308">
        <f t="shared" si="11"/>
        <v>130</v>
      </c>
      <c r="L308" t="str">
        <f>"1|"&amp;INDEX([1]梦魇入侵!$E$28:$Q$78,MATCH($M308,[1]梦魇入侵!$D$28:$D$78,0),MATCH($K308,[1]梦魇入侵!$E$28:$Q$28,0))</f>
        <v>1|184200000</v>
      </c>
      <c r="M308" s="42">
        <v>6</v>
      </c>
      <c r="N308" t="str">
        <f t="shared" si="12"/>
        <v>今日累计伤害达到18420万</v>
      </c>
      <c r="U308" t="e">
        <f>INT(MID($E308,MIN(FIND({0,1,2,3,4,5,6,7,8,9},$E308&amp;"0123456789")),LEN($E308)*2-LENB($E308)))</f>
        <v>#VALUE!</v>
      </c>
      <c r="V308" t="str">
        <f t="shared" si="13"/>
        <v>今日累计伤害达到 [00821c]6920[-] 万</v>
      </c>
    </row>
    <row r="309" spans="1:22" ht="16.5">
      <c r="A309" s="2">
        <v>10306</v>
      </c>
      <c r="B309" s="2">
        <v>91111</v>
      </c>
      <c r="C309" s="25">
        <v>0</v>
      </c>
      <c r="D309" s="10">
        <v>11</v>
      </c>
      <c r="E309" s="14" t="s">
        <v>819</v>
      </c>
      <c r="F309" s="20" t="s">
        <v>819</v>
      </c>
      <c r="G309" s="20" t="s">
        <v>3</v>
      </c>
      <c r="H309" s="20">
        <v>1</v>
      </c>
      <c r="I309" s="10" t="s">
        <v>438</v>
      </c>
      <c r="J309" s="36">
        <v>68506</v>
      </c>
      <c r="K309">
        <f t="shared" si="11"/>
        <v>130</v>
      </c>
      <c r="L309" t="str">
        <f>"1|"&amp;INDEX([1]梦魇入侵!$E$28:$Q$78,MATCH($M309,[1]梦魇入侵!$D$28:$D$78,0),MATCH($K309,[1]梦魇入侵!$E$28:$Q$28,0))</f>
        <v>1|245600000</v>
      </c>
      <c r="M309" s="42">
        <v>8</v>
      </c>
      <c r="N309" t="str">
        <f t="shared" si="12"/>
        <v>今日累计伤害达到24560万</v>
      </c>
      <c r="U309" t="e">
        <f>INT(MID($E309,MIN(FIND({0,1,2,3,4,5,6,7,8,9},$E309&amp;"0123456789")),LEN($E309)*2-LENB($E309)))</f>
        <v>#VALUE!</v>
      </c>
      <c r="V309" t="str">
        <f t="shared" si="13"/>
        <v>今日累计伤害达到 [00821c]9230[-] 万</v>
      </c>
    </row>
    <row r="310" spans="1:22" ht="16.5">
      <c r="A310" s="2">
        <v>10307</v>
      </c>
      <c r="B310" s="2">
        <v>91111</v>
      </c>
      <c r="C310" s="25">
        <v>0</v>
      </c>
      <c r="D310" s="10">
        <v>13</v>
      </c>
      <c r="E310" s="14" t="s">
        <v>820</v>
      </c>
      <c r="F310" s="20" t="s">
        <v>820</v>
      </c>
      <c r="G310" s="20" t="s">
        <v>23</v>
      </c>
      <c r="H310" s="20">
        <v>2</v>
      </c>
      <c r="I310" s="10" t="s">
        <v>439</v>
      </c>
      <c r="J310" s="36">
        <v>68507</v>
      </c>
      <c r="K310">
        <f t="shared" si="11"/>
        <v>130</v>
      </c>
      <c r="L310" t="str">
        <f>"1|"&amp;INDEX([1]梦魇入侵!$E$28:$Q$78,MATCH($M310,[1]梦魇入侵!$D$28:$D$78,0),MATCH($K310,[1]梦魇入侵!$E$28:$Q$28,0))</f>
        <v>1|337700000</v>
      </c>
      <c r="M310" s="42">
        <v>11</v>
      </c>
      <c r="N310" t="str">
        <f t="shared" si="12"/>
        <v>今日累计伤害达到33770万</v>
      </c>
      <c r="U310" t="e">
        <f>INT(MID($E310,MIN(FIND({0,1,2,3,4,5,6,7,8,9},$E310&amp;"0123456789")),LEN($E310)*2-LENB($E310)))</f>
        <v>#VALUE!</v>
      </c>
      <c r="V310" t="str">
        <f t="shared" si="13"/>
        <v>今日累计伤害达到 [00821c]12690[-] 万</v>
      </c>
    </row>
    <row r="311" spans="1:22" ht="16.5">
      <c r="A311" s="2">
        <v>10308</v>
      </c>
      <c r="B311" s="2">
        <v>91111</v>
      </c>
      <c r="C311" s="25">
        <v>0</v>
      </c>
      <c r="D311" s="10">
        <v>15</v>
      </c>
      <c r="E311" s="14" t="s">
        <v>821</v>
      </c>
      <c r="F311" s="20" t="s">
        <v>821</v>
      </c>
      <c r="G311" s="20" t="s">
        <v>9</v>
      </c>
      <c r="H311" s="20">
        <v>2</v>
      </c>
      <c r="I311" s="10" t="s">
        <v>440</v>
      </c>
      <c r="J311" s="36">
        <v>68508</v>
      </c>
      <c r="K311">
        <f t="shared" si="11"/>
        <v>130</v>
      </c>
      <c r="L311" t="str">
        <f>"1|"&amp;INDEX([1]梦魇入侵!$E$28:$Q$78,MATCH($M311,[1]梦魇入侵!$D$28:$D$78,0),MATCH($K311,[1]梦魇入侵!$E$28:$Q$28,0))</f>
        <v>1|429800000</v>
      </c>
      <c r="M311" s="42">
        <v>14</v>
      </c>
      <c r="N311" t="str">
        <f t="shared" si="12"/>
        <v>今日累计伤害达到42980万</v>
      </c>
      <c r="U311" t="e">
        <f>INT(MID($E311,MIN(FIND({0,1,2,3,4,5,6,7,8,9},$E311&amp;"0123456789")),LEN($E311)*2-LENB($E311)))</f>
        <v>#VALUE!</v>
      </c>
      <c r="V311" t="str">
        <f t="shared" si="13"/>
        <v>今日累计伤害达到 [00821c]16150[-] 万</v>
      </c>
    </row>
    <row r="312" spans="1:22" ht="16.5">
      <c r="A312" s="2">
        <v>10309</v>
      </c>
      <c r="B312" s="2">
        <v>91111</v>
      </c>
      <c r="C312" s="25">
        <v>0</v>
      </c>
      <c r="D312" s="10">
        <v>17</v>
      </c>
      <c r="E312" s="14" t="s">
        <v>822</v>
      </c>
      <c r="F312" s="20" t="s">
        <v>822</v>
      </c>
      <c r="G312" s="20" t="s">
        <v>5</v>
      </c>
      <c r="H312" s="20">
        <v>2</v>
      </c>
      <c r="I312" s="10" t="s">
        <v>441</v>
      </c>
      <c r="J312" s="36">
        <v>68509</v>
      </c>
      <c r="K312">
        <f t="shared" si="11"/>
        <v>130</v>
      </c>
      <c r="L312" t="str">
        <f>"1|"&amp;INDEX([1]梦魇入侵!$E$28:$Q$78,MATCH($M312,[1]梦魇入侵!$D$28:$D$78,0),MATCH($K312,[1]梦魇入侵!$E$28:$Q$28,0))</f>
        <v>1|491200000</v>
      </c>
      <c r="M312" s="42">
        <v>16</v>
      </c>
      <c r="N312" t="str">
        <f t="shared" si="12"/>
        <v>今日累计伤害达到49120万</v>
      </c>
      <c r="U312" t="e">
        <f>INT(MID($E312,MIN(FIND({0,1,2,3,4,5,6,7,8,9},$E312&amp;"0123456789")),LEN($E312)*2-LENB($E312)))</f>
        <v>#VALUE!</v>
      </c>
      <c r="V312" t="str">
        <f t="shared" si="13"/>
        <v>今日累计伤害达到 [00821c]18450[-] 万</v>
      </c>
    </row>
    <row r="313" spans="1:22" ht="16.5">
      <c r="A313" s="2">
        <v>10310</v>
      </c>
      <c r="B313" s="2">
        <v>91111</v>
      </c>
      <c r="C313" s="25">
        <v>0</v>
      </c>
      <c r="D313" s="10">
        <v>19</v>
      </c>
      <c r="E313" s="14" t="s">
        <v>823</v>
      </c>
      <c r="F313" s="20" t="s">
        <v>823</v>
      </c>
      <c r="G313" s="20" t="s">
        <v>24</v>
      </c>
      <c r="H313" s="20">
        <v>2</v>
      </c>
      <c r="I313" s="10" t="s">
        <v>442</v>
      </c>
      <c r="J313" s="36">
        <v>68510</v>
      </c>
      <c r="K313">
        <f t="shared" si="11"/>
        <v>130</v>
      </c>
      <c r="L313" t="str">
        <f>"1|"&amp;INDEX([1]梦魇入侵!$E$28:$Q$78,MATCH($M313,[1]梦魇入侵!$D$28:$D$78,0),MATCH($K313,[1]梦魇入侵!$E$28:$Q$28,0))</f>
        <v>1|583300000</v>
      </c>
      <c r="M313" s="42">
        <v>19</v>
      </c>
      <c r="N313" t="str">
        <f t="shared" si="12"/>
        <v>今日累计伤害达到58330万</v>
      </c>
      <c r="U313" t="e">
        <f>INT(MID($E313,MIN(FIND({0,1,2,3,4,5,6,7,8,9},$E313&amp;"0123456789")),LEN($E313)*2-LENB($E313)))</f>
        <v>#VALUE!</v>
      </c>
      <c r="V313" t="str">
        <f t="shared" si="13"/>
        <v>今日累计伤害达到 [00821c]21910[-] 万</v>
      </c>
    </row>
    <row r="314" spans="1:22" ht="16.5">
      <c r="A314" s="2">
        <v>10311</v>
      </c>
      <c r="B314" s="2">
        <v>91111</v>
      </c>
      <c r="C314" s="25">
        <v>0</v>
      </c>
      <c r="D314" s="10">
        <v>21</v>
      </c>
      <c r="E314" s="14" t="s">
        <v>824</v>
      </c>
      <c r="F314" s="20" t="s">
        <v>824</v>
      </c>
      <c r="G314" s="20" t="s">
        <v>27</v>
      </c>
      <c r="H314" s="20">
        <v>2</v>
      </c>
      <c r="I314" s="10" t="s">
        <v>443</v>
      </c>
      <c r="J314" s="36">
        <v>68511</v>
      </c>
      <c r="K314">
        <f t="shared" si="11"/>
        <v>130</v>
      </c>
      <c r="L314" t="str">
        <f>"1|"&amp;INDEX([1]梦魇入侵!$E$28:$Q$78,MATCH($M314,[1]梦魇入侵!$D$28:$D$78,0),MATCH($K314,[1]梦魇入侵!$E$28:$Q$28,0))</f>
        <v>1|644700000</v>
      </c>
      <c r="M314" s="42">
        <v>21</v>
      </c>
      <c r="N314" t="str">
        <f t="shared" si="12"/>
        <v>今日累计伤害达到64470万</v>
      </c>
      <c r="U314" t="e">
        <f>INT(MID($E314,MIN(FIND({0,1,2,3,4,5,6,7,8,9},$E314&amp;"0123456789")),LEN($E314)*2-LENB($E314)))</f>
        <v>#VALUE!</v>
      </c>
      <c r="V314" t="str">
        <f t="shared" si="13"/>
        <v>今日累计伤害达到 [00821c]24220[-] 万</v>
      </c>
    </row>
    <row r="315" spans="1:22" ht="16.5">
      <c r="A315" s="2">
        <v>10312</v>
      </c>
      <c r="B315" s="2">
        <v>91111</v>
      </c>
      <c r="C315" s="25">
        <v>0</v>
      </c>
      <c r="D315" s="10">
        <v>23</v>
      </c>
      <c r="E315" s="14" t="s">
        <v>825</v>
      </c>
      <c r="F315" s="20" t="s">
        <v>825</v>
      </c>
      <c r="G315" s="20" t="s">
        <v>6</v>
      </c>
      <c r="H315" s="20">
        <v>3</v>
      </c>
      <c r="I315" s="10" t="s">
        <v>444</v>
      </c>
      <c r="J315" s="36">
        <v>68512</v>
      </c>
      <c r="K315">
        <f t="shared" si="11"/>
        <v>130</v>
      </c>
      <c r="L315" t="str">
        <f>"1|"&amp;INDEX([1]梦魇入侵!$E$28:$Q$78,MATCH($M315,[1]梦魇入侵!$D$28:$D$78,0),MATCH($K315,[1]梦魇入侵!$E$28:$Q$28,0))</f>
        <v>1|736800000</v>
      </c>
      <c r="M315" s="42">
        <v>24</v>
      </c>
      <c r="N315" t="str">
        <f t="shared" si="12"/>
        <v>今日累计伤害达到73680万</v>
      </c>
      <c r="U315" t="e">
        <f>INT(MID($E315,MIN(FIND({0,1,2,3,4,5,6,7,8,9},$E315&amp;"0123456789")),LEN($E315)*2-LENB($E315)))</f>
        <v>#VALUE!</v>
      </c>
      <c r="V315" t="str">
        <f t="shared" si="13"/>
        <v>今日累计伤害达到 [00821c]27680[-] 万</v>
      </c>
    </row>
    <row r="316" spans="1:22" ht="16.5">
      <c r="A316" s="2">
        <v>10313</v>
      </c>
      <c r="B316" s="2">
        <v>91111</v>
      </c>
      <c r="C316" s="25">
        <v>0</v>
      </c>
      <c r="D316" s="10">
        <v>25</v>
      </c>
      <c r="E316" s="14" t="s">
        <v>826</v>
      </c>
      <c r="F316" s="20" t="s">
        <v>826</v>
      </c>
      <c r="G316" s="20" t="s">
        <v>4</v>
      </c>
      <c r="H316" s="20">
        <v>3</v>
      </c>
      <c r="I316" s="10" t="s">
        <v>445</v>
      </c>
      <c r="J316" s="36">
        <v>68513</v>
      </c>
      <c r="K316">
        <f t="shared" si="11"/>
        <v>130</v>
      </c>
      <c r="L316" t="str">
        <f>"1|"&amp;INDEX([1]梦魇入侵!$E$28:$Q$78,MATCH($M316,[1]梦魇入侵!$D$28:$D$78,0),MATCH($K316,[1]梦魇入侵!$E$28:$Q$28,0))</f>
        <v>1|798300000</v>
      </c>
      <c r="M316" s="42">
        <v>26</v>
      </c>
      <c r="N316" t="str">
        <f t="shared" si="12"/>
        <v>今日累计伤害达到79830万</v>
      </c>
      <c r="U316" t="e">
        <f>INT(MID($E316,MIN(FIND({0,1,2,3,4,5,6,7,8,9},$E316&amp;"0123456789")),LEN($E316)*2-LENB($E316)))</f>
        <v>#VALUE!</v>
      </c>
      <c r="V316" t="str">
        <f t="shared" si="13"/>
        <v>今日累计伤害达到 [00821c]29990[-] 万</v>
      </c>
    </row>
    <row r="317" spans="1:22" ht="16.5">
      <c r="A317" s="2">
        <v>10314</v>
      </c>
      <c r="B317" s="2">
        <v>91111</v>
      </c>
      <c r="C317" s="25">
        <v>0</v>
      </c>
      <c r="D317" s="10">
        <v>27</v>
      </c>
      <c r="E317" s="14" t="s">
        <v>827</v>
      </c>
      <c r="F317" s="20" t="s">
        <v>827</v>
      </c>
      <c r="G317" s="20" t="s">
        <v>25</v>
      </c>
      <c r="H317" s="20">
        <v>3</v>
      </c>
      <c r="I317" s="10" t="s">
        <v>446</v>
      </c>
      <c r="J317" s="36">
        <v>68514</v>
      </c>
      <c r="K317">
        <f t="shared" si="11"/>
        <v>130</v>
      </c>
      <c r="L317" t="str">
        <f>"1|"&amp;INDEX([1]梦魇入侵!$E$28:$Q$78,MATCH($M317,[1]梦魇入侵!$D$28:$D$78,0),MATCH($K317,[1]梦魇入侵!$E$28:$Q$28,0))</f>
        <v>1|890400000</v>
      </c>
      <c r="M317" s="42">
        <v>29</v>
      </c>
      <c r="N317" t="str">
        <f t="shared" si="12"/>
        <v>今日累计伤害达到89040万</v>
      </c>
      <c r="U317" t="e">
        <f>INT(MID($E317,MIN(FIND({0,1,2,3,4,5,6,7,8,9},$E317&amp;"0123456789")),LEN($E317)*2-LENB($E317)))</f>
        <v>#VALUE!</v>
      </c>
      <c r="V317" t="str">
        <f t="shared" si="13"/>
        <v>今日累计伤害达到 [00821c]33450[-] 万</v>
      </c>
    </row>
    <row r="318" spans="1:22" ht="16.5">
      <c r="A318" s="2">
        <v>10315</v>
      </c>
      <c r="B318" s="2">
        <v>91111</v>
      </c>
      <c r="C318" s="25">
        <v>0</v>
      </c>
      <c r="D318" s="10">
        <v>29</v>
      </c>
      <c r="E318" s="14" t="s">
        <v>828</v>
      </c>
      <c r="F318" s="20" t="s">
        <v>828</v>
      </c>
      <c r="G318" s="20" t="s">
        <v>26</v>
      </c>
      <c r="H318" s="20">
        <v>3</v>
      </c>
      <c r="I318" s="10" t="s">
        <v>447</v>
      </c>
      <c r="J318" s="36">
        <v>68515</v>
      </c>
      <c r="K318">
        <f t="shared" si="11"/>
        <v>130</v>
      </c>
      <c r="L318" t="str">
        <f>"1|"&amp;INDEX([1]梦魇入侵!$E$28:$Q$78,MATCH($M318,[1]梦魇入侵!$D$28:$D$78,0),MATCH($K318,[1]梦魇入侵!$E$28:$Q$28,0))</f>
        <v>1|1043900000</v>
      </c>
      <c r="M318" s="42">
        <v>34</v>
      </c>
      <c r="N318" t="str">
        <f t="shared" si="12"/>
        <v>今日累计伤害达到104390万</v>
      </c>
      <c r="U318" t="e">
        <f>INT(MID($E318,MIN(FIND({0,1,2,3,4,5,6,7,8,9},$E318&amp;"0123456789")),LEN($E318)*2-LENB($E318)))</f>
        <v>#VALUE!</v>
      </c>
      <c r="V318" t="str">
        <f t="shared" si="13"/>
        <v>今日累计伤害达到 [00821c]39210[-] 万</v>
      </c>
    </row>
    <row r="319" spans="1:22" ht="16.5">
      <c r="A319" s="2">
        <v>10316</v>
      </c>
      <c r="B319" s="2">
        <v>91111</v>
      </c>
      <c r="C319" s="25">
        <v>0</v>
      </c>
      <c r="D319" s="10">
        <v>31</v>
      </c>
      <c r="E319" s="14" t="s">
        <v>829</v>
      </c>
      <c r="F319" s="20" t="s">
        <v>829</v>
      </c>
      <c r="G319" s="20" t="s">
        <v>7</v>
      </c>
      <c r="H319" s="20">
        <v>3</v>
      </c>
      <c r="I319" s="10" t="s">
        <v>448</v>
      </c>
      <c r="J319" s="36">
        <v>68516</v>
      </c>
      <c r="K319">
        <f t="shared" si="11"/>
        <v>130</v>
      </c>
      <c r="L319" t="str">
        <f>"1|"&amp;INDEX([1]梦魇入侵!$E$28:$Q$78,MATCH($M319,[1]梦魇入侵!$D$28:$D$78,0),MATCH($K319,[1]梦魇入侵!$E$28:$Q$28,0))</f>
        <v>1|1197400000</v>
      </c>
      <c r="M319" s="42">
        <v>39</v>
      </c>
      <c r="N319" t="str">
        <f t="shared" si="12"/>
        <v>今日累计伤害达到119740万</v>
      </c>
      <c r="U319" t="e">
        <f>INT(MID($E319,MIN(FIND({0,1,2,3,4,5,6,7,8,9},$E319&amp;"0123456789")),LEN($E319)*2-LENB($E319)))</f>
        <v>#VALUE!</v>
      </c>
      <c r="V319" t="str">
        <f t="shared" si="13"/>
        <v>今日累计伤害达到 [00821c]44980[-] 万</v>
      </c>
    </row>
    <row r="320" spans="1:22" ht="16.5">
      <c r="A320" s="2">
        <v>10317</v>
      </c>
      <c r="B320" s="2">
        <v>91111</v>
      </c>
      <c r="C320" s="25">
        <v>0</v>
      </c>
      <c r="D320" s="10">
        <v>33</v>
      </c>
      <c r="E320" s="14" t="s">
        <v>830</v>
      </c>
      <c r="F320" s="20" t="s">
        <v>830</v>
      </c>
      <c r="G320" s="20" t="s">
        <v>1</v>
      </c>
      <c r="H320" s="20">
        <v>3</v>
      </c>
      <c r="I320" s="10" t="s">
        <v>449</v>
      </c>
      <c r="J320" s="36">
        <v>68517</v>
      </c>
      <c r="K320">
        <f t="shared" si="11"/>
        <v>130</v>
      </c>
      <c r="L320" t="str">
        <f>"1|"&amp;INDEX([1]梦魇入侵!$E$28:$Q$78,MATCH($M320,[1]梦魇入侵!$D$28:$D$78,0),MATCH($K320,[1]梦魇入侵!$E$28:$Q$28,0))</f>
        <v>1|1350900000</v>
      </c>
      <c r="M320" s="42">
        <v>44</v>
      </c>
      <c r="N320" t="str">
        <f t="shared" si="12"/>
        <v>今日累计伤害达到135090万</v>
      </c>
      <c r="U320" t="e">
        <f>INT(MID($E320,MIN(FIND({0,1,2,3,4,5,6,7,8,9},$E320&amp;"0123456789")),LEN($E320)*2-LENB($E320)))</f>
        <v>#VALUE!</v>
      </c>
      <c r="V320" t="str">
        <f t="shared" si="13"/>
        <v>今日累计伤害达到 [00821c]50750[-] 万</v>
      </c>
    </row>
    <row r="321" spans="1:22" ht="16.5">
      <c r="A321" s="2">
        <v>10318</v>
      </c>
      <c r="B321" s="2">
        <v>91111</v>
      </c>
      <c r="C321" s="25">
        <v>0</v>
      </c>
      <c r="D321" s="10">
        <v>35</v>
      </c>
      <c r="E321" s="14" t="s">
        <v>831</v>
      </c>
      <c r="F321" s="20" t="s">
        <v>831</v>
      </c>
      <c r="G321" s="20" t="s">
        <v>27</v>
      </c>
      <c r="H321" s="20">
        <v>4</v>
      </c>
      <c r="I321" s="10" t="s">
        <v>450</v>
      </c>
      <c r="J321" s="36">
        <v>68518</v>
      </c>
      <c r="K321">
        <f t="shared" ref="K321:K384" si="14">K291+10</f>
        <v>130</v>
      </c>
      <c r="L321" t="str">
        <f>"1|"&amp;INDEX([1]梦魇入侵!$E$28:$Q$78,MATCH($M321,[1]梦魇入侵!$D$28:$D$78,0),MATCH($K321,[1]梦魇入侵!$E$28:$Q$28,0))</f>
        <v>1|1504400000</v>
      </c>
      <c r="M321" s="42">
        <v>49</v>
      </c>
      <c r="N321" t="str">
        <f t="shared" si="12"/>
        <v>今日累计伤害达到150440万</v>
      </c>
      <c r="U321" t="e">
        <f>INT(MID($E321,MIN(FIND({0,1,2,3,4,5,6,7,8,9},$E321&amp;"0123456789")),LEN($E321)*2-LENB($E321)))</f>
        <v>#VALUE!</v>
      </c>
      <c r="V321" t="str">
        <f t="shared" si="13"/>
        <v>今日累计伤害达到 [00821c]56510[-] 万</v>
      </c>
    </row>
    <row r="322" spans="1:22" ht="16.5">
      <c r="A322" s="2">
        <v>10319</v>
      </c>
      <c r="B322" s="2">
        <v>91111</v>
      </c>
      <c r="C322" s="25">
        <v>0</v>
      </c>
      <c r="D322" s="10">
        <v>37</v>
      </c>
      <c r="E322" s="14" t="s">
        <v>832</v>
      </c>
      <c r="F322" s="20" t="s">
        <v>832</v>
      </c>
      <c r="G322" s="20" t="s">
        <v>28</v>
      </c>
      <c r="H322" s="20">
        <v>4</v>
      </c>
      <c r="I322" s="10" t="s">
        <v>451</v>
      </c>
      <c r="J322" s="36">
        <v>68519</v>
      </c>
      <c r="K322">
        <f t="shared" si="14"/>
        <v>130</v>
      </c>
      <c r="L322" t="str">
        <f>"1|"&amp;INDEX([1]梦魇入侵!$E$28:$Q$78,MATCH($M322,[1]梦魇入侵!$D$28:$D$78,0),MATCH($K322,[1]梦魇入侵!$E$28:$Q$28,0))</f>
        <v>1|1688600000</v>
      </c>
      <c r="M322" s="42">
        <v>55</v>
      </c>
      <c r="N322" t="str">
        <f t="shared" si="12"/>
        <v>今日累计伤害达到168860万</v>
      </c>
      <c r="U322" t="e">
        <f>INT(MID($E322,MIN(FIND({0,1,2,3,4,5,6,7,8,9},$E322&amp;"0123456789")),LEN($E322)*2-LENB($E322)))</f>
        <v>#VALUE!</v>
      </c>
      <c r="V322" t="str">
        <f t="shared" si="13"/>
        <v>今日累计伤害达到 [00821c]63430[-] 万</v>
      </c>
    </row>
    <row r="323" spans="1:22" ht="16.5">
      <c r="A323" s="2">
        <v>10320</v>
      </c>
      <c r="B323" s="2">
        <v>91111</v>
      </c>
      <c r="C323" s="25">
        <v>0</v>
      </c>
      <c r="D323" s="10">
        <v>39</v>
      </c>
      <c r="E323" s="14" t="s">
        <v>833</v>
      </c>
      <c r="F323" s="20" t="s">
        <v>833</v>
      </c>
      <c r="G323" s="20" t="s">
        <v>14</v>
      </c>
      <c r="H323" s="20">
        <v>4</v>
      </c>
      <c r="I323" s="10" t="s">
        <v>452</v>
      </c>
      <c r="J323" s="36">
        <v>68520</v>
      </c>
      <c r="K323">
        <f t="shared" si="14"/>
        <v>130</v>
      </c>
      <c r="L323" t="str">
        <f>"1|"&amp;INDEX([1]梦魇入侵!$E$28:$Q$78,MATCH($M323,[1]梦魇入侵!$D$28:$D$78,0),MATCH($K323,[1]梦魇入侵!$E$28:$Q$28,0))</f>
        <v>1|1842100000</v>
      </c>
      <c r="M323" s="42">
        <v>60</v>
      </c>
      <c r="N323" t="str">
        <f t="shared" si="12"/>
        <v>今日累计伤害达到184210万</v>
      </c>
      <c r="U323" t="e">
        <f>INT(MID($E323,MIN(FIND({0,1,2,3,4,5,6,7,8,9},$E323&amp;"0123456789")),LEN($E323)*2-LENB($E323)))</f>
        <v>#VALUE!</v>
      </c>
      <c r="V323" t="str">
        <f t="shared" si="13"/>
        <v>今日累计伤害达到 [00821c]69200[-] 万</v>
      </c>
    </row>
    <row r="324" spans="1:22" ht="16.5">
      <c r="A324" s="2">
        <v>10321</v>
      </c>
      <c r="B324" s="2">
        <v>91111</v>
      </c>
      <c r="C324" s="25">
        <v>0</v>
      </c>
      <c r="D324" s="10">
        <v>41</v>
      </c>
      <c r="E324" s="14" t="s">
        <v>834</v>
      </c>
      <c r="F324" s="20" t="s">
        <v>834</v>
      </c>
      <c r="G324" s="20" t="s">
        <v>4</v>
      </c>
      <c r="H324" s="20">
        <v>4</v>
      </c>
      <c r="I324" s="10" t="s">
        <v>453</v>
      </c>
      <c r="J324" s="36">
        <v>68521</v>
      </c>
      <c r="K324">
        <f t="shared" si="14"/>
        <v>130</v>
      </c>
      <c r="L324" t="str">
        <f>"1|"&amp;INDEX([1]梦魇入侵!$E$28:$Q$78,MATCH($M324,[1]梦魇入侵!$D$28:$D$78,0),MATCH($K324,[1]梦魇入侵!$E$28:$Q$28,0))</f>
        <v>1|1995600000</v>
      </c>
      <c r="M324" s="42">
        <v>65</v>
      </c>
      <c r="N324" t="str">
        <f t="shared" ref="N324:N387" si="15">"今日累计伤害达到"&amp;RIGHT($L324,LEN($L324)-2)/10000&amp;"万"</f>
        <v>今日累计伤害达到199560万</v>
      </c>
      <c r="U324" t="e">
        <f>INT(MID($E324,MIN(FIND({0,1,2,3,4,5,6,7,8,9},$E324&amp;"0123456789")),LEN($E324)*2-LENB($E324)))</f>
        <v>#VALUE!</v>
      </c>
      <c r="V324" t="str">
        <f t="shared" si="13"/>
        <v>今日累计伤害达到 [00821c]74960[-] 万</v>
      </c>
    </row>
    <row r="325" spans="1:22" ht="16.5">
      <c r="A325" s="2">
        <v>10322</v>
      </c>
      <c r="B325" s="2">
        <v>91111</v>
      </c>
      <c r="C325" s="25">
        <v>0</v>
      </c>
      <c r="D325" s="10">
        <v>43</v>
      </c>
      <c r="E325" s="14" t="s">
        <v>835</v>
      </c>
      <c r="F325" s="20" t="s">
        <v>835</v>
      </c>
      <c r="G325" s="20" t="s">
        <v>29</v>
      </c>
      <c r="H325" s="20">
        <v>4</v>
      </c>
      <c r="I325" s="10" t="s">
        <v>454</v>
      </c>
      <c r="J325" s="36">
        <v>68522</v>
      </c>
      <c r="K325">
        <f t="shared" si="14"/>
        <v>130</v>
      </c>
      <c r="L325" t="str">
        <f>"1|"&amp;INDEX([1]梦魇入侵!$E$28:$Q$78,MATCH($M325,[1]梦魇入侵!$D$28:$D$78,0),MATCH($K325,[1]梦魇入侵!$E$28:$Q$28,0))</f>
        <v>1|2149100000</v>
      </c>
      <c r="M325" s="42">
        <v>70</v>
      </c>
      <c r="N325" t="str">
        <f t="shared" si="15"/>
        <v>今日累计伤害达到214910万</v>
      </c>
      <c r="U325" t="e">
        <f>INT(MID($E325,MIN(FIND({0,1,2,3,4,5,6,7,8,9},$E325&amp;"0123456789")),LEN($E325)*2-LENB($E325)))</f>
        <v>#VALUE!</v>
      </c>
      <c r="V325" t="str">
        <f t="shared" ref="V325:V388" si="16">IF(ISERROR($U325),$E325,LEFT($E325,FIND($U325,$E325)-1)&amp;" [379340]"&amp;U325&amp;"[-] "&amp;IFERROR(RIGHT($E325,LEN($E325)-FIND($U325,$E325)-LEN($U325)+1),""))</f>
        <v>今日累计伤害达到 [00821c]80730[-] 万</v>
      </c>
    </row>
    <row r="326" spans="1:22" ht="16.5">
      <c r="A326" s="2">
        <v>10323</v>
      </c>
      <c r="B326" s="2">
        <v>91111</v>
      </c>
      <c r="C326" s="25">
        <v>0</v>
      </c>
      <c r="D326" s="10">
        <v>45</v>
      </c>
      <c r="E326" s="14" t="s">
        <v>836</v>
      </c>
      <c r="F326" s="20" t="s">
        <v>836</v>
      </c>
      <c r="G326" s="20" t="s">
        <v>33</v>
      </c>
      <c r="H326" s="20">
        <v>4</v>
      </c>
      <c r="I326" s="10" t="s">
        <v>455</v>
      </c>
      <c r="J326" s="36">
        <v>68523</v>
      </c>
      <c r="K326">
        <f t="shared" si="14"/>
        <v>130</v>
      </c>
      <c r="L326" t="str">
        <f>"1|"&amp;INDEX([1]梦魇入侵!$E$28:$Q$78,MATCH($M326,[1]梦魇入侵!$D$28:$D$78,0),MATCH($K326,[1]梦魇入侵!$E$28:$Q$28,0))</f>
        <v>1|2302700000</v>
      </c>
      <c r="M326" s="42">
        <v>75</v>
      </c>
      <c r="N326" t="str">
        <f t="shared" si="15"/>
        <v>今日累计伤害达到230270万</v>
      </c>
      <c r="U326" t="e">
        <f>INT(MID($E326,MIN(FIND({0,1,2,3,4,5,6,7,8,9},$E326&amp;"0123456789")),LEN($E326)*2-LENB($E326)))</f>
        <v>#VALUE!</v>
      </c>
      <c r="V326" t="str">
        <f t="shared" si="16"/>
        <v>今日累计伤害达到 [00821c]86500[-] 万</v>
      </c>
    </row>
    <row r="327" spans="1:22" ht="16.5">
      <c r="A327" s="2">
        <v>10324</v>
      </c>
      <c r="B327" s="2">
        <v>91111</v>
      </c>
      <c r="C327" s="25">
        <v>0</v>
      </c>
      <c r="D327" s="10">
        <v>47</v>
      </c>
      <c r="E327" s="14" t="s">
        <v>837</v>
      </c>
      <c r="F327" s="20" t="s">
        <v>837</v>
      </c>
      <c r="G327" s="20" t="s">
        <v>15</v>
      </c>
      <c r="H327" s="20">
        <v>4</v>
      </c>
      <c r="I327" s="10" t="s">
        <v>456</v>
      </c>
      <c r="J327" s="36">
        <v>68524</v>
      </c>
      <c r="K327">
        <f t="shared" si="14"/>
        <v>130</v>
      </c>
      <c r="L327" t="str">
        <f>"1|"&amp;INDEX([1]梦魇入侵!$E$28:$Q$78,MATCH($M327,[1]梦魇入侵!$D$28:$D$78,0),MATCH($K327,[1]梦魇入侵!$E$28:$Q$28,0))</f>
        <v>1|2763200000</v>
      </c>
      <c r="M327" s="42">
        <v>90</v>
      </c>
      <c r="N327" t="str">
        <f t="shared" si="15"/>
        <v>今日累计伤害达到276320万</v>
      </c>
      <c r="U327" t="e">
        <f>INT(MID($E327,MIN(FIND({0,1,2,3,4,5,6,7,8,9},$E327&amp;"0123456789")),LEN($E327)*2-LENB($E327)))</f>
        <v>#VALUE!</v>
      </c>
      <c r="V327" t="str">
        <f t="shared" si="16"/>
        <v>今日累计伤害达到 [00821c]103800[-] 万</v>
      </c>
    </row>
    <row r="328" spans="1:22" ht="16.5">
      <c r="A328" s="2">
        <v>10325</v>
      </c>
      <c r="B328" s="2">
        <v>91111</v>
      </c>
      <c r="C328" s="25">
        <v>0</v>
      </c>
      <c r="D328" s="10">
        <v>49</v>
      </c>
      <c r="E328" s="14" t="s">
        <v>838</v>
      </c>
      <c r="F328" s="20" t="s">
        <v>838</v>
      </c>
      <c r="G328" s="20" t="s">
        <v>16</v>
      </c>
      <c r="H328" s="20">
        <v>4</v>
      </c>
      <c r="I328" s="10" t="s">
        <v>457</v>
      </c>
      <c r="J328" s="36">
        <v>68525</v>
      </c>
      <c r="K328">
        <f t="shared" si="14"/>
        <v>130</v>
      </c>
      <c r="L328" t="str">
        <f>"1|"&amp;INDEX([1]梦魇入侵!$E$28:$Q$78,MATCH($M328,[1]梦魇入侵!$D$28:$D$78,0),MATCH($K328,[1]梦魇入侵!$E$28:$Q$28,0))</f>
        <v>1|2947400000</v>
      </c>
      <c r="M328" s="42">
        <v>96</v>
      </c>
      <c r="N328" t="str">
        <f t="shared" si="15"/>
        <v>今日累计伤害达到294740万</v>
      </c>
      <c r="U328" t="e">
        <f>INT(MID($E328,MIN(FIND({0,1,2,3,4,5,6,7,8,9},$E328&amp;"0123456789")),LEN($E328)*2-LENB($E328)))</f>
        <v>#VALUE!</v>
      </c>
      <c r="V328" t="str">
        <f t="shared" si="16"/>
        <v>今日累计伤害达到 [00821c]110720[-] 万</v>
      </c>
    </row>
    <row r="329" spans="1:22" ht="16.5">
      <c r="A329" s="2">
        <v>10326</v>
      </c>
      <c r="B329" s="2">
        <v>91111</v>
      </c>
      <c r="C329" s="25">
        <v>0</v>
      </c>
      <c r="D329" s="10">
        <v>51</v>
      </c>
      <c r="E329" s="14" t="s">
        <v>839</v>
      </c>
      <c r="F329" s="20" t="s">
        <v>839</v>
      </c>
      <c r="G329" s="20" t="s">
        <v>20</v>
      </c>
      <c r="H329" s="20">
        <v>4</v>
      </c>
      <c r="I329" s="10" t="s">
        <v>458</v>
      </c>
      <c r="J329" s="36">
        <v>68526</v>
      </c>
      <c r="K329">
        <f t="shared" si="14"/>
        <v>130</v>
      </c>
      <c r="L329" t="str">
        <f>"1|"&amp;INDEX([1]梦魇入侵!$E$28:$Q$78,MATCH($M329,[1]梦魇入侵!$D$28:$D$78,0),MATCH($K329,[1]梦魇入侵!$E$28:$Q$28,0))</f>
        <v>1|3100900000</v>
      </c>
      <c r="M329" s="42">
        <v>101</v>
      </c>
      <c r="N329" t="str">
        <f t="shared" si="15"/>
        <v>今日累计伤害达到310090万</v>
      </c>
      <c r="U329" t="e">
        <f>INT(MID($E329,MIN(FIND({0,1,2,3,4,5,6,7,8,9},$E329&amp;"0123456789")),LEN($E329)*2-LENB($E329)))</f>
        <v>#VALUE!</v>
      </c>
      <c r="V329" t="str">
        <f t="shared" si="16"/>
        <v>今日累计伤害达到 [00821c]116480[-] 万</v>
      </c>
    </row>
    <row r="330" spans="1:22" ht="16.5">
      <c r="A330" s="2">
        <v>10327</v>
      </c>
      <c r="B330" s="2">
        <v>91111</v>
      </c>
      <c r="C330" s="25">
        <v>0</v>
      </c>
      <c r="D330" s="10">
        <v>53</v>
      </c>
      <c r="E330" s="14" t="s">
        <v>840</v>
      </c>
      <c r="F330" s="20" t="s">
        <v>840</v>
      </c>
      <c r="G330" s="20" t="s">
        <v>93</v>
      </c>
      <c r="H330" s="20">
        <v>4</v>
      </c>
      <c r="I330" s="10" t="s">
        <v>459</v>
      </c>
      <c r="J330" s="36">
        <v>68527</v>
      </c>
      <c r="K330">
        <f t="shared" si="14"/>
        <v>130</v>
      </c>
      <c r="L330" t="str">
        <f>"1|"&amp;INDEX([1]梦魇入侵!$E$28:$Q$78,MATCH($M330,[1]梦魇入侵!$D$28:$D$78,0),MATCH($K330,[1]梦魇入侵!$E$28:$Q$28,0))</f>
        <v>1|3254400000</v>
      </c>
      <c r="M330" s="42">
        <v>106</v>
      </c>
      <c r="N330" t="str">
        <f t="shared" si="15"/>
        <v>今日累计伤害达到325440万</v>
      </c>
      <c r="U330" t="e">
        <f>INT(MID($E330,MIN(FIND({0,1,2,3,4,5,6,7,8,9},$E330&amp;"0123456789")),LEN($E330)*2-LENB($E330)))</f>
        <v>#VALUE!</v>
      </c>
      <c r="V330" t="str">
        <f t="shared" si="16"/>
        <v>今日累计伤害达到 [00821c]122250[-] 万</v>
      </c>
    </row>
    <row r="331" spans="1:22" ht="16.5">
      <c r="A331" s="2">
        <v>10328</v>
      </c>
      <c r="B331" s="2">
        <v>91111</v>
      </c>
      <c r="C331" s="25">
        <v>0</v>
      </c>
      <c r="D331" s="10">
        <v>55</v>
      </c>
      <c r="E331" s="14" t="s">
        <v>841</v>
      </c>
      <c r="F331" s="20" t="s">
        <v>841</v>
      </c>
      <c r="G331" s="20" t="s">
        <v>31</v>
      </c>
      <c r="H331" s="20">
        <v>4</v>
      </c>
      <c r="I331" s="10" t="s">
        <v>460</v>
      </c>
      <c r="J331" s="36">
        <v>68528</v>
      </c>
      <c r="K331">
        <f t="shared" si="14"/>
        <v>130</v>
      </c>
      <c r="L331" t="str">
        <f>"1|"&amp;INDEX([1]梦魇入侵!$E$28:$Q$78,MATCH($M331,[1]梦魇入侵!$D$28:$D$78,0),MATCH($K331,[1]梦魇入侵!$E$28:$Q$28,0))</f>
        <v>1|3407900000</v>
      </c>
      <c r="M331" s="42">
        <v>111</v>
      </c>
      <c r="N331" t="str">
        <f t="shared" si="15"/>
        <v>今日累计伤害达到340790万</v>
      </c>
      <c r="U331" t="e">
        <f>INT(MID($E331,MIN(FIND({0,1,2,3,4,5,6,7,8,9},$E331&amp;"0123456789")),LEN($E331)*2-LENB($E331)))</f>
        <v>#VALUE!</v>
      </c>
      <c r="V331" t="str">
        <f t="shared" si="16"/>
        <v>今日累计伤害达到 [00821c]128020[-] 万</v>
      </c>
    </row>
    <row r="332" spans="1:22" ht="16.5">
      <c r="A332" s="2">
        <v>10329</v>
      </c>
      <c r="B332" s="2">
        <v>91111</v>
      </c>
      <c r="C332" s="25">
        <v>0</v>
      </c>
      <c r="D332" s="10">
        <v>57</v>
      </c>
      <c r="E332" s="14" t="s">
        <v>842</v>
      </c>
      <c r="F332" s="20" t="s">
        <v>842</v>
      </c>
      <c r="G332" s="20" t="s">
        <v>23</v>
      </c>
      <c r="H332" s="20">
        <v>4</v>
      </c>
      <c r="I332" s="10" t="s">
        <v>461</v>
      </c>
      <c r="J332" s="36">
        <v>68529</v>
      </c>
      <c r="K332">
        <f t="shared" si="14"/>
        <v>130</v>
      </c>
      <c r="L332" t="str">
        <f>"1|"&amp;INDEX([1]梦魇入侵!$E$28:$Q$78,MATCH($M332,[1]梦魇入侵!$D$28:$D$78,0),MATCH($K332,[1]梦魇入侵!$E$28:$Q$28,0))</f>
        <v>1|3561400000</v>
      </c>
      <c r="M332" s="42">
        <v>116</v>
      </c>
      <c r="N332" t="str">
        <f t="shared" si="15"/>
        <v>今日累计伤害达到356140万</v>
      </c>
      <c r="U332" t="e">
        <f>INT(MID($E332,MIN(FIND({0,1,2,3,4,5,6,7,8,9},$E332&amp;"0123456789")),LEN($E332)*2-LENB($E332)))</f>
        <v>#VALUE!</v>
      </c>
      <c r="V332" t="str">
        <f t="shared" si="16"/>
        <v>今日累计伤害达到 [00821c]133780[-] 万</v>
      </c>
    </row>
    <row r="333" spans="1:22" ht="16.5">
      <c r="A333" s="2">
        <v>10330</v>
      </c>
      <c r="B333" s="2">
        <v>91111</v>
      </c>
      <c r="C333" s="25">
        <v>0</v>
      </c>
      <c r="D333" s="10">
        <v>59</v>
      </c>
      <c r="E333" s="14" t="s">
        <v>843</v>
      </c>
      <c r="F333" s="20" t="s">
        <v>843</v>
      </c>
      <c r="G333" s="20" t="s">
        <v>17</v>
      </c>
      <c r="H333" s="20">
        <v>4</v>
      </c>
      <c r="I333" s="10" t="s">
        <v>462</v>
      </c>
      <c r="J333" s="36">
        <v>68530</v>
      </c>
      <c r="K333">
        <f t="shared" si="14"/>
        <v>130</v>
      </c>
      <c r="L333" t="str">
        <f>"1|"&amp;INDEX([1]梦魇入侵!$E$28:$Q$78,MATCH($M333,[1]梦魇入侵!$D$28:$D$78,0),MATCH($K333,[1]梦魇入侵!$E$28:$Q$28,0))</f>
        <v>1|3714900000</v>
      </c>
      <c r="M333" s="42">
        <v>121</v>
      </c>
      <c r="N333" t="str">
        <f t="shared" si="15"/>
        <v>今日累计伤害达到371490万</v>
      </c>
      <c r="U333" t="e">
        <f>INT(MID($E333,MIN(FIND({0,1,2,3,4,5,6,7,8,9},$E333&amp;"0123456789")),LEN($E333)*2-LENB($E333)))</f>
        <v>#VALUE!</v>
      </c>
      <c r="V333" t="str">
        <f t="shared" si="16"/>
        <v>今日累计伤害达到 [00821c]139550[-] 万</v>
      </c>
    </row>
    <row r="334" spans="1:22" s="33" customFormat="1" ht="16.5">
      <c r="A334" s="28">
        <v>10331</v>
      </c>
      <c r="B334" s="28">
        <v>91112</v>
      </c>
      <c r="C334" s="29">
        <v>0</v>
      </c>
      <c r="D334" s="30">
        <v>1</v>
      </c>
      <c r="E334" s="31" t="s">
        <v>844</v>
      </c>
      <c r="F334" s="32" t="s">
        <v>844</v>
      </c>
      <c r="G334" s="32" t="s">
        <v>90</v>
      </c>
      <c r="H334" s="32">
        <v>1</v>
      </c>
      <c r="I334" s="30" t="s">
        <v>463</v>
      </c>
      <c r="J334" s="38">
        <v>68501</v>
      </c>
      <c r="K334" s="33">
        <f t="shared" si="14"/>
        <v>140</v>
      </c>
      <c r="L334" s="33" t="str">
        <f>"1|"&amp;INDEX([1]梦魇入侵!$E$28:$Q$78,MATCH($M334,[1]梦魇入侵!$D$28:$D$78,0),MATCH($K334,[1]梦魇入侵!$E$28:$Q$28,0))</f>
        <v>1|33000000</v>
      </c>
      <c r="M334" s="43">
        <v>1</v>
      </c>
      <c r="N334" s="33" t="str">
        <f t="shared" si="15"/>
        <v>今日累计伤害达到3300万</v>
      </c>
      <c r="O334"/>
      <c r="U334" s="33" t="e">
        <f>INT(MID($E334,MIN(FIND({0,1,2,3,4,5,6,7,8,9},$E334&amp;"0123456789")),LEN($E334)*2-LENB($E334)))</f>
        <v>#VALUE!</v>
      </c>
      <c r="V334" s="33" t="str">
        <f t="shared" si="16"/>
        <v>今日累计伤害达到 [00821c]1240[-] 万</v>
      </c>
    </row>
    <row r="335" spans="1:22" s="33" customFormat="1" ht="16.5">
      <c r="A335" s="28">
        <v>10332</v>
      </c>
      <c r="B335" s="28">
        <v>91112</v>
      </c>
      <c r="C335" s="29">
        <v>0</v>
      </c>
      <c r="D335" s="30">
        <v>3</v>
      </c>
      <c r="E335" s="31" t="s">
        <v>845</v>
      </c>
      <c r="F335" s="32" t="s">
        <v>845</v>
      </c>
      <c r="G335" s="32" t="s">
        <v>9</v>
      </c>
      <c r="H335" s="32">
        <v>1</v>
      </c>
      <c r="I335" s="30" t="s">
        <v>464</v>
      </c>
      <c r="J335" s="38">
        <v>68502</v>
      </c>
      <c r="K335" s="33">
        <f t="shared" si="14"/>
        <v>140</v>
      </c>
      <c r="L335" s="33" t="str">
        <f>"1|"&amp;INDEX([1]梦魇入侵!$E$28:$Q$78,MATCH($M335,[1]梦魇入侵!$D$28:$D$78,0),MATCH($K335,[1]梦魇入侵!$E$28:$Q$28,0))</f>
        <v>1|66100000</v>
      </c>
      <c r="M335" s="43">
        <v>2</v>
      </c>
      <c r="N335" s="33" t="str">
        <f t="shared" si="15"/>
        <v>今日累计伤害达到6610万</v>
      </c>
      <c r="O335"/>
      <c r="U335" s="33" t="e">
        <f>INT(MID($E335,MIN(FIND({0,1,2,3,4,5,6,7,8,9},$E335&amp;"0123456789")),LEN($E335)*2-LENB($E335)))</f>
        <v>#VALUE!</v>
      </c>
      <c r="V335" s="33" t="str">
        <f t="shared" si="16"/>
        <v>今日累计伤害达到 [00821c]2480[-] 万</v>
      </c>
    </row>
    <row r="336" spans="1:22" s="33" customFormat="1" ht="16.5">
      <c r="A336" s="28">
        <v>10333</v>
      </c>
      <c r="B336" s="28">
        <v>91112</v>
      </c>
      <c r="C336" s="29">
        <v>0</v>
      </c>
      <c r="D336" s="30">
        <v>5</v>
      </c>
      <c r="E336" s="31" t="s">
        <v>846</v>
      </c>
      <c r="F336" s="32" t="s">
        <v>846</v>
      </c>
      <c r="G336" s="32" t="s">
        <v>32</v>
      </c>
      <c r="H336" s="32">
        <v>1</v>
      </c>
      <c r="I336" s="30" t="s">
        <v>117</v>
      </c>
      <c r="J336" s="38">
        <v>68503</v>
      </c>
      <c r="K336" s="33">
        <f t="shared" si="14"/>
        <v>140</v>
      </c>
      <c r="L336" s="33" t="str">
        <f>"1|"&amp;INDEX([1]梦魇入侵!$E$28:$Q$78,MATCH($M336,[1]梦魇入侵!$D$28:$D$78,0),MATCH($K336,[1]梦魇入侵!$E$28:$Q$28,0))</f>
        <v>1|99100000</v>
      </c>
      <c r="M336" s="43">
        <v>3</v>
      </c>
      <c r="N336" s="33" t="str">
        <f t="shared" si="15"/>
        <v>今日累计伤害达到9910万</v>
      </c>
      <c r="O336"/>
      <c r="U336" s="33" t="e">
        <f>INT(MID($E336,MIN(FIND({0,1,2,3,4,5,6,7,8,9},$E336&amp;"0123456789")),LEN($E336)*2-LENB($E336)))</f>
        <v>#VALUE!</v>
      </c>
      <c r="V336" s="33" t="str">
        <f t="shared" si="16"/>
        <v>今日累计伤害达到 [00821c]3720[-] 万</v>
      </c>
    </row>
    <row r="337" spans="1:22" s="33" customFormat="1" ht="16.5">
      <c r="A337" s="28">
        <v>10334</v>
      </c>
      <c r="B337" s="28">
        <v>91112</v>
      </c>
      <c r="C337" s="29">
        <v>0</v>
      </c>
      <c r="D337" s="30">
        <v>7</v>
      </c>
      <c r="E337" s="31" t="s">
        <v>847</v>
      </c>
      <c r="F337" s="32" t="s">
        <v>847</v>
      </c>
      <c r="G337" s="32" t="s">
        <v>13</v>
      </c>
      <c r="H337" s="32">
        <v>1</v>
      </c>
      <c r="I337" s="30" t="s">
        <v>465</v>
      </c>
      <c r="J337" s="38">
        <v>68504</v>
      </c>
      <c r="K337" s="33">
        <f t="shared" si="14"/>
        <v>140</v>
      </c>
      <c r="L337" s="33" t="str">
        <f>"1|"&amp;INDEX([1]梦魇入侵!$E$28:$Q$78,MATCH($M337,[1]梦魇入侵!$D$28:$D$78,0),MATCH($K337,[1]梦魇入侵!$E$28:$Q$28,0))</f>
        <v>1|165200000</v>
      </c>
      <c r="M337" s="43">
        <v>5</v>
      </c>
      <c r="N337" s="33" t="str">
        <f t="shared" si="15"/>
        <v>今日累计伤害达到16520万</v>
      </c>
      <c r="O337"/>
      <c r="U337" s="33" t="e">
        <f>INT(MID($E337,MIN(FIND({0,1,2,3,4,5,6,7,8,9},$E337&amp;"0123456789")),LEN($E337)*2-LENB($E337)))</f>
        <v>#VALUE!</v>
      </c>
      <c r="V337" s="33" t="str">
        <f t="shared" si="16"/>
        <v>今日累计伤害达到 [00821c]6200[-] 万</v>
      </c>
    </row>
    <row r="338" spans="1:22" s="33" customFormat="1" ht="16.5">
      <c r="A338" s="28">
        <v>10335</v>
      </c>
      <c r="B338" s="28">
        <v>91112</v>
      </c>
      <c r="C338" s="29">
        <v>0</v>
      </c>
      <c r="D338" s="30">
        <v>9</v>
      </c>
      <c r="E338" s="31" t="s">
        <v>848</v>
      </c>
      <c r="F338" s="32" t="s">
        <v>848</v>
      </c>
      <c r="G338" s="32" t="s">
        <v>28</v>
      </c>
      <c r="H338" s="32">
        <v>1</v>
      </c>
      <c r="I338" s="30" t="s">
        <v>466</v>
      </c>
      <c r="J338" s="38">
        <v>68505</v>
      </c>
      <c r="K338" s="33">
        <f t="shared" si="14"/>
        <v>140</v>
      </c>
      <c r="L338" s="33" t="str">
        <f>"1|"&amp;INDEX([1]梦魇入侵!$E$28:$Q$78,MATCH($M338,[1]梦魇入侵!$D$28:$D$78,0),MATCH($K338,[1]梦魇入侵!$E$28:$Q$28,0))</f>
        <v>1|198300000</v>
      </c>
      <c r="M338" s="43">
        <v>6</v>
      </c>
      <c r="N338" s="33" t="str">
        <f t="shared" si="15"/>
        <v>今日累计伤害达到19830万</v>
      </c>
      <c r="O338"/>
      <c r="U338" s="33" t="e">
        <f>INT(MID($E338,MIN(FIND({0,1,2,3,4,5,6,7,8,9},$E338&amp;"0123456789")),LEN($E338)*2-LENB($E338)))</f>
        <v>#VALUE!</v>
      </c>
      <c r="V338" s="33" t="str">
        <f t="shared" si="16"/>
        <v>今日累计伤害达到 [00821c]7440[-] 万</v>
      </c>
    </row>
    <row r="339" spans="1:22" s="33" customFormat="1" ht="16.5">
      <c r="A339" s="28">
        <v>10336</v>
      </c>
      <c r="B339" s="28">
        <v>91112</v>
      </c>
      <c r="C339" s="29">
        <v>0</v>
      </c>
      <c r="D339" s="30">
        <v>11</v>
      </c>
      <c r="E339" s="31" t="s">
        <v>849</v>
      </c>
      <c r="F339" s="32" t="s">
        <v>849</v>
      </c>
      <c r="G339" s="32" t="s">
        <v>18</v>
      </c>
      <c r="H339" s="32">
        <v>1</v>
      </c>
      <c r="I339" s="30" t="s">
        <v>467</v>
      </c>
      <c r="J339" s="38">
        <v>68506</v>
      </c>
      <c r="K339" s="33">
        <f t="shared" si="14"/>
        <v>140</v>
      </c>
      <c r="L339" s="33" t="str">
        <f>"1|"&amp;INDEX([1]梦魇入侵!$E$28:$Q$78,MATCH($M339,[1]梦魇入侵!$D$28:$D$78,0),MATCH($K339,[1]梦魇入侵!$E$28:$Q$28,0))</f>
        <v>1|264400000</v>
      </c>
      <c r="M339" s="43">
        <v>8</v>
      </c>
      <c r="N339" s="33" t="str">
        <f t="shared" si="15"/>
        <v>今日累计伤害达到26440万</v>
      </c>
      <c r="O339"/>
      <c r="U339" s="33" t="e">
        <f>INT(MID($E339,MIN(FIND({0,1,2,3,4,5,6,7,8,9},$E339&amp;"0123456789")),LEN($E339)*2-LENB($E339)))</f>
        <v>#VALUE!</v>
      </c>
      <c r="V339" s="33" t="str">
        <f t="shared" si="16"/>
        <v>今日累计伤害达到 [00821c]9920[-] 万</v>
      </c>
    </row>
    <row r="340" spans="1:22" s="33" customFormat="1" ht="16.5">
      <c r="A340" s="28">
        <v>10337</v>
      </c>
      <c r="B340" s="28">
        <v>91112</v>
      </c>
      <c r="C340" s="29">
        <v>0</v>
      </c>
      <c r="D340" s="30">
        <v>13</v>
      </c>
      <c r="E340" s="31" t="s">
        <v>850</v>
      </c>
      <c r="F340" s="32" t="s">
        <v>850</v>
      </c>
      <c r="G340" s="32" t="s">
        <v>33</v>
      </c>
      <c r="H340" s="32">
        <v>2</v>
      </c>
      <c r="I340" s="30" t="s">
        <v>468</v>
      </c>
      <c r="J340" s="38">
        <v>68507</v>
      </c>
      <c r="K340" s="33">
        <f t="shared" si="14"/>
        <v>140</v>
      </c>
      <c r="L340" s="33" t="str">
        <f>"1|"&amp;INDEX([1]梦魇入侵!$E$28:$Q$78,MATCH($M340,[1]梦魇入侵!$D$28:$D$78,0),MATCH($K340,[1]梦魇入侵!$E$28:$Q$28,0))</f>
        <v>1|363500000</v>
      </c>
      <c r="M340" s="43">
        <v>11</v>
      </c>
      <c r="N340" s="33" t="str">
        <f t="shared" si="15"/>
        <v>今日累计伤害达到36350万</v>
      </c>
      <c r="O340"/>
      <c r="U340" s="33" t="e">
        <f>INT(MID($E340,MIN(FIND({0,1,2,3,4,5,6,7,8,9},$E340&amp;"0123456789")),LEN($E340)*2-LENB($E340)))</f>
        <v>#VALUE!</v>
      </c>
      <c r="V340" s="33" t="str">
        <f t="shared" si="16"/>
        <v>今日累计伤害达到 [00821c]13640[-] 万</v>
      </c>
    </row>
    <row r="341" spans="1:22" s="33" customFormat="1" ht="16.5">
      <c r="A341" s="28">
        <v>10338</v>
      </c>
      <c r="B341" s="28">
        <v>91112</v>
      </c>
      <c r="C341" s="29">
        <v>0</v>
      </c>
      <c r="D341" s="30">
        <v>15</v>
      </c>
      <c r="E341" s="31" t="s">
        <v>851</v>
      </c>
      <c r="F341" s="32" t="s">
        <v>851</v>
      </c>
      <c r="G341" s="32" t="s">
        <v>8</v>
      </c>
      <c r="H341" s="32">
        <v>2</v>
      </c>
      <c r="I341" s="30" t="s">
        <v>469</v>
      </c>
      <c r="J341" s="38">
        <v>68508</v>
      </c>
      <c r="K341" s="33">
        <f t="shared" si="14"/>
        <v>140</v>
      </c>
      <c r="L341" s="33" t="str">
        <f>"1|"&amp;INDEX([1]梦魇入侵!$E$28:$Q$78,MATCH($M341,[1]梦魇入侵!$D$28:$D$78,0),MATCH($K341,[1]梦魇入侵!$E$28:$Q$28,0))</f>
        <v>1|462700000</v>
      </c>
      <c r="M341" s="43">
        <v>14</v>
      </c>
      <c r="N341" s="33" t="str">
        <f t="shared" si="15"/>
        <v>今日累计伤害达到46270万</v>
      </c>
      <c r="O341"/>
      <c r="U341" s="33" t="e">
        <f>INT(MID($E341,MIN(FIND({0,1,2,3,4,5,6,7,8,9},$E341&amp;"0123456789")),LEN($E341)*2-LENB($E341)))</f>
        <v>#VALUE!</v>
      </c>
      <c r="V341" s="33" t="str">
        <f t="shared" si="16"/>
        <v>今日累计伤害达到 [00821c]17360[-] 万</v>
      </c>
    </row>
    <row r="342" spans="1:22" s="33" customFormat="1" ht="16.5">
      <c r="A342" s="28">
        <v>10339</v>
      </c>
      <c r="B342" s="28">
        <v>91112</v>
      </c>
      <c r="C342" s="29">
        <v>0</v>
      </c>
      <c r="D342" s="30">
        <v>17</v>
      </c>
      <c r="E342" s="31" t="s">
        <v>852</v>
      </c>
      <c r="F342" s="32" t="s">
        <v>852</v>
      </c>
      <c r="G342" s="32" t="s">
        <v>33</v>
      </c>
      <c r="H342" s="32">
        <v>2</v>
      </c>
      <c r="I342" s="30" t="s">
        <v>470</v>
      </c>
      <c r="J342" s="38">
        <v>68509</v>
      </c>
      <c r="K342" s="33">
        <f t="shared" si="14"/>
        <v>140</v>
      </c>
      <c r="L342" s="33" t="str">
        <f>"1|"&amp;INDEX([1]梦魇入侵!$E$28:$Q$78,MATCH($M342,[1]梦魇入侵!$D$28:$D$78,0),MATCH($K342,[1]梦魇入侵!$E$28:$Q$28,0))</f>
        <v>1|528800000</v>
      </c>
      <c r="M342" s="43">
        <v>16</v>
      </c>
      <c r="N342" s="33" t="str">
        <f t="shared" si="15"/>
        <v>今日累计伤害达到52880万</v>
      </c>
      <c r="O342"/>
      <c r="U342" s="33" t="e">
        <f>INT(MID($E342,MIN(FIND({0,1,2,3,4,5,6,7,8,9},$E342&amp;"0123456789")),LEN($E342)*2-LENB($E342)))</f>
        <v>#VALUE!</v>
      </c>
      <c r="V342" s="33" t="str">
        <f t="shared" si="16"/>
        <v>今日累计伤害达到 [00821c]19840[-] 万</v>
      </c>
    </row>
    <row r="343" spans="1:22" s="33" customFormat="1" ht="16.5">
      <c r="A343" s="28">
        <v>10340</v>
      </c>
      <c r="B343" s="28">
        <v>91112</v>
      </c>
      <c r="C343" s="29">
        <v>0</v>
      </c>
      <c r="D343" s="30">
        <v>19</v>
      </c>
      <c r="E343" s="31" t="s">
        <v>853</v>
      </c>
      <c r="F343" s="32" t="s">
        <v>853</v>
      </c>
      <c r="G343" s="32" t="s">
        <v>10</v>
      </c>
      <c r="H343" s="32">
        <v>2</v>
      </c>
      <c r="I343" s="30" t="s">
        <v>471</v>
      </c>
      <c r="J343" s="38">
        <v>68510</v>
      </c>
      <c r="K343" s="33">
        <f t="shared" si="14"/>
        <v>140</v>
      </c>
      <c r="L343" s="33" t="str">
        <f>"1|"&amp;INDEX([1]梦魇入侵!$E$28:$Q$78,MATCH($M343,[1]梦魇入侵!$D$28:$D$78,0),MATCH($K343,[1]梦魇入侵!$E$28:$Q$28,0))</f>
        <v>1|627900000</v>
      </c>
      <c r="M343" s="43">
        <v>19</v>
      </c>
      <c r="N343" s="33" t="str">
        <f t="shared" si="15"/>
        <v>今日累计伤害达到62790万</v>
      </c>
      <c r="O343"/>
      <c r="U343" s="33" t="e">
        <f>INT(MID($E343,MIN(FIND({0,1,2,3,4,5,6,7,8,9},$E343&amp;"0123456789")),LEN($E343)*2-LENB($E343)))</f>
        <v>#VALUE!</v>
      </c>
      <c r="V343" s="33" t="str">
        <f t="shared" si="16"/>
        <v>今日累计伤害达到 [00821c]23570[-] 万</v>
      </c>
    </row>
    <row r="344" spans="1:22" s="33" customFormat="1" ht="16.5">
      <c r="A344" s="28">
        <v>10341</v>
      </c>
      <c r="B344" s="28">
        <v>91112</v>
      </c>
      <c r="C344" s="29">
        <v>0</v>
      </c>
      <c r="D344" s="30">
        <v>21</v>
      </c>
      <c r="E344" s="31" t="s">
        <v>854</v>
      </c>
      <c r="F344" s="32" t="s">
        <v>854</v>
      </c>
      <c r="G344" s="32" t="s">
        <v>34</v>
      </c>
      <c r="H344" s="32">
        <v>2</v>
      </c>
      <c r="I344" s="30" t="s">
        <v>472</v>
      </c>
      <c r="J344" s="38">
        <v>68511</v>
      </c>
      <c r="K344" s="33">
        <f t="shared" si="14"/>
        <v>140</v>
      </c>
      <c r="L344" s="33" t="str">
        <f>"1|"&amp;INDEX([1]梦魇入侵!$E$28:$Q$78,MATCH($M344,[1]梦魇入侵!$D$28:$D$78,0),MATCH($K344,[1]梦魇入侵!$E$28:$Q$28,0))</f>
        <v>1|694000000</v>
      </c>
      <c r="M344" s="43">
        <v>21</v>
      </c>
      <c r="N344" s="33" t="str">
        <f t="shared" si="15"/>
        <v>今日累计伤害达到69400万</v>
      </c>
      <c r="O344"/>
      <c r="U344" s="33" t="e">
        <f>INT(MID($E344,MIN(FIND({0,1,2,3,4,5,6,7,8,9},$E344&amp;"0123456789")),LEN($E344)*2-LENB($E344)))</f>
        <v>#VALUE!</v>
      </c>
      <c r="V344" s="33" t="str">
        <f t="shared" si="16"/>
        <v>今日累计伤害达到 [00821c]26050[-] 万</v>
      </c>
    </row>
    <row r="345" spans="1:22" s="33" customFormat="1" ht="16.5">
      <c r="A345" s="28">
        <v>10342</v>
      </c>
      <c r="B345" s="28">
        <v>91112</v>
      </c>
      <c r="C345" s="29">
        <v>0</v>
      </c>
      <c r="D345" s="30">
        <v>23</v>
      </c>
      <c r="E345" s="31" t="s">
        <v>855</v>
      </c>
      <c r="F345" s="32" t="s">
        <v>855</v>
      </c>
      <c r="G345" s="32" t="s">
        <v>19</v>
      </c>
      <c r="H345" s="32">
        <v>3</v>
      </c>
      <c r="I345" s="30" t="s">
        <v>473</v>
      </c>
      <c r="J345" s="38">
        <v>68512</v>
      </c>
      <c r="K345" s="33">
        <f t="shared" si="14"/>
        <v>140</v>
      </c>
      <c r="L345" s="33" t="str">
        <f>"1|"&amp;INDEX([1]梦魇入侵!$E$28:$Q$78,MATCH($M345,[1]梦魇入侵!$D$28:$D$78,0),MATCH($K345,[1]梦魇入侵!$E$28:$Q$28,0))</f>
        <v>1|793100000</v>
      </c>
      <c r="M345" s="43">
        <v>24</v>
      </c>
      <c r="N345" s="33" t="str">
        <f t="shared" si="15"/>
        <v>今日累计伤害达到79310万</v>
      </c>
      <c r="O345"/>
      <c r="U345" s="33" t="e">
        <f>INT(MID($E345,MIN(FIND({0,1,2,3,4,5,6,7,8,9},$E345&amp;"0123456789")),LEN($E345)*2-LENB($E345)))</f>
        <v>#VALUE!</v>
      </c>
      <c r="V345" s="33" t="str">
        <f t="shared" si="16"/>
        <v>今日累计伤害达到 [00821c]29770[-] 万</v>
      </c>
    </row>
    <row r="346" spans="1:22" s="33" customFormat="1" ht="16.5">
      <c r="A346" s="28">
        <v>10343</v>
      </c>
      <c r="B346" s="28">
        <v>91112</v>
      </c>
      <c r="C346" s="29">
        <v>0</v>
      </c>
      <c r="D346" s="30">
        <v>25</v>
      </c>
      <c r="E346" s="31" t="s">
        <v>856</v>
      </c>
      <c r="F346" s="32" t="s">
        <v>856</v>
      </c>
      <c r="G346" s="32" t="s">
        <v>35</v>
      </c>
      <c r="H346" s="32">
        <v>3</v>
      </c>
      <c r="I346" s="30" t="s">
        <v>474</v>
      </c>
      <c r="J346" s="38">
        <v>68513</v>
      </c>
      <c r="K346" s="33">
        <f t="shared" si="14"/>
        <v>140</v>
      </c>
      <c r="L346" s="33" t="str">
        <f>"1|"&amp;INDEX([1]梦魇入侵!$E$28:$Q$78,MATCH($M346,[1]梦魇入侵!$D$28:$D$78,0),MATCH($K346,[1]梦魇入侵!$E$28:$Q$28,0))</f>
        <v>1|859200000</v>
      </c>
      <c r="M346" s="43">
        <v>26</v>
      </c>
      <c r="N346" s="33" t="str">
        <f t="shared" si="15"/>
        <v>今日累计伤害达到85920万</v>
      </c>
      <c r="O346"/>
      <c r="U346" s="33" t="e">
        <f>INT(MID($E346,MIN(FIND({0,1,2,3,4,5,6,7,8,9},$E346&amp;"0123456789")),LEN($E346)*2-LENB($E346)))</f>
        <v>#VALUE!</v>
      </c>
      <c r="V346" s="33" t="str">
        <f t="shared" si="16"/>
        <v>今日累计伤害达到 [00821c]32250[-] 万</v>
      </c>
    </row>
    <row r="347" spans="1:22" s="33" customFormat="1" ht="16.5">
      <c r="A347" s="28">
        <v>10344</v>
      </c>
      <c r="B347" s="28">
        <v>91112</v>
      </c>
      <c r="C347" s="29">
        <v>0</v>
      </c>
      <c r="D347" s="30">
        <v>27</v>
      </c>
      <c r="E347" s="31" t="s">
        <v>857</v>
      </c>
      <c r="F347" s="32" t="s">
        <v>857</v>
      </c>
      <c r="G347" s="32" t="s">
        <v>11</v>
      </c>
      <c r="H347" s="32">
        <v>3</v>
      </c>
      <c r="I347" s="30" t="s">
        <v>475</v>
      </c>
      <c r="J347" s="38">
        <v>68514</v>
      </c>
      <c r="K347" s="33">
        <f t="shared" si="14"/>
        <v>140</v>
      </c>
      <c r="L347" s="33" t="str">
        <f>"1|"&amp;INDEX([1]梦魇入侵!$E$28:$Q$78,MATCH($M347,[1]梦魇入侵!$D$28:$D$78,0),MATCH($K347,[1]梦魇入侵!$E$28:$Q$28,0))</f>
        <v>1|958400000</v>
      </c>
      <c r="M347" s="43">
        <v>29</v>
      </c>
      <c r="N347" s="33" t="str">
        <f t="shared" si="15"/>
        <v>今日累计伤害达到95840万</v>
      </c>
      <c r="O347"/>
      <c r="U347" s="33" t="e">
        <f>INT(MID($E347,MIN(FIND({0,1,2,3,4,5,6,7,8,9},$E347&amp;"0123456789")),LEN($E347)*2-LENB($E347)))</f>
        <v>#VALUE!</v>
      </c>
      <c r="V347" s="33" t="str">
        <f t="shared" si="16"/>
        <v>今日累计伤害达到 [00821c]35970[-] 万</v>
      </c>
    </row>
    <row r="348" spans="1:22" s="33" customFormat="1" ht="16.5">
      <c r="A348" s="28">
        <v>10345</v>
      </c>
      <c r="B348" s="28">
        <v>91112</v>
      </c>
      <c r="C348" s="29">
        <v>0</v>
      </c>
      <c r="D348" s="30">
        <v>29</v>
      </c>
      <c r="E348" s="31" t="s">
        <v>858</v>
      </c>
      <c r="F348" s="32" t="s">
        <v>858</v>
      </c>
      <c r="G348" s="32" t="s">
        <v>8</v>
      </c>
      <c r="H348" s="32">
        <v>3</v>
      </c>
      <c r="I348" s="30" t="s">
        <v>476</v>
      </c>
      <c r="J348" s="38">
        <v>68515</v>
      </c>
      <c r="K348" s="33">
        <f t="shared" si="14"/>
        <v>140</v>
      </c>
      <c r="L348" s="33" t="str">
        <f>"1|"&amp;INDEX([1]梦魇入侵!$E$28:$Q$78,MATCH($M348,[1]梦魇入侵!$D$28:$D$78,0),MATCH($K348,[1]梦魇入侵!$E$28:$Q$28,0))</f>
        <v>1|1123600000</v>
      </c>
      <c r="M348" s="43">
        <v>34</v>
      </c>
      <c r="N348" s="33" t="str">
        <f t="shared" si="15"/>
        <v>今日累计伤害达到112360万</v>
      </c>
      <c r="O348"/>
      <c r="U348" s="33" t="e">
        <f>INT(MID($E348,MIN(FIND({0,1,2,3,4,5,6,7,8,9},$E348&amp;"0123456789")),LEN($E348)*2-LENB($E348)))</f>
        <v>#VALUE!</v>
      </c>
      <c r="V348" s="33" t="str">
        <f t="shared" si="16"/>
        <v>今日累计伤害达到 [00821c]42170[-] 万</v>
      </c>
    </row>
    <row r="349" spans="1:22" s="33" customFormat="1" ht="16.5">
      <c r="A349" s="28">
        <v>10346</v>
      </c>
      <c r="B349" s="28">
        <v>91112</v>
      </c>
      <c r="C349" s="29">
        <v>0</v>
      </c>
      <c r="D349" s="30">
        <v>31</v>
      </c>
      <c r="E349" s="31" t="s">
        <v>859</v>
      </c>
      <c r="F349" s="32" t="s">
        <v>859</v>
      </c>
      <c r="G349" s="32" t="s">
        <v>33</v>
      </c>
      <c r="H349" s="32">
        <v>3</v>
      </c>
      <c r="I349" s="30" t="s">
        <v>477</v>
      </c>
      <c r="J349" s="38">
        <v>68516</v>
      </c>
      <c r="K349" s="33">
        <f t="shared" si="14"/>
        <v>140</v>
      </c>
      <c r="L349" s="33" t="str">
        <f>"1|"&amp;INDEX([1]梦魇入侵!$E$28:$Q$78,MATCH($M349,[1]梦魇入侵!$D$28:$D$78,0),MATCH($K349,[1]梦魇入侵!$E$28:$Q$28,0))</f>
        <v>1|1288800000</v>
      </c>
      <c r="M349" s="43">
        <v>39</v>
      </c>
      <c r="N349" s="33" t="str">
        <f t="shared" si="15"/>
        <v>今日累计伤害达到128880万</v>
      </c>
      <c r="O349"/>
      <c r="U349" s="33" t="e">
        <f>INT(MID($E349,MIN(FIND({0,1,2,3,4,5,6,7,8,9},$E349&amp;"0123456789")),LEN($E349)*2-LENB($E349)))</f>
        <v>#VALUE!</v>
      </c>
      <c r="V349" s="33" t="str">
        <f t="shared" si="16"/>
        <v>今日累计伤害达到 [00821c]48370[-] 万</v>
      </c>
    </row>
    <row r="350" spans="1:22" s="33" customFormat="1" ht="16.5">
      <c r="A350" s="28">
        <v>10347</v>
      </c>
      <c r="B350" s="28">
        <v>91112</v>
      </c>
      <c r="C350" s="29">
        <v>0</v>
      </c>
      <c r="D350" s="30">
        <v>33</v>
      </c>
      <c r="E350" s="31" t="s">
        <v>860</v>
      </c>
      <c r="F350" s="32" t="s">
        <v>860</v>
      </c>
      <c r="G350" s="32" t="s">
        <v>10</v>
      </c>
      <c r="H350" s="32">
        <v>3</v>
      </c>
      <c r="I350" s="30" t="s">
        <v>126</v>
      </c>
      <c r="J350" s="38">
        <v>68517</v>
      </c>
      <c r="K350" s="33">
        <f t="shared" si="14"/>
        <v>140</v>
      </c>
      <c r="L350" s="33" t="str">
        <f>"1|"&amp;INDEX([1]梦魇入侵!$E$28:$Q$78,MATCH($M350,[1]梦魇入侵!$D$28:$D$78,0),MATCH($K350,[1]梦魇入侵!$E$28:$Q$28,0))</f>
        <v>1|1454100000</v>
      </c>
      <c r="M350" s="43">
        <v>44</v>
      </c>
      <c r="N350" s="33" t="str">
        <f t="shared" si="15"/>
        <v>今日累计伤害达到145410万</v>
      </c>
      <c r="O350"/>
      <c r="U350" s="33" t="e">
        <f>INT(MID($E350,MIN(FIND({0,1,2,3,4,5,6,7,8,9},$E350&amp;"0123456789")),LEN($E350)*2-LENB($E350)))</f>
        <v>#VALUE!</v>
      </c>
      <c r="V350" s="33" t="str">
        <f t="shared" si="16"/>
        <v>今日累计伤害达到 [00821c]54570[-] 万</v>
      </c>
    </row>
    <row r="351" spans="1:22" s="33" customFormat="1" ht="16.5">
      <c r="A351" s="28">
        <v>10348</v>
      </c>
      <c r="B351" s="28">
        <v>91112</v>
      </c>
      <c r="C351" s="29">
        <v>0</v>
      </c>
      <c r="D351" s="30">
        <v>35</v>
      </c>
      <c r="E351" s="31" t="s">
        <v>861</v>
      </c>
      <c r="F351" s="32" t="s">
        <v>861</v>
      </c>
      <c r="G351" s="32" t="s">
        <v>34</v>
      </c>
      <c r="H351" s="32">
        <v>4</v>
      </c>
      <c r="I351" s="30" t="s">
        <v>478</v>
      </c>
      <c r="J351" s="38">
        <v>68518</v>
      </c>
      <c r="K351" s="33">
        <f t="shared" si="14"/>
        <v>140</v>
      </c>
      <c r="L351" s="33" t="str">
        <f>"1|"&amp;INDEX([1]梦魇入侵!$E$28:$Q$78,MATCH($M351,[1]梦魇入侵!$D$28:$D$78,0),MATCH($K351,[1]梦魇入侵!$E$28:$Q$28,0))</f>
        <v>1|1619300000</v>
      </c>
      <c r="M351" s="43">
        <v>49</v>
      </c>
      <c r="N351" s="33" t="str">
        <f t="shared" si="15"/>
        <v>今日累计伤害达到161930万</v>
      </c>
      <c r="O351"/>
      <c r="U351" s="33" t="e">
        <f>INT(MID($E351,MIN(FIND({0,1,2,3,4,5,6,7,8,9},$E351&amp;"0123456789")),LEN($E351)*2-LENB($E351)))</f>
        <v>#VALUE!</v>
      </c>
      <c r="V351" s="33" t="str">
        <f t="shared" si="16"/>
        <v>今日累计伤害达到 [00821c]60770[-] 万</v>
      </c>
    </row>
    <row r="352" spans="1:22" s="33" customFormat="1" ht="16.5">
      <c r="A352" s="28">
        <v>10349</v>
      </c>
      <c r="B352" s="28">
        <v>91112</v>
      </c>
      <c r="C352" s="29">
        <v>0</v>
      </c>
      <c r="D352" s="30">
        <v>37</v>
      </c>
      <c r="E352" s="31" t="s">
        <v>862</v>
      </c>
      <c r="F352" s="32" t="s">
        <v>862</v>
      </c>
      <c r="G352" s="32" t="s">
        <v>19</v>
      </c>
      <c r="H352" s="32">
        <v>4</v>
      </c>
      <c r="I352" s="30" t="s">
        <v>127</v>
      </c>
      <c r="J352" s="38">
        <v>68519</v>
      </c>
      <c r="K352" s="33">
        <f t="shared" si="14"/>
        <v>140</v>
      </c>
      <c r="L352" s="33" t="str">
        <f>"1|"&amp;INDEX([1]梦魇入侵!$E$28:$Q$78,MATCH($M352,[1]梦魇入侵!$D$28:$D$78,0),MATCH($K352,[1]梦魇入侵!$E$28:$Q$28,0))</f>
        <v>1|1817600000</v>
      </c>
      <c r="M352" s="43">
        <v>55</v>
      </c>
      <c r="N352" s="33" t="str">
        <f t="shared" si="15"/>
        <v>今日累计伤害达到181760万</v>
      </c>
      <c r="O352"/>
      <c r="U352" s="33" t="e">
        <f>INT(MID($E352,MIN(FIND({0,1,2,3,4,5,6,7,8,9},$E352&amp;"0123456789")),LEN($E352)*2-LENB($E352)))</f>
        <v>#VALUE!</v>
      </c>
      <c r="V352" s="33" t="str">
        <f t="shared" si="16"/>
        <v>今日累计伤害达到 [00821c]68220[-] 万</v>
      </c>
    </row>
    <row r="353" spans="1:22" s="33" customFormat="1" ht="16.5">
      <c r="A353" s="28">
        <v>10350</v>
      </c>
      <c r="B353" s="28">
        <v>91112</v>
      </c>
      <c r="C353" s="29">
        <v>0</v>
      </c>
      <c r="D353" s="30">
        <v>39</v>
      </c>
      <c r="E353" s="31" t="s">
        <v>863</v>
      </c>
      <c r="F353" s="32" t="s">
        <v>863</v>
      </c>
      <c r="G353" s="32" t="s">
        <v>35</v>
      </c>
      <c r="H353" s="32">
        <v>4</v>
      </c>
      <c r="I353" s="30" t="s">
        <v>479</v>
      </c>
      <c r="J353" s="38">
        <v>68520</v>
      </c>
      <c r="K353" s="33">
        <f t="shared" si="14"/>
        <v>140</v>
      </c>
      <c r="L353" s="33" t="str">
        <f>"1|"&amp;INDEX([1]梦魇入侵!$E$28:$Q$78,MATCH($M353,[1]梦魇入侵!$D$28:$D$78,0),MATCH($K353,[1]梦魇入侵!$E$28:$Q$28,0))</f>
        <v>1|1982800000</v>
      </c>
      <c r="M353" s="43">
        <v>60</v>
      </c>
      <c r="N353" s="33" t="str">
        <f t="shared" si="15"/>
        <v>今日累计伤害达到198280万</v>
      </c>
      <c r="O353"/>
      <c r="U353" s="33" t="e">
        <f>INT(MID($E353,MIN(FIND({0,1,2,3,4,5,6,7,8,9},$E353&amp;"0123456789")),LEN($E353)*2-LENB($E353)))</f>
        <v>#VALUE!</v>
      </c>
      <c r="V353" s="33" t="str">
        <f t="shared" si="16"/>
        <v>今日累计伤害达到 [00821c]74420[-] 万</v>
      </c>
    </row>
    <row r="354" spans="1:22" s="33" customFormat="1" ht="16.5">
      <c r="A354" s="28">
        <v>10351</v>
      </c>
      <c r="B354" s="28">
        <v>91112</v>
      </c>
      <c r="C354" s="29">
        <v>0</v>
      </c>
      <c r="D354" s="30">
        <v>41</v>
      </c>
      <c r="E354" s="31" t="s">
        <v>864</v>
      </c>
      <c r="F354" s="32" t="s">
        <v>864</v>
      </c>
      <c r="G354" s="32" t="s">
        <v>34</v>
      </c>
      <c r="H354" s="32">
        <v>4</v>
      </c>
      <c r="I354" s="30" t="s">
        <v>480</v>
      </c>
      <c r="J354" s="38">
        <v>68521</v>
      </c>
      <c r="K354" s="33">
        <f t="shared" si="14"/>
        <v>140</v>
      </c>
      <c r="L354" s="33" t="str">
        <f>"1|"&amp;INDEX([1]梦魇入侵!$E$28:$Q$78,MATCH($M354,[1]梦魇入侵!$D$28:$D$78,0),MATCH($K354,[1]梦魇入侵!$E$28:$Q$28,0))</f>
        <v>1|2148100000</v>
      </c>
      <c r="M354" s="43">
        <v>65</v>
      </c>
      <c r="N354" s="33" t="str">
        <f t="shared" si="15"/>
        <v>今日累计伤害达到214810万</v>
      </c>
      <c r="O354"/>
      <c r="U354" s="33" t="e">
        <f>INT(MID($E354,MIN(FIND({0,1,2,3,4,5,6,7,8,9},$E354&amp;"0123456789")),LEN($E354)*2-LENB($E354)))</f>
        <v>#VALUE!</v>
      </c>
      <c r="V354" s="33" t="str">
        <f t="shared" si="16"/>
        <v>今日累计伤害达到 [00821c]80620[-] 万</v>
      </c>
    </row>
    <row r="355" spans="1:22" s="33" customFormat="1" ht="16.5">
      <c r="A355" s="28">
        <v>10352</v>
      </c>
      <c r="B355" s="28">
        <v>91112</v>
      </c>
      <c r="C355" s="29">
        <v>0</v>
      </c>
      <c r="D355" s="30">
        <v>43</v>
      </c>
      <c r="E355" s="31" t="s">
        <v>865</v>
      </c>
      <c r="F355" s="32" t="s">
        <v>865</v>
      </c>
      <c r="G355" s="32" t="s">
        <v>19</v>
      </c>
      <c r="H355" s="32">
        <v>4</v>
      </c>
      <c r="I355" s="30" t="s">
        <v>481</v>
      </c>
      <c r="J355" s="38">
        <v>68522</v>
      </c>
      <c r="K355" s="33">
        <f t="shared" si="14"/>
        <v>140</v>
      </c>
      <c r="L355" s="33" t="str">
        <f>"1|"&amp;INDEX([1]梦魇入侵!$E$28:$Q$78,MATCH($M355,[1]梦魇入侵!$D$28:$D$78,0),MATCH($K355,[1]梦魇入侵!$E$28:$Q$28,0))</f>
        <v>1|2313300000</v>
      </c>
      <c r="M355" s="43">
        <v>70</v>
      </c>
      <c r="N355" s="33" t="str">
        <f t="shared" si="15"/>
        <v>今日累计伤害达到231330万</v>
      </c>
      <c r="O355"/>
      <c r="U355" s="33" t="e">
        <f>INT(MID($E355,MIN(FIND({0,1,2,3,4,5,6,7,8,9},$E355&amp;"0123456789")),LEN($E355)*2-LENB($E355)))</f>
        <v>#VALUE!</v>
      </c>
      <c r="V355" s="33" t="str">
        <f t="shared" si="16"/>
        <v>今日累计伤害达到 [00821c]86820[-] 万</v>
      </c>
    </row>
    <row r="356" spans="1:22" s="33" customFormat="1" ht="16.5">
      <c r="A356" s="28">
        <v>10353</v>
      </c>
      <c r="B356" s="28">
        <v>91112</v>
      </c>
      <c r="C356" s="29">
        <v>0</v>
      </c>
      <c r="D356" s="30">
        <v>45</v>
      </c>
      <c r="E356" s="31" t="s">
        <v>866</v>
      </c>
      <c r="F356" s="32" t="s">
        <v>866</v>
      </c>
      <c r="G356" s="32" t="s">
        <v>35</v>
      </c>
      <c r="H356" s="32">
        <v>4</v>
      </c>
      <c r="I356" s="30" t="s">
        <v>482</v>
      </c>
      <c r="J356" s="38">
        <v>68523</v>
      </c>
      <c r="K356" s="33">
        <f t="shared" si="14"/>
        <v>140</v>
      </c>
      <c r="L356" s="33" t="str">
        <f>"1|"&amp;INDEX([1]梦魇入侵!$E$28:$Q$78,MATCH($M356,[1]梦魇入侵!$D$28:$D$78,0),MATCH($K356,[1]梦魇入侵!$E$28:$Q$28,0))</f>
        <v>1|2478500000</v>
      </c>
      <c r="M356" s="43">
        <v>75</v>
      </c>
      <c r="N356" s="33" t="str">
        <f t="shared" si="15"/>
        <v>今日累计伤害达到247850万</v>
      </c>
      <c r="O356"/>
      <c r="U356" s="33" t="e">
        <f>INT(MID($E356,MIN(FIND({0,1,2,3,4,5,6,7,8,9},$E356&amp;"0123456789")),LEN($E356)*2-LENB($E356)))</f>
        <v>#VALUE!</v>
      </c>
      <c r="V356" s="33" t="str">
        <f t="shared" si="16"/>
        <v>今日累计伤害达到 [00821c]93020[-] 万</v>
      </c>
    </row>
    <row r="357" spans="1:22" s="33" customFormat="1" ht="16.5">
      <c r="A357" s="28">
        <v>10354</v>
      </c>
      <c r="B357" s="28">
        <v>91112</v>
      </c>
      <c r="C357" s="29">
        <v>0</v>
      </c>
      <c r="D357" s="30">
        <v>47</v>
      </c>
      <c r="E357" s="31" t="s">
        <v>867</v>
      </c>
      <c r="F357" s="32" t="s">
        <v>867</v>
      </c>
      <c r="G357" s="32" t="s">
        <v>11</v>
      </c>
      <c r="H357" s="32">
        <v>4</v>
      </c>
      <c r="I357" s="30" t="s">
        <v>483</v>
      </c>
      <c r="J357" s="38">
        <v>68524</v>
      </c>
      <c r="K357" s="33">
        <f t="shared" si="14"/>
        <v>140</v>
      </c>
      <c r="L357" s="33" t="str">
        <f>"1|"&amp;INDEX([1]梦魇入侵!$E$28:$Q$78,MATCH($M357,[1]梦魇入侵!$D$28:$D$78,0),MATCH($K357,[1]梦魇入侵!$E$28:$Q$28,0))</f>
        <v>1|2974200000</v>
      </c>
      <c r="M357" s="43">
        <v>90</v>
      </c>
      <c r="N357" s="33" t="str">
        <f t="shared" si="15"/>
        <v>今日累计伤害达到297420万</v>
      </c>
      <c r="O357"/>
      <c r="U357" s="33" t="e">
        <f>INT(MID($E357,MIN(FIND({0,1,2,3,4,5,6,7,8,9},$E357&amp;"0123456789")),LEN($E357)*2-LENB($E357)))</f>
        <v>#VALUE!</v>
      </c>
      <c r="V357" s="33" t="str">
        <f t="shared" si="16"/>
        <v>今日累计伤害达到 [00821c]111630[-] 万</v>
      </c>
    </row>
    <row r="358" spans="1:22" s="33" customFormat="1" ht="16.5">
      <c r="A358" s="28">
        <v>10355</v>
      </c>
      <c r="B358" s="28">
        <v>91112</v>
      </c>
      <c r="C358" s="29">
        <v>0</v>
      </c>
      <c r="D358" s="30">
        <v>49</v>
      </c>
      <c r="E358" s="31" t="s">
        <v>868</v>
      </c>
      <c r="F358" s="32" t="s">
        <v>868</v>
      </c>
      <c r="G358" s="32" t="s">
        <v>8</v>
      </c>
      <c r="H358" s="32">
        <v>4</v>
      </c>
      <c r="I358" s="30" t="s">
        <v>484</v>
      </c>
      <c r="J358" s="38">
        <v>68525</v>
      </c>
      <c r="K358" s="33">
        <f t="shared" si="14"/>
        <v>140</v>
      </c>
      <c r="L358" s="33" t="str">
        <f>"1|"&amp;INDEX([1]梦魇入侵!$E$28:$Q$78,MATCH($M358,[1]梦魇入侵!$D$28:$D$78,0),MATCH($K358,[1]梦魇入侵!$E$28:$Q$28,0))</f>
        <v>1|3172500000</v>
      </c>
      <c r="M358" s="43">
        <v>96</v>
      </c>
      <c r="N358" s="33" t="str">
        <f t="shared" si="15"/>
        <v>今日累计伤害达到317250万</v>
      </c>
      <c r="O358"/>
      <c r="U358" s="33" t="e">
        <f>INT(MID($E358,MIN(FIND({0,1,2,3,4,5,6,7,8,9},$E358&amp;"0123456789")),LEN($E358)*2-LENB($E358)))</f>
        <v>#VALUE!</v>
      </c>
      <c r="V358" s="33" t="str">
        <f t="shared" si="16"/>
        <v>今日累计伤害达到 [00821c]119070[-] 万</v>
      </c>
    </row>
    <row r="359" spans="1:22" s="33" customFormat="1" ht="16.5">
      <c r="A359" s="28">
        <v>10356</v>
      </c>
      <c r="B359" s="28">
        <v>91112</v>
      </c>
      <c r="C359" s="29">
        <v>0</v>
      </c>
      <c r="D359" s="30">
        <v>51</v>
      </c>
      <c r="E359" s="31" t="s">
        <v>869</v>
      </c>
      <c r="F359" s="32" t="s">
        <v>869</v>
      </c>
      <c r="G359" s="32" t="s">
        <v>33</v>
      </c>
      <c r="H359" s="32">
        <v>4</v>
      </c>
      <c r="I359" s="30" t="s">
        <v>485</v>
      </c>
      <c r="J359" s="38">
        <v>68526</v>
      </c>
      <c r="K359" s="33">
        <f t="shared" si="14"/>
        <v>140</v>
      </c>
      <c r="L359" s="33" t="str">
        <f>"1|"&amp;INDEX([1]梦魇入侵!$E$28:$Q$78,MATCH($M359,[1]梦魇入侵!$D$28:$D$78,0),MATCH($K359,[1]梦魇入侵!$E$28:$Q$28,0))</f>
        <v>1|3337700000</v>
      </c>
      <c r="M359" s="43">
        <v>101</v>
      </c>
      <c r="N359" s="33" t="str">
        <f t="shared" si="15"/>
        <v>今日累计伤害达到333770万</v>
      </c>
      <c r="O359"/>
      <c r="U359" s="33" t="e">
        <f>INT(MID($E359,MIN(FIND({0,1,2,3,4,5,6,7,8,9},$E359&amp;"0123456789")),LEN($E359)*2-LENB($E359)))</f>
        <v>#VALUE!</v>
      </c>
      <c r="V359" s="33" t="str">
        <f t="shared" si="16"/>
        <v>今日累计伤害达到 [00821c]125270[-] 万</v>
      </c>
    </row>
    <row r="360" spans="1:22" s="33" customFormat="1" ht="16.5">
      <c r="A360" s="28">
        <v>10357</v>
      </c>
      <c r="B360" s="28">
        <v>91112</v>
      </c>
      <c r="C360" s="29">
        <v>0</v>
      </c>
      <c r="D360" s="30">
        <v>53</v>
      </c>
      <c r="E360" s="31" t="s">
        <v>870</v>
      </c>
      <c r="F360" s="32" t="s">
        <v>870</v>
      </c>
      <c r="G360" s="32" t="s">
        <v>10</v>
      </c>
      <c r="H360" s="32">
        <v>4</v>
      </c>
      <c r="I360" s="30" t="s">
        <v>486</v>
      </c>
      <c r="J360" s="38">
        <v>68527</v>
      </c>
      <c r="K360" s="33">
        <f t="shared" si="14"/>
        <v>140</v>
      </c>
      <c r="L360" s="33" t="str">
        <f>"1|"&amp;INDEX([1]梦魇入侵!$E$28:$Q$78,MATCH($M360,[1]梦魇入侵!$D$28:$D$78,0),MATCH($K360,[1]梦魇入侵!$E$28:$Q$28,0))</f>
        <v>1|3503000000</v>
      </c>
      <c r="M360" s="43">
        <v>106</v>
      </c>
      <c r="N360" s="33" t="str">
        <f t="shared" si="15"/>
        <v>今日累计伤害达到350300万</v>
      </c>
      <c r="O360"/>
      <c r="U360" s="33" t="e">
        <f>INT(MID($E360,MIN(FIND({0,1,2,3,4,5,6,7,8,9},$E360&amp;"0123456789")),LEN($E360)*2-LENB($E360)))</f>
        <v>#VALUE!</v>
      </c>
      <c r="V360" s="33" t="str">
        <f t="shared" si="16"/>
        <v>今日累计伤害达到 [00821c]131470[-] 万</v>
      </c>
    </row>
    <row r="361" spans="1:22" s="33" customFormat="1" ht="16.5">
      <c r="A361" s="28">
        <v>10358</v>
      </c>
      <c r="B361" s="28">
        <v>91112</v>
      </c>
      <c r="C361" s="29">
        <v>0</v>
      </c>
      <c r="D361" s="30">
        <v>55</v>
      </c>
      <c r="E361" s="31" t="s">
        <v>871</v>
      </c>
      <c r="F361" s="32" t="s">
        <v>871</v>
      </c>
      <c r="G361" s="32" t="s">
        <v>34</v>
      </c>
      <c r="H361" s="32">
        <v>4</v>
      </c>
      <c r="I361" s="30" t="s">
        <v>487</v>
      </c>
      <c r="J361" s="38">
        <v>68528</v>
      </c>
      <c r="K361" s="33">
        <f t="shared" si="14"/>
        <v>140</v>
      </c>
      <c r="L361" s="33" t="str">
        <f>"1|"&amp;INDEX([1]梦魇入侵!$E$28:$Q$78,MATCH($M361,[1]梦魇入侵!$D$28:$D$78,0),MATCH($K361,[1]梦魇入侵!$E$28:$Q$28,0))</f>
        <v>1|3668200000</v>
      </c>
      <c r="M361" s="43">
        <v>111</v>
      </c>
      <c r="N361" s="33" t="str">
        <f t="shared" si="15"/>
        <v>今日累计伤害达到366820万</v>
      </c>
      <c r="O361"/>
      <c r="U361" s="33" t="e">
        <f>INT(MID($E361,MIN(FIND({0,1,2,3,4,5,6,7,8,9},$E361&amp;"0123456789")),LEN($E361)*2-LENB($E361)))</f>
        <v>#VALUE!</v>
      </c>
      <c r="V361" s="33" t="str">
        <f t="shared" si="16"/>
        <v>今日累计伤害达到 [00821c]137670[-] 万</v>
      </c>
    </row>
    <row r="362" spans="1:22" s="33" customFormat="1" ht="16.5">
      <c r="A362" s="28">
        <v>10359</v>
      </c>
      <c r="B362" s="28">
        <v>91112</v>
      </c>
      <c r="C362" s="29">
        <v>0</v>
      </c>
      <c r="D362" s="30">
        <v>57</v>
      </c>
      <c r="E362" s="31" t="s">
        <v>872</v>
      </c>
      <c r="F362" s="32" t="s">
        <v>872</v>
      </c>
      <c r="G362" s="32" t="s">
        <v>19</v>
      </c>
      <c r="H362" s="32">
        <v>4</v>
      </c>
      <c r="I362" s="30" t="s">
        <v>488</v>
      </c>
      <c r="J362" s="38">
        <v>68529</v>
      </c>
      <c r="K362" s="33">
        <f t="shared" si="14"/>
        <v>140</v>
      </c>
      <c r="L362" s="33" t="str">
        <f>"1|"&amp;INDEX([1]梦魇入侵!$E$28:$Q$78,MATCH($M362,[1]梦魇入侵!$D$28:$D$78,0),MATCH($K362,[1]梦魇入侵!$E$28:$Q$28,0))</f>
        <v>1|3833500000</v>
      </c>
      <c r="M362" s="43">
        <v>116</v>
      </c>
      <c r="N362" s="33" t="str">
        <f t="shared" si="15"/>
        <v>今日累计伤害达到383350万</v>
      </c>
      <c r="O362"/>
      <c r="U362" s="33" t="e">
        <f>INT(MID($E362,MIN(FIND({0,1,2,3,4,5,6,7,8,9},$E362&amp;"0123456789")),LEN($E362)*2-LENB($E362)))</f>
        <v>#VALUE!</v>
      </c>
      <c r="V362" s="33" t="str">
        <f t="shared" si="16"/>
        <v>今日累计伤害达到 [00821c]143870[-] 万</v>
      </c>
    </row>
    <row r="363" spans="1:22" s="33" customFormat="1" ht="16.5">
      <c r="A363" s="28">
        <v>10360</v>
      </c>
      <c r="B363" s="28">
        <v>91112</v>
      </c>
      <c r="C363" s="29">
        <v>0</v>
      </c>
      <c r="D363" s="30">
        <v>59</v>
      </c>
      <c r="E363" s="31" t="s">
        <v>873</v>
      </c>
      <c r="F363" s="32" t="s">
        <v>873</v>
      </c>
      <c r="G363" s="32" t="s">
        <v>35</v>
      </c>
      <c r="H363" s="32">
        <v>4</v>
      </c>
      <c r="I363" s="30" t="s">
        <v>489</v>
      </c>
      <c r="J363" s="38">
        <v>68530</v>
      </c>
      <c r="K363" s="33">
        <f t="shared" si="14"/>
        <v>140</v>
      </c>
      <c r="L363" s="33" t="str">
        <f>"1|"&amp;INDEX([1]梦魇入侵!$E$28:$Q$78,MATCH($M363,[1]梦魇入侵!$D$28:$D$78,0),MATCH($K363,[1]梦魇入侵!$E$28:$Q$28,0))</f>
        <v>1|3998700000</v>
      </c>
      <c r="M363" s="43">
        <v>121</v>
      </c>
      <c r="N363" s="33" t="str">
        <f t="shared" si="15"/>
        <v>今日累计伤害达到399870万</v>
      </c>
      <c r="O363"/>
      <c r="U363" s="33" t="e">
        <f>INT(MID($E363,MIN(FIND({0,1,2,3,4,5,6,7,8,9},$E363&amp;"0123456789")),LEN($E363)*2-LENB($E363)))</f>
        <v>#VALUE!</v>
      </c>
      <c r="V363" s="33" t="str">
        <f t="shared" si="16"/>
        <v>今日累计伤害达到 [00821c]150080[-] 万</v>
      </c>
    </row>
    <row r="364" spans="1:22" ht="16.5">
      <c r="A364" s="2">
        <v>10361</v>
      </c>
      <c r="B364" s="2">
        <v>91113</v>
      </c>
      <c r="C364" s="25">
        <v>0</v>
      </c>
      <c r="D364" s="10">
        <v>1</v>
      </c>
      <c r="E364" s="14" t="s">
        <v>874</v>
      </c>
      <c r="F364" s="20" t="s">
        <v>874</v>
      </c>
      <c r="G364" s="20" t="s">
        <v>90</v>
      </c>
      <c r="H364" s="20">
        <v>1</v>
      </c>
      <c r="I364" s="10" t="s">
        <v>490</v>
      </c>
      <c r="J364" s="36">
        <v>68501</v>
      </c>
      <c r="K364">
        <f t="shared" si="14"/>
        <v>150</v>
      </c>
      <c r="L364" t="str">
        <f>"1|"&amp;INDEX([1]梦魇入侵!$E$28:$Q$78,MATCH($M364,[1]梦魇入侵!$D$28:$D$78,0),MATCH($K364,[1]梦魇入侵!$E$28:$Q$28,0))</f>
        <v>1|35400000</v>
      </c>
      <c r="M364" s="42">
        <v>1</v>
      </c>
      <c r="N364" t="str">
        <f t="shared" si="15"/>
        <v>今日累计伤害达到3540万</v>
      </c>
      <c r="U364" t="e">
        <f>INT(MID($E364,MIN(FIND({0,1,2,3,4,5,6,7,8,9},$E364&amp;"0123456789")),LEN($E364)*2-LENB($E364)))</f>
        <v>#VALUE!</v>
      </c>
      <c r="V364" t="str">
        <f t="shared" si="16"/>
        <v>今日累计伤害达到 [00821c]1330[-] 万</v>
      </c>
    </row>
    <row r="365" spans="1:22" ht="16.5">
      <c r="A365" s="2">
        <v>10362</v>
      </c>
      <c r="B365" s="2">
        <v>91113</v>
      </c>
      <c r="C365" s="25">
        <v>0</v>
      </c>
      <c r="D365" s="10">
        <v>3</v>
      </c>
      <c r="E365" s="14" t="s">
        <v>875</v>
      </c>
      <c r="F365" s="20" t="s">
        <v>875</v>
      </c>
      <c r="G365" s="20" t="s">
        <v>1</v>
      </c>
      <c r="H365" s="20">
        <v>1</v>
      </c>
      <c r="I365" s="10" t="s">
        <v>491</v>
      </c>
      <c r="J365" s="36">
        <v>68502</v>
      </c>
      <c r="K365">
        <f t="shared" si="14"/>
        <v>150</v>
      </c>
      <c r="L365" t="str">
        <f>"1|"&amp;INDEX([1]梦魇入侵!$E$28:$Q$78,MATCH($M365,[1]梦魇入侵!$D$28:$D$78,0),MATCH($K365,[1]梦魇入侵!$E$28:$Q$28,0))</f>
        <v>1|70800000</v>
      </c>
      <c r="M365" s="42">
        <v>2</v>
      </c>
      <c r="N365" t="str">
        <f t="shared" si="15"/>
        <v>今日累计伤害达到7080万</v>
      </c>
      <c r="U365" t="e">
        <f>INT(MID($E365,MIN(FIND({0,1,2,3,4,5,6,7,8,9},$E365&amp;"0123456789")),LEN($E365)*2-LENB($E365)))</f>
        <v>#VALUE!</v>
      </c>
      <c r="V365" t="str">
        <f t="shared" si="16"/>
        <v>今日累计伤害达到 [00821c]2650[-] 万</v>
      </c>
    </row>
    <row r="366" spans="1:22" ht="16.5">
      <c r="A366" s="2">
        <v>10363</v>
      </c>
      <c r="B366" s="2">
        <v>91113</v>
      </c>
      <c r="C366" s="25">
        <v>0</v>
      </c>
      <c r="D366" s="10">
        <v>5</v>
      </c>
      <c r="E366" s="14" t="s">
        <v>876</v>
      </c>
      <c r="F366" s="20" t="s">
        <v>876</v>
      </c>
      <c r="G366" s="20" t="s">
        <v>2</v>
      </c>
      <c r="H366" s="20">
        <v>1</v>
      </c>
      <c r="I366" s="10" t="s">
        <v>492</v>
      </c>
      <c r="J366" s="36">
        <v>68503</v>
      </c>
      <c r="K366">
        <f t="shared" si="14"/>
        <v>150</v>
      </c>
      <c r="L366" t="str">
        <f>"1|"&amp;INDEX([1]梦魇入侵!$E$28:$Q$78,MATCH($M366,[1]梦魇入侵!$D$28:$D$78,0),MATCH($K366,[1]梦魇入侵!$E$28:$Q$28,0))</f>
        <v>1|106200000</v>
      </c>
      <c r="M366" s="42">
        <v>3</v>
      </c>
      <c r="N366" t="str">
        <f t="shared" si="15"/>
        <v>今日累计伤害达到10620万</v>
      </c>
      <c r="U366" t="e">
        <f>INT(MID($E366,MIN(FIND({0,1,2,3,4,5,6,7,8,9},$E366&amp;"0123456789")),LEN($E366)*2-LENB($E366)))</f>
        <v>#VALUE!</v>
      </c>
      <c r="V366" t="str">
        <f t="shared" si="16"/>
        <v>今日累计伤害达到 [00821c]3980[-] 万</v>
      </c>
    </row>
    <row r="367" spans="1:22" ht="16.5">
      <c r="A367" s="2">
        <v>10364</v>
      </c>
      <c r="B367" s="2">
        <v>91113</v>
      </c>
      <c r="C367" s="25">
        <v>0</v>
      </c>
      <c r="D367" s="10">
        <v>7</v>
      </c>
      <c r="E367" s="14" t="s">
        <v>877</v>
      </c>
      <c r="F367" s="20" t="s">
        <v>877</v>
      </c>
      <c r="G367" s="20" t="s">
        <v>12</v>
      </c>
      <c r="H367" s="20">
        <v>1</v>
      </c>
      <c r="I367" s="10" t="s">
        <v>493</v>
      </c>
      <c r="J367" s="36">
        <v>68504</v>
      </c>
      <c r="K367">
        <f t="shared" si="14"/>
        <v>150</v>
      </c>
      <c r="L367" t="str">
        <f>"1|"&amp;INDEX([1]梦魇入侵!$E$28:$Q$78,MATCH($M367,[1]梦魇入侵!$D$28:$D$78,0),MATCH($K367,[1]梦魇入侵!$E$28:$Q$28,0))</f>
        <v>1|177000000</v>
      </c>
      <c r="M367" s="42">
        <v>5</v>
      </c>
      <c r="N367" t="str">
        <f t="shared" si="15"/>
        <v>今日累计伤害达到17700万</v>
      </c>
      <c r="U367" t="e">
        <f>INT(MID($E367,MIN(FIND({0,1,2,3,4,5,6,7,8,9},$E367&amp;"0123456789")),LEN($E367)*2-LENB($E367)))</f>
        <v>#VALUE!</v>
      </c>
      <c r="V367" t="str">
        <f t="shared" si="16"/>
        <v>今日累计伤害达到 [00821c]6640[-] 万</v>
      </c>
    </row>
    <row r="368" spans="1:22" ht="16.5">
      <c r="A368" s="2">
        <v>10365</v>
      </c>
      <c r="B368" s="2">
        <v>91113</v>
      </c>
      <c r="C368" s="25">
        <v>0</v>
      </c>
      <c r="D368" s="10">
        <v>9</v>
      </c>
      <c r="E368" s="14" t="s">
        <v>878</v>
      </c>
      <c r="F368" s="20" t="s">
        <v>878</v>
      </c>
      <c r="G368" s="20" t="s">
        <v>22</v>
      </c>
      <c r="H368" s="20">
        <v>1</v>
      </c>
      <c r="I368" s="10" t="s">
        <v>494</v>
      </c>
      <c r="J368" s="36">
        <v>68505</v>
      </c>
      <c r="K368">
        <f t="shared" si="14"/>
        <v>150</v>
      </c>
      <c r="L368" t="str">
        <f>"1|"&amp;INDEX([1]梦魇入侵!$E$28:$Q$78,MATCH($M368,[1]梦魇入侵!$D$28:$D$78,0),MATCH($K368,[1]梦魇入侵!$E$28:$Q$28,0))</f>
        <v>1|212400000</v>
      </c>
      <c r="M368" s="42">
        <v>6</v>
      </c>
      <c r="N368" t="str">
        <f t="shared" si="15"/>
        <v>今日累计伤害达到21240万</v>
      </c>
      <c r="U368" t="e">
        <f>INT(MID($E368,MIN(FIND({0,1,2,3,4,5,6,7,8,9},$E368&amp;"0123456789")),LEN($E368)*2-LENB($E368)))</f>
        <v>#VALUE!</v>
      </c>
      <c r="V368" t="str">
        <f t="shared" si="16"/>
        <v>今日累计伤害达到 [00821c]7960[-] 万</v>
      </c>
    </row>
    <row r="369" spans="1:22" ht="16.5">
      <c r="A369" s="2">
        <v>10366</v>
      </c>
      <c r="B369" s="2">
        <v>91113</v>
      </c>
      <c r="C369" s="25">
        <v>0</v>
      </c>
      <c r="D369" s="10">
        <v>11</v>
      </c>
      <c r="E369" s="14" t="s">
        <v>879</v>
      </c>
      <c r="F369" s="20" t="s">
        <v>879</v>
      </c>
      <c r="G369" s="20" t="s">
        <v>3</v>
      </c>
      <c r="H369" s="20">
        <v>1</v>
      </c>
      <c r="I369" s="10" t="s">
        <v>495</v>
      </c>
      <c r="J369" s="36">
        <v>68506</v>
      </c>
      <c r="K369">
        <f t="shared" si="14"/>
        <v>150</v>
      </c>
      <c r="L369" t="str">
        <f>"1|"&amp;INDEX([1]梦魇入侵!$E$28:$Q$78,MATCH($M369,[1]梦魇入侵!$D$28:$D$78,0),MATCH($K369,[1]梦魇入侵!$E$28:$Q$28,0))</f>
        <v>1|283100000</v>
      </c>
      <c r="M369" s="42">
        <v>8</v>
      </c>
      <c r="N369" t="str">
        <f t="shared" si="15"/>
        <v>今日累计伤害达到28310万</v>
      </c>
      <c r="U369" t="e">
        <f>INT(MID($E369,MIN(FIND({0,1,2,3,4,5,6,7,8,9},$E369&amp;"0123456789")),LEN($E369)*2-LENB($E369)))</f>
        <v>#VALUE!</v>
      </c>
      <c r="V369" t="str">
        <f t="shared" si="16"/>
        <v>今日累计伤害达到 [00821c]10620[-] 万</v>
      </c>
    </row>
    <row r="370" spans="1:22" ht="16.5">
      <c r="A370" s="2">
        <v>10367</v>
      </c>
      <c r="B370" s="2">
        <v>91113</v>
      </c>
      <c r="C370" s="25">
        <v>0</v>
      </c>
      <c r="D370" s="10">
        <v>13</v>
      </c>
      <c r="E370" s="14" t="s">
        <v>880</v>
      </c>
      <c r="F370" s="20" t="s">
        <v>880</v>
      </c>
      <c r="G370" s="20" t="s">
        <v>23</v>
      </c>
      <c r="H370" s="20">
        <v>2</v>
      </c>
      <c r="I370" s="10" t="s">
        <v>496</v>
      </c>
      <c r="J370" s="36">
        <v>68507</v>
      </c>
      <c r="K370">
        <f t="shared" si="14"/>
        <v>150</v>
      </c>
      <c r="L370" t="str">
        <f>"1|"&amp;INDEX([1]梦魇入侵!$E$28:$Q$78,MATCH($M370,[1]梦魇入侵!$D$28:$D$78,0),MATCH($K370,[1]梦魇入侵!$E$28:$Q$28,0))</f>
        <v>1|389300000</v>
      </c>
      <c r="M370" s="42">
        <v>11</v>
      </c>
      <c r="N370" t="str">
        <f t="shared" si="15"/>
        <v>今日累计伤害达到38930万</v>
      </c>
      <c r="U370" t="e">
        <f>INT(MID($E370,MIN(FIND({0,1,2,3,4,5,6,7,8,9},$E370&amp;"0123456789")),LEN($E370)*2-LENB($E370)))</f>
        <v>#VALUE!</v>
      </c>
      <c r="V370" t="str">
        <f t="shared" si="16"/>
        <v>今日累计伤害达到 [00821c]14600[-] 万</v>
      </c>
    </row>
    <row r="371" spans="1:22" ht="16.5">
      <c r="A371" s="2">
        <v>10368</v>
      </c>
      <c r="B371" s="2">
        <v>91113</v>
      </c>
      <c r="C371" s="25">
        <v>0</v>
      </c>
      <c r="D371" s="10">
        <v>15</v>
      </c>
      <c r="E371" s="14" t="s">
        <v>881</v>
      </c>
      <c r="F371" s="20" t="s">
        <v>881</v>
      </c>
      <c r="G371" s="20" t="s">
        <v>9</v>
      </c>
      <c r="H371" s="20">
        <v>2</v>
      </c>
      <c r="I371" s="10" t="s">
        <v>497</v>
      </c>
      <c r="J371" s="36">
        <v>68508</v>
      </c>
      <c r="K371">
        <f t="shared" si="14"/>
        <v>150</v>
      </c>
      <c r="L371" t="str">
        <f>"1|"&amp;INDEX([1]梦魇入侵!$E$28:$Q$78,MATCH($M371,[1]梦魇入侵!$D$28:$D$78,0),MATCH($K371,[1]梦魇入侵!$E$28:$Q$28,0))</f>
        <v>1|495500000</v>
      </c>
      <c r="M371" s="42">
        <v>14</v>
      </c>
      <c r="N371" t="str">
        <f t="shared" si="15"/>
        <v>今日累计伤害达到49550万</v>
      </c>
      <c r="U371" t="e">
        <f>INT(MID($E371,MIN(FIND({0,1,2,3,4,5,6,7,8,9},$E371&amp;"0123456789")),LEN($E371)*2-LENB($E371)))</f>
        <v>#VALUE!</v>
      </c>
      <c r="V371" t="str">
        <f t="shared" si="16"/>
        <v>今日累计伤害达到 [00821c]18580[-] 万</v>
      </c>
    </row>
    <row r="372" spans="1:22" ht="16.5">
      <c r="A372" s="2">
        <v>10369</v>
      </c>
      <c r="B372" s="2">
        <v>91113</v>
      </c>
      <c r="C372" s="25">
        <v>0</v>
      </c>
      <c r="D372" s="10">
        <v>17</v>
      </c>
      <c r="E372" s="14" t="s">
        <v>882</v>
      </c>
      <c r="F372" s="20" t="s">
        <v>882</v>
      </c>
      <c r="G372" s="20" t="s">
        <v>5</v>
      </c>
      <c r="H372" s="20">
        <v>2</v>
      </c>
      <c r="I372" s="10" t="s">
        <v>498</v>
      </c>
      <c r="J372" s="36">
        <v>68509</v>
      </c>
      <c r="K372">
        <f t="shared" si="14"/>
        <v>150</v>
      </c>
      <c r="L372" t="str">
        <f>"1|"&amp;INDEX([1]梦魇入侵!$E$28:$Q$78,MATCH($M372,[1]梦魇入侵!$D$28:$D$78,0),MATCH($K372,[1]梦魇入侵!$E$28:$Q$28,0))</f>
        <v>1|566300000</v>
      </c>
      <c r="M372" s="42">
        <v>16</v>
      </c>
      <c r="N372" t="str">
        <f t="shared" si="15"/>
        <v>今日累计伤害达到56630万</v>
      </c>
      <c r="U372" t="e">
        <f>INT(MID($E372,MIN(FIND({0,1,2,3,4,5,6,7,8,9},$E372&amp;"0123456789")),LEN($E372)*2-LENB($E372)))</f>
        <v>#VALUE!</v>
      </c>
      <c r="V372" t="str">
        <f t="shared" si="16"/>
        <v>今日累计伤害达到 [00821c]21240[-] 万</v>
      </c>
    </row>
    <row r="373" spans="1:22" ht="16.5">
      <c r="A373" s="2">
        <v>10370</v>
      </c>
      <c r="B373" s="2">
        <v>91113</v>
      </c>
      <c r="C373" s="25">
        <v>0</v>
      </c>
      <c r="D373" s="10">
        <v>19</v>
      </c>
      <c r="E373" s="14" t="s">
        <v>883</v>
      </c>
      <c r="F373" s="20" t="s">
        <v>883</v>
      </c>
      <c r="G373" s="20" t="s">
        <v>24</v>
      </c>
      <c r="H373" s="20">
        <v>2</v>
      </c>
      <c r="I373" s="10" t="s">
        <v>499</v>
      </c>
      <c r="J373" s="36">
        <v>68510</v>
      </c>
      <c r="K373">
        <f t="shared" si="14"/>
        <v>150</v>
      </c>
      <c r="L373" t="str">
        <f>"1|"&amp;INDEX([1]梦魇入侵!$E$28:$Q$78,MATCH($M373,[1]梦魇入侵!$D$28:$D$78,0),MATCH($K373,[1]梦魇入侵!$E$28:$Q$28,0))</f>
        <v>1|672400000</v>
      </c>
      <c r="M373" s="42">
        <v>19</v>
      </c>
      <c r="N373" t="str">
        <f t="shared" si="15"/>
        <v>今日累计伤害达到67240万</v>
      </c>
      <c r="U373" t="e">
        <f>INT(MID($E373,MIN(FIND({0,1,2,3,4,5,6,7,8,9},$E373&amp;"0123456789")),LEN($E373)*2-LENB($E373)))</f>
        <v>#VALUE!</v>
      </c>
      <c r="V373" t="str">
        <f t="shared" si="16"/>
        <v>今日累计伤害达到 [00821c]25220[-] 万</v>
      </c>
    </row>
    <row r="374" spans="1:22" ht="16.5">
      <c r="A374" s="2">
        <v>10371</v>
      </c>
      <c r="B374" s="2">
        <v>91113</v>
      </c>
      <c r="C374" s="25">
        <v>0</v>
      </c>
      <c r="D374" s="10">
        <v>21</v>
      </c>
      <c r="E374" s="14" t="s">
        <v>884</v>
      </c>
      <c r="F374" s="20" t="s">
        <v>884</v>
      </c>
      <c r="G374" s="20" t="s">
        <v>27</v>
      </c>
      <c r="H374" s="20">
        <v>2</v>
      </c>
      <c r="I374" s="10" t="s">
        <v>500</v>
      </c>
      <c r="J374" s="36">
        <v>68511</v>
      </c>
      <c r="K374">
        <f t="shared" si="14"/>
        <v>150</v>
      </c>
      <c r="L374" t="str">
        <f>"1|"&amp;INDEX([1]梦魇入侵!$E$28:$Q$78,MATCH($M374,[1]梦魇入侵!$D$28:$D$78,0),MATCH($K374,[1]梦魇入侵!$E$28:$Q$28,0))</f>
        <v>1|743200000</v>
      </c>
      <c r="M374" s="42">
        <v>21</v>
      </c>
      <c r="N374" t="str">
        <f t="shared" si="15"/>
        <v>今日累计伤害达到74320万</v>
      </c>
      <c r="U374" t="e">
        <f>INT(MID($E374,MIN(FIND({0,1,2,3,4,5,6,7,8,9},$E374&amp;"0123456789")),LEN($E374)*2-LENB($E374)))</f>
        <v>#VALUE!</v>
      </c>
      <c r="V374" t="str">
        <f t="shared" si="16"/>
        <v>今日累计伤害达到 [00821c]27870[-] 万</v>
      </c>
    </row>
    <row r="375" spans="1:22" ht="16.5">
      <c r="A375" s="2">
        <v>10372</v>
      </c>
      <c r="B375" s="2">
        <v>91113</v>
      </c>
      <c r="C375" s="25">
        <v>0</v>
      </c>
      <c r="D375" s="10">
        <v>23</v>
      </c>
      <c r="E375" s="14" t="s">
        <v>885</v>
      </c>
      <c r="F375" s="20" t="s">
        <v>885</v>
      </c>
      <c r="G375" s="20" t="s">
        <v>6</v>
      </c>
      <c r="H375" s="20">
        <v>3</v>
      </c>
      <c r="I375" s="10" t="s">
        <v>501</v>
      </c>
      <c r="J375" s="36">
        <v>68512</v>
      </c>
      <c r="K375">
        <f t="shared" si="14"/>
        <v>150</v>
      </c>
      <c r="L375" t="str">
        <f>"1|"&amp;INDEX([1]梦魇入侵!$E$28:$Q$78,MATCH($M375,[1]梦魇入侵!$D$28:$D$78,0),MATCH($K375,[1]梦魇入侵!$E$28:$Q$28,0))</f>
        <v>1|849400000</v>
      </c>
      <c r="M375" s="42">
        <v>24</v>
      </c>
      <c r="N375" t="str">
        <f t="shared" si="15"/>
        <v>今日累计伤害达到84940万</v>
      </c>
      <c r="U375" t="e">
        <f>INT(MID($E375,MIN(FIND({0,1,2,3,4,5,6,7,8,9},$E375&amp;"0123456789")),LEN($E375)*2-LENB($E375)))</f>
        <v>#VALUE!</v>
      </c>
      <c r="V375" t="str">
        <f t="shared" si="16"/>
        <v>今日累计伤害达到 [00821c]31860[-] 万</v>
      </c>
    </row>
    <row r="376" spans="1:22" ht="16.5">
      <c r="A376" s="2">
        <v>10373</v>
      </c>
      <c r="B376" s="2">
        <v>91113</v>
      </c>
      <c r="C376" s="25">
        <v>0</v>
      </c>
      <c r="D376" s="10">
        <v>25</v>
      </c>
      <c r="E376" s="14" t="s">
        <v>886</v>
      </c>
      <c r="F376" s="20" t="s">
        <v>886</v>
      </c>
      <c r="G376" s="20" t="s">
        <v>4</v>
      </c>
      <c r="H376" s="20">
        <v>3</v>
      </c>
      <c r="I376" s="10" t="s">
        <v>502</v>
      </c>
      <c r="J376" s="36">
        <v>68513</v>
      </c>
      <c r="K376">
        <f t="shared" si="14"/>
        <v>150</v>
      </c>
      <c r="L376" t="str">
        <f>"1|"&amp;INDEX([1]梦魇入侵!$E$28:$Q$78,MATCH($M376,[1]梦魇入侵!$D$28:$D$78,0),MATCH($K376,[1]梦魇入侵!$E$28:$Q$28,0))</f>
        <v>1|920200000</v>
      </c>
      <c r="M376" s="42">
        <v>26</v>
      </c>
      <c r="N376" t="str">
        <f t="shared" si="15"/>
        <v>今日累计伤害达到92020万</v>
      </c>
      <c r="U376" t="e">
        <f>INT(MID($E376,MIN(FIND({0,1,2,3,4,5,6,7,8,9},$E376&amp;"0123456789")),LEN($E376)*2-LENB($E376)))</f>
        <v>#VALUE!</v>
      </c>
      <c r="V376" t="str">
        <f t="shared" si="16"/>
        <v>今日累计伤害达到 [00821c]34510[-] 万</v>
      </c>
    </row>
    <row r="377" spans="1:22" ht="16.5">
      <c r="A377" s="2">
        <v>10374</v>
      </c>
      <c r="B377" s="2">
        <v>91113</v>
      </c>
      <c r="C377" s="25">
        <v>0</v>
      </c>
      <c r="D377" s="10">
        <v>27</v>
      </c>
      <c r="E377" s="14" t="s">
        <v>887</v>
      </c>
      <c r="F377" s="20" t="s">
        <v>887</v>
      </c>
      <c r="G377" s="20" t="s">
        <v>25</v>
      </c>
      <c r="H377" s="20">
        <v>3</v>
      </c>
      <c r="I377" s="10" t="s">
        <v>503</v>
      </c>
      <c r="J377" s="36">
        <v>68514</v>
      </c>
      <c r="K377">
        <f t="shared" si="14"/>
        <v>150</v>
      </c>
      <c r="L377" t="str">
        <f>"1|"&amp;INDEX([1]梦魇入侵!$E$28:$Q$78,MATCH($M377,[1]梦魇入侵!$D$28:$D$78,0),MATCH($K377,[1]梦魇入侵!$E$28:$Q$28,0))</f>
        <v>1|1026400000</v>
      </c>
      <c r="M377" s="42">
        <v>29</v>
      </c>
      <c r="N377" t="str">
        <f t="shared" si="15"/>
        <v>今日累计伤害达到102640万</v>
      </c>
      <c r="U377" t="e">
        <f>INT(MID($E377,MIN(FIND({0,1,2,3,4,5,6,7,8,9},$E377&amp;"0123456789")),LEN($E377)*2-LENB($E377)))</f>
        <v>#VALUE!</v>
      </c>
      <c r="V377" t="str">
        <f t="shared" si="16"/>
        <v>今日累计伤害达到 [00821c]38490[-] 万</v>
      </c>
    </row>
    <row r="378" spans="1:22" ht="16.5">
      <c r="A378" s="2">
        <v>10375</v>
      </c>
      <c r="B378" s="2">
        <v>91113</v>
      </c>
      <c r="C378" s="25">
        <v>0</v>
      </c>
      <c r="D378" s="10">
        <v>29</v>
      </c>
      <c r="E378" s="14" t="s">
        <v>888</v>
      </c>
      <c r="F378" s="20" t="s">
        <v>888</v>
      </c>
      <c r="G378" s="20" t="s">
        <v>26</v>
      </c>
      <c r="H378" s="20">
        <v>3</v>
      </c>
      <c r="I378" s="10" t="s">
        <v>129</v>
      </c>
      <c r="J378" s="36">
        <v>68515</v>
      </c>
      <c r="K378">
        <f t="shared" si="14"/>
        <v>150</v>
      </c>
      <c r="L378" t="str">
        <f>"1|"&amp;INDEX([1]梦魇入侵!$E$28:$Q$78,MATCH($M378,[1]梦魇入侵!$D$28:$D$78,0),MATCH($K378,[1]梦魇入侵!$E$28:$Q$28,0))</f>
        <v>1|1203300000</v>
      </c>
      <c r="M378" s="42">
        <v>34</v>
      </c>
      <c r="N378" t="str">
        <f t="shared" si="15"/>
        <v>今日累计伤害达到120330万</v>
      </c>
      <c r="U378" t="e">
        <f>INT(MID($E378,MIN(FIND({0,1,2,3,4,5,6,7,8,9},$E378&amp;"0123456789")),LEN($E378)*2-LENB($E378)))</f>
        <v>#VALUE!</v>
      </c>
      <c r="V378" t="str">
        <f t="shared" si="16"/>
        <v>今日累计伤害达到 [00821c]45130[-] 万</v>
      </c>
    </row>
    <row r="379" spans="1:22" ht="16.5">
      <c r="A379" s="2">
        <v>10376</v>
      </c>
      <c r="B379" s="2">
        <v>91113</v>
      </c>
      <c r="C379" s="25">
        <v>0</v>
      </c>
      <c r="D379" s="10">
        <v>31</v>
      </c>
      <c r="E379" s="14" t="s">
        <v>889</v>
      </c>
      <c r="F379" s="20" t="s">
        <v>889</v>
      </c>
      <c r="G379" s="20" t="s">
        <v>7</v>
      </c>
      <c r="H379" s="20">
        <v>3</v>
      </c>
      <c r="I379" s="10" t="s">
        <v>504</v>
      </c>
      <c r="J379" s="36">
        <v>68516</v>
      </c>
      <c r="K379">
        <f t="shared" si="14"/>
        <v>150</v>
      </c>
      <c r="L379" t="str">
        <f>"1|"&amp;INDEX([1]梦魇入侵!$E$28:$Q$78,MATCH($M379,[1]梦魇入侵!$D$28:$D$78,0),MATCH($K379,[1]梦魇入侵!$E$28:$Q$28,0))</f>
        <v>1|1380300000</v>
      </c>
      <c r="M379" s="42">
        <v>39</v>
      </c>
      <c r="N379" t="str">
        <f t="shared" si="15"/>
        <v>今日累计伤害达到138030万</v>
      </c>
      <c r="U379" t="e">
        <f>INT(MID($E379,MIN(FIND({0,1,2,3,4,5,6,7,8,9},$E379&amp;"0123456789")),LEN($E379)*2-LENB($E379)))</f>
        <v>#VALUE!</v>
      </c>
      <c r="V379" t="str">
        <f t="shared" si="16"/>
        <v>今日累计伤害达到 [00821c]51760[-] 万</v>
      </c>
    </row>
    <row r="380" spans="1:22" ht="16.5">
      <c r="A380" s="2">
        <v>10377</v>
      </c>
      <c r="B380" s="2">
        <v>91113</v>
      </c>
      <c r="C380" s="25">
        <v>0</v>
      </c>
      <c r="D380" s="10">
        <v>33</v>
      </c>
      <c r="E380" s="14" t="s">
        <v>890</v>
      </c>
      <c r="F380" s="20" t="s">
        <v>890</v>
      </c>
      <c r="G380" s="20" t="s">
        <v>1</v>
      </c>
      <c r="H380" s="20">
        <v>3</v>
      </c>
      <c r="I380" s="10" t="s">
        <v>505</v>
      </c>
      <c r="J380" s="36">
        <v>68517</v>
      </c>
      <c r="K380">
        <f t="shared" si="14"/>
        <v>150</v>
      </c>
      <c r="L380" t="str">
        <f>"1|"&amp;INDEX([1]梦魇入侵!$E$28:$Q$78,MATCH($M380,[1]梦魇入侵!$D$28:$D$78,0),MATCH($K380,[1]梦魇入侵!$E$28:$Q$28,0))</f>
        <v>1|1557200000</v>
      </c>
      <c r="M380" s="42">
        <v>44</v>
      </c>
      <c r="N380" t="str">
        <f t="shared" si="15"/>
        <v>今日累计伤害达到155720万</v>
      </c>
      <c r="U380" t="e">
        <f>INT(MID($E380,MIN(FIND({0,1,2,3,4,5,6,7,8,9},$E380&amp;"0123456789")),LEN($E380)*2-LENB($E380)))</f>
        <v>#VALUE!</v>
      </c>
      <c r="V380" t="str">
        <f t="shared" si="16"/>
        <v>今日累计伤害达到 [00821c]58400[-] 万</v>
      </c>
    </row>
    <row r="381" spans="1:22" ht="16.5">
      <c r="A381" s="2">
        <v>10378</v>
      </c>
      <c r="B381" s="2">
        <v>91113</v>
      </c>
      <c r="C381" s="25">
        <v>0</v>
      </c>
      <c r="D381" s="10">
        <v>35</v>
      </c>
      <c r="E381" s="14" t="s">
        <v>891</v>
      </c>
      <c r="F381" s="20" t="s">
        <v>891</v>
      </c>
      <c r="G381" s="20" t="s">
        <v>27</v>
      </c>
      <c r="H381" s="20">
        <v>4</v>
      </c>
      <c r="I381" s="10" t="s">
        <v>506</v>
      </c>
      <c r="J381" s="36">
        <v>68518</v>
      </c>
      <c r="K381">
        <f t="shared" si="14"/>
        <v>150</v>
      </c>
      <c r="L381" t="str">
        <f>"1|"&amp;INDEX([1]梦魇入侵!$E$28:$Q$78,MATCH($M381,[1]梦魇入侵!$D$28:$D$78,0),MATCH($K381,[1]梦魇入侵!$E$28:$Q$28,0))</f>
        <v>1|1734200000</v>
      </c>
      <c r="M381" s="42">
        <v>49</v>
      </c>
      <c r="N381" t="str">
        <f t="shared" si="15"/>
        <v>今日累计伤害达到173420万</v>
      </c>
      <c r="U381" t="e">
        <f>INT(MID($E381,MIN(FIND({0,1,2,3,4,5,6,7,8,9},$E381&amp;"0123456789")),LEN($E381)*2-LENB($E381)))</f>
        <v>#VALUE!</v>
      </c>
      <c r="V381" t="str">
        <f t="shared" si="16"/>
        <v>今日累计伤害达到 [00821c]65040[-] 万</v>
      </c>
    </row>
    <row r="382" spans="1:22" ht="16.5">
      <c r="A382" s="2">
        <v>10379</v>
      </c>
      <c r="B382" s="2">
        <v>91113</v>
      </c>
      <c r="C382" s="25">
        <v>0</v>
      </c>
      <c r="D382" s="10">
        <v>37</v>
      </c>
      <c r="E382" s="14" t="s">
        <v>892</v>
      </c>
      <c r="F382" s="20" t="s">
        <v>892</v>
      </c>
      <c r="G382" s="20" t="s">
        <v>28</v>
      </c>
      <c r="H382" s="20">
        <v>4</v>
      </c>
      <c r="I382" s="10" t="s">
        <v>507</v>
      </c>
      <c r="J382" s="36">
        <v>68519</v>
      </c>
      <c r="K382">
        <f t="shared" si="14"/>
        <v>150</v>
      </c>
      <c r="L382" t="str">
        <f>"1|"&amp;INDEX([1]梦魇入侵!$E$28:$Q$78,MATCH($M382,[1]梦魇入侵!$D$28:$D$78,0),MATCH($K382,[1]梦魇入侵!$E$28:$Q$28,0))</f>
        <v>1|1946600000</v>
      </c>
      <c r="M382" s="42">
        <v>55</v>
      </c>
      <c r="N382" t="str">
        <f t="shared" si="15"/>
        <v>今日累计伤害达到194660万</v>
      </c>
      <c r="U382" t="e">
        <f>INT(MID($E382,MIN(FIND({0,1,2,3,4,5,6,7,8,9},$E382&amp;"0123456789")),LEN($E382)*2-LENB($E382)))</f>
        <v>#VALUE!</v>
      </c>
      <c r="V382" t="str">
        <f t="shared" si="16"/>
        <v>今日累计伤害达到 [00821c]73000[-] 万</v>
      </c>
    </row>
    <row r="383" spans="1:22" ht="16.5">
      <c r="A383" s="2">
        <v>10380</v>
      </c>
      <c r="B383" s="2">
        <v>91113</v>
      </c>
      <c r="C383" s="25">
        <v>0</v>
      </c>
      <c r="D383" s="10">
        <v>39</v>
      </c>
      <c r="E383" s="14" t="s">
        <v>893</v>
      </c>
      <c r="F383" s="20" t="s">
        <v>893</v>
      </c>
      <c r="G383" s="20" t="s">
        <v>14</v>
      </c>
      <c r="H383" s="20">
        <v>4</v>
      </c>
      <c r="I383" s="10" t="s">
        <v>508</v>
      </c>
      <c r="J383" s="36">
        <v>68520</v>
      </c>
      <c r="K383">
        <f t="shared" si="14"/>
        <v>150</v>
      </c>
      <c r="L383" t="str">
        <f>"1|"&amp;INDEX([1]梦魇入侵!$E$28:$Q$78,MATCH($M383,[1]梦魇入侵!$D$28:$D$78,0),MATCH($K383,[1]梦魇入侵!$E$28:$Q$28,0))</f>
        <v>1|2123500000</v>
      </c>
      <c r="M383" s="42">
        <v>60</v>
      </c>
      <c r="N383" t="str">
        <f t="shared" si="15"/>
        <v>今日累计伤害达到212350万</v>
      </c>
      <c r="U383" t="e">
        <f>INT(MID($E383,MIN(FIND({0,1,2,3,4,5,6,7,8,9},$E383&amp;"0123456789")),LEN($E383)*2-LENB($E383)))</f>
        <v>#VALUE!</v>
      </c>
      <c r="V383" t="str">
        <f t="shared" si="16"/>
        <v>今日累计伤害达到 [00821c]79640[-] 万</v>
      </c>
    </row>
    <row r="384" spans="1:22" ht="16.5">
      <c r="A384" s="2">
        <v>10381</v>
      </c>
      <c r="B384" s="2">
        <v>91113</v>
      </c>
      <c r="C384" s="25">
        <v>0</v>
      </c>
      <c r="D384" s="10">
        <v>41</v>
      </c>
      <c r="E384" s="14" t="s">
        <v>894</v>
      </c>
      <c r="F384" s="20" t="s">
        <v>894</v>
      </c>
      <c r="G384" s="20" t="s">
        <v>4</v>
      </c>
      <c r="H384" s="20">
        <v>4</v>
      </c>
      <c r="I384" s="10" t="s">
        <v>509</v>
      </c>
      <c r="J384" s="36">
        <v>68521</v>
      </c>
      <c r="K384">
        <f t="shared" si="14"/>
        <v>150</v>
      </c>
      <c r="L384" t="str">
        <f>"1|"&amp;INDEX([1]梦魇入侵!$E$28:$Q$78,MATCH($M384,[1]梦魇入侵!$D$28:$D$78,0),MATCH($K384,[1]梦魇入侵!$E$28:$Q$28,0))</f>
        <v>1|2300500000</v>
      </c>
      <c r="M384" s="42">
        <v>65</v>
      </c>
      <c r="N384" t="str">
        <f t="shared" si="15"/>
        <v>今日累计伤害达到230050万</v>
      </c>
      <c r="U384" t="e">
        <f>INT(MID($E384,MIN(FIND({0,1,2,3,4,5,6,7,8,9},$E384&amp;"0123456789")),LEN($E384)*2-LENB($E384)))</f>
        <v>#VALUE!</v>
      </c>
      <c r="V384" t="str">
        <f t="shared" si="16"/>
        <v>今日累计伤害达到 [00821c]86270[-] 万</v>
      </c>
    </row>
    <row r="385" spans="1:22" ht="16.5">
      <c r="A385" s="2">
        <v>10382</v>
      </c>
      <c r="B385" s="2">
        <v>91113</v>
      </c>
      <c r="C385" s="25">
        <v>0</v>
      </c>
      <c r="D385" s="10">
        <v>43</v>
      </c>
      <c r="E385" s="14" t="s">
        <v>895</v>
      </c>
      <c r="F385" s="20" t="s">
        <v>895</v>
      </c>
      <c r="G385" s="20" t="s">
        <v>29</v>
      </c>
      <c r="H385" s="20">
        <v>4</v>
      </c>
      <c r="I385" s="10" t="s">
        <v>510</v>
      </c>
      <c r="J385" s="36">
        <v>68522</v>
      </c>
      <c r="K385">
        <f t="shared" ref="K385:K393" si="17">K355+10</f>
        <v>150</v>
      </c>
      <c r="L385" t="str">
        <f>"1|"&amp;INDEX([1]梦魇入侵!$E$28:$Q$78,MATCH($M385,[1]梦魇入侵!$D$28:$D$78,0),MATCH($K385,[1]梦魇入侵!$E$28:$Q$28,0))</f>
        <v>1|2477400000</v>
      </c>
      <c r="M385" s="42">
        <v>70</v>
      </c>
      <c r="N385" t="str">
        <f t="shared" si="15"/>
        <v>今日累计伤害达到247740万</v>
      </c>
      <c r="U385" t="e">
        <f>INT(MID($E385,MIN(FIND({0,1,2,3,4,5,6,7,8,9},$E385&amp;"0123456789")),LEN($E385)*2-LENB($E385)))</f>
        <v>#VALUE!</v>
      </c>
      <c r="V385" t="str">
        <f t="shared" si="16"/>
        <v>今日累计伤害达到 [00821c]92910[-] 万</v>
      </c>
    </row>
    <row r="386" spans="1:22" ht="16.5">
      <c r="A386" s="2">
        <v>10383</v>
      </c>
      <c r="B386" s="2">
        <v>91113</v>
      </c>
      <c r="C386" s="25">
        <v>0</v>
      </c>
      <c r="D386" s="10">
        <v>45</v>
      </c>
      <c r="E386" s="14" t="s">
        <v>896</v>
      </c>
      <c r="F386" s="20" t="s">
        <v>896</v>
      </c>
      <c r="G386" s="20" t="s">
        <v>33</v>
      </c>
      <c r="H386" s="20">
        <v>4</v>
      </c>
      <c r="I386" s="10" t="s">
        <v>511</v>
      </c>
      <c r="J386" s="36">
        <v>68523</v>
      </c>
      <c r="K386">
        <f t="shared" si="17"/>
        <v>150</v>
      </c>
      <c r="L386" t="str">
        <f>"1|"&amp;INDEX([1]梦魇入侵!$E$28:$Q$78,MATCH($M386,[1]梦魇入侵!$D$28:$D$78,0),MATCH($K386,[1]梦魇入侵!$E$28:$Q$28,0))</f>
        <v>1|2654400000</v>
      </c>
      <c r="M386" s="42">
        <v>75</v>
      </c>
      <c r="N386" t="str">
        <f t="shared" si="15"/>
        <v>今日累计伤害达到265440万</v>
      </c>
      <c r="U386" t="e">
        <f>INT(MID($E386,MIN(FIND({0,1,2,3,4,5,6,7,8,9},$E386&amp;"0123456789")),LEN($E386)*2-LENB($E386)))</f>
        <v>#VALUE!</v>
      </c>
      <c r="V386" t="str">
        <f t="shared" si="16"/>
        <v>今日累计伤害达到 [00821c]99550[-] 万</v>
      </c>
    </row>
    <row r="387" spans="1:22" ht="16.5">
      <c r="A387" s="2">
        <v>10384</v>
      </c>
      <c r="B387" s="2">
        <v>91113</v>
      </c>
      <c r="C387" s="25">
        <v>0</v>
      </c>
      <c r="D387" s="10">
        <v>47</v>
      </c>
      <c r="E387" s="14" t="s">
        <v>897</v>
      </c>
      <c r="F387" s="20" t="s">
        <v>897</v>
      </c>
      <c r="G387" s="20" t="s">
        <v>15</v>
      </c>
      <c r="H387" s="20">
        <v>4</v>
      </c>
      <c r="I387" s="10" t="s">
        <v>512</v>
      </c>
      <c r="J387" s="36">
        <v>68524</v>
      </c>
      <c r="K387">
        <f t="shared" si="17"/>
        <v>150</v>
      </c>
      <c r="L387" t="str">
        <f>"1|"&amp;INDEX([1]梦魇入侵!$E$28:$Q$78,MATCH($M387,[1]梦魇入侵!$D$28:$D$78,0),MATCH($K387,[1]梦魇入侵!$E$28:$Q$28,0))</f>
        <v>1|3185300000</v>
      </c>
      <c r="M387" s="42">
        <v>90</v>
      </c>
      <c r="N387" t="str">
        <f t="shared" si="15"/>
        <v>今日累计伤害达到318530万</v>
      </c>
      <c r="U387" t="e">
        <f>INT(MID($E387,MIN(FIND({0,1,2,3,4,5,6,7,8,9},$E387&amp;"0123456789")),LEN($E387)*2-LENB($E387)))</f>
        <v>#VALUE!</v>
      </c>
      <c r="V387" t="str">
        <f t="shared" si="16"/>
        <v>今日累计伤害达到 [00821c]119460[-] 万</v>
      </c>
    </row>
    <row r="388" spans="1:22" ht="16.5">
      <c r="A388" s="2">
        <v>10385</v>
      </c>
      <c r="B388" s="2">
        <v>91113</v>
      </c>
      <c r="C388" s="25">
        <v>0</v>
      </c>
      <c r="D388" s="10">
        <v>49</v>
      </c>
      <c r="E388" s="14" t="s">
        <v>898</v>
      </c>
      <c r="F388" s="20" t="s">
        <v>898</v>
      </c>
      <c r="G388" s="20" t="s">
        <v>16</v>
      </c>
      <c r="H388" s="20">
        <v>4</v>
      </c>
      <c r="I388" s="10" t="s">
        <v>513</v>
      </c>
      <c r="J388" s="36">
        <v>68525</v>
      </c>
      <c r="K388">
        <f t="shared" si="17"/>
        <v>150</v>
      </c>
      <c r="L388" t="str">
        <f>"1|"&amp;INDEX([1]梦魇入侵!$E$28:$Q$78,MATCH($M388,[1]梦魇入侵!$D$28:$D$78,0),MATCH($K388,[1]梦魇入侵!$E$28:$Q$28,0))</f>
        <v>1|3397600000</v>
      </c>
      <c r="M388" s="42">
        <v>96</v>
      </c>
      <c r="N388" t="str">
        <f t="shared" ref="N388:N393" si="18">"今日累计伤害达到"&amp;RIGHT($L388,LEN($L388)-2)/10000&amp;"万"</f>
        <v>今日累计伤害达到339760万</v>
      </c>
      <c r="U388" t="e">
        <f>INT(MID($E388,MIN(FIND({0,1,2,3,4,5,6,7,8,9},$E388&amp;"0123456789")),LEN($E388)*2-LENB($E388)))</f>
        <v>#VALUE!</v>
      </c>
      <c r="V388" t="str">
        <f t="shared" si="16"/>
        <v>今日累计伤害达到 [00821c]127420[-] 万</v>
      </c>
    </row>
    <row r="389" spans="1:22" ht="16.5">
      <c r="A389" s="2">
        <v>10386</v>
      </c>
      <c r="B389" s="2">
        <v>91113</v>
      </c>
      <c r="C389" s="25">
        <v>0</v>
      </c>
      <c r="D389" s="10">
        <v>51</v>
      </c>
      <c r="E389" s="14" t="s">
        <v>899</v>
      </c>
      <c r="F389" s="20" t="s">
        <v>899</v>
      </c>
      <c r="G389" s="20" t="s">
        <v>20</v>
      </c>
      <c r="H389" s="20">
        <v>4</v>
      </c>
      <c r="I389" s="10" t="s">
        <v>514</v>
      </c>
      <c r="J389" s="36">
        <v>68526</v>
      </c>
      <c r="K389">
        <f t="shared" si="17"/>
        <v>150</v>
      </c>
      <c r="L389" t="str">
        <f>"1|"&amp;INDEX([1]梦魇入侵!$E$28:$Q$78,MATCH($M389,[1]梦魇入侵!$D$28:$D$78,0),MATCH($K389,[1]梦魇入侵!$E$28:$Q$28,0))</f>
        <v>1|3574600000</v>
      </c>
      <c r="M389" s="42">
        <v>101</v>
      </c>
      <c r="N389" t="str">
        <f t="shared" si="18"/>
        <v>今日累计伤害达到357460万</v>
      </c>
      <c r="U389" t="e">
        <f>INT(MID($E389,MIN(FIND({0,1,2,3,4,5,6,7,8,9},$E389&amp;"0123456789")),LEN($E389)*2-LENB($E389)))</f>
        <v>#VALUE!</v>
      </c>
      <c r="V389" t="str">
        <f t="shared" ref="V389:V413" si="19">IF(ISERROR($U389),$E389,LEFT($E389,FIND($U389,$E389)-1)&amp;" [379340]"&amp;U389&amp;"[-] "&amp;IFERROR(RIGHT($E389,LEN($E389)-FIND($U389,$E389)-LEN($U389)+1),""))</f>
        <v>今日累计伤害达到 [00821c]134060[-] 万</v>
      </c>
    </row>
    <row r="390" spans="1:22" ht="16.5">
      <c r="A390" s="2">
        <v>10387</v>
      </c>
      <c r="B390" s="2">
        <v>91113</v>
      </c>
      <c r="C390" s="25">
        <v>0</v>
      </c>
      <c r="D390" s="10">
        <v>53</v>
      </c>
      <c r="E390" s="14" t="s">
        <v>900</v>
      </c>
      <c r="F390" s="20" t="s">
        <v>900</v>
      </c>
      <c r="G390" s="20" t="s">
        <v>93</v>
      </c>
      <c r="H390" s="20">
        <v>4</v>
      </c>
      <c r="I390" s="10" t="s">
        <v>515</v>
      </c>
      <c r="J390" s="36">
        <v>68527</v>
      </c>
      <c r="K390">
        <f t="shared" si="17"/>
        <v>150</v>
      </c>
      <c r="L390" t="str">
        <f>"1|"&amp;INDEX([1]梦魇入侵!$E$28:$Q$78,MATCH($M390,[1]梦魇入侵!$D$28:$D$78,0),MATCH($K390,[1]梦魇入侵!$E$28:$Q$28,0))</f>
        <v>1|3751600000</v>
      </c>
      <c r="M390" s="42">
        <v>106</v>
      </c>
      <c r="N390" t="str">
        <f t="shared" si="18"/>
        <v>今日累计伤害达到375160万</v>
      </c>
      <c r="U390" t="e">
        <f>INT(MID($E390,MIN(FIND({0,1,2,3,4,5,6,7,8,9},$E390&amp;"0123456789")),LEN($E390)*2-LENB($E390)))</f>
        <v>#VALUE!</v>
      </c>
      <c r="V390" t="str">
        <f t="shared" si="19"/>
        <v>今日累计伤害达到 [00821c]140690[-] 万</v>
      </c>
    </row>
    <row r="391" spans="1:22" ht="16.5">
      <c r="A391" s="2">
        <v>10388</v>
      </c>
      <c r="B391" s="2">
        <v>91113</v>
      </c>
      <c r="C391" s="25">
        <v>0</v>
      </c>
      <c r="D391" s="10">
        <v>55</v>
      </c>
      <c r="E391" s="14" t="s">
        <v>901</v>
      </c>
      <c r="F391" s="20" t="s">
        <v>901</v>
      </c>
      <c r="G391" s="20" t="s">
        <v>31</v>
      </c>
      <c r="H391" s="20">
        <v>4</v>
      </c>
      <c r="I391" s="10" t="s">
        <v>516</v>
      </c>
      <c r="J391" s="36">
        <v>68528</v>
      </c>
      <c r="K391">
        <f t="shared" si="17"/>
        <v>150</v>
      </c>
      <c r="L391" t="str">
        <f>"1|"&amp;INDEX([1]梦魇入侵!$E$28:$Q$78,MATCH($M391,[1]梦魇入侵!$D$28:$D$78,0),MATCH($K391,[1]梦魇入侵!$E$28:$Q$28,0))</f>
        <v>1|3928500000</v>
      </c>
      <c r="M391" s="42">
        <v>111</v>
      </c>
      <c r="N391" t="str">
        <f t="shared" si="18"/>
        <v>今日累计伤害达到392850万</v>
      </c>
      <c r="U391" t="e">
        <f>INT(MID($E391,MIN(FIND({0,1,2,3,4,5,6,7,8,9},$E391&amp;"0123456789")),LEN($E391)*2-LENB($E391)))</f>
        <v>#VALUE!</v>
      </c>
      <c r="V391" t="str">
        <f t="shared" si="19"/>
        <v>今日累计伤害达到 [00821c]147330[-] 万</v>
      </c>
    </row>
    <row r="392" spans="1:22" ht="16.5">
      <c r="A392" s="2">
        <v>10389</v>
      </c>
      <c r="B392" s="2">
        <v>91113</v>
      </c>
      <c r="C392" s="25">
        <v>0</v>
      </c>
      <c r="D392" s="10">
        <v>57</v>
      </c>
      <c r="E392" s="14" t="s">
        <v>902</v>
      </c>
      <c r="F392" s="20" t="s">
        <v>902</v>
      </c>
      <c r="G392" s="20" t="s">
        <v>23</v>
      </c>
      <c r="H392" s="20">
        <v>4</v>
      </c>
      <c r="I392" s="10" t="s">
        <v>517</v>
      </c>
      <c r="J392" s="36">
        <v>68529</v>
      </c>
      <c r="K392">
        <f t="shared" si="17"/>
        <v>150</v>
      </c>
      <c r="L392" t="str">
        <f>"1|"&amp;INDEX([1]梦魇入侵!$E$28:$Q$78,MATCH($M392,[1]梦魇入侵!$D$28:$D$78,0),MATCH($K392,[1]梦魇入侵!$E$28:$Q$28,0))</f>
        <v>1|4105500000</v>
      </c>
      <c r="M392" s="42">
        <v>116</v>
      </c>
      <c r="N392" t="str">
        <f t="shared" si="18"/>
        <v>今日累计伤害达到410550万</v>
      </c>
      <c r="U392" t="e">
        <f>INT(MID($E392,MIN(FIND({0,1,2,3,4,5,6,7,8,9},$E392&amp;"0123456789")),LEN($E392)*2-LENB($E392)))</f>
        <v>#VALUE!</v>
      </c>
      <c r="V392" t="str">
        <f t="shared" si="19"/>
        <v>今日累计伤害达到 [00821c]153970[-] 万</v>
      </c>
    </row>
    <row r="393" spans="1:22" ht="16.5">
      <c r="A393" s="2">
        <v>10390</v>
      </c>
      <c r="B393" s="2">
        <v>91113</v>
      </c>
      <c r="C393" s="25">
        <v>0</v>
      </c>
      <c r="D393" s="10">
        <v>59</v>
      </c>
      <c r="E393" s="14" t="s">
        <v>903</v>
      </c>
      <c r="F393" s="20" t="s">
        <v>903</v>
      </c>
      <c r="G393" s="20" t="s">
        <v>17</v>
      </c>
      <c r="H393" s="20">
        <v>4</v>
      </c>
      <c r="I393" s="10" t="s">
        <v>518</v>
      </c>
      <c r="J393" s="36">
        <v>68530</v>
      </c>
      <c r="K393">
        <f t="shared" si="17"/>
        <v>150</v>
      </c>
      <c r="L393" t="str">
        <f>"1|"&amp;INDEX([1]梦魇入侵!$E$28:$Q$78,MATCH($M393,[1]梦魇入侵!$D$28:$D$78,0),MATCH($K393,[1]梦魇入侵!$E$28:$Q$28,0))</f>
        <v>1|4282400000</v>
      </c>
      <c r="M393" s="42">
        <v>121</v>
      </c>
      <c r="N393" t="str">
        <f t="shared" si="18"/>
        <v>今日累计伤害达到428240万</v>
      </c>
      <c r="U393" t="e">
        <f>INT(MID($E393,MIN(FIND({0,1,2,3,4,5,6,7,8,9},$E393&amp;"0123456789")),LEN($E393)*2-LENB($E393)))</f>
        <v>#VALUE!</v>
      </c>
      <c r="V393" t="str">
        <f t="shared" si="19"/>
        <v>今日累计伤害达到 [00821c]160600[-] 万</v>
      </c>
    </row>
    <row r="394" spans="1:22" s="4" customFormat="1" ht="16.5">
      <c r="A394" s="15">
        <v>50001</v>
      </c>
      <c r="B394" s="15">
        <v>10030</v>
      </c>
      <c r="C394" s="26">
        <v>0</v>
      </c>
      <c r="D394" s="16">
        <v>2</v>
      </c>
      <c r="E394" s="17" t="s">
        <v>904</v>
      </c>
      <c r="F394" s="21" t="s">
        <v>904</v>
      </c>
      <c r="G394" s="21" t="s">
        <v>90</v>
      </c>
      <c r="H394" s="21">
        <v>1</v>
      </c>
      <c r="I394" s="16" t="s">
        <v>96</v>
      </c>
      <c r="J394" s="39">
        <v>68531</v>
      </c>
      <c r="M394" s="44" t="s">
        <v>130</v>
      </c>
      <c r="O394" t="str">
        <f>VLOOKUP(A394,[2]梦魇入侵!$K:$L,2,0)</f>
        <v>1|14003|1</v>
      </c>
      <c r="U394" s="4" t="e">
        <f>INT(MID($E394,MIN(FIND({0,1,2,3,4,5,6,7,8,9},$E394&amp;"0123456789")),LEN($E394)*2-LENB($E394)))</f>
        <v>#VALUE!</v>
      </c>
      <c r="V394" s="4" t="str">
        <f t="shared" si="19"/>
        <v>今日累计击杀 [00821c]2[-] 个梦魇</v>
      </c>
    </row>
    <row r="395" spans="1:22" s="4" customFormat="1" ht="16.5">
      <c r="A395" s="15">
        <v>50002</v>
      </c>
      <c r="B395" s="15">
        <v>10030</v>
      </c>
      <c r="C395" s="26">
        <v>0</v>
      </c>
      <c r="D395" s="16">
        <v>4</v>
      </c>
      <c r="E395" s="17" t="s">
        <v>905</v>
      </c>
      <c r="F395" s="21" t="s">
        <v>905</v>
      </c>
      <c r="G395" s="21" t="s">
        <v>1</v>
      </c>
      <c r="H395" s="21">
        <v>1</v>
      </c>
      <c r="I395" s="16" t="s">
        <v>97</v>
      </c>
      <c r="J395" s="39">
        <v>68532</v>
      </c>
      <c r="M395" s="44" t="s">
        <v>131</v>
      </c>
      <c r="O395" t="str">
        <f>VLOOKUP(A395,[2]梦魇入侵!$K:$L,2,0)</f>
        <v>4|29|100</v>
      </c>
      <c r="U395" s="4" t="e">
        <f>INT(MID($E395,MIN(FIND({0,1,2,3,4,5,6,7,8,9},$E395&amp;"0123456789")),LEN($E395)*2-LENB($E395)))</f>
        <v>#VALUE!</v>
      </c>
      <c r="V395" s="4" t="str">
        <f t="shared" si="19"/>
        <v>今日累计击杀 [00821c]4[-] 个梦魇</v>
      </c>
    </row>
    <row r="396" spans="1:22" s="4" customFormat="1" ht="16.5">
      <c r="A396" s="15">
        <v>50003</v>
      </c>
      <c r="B396" s="15">
        <v>10030</v>
      </c>
      <c r="C396" s="26">
        <v>0</v>
      </c>
      <c r="D396" s="16">
        <v>6</v>
      </c>
      <c r="E396" s="17" t="s">
        <v>906</v>
      </c>
      <c r="F396" s="21" t="s">
        <v>906</v>
      </c>
      <c r="G396" s="21" t="s">
        <v>2</v>
      </c>
      <c r="H396" s="21">
        <v>1</v>
      </c>
      <c r="I396" s="16" t="s">
        <v>98</v>
      </c>
      <c r="J396" s="39">
        <v>68533</v>
      </c>
      <c r="M396" s="44" t="s">
        <v>132</v>
      </c>
      <c r="O396" t="str">
        <f>VLOOKUP(A396,[2]梦魇入侵!$K:$L,2,0)</f>
        <v>1|16005|2</v>
      </c>
      <c r="U396" s="4" t="e">
        <f>INT(MID($E396,MIN(FIND({0,1,2,3,4,5,6,7,8,9},$E396&amp;"0123456789")),LEN($E396)*2-LENB($E396)))</f>
        <v>#VALUE!</v>
      </c>
      <c r="V396" s="4" t="str">
        <f t="shared" si="19"/>
        <v>今日累计击杀 [00821c]6[-] 个梦魇</v>
      </c>
    </row>
    <row r="397" spans="1:22" s="4" customFormat="1" ht="16.5">
      <c r="A397" s="15">
        <v>50004</v>
      </c>
      <c r="B397" s="15">
        <v>10030</v>
      </c>
      <c r="C397" s="26">
        <v>0</v>
      </c>
      <c r="D397" s="16">
        <v>8</v>
      </c>
      <c r="E397" s="17" t="s">
        <v>907</v>
      </c>
      <c r="F397" s="21" t="s">
        <v>907</v>
      </c>
      <c r="G397" s="21" t="s">
        <v>12</v>
      </c>
      <c r="H397" s="21">
        <v>1</v>
      </c>
      <c r="I397" s="16" t="s">
        <v>99</v>
      </c>
      <c r="J397" s="39">
        <v>68534</v>
      </c>
      <c r="M397" s="44" t="s">
        <v>133</v>
      </c>
      <c r="O397" t="str">
        <f>VLOOKUP(A397,[2]梦魇入侵!$K:$L,2,0)</f>
        <v>1|17001|2</v>
      </c>
      <c r="U397" s="4" t="e">
        <f>INT(MID($E397,MIN(FIND({0,1,2,3,4,5,6,7,8,9},$E397&amp;"0123456789")),LEN($E397)*2-LENB($E397)))</f>
        <v>#VALUE!</v>
      </c>
      <c r="V397" s="4" t="str">
        <f t="shared" si="19"/>
        <v>今日累计击杀 [00821c]8[-] 个梦魇</v>
      </c>
    </row>
    <row r="398" spans="1:22" s="4" customFormat="1" ht="16.5">
      <c r="A398" s="15">
        <v>50005</v>
      </c>
      <c r="B398" s="15">
        <v>10030</v>
      </c>
      <c r="C398" s="26">
        <v>0</v>
      </c>
      <c r="D398" s="16">
        <v>10</v>
      </c>
      <c r="E398" s="17" t="s">
        <v>908</v>
      </c>
      <c r="F398" s="21" t="s">
        <v>908</v>
      </c>
      <c r="G398" s="21" t="s">
        <v>22</v>
      </c>
      <c r="H398" s="21">
        <v>1</v>
      </c>
      <c r="I398" s="16" t="s">
        <v>100</v>
      </c>
      <c r="J398" s="39">
        <v>68535</v>
      </c>
      <c r="M398" s="44" t="s">
        <v>134</v>
      </c>
      <c r="O398" t="str">
        <f>VLOOKUP(A398,[2]梦魇入侵!$K:$L,2,0)</f>
        <v>4|1|25000</v>
      </c>
      <c r="U398" s="4" t="e">
        <f>INT(MID($E398,MIN(FIND({0,1,2,3,4,5,6,7,8,9},$E398&amp;"0123456789")),LEN($E398)*2-LENB($E398)))</f>
        <v>#VALUE!</v>
      </c>
      <c r="V398" s="4" t="str">
        <f t="shared" si="19"/>
        <v>今日累计击杀 [00821c]10[-] 个梦魇</v>
      </c>
    </row>
    <row r="399" spans="1:22" s="4" customFormat="1" ht="16.5">
      <c r="A399" s="15">
        <v>50006</v>
      </c>
      <c r="B399" s="15">
        <v>10030</v>
      </c>
      <c r="C399" s="26">
        <v>0</v>
      </c>
      <c r="D399" s="16">
        <v>12</v>
      </c>
      <c r="E399" s="17" t="s">
        <v>909</v>
      </c>
      <c r="F399" s="21" t="s">
        <v>909</v>
      </c>
      <c r="G399" s="21" t="s">
        <v>3</v>
      </c>
      <c r="H399" s="21">
        <v>2</v>
      </c>
      <c r="I399" s="16" t="s">
        <v>101</v>
      </c>
      <c r="J399" s="39">
        <v>68536</v>
      </c>
      <c r="M399" s="44" t="s">
        <v>135</v>
      </c>
      <c r="O399" t="str">
        <f>VLOOKUP(A399,[2]梦魇入侵!$K:$L,2,0)</f>
        <v>1|14003|1</v>
      </c>
      <c r="U399" s="4" t="e">
        <f>INT(MID($E399,MIN(FIND({0,1,2,3,4,5,6,7,8,9},$E399&amp;"0123456789")),LEN($E399)*2-LENB($E399)))</f>
        <v>#VALUE!</v>
      </c>
      <c r="V399" s="4" t="str">
        <f t="shared" si="19"/>
        <v>今日累计击杀 [00821c]12[-] 个梦魇</v>
      </c>
    </row>
    <row r="400" spans="1:22" s="4" customFormat="1" ht="16.5">
      <c r="A400" s="15">
        <v>50007</v>
      </c>
      <c r="B400" s="15">
        <v>10030</v>
      </c>
      <c r="C400" s="26">
        <v>0</v>
      </c>
      <c r="D400" s="16">
        <v>14</v>
      </c>
      <c r="E400" s="17" t="s">
        <v>910</v>
      </c>
      <c r="F400" s="21" t="s">
        <v>910</v>
      </c>
      <c r="G400" s="21" t="s">
        <v>23</v>
      </c>
      <c r="H400" s="21">
        <v>2</v>
      </c>
      <c r="I400" s="16" t="s">
        <v>102</v>
      </c>
      <c r="J400" s="39">
        <v>68537</v>
      </c>
      <c r="M400" s="44" t="s">
        <v>136</v>
      </c>
      <c r="O400" t="str">
        <f>VLOOKUP(A400,[2]梦魇入侵!$K:$L,2,0)</f>
        <v>4|29|200</v>
      </c>
      <c r="U400" s="4" t="e">
        <f>INT(MID($E400,MIN(FIND({0,1,2,3,4,5,6,7,8,9},$E400&amp;"0123456789")),LEN($E400)*2-LENB($E400)))</f>
        <v>#VALUE!</v>
      </c>
      <c r="V400" s="4" t="str">
        <f t="shared" si="19"/>
        <v>今日累计击杀 [00821c]14[-] 个梦魇</v>
      </c>
    </row>
    <row r="401" spans="1:22" s="4" customFormat="1" ht="16.5">
      <c r="A401" s="15">
        <v>50008</v>
      </c>
      <c r="B401" s="15">
        <v>10030</v>
      </c>
      <c r="C401" s="26">
        <v>0</v>
      </c>
      <c r="D401" s="16">
        <v>16</v>
      </c>
      <c r="E401" s="17" t="s">
        <v>911</v>
      </c>
      <c r="F401" s="21" t="s">
        <v>911</v>
      </c>
      <c r="G401" s="21" t="s">
        <v>9</v>
      </c>
      <c r="H401" s="21">
        <v>2</v>
      </c>
      <c r="I401" s="16" t="s">
        <v>103</v>
      </c>
      <c r="J401" s="39">
        <v>68538</v>
      </c>
      <c r="M401" s="44" t="s">
        <v>137</v>
      </c>
      <c r="O401" t="str">
        <f>VLOOKUP(A401,[2]梦魇入侵!$K:$L,2,0)</f>
        <v>1|14201|3</v>
      </c>
      <c r="U401" s="4" t="e">
        <f>INT(MID($E401,MIN(FIND({0,1,2,3,4,5,6,7,8,9},$E401&amp;"0123456789")),LEN($E401)*2-LENB($E401)))</f>
        <v>#VALUE!</v>
      </c>
      <c r="V401" s="4" t="str">
        <f t="shared" si="19"/>
        <v>今日累计击杀 [00821c]16[-] 个梦魇</v>
      </c>
    </row>
    <row r="402" spans="1:22" s="4" customFormat="1" ht="16.5">
      <c r="A402" s="15">
        <v>50009</v>
      </c>
      <c r="B402" s="15">
        <v>10030</v>
      </c>
      <c r="C402" s="26">
        <v>0</v>
      </c>
      <c r="D402" s="16">
        <v>18</v>
      </c>
      <c r="E402" s="17" t="s">
        <v>912</v>
      </c>
      <c r="F402" s="21" t="s">
        <v>912</v>
      </c>
      <c r="G402" s="21" t="s">
        <v>5</v>
      </c>
      <c r="H402" s="21">
        <v>2</v>
      </c>
      <c r="I402" s="16" t="s">
        <v>104</v>
      </c>
      <c r="J402" s="39">
        <v>68539</v>
      </c>
      <c r="M402" s="44" t="s">
        <v>138</v>
      </c>
      <c r="O402" t="str">
        <f>VLOOKUP(A402,[2]梦魇入侵!$K:$L,2,0)</f>
        <v>1|16005|3</v>
      </c>
      <c r="U402" s="4" t="e">
        <f>INT(MID($E402,MIN(FIND({0,1,2,3,4,5,6,7,8,9},$E402&amp;"0123456789")),LEN($E402)*2-LENB($E402)))</f>
        <v>#VALUE!</v>
      </c>
      <c r="V402" s="4" t="str">
        <f t="shared" si="19"/>
        <v>今日累计击杀 [00821c]18[-] 个梦魇</v>
      </c>
    </row>
    <row r="403" spans="1:22" s="4" customFormat="1" ht="16.5">
      <c r="A403" s="15">
        <v>50010</v>
      </c>
      <c r="B403" s="15">
        <v>10030</v>
      </c>
      <c r="C403" s="26">
        <v>0</v>
      </c>
      <c r="D403" s="16">
        <v>20</v>
      </c>
      <c r="E403" s="17" t="s">
        <v>913</v>
      </c>
      <c r="F403" s="21" t="s">
        <v>913</v>
      </c>
      <c r="G403" s="21" t="s">
        <v>24</v>
      </c>
      <c r="H403" s="21">
        <v>2</v>
      </c>
      <c r="I403" s="16" t="s">
        <v>82</v>
      </c>
      <c r="J403" s="39">
        <v>68540</v>
      </c>
      <c r="M403" s="44" t="s">
        <v>139</v>
      </c>
      <c r="O403" t="str">
        <f>VLOOKUP(A403,[2]梦魇入侵!$K:$L,2,0)</f>
        <v>1|17001|3</v>
      </c>
      <c r="U403" s="4" t="e">
        <f>INT(MID($E403,MIN(FIND({0,1,2,3,4,5,6,7,8,9},$E403&amp;"0123456789")),LEN($E403)*2-LENB($E403)))</f>
        <v>#VALUE!</v>
      </c>
      <c r="V403" s="4" t="str">
        <f t="shared" si="19"/>
        <v>今日累计击杀 [00821c]20[-] 个梦魇</v>
      </c>
    </row>
    <row r="404" spans="1:22" s="4" customFormat="1" ht="16.5">
      <c r="A404" s="15">
        <v>50011</v>
      </c>
      <c r="B404" s="15">
        <v>10030</v>
      </c>
      <c r="C404" s="26">
        <v>0</v>
      </c>
      <c r="D404" s="16">
        <v>22</v>
      </c>
      <c r="E404" s="17" t="s">
        <v>914</v>
      </c>
      <c r="F404" s="21" t="s">
        <v>914</v>
      </c>
      <c r="G404" s="21" t="s">
        <v>91</v>
      </c>
      <c r="H404" s="21">
        <v>3</v>
      </c>
      <c r="I404" s="16" t="s">
        <v>105</v>
      </c>
      <c r="J404" s="39">
        <v>68541</v>
      </c>
      <c r="M404" s="44" t="s">
        <v>140</v>
      </c>
      <c r="O404" t="str">
        <f>VLOOKUP(A404,[2]梦魇入侵!$K:$L,2,0)</f>
        <v>4|29|300</v>
      </c>
      <c r="U404" s="4" t="e">
        <f>INT(MID($E404,MIN(FIND({0,1,2,3,4,5,6,7,8,9},$E404&amp;"0123456789")),LEN($E404)*2-LENB($E404)))</f>
        <v>#VALUE!</v>
      </c>
      <c r="V404" s="4" t="str">
        <f t="shared" si="19"/>
        <v>今日累计击杀 [00821c]22[-] 个梦魇</v>
      </c>
    </row>
    <row r="405" spans="1:22" s="4" customFormat="1" ht="16.5">
      <c r="A405" s="15">
        <v>50012</v>
      </c>
      <c r="B405" s="15">
        <v>10030</v>
      </c>
      <c r="C405" s="26">
        <v>0</v>
      </c>
      <c r="D405" s="16">
        <v>24</v>
      </c>
      <c r="E405" s="17" t="s">
        <v>915</v>
      </c>
      <c r="F405" s="21" t="s">
        <v>915</v>
      </c>
      <c r="G405" s="21" t="s">
        <v>6</v>
      </c>
      <c r="H405" s="21">
        <v>3</v>
      </c>
      <c r="I405" s="16" t="s">
        <v>106</v>
      </c>
      <c r="J405" s="39">
        <v>68542</v>
      </c>
      <c r="M405" s="44" t="s">
        <v>141</v>
      </c>
      <c r="O405" t="str">
        <f>VLOOKUP(A405,[2]梦魇入侵!$K:$L,2,0)</f>
        <v>1|14211|2</v>
      </c>
      <c r="U405" s="4" t="e">
        <f>INT(MID($E405,MIN(FIND({0,1,2,3,4,5,6,7,8,9},$E405&amp;"0123456789")),LEN($E405)*2-LENB($E405)))</f>
        <v>#VALUE!</v>
      </c>
      <c r="V405" s="4" t="str">
        <f t="shared" si="19"/>
        <v>今日累计击杀 [00821c]24[-] 个梦魇</v>
      </c>
    </row>
    <row r="406" spans="1:22" s="4" customFormat="1" ht="16.5">
      <c r="A406" s="15">
        <v>50013</v>
      </c>
      <c r="B406" s="15">
        <v>10030</v>
      </c>
      <c r="C406" s="26">
        <v>0</v>
      </c>
      <c r="D406" s="16">
        <v>26</v>
      </c>
      <c r="E406" s="17" t="s">
        <v>916</v>
      </c>
      <c r="F406" s="21" t="s">
        <v>916</v>
      </c>
      <c r="G406" s="21" t="s">
        <v>4</v>
      </c>
      <c r="H406" s="21">
        <v>3</v>
      </c>
      <c r="I406" s="16" t="s">
        <v>107</v>
      </c>
      <c r="J406" s="39">
        <v>68543</v>
      </c>
      <c r="M406" s="44" t="s">
        <v>142</v>
      </c>
      <c r="O406" t="str">
        <f>VLOOKUP(A406,[2]梦魇入侵!$K:$L,2,0)</f>
        <v>6|4502|2</v>
      </c>
      <c r="U406" s="4" t="e">
        <f>INT(MID($E406,MIN(FIND({0,1,2,3,4,5,6,7,8,9},$E406&amp;"0123456789")),LEN($E406)*2-LENB($E406)))</f>
        <v>#VALUE!</v>
      </c>
      <c r="V406" s="4" t="str">
        <f t="shared" si="19"/>
        <v>今日累计击杀 [00821c]26[-] 个梦魇</v>
      </c>
    </row>
    <row r="407" spans="1:22" s="4" customFormat="1" ht="16.5">
      <c r="A407" s="15">
        <v>50014</v>
      </c>
      <c r="B407" s="15">
        <v>10030</v>
      </c>
      <c r="C407" s="26">
        <v>0</v>
      </c>
      <c r="D407" s="16">
        <v>28</v>
      </c>
      <c r="E407" s="17" t="s">
        <v>917</v>
      </c>
      <c r="F407" s="21" t="s">
        <v>917</v>
      </c>
      <c r="G407" s="21" t="s">
        <v>25</v>
      </c>
      <c r="H407" s="21">
        <v>3</v>
      </c>
      <c r="I407" s="16" t="s">
        <v>108</v>
      </c>
      <c r="J407" s="39">
        <v>68544</v>
      </c>
      <c r="M407" s="44" t="s">
        <v>143</v>
      </c>
      <c r="O407" t="str">
        <f>VLOOKUP(A407,[2]梦魇入侵!$K:$L,2,0)</f>
        <v>1|14201|4</v>
      </c>
      <c r="U407" s="4" t="e">
        <f>INT(MID($E407,MIN(FIND({0,1,2,3,4,5,6,7,8,9},$E407&amp;"0123456789")),LEN($E407)*2-LENB($E407)))</f>
        <v>#VALUE!</v>
      </c>
      <c r="V407" s="4" t="str">
        <f t="shared" si="19"/>
        <v>今日累计击杀 [00821c]28[-] 个梦魇</v>
      </c>
    </row>
    <row r="408" spans="1:22" s="4" customFormat="1" ht="16.5">
      <c r="A408" s="15">
        <v>50015</v>
      </c>
      <c r="B408" s="15">
        <v>10030</v>
      </c>
      <c r="C408" s="26">
        <v>0</v>
      </c>
      <c r="D408" s="16">
        <v>30</v>
      </c>
      <c r="E408" s="17" t="s">
        <v>918</v>
      </c>
      <c r="F408" s="21" t="s">
        <v>918</v>
      </c>
      <c r="G408" s="21" t="s">
        <v>26</v>
      </c>
      <c r="H408" s="21">
        <v>3</v>
      </c>
      <c r="I408" s="16" t="s">
        <v>83</v>
      </c>
      <c r="J408" s="39">
        <v>68545</v>
      </c>
      <c r="M408" s="44" t="s">
        <v>144</v>
      </c>
      <c r="O408" t="str">
        <f>VLOOKUP(A408,[2]梦魇入侵!$K:$L,2,0)</f>
        <v>1|17000|40</v>
      </c>
      <c r="U408" s="4" t="e">
        <f>INT(MID($E408,MIN(FIND({0,1,2,3,4,5,6,7,8,9},$E408&amp;"0123456789")),LEN($E408)*2-LENB($E408)))</f>
        <v>#VALUE!</v>
      </c>
      <c r="V408" s="4" t="str">
        <f t="shared" si="19"/>
        <v>今日累计击杀 [00821c]30[-] 个梦魇</v>
      </c>
    </row>
    <row r="409" spans="1:22" s="4" customFormat="1" ht="16.5">
      <c r="A409" s="15">
        <v>50016</v>
      </c>
      <c r="B409" s="15">
        <v>10030</v>
      </c>
      <c r="C409" s="26">
        <v>0</v>
      </c>
      <c r="D409" s="16">
        <v>32</v>
      </c>
      <c r="E409" s="17" t="s">
        <v>919</v>
      </c>
      <c r="F409" s="21" t="s">
        <v>919</v>
      </c>
      <c r="G409" s="21" t="s">
        <v>7</v>
      </c>
      <c r="H409" s="21">
        <v>4</v>
      </c>
      <c r="I409" s="16" t="s">
        <v>109</v>
      </c>
      <c r="J409" s="39">
        <v>68546</v>
      </c>
      <c r="M409" s="44" t="s">
        <v>145</v>
      </c>
      <c r="O409" t="str">
        <f>VLOOKUP(A409,[2]梦魇入侵!$K:$L,2,0)</f>
        <v>1|17001|4</v>
      </c>
      <c r="U409" s="4" t="e">
        <f>INT(MID($E409,MIN(FIND({0,1,2,3,4,5,6,7,8,9},$E409&amp;"0123456789")),LEN($E409)*2-LENB($E409)))</f>
        <v>#VALUE!</v>
      </c>
      <c r="V409" s="4" t="str">
        <f t="shared" si="19"/>
        <v>今日累计击杀 [00821c]32[-] 个梦魇</v>
      </c>
    </row>
    <row r="410" spans="1:22" s="4" customFormat="1" ht="16.5">
      <c r="A410" s="15">
        <v>50017</v>
      </c>
      <c r="B410" s="15">
        <v>10030</v>
      </c>
      <c r="C410" s="26">
        <v>0</v>
      </c>
      <c r="D410" s="16">
        <v>34</v>
      </c>
      <c r="E410" s="17" t="s">
        <v>920</v>
      </c>
      <c r="F410" s="21" t="s">
        <v>920</v>
      </c>
      <c r="G410" s="21" t="s">
        <v>1</v>
      </c>
      <c r="H410" s="21">
        <v>4</v>
      </c>
      <c r="I410" s="16" t="s">
        <v>110</v>
      </c>
      <c r="J410" s="39">
        <v>68547</v>
      </c>
      <c r="M410" s="44" t="s">
        <v>146</v>
      </c>
      <c r="O410" t="str">
        <f>VLOOKUP(A410,[2]梦魇入侵!$K:$L,2,0)</f>
        <v>4|29|400</v>
      </c>
      <c r="U410" s="4" t="e">
        <f>INT(MID($E410,MIN(FIND({0,1,2,3,4,5,6,7,8,9},$E410&amp;"0123456789")),LEN($E410)*2-LENB($E410)))</f>
        <v>#VALUE!</v>
      </c>
      <c r="V410" s="4" t="str">
        <f t="shared" si="19"/>
        <v>今日累计击杀 [00821c]34[-] 个梦魇</v>
      </c>
    </row>
    <row r="411" spans="1:22" s="4" customFormat="1" ht="16.5">
      <c r="A411" s="15">
        <v>50018</v>
      </c>
      <c r="B411" s="15">
        <v>10030</v>
      </c>
      <c r="C411" s="26">
        <v>0</v>
      </c>
      <c r="D411" s="16">
        <v>36</v>
      </c>
      <c r="E411" s="17" t="s">
        <v>921</v>
      </c>
      <c r="F411" s="21" t="s">
        <v>921</v>
      </c>
      <c r="G411" s="21" t="s">
        <v>27</v>
      </c>
      <c r="H411" s="21">
        <v>4</v>
      </c>
      <c r="I411" s="16" t="s">
        <v>111</v>
      </c>
      <c r="J411" s="39">
        <v>68548</v>
      </c>
      <c r="M411" s="44" t="s">
        <v>147</v>
      </c>
      <c r="O411" t="str">
        <f>VLOOKUP(A411,[2]梦魇入侵!$K:$L,2,0)</f>
        <v>1|14003|1</v>
      </c>
      <c r="U411" s="4" t="e">
        <f>INT(MID($E411,MIN(FIND({0,1,2,3,4,5,6,7,8,9},$E411&amp;"0123456789")),LEN($E411)*2-LENB($E411)))</f>
        <v>#VALUE!</v>
      </c>
      <c r="V411" s="4" t="str">
        <f t="shared" si="19"/>
        <v>今日累计击杀 [00821c]36[-] 个梦魇</v>
      </c>
    </row>
    <row r="412" spans="1:22" s="4" customFormat="1" ht="16.5">
      <c r="A412" s="15">
        <v>50019</v>
      </c>
      <c r="B412" s="15">
        <v>10030</v>
      </c>
      <c r="C412" s="26">
        <v>0</v>
      </c>
      <c r="D412" s="16">
        <v>38</v>
      </c>
      <c r="E412" s="17" t="s">
        <v>922</v>
      </c>
      <c r="F412" s="21" t="s">
        <v>922</v>
      </c>
      <c r="G412" s="21" t="s">
        <v>28</v>
      </c>
      <c r="H412" s="21">
        <v>4</v>
      </c>
      <c r="I412" s="16" t="s">
        <v>112</v>
      </c>
      <c r="J412" s="39">
        <v>68549</v>
      </c>
      <c r="M412" s="44" t="s">
        <v>148</v>
      </c>
      <c r="O412" t="str">
        <f>VLOOKUP(A412,[2]梦魇入侵!$K:$L,2,0)</f>
        <v>1|14211|3</v>
      </c>
      <c r="U412" s="4" t="e">
        <f>INT(MID($E412,MIN(FIND({0,1,2,3,4,5,6,7,8,9},$E412&amp;"0123456789")),LEN($E412)*2-LENB($E412)))</f>
        <v>#VALUE!</v>
      </c>
      <c r="V412" s="4" t="str">
        <f t="shared" si="19"/>
        <v>今日累计击杀 [00821c]38[-] 个梦魇</v>
      </c>
    </row>
    <row r="413" spans="1:22" s="4" customFormat="1" ht="16.5">
      <c r="A413" s="15">
        <v>50020</v>
      </c>
      <c r="B413" s="15">
        <v>10030</v>
      </c>
      <c r="C413" s="26">
        <v>0</v>
      </c>
      <c r="D413" s="16">
        <v>40</v>
      </c>
      <c r="E413" s="17" t="s">
        <v>923</v>
      </c>
      <c r="F413" s="21" t="s">
        <v>923</v>
      </c>
      <c r="G413" s="21" t="s">
        <v>14</v>
      </c>
      <c r="H413" s="21">
        <v>4</v>
      </c>
      <c r="I413" s="16" t="s">
        <v>84</v>
      </c>
      <c r="J413" s="39">
        <v>68550</v>
      </c>
      <c r="M413" s="44" t="s">
        <v>149</v>
      </c>
      <c r="O413" t="str">
        <f>VLOOKUP(A413,[2]梦魇入侵!$K:$L,2,0)</f>
        <v>6|4502|2</v>
      </c>
      <c r="U413" s="4" t="e">
        <f>INT(MID($E413,MIN(FIND({0,1,2,3,4,5,6,7,8,9},$E413&amp;"0123456789")),LEN($E413)*2-LENB($E413)))</f>
        <v>#VALUE!</v>
      </c>
      <c r="V413" s="4" t="str">
        <f t="shared" si="19"/>
        <v>今日累计击杀 [00821c]40[-] 个梦魇</v>
      </c>
    </row>
  </sheetData>
  <autoFilter ref="A1:J53"/>
  <phoneticPr fontId="4" type="noConversion"/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F1:Z75"/>
  <sheetViews>
    <sheetView topLeftCell="G42" workbookViewId="0">
      <selection activeCell="Z1" sqref="Z1:Z75"/>
    </sheetView>
  </sheetViews>
  <sheetFormatPr defaultRowHeight="13.5"/>
  <cols>
    <col min="6" max="6" width="8.5" style="7" customWidth="1"/>
    <col min="7" max="9" width="8.5" customWidth="1"/>
    <col min="11" max="14" width="11" customWidth="1"/>
    <col min="21" max="24" width="11.25" customWidth="1"/>
  </cols>
  <sheetData>
    <row r="1" spans="6:26" ht="16.5">
      <c r="F1" s="5">
        <v>34101</v>
      </c>
      <c r="G1">
        <v>34100</v>
      </c>
      <c r="K1" t="s">
        <v>40</v>
      </c>
      <c r="L1" t="s">
        <v>41</v>
      </c>
      <c r="M1" t="s">
        <v>42</v>
      </c>
      <c r="N1" t="s">
        <v>42</v>
      </c>
      <c r="P1" t="s">
        <v>43</v>
      </c>
      <c r="Q1" t="s">
        <v>44</v>
      </c>
      <c r="R1" t="s">
        <v>42</v>
      </c>
      <c r="S1" t="s">
        <v>42</v>
      </c>
      <c r="U1" t="str">
        <f>IF(K1="","",MID(K1,3,LEN(K1)-2)&amp;"|"&amp;LEFT(P1,LEN(P1)-2))</f>
        <v>4|1|2500</v>
      </c>
      <c r="V1" t="str">
        <f t="shared" ref="V1:X1" si="0">IF(L1="","",MID(L1,3,LEN(L1)-2)&amp;"|"&amp;LEFT(Q1,LEN(Q1)-2))</f>
        <v>1|16503|20</v>
      </c>
      <c r="W1" t="str">
        <f t="shared" si="0"/>
        <v/>
      </c>
      <c r="X1" t="str">
        <f t="shared" si="0"/>
        <v/>
      </c>
      <c r="Z1" t="str">
        <f>U1&amp;","&amp;V1&amp;IF(W1="","",","&amp;W1)&amp;IF(X1="","",","&amp;X1)</f>
        <v>4|1|2500,1|16503|20</v>
      </c>
    </row>
    <row r="2" spans="6:26" ht="16.5">
      <c r="F2" s="5">
        <v>34101</v>
      </c>
      <c r="G2">
        <v>34100</v>
      </c>
      <c r="H2">
        <v>34002</v>
      </c>
      <c r="K2" t="s">
        <v>40</v>
      </c>
      <c r="L2" t="s">
        <v>41</v>
      </c>
      <c r="M2" t="s">
        <v>45</v>
      </c>
      <c r="N2" t="s">
        <v>42</v>
      </c>
      <c r="P2" t="s">
        <v>43</v>
      </c>
      <c r="Q2" t="s">
        <v>44</v>
      </c>
      <c r="R2" t="s">
        <v>46</v>
      </c>
      <c r="S2" t="s">
        <v>42</v>
      </c>
      <c r="U2" t="str">
        <f t="shared" ref="U2:U65" si="1">IF(K2="","",MID(K2,3,LEN(K2)-2)&amp;"|"&amp;LEFT(P2,LEN(P2)-2))</f>
        <v>4|1|2500</v>
      </c>
      <c r="V2" t="str">
        <f t="shared" ref="V2:V65" si="2">IF(L2="","",MID(L2,3,LEN(L2)-2)&amp;"|"&amp;LEFT(Q2,LEN(Q2)-2))</f>
        <v>1|16503|20</v>
      </c>
      <c r="W2" t="str">
        <f t="shared" ref="W2:W65" si="3">IF(M2="","",MID(M2,3,LEN(M2)-2)&amp;"|"&amp;LEFT(R2,LEN(R2)-2))</f>
        <v>1|14308|1</v>
      </c>
      <c r="X2" t="str">
        <f t="shared" ref="X2:X65" si="4">IF(N2="","",MID(N2,3,LEN(N2)-2)&amp;"|"&amp;LEFT(S2,LEN(S2)-2))</f>
        <v/>
      </c>
      <c r="Z2" t="str">
        <f t="shared" ref="Z2:Z65" si="5">U2&amp;","&amp;V2&amp;IF(W2="","",","&amp;W2)&amp;IF(X2="","",","&amp;X2)</f>
        <v>4|1|2500,1|16503|20,1|14308|1</v>
      </c>
    </row>
    <row r="3" spans="6:26" ht="16.5">
      <c r="F3" s="5">
        <v>34101</v>
      </c>
      <c r="G3">
        <v>34100</v>
      </c>
      <c r="H3">
        <v>34005</v>
      </c>
      <c r="K3" t="s">
        <v>40</v>
      </c>
      <c r="L3" t="s">
        <v>41</v>
      </c>
      <c r="M3" t="s">
        <v>47</v>
      </c>
      <c r="N3" t="s">
        <v>42</v>
      </c>
      <c r="P3" t="s">
        <v>43</v>
      </c>
      <c r="Q3" t="s">
        <v>44</v>
      </c>
      <c r="R3" t="s">
        <v>46</v>
      </c>
      <c r="S3" t="s">
        <v>42</v>
      </c>
      <c r="U3" t="str">
        <f t="shared" si="1"/>
        <v>4|1|2500</v>
      </c>
      <c r="V3" t="str">
        <f t="shared" si="2"/>
        <v>1|16503|20</v>
      </c>
      <c r="W3" t="str">
        <f t="shared" si="3"/>
        <v>1|14301|1</v>
      </c>
      <c r="X3" t="str">
        <f t="shared" si="4"/>
        <v/>
      </c>
      <c r="Z3" t="str">
        <f t="shared" si="5"/>
        <v>4|1|2500,1|16503|20,1|14301|1</v>
      </c>
    </row>
    <row r="4" spans="6:26" ht="16.5">
      <c r="F4" s="5">
        <v>34101</v>
      </c>
      <c r="G4">
        <v>34100</v>
      </c>
      <c r="H4">
        <v>34002</v>
      </c>
      <c r="I4">
        <v>34005</v>
      </c>
      <c r="K4" t="s">
        <v>40</v>
      </c>
      <c r="L4" t="s">
        <v>41</v>
      </c>
      <c r="M4" t="s">
        <v>45</v>
      </c>
      <c r="N4" t="s">
        <v>47</v>
      </c>
      <c r="P4" t="s">
        <v>43</v>
      </c>
      <c r="Q4" t="s">
        <v>44</v>
      </c>
      <c r="R4" t="s">
        <v>46</v>
      </c>
      <c r="S4" t="s">
        <v>46</v>
      </c>
      <c r="U4" t="str">
        <f t="shared" si="1"/>
        <v>4|1|2500</v>
      </c>
      <c r="V4" t="str">
        <f t="shared" si="2"/>
        <v>1|16503|20</v>
      </c>
      <c r="W4" t="str">
        <f t="shared" si="3"/>
        <v>1|14308|1</v>
      </c>
      <c r="X4" t="str">
        <f t="shared" si="4"/>
        <v>1|14301|1</v>
      </c>
      <c r="Z4" t="str">
        <f t="shared" si="5"/>
        <v>4|1|2500,1|16503|20,1|14308|1,1|14301|1</v>
      </c>
    </row>
    <row r="5" spans="6:26" ht="16.5">
      <c r="F5" s="5">
        <v>34102</v>
      </c>
      <c r="G5">
        <v>34100</v>
      </c>
      <c r="K5" t="s">
        <v>40</v>
      </c>
      <c r="L5" t="s">
        <v>41</v>
      </c>
      <c r="M5" t="s">
        <v>42</v>
      </c>
      <c r="N5" t="s">
        <v>42</v>
      </c>
      <c r="P5" t="s">
        <v>48</v>
      </c>
      <c r="Q5" t="s">
        <v>44</v>
      </c>
      <c r="R5" t="s">
        <v>42</v>
      </c>
      <c r="S5" t="s">
        <v>42</v>
      </c>
      <c r="U5" t="str">
        <f t="shared" si="1"/>
        <v>4|1|5000</v>
      </c>
      <c r="V5" t="str">
        <f t="shared" si="2"/>
        <v>1|16503|20</v>
      </c>
      <c r="W5" t="str">
        <f t="shared" si="3"/>
        <v/>
      </c>
      <c r="X5" t="str">
        <f t="shared" si="4"/>
        <v/>
      </c>
      <c r="Z5" t="str">
        <f t="shared" si="5"/>
        <v>4|1|5000,1|16503|20</v>
      </c>
    </row>
    <row r="6" spans="6:26" ht="16.5">
      <c r="F6" s="5">
        <v>34102</v>
      </c>
      <c r="G6">
        <v>34100</v>
      </c>
      <c r="H6">
        <v>34002</v>
      </c>
      <c r="K6" t="s">
        <v>40</v>
      </c>
      <c r="L6" t="s">
        <v>41</v>
      </c>
      <c r="M6" t="s">
        <v>45</v>
      </c>
      <c r="N6" t="s">
        <v>42</v>
      </c>
      <c r="P6" t="s">
        <v>48</v>
      </c>
      <c r="Q6" t="s">
        <v>44</v>
      </c>
      <c r="R6" t="s">
        <v>46</v>
      </c>
      <c r="S6" t="s">
        <v>42</v>
      </c>
      <c r="U6" t="str">
        <f t="shared" si="1"/>
        <v>4|1|5000</v>
      </c>
      <c r="V6" t="str">
        <f t="shared" si="2"/>
        <v>1|16503|20</v>
      </c>
      <c r="W6" t="str">
        <f t="shared" si="3"/>
        <v>1|14308|1</v>
      </c>
      <c r="X6" t="str">
        <f t="shared" si="4"/>
        <v/>
      </c>
      <c r="Z6" t="str">
        <f t="shared" si="5"/>
        <v>4|1|5000,1|16503|20,1|14308|1</v>
      </c>
    </row>
    <row r="7" spans="6:26" ht="16.5">
      <c r="F7" s="5">
        <v>34102</v>
      </c>
      <c r="G7">
        <v>34100</v>
      </c>
      <c r="H7">
        <v>34005</v>
      </c>
      <c r="K7" t="s">
        <v>40</v>
      </c>
      <c r="L7" t="s">
        <v>41</v>
      </c>
      <c r="M7" t="s">
        <v>47</v>
      </c>
      <c r="N7" t="s">
        <v>42</v>
      </c>
      <c r="P7" t="s">
        <v>48</v>
      </c>
      <c r="Q7" t="s">
        <v>44</v>
      </c>
      <c r="R7" t="s">
        <v>46</v>
      </c>
      <c r="S7" t="s">
        <v>42</v>
      </c>
      <c r="U7" t="str">
        <f t="shared" si="1"/>
        <v>4|1|5000</v>
      </c>
      <c r="V7" t="str">
        <f t="shared" si="2"/>
        <v>1|16503|20</v>
      </c>
      <c r="W7" t="str">
        <f t="shared" si="3"/>
        <v>1|14301|1</v>
      </c>
      <c r="X7" t="str">
        <f t="shared" si="4"/>
        <v/>
      </c>
      <c r="Z7" t="str">
        <f t="shared" si="5"/>
        <v>4|1|5000,1|16503|20,1|14301|1</v>
      </c>
    </row>
    <row r="8" spans="6:26" ht="16.5">
      <c r="F8" s="5">
        <v>34102</v>
      </c>
      <c r="G8">
        <v>34100</v>
      </c>
      <c r="H8">
        <v>34002</v>
      </c>
      <c r="I8">
        <v>34005</v>
      </c>
      <c r="K8" t="s">
        <v>40</v>
      </c>
      <c r="L8" t="s">
        <v>41</v>
      </c>
      <c r="M8" t="s">
        <v>45</v>
      </c>
      <c r="N8" t="s">
        <v>47</v>
      </c>
      <c r="P8" t="s">
        <v>48</v>
      </c>
      <c r="Q8" t="s">
        <v>44</v>
      </c>
      <c r="R8" t="s">
        <v>46</v>
      </c>
      <c r="S8" t="s">
        <v>46</v>
      </c>
      <c r="U8" t="str">
        <f t="shared" si="1"/>
        <v>4|1|5000</v>
      </c>
      <c r="V8" t="str">
        <f t="shared" si="2"/>
        <v>1|16503|20</v>
      </c>
      <c r="W8" t="str">
        <f t="shared" si="3"/>
        <v>1|14308|1</v>
      </c>
      <c r="X8" t="str">
        <f t="shared" si="4"/>
        <v>1|14301|1</v>
      </c>
      <c r="Z8" t="str">
        <f t="shared" si="5"/>
        <v>4|1|5000,1|16503|20,1|14308|1,1|14301|1</v>
      </c>
    </row>
    <row r="9" spans="6:26" ht="16.5">
      <c r="F9" s="5">
        <v>34103</v>
      </c>
      <c r="G9">
        <v>34100</v>
      </c>
      <c r="K9" t="s">
        <v>40</v>
      </c>
      <c r="L9" t="s">
        <v>41</v>
      </c>
      <c r="M9" t="s">
        <v>42</v>
      </c>
      <c r="N9" t="s">
        <v>42</v>
      </c>
      <c r="P9" t="s">
        <v>49</v>
      </c>
      <c r="Q9" t="s">
        <v>44</v>
      </c>
      <c r="R9" t="s">
        <v>42</v>
      </c>
      <c r="S9" t="s">
        <v>42</v>
      </c>
      <c r="U9" t="str">
        <f t="shared" si="1"/>
        <v>4|1|7500</v>
      </c>
      <c r="V9" t="str">
        <f t="shared" si="2"/>
        <v>1|16503|20</v>
      </c>
      <c r="W9" t="str">
        <f t="shared" si="3"/>
        <v/>
      </c>
      <c r="X9" t="str">
        <f t="shared" si="4"/>
        <v/>
      </c>
      <c r="Z9" t="str">
        <f t="shared" si="5"/>
        <v>4|1|7500,1|16503|20</v>
      </c>
    </row>
    <row r="10" spans="6:26" ht="16.5">
      <c r="F10" s="5">
        <v>34103</v>
      </c>
      <c r="G10">
        <v>34100</v>
      </c>
      <c r="H10">
        <v>34002</v>
      </c>
      <c r="K10" t="s">
        <v>40</v>
      </c>
      <c r="L10" t="s">
        <v>41</v>
      </c>
      <c r="M10" t="s">
        <v>45</v>
      </c>
      <c r="N10" t="s">
        <v>42</v>
      </c>
      <c r="P10" t="s">
        <v>49</v>
      </c>
      <c r="Q10" t="s">
        <v>44</v>
      </c>
      <c r="R10" t="s">
        <v>46</v>
      </c>
      <c r="S10" t="s">
        <v>42</v>
      </c>
      <c r="U10" t="str">
        <f t="shared" si="1"/>
        <v>4|1|7500</v>
      </c>
      <c r="V10" t="str">
        <f t="shared" si="2"/>
        <v>1|16503|20</v>
      </c>
      <c r="W10" t="str">
        <f t="shared" si="3"/>
        <v>1|14308|1</v>
      </c>
      <c r="X10" t="str">
        <f t="shared" si="4"/>
        <v/>
      </c>
      <c r="Z10" t="str">
        <f t="shared" si="5"/>
        <v>4|1|7500,1|16503|20,1|14308|1</v>
      </c>
    </row>
    <row r="11" spans="6:26" ht="16.5">
      <c r="F11" s="5">
        <v>34103</v>
      </c>
      <c r="G11">
        <v>34100</v>
      </c>
      <c r="H11">
        <v>34005</v>
      </c>
      <c r="K11" t="s">
        <v>40</v>
      </c>
      <c r="L11" t="s">
        <v>41</v>
      </c>
      <c r="M11" t="s">
        <v>47</v>
      </c>
      <c r="N11" t="s">
        <v>42</v>
      </c>
      <c r="P11" t="s">
        <v>49</v>
      </c>
      <c r="Q11" t="s">
        <v>44</v>
      </c>
      <c r="R11" t="s">
        <v>46</v>
      </c>
      <c r="S11" t="s">
        <v>42</v>
      </c>
      <c r="U11" t="str">
        <f t="shared" si="1"/>
        <v>4|1|7500</v>
      </c>
      <c r="V11" t="str">
        <f t="shared" si="2"/>
        <v>1|16503|20</v>
      </c>
      <c r="W11" t="str">
        <f t="shared" si="3"/>
        <v>1|14301|1</v>
      </c>
      <c r="X11" t="str">
        <f t="shared" si="4"/>
        <v/>
      </c>
      <c r="Z11" t="str">
        <f t="shared" si="5"/>
        <v>4|1|7500,1|16503|20,1|14301|1</v>
      </c>
    </row>
    <row r="12" spans="6:26" ht="16.5">
      <c r="F12" s="5">
        <v>34103</v>
      </c>
      <c r="G12">
        <v>34100</v>
      </c>
      <c r="H12">
        <v>34003</v>
      </c>
      <c r="I12">
        <v>34005</v>
      </c>
      <c r="K12" t="s">
        <v>40</v>
      </c>
      <c r="L12" t="s">
        <v>41</v>
      </c>
      <c r="M12" t="s">
        <v>50</v>
      </c>
      <c r="N12" t="s">
        <v>47</v>
      </c>
      <c r="P12" t="s">
        <v>49</v>
      </c>
      <c r="Q12" t="s">
        <v>44</v>
      </c>
      <c r="R12" t="s">
        <v>46</v>
      </c>
      <c r="S12" t="s">
        <v>46</v>
      </c>
      <c r="U12" t="str">
        <f t="shared" si="1"/>
        <v>4|1|7500</v>
      </c>
      <c r="V12" t="str">
        <f t="shared" si="2"/>
        <v>1|16503|20</v>
      </c>
      <c r="W12" t="str">
        <f t="shared" si="3"/>
        <v>1|14309|1</v>
      </c>
      <c r="X12" t="str">
        <f t="shared" si="4"/>
        <v>1|14301|1</v>
      </c>
      <c r="Z12" t="str">
        <f t="shared" si="5"/>
        <v>4|1|7500,1|16503|20,1|14309|1,1|14301|1</v>
      </c>
    </row>
    <row r="13" spans="6:26" ht="16.5">
      <c r="F13" s="5">
        <v>34104</v>
      </c>
      <c r="G13">
        <v>34100</v>
      </c>
      <c r="K13" t="s">
        <v>40</v>
      </c>
      <c r="L13" t="s">
        <v>41</v>
      </c>
      <c r="M13" t="s">
        <v>42</v>
      </c>
      <c r="N13" t="s">
        <v>42</v>
      </c>
      <c r="P13" t="s">
        <v>51</v>
      </c>
      <c r="Q13" t="s">
        <v>44</v>
      </c>
      <c r="R13" t="s">
        <v>42</v>
      </c>
      <c r="S13" t="s">
        <v>42</v>
      </c>
      <c r="U13" t="str">
        <f t="shared" si="1"/>
        <v>4|1|10000</v>
      </c>
      <c r="V13" t="str">
        <f t="shared" si="2"/>
        <v>1|16503|20</v>
      </c>
      <c r="W13" t="str">
        <f t="shared" si="3"/>
        <v/>
      </c>
      <c r="X13" t="str">
        <f t="shared" si="4"/>
        <v/>
      </c>
      <c r="Z13" t="str">
        <f t="shared" si="5"/>
        <v>4|1|10000,1|16503|20</v>
      </c>
    </row>
    <row r="14" spans="6:26" ht="16.5">
      <c r="F14" s="5">
        <v>34104</v>
      </c>
      <c r="G14">
        <v>34100</v>
      </c>
      <c r="H14">
        <v>34002</v>
      </c>
      <c r="K14" t="s">
        <v>40</v>
      </c>
      <c r="L14" t="s">
        <v>41</v>
      </c>
      <c r="M14" t="s">
        <v>45</v>
      </c>
      <c r="N14" t="s">
        <v>42</v>
      </c>
      <c r="P14" t="s">
        <v>51</v>
      </c>
      <c r="Q14" t="s">
        <v>44</v>
      </c>
      <c r="R14" t="s">
        <v>46</v>
      </c>
      <c r="S14" t="s">
        <v>42</v>
      </c>
      <c r="U14" t="str">
        <f t="shared" si="1"/>
        <v>4|1|10000</v>
      </c>
      <c r="V14" t="str">
        <f t="shared" si="2"/>
        <v>1|16503|20</v>
      </c>
      <c r="W14" t="str">
        <f t="shared" si="3"/>
        <v>1|14308|1</v>
      </c>
      <c r="X14" t="str">
        <f t="shared" si="4"/>
        <v/>
      </c>
      <c r="Z14" t="str">
        <f t="shared" si="5"/>
        <v>4|1|10000,1|16503|20,1|14308|1</v>
      </c>
    </row>
    <row r="15" spans="6:26" ht="16.5">
      <c r="F15" s="5">
        <v>34104</v>
      </c>
      <c r="G15">
        <v>34100</v>
      </c>
      <c r="H15">
        <v>34005</v>
      </c>
      <c r="K15" t="s">
        <v>40</v>
      </c>
      <c r="L15" t="s">
        <v>41</v>
      </c>
      <c r="M15" t="s">
        <v>47</v>
      </c>
      <c r="N15" t="s">
        <v>42</v>
      </c>
      <c r="P15" t="s">
        <v>51</v>
      </c>
      <c r="Q15" t="s">
        <v>44</v>
      </c>
      <c r="R15" t="s">
        <v>46</v>
      </c>
      <c r="S15" t="s">
        <v>42</v>
      </c>
      <c r="U15" t="str">
        <f t="shared" si="1"/>
        <v>4|1|10000</v>
      </c>
      <c r="V15" t="str">
        <f t="shared" si="2"/>
        <v>1|16503|20</v>
      </c>
      <c r="W15" t="str">
        <f t="shared" si="3"/>
        <v>1|14301|1</v>
      </c>
      <c r="X15" t="str">
        <f t="shared" si="4"/>
        <v/>
      </c>
      <c r="Z15" t="str">
        <f t="shared" si="5"/>
        <v>4|1|10000,1|16503|20,1|14301|1</v>
      </c>
    </row>
    <row r="16" spans="6:26" ht="16.5">
      <c r="F16" s="5">
        <v>34104</v>
      </c>
      <c r="G16">
        <v>34100</v>
      </c>
      <c r="H16">
        <v>34003</v>
      </c>
      <c r="I16">
        <v>34005</v>
      </c>
      <c r="K16" t="s">
        <v>40</v>
      </c>
      <c r="L16" t="s">
        <v>41</v>
      </c>
      <c r="M16" t="s">
        <v>50</v>
      </c>
      <c r="N16" t="s">
        <v>47</v>
      </c>
      <c r="P16" t="s">
        <v>51</v>
      </c>
      <c r="Q16" t="s">
        <v>44</v>
      </c>
      <c r="R16" t="s">
        <v>46</v>
      </c>
      <c r="S16" t="s">
        <v>46</v>
      </c>
      <c r="U16" t="str">
        <f t="shared" si="1"/>
        <v>4|1|10000</v>
      </c>
      <c r="V16" t="str">
        <f t="shared" si="2"/>
        <v>1|16503|20</v>
      </c>
      <c r="W16" t="str">
        <f t="shared" si="3"/>
        <v>1|14309|1</v>
      </c>
      <c r="X16" t="str">
        <f t="shared" si="4"/>
        <v>1|14301|1</v>
      </c>
      <c r="Z16" t="str">
        <f t="shared" si="5"/>
        <v>4|1|10000,1|16503|20,1|14309|1,1|14301|1</v>
      </c>
    </row>
    <row r="17" spans="6:26" ht="16.5">
      <c r="F17" s="5">
        <v>34105</v>
      </c>
      <c r="G17">
        <v>34100</v>
      </c>
      <c r="K17" t="s">
        <v>40</v>
      </c>
      <c r="L17" t="s">
        <v>41</v>
      </c>
      <c r="M17" t="s">
        <v>42</v>
      </c>
      <c r="N17" t="s">
        <v>42</v>
      </c>
      <c r="P17" t="s">
        <v>52</v>
      </c>
      <c r="Q17" t="s">
        <v>44</v>
      </c>
      <c r="R17" t="s">
        <v>42</v>
      </c>
      <c r="S17" t="s">
        <v>42</v>
      </c>
      <c r="U17" t="str">
        <f t="shared" si="1"/>
        <v>4|1|12500</v>
      </c>
      <c r="V17" t="str">
        <f t="shared" si="2"/>
        <v>1|16503|20</v>
      </c>
      <c r="W17" t="str">
        <f t="shared" si="3"/>
        <v/>
      </c>
      <c r="X17" t="str">
        <f t="shared" si="4"/>
        <v/>
      </c>
      <c r="Z17" t="str">
        <f t="shared" si="5"/>
        <v>4|1|12500,1|16503|20</v>
      </c>
    </row>
    <row r="18" spans="6:26" ht="16.5">
      <c r="F18" s="5">
        <v>34105</v>
      </c>
      <c r="G18">
        <v>34100</v>
      </c>
      <c r="H18">
        <v>34003</v>
      </c>
      <c r="K18" t="s">
        <v>40</v>
      </c>
      <c r="L18" t="s">
        <v>41</v>
      </c>
      <c r="M18" t="s">
        <v>50</v>
      </c>
      <c r="N18" t="s">
        <v>42</v>
      </c>
      <c r="P18" t="s">
        <v>52</v>
      </c>
      <c r="Q18" t="s">
        <v>44</v>
      </c>
      <c r="R18" t="s">
        <v>46</v>
      </c>
      <c r="S18" t="s">
        <v>42</v>
      </c>
      <c r="U18" t="str">
        <f t="shared" si="1"/>
        <v>4|1|12500</v>
      </c>
      <c r="V18" t="str">
        <f t="shared" si="2"/>
        <v>1|16503|20</v>
      </c>
      <c r="W18" t="str">
        <f t="shared" si="3"/>
        <v>1|14309|1</v>
      </c>
      <c r="X18" t="str">
        <f t="shared" si="4"/>
        <v/>
      </c>
      <c r="Z18" t="str">
        <f t="shared" si="5"/>
        <v>4|1|12500,1|16503|20,1|14309|1</v>
      </c>
    </row>
    <row r="19" spans="6:26" ht="16.5">
      <c r="F19" s="5">
        <v>34105</v>
      </c>
      <c r="G19">
        <v>34100</v>
      </c>
      <c r="H19">
        <v>34006</v>
      </c>
      <c r="K19" t="s">
        <v>40</v>
      </c>
      <c r="L19" t="s">
        <v>41</v>
      </c>
      <c r="M19" t="s">
        <v>53</v>
      </c>
      <c r="N19" t="s">
        <v>42</v>
      </c>
      <c r="P19" t="s">
        <v>52</v>
      </c>
      <c r="Q19" t="s">
        <v>44</v>
      </c>
      <c r="R19" t="s">
        <v>46</v>
      </c>
      <c r="S19" t="s">
        <v>42</v>
      </c>
      <c r="U19" t="str">
        <f t="shared" si="1"/>
        <v>4|1|12500</v>
      </c>
      <c r="V19" t="str">
        <f t="shared" si="2"/>
        <v>1|16503|20</v>
      </c>
      <c r="W19" t="str">
        <f t="shared" si="3"/>
        <v>1|14302|1</v>
      </c>
      <c r="X19" t="str">
        <f t="shared" si="4"/>
        <v/>
      </c>
      <c r="Z19" t="str">
        <f t="shared" si="5"/>
        <v>4|1|12500,1|16503|20,1|14302|1</v>
      </c>
    </row>
    <row r="20" spans="6:26" ht="16.5">
      <c r="F20" s="5">
        <v>34105</v>
      </c>
      <c r="G20">
        <v>34100</v>
      </c>
      <c r="H20">
        <v>34003</v>
      </c>
      <c r="I20">
        <v>34006</v>
      </c>
      <c r="K20" t="s">
        <v>40</v>
      </c>
      <c r="L20" t="s">
        <v>41</v>
      </c>
      <c r="M20" t="s">
        <v>50</v>
      </c>
      <c r="N20" t="s">
        <v>53</v>
      </c>
      <c r="P20" t="s">
        <v>52</v>
      </c>
      <c r="Q20" t="s">
        <v>44</v>
      </c>
      <c r="R20" t="s">
        <v>46</v>
      </c>
      <c r="S20" t="s">
        <v>46</v>
      </c>
      <c r="U20" t="str">
        <f t="shared" si="1"/>
        <v>4|1|12500</v>
      </c>
      <c r="V20" t="str">
        <f t="shared" si="2"/>
        <v>1|16503|20</v>
      </c>
      <c r="W20" t="str">
        <f t="shared" si="3"/>
        <v>1|14309|1</v>
      </c>
      <c r="X20" t="str">
        <f t="shared" si="4"/>
        <v>1|14302|1</v>
      </c>
      <c r="Z20" t="str">
        <f t="shared" si="5"/>
        <v>4|1|12500,1|16503|20,1|14309|1,1|14302|1</v>
      </c>
    </row>
    <row r="21" spans="6:26" ht="16.5">
      <c r="F21" s="5">
        <v>34106</v>
      </c>
      <c r="G21">
        <v>34100</v>
      </c>
      <c r="K21" t="s">
        <v>40</v>
      </c>
      <c r="L21" t="s">
        <v>41</v>
      </c>
      <c r="M21" t="s">
        <v>42</v>
      </c>
      <c r="N21" t="s">
        <v>42</v>
      </c>
      <c r="P21" t="s">
        <v>54</v>
      </c>
      <c r="Q21" t="s">
        <v>44</v>
      </c>
      <c r="R21" t="s">
        <v>42</v>
      </c>
      <c r="S21" t="s">
        <v>42</v>
      </c>
      <c r="U21" t="str">
        <f t="shared" si="1"/>
        <v>4|1|15000</v>
      </c>
      <c r="V21" t="str">
        <f t="shared" si="2"/>
        <v>1|16503|20</v>
      </c>
      <c r="W21" t="str">
        <f t="shared" si="3"/>
        <v/>
      </c>
      <c r="X21" t="str">
        <f t="shared" si="4"/>
        <v/>
      </c>
      <c r="Z21" t="str">
        <f t="shared" si="5"/>
        <v>4|1|15000,1|16503|20</v>
      </c>
    </row>
    <row r="22" spans="6:26" ht="16.5">
      <c r="F22" s="5">
        <v>34106</v>
      </c>
      <c r="G22">
        <v>34100</v>
      </c>
      <c r="H22">
        <v>34003</v>
      </c>
      <c r="K22" t="s">
        <v>40</v>
      </c>
      <c r="L22" t="s">
        <v>41</v>
      </c>
      <c r="M22" t="s">
        <v>50</v>
      </c>
      <c r="N22" t="s">
        <v>42</v>
      </c>
      <c r="P22" t="s">
        <v>54</v>
      </c>
      <c r="Q22" t="s">
        <v>44</v>
      </c>
      <c r="R22" t="s">
        <v>46</v>
      </c>
      <c r="S22" t="s">
        <v>42</v>
      </c>
      <c r="U22" t="str">
        <f t="shared" si="1"/>
        <v>4|1|15000</v>
      </c>
      <c r="V22" t="str">
        <f t="shared" si="2"/>
        <v>1|16503|20</v>
      </c>
      <c r="W22" t="str">
        <f t="shared" si="3"/>
        <v>1|14309|1</v>
      </c>
      <c r="X22" t="str">
        <f t="shared" si="4"/>
        <v/>
      </c>
      <c r="Z22" t="str">
        <f t="shared" si="5"/>
        <v>4|1|15000,1|16503|20,1|14309|1</v>
      </c>
    </row>
    <row r="23" spans="6:26" ht="16.5">
      <c r="F23" s="5">
        <v>34106</v>
      </c>
      <c r="G23">
        <v>34100</v>
      </c>
      <c r="H23">
        <v>34006</v>
      </c>
      <c r="K23" t="s">
        <v>40</v>
      </c>
      <c r="L23" t="s">
        <v>41</v>
      </c>
      <c r="M23" t="s">
        <v>53</v>
      </c>
      <c r="N23" t="s">
        <v>42</v>
      </c>
      <c r="P23" t="s">
        <v>54</v>
      </c>
      <c r="Q23" t="s">
        <v>44</v>
      </c>
      <c r="R23" t="s">
        <v>46</v>
      </c>
      <c r="S23" t="s">
        <v>42</v>
      </c>
      <c r="U23" t="str">
        <f t="shared" si="1"/>
        <v>4|1|15000</v>
      </c>
      <c r="V23" t="str">
        <f t="shared" si="2"/>
        <v>1|16503|20</v>
      </c>
      <c r="W23" t="str">
        <f t="shared" si="3"/>
        <v>1|14302|1</v>
      </c>
      <c r="X23" t="str">
        <f t="shared" si="4"/>
        <v/>
      </c>
      <c r="Z23" t="str">
        <f t="shared" si="5"/>
        <v>4|1|15000,1|16503|20,1|14302|1</v>
      </c>
    </row>
    <row r="24" spans="6:26" ht="16.5">
      <c r="F24" s="5">
        <v>34106</v>
      </c>
      <c r="G24">
        <v>34100</v>
      </c>
      <c r="H24">
        <v>34003</v>
      </c>
      <c r="I24">
        <v>34006</v>
      </c>
      <c r="K24" t="s">
        <v>40</v>
      </c>
      <c r="L24" t="s">
        <v>41</v>
      </c>
      <c r="M24" t="s">
        <v>50</v>
      </c>
      <c r="N24" t="s">
        <v>53</v>
      </c>
      <c r="P24" t="s">
        <v>54</v>
      </c>
      <c r="Q24" t="s">
        <v>44</v>
      </c>
      <c r="R24" t="s">
        <v>46</v>
      </c>
      <c r="S24" t="s">
        <v>46</v>
      </c>
      <c r="U24" t="str">
        <f t="shared" si="1"/>
        <v>4|1|15000</v>
      </c>
      <c r="V24" t="str">
        <f t="shared" si="2"/>
        <v>1|16503|20</v>
      </c>
      <c r="W24" t="str">
        <f t="shared" si="3"/>
        <v>1|14309|1</v>
      </c>
      <c r="X24" t="str">
        <f t="shared" si="4"/>
        <v>1|14302|1</v>
      </c>
      <c r="Z24" t="str">
        <f t="shared" si="5"/>
        <v>4|1|15000,1|16503|20,1|14309|1,1|14302|1</v>
      </c>
    </row>
    <row r="25" spans="6:26" ht="16.5">
      <c r="F25" s="5">
        <v>34107</v>
      </c>
      <c r="G25">
        <v>34100</v>
      </c>
      <c r="K25" t="s">
        <v>40</v>
      </c>
      <c r="L25" t="s">
        <v>41</v>
      </c>
      <c r="M25" t="s">
        <v>42</v>
      </c>
      <c r="N25" t="s">
        <v>42</v>
      </c>
      <c r="P25" t="s">
        <v>55</v>
      </c>
      <c r="Q25" t="s">
        <v>44</v>
      </c>
      <c r="R25" t="s">
        <v>42</v>
      </c>
      <c r="S25" t="s">
        <v>42</v>
      </c>
      <c r="U25" t="str">
        <f t="shared" si="1"/>
        <v>4|1|17500</v>
      </c>
      <c r="V25" t="str">
        <f t="shared" si="2"/>
        <v>1|16503|20</v>
      </c>
      <c r="W25" t="str">
        <f t="shared" si="3"/>
        <v/>
      </c>
      <c r="X25" t="str">
        <f t="shared" si="4"/>
        <v/>
      </c>
      <c r="Z25" t="str">
        <f t="shared" si="5"/>
        <v>4|1|17500,1|16503|20</v>
      </c>
    </row>
    <row r="26" spans="6:26" ht="16.5">
      <c r="F26" s="5">
        <v>34107</v>
      </c>
      <c r="G26">
        <v>34100</v>
      </c>
      <c r="H26">
        <v>34003</v>
      </c>
      <c r="K26" t="s">
        <v>40</v>
      </c>
      <c r="L26" t="s">
        <v>41</v>
      </c>
      <c r="M26" t="s">
        <v>50</v>
      </c>
      <c r="N26" t="s">
        <v>42</v>
      </c>
      <c r="P26" t="s">
        <v>55</v>
      </c>
      <c r="Q26" t="s">
        <v>44</v>
      </c>
      <c r="R26" t="s">
        <v>46</v>
      </c>
      <c r="S26" t="s">
        <v>42</v>
      </c>
      <c r="U26" t="str">
        <f t="shared" si="1"/>
        <v>4|1|17500</v>
      </c>
      <c r="V26" t="str">
        <f t="shared" si="2"/>
        <v>1|16503|20</v>
      </c>
      <c r="W26" t="str">
        <f t="shared" si="3"/>
        <v>1|14309|1</v>
      </c>
      <c r="X26" t="str">
        <f t="shared" si="4"/>
        <v/>
      </c>
      <c r="Z26" t="str">
        <f t="shared" si="5"/>
        <v>4|1|17500,1|16503|20,1|14309|1</v>
      </c>
    </row>
    <row r="27" spans="6:26" ht="16.5">
      <c r="F27" s="5">
        <v>34107</v>
      </c>
      <c r="G27">
        <v>34100</v>
      </c>
      <c r="H27">
        <v>34006</v>
      </c>
      <c r="K27" t="s">
        <v>40</v>
      </c>
      <c r="L27" t="s">
        <v>41</v>
      </c>
      <c r="M27" t="s">
        <v>53</v>
      </c>
      <c r="N27" t="s">
        <v>42</v>
      </c>
      <c r="P27" t="s">
        <v>55</v>
      </c>
      <c r="Q27" t="s">
        <v>44</v>
      </c>
      <c r="R27" t="s">
        <v>46</v>
      </c>
      <c r="S27" t="s">
        <v>42</v>
      </c>
      <c r="U27" t="str">
        <f t="shared" si="1"/>
        <v>4|1|17500</v>
      </c>
      <c r="V27" t="str">
        <f t="shared" si="2"/>
        <v>1|16503|20</v>
      </c>
      <c r="W27" t="str">
        <f t="shared" si="3"/>
        <v>1|14302|1</v>
      </c>
      <c r="X27" t="str">
        <f t="shared" si="4"/>
        <v/>
      </c>
      <c r="Z27" t="str">
        <f t="shared" si="5"/>
        <v>4|1|17500,1|16503|20,1|14302|1</v>
      </c>
    </row>
    <row r="28" spans="6:26" ht="16.5">
      <c r="F28" s="5">
        <v>34107</v>
      </c>
      <c r="G28">
        <v>34100</v>
      </c>
      <c r="H28">
        <v>34003</v>
      </c>
      <c r="I28">
        <v>34006</v>
      </c>
      <c r="K28" t="s">
        <v>40</v>
      </c>
      <c r="L28" t="s">
        <v>41</v>
      </c>
      <c r="M28" t="s">
        <v>50</v>
      </c>
      <c r="N28" t="s">
        <v>53</v>
      </c>
      <c r="P28" t="s">
        <v>55</v>
      </c>
      <c r="Q28" t="s">
        <v>44</v>
      </c>
      <c r="R28" t="s">
        <v>46</v>
      </c>
      <c r="S28" t="s">
        <v>46</v>
      </c>
      <c r="U28" t="str">
        <f t="shared" si="1"/>
        <v>4|1|17500</v>
      </c>
      <c r="V28" t="str">
        <f t="shared" si="2"/>
        <v>1|16503|20</v>
      </c>
      <c r="W28" t="str">
        <f t="shared" si="3"/>
        <v>1|14309|1</v>
      </c>
      <c r="X28" t="str">
        <f t="shared" si="4"/>
        <v>1|14302|1</v>
      </c>
      <c r="Z28" t="str">
        <f t="shared" si="5"/>
        <v>4|1|17500,1|16503|20,1|14309|1,1|14302|1</v>
      </c>
    </row>
    <row r="29" spans="6:26" ht="16.5">
      <c r="F29" s="5">
        <v>34108</v>
      </c>
      <c r="G29">
        <v>34100</v>
      </c>
      <c r="K29" t="s">
        <v>40</v>
      </c>
      <c r="L29" t="s">
        <v>41</v>
      </c>
      <c r="M29" t="s">
        <v>42</v>
      </c>
      <c r="N29" t="s">
        <v>42</v>
      </c>
      <c r="P29" t="s">
        <v>56</v>
      </c>
      <c r="Q29" t="s">
        <v>44</v>
      </c>
      <c r="R29" t="s">
        <v>42</v>
      </c>
      <c r="S29" t="s">
        <v>42</v>
      </c>
      <c r="U29" t="str">
        <f t="shared" si="1"/>
        <v>4|1|20000</v>
      </c>
      <c r="V29" t="str">
        <f t="shared" si="2"/>
        <v>1|16503|20</v>
      </c>
      <c r="W29" t="str">
        <f t="shared" si="3"/>
        <v/>
      </c>
      <c r="X29" t="str">
        <f t="shared" si="4"/>
        <v/>
      </c>
      <c r="Z29" t="str">
        <f t="shared" si="5"/>
        <v>4|1|20000,1|16503|20</v>
      </c>
    </row>
    <row r="30" spans="6:26" ht="16.5">
      <c r="F30" s="5">
        <v>34108</v>
      </c>
      <c r="G30">
        <v>34100</v>
      </c>
      <c r="H30">
        <v>34003</v>
      </c>
      <c r="K30" t="s">
        <v>40</v>
      </c>
      <c r="L30" t="s">
        <v>41</v>
      </c>
      <c r="M30" t="s">
        <v>50</v>
      </c>
      <c r="N30" t="s">
        <v>42</v>
      </c>
      <c r="P30" t="s">
        <v>56</v>
      </c>
      <c r="Q30" t="s">
        <v>44</v>
      </c>
      <c r="R30" t="s">
        <v>46</v>
      </c>
      <c r="S30" t="s">
        <v>42</v>
      </c>
      <c r="U30" t="str">
        <f t="shared" si="1"/>
        <v>4|1|20000</v>
      </c>
      <c r="V30" t="str">
        <f t="shared" si="2"/>
        <v>1|16503|20</v>
      </c>
      <c r="W30" t="str">
        <f t="shared" si="3"/>
        <v>1|14309|1</v>
      </c>
      <c r="X30" t="str">
        <f t="shared" si="4"/>
        <v/>
      </c>
      <c r="Z30" t="str">
        <f t="shared" si="5"/>
        <v>4|1|20000,1|16503|20,1|14309|1</v>
      </c>
    </row>
    <row r="31" spans="6:26" ht="16.5">
      <c r="F31" s="5">
        <v>34108</v>
      </c>
      <c r="G31">
        <v>34100</v>
      </c>
      <c r="H31">
        <v>34006</v>
      </c>
      <c r="K31" t="s">
        <v>40</v>
      </c>
      <c r="L31" t="s">
        <v>41</v>
      </c>
      <c r="M31" t="s">
        <v>53</v>
      </c>
      <c r="N31" t="s">
        <v>42</v>
      </c>
      <c r="P31" t="s">
        <v>56</v>
      </c>
      <c r="Q31" t="s">
        <v>44</v>
      </c>
      <c r="R31" t="s">
        <v>46</v>
      </c>
      <c r="S31" t="s">
        <v>42</v>
      </c>
      <c r="U31" t="str">
        <f t="shared" si="1"/>
        <v>4|1|20000</v>
      </c>
      <c r="V31" t="str">
        <f t="shared" si="2"/>
        <v>1|16503|20</v>
      </c>
      <c r="W31" t="str">
        <f t="shared" si="3"/>
        <v>1|14302|1</v>
      </c>
      <c r="X31" t="str">
        <f t="shared" si="4"/>
        <v/>
      </c>
      <c r="Z31" t="str">
        <f t="shared" si="5"/>
        <v>4|1|20000,1|16503|20,1|14302|1</v>
      </c>
    </row>
    <row r="32" spans="6:26" ht="16.5">
      <c r="F32" s="5">
        <v>34108</v>
      </c>
      <c r="G32">
        <v>34100</v>
      </c>
      <c r="H32">
        <v>34003</v>
      </c>
      <c r="I32">
        <v>34006</v>
      </c>
      <c r="K32" t="s">
        <v>40</v>
      </c>
      <c r="L32" t="s">
        <v>41</v>
      </c>
      <c r="M32" t="s">
        <v>50</v>
      </c>
      <c r="N32" t="s">
        <v>53</v>
      </c>
      <c r="P32" t="s">
        <v>56</v>
      </c>
      <c r="Q32" t="s">
        <v>44</v>
      </c>
      <c r="R32" t="s">
        <v>46</v>
      </c>
      <c r="S32" t="s">
        <v>46</v>
      </c>
      <c r="U32" t="str">
        <f t="shared" si="1"/>
        <v>4|1|20000</v>
      </c>
      <c r="V32" t="str">
        <f t="shared" si="2"/>
        <v>1|16503|20</v>
      </c>
      <c r="W32" t="str">
        <f t="shared" si="3"/>
        <v>1|14309|1</v>
      </c>
      <c r="X32" t="str">
        <f t="shared" si="4"/>
        <v>1|14302|1</v>
      </c>
      <c r="Z32" t="str">
        <f t="shared" si="5"/>
        <v>4|1|20000,1|16503|20,1|14309|1,1|14302|1</v>
      </c>
    </row>
    <row r="33" spans="6:26" ht="16.5">
      <c r="F33" s="5">
        <v>34109</v>
      </c>
      <c r="G33">
        <v>34100</v>
      </c>
      <c r="K33" t="s">
        <v>40</v>
      </c>
      <c r="L33" t="s">
        <v>41</v>
      </c>
      <c r="M33" t="s">
        <v>42</v>
      </c>
      <c r="N33" t="s">
        <v>42</v>
      </c>
      <c r="P33" t="s">
        <v>57</v>
      </c>
      <c r="Q33" t="s">
        <v>44</v>
      </c>
      <c r="R33" t="s">
        <v>42</v>
      </c>
      <c r="S33" t="s">
        <v>42</v>
      </c>
      <c r="U33" t="str">
        <f t="shared" si="1"/>
        <v>4|1|22500</v>
      </c>
      <c r="V33" t="str">
        <f t="shared" si="2"/>
        <v>1|16503|20</v>
      </c>
      <c r="W33" t="str">
        <f t="shared" si="3"/>
        <v/>
      </c>
      <c r="X33" t="str">
        <f t="shared" si="4"/>
        <v/>
      </c>
      <c r="Z33" t="str">
        <f t="shared" si="5"/>
        <v>4|1|22500,1|16503|20</v>
      </c>
    </row>
    <row r="34" spans="6:26" ht="16.5">
      <c r="F34" s="5">
        <v>34109</v>
      </c>
      <c r="G34">
        <v>34100</v>
      </c>
      <c r="H34">
        <v>34003</v>
      </c>
      <c r="K34" t="s">
        <v>40</v>
      </c>
      <c r="L34" t="s">
        <v>41</v>
      </c>
      <c r="M34" t="s">
        <v>50</v>
      </c>
      <c r="N34" t="s">
        <v>42</v>
      </c>
      <c r="P34" t="s">
        <v>57</v>
      </c>
      <c r="Q34" t="s">
        <v>44</v>
      </c>
      <c r="R34" t="s">
        <v>46</v>
      </c>
      <c r="S34" t="s">
        <v>42</v>
      </c>
      <c r="U34" t="str">
        <f t="shared" si="1"/>
        <v>4|1|22500</v>
      </c>
      <c r="V34" t="str">
        <f t="shared" si="2"/>
        <v>1|16503|20</v>
      </c>
      <c r="W34" t="str">
        <f t="shared" si="3"/>
        <v>1|14309|1</v>
      </c>
      <c r="X34" t="str">
        <f t="shared" si="4"/>
        <v/>
      </c>
      <c r="Z34" t="str">
        <f t="shared" si="5"/>
        <v>4|1|22500,1|16503|20,1|14309|1</v>
      </c>
    </row>
    <row r="35" spans="6:26" ht="16.5">
      <c r="F35" s="5">
        <v>34109</v>
      </c>
      <c r="G35">
        <v>34100</v>
      </c>
      <c r="H35">
        <v>34006</v>
      </c>
      <c r="K35" t="s">
        <v>40</v>
      </c>
      <c r="L35" t="s">
        <v>41</v>
      </c>
      <c r="M35" t="s">
        <v>53</v>
      </c>
      <c r="N35" t="s">
        <v>42</v>
      </c>
      <c r="P35" t="s">
        <v>57</v>
      </c>
      <c r="Q35" t="s">
        <v>44</v>
      </c>
      <c r="R35" t="s">
        <v>46</v>
      </c>
      <c r="S35" t="s">
        <v>42</v>
      </c>
      <c r="U35" t="str">
        <f t="shared" si="1"/>
        <v>4|1|22500</v>
      </c>
      <c r="V35" t="str">
        <f t="shared" si="2"/>
        <v>1|16503|20</v>
      </c>
      <c r="W35" t="str">
        <f t="shared" si="3"/>
        <v>1|14302|1</v>
      </c>
      <c r="X35" t="str">
        <f t="shared" si="4"/>
        <v/>
      </c>
      <c r="Z35" t="str">
        <f t="shared" si="5"/>
        <v>4|1|22500,1|16503|20,1|14302|1</v>
      </c>
    </row>
    <row r="36" spans="6:26" ht="16.5">
      <c r="F36" s="5">
        <v>34109</v>
      </c>
      <c r="G36">
        <v>34100</v>
      </c>
      <c r="H36">
        <v>34004</v>
      </c>
      <c r="I36">
        <v>34006</v>
      </c>
      <c r="K36" t="s">
        <v>40</v>
      </c>
      <c r="L36" t="s">
        <v>41</v>
      </c>
      <c r="M36" t="s">
        <v>58</v>
      </c>
      <c r="N36" t="s">
        <v>53</v>
      </c>
      <c r="P36" t="s">
        <v>57</v>
      </c>
      <c r="Q36" t="s">
        <v>44</v>
      </c>
      <c r="R36" t="s">
        <v>46</v>
      </c>
      <c r="S36" t="s">
        <v>46</v>
      </c>
      <c r="U36" t="str">
        <f t="shared" si="1"/>
        <v>4|1|22500</v>
      </c>
      <c r="V36" t="str">
        <f t="shared" si="2"/>
        <v>1|16503|20</v>
      </c>
      <c r="W36" t="str">
        <f t="shared" si="3"/>
        <v>1|14310|1</v>
      </c>
      <c r="X36" t="str">
        <f t="shared" si="4"/>
        <v>1|14302|1</v>
      </c>
      <c r="Z36" t="str">
        <f t="shared" si="5"/>
        <v>4|1|22500,1|16503|20,1|14310|1,1|14302|1</v>
      </c>
    </row>
    <row r="37" spans="6:26" ht="16.5">
      <c r="F37" s="5">
        <v>34110</v>
      </c>
      <c r="G37">
        <v>34100</v>
      </c>
      <c r="K37" t="s">
        <v>40</v>
      </c>
      <c r="L37" t="s">
        <v>41</v>
      </c>
      <c r="M37" t="s">
        <v>42</v>
      </c>
      <c r="N37" t="s">
        <v>42</v>
      </c>
      <c r="P37" t="s">
        <v>59</v>
      </c>
      <c r="Q37" t="s">
        <v>44</v>
      </c>
      <c r="R37" t="s">
        <v>42</v>
      </c>
      <c r="S37" t="s">
        <v>42</v>
      </c>
      <c r="U37" t="str">
        <f t="shared" si="1"/>
        <v>4|1|25000</v>
      </c>
      <c r="V37" t="str">
        <f t="shared" si="2"/>
        <v>1|16503|20</v>
      </c>
      <c r="W37" t="str">
        <f t="shared" si="3"/>
        <v/>
      </c>
      <c r="X37" t="str">
        <f t="shared" si="4"/>
        <v/>
      </c>
      <c r="Z37" t="str">
        <f t="shared" si="5"/>
        <v>4|1|25000,1|16503|20</v>
      </c>
    </row>
    <row r="38" spans="6:26" ht="16.5">
      <c r="F38" s="5">
        <v>34110</v>
      </c>
      <c r="G38">
        <v>34100</v>
      </c>
      <c r="H38">
        <v>34003</v>
      </c>
      <c r="K38" t="s">
        <v>40</v>
      </c>
      <c r="L38" t="s">
        <v>41</v>
      </c>
      <c r="M38" t="s">
        <v>50</v>
      </c>
      <c r="N38" t="s">
        <v>42</v>
      </c>
      <c r="P38" t="s">
        <v>59</v>
      </c>
      <c r="Q38" t="s">
        <v>44</v>
      </c>
      <c r="R38" t="s">
        <v>46</v>
      </c>
      <c r="S38" t="s">
        <v>42</v>
      </c>
      <c r="U38" t="str">
        <f t="shared" si="1"/>
        <v>4|1|25000</v>
      </c>
      <c r="V38" t="str">
        <f t="shared" si="2"/>
        <v>1|16503|20</v>
      </c>
      <c r="W38" t="str">
        <f t="shared" si="3"/>
        <v>1|14309|1</v>
      </c>
      <c r="X38" t="str">
        <f t="shared" si="4"/>
        <v/>
      </c>
      <c r="Z38" t="str">
        <f t="shared" si="5"/>
        <v>4|1|25000,1|16503|20,1|14309|1</v>
      </c>
    </row>
    <row r="39" spans="6:26" ht="16.5">
      <c r="F39" s="5">
        <v>34110</v>
      </c>
      <c r="G39">
        <v>34100</v>
      </c>
      <c r="H39">
        <v>34006</v>
      </c>
      <c r="K39" t="s">
        <v>40</v>
      </c>
      <c r="L39" t="s">
        <v>41</v>
      </c>
      <c r="M39" t="s">
        <v>53</v>
      </c>
      <c r="N39" t="s">
        <v>42</v>
      </c>
      <c r="P39" t="s">
        <v>59</v>
      </c>
      <c r="Q39" t="s">
        <v>44</v>
      </c>
      <c r="R39" t="s">
        <v>46</v>
      </c>
      <c r="S39" t="s">
        <v>42</v>
      </c>
      <c r="U39" t="str">
        <f t="shared" si="1"/>
        <v>4|1|25000</v>
      </c>
      <c r="V39" t="str">
        <f t="shared" si="2"/>
        <v>1|16503|20</v>
      </c>
      <c r="W39" t="str">
        <f t="shared" si="3"/>
        <v>1|14302|1</v>
      </c>
      <c r="X39" t="str">
        <f t="shared" si="4"/>
        <v/>
      </c>
      <c r="Z39" t="str">
        <f t="shared" si="5"/>
        <v>4|1|25000,1|16503|20,1|14302|1</v>
      </c>
    </row>
    <row r="40" spans="6:26" ht="16.5">
      <c r="F40" s="5">
        <v>34110</v>
      </c>
      <c r="G40">
        <v>34100</v>
      </c>
      <c r="H40">
        <v>34004</v>
      </c>
      <c r="I40">
        <v>34006</v>
      </c>
      <c r="K40" t="s">
        <v>40</v>
      </c>
      <c r="L40" t="s">
        <v>41</v>
      </c>
      <c r="M40" t="s">
        <v>58</v>
      </c>
      <c r="N40" t="s">
        <v>53</v>
      </c>
      <c r="P40" t="s">
        <v>59</v>
      </c>
      <c r="Q40" t="s">
        <v>44</v>
      </c>
      <c r="R40" t="s">
        <v>46</v>
      </c>
      <c r="S40" t="s">
        <v>46</v>
      </c>
      <c r="U40" t="str">
        <f t="shared" si="1"/>
        <v>4|1|25000</v>
      </c>
      <c r="V40" t="str">
        <f t="shared" si="2"/>
        <v>1|16503|20</v>
      </c>
      <c r="W40" t="str">
        <f t="shared" si="3"/>
        <v>1|14310|1</v>
      </c>
      <c r="X40" t="str">
        <f t="shared" si="4"/>
        <v>1|14302|1</v>
      </c>
      <c r="Z40" t="str">
        <f t="shared" si="5"/>
        <v>4|1|25000,1|16503|20,1|14310|1,1|14302|1</v>
      </c>
    </row>
    <row r="41" spans="6:26" ht="16.5">
      <c r="F41" s="5">
        <v>34111</v>
      </c>
      <c r="G41">
        <v>34100</v>
      </c>
      <c r="K41" t="s">
        <v>40</v>
      </c>
      <c r="L41" t="s">
        <v>41</v>
      </c>
      <c r="M41" t="s">
        <v>42</v>
      </c>
      <c r="N41" t="s">
        <v>42</v>
      </c>
      <c r="P41" t="s">
        <v>60</v>
      </c>
      <c r="Q41" t="s">
        <v>44</v>
      </c>
      <c r="R41" t="s">
        <v>42</v>
      </c>
      <c r="S41" t="s">
        <v>42</v>
      </c>
      <c r="U41" t="str">
        <f t="shared" si="1"/>
        <v>4|1|27500</v>
      </c>
      <c r="V41" t="str">
        <f t="shared" si="2"/>
        <v>1|16503|20</v>
      </c>
      <c r="W41" t="str">
        <f t="shared" si="3"/>
        <v/>
      </c>
      <c r="X41" t="str">
        <f t="shared" si="4"/>
        <v/>
      </c>
      <c r="Z41" t="str">
        <f t="shared" si="5"/>
        <v>4|1|27500,1|16503|20</v>
      </c>
    </row>
    <row r="42" spans="6:26" ht="16.5">
      <c r="F42" s="5">
        <v>34111</v>
      </c>
      <c r="G42">
        <v>34100</v>
      </c>
      <c r="H42">
        <v>34003</v>
      </c>
      <c r="K42" t="s">
        <v>40</v>
      </c>
      <c r="L42" t="s">
        <v>41</v>
      </c>
      <c r="M42" t="s">
        <v>50</v>
      </c>
      <c r="N42" t="s">
        <v>42</v>
      </c>
      <c r="P42" t="s">
        <v>60</v>
      </c>
      <c r="Q42" t="s">
        <v>44</v>
      </c>
      <c r="R42" t="s">
        <v>46</v>
      </c>
      <c r="S42" t="s">
        <v>42</v>
      </c>
      <c r="U42" t="str">
        <f t="shared" si="1"/>
        <v>4|1|27500</v>
      </c>
      <c r="V42" t="str">
        <f t="shared" si="2"/>
        <v>1|16503|20</v>
      </c>
      <c r="W42" t="str">
        <f t="shared" si="3"/>
        <v>1|14309|1</v>
      </c>
      <c r="X42" t="str">
        <f t="shared" si="4"/>
        <v/>
      </c>
      <c r="Z42" t="str">
        <f t="shared" si="5"/>
        <v>4|1|27500,1|16503|20,1|14309|1</v>
      </c>
    </row>
    <row r="43" spans="6:26" ht="16.5">
      <c r="F43" s="5">
        <v>34111</v>
      </c>
      <c r="G43">
        <v>34100</v>
      </c>
      <c r="H43">
        <v>34006</v>
      </c>
      <c r="K43" t="s">
        <v>40</v>
      </c>
      <c r="L43" t="s">
        <v>41</v>
      </c>
      <c r="M43" t="s">
        <v>53</v>
      </c>
      <c r="N43" t="s">
        <v>42</v>
      </c>
      <c r="P43" t="s">
        <v>60</v>
      </c>
      <c r="Q43" t="s">
        <v>44</v>
      </c>
      <c r="R43" t="s">
        <v>46</v>
      </c>
      <c r="S43" t="s">
        <v>42</v>
      </c>
      <c r="U43" t="str">
        <f t="shared" si="1"/>
        <v>4|1|27500</v>
      </c>
      <c r="V43" t="str">
        <f t="shared" si="2"/>
        <v>1|16503|20</v>
      </c>
      <c r="W43" t="str">
        <f t="shared" si="3"/>
        <v>1|14302|1</v>
      </c>
      <c r="X43" t="str">
        <f t="shared" si="4"/>
        <v/>
      </c>
      <c r="Z43" t="str">
        <f t="shared" si="5"/>
        <v>4|1|27500,1|16503|20,1|14302|1</v>
      </c>
    </row>
    <row r="44" spans="6:26" ht="16.5">
      <c r="F44" s="5">
        <v>34111</v>
      </c>
      <c r="G44">
        <v>34100</v>
      </c>
      <c r="H44">
        <v>34004</v>
      </c>
      <c r="I44">
        <v>34006</v>
      </c>
      <c r="K44" t="s">
        <v>40</v>
      </c>
      <c r="L44" t="s">
        <v>41</v>
      </c>
      <c r="M44" t="s">
        <v>58</v>
      </c>
      <c r="N44" t="s">
        <v>53</v>
      </c>
      <c r="P44" t="s">
        <v>60</v>
      </c>
      <c r="Q44" t="s">
        <v>44</v>
      </c>
      <c r="R44" t="s">
        <v>46</v>
      </c>
      <c r="S44" t="s">
        <v>46</v>
      </c>
      <c r="U44" t="str">
        <f t="shared" si="1"/>
        <v>4|1|27500</v>
      </c>
      <c r="V44" t="str">
        <f t="shared" si="2"/>
        <v>1|16503|20</v>
      </c>
      <c r="W44" t="str">
        <f t="shared" si="3"/>
        <v>1|14310|1</v>
      </c>
      <c r="X44" t="str">
        <f t="shared" si="4"/>
        <v>1|14302|1</v>
      </c>
      <c r="Z44" t="str">
        <f t="shared" si="5"/>
        <v>4|1|27500,1|16503|20,1|14310|1,1|14302|1</v>
      </c>
    </row>
    <row r="45" spans="6:26" ht="16.5">
      <c r="F45" s="5">
        <v>34112</v>
      </c>
      <c r="G45">
        <v>34100</v>
      </c>
      <c r="K45" t="s">
        <v>40</v>
      </c>
      <c r="L45" t="s">
        <v>41</v>
      </c>
      <c r="M45" t="s">
        <v>42</v>
      </c>
      <c r="N45" t="s">
        <v>42</v>
      </c>
      <c r="P45" t="s">
        <v>61</v>
      </c>
      <c r="Q45" t="s">
        <v>44</v>
      </c>
      <c r="R45" t="s">
        <v>42</v>
      </c>
      <c r="S45" t="s">
        <v>42</v>
      </c>
      <c r="U45" t="str">
        <f t="shared" si="1"/>
        <v>4|1|30000</v>
      </c>
      <c r="V45" t="str">
        <f t="shared" si="2"/>
        <v>1|16503|20</v>
      </c>
      <c r="W45" t="str">
        <f t="shared" si="3"/>
        <v/>
      </c>
      <c r="X45" t="str">
        <f t="shared" si="4"/>
        <v/>
      </c>
      <c r="Z45" t="str">
        <f t="shared" si="5"/>
        <v>4|1|30000,1|16503|20</v>
      </c>
    </row>
    <row r="46" spans="6:26" ht="16.5">
      <c r="F46" s="5">
        <v>34112</v>
      </c>
      <c r="G46">
        <v>34100</v>
      </c>
      <c r="H46">
        <v>34003</v>
      </c>
      <c r="K46" t="s">
        <v>40</v>
      </c>
      <c r="L46" t="s">
        <v>41</v>
      </c>
      <c r="M46" t="s">
        <v>50</v>
      </c>
      <c r="N46" t="s">
        <v>42</v>
      </c>
      <c r="P46" t="s">
        <v>61</v>
      </c>
      <c r="Q46" t="s">
        <v>44</v>
      </c>
      <c r="R46" t="s">
        <v>46</v>
      </c>
      <c r="S46" t="s">
        <v>42</v>
      </c>
      <c r="U46" t="str">
        <f t="shared" si="1"/>
        <v>4|1|30000</v>
      </c>
      <c r="V46" t="str">
        <f t="shared" si="2"/>
        <v>1|16503|20</v>
      </c>
      <c r="W46" t="str">
        <f t="shared" si="3"/>
        <v>1|14309|1</v>
      </c>
      <c r="X46" t="str">
        <f t="shared" si="4"/>
        <v/>
      </c>
      <c r="Z46" t="str">
        <f t="shared" si="5"/>
        <v>4|1|30000,1|16503|20,1|14309|1</v>
      </c>
    </row>
    <row r="47" spans="6:26" ht="16.5">
      <c r="F47" s="5">
        <v>34112</v>
      </c>
      <c r="G47">
        <v>34100</v>
      </c>
      <c r="H47">
        <v>34006</v>
      </c>
      <c r="K47" t="s">
        <v>40</v>
      </c>
      <c r="L47" t="s">
        <v>41</v>
      </c>
      <c r="M47" t="s">
        <v>53</v>
      </c>
      <c r="N47" t="s">
        <v>42</v>
      </c>
      <c r="P47" t="s">
        <v>61</v>
      </c>
      <c r="Q47" t="s">
        <v>44</v>
      </c>
      <c r="R47" t="s">
        <v>46</v>
      </c>
      <c r="S47" t="s">
        <v>42</v>
      </c>
      <c r="U47" t="str">
        <f t="shared" si="1"/>
        <v>4|1|30000</v>
      </c>
      <c r="V47" t="str">
        <f t="shared" si="2"/>
        <v>1|16503|20</v>
      </c>
      <c r="W47" t="str">
        <f t="shared" si="3"/>
        <v>1|14302|1</v>
      </c>
      <c r="X47" t="str">
        <f t="shared" si="4"/>
        <v/>
      </c>
      <c r="Z47" t="str">
        <f t="shared" si="5"/>
        <v>4|1|30000,1|16503|20,1|14302|1</v>
      </c>
    </row>
    <row r="48" spans="6:26" ht="16.5">
      <c r="F48" s="5">
        <v>34112</v>
      </c>
      <c r="G48">
        <v>34100</v>
      </c>
      <c r="H48">
        <v>34004</v>
      </c>
      <c r="I48">
        <v>34006</v>
      </c>
      <c r="K48" t="s">
        <v>40</v>
      </c>
      <c r="L48" t="s">
        <v>41</v>
      </c>
      <c r="M48" t="s">
        <v>58</v>
      </c>
      <c r="N48" t="s">
        <v>53</v>
      </c>
      <c r="P48" t="s">
        <v>61</v>
      </c>
      <c r="Q48" t="s">
        <v>44</v>
      </c>
      <c r="R48" t="s">
        <v>46</v>
      </c>
      <c r="S48" t="s">
        <v>46</v>
      </c>
      <c r="U48" t="str">
        <f t="shared" si="1"/>
        <v>4|1|30000</v>
      </c>
      <c r="V48" t="str">
        <f t="shared" si="2"/>
        <v>1|16503|20</v>
      </c>
      <c r="W48" t="str">
        <f t="shared" si="3"/>
        <v>1|14310|1</v>
      </c>
      <c r="X48" t="str">
        <f t="shared" si="4"/>
        <v>1|14302|1</v>
      </c>
      <c r="Z48" t="str">
        <f t="shared" si="5"/>
        <v>4|1|30000,1|16503|20,1|14310|1,1|14302|1</v>
      </c>
    </row>
    <row r="49" spans="6:26" ht="16.5">
      <c r="F49" s="6">
        <v>34113</v>
      </c>
      <c r="G49">
        <v>34100</v>
      </c>
      <c r="K49" t="s">
        <v>40</v>
      </c>
      <c r="L49" t="s">
        <v>41</v>
      </c>
      <c r="M49" t="s">
        <v>42</v>
      </c>
      <c r="N49" t="s">
        <v>42</v>
      </c>
      <c r="P49" t="s">
        <v>62</v>
      </c>
      <c r="Q49" t="s">
        <v>44</v>
      </c>
      <c r="R49" t="s">
        <v>42</v>
      </c>
      <c r="S49" t="s">
        <v>42</v>
      </c>
      <c r="U49" t="str">
        <f t="shared" si="1"/>
        <v>4|1|32500</v>
      </c>
      <c r="V49" t="str">
        <f t="shared" si="2"/>
        <v>1|16503|20</v>
      </c>
      <c r="W49" t="str">
        <f t="shared" si="3"/>
        <v/>
      </c>
      <c r="X49" t="str">
        <f t="shared" si="4"/>
        <v/>
      </c>
      <c r="Z49" t="str">
        <f t="shared" si="5"/>
        <v>4|1|32500,1|16503|20</v>
      </c>
    </row>
    <row r="50" spans="6:26" ht="16.5">
      <c r="F50" s="6">
        <v>34113</v>
      </c>
      <c r="G50">
        <v>34100</v>
      </c>
      <c r="H50">
        <v>34003</v>
      </c>
      <c r="K50" t="s">
        <v>40</v>
      </c>
      <c r="L50" t="s">
        <v>41</v>
      </c>
      <c r="M50" t="s">
        <v>50</v>
      </c>
      <c r="N50" t="s">
        <v>42</v>
      </c>
      <c r="P50" t="s">
        <v>62</v>
      </c>
      <c r="Q50" t="s">
        <v>44</v>
      </c>
      <c r="R50" t="s">
        <v>46</v>
      </c>
      <c r="S50" t="s">
        <v>42</v>
      </c>
      <c r="U50" t="str">
        <f t="shared" si="1"/>
        <v>4|1|32500</v>
      </c>
      <c r="V50" t="str">
        <f t="shared" si="2"/>
        <v>1|16503|20</v>
      </c>
      <c r="W50" t="str">
        <f t="shared" si="3"/>
        <v>1|14309|1</v>
      </c>
      <c r="X50" t="str">
        <f t="shared" si="4"/>
        <v/>
      </c>
      <c r="Z50" t="str">
        <f t="shared" si="5"/>
        <v>4|1|32500,1|16503|20,1|14309|1</v>
      </c>
    </row>
    <row r="51" spans="6:26" ht="16.5">
      <c r="F51" s="6">
        <v>34113</v>
      </c>
      <c r="G51">
        <v>34100</v>
      </c>
      <c r="H51">
        <v>34006</v>
      </c>
      <c r="K51" t="s">
        <v>40</v>
      </c>
      <c r="L51" t="s">
        <v>41</v>
      </c>
      <c r="M51" t="s">
        <v>53</v>
      </c>
      <c r="N51" t="s">
        <v>42</v>
      </c>
      <c r="P51" t="s">
        <v>62</v>
      </c>
      <c r="Q51" t="s">
        <v>44</v>
      </c>
      <c r="R51" t="s">
        <v>46</v>
      </c>
      <c r="S51" t="s">
        <v>42</v>
      </c>
      <c r="U51" t="str">
        <f t="shared" si="1"/>
        <v>4|1|32500</v>
      </c>
      <c r="V51" t="str">
        <f t="shared" si="2"/>
        <v>1|16503|20</v>
      </c>
      <c r="W51" t="str">
        <f t="shared" si="3"/>
        <v>1|14302|1</v>
      </c>
      <c r="X51" t="str">
        <f t="shared" si="4"/>
        <v/>
      </c>
      <c r="Z51" t="str">
        <f t="shared" si="5"/>
        <v>4|1|32500,1|16503|20,1|14302|1</v>
      </c>
    </row>
    <row r="52" spans="6:26" ht="16.5">
      <c r="F52" s="6">
        <v>34113</v>
      </c>
      <c r="G52">
        <v>34100</v>
      </c>
      <c r="H52">
        <v>34004</v>
      </c>
      <c r="I52">
        <v>34006</v>
      </c>
      <c r="K52" t="s">
        <v>40</v>
      </c>
      <c r="L52" t="s">
        <v>41</v>
      </c>
      <c r="M52" t="s">
        <v>58</v>
      </c>
      <c r="N52" t="s">
        <v>53</v>
      </c>
      <c r="P52" t="s">
        <v>62</v>
      </c>
      <c r="Q52" t="s">
        <v>44</v>
      </c>
      <c r="R52" t="s">
        <v>46</v>
      </c>
      <c r="S52" t="s">
        <v>46</v>
      </c>
      <c r="U52" t="str">
        <f t="shared" si="1"/>
        <v>4|1|32500</v>
      </c>
      <c r="V52" t="str">
        <f t="shared" si="2"/>
        <v>1|16503|20</v>
      </c>
      <c r="W52" t="str">
        <f t="shared" si="3"/>
        <v>1|14310|1</v>
      </c>
      <c r="X52" t="str">
        <f t="shared" si="4"/>
        <v>1|14302|1</v>
      </c>
      <c r="Z52" t="str">
        <f t="shared" si="5"/>
        <v>4|1|32500,1|16503|20,1|14310|1,1|14302|1</v>
      </c>
    </row>
    <row r="53" spans="6:26" ht="16.5">
      <c r="F53" s="6">
        <v>34114</v>
      </c>
      <c r="G53">
        <v>34100</v>
      </c>
      <c r="K53" t="s">
        <v>40</v>
      </c>
      <c r="L53" t="s">
        <v>41</v>
      </c>
      <c r="M53" t="s">
        <v>42</v>
      </c>
      <c r="N53" t="s">
        <v>42</v>
      </c>
      <c r="P53" t="s">
        <v>63</v>
      </c>
      <c r="Q53" t="s">
        <v>44</v>
      </c>
      <c r="R53" t="s">
        <v>42</v>
      </c>
      <c r="S53" t="s">
        <v>42</v>
      </c>
      <c r="U53" t="str">
        <f t="shared" si="1"/>
        <v>4|1|35000</v>
      </c>
      <c r="V53" t="str">
        <f t="shared" si="2"/>
        <v>1|16503|20</v>
      </c>
      <c r="W53" t="str">
        <f t="shared" si="3"/>
        <v/>
      </c>
      <c r="X53" t="str">
        <f t="shared" si="4"/>
        <v/>
      </c>
      <c r="Z53" t="str">
        <f t="shared" si="5"/>
        <v>4|1|35000,1|16503|20</v>
      </c>
    </row>
    <row r="54" spans="6:26" ht="16.5">
      <c r="F54" s="6">
        <v>34114</v>
      </c>
      <c r="G54">
        <v>34100</v>
      </c>
      <c r="H54">
        <v>34003</v>
      </c>
      <c r="K54" t="s">
        <v>40</v>
      </c>
      <c r="L54" t="s">
        <v>41</v>
      </c>
      <c r="M54" t="s">
        <v>50</v>
      </c>
      <c r="N54" t="s">
        <v>42</v>
      </c>
      <c r="P54" t="s">
        <v>63</v>
      </c>
      <c r="Q54" t="s">
        <v>44</v>
      </c>
      <c r="R54" t="s">
        <v>46</v>
      </c>
      <c r="S54" t="s">
        <v>42</v>
      </c>
      <c r="U54" t="str">
        <f t="shared" si="1"/>
        <v>4|1|35000</v>
      </c>
      <c r="V54" t="str">
        <f t="shared" si="2"/>
        <v>1|16503|20</v>
      </c>
      <c r="W54" t="str">
        <f t="shared" si="3"/>
        <v>1|14309|1</v>
      </c>
      <c r="X54" t="str">
        <f t="shared" si="4"/>
        <v/>
      </c>
      <c r="Z54" t="str">
        <f t="shared" si="5"/>
        <v>4|1|35000,1|16503|20,1|14309|1</v>
      </c>
    </row>
    <row r="55" spans="6:26" ht="16.5">
      <c r="F55" s="6">
        <v>34114</v>
      </c>
      <c r="G55">
        <v>34100</v>
      </c>
      <c r="H55">
        <v>34006</v>
      </c>
      <c r="K55" t="s">
        <v>40</v>
      </c>
      <c r="L55" t="s">
        <v>41</v>
      </c>
      <c r="M55" t="s">
        <v>53</v>
      </c>
      <c r="N55" t="s">
        <v>42</v>
      </c>
      <c r="P55" t="s">
        <v>63</v>
      </c>
      <c r="Q55" t="s">
        <v>44</v>
      </c>
      <c r="R55" t="s">
        <v>46</v>
      </c>
      <c r="S55" t="s">
        <v>42</v>
      </c>
      <c r="U55" t="str">
        <f t="shared" si="1"/>
        <v>4|1|35000</v>
      </c>
      <c r="V55" t="str">
        <f t="shared" si="2"/>
        <v>1|16503|20</v>
      </c>
      <c r="W55" t="str">
        <f t="shared" si="3"/>
        <v>1|14302|1</v>
      </c>
      <c r="X55" t="str">
        <f t="shared" si="4"/>
        <v/>
      </c>
      <c r="Z55" t="str">
        <f t="shared" si="5"/>
        <v>4|1|35000,1|16503|20,1|14302|1</v>
      </c>
    </row>
    <row r="56" spans="6:26" ht="16.5">
      <c r="F56" s="6">
        <v>34114</v>
      </c>
      <c r="G56">
        <v>34100</v>
      </c>
      <c r="H56">
        <v>34004</v>
      </c>
      <c r="I56">
        <v>34006</v>
      </c>
      <c r="K56" t="s">
        <v>40</v>
      </c>
      <c r="L56" t="s">
        <v>41</v>
      </c>
      <c r="M56" t="s">
        <v>58</v>
      </c>
      <c r="N56" t="s">
        <v>53</v>
      </c>
      <c r="P56" t="s">
        <v>63</v>
      </c>
      <c r="Q56" t="s">
        <v>44</v>
      </c>
      <c r="R56" t="s">
        <v>46</v>
      </c>
      <c r="S56" t="s">
        <v>46</v>
      </c>
      <c r="U56" t="str">
        <f t="shared" si="1"/>
        <v>4|1|35000</v>
      </c>
      <c r="V56" t="str">
        <f t="shared" si="2"/>
        <v>1|16503|20</v>
      </c>
      <c r="W56" t="str">
        <f t="shared" si="3"/>
        <v>1|14310|1</v>
      </c>
      <c r="X56" t="str">
        <f t="shared" si="4"/>
        <v>1|14302|1</v>
      </c>
      <c r="Z56" t="str">
        <f t="shared" si="5"/>
        <v>4|1|35000,1|16503|20,1|14310|1,1|14302|1</v>
      </c>
    </row>
    <row r="57" spans="6:26" ht="16.5">
      <c r="F57" s="6">
        <v>34115</v>
      </c>
      <c r="G57">
        <v>34100</v>
      </c>
      <c r="K57" t="s">
        <v>40</v>
      </c>
      <c r="L57" t="s">
        <v>41</v>
      </c>
      <c r="M57" t="s">
        <v>42</v>
      </c>
      <c r="N57" t="s">
        <v>42</v>
      </c>
      <c r="P57" t="s">
        <v>64</v>
      </c>
      <c r="Q57" t="s">
        <v>44</v>
      </c>
      <c r="R57" t="s">
        <v>42</v>
      </c>
      <c r="S57" t="s">
        <v>42</v>
      </c>
      <c r="U57" t="str">
        <f t="shared" si="1"/>
        <v>4|1|37500</v>
      </c>
      <c r="V57" t="str">
        <f t="shared" si="2"/>
        <v>1|16503|20</v>
      </c>
      <c r="W57" t="str">
        <f t="shared" si="3"/>
        <v/>
      </c>
      <c r="X57" t="str">
        <f t="shared" si="4"/>
        <v/>
      </c>
      <c r="Z57" t="str">
        <f t="shared" si="5"/>
        <v>4|1|37500,1|16503|20</v>
      </c>
    </row>
    <row r="58" spans="6:26" ht="16.5">
      <c r="F58" s="6">
        <v>34115</v>
      </c>
      <c r="G58">
        <v>34100</v>
      </c>
      <c r="H58">
        <v>34003</v>
      </c>
      <c r="K58" t="s">
        <v>40</v>
      </c>
      <c r="L58" t="s">
        <v>41</v>
      </c>
      <c r="M58" t="s">
        <v>50</v>
      </c>
      <c r="N58" t="s">
        <v>42</v>
      </c>
      <c r="P58" t="s">
        <v>64</v>
      </c>
      <c r="Q58" t="s">
        <v>44</v>
      </c>
      <c r="R58" t="s">
        <v>46</v>
      </c>
      <c r="S58" t="s">
        <v>42</v>
      </c>
      <c r="U58" t="str">
        <f t="shared" si="1"/>
        <v>4|1|37500</v>
      </c>
      <c r="V58" t="str">
        <f t="shared" si="2"/>
        <v>1|16503|20</v>
      </c>
      <c r="W58" t="str">
        <f t="shared" si="3"/>
        <v>1|14309|1</v>
      </c>
      <c r="X58" t="str">
        <f t="shared" si="4"/>
        <v/>
      </c>
      <c r="Z58" t="str">
        <f t="shared" si="5"/>
        <v>4|1|37500,1|16503|20,1|14309|1</v>
      </c>
    </row>
    <row r="59" spans="6:26" ht="16.5">
      <c r="F59" s="6">
        <v>34115</v>
      </c>
      <c r="G59">
        <v>34100</v>
      </c>
      <c r="H59">
        <v>34006</v>
      </c>
      <c r="K59" t="s">
        <v>40</v>
      </c>
      <c r="L59" t="s">
        <v>41</v>
      </c>
      <c r="M59" t="s">
        <v>53</v>
      </c>
      <c r="N59" t="s">
        <v>42</v>
      </c>
      <c r="P59" t="s">
        <v>64</v>
      </c>
      <c r="Q59" t="s">
        <v>44</v>
      </c>
      <c r="R59" t="s">
        <v>46</v>
      </c>
      <c r="S59" t="s">
        <v>42</v>
      </c>
      <c r="U59" t="str">
        <f t="shared" si="1"/>
        <v>4|1|37500</v>
      </c>
      <c r="V59" t="str">
        <f t="shared" si="2"/>
        <v>1|16503|20</v>
      </c>
      <c r="W59" t="str">
        <f t="shared" si="3"/>
        <v>1|14302|1</v>
      </c>
      <c r="X59" t="str">
        <f t="shared" si="4"/>
        <v/>
      </c>
      <c r="Z59" t="str">
        <f t="shared" si="5"/>
        <v>4|1|37500,1|16503|20,1|14302|1</v>
      </c>
    </row>
    <row r="60" spans="6:26" ht="16.5">
      <c r="F60" s="6">
        <v>34115</v>
      </c>
      <c r="G60">
        <v>34100</v>
      </c>
      <c r="H60">
        <v>34004</v>
      </c>
      <c r="I60">
        <v>34006</v>
      </c>
      <c r="K60" t="s">
        <v>40</v>
      </c>
      <c r="L60" t="s">
        <v>41</v>
      </c>
      <c r="M60" t="s">
        <v>58</v>
      </c>
      <c r="N60" t="s">
        <v>53</v>
      </c>
      <c r="P60" t="s">
        <v>64</v>
      </c>
      <c r="Q60" t="s">
        <v>44</v>
      </c>
      <c r="R60" t="s">
        <v>46</v>
      </c>
      <c r="S60" t="s">
        <v>46</v>
      </c>
      <c r="U60" t="str">
        <f t="shared" si="1"/>
        <v>4|1|37500</v>
      </c>
      <c r="V60" t="str">
        <f t="shared" si="2"/>
        <v>1|16503|20</v>
      </c>
      <c r="W60" t="str">
        <f t="shared" si="3"/>
        <v>1|14310|1</v>
      </c>
      <c r="X60" t="str">
        <f t="shared" si="4"/>
        <v>1|14302|1</v>
      </c>
      <c r="Z60" t="str">
        <f t="shared" si="5"/>
        <v>4|1|37500,1|16503|20,1|14310|1,1|14302|1</v>
      </c>
    </row>
    <row r="61" spans="6:26" ht="16.5">
      <c r="F61" s="6">
        <v>34116</v>
      </c>
      <c r="G61">
        <v>34100</v>
      </c>
      <c r="K61" t="s">
        <v>40</v>
      </c>
      <c r="L61" t="s">
        <v>41</v>
      </c>
      <c r="M61" t="s">
        <v>42</v>
      </c>
      <c r="N61" t="s">
        <v>42</v>
      </c>
      <c r="P61" t="s">
        <v>65</v>
      </c>
      <c r="Q61" t="s">
        <v>44</v>
      </c>
      <c r="R61" t="s">
        <v>42</v>
      </c>
      <c r="S61" t="s">
        <v>42</v>
      </c>
      <c r="U61" t="str">
        <f t="shared" si="1"/>
        <v>4|1|40000</v>
      </c>
      <c r="V61" t="str">
        <f t="shared" si="2"/>
        <v>1|16503|20</v>
      </c>
      <c r="W61" t="str">
        <f t="shared" si="3"/>
        <v/>
      </c>
      <c r="X61" t="str">
        <f t="shared" si="4"/>
        <v/>
      </c>
      <c r="Z61" t="str">
        <f t="shared" si="5"/>
        <v>4|1|40000,1|16503|20</v>
      </c>
    </row>
    <row r="62" spans="6:26" ht="16.5">
      <c r="F62" s="6">
        <v>34116</v>
      </c>
      <c r="G62">
        <v>34100</v>
      </c>
      <c r="H62">
        <v>34003</v>
      </c>
      <c r="K62" t="s">
        <v>40</v>
      </c>
      <c r="L62" t="s">
        <v>41</v>
      </c>
      <c r="M62" t="s">
        <v>50</v>
      </c>
      <c r="N62" t="s">
        <v>42</v>
      </c>
      <c r="P62" t="s">
        <v>65</v>
      </c>
      <c r="Q62" t="s">
        <v>44</v>
      </c>
      <c r="R62" t="s">
        <v>46</v>
      </c>
      <c r="S62" t="s">
        <v>42</v>
      </c>
      <c r="U62" t="str">
        <f t="shared" si="1"/>
        <v>4|1|40000</v>
      </c>
      <c r="V62" t="str">
        <f t="shared" si="2"/>
        <v>1|16503|20</v>
      </c>
      <c r="W62" t="str">
        <f t="shared" si="3"/>
        <v>1|14309|1</v>
      </c>
      <c r="X62" t="str">
        <f t="shared" si="4"/>
        <v/>
      </c>
      <c r="Z62" t="str">
        <f t="shared" si="5"/>
        <v>4|1|40000,1|16503|20,1|14309|1</v>
      </c>
    </row>
    <row r="63" spans="6:26" ht="16.5">
      <c r="F63" s="6">
        <v>34116</v>
      </c>
      <c r="G63">
        <v>34100</v>
      </c>
      <c r="H63">
        <v>34006</v>
      </c>
      <c r="K63" t="s">
        <v>40</v>
      </c>
      <c r="L63" t="s">
        <v>41</v>
      </c>
      <c r="M63" t="s">
        <v>53</v>
      </c>
      <c r="N63" t="s">
        <v>42</v>
      </c>
      <c r="P63" t="s">
        <v>65</v>
      </c>
      <c r="Q63" t="s">
        <v>44</v>
      </c>
      <c r="R63" t="s">
        <v>46</v>
      </c>
      <c r="S63" t="s">
        <v>42</v>
      </c>
      <c r="U63" t="str">
        <f t="shared" si="1"/>
        <v>4|1|40000</v>
      </c>
      <c r="V63" t="str">
        <f t="shared" si="2"/>
        <v>1|16503|20</v>
      </c>
      <c r="W63" t="str">
        <f t="shared" si="3"/>
        <v>1|14302|1</v>
      </c>
      <c r="X63" t="str">
        <f t="shared" si="4"/>
        <v/>
      </c>
      <c r="Z63" t="str">
        <f t="shared" si="5"/>
        <v>4|1|40000,1|16503|20,1|14302|1</v>
      </c>
    </row>
    <row r="64" spans="6:26" ht="16.5">
      <c r="F64" s="6">
        <v>34116</v>
      </c>
      <c r="G64">
        <v>34100</v>
      </c>
      <c r="H64">
        <v>34004</v>
      </c>
      <c r="I64">
        <v>34006</v>
      </c>
      <c r="K64" t="s">
        <v>40</v>
      </c>
      <c r="L64" t="s">
        <v>41</v>
      </c>
      <c r="M64" t="s">
        <v>58</v>
      </c>
      <c r="N64" t="s">
        <v>53</v>
      </c>
      <c r="P64" t="s">
        <v>65</v>
      </c>
      <c r="Q64" t="s">
        <v>44</v>
      </c>
      <c r="R64" t="s">
        <v>46</v>
      </c>
      <c r="S64" t="s">
        <v>46</v>
      </c>
      <c r="U64" t="str">
        <f t="shared" si="1"/>
        <v>4|1|40000</v>
      </c>
      <c r="V64" t="str">
        <f t="shared" si="2"/>
        <v>1|16503|20</v>
      </c>
      <c r="W64" t="str">
        <f t="shared" si="3"/>
        <v>1|14310|1</v>
      </c>
      <c r="X64" t="str">
        <f t="shared" si="4"/>
        <v>1|14302|1</v>
      </c>
      <c r="Z64" t="str">
        <f t="shared" si="5"/>
        <v>4|1|40000,1|16503|20,1|14310|1,1|14302|1</v>
      </c>
    </row>
    <row r="65" spans="6:26" ht="16.5">
      <c r="F65" s="6">
        <v>34117</v>
      </c>
      <c r="G65">
        <v>34100</v>
      </c>
      <c r="K65" t="s">
        <v>40</v>
      </c>
      <c r="L65" t="s">
        <v>41</v>
      </c>
      <c r="M65" t="s">
        <v>42</v>
      </c>
      <c r="N65" t="s">
        <v>42</v>
      </c>
      <c r="P65" t="s">
        <v>66</v>
      </c>
      <c r="Q65" t="s">
        <v>44</v>
      </c>
      <c r="R65" t="s">
        <v>42</v>
      </c>
      <c r="S65" t="s">
        <v>42</v>
      </c>
      <c r="U65" t="str">
        <f t="shared" si="1"/>
        <v>4|1|42500</v>
      </c>
      <c r="V65" t="str">
        <f t="shared" si="2"/>
        <v>1|16503|20</v>
      </c>
      <c r="W65" t="str">
        <f t="shared" si="3"/>
        <v/>
      </c>
      <c r="X65" t="str">
        <f t="shared" si="4"/>
        <v/>
      </c>
      <c r="Z65" t="str">
        <f t="shared" si="5"/>
        <v>4|1|42500,1|16503|20</v>
      </c>
    </row>
    <row r="66" spans="6:26" ht="16.5">
      <c r="F66" s="6">
        <v>34117</v>
      </c>
      <c r="G66">
        <v>34100</v>
      </c>
      <c r="H66">
        <v>34003</v>
      </c>
      <c r="K66" t="s">
        <v>40</v>
      </c>
      <c r="L66" t="s">
        <v>41</v>
      </c>
      <c r="M66" t="s">
        <v>50</v>
      </c>
      <c r="N66" t="s">
        <v>42</v>
      </c>
      <c r="P66" t="s">
        <v>66</v>
      </c>
      <c r="Q66" t="s">
        <v>44</v>
      </c>
      <c r="R66" t="s">
        <v>46</v>
      </c>
      <c r="S66" t="s">
        <v>42</v>
      </c>
      <c r="U66" t="str">
        <f t="shared" ref="U66:U75" si="6">IF(K66="","",MID(K66,3,LEN(K66)-2)&amp;"|"&amp;LEFT(P66,LEN(P66)-2))</f>
        <v>4|1|42500</v>
      </c>
      <c r="V66" t="str">
        <f t="shared" ref="V66:V75" si="7">IF(L66="","",MID(L66,3,LEN(L66)-2)&amp;"|"&amp;LEFT(Q66,LEN(Q66)-2))</f>
        <v>1|16503|20</v>
      </c>
      <c r="W66" t="str">
        <f t="shared" ref="W66:W75" si="8">IF(M66="","",MID(M66,3,LEN(M66)-2)&amp;"|"&amp;LEFT(R66,LEN(R66)-2))</f>
        <v>1|14309|1</v>
      </c>
      <c r="X66" t="str">
        <f t="shared" ref="X66:X75" si="9">IF(N66="","",MID(N66,3,LEN(N66)-2)&amp;"|"&amp;LEFT(S66,LEN(S66)-2))</f>
        <v/>
      </c>
      <c r="Z66" t="str">
        <f t="shared" ref="Z66:Z75" si="10">U66&amp;","&amp;V66&amp;IF(W66="","",","&amp;W66)&amp;IF(X66="","",","&amp;X66)</f>
        <v>4|1|42500,1|16503|20,1|14309|1</v>
      </c>
    </row>
    <row r="67" spans="6:26" ht="16.5">
      <c r="F67" s="6">
        <v>34117</v>
      </c>
      <c r="G67">
        <v>34100</v>
      </c>
      <c r="H67">
        <v>34006</v>
      </c>
      <c r="K67" t="s">
        <v>40</v>
      </c>
      <c r="L67" t="s">
        <v>41</v>
      </c>
      <c r="M67" t="s">
        <v>53</v>
      </c>
      <c r="N67" t="s">
        <v>42</v>
      </c>
      <c r="P67" t="s">
        <v>66</v>
      </c>
      <c r="Q67" t="s">
        <v>44</v>
      </c>
      <c r="R67" t="s">
        <v>46</v>
      </c>
      <c r="S67" t="s">
        <v>42</v>
      </c>
      <c r="U67" t="str">
        <f t="shared" si="6"/>
        <v>4|1|42500</v>
      </c>
      <c r="V67" t="str">
        <f t="shared" si="7"/>
        <v>1|16503|20</v>
      </c>
      <c r="W67" t="str">
        <f t="shared" si="8"/>
        <v>1|14302|1</v>
      </c>
      <c r="X67" t="str">
        <f t="shared" si="9"/>
        <v/>
      </c>
      <c r="Z67" t="str">
        <f t="shared" si="10"/>
        <v>4|1|42500,1|16503|20,1|14302|1</v>
      </c>
    </row>
    <row r="68" spans="6:26" ht="16.5">
      <c r="F68" s="6">
        <v>34117</v>
      </c>
      <c r="G68">
        <v>34100</v>
      </c>
      <c r="H68">
        <v>34004</v>
      </c>
      <c r="I68">
        <v>34006</v>
      </c>
      <c r="K68" t="s">
        <v>40</v>
      </c>
      <c r="L68" t="s">
        <v>41</v>
      </c>
      <c r="M68" t="s">
        <v>58</v>
      </c>
      <c r="N68" t="s">
        <v>53</v>
      </c>
      <c r="P68" t="s">
        <v>66</v>
      </c>
      <c r="Q68" t="s">
        <v>44</v>
      </c>
      <c r="R68" t="s">
        <v>46</v>
      </c>
      <c r="S68" t="s">
        <v>46</v>
      </c>
      <c r="U68" t="str">
        <f t="shared" si="6"/>
        <v>4|1|42500</v>
      </c>
      <c r="V68" t="str">
        <f t="shared" si="7"/>
        <v>1|16503|20</v>
      </c>
      <c r="W68" t="str">
        <f t="shared" si="8"/>
        <v>1|14310|1</v>
      </c>
      <c r="X68" t="str">
        <f t="shared" si="9"/>
        <v>1|14302|1</v>
      </c>
      <c r="Z68" t="str">
        <f t="shared" si="10"/>
        <v>4|1|42500,1|16503|20,1|14310|1,1|14302|1</v>
      </c>
    </row>
    <row r="69" spans="6:26" ht="16.5">
      <c r="F69" s="6">
        <v>34118</v>
      </c>
      <c r="G69">
        <v>34100</v>
      </c>
      <c r="K69" t="s">
        <v>40</v>
      </c>
      <c r="L69" t="s">
        <v>41</v>
      </c>
      <c r="M69" t="s">
        <v>42</v>
      </c>
      <c r="N69" t="s">
        <v>42</v>
      </c>
      <c r="P69" t="s">
        <v>67</v>
      </c>
      <c r="Q69" t="s">
        <v>44</v>
      </c>
      <c r="R69" t="s">
        <v>42</v>
      </c>
      <c r="S69" t="s">
        <v>42</v>
      </c>
      <c r="U69" t="str">
        <f t="shared" si="6"/>
        <v>4|1|45000</v>
      </c>
      <c r="V69" t="str">
        <f t="shared" si="7"/>
        <v>1|16503|20</v>
      </c>
      <c r="W69" t="str">
        <f t="shared" si="8"/>
        <v/>
      </c>
      <c r="X69" t="str">
        <f t="shared" si="9"/>
        <v/>
      </c>
      <c r="Z69" t="str">
        <f t="shared" si="10"/>
        <v>4|1|45000,1|16503|20</v>
      </c>
    </row>
    <row r="70" spans="6:26" ht="16.5">
      <c r="F70" s="6">
        <v>34118</v>
      </c>
      <c r="G70">
        <v>34100</v>
      </c>
      <c r="H70">
        <v>34003</v>
      </c>
      <c r="K70" t="s">
        <v>40</v>
      </c>
      <c r="L70" t="s">
        <v>41</v>
      </c>
      <c r="M70" t="s">
        <v>50</v>
      </c>
      <c r="N70" t="s">
        <v>42</v>
      </c>
      <c r="P70" t="s">
        <v>67</v>
      </c>
      <c r="Q70" t="s">
        <v>44</v>
      </c>
      <c r="R70" t="s">
        <v>46</v>
      </c>
      <c r="S70" t="s">
        <v>42</v>
      </c>
      <c r="U70" t="str">
        <f t="shared" si="6"/>
        <v>4|1|45000</v>
      </c>
      <c r="V70" t="str">
        <f t="shared" si="7"/>
        <v>1|16503|20</v>
      </c>
      <c r="W70" t="str">
        <f t="shared" si="8"/>
        <v>1|14309|1</v>
      </c>
      <c r="X70" t="str">
        <f t="shared" si="9"/>
        <v/>
      </c>
      <c r="Z70" t="str">
        <f t="shared" si="10"/>
        <v>4|1|45000,1|16503|20,1|14309|1</v>
      </c>
    </row>
    <row r="71" spans="6:26" ht="16.5">
      <c r="F71" s="6">
        <v>34118</v>
      </c>
      <c r="G71">
        <v>34100</v>
      </c>
      <c r="H71">
        <v>34006</v>
      </c>
      <c r="K71" t="s">
        <v>40</v>
      </c>
      <c r="L71" t="s">
        <v>41</v>
      </c>
      <c r="M71" t="s">
        <v>53</v>
      </c>
      <c r="N71" t="s">
        <v>42</v>
      </c>
      <c r="P71" t="s">
        <v>67</v>
      </c>
      <c r="Q71" t="s">
        <v>44</v>
      </c>
      <c r="R71" t="s">
        <v>46</v>
      </c>
      <c r="S71" t="s">
        <v>42</v>
      </c>
      <c r="U71" t="str">
        <f t="shared" si="6"/>
        <v>4|1|45000</v>
      </c>
      <c r="V71" t="str">
        <f t="shared" si="7"/>
        <v>1|16503|20</v>
      </c>
      <c r="W71" t="str">
        <f t="shared" si="8"/>
        <v>1|14302|1</v>
      </c>
      <c r="X71" t="str">
        <f t="shared" si="9"/>
        <v/>
      </c>
      <c r="Z71" t="str">
        <f t="shared" si="10"/>
        <v>4|1|45000,1|16503|20,1|14302|1</v>
      </c>
    </row>
    <row r="72" spans="6:26" ht="16.5">
      <c r="F72" s="6">
        <v>34118</v>
      </c>
      <c r="G72">
        <v>34100</v>
      </c>
      <c r="H72">
        <v>34004</v>
      </c>
      <c r="I72">
        <v>34006</v>
      </c>
      <c r="K72" t="s">
        <v>40</v>
      </c>
      <c r="L72" t="s">
        <v>41</v>
      </c>
      <c r="M72" t="s">
        <v>58</v>
      </c>
      <c r="N72" t="s">
        <v>53</v>
      </c>
      <c r="P72" t="s">
        <v>67</v>
      </c>
      <c r="Q72" t="s">
        <v>44</v>
      </c>
      <c r="R72" t="s">
        <v>46</v>
      </c>
      <c r="S72" t="s">
        <v>46</v>
      </c>
      <c r="U72" t="str">
        <f t="shared" si="6"/>
        <v>4|1|45000</v>
      </c>
      <c r="V72" t="str">
        <f t="shared" si="7"/>
        <v>1|16503|20</v>
      </c>
      <c r="W72" t="str">
        <f t="shared" si="8"/>
        <v>1|14310|1</v>
      </c>
      <c r="X72" t="str">
        <f t="shared" si="9"/>
        <v>1|14302|1</v>
      </c>
      <c r="Z72" t="str">
        <f t="shared" si="10"/>
        <v>4|1|45000,1|16503|20,1|14310|1,1|14302|1</v>
      </c>
    </row>
    <row r="73" spans="6:26" ht="16.5">
      <c r="F73" s="6">
        <v>34119</v>
      </c>
      <c r="G73">
        <v>34100</v>
      </c>
      <c r="K73" t="s">
        <v>40</v>
      </c>
      <c r="L73" t="s">
        <v>41</v>
      </c>
      <c r="M73" t="s">
        <v>42</v>
      </c>
      <c r="N73" t="s">
        <v>42</v>
      </c>
      <c r="P73" t="s">
        <v>68</v>
      </c>
      <c r="Q73" t="s">
        <v>44</v>
      </c>
      <c r="R73" t="s">
        <v>42</v>
      </c>
      <c r="S73" t="s">
        <v>42</v>
      </c>
      <c r="U73" t="str">
        <f t="shared" si="6"/>
        <v>4|1|47500</v>
      </c>
      <c r="V73" t="str">
        <f t="shared" si="7"/>
        <v>1|16503|20</v>
      </c>
      <c r="W73" t="str">
        <f t="shared" si="8"/>
        <v/>
      </c>
      <c r="X73" t="str">
        <f t="shared" si="9"/>
        <v/>
      </c>
      <c r="Z73" t="str">
        <f t="shared" si="10"/>
        <v>4|1|47500,1|16503|20</v>
      </c>
    </row>
    <row r="74" spans="6:26" ht="16.5">
      <c r="F74" s="6">
        <v>34119</v>
      </c>
      <c r="G74">
        <v>34100</v>
      </c>
      <c r="H74">
        <v>34003</v>
      </c>
      <c r="K74" t="s">
        <v>40</v>
      </c>
      <c r="L74" t="s">
        <v>41</v>
      </c>
      <c r="M74" t="s">
        <v>50</v>
      </c>
      <c r="N74" t="s">
        <v>42</v>
      </c>
      <c r="P74" t="s">
        <v>68</v>
      </c>
      <c r="Q74" t="s">
        <v>44</v>
      </c>
      <c r="R74" t="s">
        <v>46</v>
      </c>
      <c r="S74" t="s">
        <v>42</v>
      </c>
      <c r="U74" t="str">
        <f t="shared" si="6"/>
        <v>4|1|47500</v>
      </c>
      <c r="V74" t="str">
        <f t="shared" si="7"/>
        <v>1|16503|20</v>
      </c>
      <c r="W74" t="str">
        <f t="shared" si="8"/>
        <v>1|14309|1</v>
      </c>
      <c r="X74" t="str">
        <f t="shared" si="9"/>
        <v/>
      </c>
      <c r="Z74" t="str">
        <f t="shared" si="10"/>
        <v>4|1|47500,1|16503|20,1|14309|1</v>
      </c>
    </row>
    <row r="75" spans="6:26" ht="16.5">
      <c r="F75" s="6">
        <v>34119</v>
      </c>
      <c r="G75">
        <v>34100</v>
      </c>
      <c r="H75">
        <v>34006</v>
      </c>
      <c r="K75" t="s">
        <v>40</v>
      </c>
      <c r="L75" t="s">
        <v>41</v>
      </c>
      <c r="M75" t="s">
        <v>53</v>
      </c>
      <c r="N75" t="s">
        <v>42</v>
      </c>
      <c r="P75" t="s">
        <v>68</v>
      </c>
      <c r="Q75" t="s">
        <v>44</v>
      </c>
      <c r="R75" t="s">
        <v>46</v>
      </c>
      <c r="S75" t="s">
        <v>42</v>
      </c>
      <c r="U75" t="str">
        <f t="shared" si="6"/>
        <v>4|1|47500</v>
      </c>
      <c r="V75" t="str">
        <f t="shared" si="7"/>
        <v>1|16503|20</v>
      </c>
      <c r="W75" t="str">
        <f t="shared" si="8"/>
        <v>1|14302|1</v>
      </c>
      <c r="X75" t="str">
        <f t="shared" si="9"/>
        <v/>
      </c>
      <c r="Z75" t="str">
        <f t="shared" si="10"/>
        <v>4|1|47500,1|16503|20,1|14302|1</v>
      </c>
    </row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微软用户</cp:lastModifiedBy>
  <dcterms:created xsi:type="dcterms:W3CDTF">2006-09-16T00:00:00Z</dcterms:created>
  <dcterms:modified xsi:type="dcterms:W3CDTF">2018-01-30T16:27:23Z</dcterms:modified>
</cp:coreProperties>
</file>