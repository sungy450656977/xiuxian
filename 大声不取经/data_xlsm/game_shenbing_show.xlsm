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0" yWindow="480" windowWidth="28770" windowHeight="11835"/>
  </bookViews>
  <sheets>
    <sheet name="Sheet1" sheetId="2" r:id="rId1"/>
  </sheets>
  <functionGroups/>
  <externalReferences>
    <externalReference r:id="rId2"/>
  </externalReferences>
  <calcPr calcId="124519" concurrentCalc="0"/>
</workbook>
</file>

<file path=xl/calcChain.xml><?xml version="1.0" encoding="utf-8"?>
<calcChain xmlns="http://schemas.openxmlformats.org/spreadsheetml/2006/main">
  <c r="AC312" i="2"/>
  <c r="Z312"/>
  <c r="Y312"/>
  <c r="X312"/>
  <c r="W312"/>
  <c r="V312"/>
  <c r="O312"/>
  <c r="N312"/>
  <c r="M312"/>
  <c r="K312"/>
  <c r="I312"/>
  <c r="O310" l="1"/>
  <c r="N310"/>
  <c r="M310"/>
  <c r="K310"/>
  <c r="I310"/>
  <c r="AC303"/>
  <c r="O303"/>
  <c r="N303"/>
  <c r="M303"/>
  <c r="K303"/>
  <c r="I303"/>
  <c r="AC296"/>
  <c r="O296"/>
  <c r="N296"/>
  <c r="M296"/>
  <c r="K296"/>
  <c r="I296"/>
  <c r="AC289"/>
  <c r="O289"/>
  <c r="N289"/>
  <c r="M289"/>
  <c r="K289"/>
  <c r="I289"/>
  <c r="AC282"/>
  <c r="O282"/>
  <c r="N282"/>
  <c r="M282"/>
  <c r="K282"/>
  <c r="I282"/>
  <c r="AC275"/>
  <c r="O275"/>
  <c r="N275"/>
  <c r="M275"/>
  <c r="K275"/>
  <c r="I275"/>
  <c r="AC268"/>
  <c r="O268"/>
  <c r="N268"/>
  <c r="M268"/>
  <c r="K268"/>
  <c r="I268"/>
  <c r="AC261"/>
  <c r="O261"/>
  <c r="N261"/>
  <c r="M261"/>
  <c r="K261"/>
  <c r="I261"/>
  <c r="AC254"/>
  <c r="O254"/>
  <c r="N254"/>
  <c r="M254"/>
  <c r="K254"/>
  <c r="I254"/>
  <c r="AC240"/>
  <c r="O240"/>
  <c r="N240"/>
  <c r="M240"/>
  <c r="K240"/>
  <c r="I240"/>
  <c r="AC247"/>
  <c r="O247"/>
  <c r="N247"/>
  <c r="M247"/>
  <c r="K247"/>
  <c r="I247"/>
  <c r="AC233"/>
  <c r="O233"/>
  <c r="N233"/>
  <c r="M233"/>
  <c r="K233"/>
  <c r="I233"/>
  <c r="AC226"/>
  <c r="O226"/>
  <c r="N226"/>
  <c r="M226"/>
  <c r="K226"/>
  <c r="I226"/>
  <c r="AC219"/>
  <c r="O219"/>
  <c r="N219"/>
  <c r="M219"/>
  <c r="K219"/>
  <c r="I219"/>
  <c r="AC212"/>
  <c r="O212"/>
  <c r="N212"/>
  <c r="M212"/>
  <c r="K212"/>
  <c r="I212"/>
  <c r="AC205"/>
  <c r="O205"/>
  <c r="N205"/>
  <c r="M205"/>
  <c r="K205"/>
  <c r="I205"/>
  <c r="AC198"/>
  <c r="O198"/>
  <c r="N198"/>
  <c r="M198"/>
  <c r="K198"/>
  <c r="I198"/>
  <c r="AC191"/>
  <c r="O191"/>
  <c r="N191"/>
  <c r="M191"/>
  <c r="K191"/>
  <c r="I191"/>
  <c r="AC184"/>
  <c r="O184"/>
  <c r="N184"/>
  <c r="M184"/>
  <c r="K184"/>
  <c r="I184"/>
  <c r="AC177"/>
  <c r="O177"/>
  <c r="N177"/>
  <c r="M177"/>
  <c r="K177"/>
  <c r="I177"/>
  <c r="AC170"/>
  <c r="O170"/>
  <c r="N170"/>
  <c r="M170"/>
  <c r="K170"/>
  <c r="I170"/>
  <c r="AC163"/>
  <c r="O163"/>
  <c r="N163"/>
  <c r="M163"/>
  <c r="K163"/>
  <c r="I163"/>
  <c r="AC156"/>
  <c r="O156"/>
  <c r="N156"/>
  <c r="M156"/>
  <c r="K156"/>
  <c r="I156"/>
  <c r="AC149"/>
  <c r="O149"/>
  <c r="N149"/>
  <c r="M149"/>
  <c r="K149"/>
  <c r="I149"/>
  <c r="AC142"/>
  <c r="O142"/>
  <c r="N142"/>
  <c r="M142"/>
  <c r="K142"/>
  <c r="I142"/>
  <c r="AC135"/>
  <c r="O135"/>
  <c r="N135"/>
  <c r="M135"/>
  <c r="K135"/>
  <c r="I135"/>
  <c r="AC128"/>
  <c r="O128"/>
  <c r="N128"/>
  <c r="M128"/>
  <c r="K128"/>
  <c r="I128"/>
  <c r="AC121"/>
  <c r="O121"/>
  <c r="N121"/>
  <c r="M121"/>
  <c r="K121"/>
  <c r="I121"/>
  <c r="AC114"/>
  <c r="O114"/>
  <c r="N114"/>
  <c r="M114"/>
  <c r="K114"/>
  <c r="I114"/>
  <c r="AC107"/>
  <c r="O107"/>
  <c r="N107"/>
  <c r="M107"/>
  <c r="K107"/>
  <c r="I107"/>
  <c r="AC100"/>
  <c r="O100"/>
  <c r="N100"/>
  <c r="M100"/>
  <c r="K100"/>
  <c r="I100"/>
  <c r="AC93"/>
  <c r="O93"/>
  <c r="N93"/>
  <c r="M93"/>
  <c r="K93"/>
  <c r="I93"/>
  <c r="AC86"/>
  <c r="O86"/>
  <c r="N86"/>
  <c r="M86"/>
  <c r="K86"/>
  <c r="I86"/>
  <c r="AC79"/>
  <c r="O79"/>
  <c r="N79"/>
  <c r="M79"/>
  <c r="K79"/>
  <c r="I79"/>
  <c r="Z13"/>
  <c r="AC72"/>
  <c r="O72"/>
  <c r="N72"/>
  <c r="M72"/>
  <c r="K72"/>
  <c r="I72"/>
  <c r="Z12"/>
  <c r="AC65"/>
  <c r="O65"/>
  <c r="N65"/>
  <c r="M65"/>
  <c r="K65"/>
  <c r="I65"/>
  <c r="Z11"/>
  <c r="AC58"/>
  <c r="Z58"/>
  <c r="Y58"/>
  <c r="X58"/>
  <c r="W58"/>
  <c r="V58"/>
  <c r="O58"/>
  <c r="N58"/>
  <c r="M58"/>
  <c r="K58"/>
  <c r="I58"/>
  <c r="Z10"/>
  <c r="AC51"/>
  <c r="Z51"/>
  <c r="Y51"/>
  <c r="X51"/>
  <c r="W51"/>
  <c r="V51"/>
  <c r="O51"/>
  <c r="N51"/>
  <c r="M51"/>
  <c r="K51"/>
  <c r="I51"/>
  <c r="Z9"/>
  <c r="AC44"/>
  <c r="Z44"/>
  <c r="Y44"/>
  <c r="X44"/>
  <c r="W44"/>
  <c r="V44"/>
  <c r="O44"/>
  <c r="N44"/>
  <c r="M44"/>
  <c r="K44"/>
  <c r="I44"/>
  <c r="Z8"/>
  <c r="AC37"/>
  <c r="Z37"/>
  <c r="Y37"/>
  <c r="X37"/>
  <c r="W37"/>
  <c r="V37"/>
  <c r="O37"/>
  <c r="N37"/>
  <c r="M37"/>
  <c r="K37"/>
  <c r="I37"/>
  <c r="Z7"/>
  <c r="AC30"/>
  <c r="Z30"/>
  <c r="Y30"/>
  <c r="X30"/>
  <c r="W30"/>
  <c r="V30"/>
  <c r="O30"/>
  <c r="N30"/>
  <c r="M30"/>
  <c r="K30"/>
  <c r="I30"/>
  <c r="Z6"/>
  <c r="AC23"/>
  <c r="Z23"/>
  <c r="Y23"/>
  <c r="X23"/>
  <c r="W23"/>
  <c r="V23"/>
  <c r="O23"/>
  <c r="N23"/>
  <c r="M23"/>
  <c r="K23"/>
  <c r="I23"/>
  <c r="Z5"/>
  <c r="AC16"/>
  <c r="Z16"/>
  <c r="Y16"/>
  <c r="X16"/>
  <c r="W16"/>
  <c r="V16"/>
  <c r="O16"/>
  <c r="M16"/>
  <c r="K16"/>
  <c r="I16"/>
  <c r="Z4"/>
  <c r="AC10"/>
  <c r="Y10"/>
  <c r="X10"/>
  <c r="W10"/>
  <c r="V10"/>
  <c r="O10"/>
  <c r="M10"/>
  <c r="K10"/>
  <c r="I10"/>
  <c r="AC64"/>
  <c r="O64"/>
  <c r="N64"/>
  <c r="M64"/>
  <c r="K64"/>
  <c r="I64"/>
  <c r="O309"/>
  <c r="N309"/>
  <c r="M309"/>
  <c r="K309"/>
  <c r="I309"/>
  <c r="Z53"/>
  <c r="Z46"/>
  <c r="AC302"/>
  <c r="O302"/>
  <c r="N302"/>
  <c r="M302"/>
  <c r="K302"/>
  <c r="I302"/>
  <c r="Z52"/>
  <c r="Z45"/>
  <c r="AC295"/>
  <c r="O295"/>
  <c r="N295"/>
  <c r="M295"/>
  <c r="K295"/>
  <c r="I295"/>
  <c r="Z50"/>
  <c r="AC288"/>
  <c r="O288"/>
  <c r="N288"/>
  <c r="M288"/>
  <c r="K288"/>
  <c r="I288"/>
  <c r="Z49"/>
  <c r="Z43"/>
  <c r="AC281"/>
  <c r="O281"/>
  <c r="N281"/>
  <c r="M281"/>
  <c r="K281"/>
  <c r="I281"/>
  <c r="Z48"/>
  <c r="Z42"/>
  <c r="AC274"/>
  <c r="O274"/>
  <c r="N274"/>
  <c r="M274"/>
  <c r="K274"/>
  <c r="I274"/>
  <c r="Z47"/>
  <c r="Z41"/>
  <c r="AC267"/>
  <c r="O267"/>
  <c r="N267"/>
  <c r="M267"/>
  <c r="K267"/>
  <c r="I267"/>
  <c r="Z40"/>
  <c r="AC260"/>
  <c r="O260"/>
  <c r="N260"/>
  <c r="M260"/>
  <c r="K260"/>
  <c r="I260"/>
  <c r="Z39"/>
  <c r="AC253"/>
  <c r="O253"/>
  <c r="N253"/>
  <c r="M253"/>
  <c r="K253"/>
  <c r="I253"/>
  <c r="Z38"/>
  <c r="AC246"/>
  <c r="O246"/>
  <c r="N246"/>
  <c r="M246"/>
  <c r="K246"/>
  <c r="I246"/>
  <c r="AC239"/>
  <c r="O239"/>
  <c r="N239"/>
  <c r="M239"/>
  <c r="K239"/>
  <c r="I239"/>
  <c r="Z36"/>
  <c r="AC232"/>
  <c r="O232"/>
  <c r="N232"/>
  <c r="M232"/>
  <c r="K232"/>
  <c r="I232"/>
  <c r="Z35"/>
  <c r="AC225"/>
  <c r="O225"/>
  <c r="N225"/>
  <c r="M225"/>
  <c r="K225"/>
  <c r="I225"/>
  <c r="Z34"/>
  <c r="AC218"/>
  <c r="O218"/>
  <c r="N218"/>
  <c r="M218"/>
  <c r="K218"/>
  <c r="I218"/>
  <c r="Z33"/>
  <c r="AC211"/>
  <c r="O211"/>
  <c r="N211"/>
  <c r="M211"/>
  <c r="K211"/>
  <c r="I211"/>
  <c r="Z32"/>
  <c r="AC204"/>
  <c r="O204"/>
  <c r="N204"/>
  <c r="M204"/>
  <c r="K204"/>
  <c r="I204"/>
  <c r="Z31"/>
  <c r="AC197"/>
  <c r="O197"/>
  <c r="N197"/>
  <c r="M197"/>
  <c r="K197"/>
  <c r="I197"/>
  <c r="AC190"/>
  <c r="O190"/>
  <c r="N190"/>
  <c r="M190"/>
  <c r="K190"/>
  <c r="I190"/>
  <c r="Z29"/>
  <c r="AC183"/>
  <c r="O183"/>
  <c r="N183"/>
  <c r="M183"/>
  <c r="K183"/>
  <c r="I183"/>
  <c r="Z28"/>
  <c r="AC176"/>
  <c r="O176"/>
  <c r="N176"/>
  <c r="M176"/>
  <c r="K176"/>
  <c r="I176"/>
  <c r="Z27"/>
  <c r="AC169"/>
  <c r="O169"/>
  <c r="N169"/>
  <c r="M169"/>
  <c r="K169"/>
  <c r="I169"/>
  <c r="Z26"/>
  <c r="AC162"/>
  <c r="O162"/>
  <c r="N162"/>
  <c r="M162"/>
  <c r="K162"/>
  <c r="I162"/>
  <c r="Z25"/>
  <c r="AC155"/>
  <c r="O155"/>
  <c r="N155"/>
  <c r="M155"/>
  <c r="K155"/>
  <c r="I155"/>
  <c r="Z24"/>
  <c r="AC148"/>
  <c r="O148"/>
  <c r="N148"/>
  <c r="M148"/>
  <c r="K148"/>
  <c r="I148"/>
  <c r="AC141"/>
  <c r="O141"/>
  <c r="N141"/>
  <c r="M141"/>
  <c r="K141"/>
  <c r="I141"/>
  <c r="V27"/>
  <c r="Z22"/>
  <c r="AC134"/>
  <c r="O134"/>
  <c r="N134"/>
  <c r="M134"/>
  <c r="K134"/>
  <c r="I134"/>
  <c r="Z21"/>
  <c r="AC127"/>
  <c r="O127"/>
  <c r="N127"/>
  <c r="M127"/>
  <c r="K127"/>
  <c r="I127"/>
  <c r="Z20"/>
  <c r="AC120"/>
  <c r="O120"/>
  <c r="N120"/>
  <c r="M120"/>
  <c r="K120"/>
  <c r="I120"/>
  <c r="Z19"/>
  <c r="AC113"/>
  <c r="O113"/>
  <c r="N113"/>
  <c r="M113"/>
  <c r="K113"/>
  <c r="I113"/>
  <c r="Z18"/>
  <c r="AC106"/>
  <c r="O106"/>
  <c r="N106"/>
  <c r="M106"/>
  <c r="K106"/>
  <c r="I106"/>
  <c r="Z17"/>
  <c r="AC99"/>
  <c r="O99"/>
  <c r="N99"/>
  <c r="M99"/>
  <c r="K99"/>
  <c r="I99"/>
  <c r="AC92"/>
  <c r="O92"/>
  <c r="N92"/>
  <c r="M92"/>
  <c r="K92"/>
  <c r="I92"/>
  <c r="Z15"/>
  <c r="AC85"/>
  <c r="O85"/>
  <c r="N85"/>
  <c r="M85"/>
  <c r="K85"/>
  <c r="I85"/>
  <c r="Z14"/>
  <c r="AC78"/>
  <c r="O78"/>
  <c r="N78"/>
  <c r="M78"/>
  <c r="K78"/>
  <c r="I78"/>
  <c r="AC71"/>
  <c r="O71"/>
  <c r="N71"/>
  <c r="M71"/>
  <c r="K71"/>
  <c r="I71"/>
  <c r="AC57"/>
  <c r="Z57"/>
  <c r="Y57"/>
  <c r="X57"/>
  <c r="W57"/>
  <c r="V57"/>
  <c r="O57"/>
  <c r="N57"/>
  <c r="M57"/>
  <c r="K57"/>
  <c r="I57"/>
  <c r="AC52"/>
  <c r="Y52"/>
  <c r="X52"/>
  <c r="W52"/>
  <c r="V52"/>
  <c r="O52"/>
  <c r="N52"/>
  <c r="M52"/>
  <c r="K52"/>
  <c r="I52"/>
  <c r="AC43"/>
  <c r="Y43"/>
  <c r="X43"/>
  <c r="W43"/>
  <c r="V43"/>
  <c r="O43"/>
  <c r="N43"/>
  <c r="M43"/>
  <c r="K43"/>
  <c r="I43"/>
  <c r="AC36"/>
  <c r="Y36"/>
  <c r="X36"/>
  <c r="W36"/>
  <c r="V36"/>
  <c r="O36"/>
  <c r="N36"/>
  <c r="M36"/>
  <c r="K36"/>
  <c r="I36"/>
  <c r="AC31"/>
  <c r="Y31"/>
  <c r="X31"/>
  <c r="W31"/>
  <c r="V31"/>
  <c r="O31"/>
  <c r="N31"/>
  <c r="M31"/>
  <c r="K31"/>
  <c r="I31"/>
  <c r="AC24"/>
  <c r="Y24"/>
  <c r="X24"/>
  <c r="W24"/>
  <c r="V24"/>
  <c r="O24"/>
  <c r="N24"/>
  <c r="M24"/>
  <c r="K24"/>
  <c r="I24"/>
  <c r="AC17"/>
  <c r="Y17"/>
  <c r="X17"/>
  <c r="W17"/>
  <c r="V17"/>
  <c r="O17"/>
  <c r="M17"/>
  <c r="K17"/>
  <c r="I17"/>
  <c r="AC9"/>
  <c r="Y9"/>
  <c r="X9"/>
  <c r="W9"/>
  <c r="V9"/>
  <c r="O9"/>
  <c r="M9"/>
  <c r="K9"/>
  <c r="I9"/>
  <c r="K4"/>
  <c r="I4"/>
  <c r="M4"/>
  <c r="O4"/>
  <c r="V4"/>
  <c r="W4"/>
  <c r="X4"/>
  <c r="Y4"/>
  <c r="AC4"/>
  <c r="K5"/>
  <c r="I5"/>
  <c r="M5"/>
  <c r="O5"/>
  <c r="V5"/>
  <c r="W5"/>
  <c r="X5"/>
  <c r="Y5"/>
  <c r="AC5"/>
  <c r="K6"/>
  <c r="I6"/>
  <c r="M6"/>
  <c r="O6"/>
  <c r="V6"/>
  <c r="W6"/>
  <c r="X6"/>
  <c r="Y6"/>
  <c r="AC6"/>
  <c r="K7"/>
  <c r="I7"/>
  <c r="M7"/>
  <c r="O7"/>
  <c r="V7"/>
  <c r="W7"/>
  <c r="X7"/>
  <c r="Y7"/>
  <c r="AC7"/>
  <c r="K8"/>
  <c r="I8"/>
  <c r="M8"/>
  <c r="O8"/>
  <c r="V8"/>
  <c r="W8"/>
  <c r="X8"/>
  <c r="Y8"/>
  <c r="AC8"/>
  <c r="K11"/>
  <c r="I11"/>
  <c r="M11"/>
  <c r="O11"/>
  <c r="V11"/>
  <c r="W11"/>
  <c r="X11"/>
  <c r="Y11"/>
  <c r="AC11"/>
  <c r="K12"/>
  <c r="I12"/>
  <c r="M12"/>
  <c r="O12"/>
  <c r="V12"/>
  <c r="W12"/>
  <c r="X12"/>
  <c r="Y12"/>
  <c r="AC12"/>
  <c r="K13"/>
  <c r="I13"/>
  <c r="M13"/>
  <c r="O13"/>
  <c r="V13"/>
  <c r="W13"/>
  <c r="X13"/>
  <c r="Y13"/>
  <c r="AC13"/>
  <c r="K14"/>
  <c r="I14"/>
  <c r="M14"/>
  <c r="O14"/>
  <c r="V14"/>
  <c r="W14"/>
  <c r="X14"/>
  <c r="Y14"/>
  <c r="AC14"/>
  <c r="K15"/>
  <c r="I15"/>
  <c r="M15"/>
  <c r="O15"/>
  <c r="V15"/>
  <c r="W15"/>
  <c r="X15"/>
  <c r="Y15"/>
  <c r="AC15"/>
  <c r="I18"/>
  <c r="M18"/>
  <c r="O18"/>
  <c r="V18"/>
  <c r="W18"/>
  <c r="X18"/>
  <c r="Y18"/>
  <c r="AC18"/>
  <c r="K19"/>
  <c r="I19"/>
  <c r="M19"/>
  <c r="O19"/>
  <c r="N19"/>
  <c r="V19"/>
  <c r="W19"/>
  <c r="X19"/>
  <c r="Y19"/>
  <c r="AC19"/>
  <c r="K20"/>
  <c r="I20"/>
  <c r="M20"/>
  <c r="O20"/>
  <c r="N20"/>
  <c r="V20"/>
  <c r="W20"/>
  <c r="X20"/>
  <c r="Y20"/>
  <c r="AC20"/>
  <c r="K21"/>
  <c r="I21"/>
  <c r="M21"/>
  <c r="O21"/>
  <c r="N21"/>
  <c r="V21"/>
  <c r="W21"/>
  <c r="X21"/>
  <c r="Y21"/>
  <c r="AC21"/>
  <c r="K22"/>
  <c r="I22"/>
  <c r="M22"/>
  <c r="O22"/>
  <c r="N22"/>
  <c r="V22"/>
  <c r="W22"/>
  <c r="X22"/>
  <c r="Y22"/>
  <c r="AC22"/>
  <c r="K25"/>
  <c r="I25"/>
  <c r="M25"/>
  <c r="O25"/>
  <c r="V25"/>
  <c r="W25"/>
  <c r="X25"/>
  <c r="Y25"/>
  <c r="AC25"/>
  <c r="K26"/>
  <c r="I26"/>
  <c r="M26"/>
  <c r="O26"/>
  <c r="N26"/>
  <c r="V26"/>
  <c r="W26"/>
  <c r="X26"/>
  <c r="Y26"/>
  <c r="AC26"/>
  <c r="K27"/>
  <c r="I27"/>
  <c r="M27"/>
  <c r="O27"/>
  <c r="N27"/>
  <c r="W27"/>
  <c r="X27"/>
  <c r="Y27"/>
  <c r="AC27"/>
  <c r="K28"/>
  <c r="I28"/>
  <c r="M28"/>
  <c r="O28"/>
  <c r="N28"/>
  <c r="V28"/>
  <c r="W28"/>
  <c r="X28"/>
  <c r="Y28"/>
  <c r="AC28"/>
  <c r="K29"/>
  <c r="I29"/>
  <c r="M29"/>
  <c r="O29"/>
  <c r="N29"/>
  <c r="V29"/>
  <c r="W29"/>
  <c r="X29"/>
  <c r="Y29"/>
  <c r="AC29"/>
  <c r="K32"/>
  <c r="I32"/>
  <c r="M32"/>
  <c r="O32"/>
  <c r="V32"/>
  <c r="W32"/>
  <c r="X32"/>
  <c r="Y32"/>
  <c r="AC32"/>
  <c r="K33"/>
  <c r="I33"/>
  <c r="M33"/>
  <c r="O33"/>
  <c r="N33"/>
  <c r="V33"/>
  <c r="W33"/>
  <c r="X33"/>
  <c r="Y33"/>
  <c r="AC33"/>
  <c r="K34"/>
  <c r="I34"/>
  <c r="M34"/>
  <c r="O34"/>
  <c r="N34"/>
  <c r="V34"/>
  <c r="W34"/>
  <c r="X34"/>
  <c r="Y34"/>
  <c r="AC34"/>
  <c r="K35"/>
  <c r="I35"/>
  <c r="M35"/>
  <c r="O35"/>
  <c r="N35"/>
  <c r="V35"/>
  <c r="W35"/>
  <c r="X35"/>
  <c r="Y35"/>
  <c r="AC35"/>
  <c r="K38"/>
  <c r="I38"/>
  <c r="M38"/>
  <c r="O38"/>
  <c r="N38"/>
  <c r="V38"/>
  <c r="W38"/>
  <c r="X38"/>
  <c r="Y38"/>
  <c r="AC38"/>
  <c r="K39"/>
  <c r="I39"/>
  <c r="M39"/>
  <c r="O39"/>
  <c r="V39"/>
  <c r="W39"/>
  <c r="X39"/>
  <c r="Y39"/>
  <c r="AC39"/>
  <c r="K40"/>
  <c r="I40"/>
  <c r="M40"/>
  <c r="O40"/>
  <c r="N40"/>
  <c r="V40"/>
  <c r="W40"/>
  <c r="X40"/>
  <c r="Y40"/>
  <c r="AC40"/>
  <c r="K41"/>
  <c r="I41"/>
  <c r="M41"/>
  <c r="O41"/>
  <c r="N41"/>
  <c r="V41"/>
  <c r="W41"/>
  <c r="X41"/>
  <c r="Y41"/>
  <c r="AC41"/>
  <c r="K42"/>
  <c r="I42"/>
  <c r="M42"/>
  <c r="O42"/>
  <c r="N42"/>
  <c r="V42"/>
  <c r="W42"/>
  <c r="X42"/>
  <c r="Y42"/>
  <c r="AC42"/>
  <c r="K45"/>
  <c r="I45"/>
  <c r="M45"/>
  <c r="O45"/>
  <c r="N45"/>
  <c r="V45"/>
  <c r="W45"/>
  <c r="X45"/>
  <c r="Y45"/>
  <c r="AC45"/>
  <c r="K46"/>
  <c r="I46"/>
  <c r="M46"/>
  <c r="O46"/>
  <c r="V46"/>
  <c r="W46"/>
  <c r="X46"/>
  <c r="Y46"/>
  <c r="AC46"/>
  <c r="K47"/>
  <c r="I47"/>
  <c r="M47"/>
  <c r="O47"/>
  <c r="N47"/>
  <c r="V47"/>
  <c r="W47"/>
  <c r="X47"/>
  <c r="Y47"/>
  <c r="AC47"/>
  <c r="K48"/>
  <c r="I48"/>
  <c r="M48"/>
  <c r="O48"/>
  <c r="N48"/>
  <c r="V48"/>
  <c r="W48"/>
  <c r="X48"/>
  <c r="Y48"/>
  <c r="AC48"/>
  <c r="K49"/>
  <c r="I49"/>
  <c r="M49"/>
  <c r="O49"/>
  <c r="N49"/>
  <c r="V49"/>
  <c r="W49"/>
  <c r="X49"/>
  <c r="Y49"/>
  <c r="AC49"/>
  <c r="K50"/>
  <c r="I50"/>
  <c r="M50"/>
  <c r="O50"/>
  <c r="N50"/>
  <c r="V50"/>
  <c r="W50"/>
  <c r="X50"/>
  <c r="Y50"/>
  <c r="AC50"/>
  <c r="K53"/>
  <c r="I53"/>
  <c r="M53"/>
  <c r="O53"/>
  <c r="V53"/>
  <c r="W53"/>
  <c r="X53"/>
  <c r="Y53"/>
  <c r="AC53"/>
  <c r="K54"/>
  <c r="I54"/>
  <c r="M54"/>
  <c r="O54"/>
  <c r="N54"/>
  <c r="V54"/>
  <c r="W54"/>
  <c r="X54"/>
  <c r="Y54"/>
  <c r="Z54"/>
  <c r="AC54"/>
  <c r="K55"/>
  <c r="I55"/>
  <c r="M55"/>
  <c r="O55"/>
  <c r="N55"/>
  <c r="V55"/>
  <c r="W55"/>
  <c r="X55"/>
  <c r="Y55"/>
  <c r="Z55"/>
  <c r="AC55"/>
  <c r="K56"/>
  <c r="I56"/>
  <c r="M56"/>
  <c r="O56"/>
  <c r="N56"/>
  <c r="V56"/>
  <c r="W56"/>
  <c r="X56"/>
  <c r="Y56"/>
  <c r="Z56"/>
  <c r="AC56"/>
  <c r="K59"/>
  <c r="I59"/>
  <c r="M59"/>
  <c r="O59"/>
  <c r="N59"/>
  <c r="V59"/>
  <c r="W59"/>
  <c r="X59"/>
  <c r="Y59"/>
  <c r="Z59"/>
  <c r="AC59"/>
  <c r="K60"/>
  <c r="I60"/>
  <c r="M60"/>
  <c r="O60"/>
  <c r="V60"/>
  <c r="W60"/>
  <c r="X60"/>
  <c r="Y60"/>
  <c r="Z60"/>
  <c r="AC60"/>
  <c r="K61"/>
  <c r="I61"/>
  <c r="M61"/>
  <c r="O61"/>
  <c r="N61"/>
  <c r="V61"/>
  <c r="W61"/>
  <c r="X61"/>
  <c r="Y61"/>
  <c r="Z61"/>
  <c r="AC61"/>
  <c r="K62"/>
  <c r="I62"/>
  <c r="M62"/>
  <c r="O62"/>
  <c r="N62"/>
  <c r="V62"/>
  <c r="W62"/>
  <c r="X62"/>
  <c r="Y62"/>
  <c r="Z62"/>
  <c r="AC62"/>
  <c r="K63"/>
  <c r="I63"/>
  <c r="M63"/>
  <c r="O63"/>
  <c r="N63"/>
  <c r="AC63"/>
  <c r="K66"/>
  <c r="I66"/>
  <c r="M66"/>
  <c r="O66"/>
  <c r="N66"/>
  <c r="AC66"/>
  <c r="K67"/>
  <c r="I67"/>
  <c r="M67"/>
  <c r="O67"/>
  <c r="AC67"/>
  <c r="K68"/>
  <c r="I68"/>
  <c r="M68"/>
  <c r="O68"/>
  <c r="N68"/>
  <c r="AC68"/>
  <c r="K69"/>
  <c r="I69"/>
  <c r="M69"/>
  <c r="O69"/>
  <c r="N69"/>
  <c r="AC69"/>
  <c r="K70"/>
  <c r="I70"/>
  <c r="M70"/>
  <c r="O70"/>
  <c r="N70"/>
  <c r="AC70"/>
  <c r="K73"/>
  <c r="I73"/>
  <c r="M73"/>
  <c r="O73"/>
  <c r="N73"/>
  <c r="AC73"/>
  <c r="K74"/>
  <c r="I74"/>
  <c r="M74"/>
  <c r="O74"/>
  <c r="AC74"/>
  <c r="K75"/>
  <c r="I75"/>
  <c r="M75"/>
  <c r="O75"/>
  <c r="N75"/>
  <c r="AC75"/>
  <c r="K76"/>
  <c r="I76"/>
  <c r="M76"/>
  <c r="O76"/>
  <c r="N76"/>
  <c r="AC76"/>
  <c r="K77"/>
  <c r="I77"/>
  <c r="M77"/>
  <c r="O77"/>
  <c r="N77"/>
  <c r="AC77"/>
  <c r="K80"/>
  <c r="I80"/>
  <c r="M80"/>
  <c r="O80"/>
  <c r="N80"/>
  <c r="AC80"/>
  <c r="K81"/>
  <c r="I81"/>
  <c r="M81"/>
  <c r="O81"/>
  <c r="AC81"/>
  <c r="K82"/>
  <c r="I82"/>
  <c r="M82"/>
  <c r="O82"/>
  <c r="N82"/>
  <c r="AC82"/>
  <c r="K83"/>
  <c r="I83"/>
  <c r="M83"/>
  <c r="O83"/>
  <c r="N83"/>
  <c r="AC83"/>
  <c r="K84"/>
  <c r="I84"/>
  <c r="M84"/>
  <c r="O84"/>
  <c r="N84"/>
  <c r="AC84"/>
  <c r="K87"/>
  <c r="I87"/>
  <c r="M87"/>
  <c r="O87"/>
  <c r="N87"/>
  <c r="AC87"/>
  <c r="K88"/>
  <c r="I88"/>
  <c r="M88"/>
  <c r="O88"/>
  <c r="AC88"/>
  <c r="K89"/>
  <c r="I89"/>
  <c r="M89"/>
  <c r="O89"/>
  <c r="N89"/>
  <c r="AC89"/>
  <c r="K90"/>
  <c r="I90"/>
  <c r="M90"/>
  <c r="O90"/>
  <c r="N90"/>
  <c r="AC90"/>
  <c r="K91"/>
  <c r="I91"/>
  <c r="M91"/>
  <c r="O91"/>
  <c r="N91"/>
  <c r="AC91"/>
  <c r="K94"/>
  <c r="I94"/>
  <c r="M94"/>
  <c r="O94"/>
  <c r="N94"/>
  <c r="AC94"/>
  <c r="K95"/>
  <c r="I95"/>
  <c r="M95"/>
  <c r="O95"/>
  <c r="AC95"/>
  <c r="K96"/>
  <c r="I96"/>
  <c r="M96"/>
  <c r="O96"/>
  <c r="N96"/>
  <c r="AC96"/>
  <c r="K97"/>
  <c r="I97"/>
  <c r="M97"/>
  <c r="O97"/>
  <c r="N97"/>
  <c r="AC97"/>
  <c r="K98"/>
  <c r="I98"/>
  <c r="M98"/>
  <c r="O98"/>
  <c r="N98"/>
  <c r="AC98"/>
  <c r="K101"/>
  <c r="I101"/>
  <c r="M101"/>
  <c r="O101"/>
  <c r="N101"/>
  <c r="AC101"/>
  <c r="K102"/>
  <c r="I102"/>
  <c r="M102"/>
  <c r="O102"/>
  <c r="AC102"/>
  <c r="K103"/>
  <c r="I103"/>
  <c r="M103"/>
  <c r="O103"/>
  <c r="N103"/>
  <c r="AC103"/>
  <c r="K104"/>
  <c r="I104"/>
  <c r="M104"/>
  <c r="O104"/>
  <c r="N104"/>
  <c r="AC104"/>
  <c r="K105"/>
  <c r="I105"/>
  <c r="M105"/>
  <c r="O105"/>
  <c r="N105"/>
  <c r="AC105"/>
  <c r="K108"/>
  <c r="I108"/>
  <c r="M108"/>
  <c r="O108"/>
  <c r="N108"/>
  <c r="AC108"/>
  <c r="K109"/>
  <c r="I109"/>
  <c r="M109"/>
  <c r="O109"/>
  <c r="AC109"/>
  <c r="K110"/>
  <c r="I110"/>
  <c r="M110"/>
  <c r="O110"/>
  <c r="N110"/>
  <c r="AC110"/>
  <c r="K111"/>
  <c r="I111"/>
  <c r="M111"/>
  <c r="O111"/>
  <c r="N111"/>
  <c r="AC111"/>
  <c r="K112"/>
  <c r="I112"/>
  <c r="M112"/>
  <c r="O112"/>
  <c r="N112"/>
  <c r="AC112"/>
  <c r="K115"/>
  <c r="I115"/>
  <c r="M115"/>
  <c r="O115"/>
  <c r="N115"/>
  <c r="AC115"/>
  <c r="K116"/>
  <c r="I116"/>
  <c r="M116"/>
  <c r="O116"/>
  <c r="AC116"/>
  <c r="K117"/>
  <c r="I117"/>
  <c r="M117"/>
  <c r="O117"/>
  <c r="N117"/>
  <c r="AC117"/>
  <c r="K118"/>
  <c r="I118"/>
  <c r="M118"/>
  <c r="O118"/>
  <c r="N118"/>
  <c r="AC118"/>
  <c r="K119"/>
  <c r="I119"/>
  <c r="M119"/>
  <c r="O119"/>
  <c r="N119"/>
  <c r="AC119"/>
  <c r="K122"/>
  <c r="I122"/>
  <c r="M122"/>
  <c r="O122"/>
  <c r="N122"/>
  <c r="AC122"/>
  <c r="K123"/>
  <c r="I123"/>
  <c r="M123"/>
  <c r="O123"/>
  <c r="AC123"/>
  <c r="K124"/>
  <c r="I124"/>
  <c r="M124"/>
  <c r="O124"/>
  <c r="N124"/>
  <c r="AC124"/>
  <c r="K125"/>
  <c r="I125"/>
  <c r="M125"/>
  <c r="O125"/>
  <c r="N125"/>
  <c r="AC125"/>
  <c r="K126"/>
  <c r="I126"/>
  <c r="M126"/>
  <c r="O126"/>
  <c r="N126"/>
  <c r="AC126"/>
  <c r="K129"/>
  <c r="I129"/>
  <c r="M129"/>
  <c r="O129"/>
  <c r="N129"/>
  <c r="AC129"/>
  <c r="K130"/>
  <c r="I130"/>
  <c r="M130"/>
  <c r="O130"/>
  <c r="AC130"/>
  <c r="K131"/>
  <c r="I131"/>
  <c r="M131"/>
  <c r="O131"/>
  <c r="N131"/>
  <c r="AC131"/>
  <c r="K132"/>
  <c r="I132"/>
  <c r="M132"/>
  <c r="O132"/>
  <c r="N132"/>
  <c r="AC132"/>
  <c r="K133"/>
  <c r="I133"/>
  <c r="M133"/>
  <c r="O133"/>
  <c r="N133"/>
  <c r="AC133"/>
  <c r="K136"/>
  <c r="I136"/>
  <c r="M136"/>
  <c r="O136"/>
  <c r="N136"/>
  <c r="AC136"/>
  <c r="K137"/>
  <c r="I137"/>
  <c r="M137"/>
  <c r="O137"/>
  <c r="AC137"/>
  <c r="K138"/>
  <c r="I138"/>
  <c r="M138"/>
  <c r="O138"/>
  <c r="N138"/>
  <c r="AC138"/>
  <c r="K139"/>
  <c r="I139"/>
  <c r="M139"/>
  <c r="O139"/>
  <c r="N139"/>
  <c r="AC139"/>
  <c r="K140"/>
  <c r="I140"/>
  <c r="M140"/>
  <c r="O140"/>
  <c r="N140"/>
  <c r="AC140"/>
  <c r="K143"/>
  <c r="I143"/>
  <c r="M143"/>
  <c r="O143"/>
  <c r="N143"/>
  <c r="AC143"/>
  <c r="K144"/>
  <c r="I144"/>
  <c r="M144"/>
  <c r="O144"/>
  <c r="AC144"/>
  <c r="K145"/>
  <c r="I145"/>
  <c r="M145"/>
  <c r="O145"/>
  <c r="N145"/>
  <c r="AC145"/>
  <c r="K146"/>
  <c r="I146"/>
  <c r="M146"/>
  <c r="O146"/>
  <c r="N146"/>
  <c r="AC146"/>
  <c r="K147"/>
  <c r="I147"/>
  <c r="M147"/>
  <c r="O147"/>
  <c r="N147"/>
  <c r="AC147"/>
  <c r="K150"/>
  <c r="I150"/>
  <c r="M150"/>
  <c r="O150"/>
  <c r="N150"/>
  <c r="AC150"/>
  <c r="K151"/>
  <c r="I151"/>
  <c r="M151"/>
  <c r="O151"/>
  <c r="AC151"/>
  <c r="K152"/>
  <c r="I152"/>
  <c r="M152"/>
  <c r="O152"/>
  <c r="N152"/>
  <c r="AC152"/>
  <c r="K153"/>
  <c r="I153"/>
  <c r="M153"/>
  <c r="O153"/>
  <c r="N153"/>
  <c r="AC153"/>
  <c r="K154"/>
  <c r="I154"/>
  <c r="M154"/>
  <c r="O154"/>
  <c r="N154"/>
  <c r="AC154"/>
  <c r="K157"/>
  <c r="I157"/>
  <c r="M157"/>
  <c r="O157"/>
  <c r="N157"/>
  <c r="AC157"/>
  <c r="K158"/>
  <c r="I158"/>
  <c r="M158"/>
  <c r="O158"/>
  <c r="AC158"/>
  <c r="K159"/>
  <c r="I159"/>
  <c r="M159"/>
  <c r="O159"/>
  <c r="N159"/>
  <c r="AC159"/>
  <c r="K160"/>
  <c r="I160"/>
  <c r="M160"/>
  <c r="O160"/>
  <c r="N160"/>
  <c r="AC160"/>
  <c r="K161"/>
  <c r="I161"/>
  <c r="M161"/>
  <c r="O161"/>
  <c r="N161"/>
  <c r="AC161"/>
  <c r="K164"/>
  <c r="I164"/>
  <c r="M164"/>
  <c r="O164"/>
  <c r="N164"/>
  <c r="AC164"/>
  <c r="K165"/>
  <c r="I165"/>
  <c r="M165"/>
  <c r="O165"/>
  <c r="AC165"/>
  <c r="K166"/>
  <c r="I166"/>
  <c r="M166"/>
  <c r="O166"/>
  <c r="N166"/>
  <c r="AC166"/>
  <c r="K167"/>
  <c r="I167"/>
  <c r="M167"/>
  <c r="O167"/>
  <c r="N167"/>
  <c r="AC167"/>
  <c r="K168"/>
  <c r="I168"/>
  <c r="M168"/>
  <c r="O168"/>
  <c r="N168"/>
  <c r="AC168"/>
  <c r="K171"/>
  <c r="I171"/>
  <c r="M171"/>
  <c r="O171"/>
  <c r="N171"/>
  <c r="AC171"/>
  <c r="K172"/>
  <c r="I172"/>
  <c r="M172"/>
  <c r="O172"/>
  <c r="AC172"/>
  <c r="K173"/>
  <c r="I173"/>
  <c r="M173"/>
  <c r="O173"/>
  <c r="N173"/>
  <c r="AC173"/>
  <c r="K174"/>
  <c r="I174"/>
  <c r="M174"/>
  <c r="O174"/>
  <c r="N174"/>
  <c r="AC174"/>
  <c r="K175"/>
  <c r="I175"/>
  <c r="M175"/>
  <c r="O175"/>
  <c r="N175"/>
  <c r="AC175"/>
  <c r="K178"/>
  <c r="I178"/>
  <c r="M178"/>
  <c r="O178"/>
  <c r="N178"/>
  <c r="AC178"/>
  <c r="K179"/>
  <c r="I179"/>
  <c r="M179"/>
  <c r="O179"/>
  <c r="AC179"/>
  <c r="K180"/>
  <c r="I180"/>
  <c r="M180"/>
  <c r="O180"/>
  <c r="N180"/>
  <c r="AC180"/>
  <c r="K181"/>
  <c r="I181"/>
  <c r="M181"/>
  <c r="O181"/>
  <c r="N181"/>
  <c r="AC181"/>
  <c r="K182"/>
  <c r="I182"/>
  <c r="M182"/>
  <c r="O182"/>
  <c r="N182"/>
  <c r="AC182"/>
  <c r="K185"/>
  <c r="I185"/>
  <c r="M185"/>
  <c r="O185"/>
  <c r="N185"/>
  <c r="AC185"/>
  <c r="K186"/>
  <c r="I186"/>
  <c r="M186"/>
  <c r="O186"/>
  <c r="AC186"/>
  <c r="K187"/>
  <c r="I187"/>
  <c r="M187"/>
  <c r="O187"/>
  <c r="N187"/>
  <c r="AC187"/>
  <c r="K188"/>
  <c r="I188"/>
  <c r="M188"/>
  <c r="O188"/>
  <c r="N188"/>
  <c r="AC188"/>
  <c r="K189"/>
  <c r="I189"/>
  <c r="M189"/>
  <c r="O189"/>
  <c r="N189"/>
  <c r="AC189"/>
  <c r="K192"/>
  <c r="I192"/>
  <c r="M192"/>
  <c r="O192"/>
  <c r="N192"/>
  <c r="AC192"/>
  <c r="K193"/>
  <c r="I193"/>
  <c r="M193"/>
  <c r="O193"/>
  <c r="AC193"/>
  <c r="K194"/>
  <c r="I194"/>
  <c r="M194"/>
  <c r="O194"/>
  <c r="N194"/>
  <c r="AC194"/>
  <c r="K195"/>
  <c r="I195"/>
  <c r="M195"/>
  <c r="O195"/>
  <c r="N195"/>
  <c r="AC195"/>
  <c r="K196"/>
  <c r="I196"/>
  <c r="M196"/>
  <c r="O196"/>
  <c r="N196"/>
  <c r="AC196"/>
  <c r="K199"/>
  <c r="I199"/>
  <c r="M199"/>
  <c r="O199"/>
  <c r="N199"/>
  <c r="AC199"/>
  <c r="K200"/>
  <c r="I200"/>
  <c r="M200"/>
  <c r="O200"/>
  <c r="AC200"/>
  <c r="K201"/>
  <c r="I201"/>
  <c r="M201"/>
  <c r="O201"/>
  <c r="N201"/>
  <c r="AC201"/>
  <c r="K202"/>
  <c r="I202"/>
  <c r="M202"/>
  <c r="O202"/>
  <c r="N202"/>
  <c r="AC202"/>
  <c r="K203"/>
  <c r="I203"/>
  <c r="M203"/>
  <c r="O203"/>
  <c r="N203"/>
  <c r="AC203"/>
  <c r="K206"/>
  <c r="I206"/>
  <c r="M206"/>
  <c r="O206"/>
  <c r="N206"/>
  <c r="AC206"/>
  <c r="K207"/>
  <c r="I207"/>
  <c r="M207"/>
  <c r="O207"/>
  <c r="AC207"/>
  <c r="K208"/>
  <c r="I208"/>
  <c r="M208"/>
  <c r="O208"/>
  <c r="N208"/>
  <c r="AC208"/>
  <c r="K209"/>
  <c r="I209"/>
  <c r="M209"/>
  <c r="O209"/>
  <c r="N209"/>
  <c r="AC209"/>
  <c r="K210"/>
  <c r="I210"/>
  <c r="M210"/>
  <c r="O210"/>
  <c r="N210"/>
  <c r="AC210"/>
  <c r="K213"/>
  <c r="I213"/>
  <c r="M213"/>
  <c r="O213"/>
  <c r="N213"/>
  <c r="AC213"/>
  <c r="K214"/>
  <c r="I214"/>
  <c r="M214"/>
  <c r="O214"/>
  <c r="AC214"/>
  <c r="K215"/>
  <c r="I215"/>
  <c r="M215"/>
  <c r="O215"/>
  <c r="N215"/>
  <c r="AC215"/>
  <c r="K216"/>
  <c r="I216"/>
  <c r="M216"/>
  <c r="O216"/>
  <c r="N216"/>
  <c r="AC216"/>
  <c r="K217"/>
  <c r="I217"/>
  <c r="M217"/>
  <c r="O217"/>
  <c r="N217"/>
  <c r="AC217"/>
  <c r="K220"/>
  <c r="I220"/>
  <c r="M220"/>
  <c r="O220"/>
  <c r="N220"/>
  <c r="AC220"/>
  <c r="K221"/>
  <c r="I221"/>
  <c r="M221"/>
  <c r="O221"/>
  <c r="AC221"/>
  <c r="K222"/>
  <c r="I222"/>
  <c r="M222"/>
  <c r="O222"/>
  <c r="N222"/>
  <c r="AC222"/>
  <c r="K223"/>
  <c r="I223"/>
  <c r="M223"/>
  <c r="O223"/>
  <c r="N223"/>
  <c r="AC223"/>
  <c r="K224"/>
  <c r="I224"/>
  <c r="M224"/>
  <c r="O224"/>
  <c r="N224"/>
  <c r="AC224"/>
  <c r="K227"/>
  <c r="I227"/>
  <c r="M227"/>
  <c r="O227"/>
  <c r="N227"/>
  <c r="AC227"/>
  <c r="K228"/>
  <c r="I228"/>
  <c r="M228"/>
  <c r="O228"/>
  <c r="AC228"/>
  <c r="K229"/>
  <c r="I229"/>
  <c r="M229"/>
  <c r="O229"/>
  <c r="N229"/>
  <c r="AC229"/>
  <c r="K230"/>
  <c r="I230"/>
  <c r="M230"/>
  <c r="O230"/>
  <c r="N230"/>
  <c r="AC230"/>
  <c r="K231"/>
  <c r="I231"/>
  <c r="M231"/>
  <c r="O231"/>
  <c r="N231"/>
  <c r="AC231"/>
  <c r="K234"/>
  <c r="I234"/>
  <c r="M234"/>
  <c r="O234"/>
  <c r="N234"/>
  <c r="AC234"/>
  <c r="K235"/>
  <c r="I235"/>
  <c r="M235"/>
  <c r="O235"/>
  <c r="AC235"/>
  <c r="K236"/>
  <c r="I236"/>
  <c r="M236"/>
  <c r="O236"/>
  <c r="N236"/>
  <c r="AC236"/>
  <c r="K237"/>
  <c r="I237"/>
  <c r="M237"/>
  <c r="O237"/>
  <c r="N237"/>
  <c r="AC237"/>
  <c r="K238"/>
  <c r="I238"/>
  <c r="M238"/>
  <c r="O238"/>
  <c r="N238"/>
  <c r="AC238"/>
  <c r="K241"/>
  <c r="I241"/>
  <c r="M241"/>
  <c r="O241"/>
  <c r="N241"/>
  <c r="AC241"/>
  <c r="K242"/>
  <c r="I242"/>
  <c r="M242"/>
  <c r="O242"/>
  <c r="AC242"/>
  <c r="K243"/>
  <c r="I243"/>
  <c r="M243"/>
  <c r="O243"/>
  <c r="N243"/>
  <c r="AC243"/>
  <c r="K244"/>
  <c r="I244"/>
  <c r="M244"/>
  <c r="O244"/>
  <c r="N244"/>
  <c r="AC244"/>
  <c r="K245"/>
  <c r="I245"/>
  <c r="M245"/>
  <c r="O245"/>
  <c r="N245"/>
  <c r="AC245"/>
  <c r="K248"/>
  <c r="I248"/>
  <c r="M248"/>
  <c r="O248"/>
  <c r="N248"/>
  <c r="AC248"/>
  <c r="K249"/>
  <c r="I249"/>
  <c r="M249"/>
  <c r="O249"/>
  <c r="AC249"/>
  <c r="K250"/>
  <c r="I250"/>
  <c r="M250"/>
  <c r="O250"/>
  <c r="N250"/>
  <c r="AC250"/>
  <c r="K251"/>
  <c r="I251"/>
  <c r="M251"/>
  <c r="O251"/>
  <c r="N251"/>
  <c r="AC251"/>
  <c r="K252"/>
  <c r="I252"/>
  <c r="M252"/>
  <c r="O252"/>
  <c r="N252"/>
  <c r="AC252"/>
  <c r="K255"/>
  <c r="I255"/>
  <c r="M255"/>
  <c r="O255"/>
  <c r="N255"/>
  <c r="AC255"/>
  <c r="K256"/>
  <c r="I256"/>
  <c r="M256"/>
  <c r="O256"/>
  <c r="AC256"/>
  <c r="K257"/>
  <c r="I257"/>
  <c r="M257"/>
  <c r="O257"/>
  <c r="N257"/>
  <c r="AC257"/>
  <c r="K258"/>
  <c r="I258"/>
  <c r="M258"/>
  <c r="O258"/>
  <c r="N258"/>
  <c r="AC258"/>
  <c r="K259"/>
  <c r="I259"/>
  <c r="M259"/>
  <c r="O259"/>
  <c r="N259"/>
  <c r="AC259"/>
  <c r="K262"/>
  <c r="I262"/>
  <c r="M262"/>
  <c r="O262"/>
  <c r="N262"/>
  <c r="AC262"/>
  <c r="K263"/>
  <c r="I263"/>
  <c r="M263"/>
  <c r="O263"/>
  <c r="AC263"/>
  <c r="K264"/>
  <c r="I264"/>
  <c r="M264"/>
  <c r="O264"/>
  <c r="N264"/>
  <c r="AC264"/>
  <c r="K265"/>
  <c r="I265"/>
  <c r="M265"/>
  <c r="O265"/>
  <c r="N265"/>
  <c r="AC265"/>
  <c r="K266"/>
  <c r="I266"/>
  <c r="M266"/>
  <c r="O266"/>
  <c r="N266"/>
  <c r="AC266"/>
  <c r="K269"/>
  <c r="I269"/>
  <c r="M269"/>
  <c r="O269"/>
  <c r="N269"/>
  <c r="AC269"/>
  <c r="K270"/>
  <c r="I270"/>
  <c r="M270"/>
  <c r="O270"/>
  <c r="AC270"/>
  <c r="K271"/>
  <c r="I271"/>
  <c r="M271"/>
  <c r="O271"/>
  <c r="N271"/>
  <c r="AC271"/>
  <c r="K272"/>
  <c r="I272"/>
  <c r="M272"/>
  <c r="O272"/>
  <c r="N272"/>
  <c r="AC272"/>
  <c r="K273"/>
  <c r="I273"/>
  <c r="M273"/>
  <c r="O273"/>
  <c r="N273"/>
  <c r="AC273"/>
  <c r="K276"/>
  <c r="I276"/>
  <c r="M276"/>
  <c r="O276"/>
  <c r="N276"/>
  <c r="AC276"/>
  <c r="K277"/>
  <c r="I277"/>
  <c r="M277"/>
  <c r="O277"/>
  <c r="AC277"/>
  <c r="K278"/>
  <c r="I278"/>
  <c r="M278"/>
  <c r="O278"/>
  <c r="N278"/>
  <c r="AC278"/>
  <c r="K279"/>
  <c r="I279"/>
  <c r="M279"/>
  <c r="O279"/>
  <c r="N279"/>
  <c r="AC279"/>
  <c r="K280"/>
  <c r="I280"/>
  <c r="M280"/>
  <c r="O280"/>
  <c r="N280"/>
  <c r="AC280"/>
  <c r="K283"/>
  <c r="I283"/>
  <c r="M283"/>
  <c r="O283"/>
  <c r="N283"/>
  <c r="AC283"/>
  <c r="K284"/>
  <c r="I284"/>
  <c r="M284"/>
  <c r="O284"/>
  <c r="AC284"/>
  <c r="K285"/>
  <c r="I285"/>
  <c r="M285"/>
  <c r="O285"/>
  <c r="N285"/>
  <c r="AC285"/>
  <c r="K286"/>
  <c r="I286"/>
  <c r="M286"/>
  <c r="O286"/>
  <c r="N286"/>
  <c r="AC286"/>
  <c r="K287"/>
  <c r="I287"/>
  <c r="M287"/>
  <c r="O287"/>
  <c r="N287"/>
  <c r="AC287"/>
  <c r="K290"/>
  <c r="I290"/>
  <c r="M290"/>
  <c r="O290"/>
  <c r="N290"/>
  <c r="AC290"/>
  <c r="K291"/>
  <c r="I291"/>
  <c r="M291"/>
  <c r="O291"/>
  <c r="AC291"/>
  <c r="K292"/>
  <c r="I292"/>
  <c r="M292"/>
  <c r="O292"/>
  <c r="N292"/>
  <c r="AC292"/>
  <c r="K293"/>
  <c r="I293"/>
  <c r="M293"/>
  <c r="O293"/>
  <c r="N293"/>
  <c r="AC293"/>
  <c r="K294"/>
  <c r="I294"/>
  <c r="M294"/>
  <c r="O294"/>
  <c r="N294"/>
  <c r="AC294"/>
  <c r="K297"/>
  <c r="I297"/>
  <c r="M297"/>
  <c r="O297"/>
  <c r="N297"/>
  <c r="AC297"/>
  <c r="K298"/>
  <c r="I298"/>
  <c r="M298"/>
  <c r="O298"/>
  <c r="AC298"/>
  <c r="K299"/>
  <c r="I299"/>
  <c r="M299"/>
  <c r="O299"/>
  <c r="N299"/>
  <c r="AC299"/>
  <c r="K300"/>
  <c r="I300"/>
  <c r="M300"/>
  <c r="O300"/>
  <c r="N300"/>
  <c r="AC300"/>
  <c r="K301"/>
  <c r="I301"/>
  <c r="M301"/>
  <c r="O301"/>
  <c r="N301"/>
  <c r="AC301"/>
  <c r="K304"/>
  <c r="I304"/>
  <c r="M304"/>
  <c r="O304"/>
  <c r="N304"/>
  <c r="AC304"/>
  <c r="K305"/>
  <c r="I305"/>
  <c r="M305"/>
  <c r="O305"/>
  <c r="K306"/>
  <c r="I306"/>
  <c r="M306"/>
  <c r="O306"/>
  <c r="N306"/>
  <c r="K307"/>
  <c r="I307"/>
  <c r="M307"/>
  <c r="O307"/>
  <c r="N307"/>
  <c r="K308"/>
  <c r="I308"/>
  <c r="M308"/>
  <c r="O308"/>
  <c r="N308"/>
  <c r="K311"/>
  <c r="I311"/>
  <c r="M311"/>
  <c r="O311"/>
  <c r="N311"/>
  <c r="K18"/>
</calcChain>
</file>

<file path=xl/sharedStrings.xml><?xml version="1.0" encoding="utf-8"?>
<sst xmlns="http://schemas.openxmlformats.org/spreadsheetml/2006/main" count="2672" uniqueCount="763">
  <si>
    <t>na</t>
    <phoneticPr fontId="1" type="noConversion"/>
  </si>
  <si>
    <t>神兵对应阶段的名字</t>
    <phoneticPr fontId="1" type="noConversion"/>
  </si>
  <si>
    <t>神兵对应阶段的模型</t>
    <phoneticPr fontId="1" type="noConversion"/>
  </si>
  <si>
    <t>s</t>
    <phoneticPr fontId="1" type="noConversion"/>
  </si>
  <si>
    <t>name</t>
    <phoneticPr fontId="1" type="noConversion"/>
  </si>
  <si>
    <t>model</t>
    <phoneticPr fontId="1" type="noConversion"/>
  </si>
  <si>
    <t>effect</t>
    <phoneticPr fontId="1" type="noConversion"/>
  </si>
  <si>
    <t>展示效果id</t>
    <phoneticPr fontId="1" type="noConversion"/>
  </si>
  <si>
    <t>id</t>
    <phoneticPr fontId="1" type="noConversion"/>
  </si>
  <si>
    <t>神兵描述
[字符串]</t>
  </si>
  <si>
    <t>图标
资源ID[字符串]
调用game_res</t>
    <phoneticPr fontId="1" type="noConversion"/>
  </si>
  <si>
    <t>description</t>
  </si>
  <si>
    <t>icon</t>
  </si>
  <si>
    <t>s</t>
    <phoneticPr fontId="3" type="noConversion"/>
  </si>
  <si>
    <t>para</t>
    <phoneticPr fontId="1" type="noConversion"/>
  </si>
  <si>
    <t>展示界面武器相关参数。分别为展示组件的postion x y z ; rotation x y z; scale x y z的参数。若有两个组件以上需要展示，则在后续再补下一个组件的三组参数</t>
    <phoneticPr fontId="1" type="noConversion"/>
  </si>
  <si>
    <t>展示特效
神兵组件对应的特效</t>
    <phoneticPr fontId="1" type="noConversion"/>
  </si>
  <si>
    <t>战斗中的特效
神兵组件对应的特效</t>
    <phoneticPr fontId="1" type="noConversion"/>
  </si>
  <si>
    <t>fight_effect</t>
    <phoneticPr fontId="1" type="noConversion"/>
  </si>
  <si>
    <t>对应人物</t>
    <phoneticPr fontId="1" type="noConversion"/>
  </si>
  <si>
    <t>神兵等级</t>
    <phoneticPr fontId="1" type="noConversion"/>
  </si>
  <si>
    <t>[]</t>
  </si>
  <si>
    <t>模型资源</t>
    <phoneticPr fontId="1" type="noConversion"/>
  </si>
  <si>
    <t>特效资源</t>
    <phoneticPr fontId="1" type="noConversion"/>
  </si>
  <si>
    <t>"</t>
    <phoneticPr fontId="1" type="noConversion"/>
  </si>
  <si>
    <t>id</t>
    <phoneticPr fontId="1" type="noConversion"/>
  </si>
  <si>
    <t>哪吒</t>
  </si>
  <si>
    <t>斗战胜佛</t>
    <phoneticPr fontId="3" type="noConversion"/>
  </si>
  <si>
    <t>二郎神</t>
  </si>
  <si>
    <t>虎力大仙</t>
  </si>
  <si>
    <t>猪八戒</t>
  </si>
  <si>
    <t>弥勒佛</t>
  </si>
  <si>
    <t>金蝉子</t>
  </si>
  <si>
    <t>黑无常</t>
  </si>
  <si>
    <t>牛魔王</t>
    <phoneticPr fontId="3" type="noConversion"/>
  </si>
  <si>
    <t>孙悟空</t>
    <phoneticPr fontId="3" type="noConversion"/>
  </si>
  <si>
    <t>王母娘娘</t>
  </si>
  <si>
    <t>白无常</t>
  </si>
  <si>
    <t>沙和尚</t>
    <phoneticPr fontId="3" type="noConversion"/>
  </si>
  <si>
    <t>文殊菩萨</t>
  </si>
  <si>
    <t>龙帝</t>
  </si>
  <si>
    <t>八部天龙</t>
    <phoneticPr fontId="3" type="noConversion"/>
  </si>
  <si>
    <t>嫦娥</t>
  </si>
  <si>
    <t>九天玄女</t>
  </si>
  <si>
    <t>铁扇公主</t>
  </si>
  <si>
    <t>白骨夫人</t>
  </si>
  <si>
    <t>紫霞仙子</t>
  </si>
  <si>
    <t>观世音</t>
    <phoneticPr fontId="3" type="noConversion"/>
  </si>
  <si>
    <t>鹿力大仙</t>
    <phoneticPr fontId="3" type="noConversion"/>
  </si>
  <si>
    <t>红孩儿</t>
  </si>
  <si>
    <t>玉皇大帝</t>
  </si>
  <si>
    <t>东海龙王</t>
  </si>
  <si>
    <t>混世魔王</t>
  </si>
  <si>
    <t>迦叶</t>
  </si>
  <si>
    <t>人参娃</t>
    <phoneticPr fontId="3" type="noConversion"/>
  </si>
  <si>
    <t>小白龙</t>
  </si>
  <si>
    <t>六耳猕猴</t>
  </si>
  <si>
    <t>阎罗王</t>
  </si>
  <si>
    <t>蝎子精</t>
  </si>
  <si>
    <t>蜘蛛精</t>
  </si>
  <si>
    <t>女儿国国王</t>
  </si>
  <si>
    <t>太白金星</t>
  </si>
  <si>
    <t>羊力大仙</t>
  </si>
  <si>
    <t>彩蝶仙童</t>
    <phoneticPr fontId="3" type="noConversion"/>
  </si>
  <si>
    <t>唐三藏</t>
  </si>
  <si>
    <t>引魂仙子</t>
  </si>
  <si>
    <t>金钱豹王</t>
  </si>
  <si>
    <t>墨鱼精</t>
  </si>
  <si>
    <t>赤脚大仙</t>
  </si>
  <si>
    <t>托塔天王</t>
    <phoneticPr fontId="3" type="noConversion"/>
  </si>
  <si>
    <t>nezha_actor</t>
  </si>
  <si>
    <t>douzhanshengfo_actor</t>
  </si>
  <si>
    <t>erlangshen_actor</t>
  </si>
  <si>
    <t>tuotatianwang_actor</t>
    <phoneticPr fontId="3" type="noConversion"/>
  </si>
  <si>
    <t>hulidaxian_actor</t>
  </si>
  <si>
    <t>zhubajie_actor</t>
  </si>
  <si>
    <t>milefo_actor</t>
  </si>
  <si>
    <t>jinchanzi_actor</t>
    <phoneticPr fontId="3" type="noConversion"/>
  </si>
  <si>
    <t>heiwuchang_actor</t>
  </si>
  <si>
    <t>niumowang_actor</t>
  </si>
  <si>
    <t>sunwukong_actor</t>
  </si>
  <si>
    <t>wangmuniangniang_actor</t>
  </si>
  <si>
    <t>baiwuchang_actor</t>
  </si>
  <si>
    <t>shaheshang_actor</t>
  </si>
  <si>
    <t>wenshupusa_actor</t>
    <phoneticPr fontId="3" type="noConversion"/>
  </si>
  <si>
    <t>longdi_actor</t>
  </si>
  <si>
    <t>babutianlong_actor</t>
  </si>
  <si>
    <t>change_actor</t>
  </si>
  <si>
    <t>jiutianxuannv_actor</t>
    <phoneticPr fontId="3" type="noConversion"/>
  </si>
  <si>
    <t>tieshangongzhu_actor</t>
  </si>
  <si>
    <t>baigufuren_actor</t>
  </si>
  <si>
    <t>zixiaxianzi_actor</t>
    <phoneticPr fontId="3" type="noConversion"/>
  </si>
  <si>
    <t>guanshiyin_actor</t>
    <phoneticPr fontId="3" type="noConversion"/>
  </si>
  <si>
    <t>lulidaxian_actor</t>
  </si>
  <si>
    <t>honghaier_actor</t>
  </si>
  <si>
    <t>yuhuangdadi_actor</t>
  </si>
  <si>
    <t>donghailongwang_actor</t>
  </si>
  <si>
    <t>hunshimowang_actor</t>
  </si>
  <si>
    <t>jiaye_actor</t>
  </si>
  <si>
    <t>renshenwa_actor</t>
    <phoneticPr fontId="3" type="noConversion"/>
  </si>
  <si>
    <t>xiaobailong_actor</t>
  </si>
  <si>
    <t>liuermihou_actor</t>
  </si>
  <si>
    <t>yanluowang_actor</t>
  </si>
  <si>
    <t>xiezijing_actor</t>
  </si>
  <si>
    <t>zhizhujing_actor</t>
  </si>
  <si>
    <t>nverguoguowang_actor</t>
  </si>
  <si>
    <t>taibaijinxing_actor</t>
  </si>
  <si>
    <t>yanglidaxian_actor</t>
  </si>
  <si>
    <t>caidiexiantong_actor</t>
  </si>
  <si>
    <t>tangsanzang_actor</t>
  </si>
  <si>
    <t>yinhunxianzi_actor</t>
  </si>
  <si>
    <t>jinqianbaowang_actor</t>
  </si>
  <si>
    <t>moyujing_actor</t>
  </si>
  <si>
    <t>chijiaodaxian_actor</t>
    <phoneticPr fontId="3" type="noConversion"/>
  </si>
  <si>
    <t>["babutianlong_wuqi01_01"]</t>
  </si>
  <si>
    <t>["jiutianxuannv_wuqi01_01","jiutianxuannv_wuqi01_02"]</t>
    <phoneticPr fontId="1" type="noConversion"/>
  </si>
  <si>
    <t>["lulidaxian_wuqi01_01","lulidaxian_wuqi01_02"]</t>
    <phoneticPr fontId="1" type="noConversion"/>
  </si>
  <si>
    <t>["lulidaxian_wuqi02_01","lulidaxian_wuqi02_02"]</t>
    <phoneticPr fontId="1" type="noConversion"/>
  </si>
  <si>
    <t>["babutianlong_wuqi03_01"]</t>
  </si>
  <si>
    <t>["chijiaodaxian_wuqi01_01","chijiaodaxian_wuqi01_02"]</t>
    <phoneticPr fontId="1" type="noConversion"/>
  </si>
  <si>
    <t>["chijiaodaxian_wuqi02_01","chijiaodaxian_wuqi02_02"]</t>
    <phoneticPr fontId="1" type="noConversion"/>
  </si>
  <si>
    <t>["nvzhujue_sb2_wuqi01_01"]</t>
    <phoneticPr fontId="1" type="noConversion"/>
  </si>
  <si>
    <t>["nvzhujue_sb3_wuqi02_01"]</t>
  </si>
  <si>
    <t>["nvzhujue_sb4_wuqi02_01"]</t>
  </si>
  <si>
    <t>["nvzhujue_sb5_wuqi03_01"]</t>
  </si>
  <si>
    <t>["nanzhujue_sb2_wuqi01_01"]</t>
  </si>
  <si>
    <t>["nanzhujue_sb3_wuqi02_01"]</t>
  </si>
  <si>
    <t>["nezha_sb3_wuqi02_01"]</t>
  </si>
  <si>
    <t>["nezha_sb4_wuqi02_01"]</t>
  </si>
  <si>
    <t>["nezha_sb5_wuqi03_01"]</t>
  </si>
  <si>
    <t>["douzhanshengfo_sb2_wuqi01_01"]</t>
  </si>
  <si>
    <t>["tuotatianwang_sb2_wuqi01_01"]</t>
  </si>
  <si>
    <t>["zhubajie_sb2_wuqi01_01"]</t>
  </si>
  <si>
    <t>[]</t>
    <phoneticPr fontId="1" type="noConversion"/>
  </si>
  <si>
    <t>1_01</t>
    <phoneticPr fontId="1" type="noConversion"/>
  </si>
  <si>
    <t>2_01</t>
    <phoneticPr fontId="1" type="noConversion"/>
  </si>
  <si>
    <t>3_01</t>
    <phoneticPr fontId="1" type="noConversion"/>
  </si>
  <si>
    <t>2_01</t>
    <phoneticPr fontId="1" type="noConversion"/>
  </si>
  <si>
    <t>[]</t>
    <phoneticPr fontId="1" type="noConversion"/>
  </si>
  <si>
    <t>["douzhanshengfo_sb3_wuqi02_01"]</t>
  </si>
  <si>
    <t>["erlangshen_sb3_wuqi02_01"]</t>
  </si>
  <si>
    <t>["erlangshen_sb4_wuqi02_01"]</t>
  </si>
  <si>
    <t>["erlangshen_sb5_wuqi03_01"]</t>
  </si>
  <si>
    <t>["tuotatianwang_sb3_wuqi02_01"]</t>
  </si>
  <si>
    <t>["zhubajie_sb3_wuqi02_01"]</t>
  </si>
  <si>
    <t>["heiwuchang_sb4_wuqi02_01"]</t>
  </si>
  <si>
    <t>["heiwuchang_sb5_wuqi03_01"]</t>
  </si>
  <si>
    <t>["niumowang_sb3_wuqi02_01"]</t>
  </si>
  <si>
    <t>["sunwukong_sb4_wuqi02_01"]</t>
  </si>
  <si>
    <t>["sunwukong_sb5_wuqi03_01"]</t>
  </si>
  <si>
    <t>["wangmuniangniang_sb3_wuqi02_01"]</t>
  </si>
  <si>
    <t>["baiwuchang_sb4_wuqi02_01"]</t>
  </si>
  <si>
    <t>["baiwuchang_sb5_wuqi03_01"]</t>
  </si>
  <si>
    <t>["shaheshang_sb3_wuqi02_01"]</t>
  </si>
  <si>
    <t>["wenshupusa_sb4_wuqi02_01"]</t>
  </si>
  <si>
    <t>["longdi_sb3_wuqi02_01"]</t>
  </si>
  <si>
    <t>["babutianlong_sb4_wuqi02_01"]</t>
  </si>
  <si>
    <t>["babutianlong_sb5_wuqi03_01"]</t>
  </si>
  <si>
    <t>["tieshangongzhu_sb3_wuqi02_01"]</t>
  </si>
  <si>
    <t>["baigufuren_sb4_wuqi02_01"]</t>
  </si>
  <si>
    <t>["zixiaxianzi_sb3_wuqi02_01"]</t>
  </si>
  <si>
    <t>["guanshiyin_sb4_wuqi02_01"]</t>
  </si>
  <si>
    <t>["honghaier_sb4_wuqi02_01"]</t>
  </si>
  <si>
    <t>["yuhuangdadi_sb3_wuqi02_01"]</t>
  </si>
  <si>
    <t>["donghailongwang_sb4_wuqi02_01"]</t>
  </si>
  <si>
    <t>["hunshimowang_sb3_wuqi02_01"]</t>
  </si>
  <si>
    <t>["renshenwa_sb3_wuqi02_01"]</t>
  </si>
  <si>
    <t>["xiaobailong_sb4_wuqi02_01"]</t>
  </si>
  <si>
    <t>["liuermihou_sb3_wuqi02_01"]</t>
  </si>
  <si>
    <t>["yanluowang_sb4_wuqi02_01"]</t>
  </si>
  <si>
    <t>["xiezijing_sb3_wuqi02_01"]</t>
  </si>
  <si>
    <t>["zhizhujing_sb4_wuqi02_01"]</t>
  </si>
  <si>
    <t>["taibaijinxing_sb4_wuqi02_01"]</t>
  </si>
  <si>
    <t>["yanglidaxian_sb3_wuqi02_01"]</t>
  </si>
  <si>
    <t>["caidiexiantong_sb4_wuqi02_01"]</t>
  </si>
  <si>
    <t>["tangsanzang_sb3_wuqi02_01"]</t>
  </si>
  <si>
    <t>["hulidaxian_sb4_wuqi02_01","hulidaxian_sb4_wuqi02_02"]</t>
    <phoneticPr fontId="1" type="noConversion"/>
  </si>
  <si>
    <t>["hulidaxian_sb5_wuqi03_01","hulidaxian_sb5_wuqi03_02"]</t>
    <phoneticPr fontId="1" type="noConversion"/>
  </si>
  <si>
    <t>["nanzhujue_sb4_wuqi02_01"]</t>
    <phoneticPr fontId="1" type="noConversion"/>
  </si>
  <si>
    <t>["nanzhujue_sb5_wuqi03_01"]</t>
    <phoneticPr fontId="1" type="noConversion"/>
  </si>
  <si>
    <t>["wenshupusa_sb5_wuqi03_01"]</t>
    <phoneticPr fontId="1" type="noConversion"/>
  </si>
  <si>
    <t>["baigufuren_sb4_wuqi02_01"]</t>
    <phoneticPr fontId="1" type="noConversion"/>
  </si>
  <si>
    <t>["jiutianxuannv_wuqi02_01","jiutianxuannv_wuqi02_02"]</t>
    <phoneticPr fontId="1" type="noConversion"/>
  </si>
  <si>
    <t>["jiutianxuannv_wuqi02_01","jiutianxuannv_wuqi02_02"]</t>
    <phoneticPr fontId="1" type="noConversion"/>
  </si>
  <si>
    <t>["change_wuqi01_01","change_wuqi01_02"]</t>
  </si>
  <si>
    <t>["change_wuqi02_01","change_wuqi02_02"]</t>
  </si>
  <si>
    <t>["hulidaxian_wuqi01_01","hulidaxian_wuqi01_02"]</t>
  </si>
  <si>
    <t>["hulidaxian_wuqi02_01","hulidaxian_wuqi02_02"]</t>
  </si>
  <si>
    <t>["nverguoguowang_wuqi01_01","nverguoguowang_wuqi01_02"]</t>
  </si>
  <si>
    <t>["nverguoguowang_wuqi02_01","nverguoguowang_wuqi02_02"]</t>
  </si>
  <si>
    <t>["zixiaxianzi_wuqi01_01","zixiaxianzi_wuqi01_02","zixiaxianzi_yueguangbaohe_show"]</t>
  </si>
  <si>
    <t>["zixiaxianzi_wuqi02_01","zixiaxianzi_wuqi02_02","zixiaxianzi_yueguangbaohe_show"]</t>
  </si>
  <si>
    <t>["zixiaxianzi_wuqi02_01","zixiaxianzi_wuqi02_02","zixiaxianzi_yueguangbaohe_show"]</t>
    <phoneticPr fontId="1" type="noConversion"/>
  </si>
  <si>
    <t>["milefo_wuqi02_01","milefo_wuqi02_02","milefo_wuqi02_03"]</t>
  </si>
  <si>
    <t>["milefo_wuqi01_01","milefo_wuqi01_02","milefo_wuqi01_03"]</t>
    <phoneticPr fontId="1" type="noConversion"/>
  </si>
  <si>
    <t>["milefo_wuqi02_01","milefo_wuqi02_02","milefo_wuqi02_03"]</t>
    <phoneticPr fontId="1" type="noConversion"/>
  </si>
  <si>
    <t>["jinchanzi_wuqi01_01","jinchanzi_wuqi01_02","jinchanzi_wuqi01_03","jinchanzi_wuqi01_04","jinchanzi_wuqi01_05","jinchanzi_wuqi01_06"]</t>
  </si>
  <si>
    <t>["jinchanzi_wuqi02_01","jinchanzi_wuqi02_02","jinchanzi_wuqi02_03","jinchanzi_wuqi02_04","jinchanzi_wuqi02_05","jinchanzi_wuqi02_06"]</t>
  </si>
  <si>
    <t>["jinchanzi_wuqi02_01","jinchanzi_wuqi02_02","jinchanzi_wuqi02_03","jinchanzi_wuqi02_04","jinchanzi_wuqi02_05","jinchanzi_wuqi02_06"]</t>
    <phoneticPr fontId="1" type="noConversion"/>
  </si>
  <si>
    <t>["hulidaxian_sb3_wuqi02_01","hulidaxian_sb3_wuqi02_02"]</t>
    <phoneticPr fontId="1" type="noConversion"/>
  </si>
  <si>
    <t>["milefo_sb3_wuqi02_01","milefo_sb3_wuqi02_01","milefo_sb3_wuqi02_01"]</t>
    <phoneticPr fontId="1" type="noConversion"/>
  </si>
  <si>
    <t>["milefo_sb4_wuqi02_01","milefo_sb4_wuqi02_01","milefo_sb4_wuqi02_01"]</t>
    <phoneticPr fontId="1" type="noConversion"/>
  </si>
  <si>
    <t>["milefo_sb5_wuqi03_01","milefo_sb5_wuqi03_01","milefo_sb5_wuqi03_01"]</t>
    <phoneticPr fontId="1" type="noConversion"/>
  </si>
  <si>
    <t>["jinchanzi_sb3_wuqi02_01","jinchanzi_sb3_wuqi02_01","jinchanzi_sb3_wuqi02_01","jinchanzi_sb3_wuqi02_01","jinchanzi_sb3_wuqi02_01","jinchanzi_sb3_wuqi02_01"]</t>
    <phoneticPr fontId="1" type="noConversion"/>
  </si>
  <si>
    <t>["jiutianxuannv_sb4_wuqi02_01","jiutianxuannv_sb4_wuqi02_01"]</t>
    <phoneticPr fontId="1" type="noConversion"/>
  </si>
  <si>
    <t>["jiutianxuannv_sb5_wuqi03_01","jiutianxuannv_sb5_wuqi03_01"]</t>
    <phoneticPr fontId="1" type="noConversion"/>
  </si>
  <si>
    <t>["change_sb3_wuqi02_01","change_sb3_wuqi02_01"]</t>
    <phoneticPr fontId="1" type="noConversion"/>
  </si>
  <si>
    <t>["nverguoguowang_sb3_wuqi02_01","nverguoguowang_sb3_wuqi02_01"]</t>
    <phoneticPr fontId="1" type="noConversion"/>
  </si>
  <si>
    <t>["chijiaodaxian_sb3_wuqi02_01","chijiaodaxian_sb3_wuqi02_01"]</t>
    <phoneticPr fontId="1" type="noConversion"/>
  </si>
  <si>
    <t>["lulidaxian_sb3_wuqi02_01","lulidaxian_sb3_wuqi02_01"]</t>
    <phoneticPr fontId="1" type="noConversion"/>
  </si>
  <si>
    <t>[["150.89,1.7,6","-50,-90,90","2.1,2.1,2.1"]]</t>
    <phoneticPr fontId="1" type="noConversion"/>
  </si>
  <si>
    <t>[["150,1.55,6","-90,0,0","2.2,2.2,2.2"]]</t>
    <phoneticPr fontId="1" type="noConversion"/>
  </si>
  <si>
    <t>[["151.63,1.5,6","-40,-90,0","1.35,1.35,1.35"]]</t>
    <phoneticPr fontId="1" type="noConversion"/>
  </si>
  <si>
    <t>[["150.4,2.581,6","35,90,-90","1,1,1"]]</t>
    <phoneticPr fontId="1" type="noConversion"/>
  </si>
  <si>
    <t>[["150.204,2.677,6","-90,0,0","2.1,2.1,2.1"]]</t>
    <phoneticPr fontId="1" type="noConversion"/>
  </si>
  <si>
    <t>[["150.53,1.56,6","-90,0,0","2.2,2.2,2.2"]]</t>
    <phoneticPr fontId="1" type="noConversion"/>
  </si>
  <si>
    <t>[["151.86,1.77,6","-35,-90,180","1.3,1.3,1.3"]]</t>
    <phoneticPr fontId="1" type="noConversion"/>
  </si>
  <si>
    <t>[["151.15,1.84,6","-50,-90,90","1.25,1.25,1.25"]]</t>
    <phoneticPr fontId="1" type="noConversion"/>
  </si>
  <si>
    <t>[["151.85,1.61,6","-40,-90,180","1.7,1.7,1.7"]]</t>
    <phoneticPr fontId="1" type="noConversion"/>
  </si>
  <si>
    <t>["yinhunxianzi_sb4_wuqi02_01","yinhunxianzi_Bone044_sb4_wuqi02_01"]</t>
    <phoneticPr fontId="1" type="noConversion"/>
  </si>
  <si>
    <t>["jiaye_wuqi01_01","jiaye_wuqi01_02"]</t>
    <phoneticPr fontId="1" type="noConversion"/>
  </si>
  <si>
    <t>["jiaye_wuqi02_01","jiaye_wuqi02_02"]</t>
    <phoneticPr fontId="1" type="noConversion"/>
  </si>
  <si>
    <t>["jiaye_sb4_wuqi02_01","jiaye_sb4_wuqi02_01"]</t>
    <phoneticPr fontId="1" type="noConversion"/>
  </si>
  <si>
    <t>女主角</t>
  </si>
  <si>
    <t>男主角</t>
  </si>
  <si>
    <t>nvzhujue_actor</t>
  </si>
  <si>
    <t>nanzhujue_actor</t>
  </si>
  <si>
    <t>["nvzhujue_wuqi01_01"]</t>
  </si>
  <si>
    <t>["nvzhujue_wuqi02_01"]</t>
  </si>
  <si>
    <t>["nvzhujue_wuqi03_01"]</t>
  </si>
  <si>
    <t>["nanzhujue_wuqi01_01"]</t>
  </si>
  <si>
    <t>["nanzhujue_wuqi02_01"]</t>
  </si>
  <si>
    <t>["nanzhujue_wuqi03_01"]</t>
  </si>
  <si>
    <t>["nezha_wuqi01_01"]</t>
  </si>
  <si>
    <t>["nezha_wuqi02_01"]</t>
  </si>
  <si>
    <t>["douzhanshengfo_wuqi01_01"]</t>
  </si>
  <si>
    <t>["douzhanshengfo_wuqi02_01"]</t>
  </si>
  <si>
    <t>["erlangshen_wuqi01_01"]</t>
  </si>
  <si>
    <t>["erlangshen_wuqi02_01"]</t>
  </si>
  <si>
    <t>["tuotatianwang_wuqi01_01"]</t>
  </si>
  <si>
    <t>["tuotatianwang_wuqi02_01"]</t>
  </si>
  <si>
    <t>["zhubajie_wuqi01_01"]</t>
  </si>
  <si>
    <t>["zhubajie_wuqi02_01"]</t>
  </si>
  <si>
    <t>["heiwuchang_wuqi01_01"]</t>
  </si>
  <si>
    <t>["heiwuchang_wuqi02_01"]</t>
  </si>
  <si>
    <t>["niumowang_wuqi01_01"]</t>
  </si>
  <si>
    <t>["niumowang_wuqi02_01"]</t>
  </si>
  <si>
    <t>["sunwukong_wuqi01_01"]</t>
  </si>
  <si>
    <t>["sunwukong_wuqi02_01"]</t>
  </si>
  <si>
    <t>["wangmuniangniang_wuqi01_01"]</t>
  </si>
  <si>
    <t>["wangmuniangniang_wuqi02_01"]</t>
  </si>
  <si>
    <t>["baiwuchang_wuqi01_01"]</t>
  </si>
  <si>
    <t>["baiwuchang_wuqi02_01"]</t>
  </si>
  <si>
    <t>["shaheshang_wuqi01_01"]</t>
  </si>
  <si>
    <t>["shaheshang_wuqi02_01"]</t>
  </si>
  <si>
    <t>["wenshupusa_wuqi01_01"]</t>
  </si>
  <si>
    <t>["wenshupusa_wuqi02_01"]</t>
  </si>
  <si>
    <t>["longdi_wuqi01_01"]</t>
  </si>
  <si>
    <t>["longdi_wuqi02_01"]</t>
  </si>
  <si>
    <t>["tieshangongzhu_wuqi01_01"]</t>
  </si>
  <si>
    <t>["tieshangongzhu_wuqi02_01"]</t>
  </si>
  <si>
    <t>["baigufuren_wuqi01_01"]</t>
  </si>
  <si>
    <t>["baigufuren_wuqi02_01"]</t>
  </si>
  <si>
    <t>["guanshiyin_wuqi01_01"]</t>
  </si>
  <si>
    <t>["guanshiyin_wuqi02_01"]</t>
  </si>
  <si>
    <t>["honghaier_wuqi01_01"]</t>
  </si>
  <si>
    <t>["honghaier_wuqi02_01"]</t>
  </si>
  <si>
    <t>["yuhuangdadi_wuqi01_01"]</t>
  </si>
  <si>
    <t>["yuhuangdadi_wuqi02_01"]</t>
  </si>
  <si>
    <t>["donghailongwang_wuqi01_01"]</t>
  </si>
  <si>
    <t>["donghailongwang_wuqi02_01"]</t>
  </si>
  <si>
    <t>["hunshimowang_wuqi01_01"]</t>
  </si>
  <si>
    <t>["hunshimowang_wuqi02_01"]</t>
  </si>
  <si>
    <t>["renshenwa_wuqi01_01"]</t>
  </si>
  <si>
    <t>["renshenwa_wuqi02_01"]</t>
  </si>
  <si>
    <t>["xiaobailong_wuqi01_01"]</t>
  </si>
  <si>
    <t>["xiaobailong_wuqi02_01"]</t>
  </si>
  <si>
    <t>["liuermihou_wuqi01_01"]</t>
  </si>
  <si>
    <t>["liuermihou_wuqi02_01"]</t>
  </si>
  <si>
    <t>["yanluowang_wuqi01_01"]</t>
  </si>
  <si>
    <t>["yanluowang_wuqi02_01"]</t>
  </si>
  <si>
    <t>["xiezijing_wuqi01_01"]</t>
  </si>
  <si>
    <t>["xiezijing_wuqi02_01"]</t>
  </si>
  <si>
    <t>["zhizhujing_wuqi01_01"]</t>
  </si>
  <si>
    <t>["zhizhujing_wuqi02_01"]</t>
  </si>
  <si>
    <t>["taibaijinxing_wuqi01_01"]</t>
  </si>
  <si>
    <t>["taibaijinxing_wuqi02_01"]</t>
  </si>
  <si>
    <t>["yanglidaxian_wuqi01_01"]</t>
  </si>
  <si>
    <t>["yanglidaxian_wuqi02_01"]</t>
  </si>
  <si>
    <t>["caidiexiantong_wuqi01_01"]</t>
  </si>
  <si>
    <t>["caidiexiantong_wuqi02_01"]</t>
  </si>
  <si>
    <t>["tangsanzang_wuqi01_01"]</t>
  </si>
  <si>
    <t>["tangsanzang_wuqi02_01"]</t>
  </si>
  <si>
    <t>["yinhunxianzi_wuqi01_01"]</t>
  </si>
  <si>
    <t>["yinhunxianzi_wuqi02_01"]</t>
  </si>
  <si>
    <t>s</t>
  </si>
  <si>
    <t>凤鸣折翼剑+1</t>
  </si>
  <si>
    <t>凤鸣折翼剑+2</t>
  </si>
  <si>
    <t>凤鸣折翼剑+3</t>
  </si>
  <si>
    <t>凤鸣折翼剑+4</t>
  </si>
  <si>
    <t>凤鸣折翼剑+5</t>
  </si>
  <si>
    <t>龙麟碎霜扇+1</t>
  </si>
  <si>
    <t>龙麟碎霜扇+2</t>
  </si>
  <si>
    <t>龙麟碎霜扇+3</t>
  </si>
  <si>
    <t>龙麟碎霜扇+4</t>
  </si>
  <si>
    <t>龙麟碎霜扇+5</t>
  </si>
  <si>
    <t>红莲岩泉+1</t>
  </si>
  <si>
    <t>红莲岩泉+2</t>
  </si>
  <si>
    <t>红莲岩泉+3</t>
  </si>
  <si>
    <t>红莲岩泉+4</t>
  </si>
  <si>
    <t>红莲岩泉+5</t>
  </si>
  <si>
    <t>斗神镇狱棒+1</t>
  </si>
  <si>
    <t>斗神镇狱棒+2</t>
  </si>
  <si>
    <t>斗神镇狱棒+3</t>
  </si>
  <si>
    <t>斗神镇狱棒+4</t>
  </si>
  <si>
    <t>斗神镇狱棒+5</t>
  </si>
  <si>
    <t>三尖两刃刀+1</t>
  </si>
  <si>
    <t>三尖两刃刀+2</t>
  </si>
  <si>
    <t>三尖两刃刀+3</t>
  </si>
  <si>
    <t>三尖两刃刀+4</t>
  </si>
  <si>
    <t>三尖两刃刀+5</t>
  </si>
  <si>
    <t>玲珑天晶塔+1</t>
  </si>
  <si>
    <t>玲珑天晶塔+2</t>
  </si>
  <si>
    <t>玲珑天晶塔+3</t>
  </si>
  <si>
    <t>玲珑天晶塔+4</t>
  </si>
  <si>
    <t>玲珑天晶塔+5</t>
  </si>
  <si>
    <t>明王摧城+1</t>
  </si>
  <si>
    <t>明王摧城+2</t>
  </si>
  <si>
    <t>明王摧城+3</t>
  </si>
  <si>
    <t>明王摧城+4</t>
  </si>
  <si>
    <t>明王摧城+5</t>
  </si>
  <si>
    <t>上宝沁金钯+1</t>
  </si>
  <si>
    <t>上宝沁金钯+2</t>
  </si>
  <si>
    <t>上宝沁金钯+3</t>
  </si>
  <si>
    <t>上宝沁金钯+4</t>
  </si>
  <si>
    <t>上宝沁金钯+5</t>
  </si>
  <si>
    <t>昆仑神木珠+1</t>
  </si>
  <si>
    <t>昆仑神木珠+2</t>
  </si>
  <si>
    <t>昆仑神木珠+3</t>
  </si>
  <si>
    <t>昆仑神木珠+4</t>
  </si>
  <si>
    <t>昆仑神木珠+5</t>
  </si>
  <si>
    <t>浮沉三世+1</t>
  </si>
  <si>
    <t>浮沉三世+2</t>
  </si>
  <si>
    <t>浮沉三世+3</t>
  </si>
  <si>
    <t>浮沉三世+4</t>
  </si>
  <si>
    <t>浮沉三世+5</t>
  </si>
  <si>
    <t>斩鬼流岩+1</t>
  </si>
  <si>
    <t>斩鬼流岩+2</t>
  </si>
  <si>
    <t>斩鬼流岩+3</t>
  </si>
  <si>
    <t>斩鬼流岩+4</t>
  </si>
  <si>
    <t>斩鬼流岩+5</t>
  </si>
  <si>
    <t>修罗开山斧+1</t>
  </si>
  <si>
    <t>修罗开山斧+2</t>
  </si>
  <si>
    <t>修罗开山斧+3</t>
  </si>
  <si>
    <t>修罗开山斧+4</t>
  </si>
  <si>
    <t>修罗开山斧+5</t>
  </si>
  <si>
    <t>如意金箍棒+1</t>
  </si>
  <si>
    <t>如意金箍棒+2</t>
  </si>
  <si>
    <t>如意金箍棒+3</t>
  </si>
  <si>
    <t>如意金箍棒+4</t>
  </si>
  <si>
    <t>如意金箍棒+5</t>
  </si>
  <si>
    <t>如意鸾凤簪+1</t>
  </si>
  <si>
    <t>如意鸾凤簪+2</t>
  </si>
  <si>
    <t>如意鸾凤簪+3</t>
  </si>
  <si>
    <t>如意鸾凤簪+4</t>
  </si>
  <si>
    <t>如意鸾凤簪+5</t>
  </si>
  <si>
    <t>绝魂领悟+1</t>
  </si>
  <si>
    <t>绝魂领悟+2</t>
  </si>
  <si>
    <t>绝魂领悟+3</t>
  </si>
  <si>
    <t>绝魂领悟+4</t>
  </si>
  <si>
    <t>绝魂领悟+5</t>
  </si>
  <si>
    <t>降妖宝杖+1</t>
  </si>
  <si>
    <t>降妖宝杖+2</t>
  </si>
  <si>
    <t>降妖宝杖+3</t>
  </si>
  <si>
    <t>降妖宝杖+4</t>
  </si>
  <si>
    <t>降妖宝杖+5</t>
  </si>
  <si>
    <t>天慧法杖+1</t>
  </si>
  <si>
    <t>天慧法杖+2</t>
  </si>
  <si>
    <t>天慧法杖+3</t>
  </si>
  <si>
    <t>天慧法杖+4</t>
  </si>
  <si>
    <t>天慧法杖+5</t>
  </si>
  <si>
    <t>深海碎霜+1</t>
  </si>
  <si>
    <t>深海碎霜+2</t>
  </si>
  <si>
    <t>深海碎霜+3</t>
  </si>
  <si>
    <t>深海碎霜+4</t>
  </si>
  <si>
    <t>深海碎霜+5</t>
  </si>
  <si>
    <t>焚焰溯流+1</t>
  </si>
  <si>
    <t>焚焰溯流+2</t>
  </si>
  <si>
    <t>焚焰溯流+3</t>
  </si>
  <si>
    <t>焚焰溯流+4</t>
  </si>
  <si>
    <t>焚焰溯流+5</t>
  </si>
  <si>
    <t>追风紫罗带+1</t>
  </si>
  <si>
    <t>追风紫罗带+2</t>
  </si>
  <si>
    <t>追风紫罗带+3</t>
  </si>
  <si>
    <t>追风紫罗带+4</t>
  </si>
  <si>
    <t>追风紫罗带+5</t>
  </si>
  <si>
    <t>碧海定沁丹+1</t>
  </si>
  <si>
    <t>碧海定沁丹+2</t>
  </si>
  <si>
    <t>碧海定沁丹+3</t>
  </si>
  <si>
    <t>碧海定沁丹+4</t>
  </si>
  <si>
    <t>碧海定沁丹+5</t>
  </si>
  <si>
    <t>沉星芭蕉扇+1</t>
  </si>
  <si>
    <t>沉星芭蕉扇+2</t>
  </si>
  <si>
    <t>沉星芭蕉扇+3</t>
  </si>
  <si>
    <t>沉星芭蕉扇+4</t>
  </si>
  <si>
    <t>沉星芭蕉扇+5</t>
  </si>
  <si>
    <t>白骨幡+1</t>
  </si>
  <si>
    <t>白骨幡+2</t>
  </si>
  <si>
    <t>白骨幡+3</t>
  </si>
  <si>
    <t>白骨幡+4</t>
  </si>
  <si>
    <t>白骨幡+5</t>
  </si>
  <si>
    <t>紫青玄铁剑+1</t>
  </si>
  <si>
    <t>紫青玄铁剑+2</t>
  </si>
  <si>
    <t>紫青玄铁剑+3</t>
  </si>
  <si>
    <t>紫青玄铁剑+4</t>
  </si>
  <si>
    <t>紫青玄铁剑+5</t>
  </si>
  <si>
    <t>羊脂玉净瓶+1</t>
  </si>
  <si>
    <t>羊脂玉净瓶+2</t>
  </si>
  <si>
    <t>羊脂玉净瓶+3</t>
  </si>
  <si>
    <t>羊脂玉净瓶+4</t>
  </si>
  <si>
    <t>羊脂玉净瓶+5</t>
  </si>
  <si>
    <t>龙凤双环+1</t>
  </si>
  <si>
    <t>龙凤双环+2</t>
  </si>
  <si>
    <t>龙凤双环+3</t>
  </si>
  <si>
    <t>龙凤双环+4</t>
  </si>
  <si>
    <t>龙凤双环+5</t>
  </si>
  <si>
    <t>真火子母枪+1</t>
  </si>
  <si>
    <t>真火子母枪+2</t>
  </si>
  <si>
    <t>真火子母枪+3</t>
  </si>
  <si>
    <t>真火子母枪+4</t>
  </si>
  <si>
    <t>真火子母枪+5</t>
  </si>
  <si>
    <t>渊微凡尘+1</t>
  </si>
  <si>
    <t>渊微凡尘+2</t>
  </si>
  <si>
    <t>渊微凡尘+3</t>
  </si>
  <si>
    <t>渊微凡尘+4</t>
  </si>
  <si>
    <t>渊微凡尘+5</t>
  </si>
  <si>
    <t>海王戟+1</t>
  </si>
  <si>
    <t>海王戟+2</t>
  </si>
  <si>
    <t>海王戟+3</t>
  </si>
  <si>
    <t>海王戟+4</t>
  </si>
  <si>
    <t>海王戟+5</t>
  </si>
  <si>
    <t>混世蛇矛+1</t>
  </si>
  <si>
    <t>混世蛇矛+2</t>
  </si>
  <si>
    <t>混世蛇矛+3</t>
  </si>
  <si>
    <t>混世蛇矛+4</t>
  </si>
  <si>
    <t>混世蛇矛+5</t>
  </si>
  <si>
    <t>流星拳+1</t>
  </si>
  <si>
    <t>流星拳+2</t>
  </si>
  <si>
    <t>流星拳+3</t>
  </si>
  <si>
    <t>流星拳+4</t>
  </si>
  <si>
    <t>流星拳+5</t>
  </si>
  <si>
    <t>人参糖葫芦+1</t>
  </si>
  <si>
    <t>人参糖葫芦+2</t>
  </si>
  <si>
    <t>人参糖葫芦+3</t>
  </si>
  <si>
    <t>人参糖葫芦+4</t>
  </si>
  <si>
    <t>人参糖葫芦+5</t>
  </si>
  <si>
    <t>逆流白龙吟+1</t>
  </si>
  <si>
    <t>逆流白龙吟+2</t>
  </si>
  <si>
    <t>逆流白龙吟+3</t>
  </si>
  <si>
    <t>逆流白龙吟+4</t>
  </si>
  <si>
    <t>逆流白龙吟+5</t>
  </si>
  <si>
    <t>猕猴斩魄刀+1</t>
  </si>
  <si>
    <t>猕猴斩魄刀+2</t>
  </si>
  <si>
    <t>猕猴斩魄刀+3</t>
  </si>
  <si>
    <t>猕猴斩魄刀+4</t>
  </si>
  <si>
    <t>猕猴斩魄刀+5</t>
  </si>
  <si>
    <t>判官笔+1</t>
  </si>
  <si>
    <t>判官笔+2</t>
  </si>
  <si>
    <t>判官笔+3</t>
  </si>
  <si>
    <t>判官笔+4</t>
  </si>
  <si>
    <t>判官笔+5</t>
  </si>
  <si>
    <t>琴瑟琵琶+1</t>
  </si>
  <si>
    <t>琴瑟琵琶+2</t>
  </si>
  <si>
    <t>琴瑟琵琶+3</t>
  </si>
  <si>
    <t>琴瑟琵琶+4</t>
  </si>
  <si>
    <t>琴瑟琵琶+5</t>
  </si>
  <si>
    <t>肚脐蛛网+1</t>
  </si>
  <si>
    <t>肚脐蛛网+2</t>
  </si>
  <si>
    <t>肚脐蛛网+3</t>
  </si>
  <si>
    <t>肚脐蛛网+4</t>
  </si>
  <si>
    <t>肚脐蛛网+5</t>
  </si>
  <si>
    <t>相思醉+1</t>
  </si>
  <si>
    <t>相思醉+2</t>
  </si>
  <si>
    <t>相思醉+3</t>
  </si>
  <si>
    <t>相思醉+4</t>
  </si>
  <si>
    <t>相思醉+5</t>
  </si>
  <si>
    <t>太白拂尘+1</t>
  </si>
  <si>
    <t>太白拂尘+2</t>
  </si>
  <si>
    <t>太白拂尘+3</t>
  </si>
  <si>
    <t>太白拂尘+4</t>
  </si>
  <si>
    <t>太白拂尘+5</t>
  </si>
  <si>
    <t>羊角画戟+1</t>
  </si>
  <si>
    <t>羊角画戟+2</t>
  </si>
  <si>
    <t>羊角画戟+3</t>
  </si>
  <si>
    <t>羊角画戟+4</t>
  </si>
  <si>
    <t>羊角画戟+5</t>
  </si>
  <si>
    <t>凝神花+1</t>
  </si>
  <si>
    <t>凝神花+2</t>
  </si>
  <si>
    <t>凝神花+3</t>
  </si>
  <si>
    <t>凝神花+4</t>
  </si>
  <si>
    <t>凝神花+5</t>
  </si>
  <si>
    <t>九环锡杖+1</t>
  </si>
  <si>
    <t>九环锡杖+2</t>
  </si>
  <si>
    <t>九环锡杖+3</t>
  </si>
  <si>
    <t>九环锡杖+4</t>
  </si>
  <si>
    <t>九环锡杖+5</t>
  </si>
  <si>
    <t>吊莲仙灯+1</t>
  </si>
  <si>
    <t>吊莲仙灯+2</t>
  </si>
  <si>
    <t>吊莲仙灯+3</t>
  </si>
  <si>
    <t>吊莲仙灯+4</t>
  </si>
  <si>
    <t>吊莲仙灯+5</t>
  </si>
  <si>
    <t>落樱神斧+1</t>
  </si>
  <si>
    <t>落樱神斧+2</t>
  </si>
  <si>
    <t>落樱神斧+3</t>
  </si>
  <si>
    <t>落樱神斧+4</t>
  </si>
  <si>
    <t>落樱神斧+5</t>
  </si>
  <si>
    <t>凤鸣折翼剑</t>
  </si>
  <si>
    <t>龙麟碎霜扇</t>
  </si>
  <si>
    <t>红莲岩泉</t>
  </si>
  <si>
    <t>斗神镇狱棒</t>
  </si>
  <si>
    <t>三尖两刃刀</t>
  </si>
  <si>
    <t>玲珑天晶塔</t>
  </si>
  <si>
    <t>明王摧城</t>
  </si>
  <si>
    <t>上宝沁金钯</t>
  </si>
  <si>
    <t>昆仑神木珠</t>
  </si>
  <si>
    <t>浮沉三世</t>
  </si>
  <si>
    <t>斩鬼流岩</t>
  </si>
  <si>
    <t>修罗开山斧</t>
  </si>
  <si>
    <t>如意金箍棒</t>
  </si>
  <si>
    <t>如意鸾凤簪</t>
  </si>
  <si>
    <t>绝魂领悟</t>
  </si>
  <si>
    <t>降妖宝杖</t>
  </si>
  <si>
    <t>天慧法杖</t>
  </si>
  <si>
    <t>深海碎霜</t>
  </si>
  <si>
    <t>焚焰溯流</t>
  </si>
  <si>
    <t>追风紫罗带</t>
  </si>
  <si>
    <t>碧海定沁丹</t>
  </si>
  <si>
    <t>沉星芭蕉扇</t>
  </si>
  <si>
    <t>白骨幡</t>
  </si>
  <si>
    <t>紫青玄铁剑</t>
  </si>
  <si>
    <t>羊脂玉净瓶</t>
  </si>
  <si>
    <t>龙凤双环</t>
  </si>
  <si>
    <t>真火子母枪</t>
  </si>
  <si>
    <t>渊微凡尘</t>
  </si>
  <si>
    <t>海王戟</t>
  </si>
  <si>
    <t>混世蛇矛</t>
  </si>
  <si>
    <t>流星拳</t>
  </si>
  <si>
    <t>人参糖葫芦</t>
  </si>
  <si>
    <t>逆流白龙吟</t>
  </si>
  <si>
    <t>猕猴斩魄刀</t>
  </si>
  <si>
    <t>判官笔</t>
  </si>
  <si>
    <t>琴瑟琵琶</t>
  </si>
  <si>
    <t>肚脐蛛网</t>
  </si>
  <si>
    <t>相思醉</t>
  </si>
  <si>
    <t>太白金剑</t>
  </si>
  <si>
    <t>羊角画戟</t>
  </si>
  <si>
    <t>凝神花</t>
  </si>
  <si>
    <t>九环锡杖</t>
  </si>
  <si>
    <t>吊莲仙灯</t>
  </si>
  <si>
    <t>落樱神斧</t>
  </si>
  <si>
    <t>太白金剑+1</t>
  </si>
  <si>
    <t>太白金剑+2</t>
  </si>
  <si>
    <t>太白金剑+3</t>
  </si>
  <si>
    <t>太白金剑+4</t>
  </si>
  <si>
    <t>[]</t>
    <phoneticPr fontId="1" type="noConversion"/>
  </si>
  <si>
    <t>["jinchanzi_sb2_wuqi01_01","jinchanzi_sb2_wuqi01_01","jinchanzi_sb2_wuqi01_01","jinchanzi_sb2_wuqi01_01","jinchanzi_sb2_wuqi01_01","jinchanzi_sb2_wuqi01_01"]</t>
    <phoneticPr fontId="1" type="noConversion"/>
  </si>
  <si>
    <t>["heiwuchang_sb3_wuqi02_01"]</t>
    <phoneticPr fontId="1" type="noConversion"/>
  </si>
  <si>
    <t>["niumowang_sb2_wuqi01_01"]</t>
    <phoneticPr fontId="1" type="noConversion"/>
  </si>
  <si>
    <t>["sunwukong_sb3_wuqi02_01"]</t>
    <phoneticPr fontId="1" type="noConversion"/>
  </si>
  <si>
    <t>["wangmuniangniang_sb2_wuqi01_01"]</t>
    <phoneticPr fontId="1" type="noConversion"/>
  </si>
  <si>
    <t>["baiwuchang_sb3_wuqi02_01"]</t>
    <phoneticPr fontId="1" type="noConversion"/>
  </si>
  <si>
    <t>["shaheshang_sb2_wuqi01_01"]</t>
    <phoneticPr fontId="1" type="noConversion"/>
  </si>
  <si>
    <t>[]</t>
    <phoneticPr fontId="1" type="noConversion"/>
  </si>
  <si>
    <t>["wenshupusa_sb3_wuqi02_01"]</t>
    <phoneticPr fontId="1" type="noConversion"/>
  </si>
  <si>
    <t>["longdi_sb2_wuqi01_01"]</t>
    <phoneticPr fontId="1" type="noConversion"/>
  </si>
  <si>
    <t>["babutianlong_sb3_wuqi02_01"]</t>
    <phoneticPr fontId="1" type="noConversion"/>
  </si>
  <si>
    <t>["change_sb2_wuqi01_01","change_sb2_wuqi01_01"]</t>
    <phoneticPr fontId="1" type="noConversion"/>
  </si>
  <si>
    <t>["jiutianxuannv_sb3_wuqi02_01","jiutianxuannv_sb3_wuqi02_01"]</t>
    <phoneticPr fontId="1" type="noConversion"/>
  </si>
  <si>
    <t>["tieshangongzhu_sb2_wuqi01_01"]</t>
    <phoneticPr fontId="1" type="noConversion"/>
  </si>
  <si>
    <t>["baigufuren_sb3_wuqi02_01"]</t>
    <phoneticPr fontId="1" type="noConversion"/>
  </si>
  <si>
    <t>["zixiaxianzi_sb2_wuqi01_01"]</t>
    <phoneticPr fontId="1" type="noConversion"/>
  </si>
  <si>
    <t>["guanshiyin_sb3_wuqi02_01"]</t>
    <phoneticPr fontId="1" type="noConversion"/>
  </si>
  <si>
    <t>["lulidaxian_sb2_wuqi01_01","lulidaxian_sb2_wuqi01_01"]</t>
    <phoneticPr fontId="1" type="noConversion"/>
  </si>
  <si>
    <t>["honghaier_sb3_wuqi02_01"]</t>
    <phoneticPr fontId="1" type="noConversion"/>
  </si>
  <si>
    <t>["yuhuangdadi_sb2_wuqi01_01"]</t>
    <phoneticPr fontId="1" type="noConversion"/>
  </si>
  <si>
    <t>["donghailongwang_sb3_wuqi02_01"]</t>
    <phoneticPr fontId="1" type="noConversion"/>
  </si>
  <si>
    <t>["hunshimowang_sb2_wuqi01_01"]</t>
    <phoneticPr fontId="1" type="noConversion"/>
  </si>
  <si>
    <t>["jiaye_sb3_wuqi02_01","jiaye_sb3_wuqi02_01"]</t>
    <phoneticPr fontId="1" type="noConversion"/>
  </si>
  <si>
    <t>["renshenwa_sb2_wuqi01_01"]</t>
    <phoneticPr fontId="1" type="noConversion"/>
  </si>
  <si>
    <t>["xiaobailong_sb3_wuqi02_01"]</t>
    <phoneticPr fontId="1" type="noConversion"/>
  </si>
  <si>
    <t>["liuermihou_sb2_wuqi01_01"]</t>
    <phoneticPr fontId="1" type="noConversion"/>
  </si>
  <si>
    <t>["yanluowang_sb3_wuqi02_01"]</t>
    <phoneticPr fontId="1" type="noConversion"/>
  </si>
  <si>
    <t>["yanluowang_sb3_wuqi02_01"]</t>
    <phoneticPr fontId="1" type="noConversion"/>
  </si>
  <si>
    <t>["xiezijing_sb2_wuqi01_01"]</t>
    <phoneticPr fontId="1" type="noConversion"/>
  </si>
  <si>
    <t>["xiezijing_sb4_wuqi02_01"]</t>
    <phoneticPr fontId="1" type="noConversion"/>
  </si>
  <si>
    <t>["zhizhujing_sb3_wuqi02_01"]</t>
    <phoneticPr fontId="1" type="noConversion"/>
  </si>
  <si>
    <t>["nverguoguowang_sb2_wuqi01_01","nverguoguowang_sb2_wuqi01_01"]</t>
    <phoneticPr fontId="1" type="noConversion"/>
  </si>
  <si>
    <t>["taibaijinxing_sb3_wuqi02_01"]</t>
    <phoneticPr fontId="1" type="noConversion"/>
  </si>
  <si>
    <t>["yanglidaxian_sb2_wuqi01_01"]</t>
    <phoneticPr fontId="1" type="noConversion"/>
  </si>
  <si>
    <t>["yanglidaxian_sb4_wuqi02_01"]</t>
    <phoneticPr fontId="1" type="noConversion"/>
  </si>
  <si>
    <t>["caidiexiantong_sb3_wuqi02_01"]</t>
    <phoneticPr fontId="1" type="noConversion"/>
  </si>
  <si>
    <t>["tangsanzang_sb2_wuqi01_01"]</t>
    <phoneticPr fontId="1" type="noConversion"/>
  </si>
  <si>
    <t>["tangsanzang_sb4_wuqi02_01"]</t>
    <phoneticPr fontId="1" type="noConversion"/>
  </si>
  <si>
    <t>["yinhunxianzi_sb3_wuqi02_01","yinhunxianzi_Bone044_sb3_wuqi02_01"]</t>
    <phoneticPr fontId="1" type="noConversion"/>
  </si>
  <si>
    <t>["chijiaodaxian_sb2_wuqi01_01","chijiaodaxian_sb2_wuqi01_01"]</t>
    <phoneticPr fontId="1" type="noConversion"/>
  </si>
  <si>
    <t>[["151.63,1.5,6","-40,-90,0","1.35,1.35,1.35"]]</t>
    <phoneticPr fontId="1" type="noConversion"/>
  </si>
  <si>
    <t>["nezha_sb2_wuqi01_01"]</t>
    <phoneticPr fontId="1" type="noConversion"/>
  </si>
  <si>
    <t>["nezha_sb2_wuqi01_01"]</t>
    <phoneticPr fontId="1" type="noConversion"/>
  </si>
  <si>
    <t>[]</t>
    <phoneticPr fontId="1" type="noConversion"/>
  </si>
  <si>
    <t>[["150.4,2.581,6","35,90,-90","1,1,1"]]</t>
    <phoneticPr fontId="1" type="noConversion"/>
  </si>
  <si>
    <t>["douzhanshengfo_sb4_wuqi02_01"]</t>
    <phoneticPr fontId="1" type="noConversion"/>
  </si>
  <si>
    <t>["douzhanshengfo_sb5_wuqi03_01"]</t>
    <phoneticPr fontId="1" type="noConversion"/>
  </si>
  <si>
    <t>[["150.4,2.581,6","35,90,-90","1,1,1"]]</t>
    <phoneticPr fontId="1" type="noConversion"/>
  </si>
  <si>
    <t>["douzhanshengfo_sb5_wuqi03_01"]</t>
    <phoneticPr fontId="1" type="noConversion"/>
  </si>
  <si>
    <t>["douzhanshengfo_sb5_wuqi03_01"]</t>
    <phoneticPr fontId="1" type="noConversion"/>
  </si>
  <si>
    <t>[["151.27,1.96,6","-35,-90,180","1.33,1.33,1.33"]]</t>
    <phoneticPr fontId="1" type="noConversion"/>
  </si>
  <si>
    <t>["erlangshen_sb2_wuqi01_01"]</t>
    <phoneticPr fontId="1" type="noConversion"/>
  </si>
  <si>
    <t>[["151.27,1.96,6","-35,-90,180","1.33,1.33,1.33"]]</t>
    <phoneticPr fontId="1" type="noConversion"/>
  </si>
  <si>
    <t>[["151.27,1.96,6","-35,-90,180","1.33,1.33,1.33"]]</t>
    <phoneticPr fontId="1" type="noConversion"/>
  </si>
  <si>
    <t>[["151.27,1.96,6","-35,-90,180","1.33,1.33,1.33"]]</t>
    <phoneticPr fontId="1" type="noConversion"/>
  </si>
  <si>
    <t>[]</t>
    <phoneticPr fontId="1" type="noConversion"/>
  </si>
  <si>
    <t>["tuotatianwang_sb4_wuqi02_01"]</t>
    <phoneticPr fontId="1" type="noConversion"/>
  </si>
  <si>
    <t>["tuotatianwang_sb4_wuqi02_01"]</t>
    <phoneticPr fontId="1" type="noConversion"/>
  </si>
  <si>
    <t>[["150.204,2.677,6","-90,0,0","2.1,2.1,2.1"]]</t>
    <phoneticPr fontId="1" type="noConversion"/>
  </si>
  <si>
    <t>["tuotatianwang_sb5_wuqi03_01"]</t>
    <phoneticPr fontId="1" type="noConversion"/>
  </si>
  <si>
    <t>["tuotatianwang_sb5_wuqi03_01"]</t>
    <phoneticPr fontId="1" type="noConversion"/>
  </si>
  <si>
    <t>["tuotatianwang_sb5_wuqi03_01"]</t>
    <phoneticPr fontId="1" type="noConversion"/>
  </si>
  <si>
    <t>[["150.204,2.677,6","-90,0,0","2.1,2.1,2.1"]]</t>
    <phoneticPr fontId="1" type="noConversion"/>
  </si>
  <si>
    <t>[["151.22,2.26,6","-10.189,-16.075,93.523","1.3,1.3,1.3"],["149.66,2.26,6","11.959,171.49,86.555","1.3,1.3,1.3"]]</t>
    <phoneticPr fontId="1" type="noConversion"/>
  </si>
  <si>
    <t>["hulidaxian_sb2_wuqi01_01","hulidaxian_sb2_wuqi01_02"]</t>
    <phoneticPr fontId="1" type="noConversion"/>
  </si>
  <si>
    <t>["hulidaxian_sb2_wuqi01_01","hulidaxian_sb2_wuqi01_02"]</t>
    <phoneticPr fontId="1" type="noConversion"/>
  </si>
  <si>
    <t>[["151.22,2.26,6","-10.189,-16.075,93.523","1.3,1.3,1.3"],["149.66,2.26,6","11.959,171.49,86.555","1.3,1.3,1.3"]]</t>
    <phoneticPr fontId="1" type="noConversion"/>
  </si>
  <si>
    <t>[["151.22,2.26,6","-10.189,-16.075,93.523","1.3,1.3,1.3"],["149.66,2.26,6","11.959,171.49,86.555","1.3,1.3,1.3"]]</t>
    <phoneticPr fontId="1" type="noConversion"/>
  </si>
  <si>
    <t>[["151.22,2.26,6","-10.189,-16.075,93.523","1.3,1.3,1.3"],["149.66,2.26,6","11.959,171.49,86.555","1.3,1.3,1.3"]]</t>
    <phoneticPr fontId="1" type="noConversion"/>
  </si>
  <si>
    <t>[["151.22,2.26,6","-10.189,-16.075,93.523","1.3,1.3,1.3"],["149.66,2.26,6","11.959,171.49,86.555","1.3,1.3,1.3"]]</t>
    <phoneticPr fontId="1" type="noConversion"/>
  </si>
  <si>
    <t>[["151.22,2.26,6","-10.189,-16.075,93.523","1.3,1.3,1.3"],["149.66,2.26,6","11.959,171.49,86.555","1.3,1.3,1.3"]]</t>
    <phoneticPr fontId="1" type="noConversion"/>
  </si>
  <si>
    <t>[]</t>
    <phoneticPr fontId="1" type="noConversion"/>
  </si>
  <si>
    <t>[]</t>
    <phoneticPr fontId="1" type="noConversion"/>
  </si>
  <si>
    <t>[["151.44,2,6","-35,-95,-38","1.32,1.32,1.32"]]</t>
    <phoneticPr fontId="1" type="noConversion"/>
  </si>
  <si>
    <t>[["151.44,2,6","-35,-95,-38","1.32,1.32,1.32"]]</t>
    <phoneticPr fontId="1" type="noConversion"/>
  </si>
  <si>
    <t>[["151.44,2,6","-35,-95,-38","1.32,1.32,1.32"]]</t>
    <phoneticPr fontId="1" type="noConversion"/>
  </si>
  <si>
    <t>["zhubajie_sb4_wuqi02_01"]</t>
    <phoneticPr fontId="1" type="noConversion"/>
  </si>
  <si>
    <t>["zhubajie_sb4_wuqi02_01"]</t>
    <phoneticPr fontId="1" type="noConversion"/>
  </si>
  <si>
    <t>[["151.44,2,6","-35,-95,-38","1.32,1.32,1.32"]]</t>
    <phoneticPr fontId="1" type="noConversion"/>
  </si>
  <si>
    <t>["zhubajie_sb5_wuqi03_01"]</t>
    <phoneticPr fontId="1" type="noConversion"/>
  </si>
  <si>
    <t>["zhubajie_sb5_wuqi03_01"]</t>
    <phoneticPr fontId="1" type="noConversion"/>
  </si>
  <si>
    <t>[["150.31,3.55,6","-0.566,163.06,118.58","1.5,1.5,1.5"],["151.63,2.32,6","12.96,169,169.5","1.5,1.5,1.5"],["149.31,2.28,6","-13.2,169.3,70.1","1.5,1.5,1.5"]]</t>
    <phoneticPr fontId="1" type="noConversion"/>
  </si>
  <si>
    <t>["milefo_sb2_wuqi01_01","milefo_sb2_wuqi01_01","milefo_sb2_wuqi01_01"]</t>
    <phoneticPr fontId="1" type="noConversion"/>
  </si>
  <si>
    <t>[]</t>
    <phoneticPr fontId="1" type="noConversion"/>
  </si>
  <si>
    <t>[["150.46,3.8,6","0,0,0","1.6,1.6,1.6"],["151.58,3.12,6","0,-50.35,0","1.6,1.6,1.6"],["151.62,2.02,6","0,-86.6,0","1.6,1.6,1.6"],["150.54,1.54,6","0,0,133.1","1.6,1.6,1.6"],["149.39,2.01,6","-22.52,-84.41,75.67","1.6,1.6,1.6"],["149.37,3.17,6","0,0,51.53","1.6,1.6,1.6"]]</t>
    <phoneticPr fontId="1" type="noConversion"/>
  </si>
  <si>
    <t>["jinchanzi_sb4_wuqi02_01","jinchanzi_sb4_wuqi02_01","jinchanzi_sb4_wuqi02_01","jinchanzi_sb4_wuqi02_01","jinchanzi_sb4_wuqi02_01","jinchanzi_sb4_wuqi02_01"]</t>
    <phoneticPr fontId="1" type="noConversion"/>
  </si>
  <si>
    <t>["jinchanzi_sb5_wuqi03_01","jinchanzi_sb5_wuqi03_01","jinchanzi_sb5_wuqi03_01","jinchanzi_sb5_wuqi03_01","jinchanzi_sb5_wuqi03_01","jinchanzi_sb5_wuqi03_01"]</t>
    <phoneticPr fontId="1" type="noConversion"/>
  </si>
  <si>
    <t>[["151.86,1.77,6","-35,-90,180","1.3,1.3,1.3"]]</t>
    <phoneticPr fontId="1" type="noConversion"/>
  </si>
  <si>
    <t>["heiwuchang_sb2_wuqi01_01"]</t>
    <phoneticPr fontId="1" type="noConversion"/>
  </si>
  <si>
    <t>[["150.68,2.53,6","-35,-90,-90","1.3,1.3,1.3"]]</t>
    <phoneticPr fontId="1" type="noConversion"/>
  </si>
  <si>
    <t>["niumowang_sb4_wuqi02_01"]</t>
    <phoneticPr fontId="1" type="noConversion"/>
  </si>
  <si>
    <t>["niumowang_sb5_wuqi03_01"]</t>
    <phoneticPr fontId="1" type="noConversion"/>
  </si>
  <si>
    <t>[["150.73,2.55,6","-30,-90,-90","1.3,1.3,1.3"]]</t>
    <phoneticPr fontId="1" type="noConversion"/>
  </si>
  <si>
    <t>["sunwukong_sb2_wuqi01_01"]</t>
    <phoneticPr fontId="1" type="noConversion"/>
  </si>
  <si>
    <t>[["150.39,2.63,6","-90,180,0","6,6,6"]]</t>
    <phoneticPr fontId="1" type="noConversion"/>
  </si>
  <si>
    <t>["wangmuniangniang_sb4_wuqi02_01"]</t>
    <phoneticPr fontId="1" type="noConversion"/>
  </si>
  <si>
    <t>["wangmuniangniang_sb4_wuqi02_01"]</t>
    <phoneticPr fontId="1" type="noConversion"/>
  </si>
  <si>
    <t>[["150.39,2.63,6","-90,180,0","6,6,6"]]</t>
    <phoneticPr fontId="1" type="noConversion"/>
  </si>
  <si>
    <t>["wangmuniangniang_sb5_wuqi03_01"]</t>
    <phoneticPr fontId="1" type="noConversion"/>
  </si>
  <si>
    <t>[["152.37,1.15,6","-40,-105,30","1.1,1.1,1.1"]]</t>
    <phoneticPr fontId="1" type="noConversion"/>
  </si>
  <si>
    <t>["baiwuchang_sb2_wuqi01_01"]</t>
    <phoneticPr fontId="1" type="noConversion"/>
  </si>
  <si>
    <t>[["152.37,1.15,6","-40,-105,30","1.1,1.1,1.1"]]</t>
    <phoneticPr fontId="1" type="noConversion"/>
  </si>
  <si>
    <t>[["152.37,1.15,6","-40,-105,30","1.1,1.1,1.1"]]</t>
    <phoneticPr fontId="1" type="noConversion"/>
  </si>
  <si>
    <t>[]</t>
    <phoneticPr fontId="1" type="noConversion"/>
  </si>
  <si>
    <t>[["150.4,2.7,6","-28.54,-99.7,-10.4","1.45,1.45,1.45"]]</t>
    <phoneticPr fontId="1" type="noConversion"/>
  </si>
  <si>
    <t>["shaheshang_sb4_wuqi02_01"]</t>
    <phoneticPr fontId="1" type="noConversion"/>
  </si>
  <si>
    <t>["shaheshang_sb4_wuqi02_01"]</t>
    <phoneticPr fontId="1" type="noConversion"/>
  </si>
  <si>
    <t>["shaheshang_sb5_wuqi03_01"]</t>
    <phoneticPr fontId="1" type="noConversion"/>
  </si>
  <si>
    <t>["shaheshang_sb5_wuqi03_01"]</t>
    <phoneticPr fontId="1" type="noConversion"/>
  </si>
  <si>
    <t>[["150.4,2.7,6","-28.54,-99.7,-10.4","1.45,1.45,1.45"]]</t>
    <phoneticPr fontId="1" type="noConversion"/>
  </si>
  <si>
    <t>["shaheshang_sb5_wuqi03_01"]</t>
    <phoneticPr fontId="1" type="noConversion"/>
  </si>
  <si>
    <t>[["150.4,2.7,6","-28.54,-99.7,-10.4","1.45,1.45,1.45"]]</t>
    <phoneticPr fontId="1" type="noConversion"/>
  </si>
  <si>
    <t>[["152.03,1.74,6","-35,-90,0","1.45,1.45,1.45"]]</t>
    <phoneticPr fontId="1" type="noConversion"/>
  </si>
  <si>
    <t>["wenshupusa_sb2_wuqi01_01"]</t>
    <phoneticPr fontId="1" type="noConversion"/>
  </si>
  <si>
    <t>[["152.03,1.74,6","-35,-90,0","1.45,1.45,1.45"]]</t>
    <phoneticPr fontId="1" type="noConversion"/>
  </si>
  <si>
    <t>[["152.03,1.74,6","-35,-90,0","1.45,1.45,1.45"]]</t>
    <phoneticPr fontId="1" type="noConversion"/>
  </si>
  <si>
    <t>[["152.03,1.74,6","-35,-90,0","1.45,1.45,1.45"]]</t>
    <phoneticPr fontId="1" type="noConversion"/>
  </si>
  <si>
    <t>[]</t>
    <phoneticPr fontId="1" type="noConversion"/>
  </si>
  <si>
    <t>[["150.92,2.55,6","-30,-90,0","1.15,1.15,1.15"]]</t>
    <phoneticPr fontId="1" type="noConversion"/>
  </si>
  <si>
    <t>[["150.92,2.55,6","-30,-90,0","1.15,1.15,1.15"]]</t>
    <phoneticPr fontId="1" type="noConversion"/>
  </si>
  <si>
    <t>["longdi_sb4_wuqi02_01"]</t>
    <phoneticPr fontId="1" type="noConversion"/>
  </si>
  <si>
    <t>["longdi_sb5_wuqi03_01"]</t>
    <phoneticPr fontId="1" type="noConversion"/>
  </si>
  <si>
    <t>["longdi_sb5_wuqi03_01"]</t>
    <phoneticPr fontId="1" type="noConversion"/>
  </si>
  <si>
    <t>["longdi_sb5_wuqi03_01"]</t>
    <phoneticPr fontId="1" type="noConversion"/>
  </si>
  <si>
    <t>[["150.92,2.55,6","-30,-90,0","1.15,1.15,1.15"]]</t>
    <phoneticPr fontId="1" type="noConversion"/>
  </si>
  <si>
    <t>[["151.7,1.82,6","-40,-90,90","1.2,1.2,1.2"]]</t>
    <phoneticPr fontId="1" type="noConversion"/>
  </si>
  <si>
    <t>["babutianlong_sb2_wuqi01_01"]</t>
    <phoneticPr fontId="1" type="noConversion"/>
  </si>
  <si>
    <t>[["151.7,1.82,6","-40,-90,90","1.2,1.2,1.2"]]</t>
    <phoneticPr fontId="1" type="noConversion"/>
  </si>
  <si>
    <t>[["151.7,1.82,6","-40,-90,90","1.2,1.2,1.2"]]</t>
    <phoneticPr fontId="1" type="noConversion"/>
  </si>
  <si>
    <t>[["151.7,1.82,6","-40,-90,90","1.2,1.2,1.2"]]</t>
    <phoneticPr fontId="1" type="noConversion"/>
  </si>
  <si>
    <t>[["151.7,1.82,6","-40,-90,90","1.2,1.2,1.2"]]</t>
    <phoneticPr fontId="1" type="noConversion"/>
  </si>
  <si>
    <t>[["151.48,3.17,6","0,0,90","2.5,2.5,2.5"],["149.39,3.17,6","0,0,90","2.5,2.5,2.5"]]</t>
    <phoneticPr fontId="1" type="noConversion"/>
  </si>
  <si>
    <t>[["151.48,3.17,6","0,0,90","2.5,2.5,2.5"],["149.39,3.17,6","0,0,90","2.5,2.5,2.5"]]</t>
    <phoneticPr fontId="1" type="noConversion"/>
  </si>
  <si>
    <t>["change_sb4_wuqi02_01","change_sb4_wuqi02_01"]</t>
    <phoneticPr fontId="1" type="noConversion"/>
  </si>
  <si>
    <t>[["151.48,3.17,6","0,0,90","2.5,2.5,2.5"],["149.39,3.17,6","0,0,90","2.5,2.5,2.5"]]</t>
    <phoneticPr fontId="1" type="noConversion"/>
  </si>
  <si>
    <t>["change_sb5_wuqi03_01","change_sb5_wuqi03_01"]</t>
    <phoneticPr fontId="1" type="noConversion"/>
  </si>
  <si>
    <t>[["151.48,3.17,6","0,0,90","2.5,2.5,2.5"],["149.39,3.17,6","0,0,90","2.5,2.5,2.5"]]</t>
    <phoneticPr fontId="1" type="noConversion"/>
  </si>
  <si>
    <t>["change_sb5_wuqi03_01","change_sb5_wuqi03_01"]</t>
    <phoneticPr fontId="1" type="noConversion"/>
  </si>
  <si>
    <t>["change_sb5_wuqi03_01","change_sb5_wuqi03_01"]</t>
    <phoneticPr fontId="1" type="noConversion"/>
  </si>
  <si>
    <t>[["151.57,2.61,6","90,0,0","2.5,2.5,2.5"],["149.55,2.67,6","90,-40,0","2.5,2.5,2.5"]]</t>
    <phoneticPr fontId="1" type="noConversion"/>
  </si>
  <si>
    <t>["jiutianxuannv_sb2_wuqi01_01","jiutianxuannv_sb2_wuqi01_01"]</t>
    <phoneticPr fontId="1" type="noConversion"/>
  </si>
  <si>
    <t>["jiutianxuannv_sb2_wuqi01_01","jiutianxuannv_sb2_wuqi01_01"]</t>
    <phoneticPr fontId="1" type="noConversion"/>
  </si>
  <si>
    <t>[["151.57,2.61,6","90,0,0","2.5,2.5,2.5"],["149.55,2.67,6","90,-40,0","2.5,2.5,2.5"]]</t>
    <phoneticPr fontId="1" type="noConversion"/>
  </si>
  <si>
    <t>[["150.51,2.69,6","-30,-107,-58","1.5,1.5,1.5"]]</t>
    <phoneticPr fontId="1" type="noConversion"/>
  </si>
  <si>
    <t>["tieshangongzhu_sb4_wuqi02_01"]</t>
    <phoneticPr fontId="1" type="noConversion"/>
  </si>
  <si>
    <t>["tieshangongzhu_sb5_wuqi03_01"]</t>
    <phoneticPr fontId="1" type="noConversion"/>
  </si>
  <si>
    <t>[["150.39,2.83,6","-30,-90,180","1.4,1.4,1.4"]]</t>
    <phoneticPr fontId="1" type="noConversion"/>
  </si>
  <si>
    <t>["baigufuren_sb2_wuqi01_01"]</t>
    <phoneticPr fontId="1" type="noConversion"/>
  </si>
  <si>
    <t>[["151.478,1.864,6","-35,-90,180","2.2,2.2,2.2"],["148.08,-1.79,3.3","0,0,0","2.2,2.2,2.2"]]</t>
    <phoneticPr fontId="1" type="noConversion"/>
  </si>
  <si>
    <t>["zixiaxianzi_sb4_wuqi02_01"]</t>
    <phoneticPr fontId="1" type="noConversion"/>
  </si>
  <si>
    <t>["zixiaxianzi_sb5_wuqi03_01"]</t>
    <phoneticPr fontId="1" type="noConversion"/>
  </si>
  <si>
    <t>[["149.79,0.85,6","-90,0,0","4,4,4"]]</t>
    <phoneticPr fontId="1" type="noConversion"/>
  </si>
  <si>
    <t>["guanshiyin_sb2_wuqi01_01"]</t>
    <phoneticPr fontId="1" type="noConversion"/>
  </si>
  <si>
    <t>[["151,2.92,6","0,-90,13","1.7,1.7,1.7"],["149.3,3.01,6","0,-90,13","1.7,1.7,1.7"]]</t>
    <phoneticPr fontId="1" type="noConversion"/>
  </si>
  <si>
    <t>["lulidaxian_sb4_wuqi02_01","lulidaxian_sb4_wuqi02_01"]</t>
    <phoneticPr fontId="1" type="noConversion"/>
  </si>
  <si>
    <t>[["151.15,1.84,6","-50,-90,90","1.25,1.25,1.25"]]</t>
    <phoneticPr fontId="1" type="noConversion"/>
  </si>
  <si>
    <t>["honghaier_sb2_wuqi01_01"]</t>
    <phoneticPr fontId="1" type="noConversion"/>
  </si>
  <si>
    <t>[["151.85,1.61,6","-40,-90,180","1.7,1.7,1.7"]]</t>
    <phoneticPr fontId="1" type="noConversion"/>
  </si>
  <si>
    <t>["yuhuangdadi_sb4_wuqi02_01"]</t>
    <phoneticPr fontId="1" type="noConversion"/>
  </si>
  <si>
    <t>["yuhuangdadi_sb4_wuqi02_01"]</t>
    <phoneticPr fontId="1" type="noConversion"/>
  </si>
  <si>
    <t>[["151.88,1.84,6","-35,-90,180","1.15,1.15,1.15"]]</t>
    <phoneticPr fontId="1" type="noConversion"/>
  </si>
  <si>
    <t>["donghailongwang_sb2_wuqi01_01"]</t>
    <phoneticPr fontId="1" type="noConversion"/>
  </si>
  <si>
    <t>[["151.33,2.32,6","-35,-90,180","1.18,1.18,1.18"]]</t>
    <phoneticPr fontId="1" type="noConversion"/>
  </si>
  <si>
    <t>["hunshimowang_sb4_wuqi02_01"]</t>
    <phoneticPr fontId="1" type="noConversion"/>
  </si>
  <si>
    <t>["hunshimowang_sb4_wuqi02_01"]</t>
    <phoneticPr fontId="1" type="noConversion"/>
  </si>
  <si>
    <t>[["151.596,2.461,6","0,180,-90","1.8,1.8,1.8"],["149.622,2.461,6","0,-31,-90","1.8,1.8,1.8"]]</t>
    <phoneticPr fontId="1" type="noConversion"/>
  </si>
  <si>
    <t>["jiaye_sb2_wuqi01_01","jiaye_sb2_wuqi01_01"]</t>
    <phoneticPr fontId="1" type="noConversion"/>
  </si>
  <si>
    <t>[["150.91,2.46,6","-45,-101.77,-169.4","1.1,1.1,1.1"]]</t>
    <phoneticPr fontId="1" type="noConversion"/>
  </si>
  <si>
    <t>["renshenwa_sb4_wuqi02_01"]</t>
    <phoneticPr fontId="1" type="noConversion"/>
  </si>
  <si>
    <t>["renshenwa_sb4_wuqi02_01"]</t>
    <phoneticPr fontId="1" type="noConversion"/>
  </si>
  <si>
    <t>[["151.85,1.75,6","-40,-90,180","1.4,1.4,1.4"]]</t>
    <phoneticPr fontId="1" type="noConversion"/>
  </si>
  <si>
    <t>["xiaobailong_sb2_wuqi01_01"]</t>
    <phoneticPr fontId="1" type="noConversion"/>
  </si>
  <si>
    <t>[["151.71,1.81,6","-40,-90,180","1.75,1.75,1.75"]]</t>
    <phoneticPr fontId="1" type="noConversion"/>
  </si>
  <si>
    <t>["liuermihou_sb4_wuqi02_01"]</t>
    <phoneticPr fontId="1" type="noConversion"/>
  </si>
  <si>
    <t>["liuermihou_sb4_wuqi02_01"]</t>
    <phoneticPr fontId="1" type="noConversion"/>
  </si>
  <si>
    <t>[["150.66,2.71,6","-40,-90,180","1.35,1.35,1.35"]]</t>
    <phoneticPr fontId="1" type="noConversion"/>
  </si>
  <si>
    <t>["yanluowang_sb2_wuqi01_01"]</t>
    <phoneticPr fontId="1" type="noConversion"/>
  </si>
  <si>
    <t>["xiezijing_sb4_wuqi02_01"]</t>
    <phoneticPr fontId="1" type="noConversion"/>
  </si>
  <si>
    <t>[["150.49,2.12,6","-75,90,0","2.8,2.8,2.8"]]</t>
    <phoneticPr fontId="1" type="noConversion"/>
  </si>
  <si>
    <t>["zhizhujing_sb2_wuqi01_01"]</t>
    <phoneticPr fontId="1" type="noConversion"/>
  </si>
  <si>
    <t>[["151.18,2.4,6","-35,-90,0","2.2,2.2,2.2"],["149.68,2.46,6","-36,90,-15","2.2,2.2,2.2"]]</t>
    <phoneticPr fontId="1" type="noConversion"/>
  </si>
  <si>
    <t>["nverguoguowang_sb4_wuqi02_01","nverguoguowang_sb4_wuqi02_01"]</t>
    <phoneticPr fontId="1" type="noConversion"/>
  </si>
  <si>
    <t>[["150.67,2.75,6","40,90,90","1.75,1.75,1.75"]]</t>
    <phoneticPr fontId="1" type="noConversion"/>
  </si>
  <si>
    <t>["taibaijinxing_sb2_wuqi01_01"]</t>
    <phoneticPr fontId="1" type="noConversion"/>
  </si>
  <si>
    <t>[["150.66,2.75,6","-40,-90,90","1.6,1.6,1.6"]]</t>
    <phoneticPr fontId="1" type="noConversion"/>
  </si>
  <si>
    <t>["yanglidaxian_sb4_wuqi02_01"]</t>
    <phoneticPr fontId="1" type="noConversion"/>
  </si>
  <si>
    <t>[["151.34,2.32,6","-33.8,-80,-18.6","2,2,2"]]</t>
    <phoneticPr fontId="1" type="noConversion"/>
  </si>
  <si>
    <t>["caidiexiantong_sb2_wuqi01_01"]</t>
    <phoneticPr fontId="1" type="noConversion"/>
  </si>
  <si>
    <t>[["150.31,3.04,6","-40,-90,0","1.6,1.6,1.6"]]</t>
    <phoneticPr fontId="1" type="noConversion"/>
  </si>
  <si>
    <t>["tangsanzang_sb4_wuqi02_01"]</t>
    <phoneticPr fontId="1" type="noConversion"/>
  </si>
  <si>
    <t>[["150.16,3.51,6","10,90,180","1.5,1.5,1.5"]]</t>
    <phoneticPr fontId="1" type="noConversion"/>
  </si>
  <si>
    <t>["yinhunxianzi_sb2_wuqi01_01","yinhunxianzi_Bone044_sb2_wuqi01_01"]</t>
    <phoneticPr fontId="1" type="noConversion"/>
  </si>
  <si>
    <t>[["151.39,1.67,6","-40,-90,0","1.6,1.6,1.6"],["149.96,1.67,6","-40,90,0","1.6,1.6,1.6"]]</t>
    <phoneticPr fontId="1" type="noConversion"/>
  </si>
  <si>
    <t>["chijiaodaxian_sb4_wuqi02_01","chijiaodaxian_sb4_wuqi02_01"]</t>
    <phoneticPr fontId="1" type="noConversion"/>
  </si>
  <si>
    <t>[["150.66,2.3,6","-40,-90,120","1.8,1.8,1.8"]]</t>
    <phoneticPr fontId="1" type="noConversion"/>
  </si>
  <si>
    <t>暴走孙悟空</t>
  </si>
  <si>
    <t>["baozousunwukong_wuqi01_01"]</t>
    <phoneticPr fontId="1" type="noConversion"/>
  </si>
  <si>
    <t>["baozousunwukong_sb2_wuqi01_01"]</t>
    <phoneticPr fontId="1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</si>
</sst>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10"/>
      <color theme="1" tint="0.14999847407452621"/>
      <name val="微软雅黑"/>
      <family val="2"/>
      <charset val="134"/>
    </font>
    <font>
      <b/>
      <sz val="1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sz val="10"/>
      <color theme="1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2" xfId="0" applyNumberFormat="1" applyFont="1" applyBorder="1"/>
    <xf numFmtId="0" fontId="2" fillId="0" borderId="2" xfId="0" applyFont="1" applyFill="1" applyBorder="1" applyAlignment="1">
      <alignment vertical="center"/>
    </xf>
    <xf numFmtId="0" fontId="2" fillId="6" borderId="2" xfId="0" applyFont="1" applyFill="1" applyBorder="1" applyAlignment="1">
      <alignment vertical="center"/>
    </xf>
    <xf numFmtId="0" fontId="7" fillId="6" borderId="2" xfId="0" applyFont="1" applyFill="1" applyBorder="1" applyAlignment="1">
      <alignment vertical="center"/>
    </xf>
    <xf numFmtId="0" fontId="7" fillId="7" borderId="2" xfId="0" applyFont="1" applyFill="1" applyBorder="1" applyAlignment="1">
      <alignment vertical="center"/>
    </xf>
    <xf numFmtId="0" fontId="2" fillId="7" borderId="2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7" fillId="0" borderId="2" xfId="0" applyFont="1" applyFill="1" applyBorder="1" applyAlignment="1">
      <alignment vertical="center"/>
    </xf>
    <xf numFmtId="0" fontId="2" fillId="9" borderId="2" xfId="0" applyNumberFormat="1" applyFont="1" applyFill="1" applyBorder="1"/>
    <xf numFmtId="0" fontId="6" fillId="0" borderId="0" xfId="0" applyFont="1" applyAlignment="1">
      <alignment vertical="top"/>
    </xf>
    <xf numFmtId="0" fontId="6" fillId="0" borderId="0" xfId="0" quotePrefix="1" applyFont="1" applyAlignment="1">
      <alignment vertical="top"/>
    </xf>
    <xf numFmtId="0" fontId="6" fillId="0" borderId="0" xfId="0" applyFont="1"/>
    <xf numFmtId="0" fontId="2" fillId="5" borderId="2" xfId="0" applyNumberFormat="1" applyFont="1" applyFill="1" applyBorder="1"/>
    <xf numFmtId="0" fontId="6" fillId="9" borderId="0" xfId="0" applyFont="1" applyFill="1"/>
    <xf numFmtId="49" fontId="2" fillId="3" borderId="1" xfId="0" applyNumberFormat="1" applyFont="1" applyFill="1" applyBorder="1" applyAlignment="1">
      <alignment vertical="center"/>
    </xf>
    <xf numFmtId="0" fontId="2" fillId="2" borderId="2" xfId="0" applyNumberFormat="1" applyFont="1" applyFill="1" applyBorder="1" applyAlignment="1">
      <alignment vertical="center" wrapText="1"/>
    </xf>
    <xf numFmtId="0" fontId="2" fillId="4" borderId="2" xfId="0" applyNumberFormat="1" applyFont="1" applyFill="1" applyBorder="1" applyAlignment="1">
      <alignment vertical="center" wrapText="1"/>
    </xf>
    <xf numFmtId="49" fontId="5" fillId="3" borderId="1" xfId="0" applyNumberFormat="1" applyFont="1" applyFill="1" applyBorder="1" applyAlignment="1">
      <alignment vertical="center"/>
    </xf>
    <xf numFmtId="0" fontId="2" fillId="3" borderId="2" xfId="0" applyNumberFormat="1" applyFont="1" applyFill="1" applyBorder="1" applyAlignment="1">
      <alignment vertical="center"/>
    </xf>
    <xf numFmtId="49" fontId="2" fillId="3" borderId="2" xfId="0" applyNumberFormat="1" applyFont="1" applyFill="1" applyBorder="1" applyAlignment="1">
      <alignment vertical="center"/>
    </xf>
    <xf numFmtId="49" fontId="5" fillId="3" borderId="2" xfId="0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49" fontId="2" fillId="10" borderId="2" xfId="0" applyNumberFormat="1" applyFont="1" applyFill="1" applyBorder="1" applyAlignment="1">
      <alignment vertical="center"/>
    </xf>
    <xf numFmtId="0" fontId="4" fillId="0" borderId="2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49" fontId="2" fillId="2" borderId="1" xfId="0" applyNumberFormat="1" applyFont="1" applyFill="1" applyBorder="1" applyAlignment="1">
      <alignment vertical="center" wrapText="1"/>
    </xf>
    <xf numFmtId="49" fontId="5" fillId="2" borderId="1" xfId="0" applyNumberFormat="1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2" fillId="11" borderId="2" xfId="0" applyNumberFormat="1" applyFont="1" applyFill="1" applyBorder="1" applyAlignment="1">
      <alignment vertical="center"/>
    </xf>
    <xf numFmtId="49" fontId="2" fillId="11" borderId="2" xfId="0" applyNumberFormat="1" applyFont="1" applyFill="1" applyBorder="1" applyAlignment="1">
      <alignment vertical="center"/>
    </xf>
    <xf numFmtId="0" fontId="4" fillId="11" borderId="2" xfId="0" applyNumberFormat="1" applyFont="1" applyFill="1" applyBorder="1" applyAlignment="1">
      <alignment vertical="center"/>
    </xf>
    <xf numFmtId="0" fontId="2" fillId="7" borderId="2" xfId="0" applyNumberFormat="1" applyFont="1" applyFill="1" applyBorder="1" applyAlignment="1">
      <alignment vertical="center"/>
    </xf>
    <xf numFmtId="49" fontId="2" fillId="7" borderId="2" xfId="0" applyNumberFormat="1" applyFont="1" applyFill="1" applyBorder="1" applyAlignment="1">
      <alignment vertical="center"/>
    </xf>
    <xf numFmtId="0" fontId="4" fillId="7" borderId="2" xfId="0" applyNumberFormat="1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ro_ma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3"/>
      <sheetName val="Sheet2"/>
      <sheetName val="Sheet4"/>
      <sheetName val="Sheet5"/>
    </sheetNames>
    <sheetDataSet>
      <sheetData sheetId="0">
        <row r="1">
          <cell r="A1" t="str">
            <v>英雄ID[字符串]调用角色的唯一ID1101-1500伙伴1500-2000特殊伙伴（助战或者新手引导）2000以上临时伙伴</v>
          </cell>
          <cell r="P1" t="str">
            <v>资源ID调用game_res里面的id</v>
          </cell>
          <cell r="BN1" t="str">
            <v>神兵填写对应的神兵id相关配置game_shenbing[]-无神兵</v>
          </cell>
        </row>
        <row r="2">
          <cell r="P2" t="str">
            <v>model_id</v>
          </cell>
          <cell r="BN2" t="str">
            <v>shenbing</v>
          </cell>
        </row>
        <row r="3">
          <cell r="P3" t="str">
            <v>s</v>
          </cell>
          <cell r="BN3" t="str">
            <v>s</v>
          </cell>
        </row>
        <row r="4">
          <cell r="P4" t="str">
            <v>nvzhujue_actor</v>
          </cell>
          <cell r="BN4">
            <v>1001</v>
          </cell>
        </row>
        <row r="5">
          <cell r="P5" t="str">
            <v>nanzhujue_actor</v>
          </cell>
          <cell r="BN5">
            <v>1002</v>
          </cell>
        </row>
        <row r="6">
          <cell r="P6" t="str">
            <v>nezha_actor</v>
          </cell>
          <cell r="BN6">
            <v>1102</v>
          </cell>
        </row>
        <row r="7">
          <cell r="P7" t="str">
            <v>douzhanshengfo_actor</v>
          </cell>
          <cell r="BN7">
            <v>1211</v>
          </cell>
        </row>
        <row r="8">
          <cell r="P8" t="str">
            <v>erlangshen_actor</v>
          </cell>
          <cell r="BN8">
            <v>1101</v>
          </cell>
        </row>
        <row r="9">
          <cell r="P9" t="str">
            <v>tuotatianwang_actor</v>
          </cell>
          <cell r="BN9">
            <v>1108</v>
          </cell>
        </row>
        <row r="10">
          <cell r="P10" t="str">
            <v>hulidaxian_actor</v>
          </cell>
          <cell r="BN10">
            <v>1113</v>
          </cell>
        </row>
        <row r="11">
          <cell r="P11" t="str">
            <v>zhubajie_actor</v>
          </cell>
          <cell r="BN11">
            <v>1120</v>
          </cell>
        </row>
        <row r="12">
          <cell r="P12" t="str">
            <v>milefo_actor</v>
          </cell>
          <cell r="BN12">
            <v>1127</v>
          </cell>
        </row>
        <row r="13">
          <cell r="P13" t="str">
            <v>jinchanzi_actor</v>
          </cell>
          <cell r="BN13">
            <v>1212</v>
          </cell>
        </row>
        <row r="14">
          <cell r="P14" t="str">
            <v>heiwuchang_actor</v>
          </cell>
          <cell r="BN14">
            <v>1219</v>
          </cell>
        </row>
        <row r="15">
          <cell r="P15" t="str">
            <v>niumowang_actor</v>
          </cell>
          <cell r="BN15">
            <v>1112</v>
          </cell>
        </row>
        <row r="16">
          <cell r="P16" t="str">
            <v>sunwukong_actor</v>
          </cell>
          <cell r="BN16">
            <v>1119</v>
          </cell>
        </row>
        <row r="17">
          <cell r="P17" t="str">
            <v>wangmuniangniang_actor</v>
          </cell>
          <cell r="BN17">
            <v>1105</v>
          </cell>
        </row>
        <row r="18">
          <cell r="P18" t="str">
            <v>baiwuchang_actor</v>
          </cell>
          <cell r="BN18">
            <v>1218</v>
          </cell>
        </row>
        <row r="19">
          <cell r="P19" t="str">
            <v>shaheshang_actor</v>
          </cell>
          <cell r="BN19">
            <v>1124</v>
          </cell>
        </row>
        <row r="20">
          <cell r="P20" t="str">
            <v>wenshupusa_actor</v>
          </cell>
          <cell r="BN20">
            <v>1126</v>
          </cell>
        </row>
        <row r="21">
          <cell r="P21" t="str">
            <v>longdi_actor</v>
          </cell>
          <cell r="BN21">
            <v>1213</v>
          </cell>
        </row>
        <row r="22">
          <cell r="P22" t="str">
            <v>babutianlong_actor</v>
          </cell>
          <cell r="BN22">
            <v>1214</v>
          </cell>
        </row>
        <row r="23">
          <cell r="P23" t="str">
            <v>change_actor</v>
          </cell>
          <cell r="BN23">
            <v>1103</v>
          </cell>
        </row>
        <row r="24">
          <cell r="P24" t="str">
            <v>jiutianxuannv_actor</v>
          </cell>
          <cell r="BN24">
            <v>1109</v>
          </cell>
        </row>
        <row r="25">
          <cell r="P25" t="str">
            <v>tieshangongzhu_actor</v>
          </cell>
          <cell r="BN25">
            <v>1111</v>
          </cell>
        </row>
        <row r="26">
          <cell r="P26" t="str">
            <v>baigufuren_actor</v>
          </cell>
          <cell r="BN26">
            <v>1116</v>
          </cell>
        </row>
        <row r="27">
          <cell r="P27" t="str">
            <v>zixiaxianzi_actor</v>
          </cell>
          <cell r="BN27">
            <v>1121</v>
          </cell>
        </row>
        <row r="28">
          <cell r="P28" t="str">
            <v>guanshiyin_actor</v>
          </cell>
          <cell r="BN28">
            <v>1215</v>
          </cell>
        </row>
        <row r="29">
          <cell r="P29" t="str">
            <v>lulidaxian_actor</v>
          </cell>
          <cell r="BN29">
            <v>1114</v>
          </cell>
        </row>
        <row r="30">
          <cell r="P30" t="str">
            <v>honghaier_actor</v>
          </cell>
          <cell r="BN30">
            <v>1110</v>
          </cell>
        </row>
        <row r="31">
          <cell r="P31" t="str">
            <v>yuhuangdadi_actor</v>
          </cell>
          <cell r="BN31">
            <v>1104</v>
          </cell>
        </row>
        <row r="32">
          <cell r="P32" t="str">
            <v>donghailongwang_actor</v>
          </cell>
          <cell r="BN32">
            <v>1135</v>
          </cell>
        </row>
        <row r="33">
          <cell r="P33" t="str">
            <v>hunshimowang_actor</v>
          </cell>
          <cell r="BN33">
            <v>1132</v>
          </cell>
        </row>
        <row r="34">
          <cell r="P34" t="str">
            <v>jiaye_actor</v>
          </cell>
          <cell r="BN34">
            <v>1125</v>
          </cell>
        </row>
        <row r="35">
          <cell r="P35" t="str">
            <v>renshenwa_actor</v>
          </cell>
          <cell r="BN35">
            <v>1202</v>
          </cell>
        </row>
        <row r="36">
          <cell r="P36" t="str">
            <v>xiaobailong_actor</v>
          </cell>
          <cell r="BN36">
            <v>1123</v>
          </cell>
        </row>
        <row r="37">
          <cell r="P37" t="str">
            <v>liuermihou_actor</v>
          </cell>
          <cell r="BN37">
            <v>1117</v>
          </cell>
        </row>
        <row r="38">
          <cell r="P38" t="str">
            <v>yanluowang_actor</v>
          </cell>
          <cell r="BN38">
            <v>1201</v>
          </cell>
        </row>
        <row r="39">
          <cell r="P39" t="str">
            <v>xiezijing_actor</v>
          </cell>
          <cell r="BN39">
            <v>1131</v>
          </cell>
        </row>
        <row r="40">
          <cell r="P40" t="str">
            <v>zhizhujing_actor</v>
          </cell>
          <cell r="BN40">
            <v>1137</v>
          </cell>
        </row>
        <row r="41">
          <cell r="P41" t="str">
            <v>nverguoguowang_actor</v>
          </cell>
          <cell r="BN41">
            <v>1216</v>
          </cell>
        </row>
        <row r="42">
          <cell r="P42" t="str">
            <v>taibaijinxing_actor</v>
          </cell>
          <cell r="BN42">
            <v>1106</v>
          </cell>
        </row>
        <row r="43">
          <cell r="P43" t="str">
            <v>yanglidaxian_actor</v>
          </cell>
          <cell r="BN43">
            <v>1115</v>
          </cell>
        </row>
        <row r="44">
          <cell r="P44" t="str">
            <v>caidiexiantong_actor</v>
          </cell>
          <cell r="BN44">
            <v>1208</v>
          </cell>
        </row>
        <row r="45">
          <cell r="P45" t="str">
            <v>tangsanzang_actor</v>
          </cell>
          <cell r="BN45">
            <v>1122</v>
          </cell>
        </row>
        <row r="46">
          <cell r="P46" t="str">
            <v>yinhunxianzi_actor</v>
          </cell>
          <cell r="BN46">
            <v>1207</v>
          </cell>
        </row>
        <row r="47">
          <cell r="P47" t="str">
            <v>jinqianbaowang_actor</v>
          </cell>
          <cell r="BN47" t="str">
            <v>[]</v>
          </cell>
        </row>
        <row r="48">
          <cell r="P48" t="str">
            <v>moyujing_actor</v>
          </cell>
          <cell r="BN48" t="str">
            <v>[]</v>
          </cell>
        </row>
        <row r="49">
          <cell r="P49" t="str">
            <v>chijiaodaxian_actor</v>
          </cell>
          <cell r="BN49">
            <v>1107</v>
          </cell>
        </row>
        <row r="50">
          <cell r="P50" t="str">
            <v>jinghelongwang_actor</v>
          </cell>
          <cell r="BN50" t="str">
            <v>[]</v>
          </cell>
        </row>
        <row r="51">
          <cell r="P51" t="str">
            <v>niutou_actor</v>
          </cell>
          <cell r="BN51" t="str">
            <v>[]</v>
          </cell>
        </row>
        <row r="52">
          <cell r="P52" t="str">
            <v>dizangwang_actor</v>
          </cell>
          <cell r="BN52" t="str">
            <v>[]</v>
          </cell>
        </row>
        <row r="53">
          <cell r="P53" t="str">
            <v>guishihei_actor</v>
          </cell>
          <cell r="BN53" t="str">
            <v>[]</v>
          </cell>
        </row>
        <row r="54">
          <cell r="P54" t="str">
            <v>mamian_actor</v>
          </cell>
          <cell r="BN54" t="str">
            <v>[]</v>
          </cell>
        </row>
        <row r="55">
          <cell r="P55" t="str">
            <v>leigong_actor</v>
          </cell>
          <cell r="BN55" t="str">
            <v>[]</v>
          </cell>
        </row>
        <row r="56">
          <cell r="P56" t="str">
            <v>guishibai_actor</v>
          </cell>
          <cell r="BN56" t="str">
            <v>[]</v>
          </cell>
        </row>
        <row r="57">
          <cell r="P57" t="str">
            <v>saitaisui_actor</v>
          </cell>
          <cell r="BN57" t="str">
            <v>[]</v>
          </cell>
        </row>
        <row r="58">
          <cell r="P58" t="str">
            <v>hundun_actor</v>
          </cell>
          <cell r="BN58" t="str">
            <v>[]</v>
          </cell>
        </row>
        <row r="59">
          <cell r="P59" t="str">
            <v>bailonggongzhu_actor</v>
          </cell>
          <cell r="BN59" t="str">
            <v>[]</v>
          </cell>
        </row>
        <row r="60">
          <cell r="P60" t="str">
            <v>yutu_actor</v>
          </cell>
          <cell r="BN60" t="str">
            <v>[]</v>
          </cell>
        </row>
        <row r="61">
          <cell r="P61" t="str">
            <v>yumianfuren_actor</v>
          </cell>
          <cell r="BN61" t="str">
            <v>[]</v>
          </cell>
        </row>
        <row r="62">
          <cell r="P62" t="str">
            <v>heixiongjing_actor</v>
          </cell>
          <cell r="BN62" t="str">
            <v>[]</v>
          </cell>
        </row>
        <row r="63">
          <cell r="P63" t="str">
            <v>qinxian_actor</v>
          </cell>
          <cell r="BN63" t="str">
            <v>[]</v>
          </cell>
        </row>
        <row r="64">
          <cell r="P64" t="str">
            <v>xiejiang_actor</v>
          </cell>
          <cell r="BN64" t="str">
            <v>[]</v>
          </cell>
        </row>
        <row r="65">
          <cell r="P65" t="str">
            <v>shiren_guangqi_actor</v>
          </cell>
          <cell r="BN65" t="str">
            <v>[]</v>
          </cell>
        </row>
        <row r="66">
          <cell r="P66" t="str">
            <v>shiren_lihui_actor</v>
          </cell>
          <cell r="BN66" t="str">
            <v>[]</v>
          </cell>
        </row>
        <row r="67">
          <cell r="P67" t="str">
            <v>shiren_boda_actor</v>
          </cell>
          <cell r="BN67" t="str">
            <v>[]</v>
          </cell>
        </row>
        <row r="68">
          <cell r="P68" t="str">
            <v>shiren_liluo_actor</v>
          </cell>
          <cell r="BN68" t="str">
            <v>[]</v>
          </cell>
        </row>
        <row r="69">
          <cell r="P69" t="str">
            <v>shiren_anhe_actor</v>
          </cell>
          <cell r="BN69" t="str">
            <v>[]</v>
          </cell>
        </row>
        <row r="70">
          <cell r="P70" t="str">
            <v>mangjing_yafu_actor</v>
          </cell>
          <cell r="BN70" t="str">
            <v>[]</v>
          </cell>
        </row>
        <row r="71">
          <cell r="P71" t="str">
            <v>mangjing_yina_actor</v>
          </cell>
          <cell r="BN71" t="str">
            <v>[]</v>
          </cell>
        </row>
        <row r="72">
          <cell r="P72" t="str">
            <v>huli_youxuan_actor</v>
          </cell>
          <cell r="BN72" t="str">
            <v>[]</v>
          </cell>
        </row>
        <row r="73">
          <cell r="P73" t="str">
            <v>huli_ruxue_actor</v>
          </cell>
          <cell r="BN73" t="str">
            <v>[]</v>
          </cell>
        </row>
        <row r="74">
          <cell r="P74" t="str">
            <v>huli_ruohuo_actor</v>
          </cell>
          <cell r="BN74" t="str">
            <v>[]</v>
          </cell>
        </row>
        <row r="75">
          <cell r="P75" t="str">
            <v>jiaoren_yuechan_actor</v>
          </cell>
          <cell r="BN75" t="str">
            <v>[]</v>
          </cell>
        </row>
        <row r="76">
          <cell r="P76" t="str">
            <v>jiaoren_yuechan_actor</v>
          </cell>
          <cell r="BN76" t="str">
            <v>[]</v>
          </cell>
        </row>
        <row r="77">
          <cell r="P77" t="str">
            <v>yecha_jinli_actor</v>
          </cell>
          <cell r="BN77" t="str">
            <v>[]</v>
          </cell>
        </row>
        <row r="78">
          <cell r="P78" t="str">
            <v>yecha_bitao_actor</v>
          </cell>
          <cell r="BN78" t="str">
            <v>[]</v>
          </cell>
        </row>
        <row r="79">
          <cell r="P79" t="str">
            <v>tianbing_jinbing_actor</v>
          </cell>
          <cell r="BN79" t="str">
            <v>[]</v>
          </cell>
        </row>
        <row r="80">
          <cell r="P80" t="str">
            <v>tianbing_zhengzhong_actor</v>
          </cell>
          <cell r="BN80" t="str">
            <v>[]</v>
          </cell>
        </row>
        <row r="81">
          <cell r="P81" t="str">
            <v>tianbing_huoxi_actor</v>
          </cell>
          <cell r="BN81" t="str">
            <v>[]</v>
          </cell>
        </row>
        <row r="82">
          <cell r="P82" t="str">
            <v>langren_huojing_actor</v>
          </cell>
          <cell r="BN82" t="str">
            <v>[]</v>
          </cell>
        </row>
        <row r="83">
          <cell r="P83" t="str">
            <v>langren_huowen_actor</v>
          </cell>
          <cell r="BN83" t="str">
            <v>[]</v>
          </cell>
        </row>
        <row r="84">
          <cell r="P84" t="str">
            <v>langren_huoda_actor</v>
          </cell>
          <cell r="BN84" t="str">
            <v>[]</v>
          </cell>
        </row>
        <row r="85">
          <cell r="P85" t="str">
            <v>langren_huoge_actor</v>
          </cell>
          <cell r="BN85" t="str">
            <v>[]</v>
          </cell>
        </row>
        <row r="86">
          <cell r="P86" t="str">
            <v>langren_huowu_actor</v>
          </cell>
          <cell r="BN86" t="str">
            <v>[]</v>
          </cell>
        </row>
        <row r="87">
          <cell r="P87" t="str">
            <v>kulou_deming_actor</v>
          </cell>
          <cell r="BN87" t="str">
            <v>[]</v>
          </cell>
        </row>
        <row r="88">
          <cell r="P88" t="str">
            <v>kulou_qiwei_actor</v>
          </cell>
          <cell r="BN88" t="str">
            <v>[]</v>
          </cell>
        </row>
        <row r="89">
          <cell r="P89" t="str">
            <v>kulou_deyuan_actor</v>
          </cell>
          <cell r="BN89" t="str">
            <v>[]</v>
          </cell>
        </row>
        <row r="90">
          <cell r="P90" t="str">
            <v>kulou_pengze_actor</v>
          </cell>
          <cell r="BN90" t="str">
            <v>[]</v>
          </cell>
        </row>
        <row r="91">
          <cell r="P91" t="str">
            <v>zhizhu_yuanyao_actor</v>
          </cell>
          <cell r="BN91" t="str">
            <v>[]</v>
          </cell>
        </row>
        <row r="92">
          <cell r="P92" t="str">
            <v>zhizhu_lianhan_actor</v>
          </cell>
          <cell r="BN92" t="str">
            <v>[]</v>
          </cell>
        </row>
        <row r="93">
          <cell r="P93" t="str">
            <v>zhizhu_panxiang_actor</v>
          </cell>
          <cell r="BN93" t="str">
            <v>[]</v>
          </cell>
        </row>
        <row r="94">
          <cell r="P94" t="str">
            <v>nvgui_xinyao_actor</v>
          </cell>
          <cell r="BN94" t="str">
            <v>[]</v>
          </cell>
        </row>
        <row r="95">
          <cell r="P95" t="str">
            <v>nvgui_sangyu_actor</v>
          </cell>
          <cell r="BN95" t="str">
            <v>[]</v>
          </cell>
        </row>
        <row r="96">
          <cell r="P96" t="str">
            <v>nvgui_yuyan_actor</v>
          </cell>
          <cell r="BN96" t="str">
            <v>[]</v>
          </cell>
        </row>
        <row r="97">
          <cell r="P97" t="str">
            <v>nvgui_lingfei_actor</v>
          </cell>
          <cell r="BN97" t="str">
            <v>[]</v>
          </cell>
        </row>
        <row r="98">
          <cell r="P98" t="str">
            <v>houbing_actor</v>
          </cell>
          <cell r="BN98" t="str">
            <v>[]</v>
          </cell>
        </row>
        <row r="99">
          <cell r="P99" t="str">
            <v>shanzei_actor</v>
          </cell>
          <cell r="BN99" t="str">
            <v>[]</v>
          </cell>
        </row>
        <row r="100">
          <cell r="P100" t="str">
            <v>xiabing_actor</v>
          </cell>
          <cell r="BN100" t="str">
            <v>[]</v>
          </cell>
        </row>
        <row r="101">
          <cell r="P101" t="str">
            <v>shinv_actor</v>
          </cell>
          <cell r="BN101" t="str">
            <v>[]</v>
          </cell>
        </row>
        <row r="102">
          <cell r="P102" t="str">
            <v>qiangdao_actor</v>
          </cell>
          <cell r="BN102" t="str">
            <v>[]</v>
          </cell>
        </row>
        <row r="103">
          <cell r="P103" t="str">
            <v>yezhuguai_actor</v>
          </cell>
          <cell r="BN103" t="str">
            <v>[]</v>
          </cell>
        </row>
        <row r="104">
          <cell r="P104" t="str">
            <v>kuangbao_actor</v>
          </cell>
          <cell r="BN104" t="str">
            <v>[]</v>
          </cell>
        </row>
        <row r="105">
          <cell r="P105" t="str">
            <v>huwei_actor</v>
          </cell>
          <cell r="BN105" t="str">
            <v>[]</v>
          </cell>
        </row>
        <row r="106">
          <cell r="P106" t="str">
            <v>guichengxiang_actor</v>
          </cell>
          <cell r="BN106" t="str">
            <v>[]</v>
          </cell>
        </row>
        <row r="107">
          <cell r="P107" t="str">
            <v>yanmo_actor</v>
          </cell>
          <cell r="BN107" t="str">
            <v>[]</v>
          </cell>
        </row>
        <row r="108">
          <cell r="P108" t="str">
            <v>tianjiang_actor</v>
          </cell>
          <cell r="BN108" t="str">
            <v>[]</v>
          </cell>
        </row>
        <row r="109">
          <cell r="P109" t="str">
            <v>jiaye_actor</v>
          </cell>
          <cell r="BN109" t="str">
            <v>[]</v>
          </cell>
        </row>
        <row r="110">
          <cell r="P110" t="str">
            <v>jiaye_actor</v>
          </cell>
          <cell r="BN110" t="str">
            <v>[]</v>
          </cell>
        </row>
        <row r="111">
          <cell r="P111" t="str">
            <v>jiaye_actor</v>
          </cell>
          <cell r="BN111" t="str">
            <v>[]</v>
          </cell>
        </row>
        <row r="112">
          <cell r="P112" t="str">
            <v>kongquedamingwang_actor</v>
          </cell>
          <cell r="BN112" t="str">
            <v>[]</v>
          </cell>
        </row>
        <row r="113">
          <cell r="P113" t="str">
            <v>jiaye_actor</v>
          </cell>
          <cell r="BN113" t="str">
            <v>[]</v>
          </cell>
        </row>
        <row r="114">
          <cell r="P114" t="str">
            <v>jiaye_actor</v>
          </cell>
          <cell r="BN114" t="str">
            <v>[]</v>
          </cell>
        </row>
        <row r="115">
          <cell r="P115" t="str">
            <v>shanzijing_actor</v>
          </cell>
          <cell r="BN115" t="str">
            <v>[]</v>
          </cell>
        </row>
        <row r="116">
          <cell r="P116" t="str">
            <v>jiaye_actor</v>
          </cell>
          <cell r="BN116" t="str">
            <v>[]</v>
          </cell>
        </row>
        <row r="117">
          <cell r="P117" t="str">
            <v>zixiaxianzi_actor</v>
          </cell>
          <cell r="BN117">
            <v>1121</v>
          </cell>
        </row>
        <row r="118">
          <cell r="P118" t="str">
            <v>tieshangongzhu_actor</v>
          </cell>
          <cell r="BN118">
            <v>1111</v>
          </cell>
        </row>
        <row r="119">
          <cell r="P119" t="str">
            <v>sunwukong_actor</v>
          </cell>
          <cell r="BN119">
            <v>1119</v>
          </cell>
        </row>
        <row r="121">
          <cell r="BN121">
            <v>0</v>
          </cell>
        </row>
        <row r="122">
          <cell r="BN122">
            <v>0</v>
          </cell>
        </row>
        <row r="123">
          <cell r="BN123">
            <v>0</v>
          </cell>
        </row>
        <row r="124">
          <cell r="BN124">
            <v>0</v>
          </cell>
        </row>
        <row r="125">
          <cell r="BN125">
            <v>0</v>
          </cell>
        </row>
        <row r="126">
          <cell r="BN126">
            <v>0</v>
          </cell>
        </row>
        <row r="127">
          <cell r="BN127">
            <v>0</v>
          </cell>
        </row>
        <row r="128">
          <cell r="BN128">
            <v>0</v>
          </cell>
        </row>
        <row r="129">
          <cell r="BN129">
            <v>0</v>
          </cell>
        </row>
        <row r="130">
          <cell r="BN130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C312"/>
  <sheetViews>
    <sheetView tabSelected="1" workbookViewId="0">
      <pane xSplit="2" ySplit="3" topLeftCell="D301" activePane="bottomRight" state="frozen"/>
      <selection pane="topRight" activeCell="C1" sqref="C1"/>
      <selection pane="bottomLeft" activeCell="A4" sqref="A4"/>
      <selection pane="bottomRight" activeCell="E312" sqref="E312"/>
    </sheetView>
  </sheetViews>
  <sheetFormatPr defaultRowHeight="16.5"/>
  <cols>
    <col min="1" max="1" width="15.25" style="32" customWidth="1"/>
    <col min="2" max="2" width="16.75" style="27" bestFit="1" customWidth="1"/>
    <col min="3" max="3" width="48.625" style="27" customWidth="1"/>
    <col min="4" max="4" width="41.875" style="27" customWidth="1"/>
    <col min="5" max="5" width="62.75" style="28" customWidth="1"/>
    <col min="6" max="6" width="51.625" style="27" customWidth="1"/>
    <col min="7" max="7" width="20.375" style="27" bestFit="1" customWidth="1"/>
    <col min="8" max="8" width="15.125" style="27" bestFit="1" customWidth="1"/>
    <col min="9" max="9" width="11.25" style="13" bestFit="1" customWidth="1"/>
    <col min="10" max="10" width="9" style="13"/>
    <col min="11" max="11" width="12.125" style="13" bestFit="1" customWidth="1"/>
    <col min="12" max="12" width="13.875" style="13" bestFit="1" customWidth="1"/>
    <col min="13" max="13" width="32.25" style="13" bestFit="1" customWidth="1"/>
    <col min="14" max="14" width="51.625" style="13" customWidth="1"/>
    <col min="15" max="15" width="9.625" style="13" bestFit="1" customWidth="1"/>
    <col min="16" max="22" width="9" style="13"/>
    <col min="23" max="23" width="13.25" style="13" customWidth="1"/>
    <col min="24" max="28" width="9" style="13"/>
    <col min="29" max="29" width="9.625" style="13" bestFit="1" customWidth="1"/>
    <col min="30" max="16384" width="9" style="13"/>
  </cols>
  <sheetData>
    <row r="1" spans="1:29" s="11" customFormat="1" ht="49.5">
      <c r="A1" s="31" t="s">
        <v>7</v>
      </c>
      <c r="B1" s="29" t="s">
        <v>1</v>
      </c>
      <c r="C1" s="29" t="s">
        <v>2</v>
      </c>
      <c r="D1" s="29" t="s">
        <v>16</v>
      </c>
      <c r="E1" s="30" t="s">
        <v>17</v>
      </c>
      <c r="F1" s="29" t="s">
        <v>15</v>
      </c>
      <c r="G1" s="17" t="s">
        <v>10</v>
      </c>
      <c r="H1" s="18" t="s">
        <v>9</v>
      </c>
      <c r="I1" s="11" t="s">
        <v>19</v>
      </c>
      <c r="J1" s="11" t="s">
        <v>20</v>
      </c>
      <c r="M1" s="11" t="s">
        <v>22</v>
      </c>
      <c r="N1" s="11" t="s">
        <v>23</v>
      </c>
      <c r="R1" s="12" t="s">
        <v>24</v>
      </c>
    </row>
    <row r="2" spans="1:29">
      <c r="A2" s="31" t="s">
        <v>8</v>
      </c>
      <c r="B2" s="16" t="s">
        <v>4</v>
      </c>
      <c r="C2" s="16" t="s">
        <v>5</v>
      </c>
      <c r="D2" s="16" t="s">
        <v>6</v>
      </c>
      <c r="E2" s="19" t="s">
        <v>18</v>
      </c>
      <c r="F2" s="16" t="s">
        <v>14</v>
      </c>
      <c r="G2" s="20" t="s">
        <v>12</v>
      </c>
      <c r="H2" s="20" t="s">
        <v>11</v>
      </c>
    </row>
    <row r="3" spans="1:29">
      <c r="A3" s="20" t="s">
        <v>3</v>
      </c>
      <c r="B3" s="20" t="s">
        <v>295</v>
      </c>
      <c r="C3" s="21" t="s">
        <v>0</v>
      </c>
      <c r="D3" s="21" t="s">
        <v>0</v>
      </c>
      <c r="E3" s="22" t="s">
        <v>0</v>
      </c>
      <c r="F3" s="21" t="s">
        <v>0</v>
      </c>
      <c r="G3" s="20" t="s">
        <v>13</v>
      </c>
      <c r="H3" s="20" t="s">
        <v>295</v>
      </c>
      <c r="U3" s="13" t="s">
        <v>25</v>
      </c>
      <c r="V3" s="13">
        <v>1</v>
      </c>
      <c r="W3" s="13">
        <v>2</v>
      </c>
      <c r="X3" s="13">
        <v>3</v>
      </c>
      <c r="Y3" s="13">
        <v>4</v>
      </c>
      <c r="Z3" s="13">
        <v>5</v>
      </c>
    </row>
    <row r="4" spans="1:29">
      <c r="A4" s="24">
        <v>10010</v>
      </c>
      <c r="B4" s="23" t="s">
        <v>516</v>
      </c>
      <c r="C4" s="24" t="s">
        <v>227</v>
      </c>
      <c r="D4" s="23" t="s">
        <v>21</v>
      </c>
      <c r="E4" s="23" t="s">
        <v>21</v>
      </c>
      <c r="F4" s="25" t="s">
        <v>210</v>
      </c>
      <c r="G4" s="26">
        <v>1300</v>
      </c>
      <c r="H4" s="23" t="s">
        <v>296</v>
      </c>
      <c r="I4" s="13" t="e">
        <f t="shared" ref="I4:I67" si="0">VLOOKUP(INT(LEFT(A4,4)),$U$77:$V$138,2,0)</f>
        <v>#N/A</v>
      </c>
      <c r="J4" s="13">
        <v>0</v>
      </c>
      <c r="K4" s="13" t="str">
        <f>IF(J4=0,$B4,B4&amp;"+"&amp;J4)</f>
        <v>凤鸣折翼剑</v>
      </c>
      <c r="L4" s="13" t="s">
        <v>516</v>
      </c>
      <c r="M4" s="13" t="str">
        <f>"["&amp;$R$1&amp;SUBSTITUTE(INDEX([1]Sheet1!$P:$P,MATCH(INT(LEFT($A4,4)),[1]Sheet1!$BN:$BN,0),1),"_actor","")&amp;"_wuqi01_01"&amp;$R$1&amp;"]"</f>
        <v>["nvzhujue_wuqi01_01"]</v>
      </c>
      <c r="N4" s="13" t="s">
        <v>133</v>
      </c>
      <c r="O4" s="13">
        <f>INT(LEFT(A4,4))</f>
        <v>1001</v>
      </c>
      <c r="R4" s="13">
        <v>1</v>
      </c>
      <c r="S4" s="13">
        <v>2</v>
      </c>
      <c r="U4" s="1">
        <v>1001</v>
      </c>
      <c r="V4" s="13">
        <f>INT($U4&amp;V$3)</f>
        <v>10011</v>
      </c>
      <c r="W4" s="13">
        <f t="shared" ref="W4:Z25" si="1">INT($U4&amp;W$3)</f>
        <v>10012</v>
      </c>
      <c r="X4" s="13">
        <f t="shared" si="1"/>
        <v>10013</v>
      </c>
      <c r="Y4" s="13">
        <f t="shared" si="1"/>
        <v>10014</v>
      </c>
      <c r="Z4" s="13">
        <f t="shared" si="1"/>
        <v>10015</v>
      </c>
      <c r="AB4" s="13">
        <v>1</v>
      </c>
      <c r="AC4" s="13">
        <f>INDEX($V$4:$Z$62,COUNTIFS($AB$1:$AB4,1),$AB4)</f>
        <v>10011</v>
      </c>
    </row>
    <row r="5" spans="1:29">
      <c r="A5" s="24">
        <v>10011</v>
      </c>
      <c r="B5" s="23" t="s">
        <v>516</v>
      </c>
      <c r="C5" s="24" t="s">
        <v>227</v>
      </c>
      <c r="D5" s="23" t="s">
        <v>121</v>
      </c>
      <c r="E5" s="23" t="s">
        <v>121</v>
      </c>
      <c r="F5" s="25" t="s">
        <v>210</v>
      </c>
      <c r="G5" s="26">
        <v>1300</v>
      </c>
      <c r="H5" s="23" t="s">
        <v>297</v>
      </c>
      <c r="I5" s="13" t="e">
        <f t="shared" si="0"/>
        <v>#N/A</v>
      </c>
      <c r="J5" s="13">
        <v>1</v>
      </c>
      <c r="K5" s="13" t="str">
        <f t="shared" ref="K5:K94" si="2">IF(J5=0,$B5,B5&amp;"+"&amp;J5)</f>
        <v>凤鸣折翼剑+1</v>
      </c>
      <c r="L5" s="13" t="s">
        <v>296</v>
      </c>
      <c r="M5" s="13" t="str">
        <f>"["&amp;$R$1&amp;SUBSTITUTE(INDEX([1]Sheet1!$P:$P,MATCH(INT(LEFT($A5,4)),[1]Sheet1!$BN:$BN,0),1),"_actor","")&amp;"_wuqi01_01"&amp;$R$1&amp;"]"</f>
        <v>["nvzhujue_wuqi01_01"]</v>
      </c>
      <c r="N5" s="13" t="s">
        <v>133</v>
      </c>
      <c r="O5" s="13">
        <f t="shared" ref="O5:O94" si="3">INT(LEFT(A5,4))</f>
        <v>1001</v>
      </c>
      <c r="R5" s="13">
        <v>2</v>
      </c>
      <c r="S5" s="13">
        <v>2</v>
      </c>
      <c r="U5" s="1">
        <v>1002</v>
      </c>
      <c r="V5" s="13">
        <f t="shared" ref="V5:Z62" si="4">INT($U5&amp;V$3)</f>
        <v>10021</v>
      </c>
      <c r="W5" s="13">
        <f t="shared" si="1"/>
        <v>10022</v>
      </c>
      <c r="X5" s="13">
        <f t="shared" si="1"/>
        <v>10023</v>
      </c>
      <c r="Y5" s="13">
        <f t="shared" si="1"/>
        <v>10024</v>
      </c>
      <c r="Z5" s="13">
        <f t="shared" si="1"/>
        <v>10025</v>
      </c>
      <c r="AB5" s="13">
        <v>2</v>
      </c>
      <c r="AC5" s="13">
        <f>INDEX($V$4:$Z$62,COUNTIFS($AB$1:$AB5,1),$AB5)</f>
        <v>10012</v>
      </c>
    </row>
    <row r="6" spans="1:29">
      <c r="A6" s="24">
        <v>10012</v>
      </c>
      <c r="B6" s="23" t="s">
        <v>516</v>
      </c>
      <c r="C6" s="24" t="s">
        <v>228</v>
      </c>
      <c r="D6" s="23" t="s">
        <v>122</v>
      </c>
      <c r="E6" s="23" t="s">
        <v>122</v>
      </c>
      <c r="F6" s="25" t="s">
        <v>210</v>
      </c>
      <c r="G6" s="26">
        <v>1300</v>
      </c>
      <c r="H6" s="23" t="s">
        <v>298</v>
      </c>
      <c r="I6" s="13" t="e">
        <f t="shared" si="0"/>
        <v>#N/A</v>
      </c>
      <c r="J6" s="13">
        <v>2</v>
      </c>
      <c r="K6" s="13" t="str">
        <f t="shared" si="2"/>
        <v>凤鸣折翼剑+2</v>
      </c>
      <c r="L6" s="13" t="s">
        <v>297</v>
      </c>
      <c r="M6" s="13" t="str">
        <f>"["&amp;$R$1&amp;SUBSTITUTE(INDEX([1]Sheet1!$P:$P,MATCH(INT(LEFT($A6,4)),[1]Sheet1!$BN:$BN,0),1),"_actor","")&amp;"_wuqi01_01"&amp;$R$1&amp;"]"</f>
        <v>["nvzhujue_wuqi01_01"]</v>
      </c>
      <c r="N6" s="13" t="s">
        <v>133</v>
      </c>
      <c r="O6" s="13">
        <f t="shared" si="3"/>
        <v>1001</v>
      </c>
      <c r="R6" s="13">
        <v>3</v>
      </c>
      <c r="S6" s="13">
        <v>3</v>
      </c>
      <c r="U6" s="1">
        <v>1102</v>
      </c>
      <c r="V6" s="13">
        <f t="shared" si="4"/>
        <v>11021</v>
      </c>
      <c r="W6" s="13">
        <f t="shared" si="1"/>
        <v>11022</v>
      </c>
      <c r="X6" s="13">
        <f t="shared" si="1"/>
        <v>11023</v>
      </c>
      <c r="Y6" s="13">
        <f t="shared" si="1"/>
        <v>11024</v>
      </c>
      <c r="Z6" s="13">
        <f t="shared" si="1"/>
        <v>11025</v>
      </c>
      <c r="AB6" s="13">
        <v>3</v>
      </c>
      <c r="AC6" s="13">
        <f>INDEX($V$4:$Z$62,COUNTIFS($AB$1:$AB6,1),$AB6)</f>
        <v>10013</v>
      </c>
    </row>
    <row r="7" spans="1:29">
      <c r="A7" s="24">
        <v>10013</v>
      </c>
      <c r="B7" s="23" t="s">
        <v>516</v>
      </c>
      <c r="C7" s="24" t="s">
        <v>229</v>
      </c>
      <c r="D7" s="23" t="s">
        <v>123</v>
      </c>
      <c r="E7" s="23" t="s">
        <v>123</v>
      </c>
      <c r="F7" s="25" t="s">
        <v>210</v>
      </c>
      <c r="G7" s="26">
        <v>1300</v>
      </c>
      <c r="H7" s="23" t="s">
        <v>299</v>
      </c>
      <c r="I7" s="13" t="e">
        <f t="shared" si="0"/>
        <v>#N/A</v>
      </c>
      <c r="J7" s="13">
        <v>3</v>
      </c>
      <c r="K7" s="13" t="str">
        <f t="shared" si="2"/>
        <v>凤鸣折翼剑+3</v>
      </c>
      <c r="L7" s="13" t="s">
        <v>298</v>
      </c>
      <c r="M7" s="13" t="str">
        <f>"["&amp;$R$1&amp;SUBSTITUTE(INDEX([1]Sheet1!$P:$P,MATCH(INT(LEFT($A7,4)),[1]Sheet1!$BN:$BN,0),1),"_actor","")&amp;"_wuqi01_01"&amp;$R$1&amp;"]"</f>
        <v>["nvzhujue_wuqi01_01"]</v>
      </c>
      <c r="N7" s="13" t="s">
        <v>133</v>
      </c>
      <c r="O7" s="13">
        <f t="shared" si="3"/>
        <v>1001</v>
      </c>
      <c r="R7" s="13">
        <v>4</v>
      </c>
      <c r="S7" s="13">
        <v>3</v>
      </c>
      <c r="U7" s="1">
        <v>1211</v>
      </c>
      <c r="V7" s="13">
        <f t="shared" si="4"/>
        <v>12111</v>
      </c>
      <c r="W7" s="13">
        <f t="shared" si="1"/>
        <v>12112</v>
      </c>
      <c r="X7" s="13">
        <f t="shared" si="1"/>
        <v>12113</v>
      </c>
      <c r="Y7" s="13">
        <f t="shared" si="1"/>
        <v>12114</v>
      </c>
      <c r="Z7" s="13">
        <f t="shared" si="1"/>
        <v>12115</v>
      </c>
      <c r="AB7" s="13">
        <v>4</v>
      </c>
      <c r="AC7" s="13">
        <f>INDEX($V$4:$Z$62,COUNTIFS($AB$1:$AB7,1),$AB7)</f>
        <v>10014</v>
      </c>
    </row>
    <row r="8" spans="1:29">
      <c r="A8" s="24">
        <v>10014</v>
      </c>
      <c r="B8" s="23" t="s">
        <v>516</v>
      </c>
      <c r="C8" s="24" t="s">
        <v>229</v>
      </c>
      <c r="D8" s="23" t="s">
        <v>124</v>
      </c>
      <c r="E8" s="23" t="s">
        <v>124</v>
      </c>
      <c r="F8" s="25" t="s">
        <v>210</v>
      </c>
      <c r="G8" s="26">
        <v>1300</v>
      </c>
      <c r="H8" s="23" t="s">
        <v>300</v>
      </c>
      <c r="I8" s="13" t="e">
        <f t="shared" si="0"/>
        <v>#N/A</v>
      </c>
      <c r="J8" s="13">
        <v>4</v>
      </c>
      <c r="K8" s="13" t="str">
        <f t="shared" si="2"/>
        <v>凤鸣折翼剑+4</v>
      </c>
      <c r="L8" s="13" t="s">
        <v>299</v>
      </c>
      <c r="M8" s="13" t="str">
        <f>"["&amp;$R$1&amp;SUBSTITUTE(INDEX([1]Sheet1!$P:$P,MATCH(INT(LEFT($A8,4)),[1]Sheet1!$BN:$BN,0),1),"_actor","")&amp;"_wuqi01_01"&amp;$R$1&amp;"]"</f>
        <v>["nvzhujue_wuqi01_01"]</v>
      </c>
      <c r="N8" s="13" t="s">
        <v>133</v>
      </c>
      <c r="O8" s="13">
        <f t="shared" si="3"/>
        <v>1001</v>
      </c>
      <c r="R8" s="13">
        <v>5</v>
      </c>
      <c r="S8" s="13">
        <v>4</v>
      </c>
      <c r="U8" s="1">
        <v>1101</v>
      </c>
      <c r="V8" s="13">
        <f t="shared" si="4"/>
        <v>11011</v>
      </c>
      <c r="W8" s="13">
        <f t="shared" si="1"/>
        <v>11012</v>
      </c>
      <c r="X8" s="13">
        <f t="shared" si="1"/>
        <v>11013</v>
      </c>
      <c r="Y8" s="13">
        <f t="shared" si="1"/>
        <v>11014</v>
      </c>
      <c r="Z8" s="13">
        <f t="shared" si="1"/>
        <v>11015</v>
      </c>
      <c r="AB8" s="13">
        <v>5</v>
      </c>
      <c r="AC8" s="13">
        <f>INDEX($V$4:$Z$62,COUNTIFS($AB$1:$AB8,1),$AB8)</f>
        <v>10015</v>
      </c>
    </row>
    <row r="9" spans="1:29">
      <c r="A9" s="24">
        <v>10015</v>
      </c>
      <c r="B9" s="23" t="s">
        <v>516</v>
      </c>
      <c r="C9" s="24" t="s">
        <v>229</v>
      </c>
      <c r="D9" s="23" t="s">
        <v>124</v>
      </c>
      <c r="E9" s="23" t="s">
        <v>124</v>
      </c>
      <c r="F9" s="25" t="s">
        <v>210</v>
      </c>
      <c r="G9" s="26">
        <v>1300</v>
      </c>
      <c r="H9" s="23" t="s">
        <v>300</v>
      </c>
      <c r="I9" s="13" t="e">
        <f t="shared" si="0"/>
        <v>#N/A</v>
      </c>
      <c r="J9" s="13">
        <v>5</v>
      </c>
      <c r="K9" s="13" t="str">
        <f t="shared" ref="K9" si="5">IF(J9=0,$B9,B9&amp;"+"&amp;J9)</f>
        <v>凤鸣折翼剑+5</v>
      </c>
      <c r="L9" s="13" t="s">
        <v>299</v>
      </c>
      <c r="M9" s="13" t="str">
        <f>"["&amp;$R$1&amp;SUBSTITUTE(INDEX([1]Sheet1!$P:$P,MATCH(INT(LEFT($A9,4)),[1]Sheet1!$BN:$BN,0),1),"_actor","")&amp;"_wuqi01_01"&amp;$R$1&amp;"]"</f>
        <v>["nvzhujue_wuqi01_01"]</v>
      </c>
      <c r="N9" s="13" t="s">
        <v>133</v>
      </c>
      <c r="O9" s="13">
        <f t="shared" ref="O9" si="6">INT(LEFT(A9,4))</f>
        <v>1001</v>
      </c>
      <c r="R9" s="13">
        <v>5</v>
      </c>
      <c r="S9" s="13">
        <v>4</v>
      </c>
      <c r="U9" s="1">
        <v>1101</v>
      </c>
      <c r="V9" s="13">
        <f t="shared" si="4"/>
        <v>11011</v>
      </c>
      <c r="W9" s="13">
        <f t="shared" si="1"/>
        <v>11012</v>
      </c>
      <c r="X9" s="13">
        <f t="shared" si="1"/>
        <v>11013</v>
      </c>
      <c r="Y9" s="13">
        <f t="shared" si="1"/>
        <v>11014</v>
      </c>
      <c r="Z9" s="13">
        <f t="shared" si="1"/>
        <v>11015</v>
      </c>
      <c r="AB9" s="13">
        <v>5</v>
      </c>
      <c r="AC9" s="13">
        <f>INDEX($V$4:$Z$62,COUNTIFS($AB$1:$AB9,1),$AB9)</f>
        <v>10015</v>
      </c>
    </row>
    <row r="10" spans="1:29">
      <c r="A10" s="24">
        <v>10016</v>
      </c>
      <c r="B10" s="23" t="s">
        <v>516</v>
      </c>
      <c r="C10" s="24" t="s">
        <v>229</v>
      </c>
      <c r="D10" s="23" t="s">
        <v>124</v>
      </c>
      <c r="E10" s="23" t="s">
        <v>124</v>
      </c>
      <c r="F10" s="25" t="s">
        <v>210</v>
      </c>
      <c r="G10" s="26">
        <v>1300</v>
      </c>
      <c r="H10" s="23" t="s">
        <v>300</v>
      </c>
      <c r="I10" s="13" t="e">
        <f t="shared" si="0"/>
        <v>#N/A</v>
      </c>
      <c r="J10" s="13">
        <v>5</v>
      </c>
      <c r="K10" s="13" t="str">
        <f t="shared" ref="K10" si="7">IF(J10=0,$B10,B10&amp;"+"&amp;J10)</f>
        <v>凤鸣折翼剑+5</v>
      </c>
      <c r="L10" s="13" t="s">
        <v>299</v>
      </c>
      <c r="M10" s="13" t="str">
        <f>"["&amp;$R$1&amp;SUBSTITUTE(INDEX([1]Sheet1!$P:$P,MATCH(INT(LEFT($A10,4)),[1]Sheet1!$BN:$BN,0),1),"_actor","")&amp;"_wuqi01_01"&amp;$R$1&amp;"]"</f>
        <v>["nvzhujue_wuqi01_01"]</v>
      </c>
      <c r="N10" s="13" t="s">
        <v>133</v>
      </c>
      <c r="O10" s="13">
        <f t="shared" ref="O10" si="8">INT(LEFT(A10,4))</f>
        <v>1001</v>
      </c>
      <c r="R10" s="13">
        <v>5</v>
      </c>
      <c r="S10" s="13">
        <v>4</v>
      </c>
      <c r="U10" s="1">
        <v>1101</v>
      </c>
      <c r="V10" s="13">
        <f t="shared" si="4"/>
        <v>11011</v>
      </c>
      <c r="W10" s="13">
        <f t="shared" si="1"/>
        <v>11012</v>
      </c>
      <c r="X10" s="13">
        <f t="shared" si="1"/>
        <v>11013</v>
      </c>
      <c r="Y10" s="13">
        <f t="shared" si="1"/>
        <v>11014</v>
      </c>
      <c r="Z10" s="13">
        <f t="shared" si="1"/>
        <v>11015</v>
      </c>
      <c r="AB10" s="13">
        <v>5</v>
      </c>
      <c r="AC10" s="13">
        <f>INDEX($V$4:$Z$62,COUNTIFS($AB$1:$AB10,1),$AB10)</f>
        <v>10015</v>
      </c>
    </row>
    <row r="11" spans="1:29">
      <c r="A11" s="33">
        <v>10020</v>
      </c>
      <c r="B11" s="34" t="s">
        <v>517</v>
      </c>
      <c r="C11" s="33" t="s">
        <v>230</v>
      </c>
      <c r="D11" s="34" t="s">
        <v>138</v>
      </c>
      <c r="E11" s="34" t="s">
        <v>133</v>
      </c>
      <c r="F11" s="34" t="s">
        <v>215</v>
      </c>
      <c r="G11" s="35">
        <v>1301</v>
      </c>
      <c r="H11" s="34" t="s">
        <v>301</v>
      </c>
      <c r="I11" s="13" t="e">
        <f t="shared" si="0"/>
        <v>#N/A</v>
      </c>
      <c r="J11" s="13">
        <v>0</v>
      </c>
      <c r="K11" s="13" t="str">
        <f t="shared" si="2"/>
        <v>龙麟碎霜扇</v>
      </c>
      <c r="L11" s="13" t="s">
        <v>517</v>
      </c>
      <c r="M11" s="13" t="str">
        <f>"["&amp;$R$1&amp;SUBSTITUTE(INDEX([1]Sheet1!$P:$P,MATCH(INT(LEFT($A11,4)),[1]Sheet1!$BN:$BN,0),1),"_actor","")&amp;"_wuqi01_01"&amp;$R$1&amp;"]"</f>
        <v>["nanzhujue_wuqi01_01"]</v>
      </c>
      <c r="N11" s="13" t="s">
        <v>133</v>
      </c>
      <c r="O11" s="13">
        <f t="shared" si="3"/>
        <v>1002</v>
      </c>
      <c r="U11" s="1">
        <v>1108</v>
      </c>
      <c r="V11" s="13">
        <f t="shared" si="4"/>
        <v>11081</v>
      </c>
      <c r="W11" s="13">
        <f t="shared" si="1"/>
        <v>11082</v>
      </c>
      <c r="X11" s="13">
        <f t="shared" si="1"/>
        <v>11083</v>
      </c>
      <c r="Y11" s="13">
        <f t="shared" si="1"/>
        <v>11084</v>
      </c>
      <c r="Z11" s="13">
        <f t="shared" si="1"/>
        <v>11085</v>
      </c>
      <c r="AB11" s="13">
        <v>1</v>
      </c>
      <c r="AC11" s="13">
        <f>INDEX($V$4:$Z$62,COUNTIFS($AB$1:$AB11,1),$AB11)</f>
        <v>10021</v>
      </c>
    </row>
    <row r="12" spans="1:29">
      <c r="A12" s="33">
        <v>10021</v>
      </c>
      <c r="B12" s="34" t="s">
        <v>517</v>
      </c>
      <c r="C12" s="33" t="s">
        <v>230</v>
      </c>
      <c r="D12" s="34" t="s">
        <v>125</v>
      </c>
      <c r="E12" s="34" t="s">
        <v>125</v>
      </c>
      <c r="F12" s="34" t="s">
        <v>211</v>
      </c>
      <c r="G12" s="35">
        <v>1301</v>
      </c>
      <c r="H12" s="34" t="s">
        <v>302</v>
      </c>
      <c r="I12" s="13" t="e">
        <f t="shared" si="0"/>
        <v>#N/A</v>
      </c>
      <c r="J12" s="13">
        <v>1</v>
      </c>
      <c r="K12" s="13" t="str">
        <f t="shared" si="2"/>
        <v>龙麟碎霜扇+1</v>
      </c>
      <c r="L12" s="13" t="s">
        <v>301</v>
      </c>
      <c r="M12" s="13" t="str">
        <f>"["&amp;$R$1&amp;SUBSTITUTE(INDEX([1]Sheet1!$P:$P,MATCH(INT(LEFT($A12,4)),[1]Sheet1!$BN:$BN,0),1),"_actor","")&amp;"_wuqi01_01"&amp;$R$1&amp;"]"</f>
        <v>["nanzhujue_wuqi01_01"]</v>
      </c>
      <c r="N12" s="13" t="s">
        <v>133</v>
      </c>
      <c r="O12" s="13">
        <f t="shared" si="3"/>
        <v>1002</v>
      </c>
      <c r="U12" s="1">
        <v>1113</v>
      </c>
      <c r="V12" s="13">
        <f t="shared" si="4"/>
        <v>11131</v>
      </c>
      <c r="W12" s="13">
        <f t="shared" si="1"/>
        <v>11132</v>
      </c>
      <c r="X12" s="13">
        <f t="shared" si="1"/>
        <v>11133</v>
      </c>
      <c r="Y12" s="13">
        <f t="shared" si="1"/>
        <v>11134</v>
      </c>
      <c r="Z12" s="13">
        <f t="shared" si="1"/>
        <v>11135</v>
      </c>
      <c r="AB12" s="13">
        <v>2</v>
      </c>
      <c r="AC12" s="13">
        <f>INDEX($V$4:$Z$62,COUNTIFS($AB$1:$AB12,1),$AB12)</f>
        <v>10022</v>
      </c>
    </row>
    <row r="13" spans="1:29">
      <c r="A13" s="33">
        <v>10022</v>
      </c>
      <c r="B13" s="34" t="s">
        <v>517</v>
      </c>
      <c r="C13" s="33" t="s">
        <v>231</v>
      </c>
      <c r="D13" s="34" t="s">
        <v>126</v>
      </c>
      <c r="E13" s="34" t="s">
        <v>126</v>
      </c>
      <c r="F13" s="34" t="s">
        <v>211</v>
      </c>
      <c r="G13" s="35">
        <v>1301</v>
      </c>
      <c r="H13" s="34" t="s">
        <v>303</v>
      </c>
      <c r="I13" s="13" t="e">
        <f t="shared" si="0"/>
        <v>#N/A</v>
      </c>
      <c r="J13" s="13">
        <v>2</v>
      </c>
      <c r="K13" s="13" t="str">
        <f t="shared" si="2"/>
        <v>龙麟碎霜扇+2</v>
      </c>
      <c r="L13" s="13" t="s">
        <v>302</v>
      </c>
      <c r="M13" s="13" t="str">
        <f>"["&amp;$R$1&amp;SUBSTITUTE(INDEX([1]Sheet1!$P:$P,MATCH(INT(LEFT($A13,4)),[1]Sheet1!$BN:$BN,0),1),"_actor","")&amp;"_wuqi01_01"&amp;$R$1&amp;"]"</f>
        <v>["nanzhujue_wuqi01_01"]</v>
      </c>
      <c r="N13" s="13" t="s">
        <v>133</v>
      </c>
      <c r="O13" s="13">
        <f t="shared" si="3"/>
        <v>1002</v>
      </c>
      <c r="U13" s="1">
        <v>1120</v>
      </c>
      <c r="V13" s="13">
        <f t="shared" si="4"/>
        <v>11201</v>
      </c>
      <c r="W13" s="13">
        <f t="shared" si="1"/>
        <v>11202</v>
      </c>
      <c r="X13" s="13">
        <f t="shared" si="1"/>
        <v>11203</v>
      </c>
      <c r="Y13" s="13">
        <f t="shared" si="1"/>
        <v>11204</v>
      </c>
      <c r="Z13" s="13">
        <f t="shared" si="1"/>
        <v>11205</v>
      </c>
      <c r="AB13" s="13">
        <v>3</v>
      </c>
      <c r="AC13" s="13">
        <f>INDEX($V$4:$Z$62,COUNTIFS($AB$1:$AB13,1),$AB13)</f>
        <v>10023</v>
      </c>
    </row>
    <row r="14" spans="1:29">
      <c r="A14" s="33">
        <v>10023</v>
      </c>
      <c r="B14" s="34" t="s">
        <v>517</v>
      </c>
      <c r="C14" s="33" t="s">
        <v>232</v>
      </c>
      <c r="D14" s="34" t="s">
        <v>178</v>
      </c>
      <c r="E14" s="34" t="s">
        <v>178</v>
      </c>
      <c r="F14" s="34" t="s">
        <v>211</v>
      </c>
      <c r="G14" s="35">
        <v>1301</v>
      </c>
      <c r="H14" s="34" t="s">
        <v>304</v>
      </c>
      <c r="I14" s="13" t="e">
        <f t="shared" si="0"/>
        <v>#N/A</v>
      </c>
      <c r="J14" s="13">
        <v>3</v>
      </c>
      <c r="K14" s="13" t="str">
        <f t="shared" si="2"/>
        <v>龙麟碎霜扇+3</v>
      </c>
      <c r="L14" s="13" t="s">
        <v>303</v>
      </c>
      <c r="M14" s="13" t="str">
        <f>"["&amp;$R$1&amp;SUBSTITUTE(INDEX([1]Sheet1!$P:$P,MATCH(INT(LEFT($A14,4)),[1]Sheet1!$BN:$BN,0),1),"_actor","")&amp;"_wuqi01_01"&amp;$R$1&amp;"]"</f>
        <v>["nanzhujue_wuqi01_01"]</v>
      </c>
      <c r="N14" s="13" t="s">
        <v>133</v>
      </c>
      <c r="O14" s="13">
        <f t="shared" si="3"/>
        <v>1002</v>
      </c>
      <c r="U14" s="1">
        <v>1127</v>
      </c>
      <c r="V14" s="13">
        <f t="shared" si="4"/>
        <v>11271</v>
      </c>
      <c r="W14" s="13">
        <f t="shared" si="1"/>
        <v>11272</v>
      </c>
      <c r="X14" s="13">
        <f t="shared" si="1"/>
        <v>11273</v>
      </c>
      <c r="Y14" s="13">
        <f t="shared" si="1"/>
        <v>11274</v>
      </c>
      <c r="Z14" s="13">
        <f t="shared" si="1"/>
        <v>11275</v>
      </c>
      <c r="AB14" s="13">
        <v>4</v>
      </c>
      <c r="AC14" s="13">
        <f>INDEX($V$4:$Z$62,COUNTIFS($AB$1:$AB14,1),$AB14)</f>
        <v>10024</v>
      </c>
    </row>
    <row r="15" spans="1:29">
      <c r="A15" s="33">
        <v>10024</v>
      </c>
      <c r="B15" s="34" t="s">
        <v>517</v>
      </c>
      <c r="C15" s="33" t="s">
        <v>232</v>
      </c>
      <c r="D15" s="34" t="s">
        <v>179</v>
      </c>
      <c r="E15" s="34" t="s">
        <v>179</v>
      </c>
      <c r="F15" s="34" t="s">
        <v>211</v>
      </c>
      <c r="G15" s="35">
        <v>1301</v>
      </c>
      <c r="H15" s="34" t="s">
        <v>305</v>
      </c>
      <c r="I15" s="13" t="e">
        <f t="shared" si="0"/>
        <v>#N/A</v>
      </c>
      <c r="J15" s="13">
        <v>4</v>
      </c>
      <c r="K15" s="13" t="str">
        <f t="shared" si="2"/>
        <v>龙麟碎霜扇+4</v>
      </c>
      <c r="L15" s="13" t="s">
        <v>304</v>
      </c>
      <c r="M15" s="13" t="str">
        <f>"["&amp;$R$1&amp;SUBSTITUTE(INDEX([1]Sheet1!$P:$P,MATCH(INT(LEFT($A15,4)),[1]Sheet1!$BN:$BN,0),1),"_actor","")&amp;"_wuqi01_01"&amp;$R$1&amp;"]"</f>
        <v>["nanzhujue_wuqi01_01"]</v>
      </c>
      <c r="N15" s="13" t="s">
        <v>133</v>
      </c>
      <c r="O15" s="13">
        <f t="shared" si="3"/>
        <v>1002</v>
      </c>
      <c r="U15" s="1">
        <v>1212</v>
      </c>
      <c r="V15" s="13">
        <f t="shared" si="4"/>
        <v>12121</v>
      </c>
      <c r="W15" s="13">
        <f t="shared" si="1"/>
        <v>12122</v>
      </c>
      <c r="X15" s="13">
        <f t="shared" si="1"/>
        <v>12123</v>
      </c>
      <c r="Y15" s="13">
        <f t="shared" si="1"/>
        <v>12124</v>
      </c>
      <c r="Z15" s="13">
        <f t="shared" si="1"/>
        <v>12125</v>
      </c>
      <c r="AB15" s="13">
        <v>5</v>
      </c>
      <c r="AC15" s="13">
        <f>INDEX($V$4:$Z$62,COUNTIFS($AB$1:$AB15,1),$AB15)</f>
        <v>10025</v>
      </c>
    </row>
    <row r="16" spans="1:29">
      <c r="A16" s="33">
        <v>10025</v>
      </c>
      <c r="B16" s="34" t="s">
        <v>517</v>
      </c>
      <c r="C16" s="33" t="s">
        <v>232</v>
      </c>
      <c r="D16" s="34" t="s">
        <v>179</v>
      </c>
      <c r="E16" s="34" t="s">
        <v>179</v>
      </c>
      <c r="F16" s="34" t="s">
        <v>211</v>
      </c>
      <c r="G16" s="35">
        <v>1301</v>
      </c>
      <c r="H16" s="34" t="s">
        <v>305</v>
      </c>
      <c r="I16" s="13" t="e">
        <f t="shared" si="0"/>
        <v>#N/A</v>
      </c>
      <c r="J16" s="13">
        <v>5</v>
      </c>
      <c r="K16" s="13" t="str">
        <f t="shared" si="2"/>
        <v>龙麟碎霜扇+5</v>
      </c>
      <c r="L16" s="13" t="s">
        <v>304</v>
      </c>
      <c r="M16" s="13" t="str">
        <f>"["&amp;$R$1&amp;SUBSTITUTE(INDEX([1]Sheet1!$P:$P,MATCH(INT(LEFT($A16,4)),[1]Sheet1!$BN:$BN,0),1),"_actor","")&amp;"_wuqi01_01"&amp;$R$1&amp;"]"</f>
        <v>["nanzhujue_wuqi01_01"]</v>
      </c>
      <c r="N16" s="13" t="s">
        <v>133</v>
      </c>
      <c r="O16" s="13">
        <f t="shared" si="3"/>
        <v>1002</v>
      </c>
      <c r="U16" s="1">
        <v>1212</v>
      </c>
      <c r="V16" s="13">
        <f t="shared" si="4"/>
        <v>12121</v>
      </c>
      <c r="W16" s="13">
        <f t="shared" si="1"/>
        <v>12122</v>
      </c>
      <c r="X16" s="13">
        <f t="shared" si="1"/>
        <v>12123</v>
      </c>
      <c r="Y16" s="13">
        <f t="shared" si="1"/>
        <v>12124</v>
      </c>
      <c r="Z16" s="13">
        <f t="shared" si="1"/>
        <v>12125</v>
      </c>
      <c r="AB16" s="13">
        <v>5</v>
      </c>
      <c r="AC16" s="13">
        <f>INDEX($V$4:$Z$62,COUNTIFS($AB$1:$AB16,1),$AB16)</f>
        <v>10025</v>
      </c>
    </row>
    <row r="17" spans="1:29">
      <c r="A17" s="33">
        <v>10026</v>
      </c>
      <c r="B17" s="34" t="s">
        <v>517</v>
      </c>
      <c r="C17" s="33" t="s">
        <v>232</v>
      </c>
      <c r="D17" s="34" t="s">
        <v>179</v>
      </c>
      <c r="E17" s="34" t="s">
        <v>179</v>
      </c>
      <c r="F17" s="34" t="s">
        <v>211</v>
      </c>
      <c r="G17" s="35">
        <v>1301</v>
      </c>
      <c r="H17" s="34" t="s">
        <v>305</v>
      </c>
      <c r="I17" s="13" t="e">
        <f t="shared" si="0"/>
        <v>#N/A</v>
      </c>
      <c r="J17" s="13">
        <v>5</v>
      </c>
      <c r="K17" s="13" t="str">
        <f t="shared" ref="K17" si="9">IF(J17=0,$B17,B17&amp;"+"&amp;J17)</f>
        <v>龙麟碎霜扇+5</v>
      </c>
      <c r="L17" s="13" t="s">
        <v>304</v>
      </c>
      <c r="M17" s="13" t="str">
        <f>"["&amp;$R$1&amp;SUBSTITUTE(INDEX([1]Sheet1!$P:$P,MATCH(INT(LEFT($A17,4)),[1]Sheet1!$BN:$BN,0),1),"_actor","")&amp;"_wuqi01_01"&amp;$R$1&amp;"]"</f>
        <v>["nanzhujue_wuqi01_01"]</v>
      </c>
      <c r="N17" s="13" t="s">
        <v>133</v>
      </c>
      <c r="O17" s="13">
        <f t="shared" ref="O17" si="10">INT(LEFT(A17,4))</f>
        <v>1002</v>
      </c>
      <c r="U17" s="1">
        <v>1212</v>
      </c>
      <c r="V17" s="13">
        <f t="shared" si="4"/>
        <v>12121</v>
      </c>
      <c r="W17" s="13">
        <f t="shared" si="1"/>
        <v>12122</v>
      </c>
      <c r="X17" s="13">
        <f t="shared" si="1"/>
        <v>12123</v>
      </c>
      <c r="Y17" s="13">
        <f t="shared" si="1"/>
        <v>12124</v>
      </c>
      <c r="Z17" s="13">
        <f t="shared" si="1"/>
        <v>12125</v>
      </c>
      <c r="AB17" s="13">
        <v>5</v>
      </c>
      <c r="AC17" s="13">
        <f>INDEX($V$4:$Z$62,COUNTIFS($AB$1:$AB17,1),$AB17)</f>
        <v>10025</v>
      </c>
    </row>
    <row r="18" spans="1:29">
      <c r="A18" s="24">
        <v>11020</v>
      </c>
      <c r="B18" s="23" t="s">
        <v>518</v>
      </c>
      <c r="C18" s="24" t="s">
        <v>233</v>
      </c>
      <c r="D18" s="23" t="s">
        <v>21</v>
      </c>
      <c r="E18" s="23" t="s">
        <v>21</v>
      </c>
      <c r="F18" s="25" t="s">
        <v>605</v>
      </c>
      <c r="G18" s="26">
        <v>1102</v>
      </c>
      <c r="H18" s="23" t="s">
        <v>306</v>
      </c>
      <c r="I18" s="13" t="str">
        <f t="shared" si="0"/>
        <v>哪吒</v>
      </c>
      <c r="J18" s="13">
        <v>0</v>
      </c>
      <c r="K18" s="13" t="str">
        <f t="shared" si="2"/>
        <v>红莲岩泉</v>
      </c>
      <c r="L18" s="13" t="s">
        <v>518</v>
      </c>
      <c r="M18" s="13" t="str">
        <f>"["&amp;$R$1&amp;SUBSTITUTE(VLOOKUP(INT(LEFT(A18,4)),$U$77:$W$138,3,0),"_actor","")&amp;"_wuqi0"&amp;R18&amp;"_01"&amp;R1&amp;"]"</f>
        <v>["nezha_wuqi01_01"]</v>
      </c>
      <c r="N18" s="13" t="s">
        <v>138</v>
      </c>
      <c r="O18" s="13">
        <f t="shared" si="3"/>
        <v>1102</v>
      </c>
      <c r="R18" s="13">
        <v>1</v>
      </c>
      <c r="S18" s="13">
        <v>1</v>
      </c>
      <c r="T18" s="13" t="s">
        <v>134</v>
      </c>
      <c r="U18" s="1">
        <v>1219</v>
      </c>
      <c r="V18" s="13">
        <f t="shared" si="4"/>
        <v>12191</v>
      </c>
      <c r="W18" s="13">
        <f t="shared" si="1"/>
        <v>12192</v>
      </c>
      <c r="X18" s="13">
        <f t="shared" si="1"/>
        <v>12193</v>
      </c>
      <c r="Y18" s="13">
        <f t="shared" si="1"/>
        <v>12194</v>
      </c>
      <c r="Z18" s="13">
        <f t="shared" si="1"/>
        <v>12195</v>
      </c>
      <c r="AB18" s="13">
        <v>1</v>
      </c>
      <c r="AC18" s="13">
        <f>INDEX($V$4:$Z$62,COUNTIFS($AB$1:$AB18,1),$AB18)</f>
        <v>11021</v>
      </c>
    </row>
    <row r="19" spans="1:29">
      <c r="A19" s="24">
        <v>11021</v>
      </c>
      <c r="B19" s="23" t="s">
        <v>518</v>
      </c>
      <c r="C19" s="24" t="s">
        <v>234</v>
      </c>
      <c r="D19" s="23" t="s">
        <v>606</v>
      </c>
      <c r="E19" s="23" t="s">
        <v>607</v>
      </c>
      <c r="F19" s="25" t="s">
        <v>605</v>
      </c>
      <c r="G19" s="26">
        <v>1102</v>
      </c>
      <c r="H19" s="23" t="s">
        <v>307</v>
      </c>
      <c r="I19" s="13" t="str">
        <f t="shared" si="0"/>
        <v>哪吒</v>
      </c>
      <c r="J19" s="13">
        <v>1</v>
      </c>
      <c r="K19" s="13" t="str">
        <f t="shared" si="2"/>
        <v>红莲岩泉+1</v>
      </c>
      <c r="L19" s="13" t="s">
        <v>306</v>
      </c>
      <c r="M19" s="13" t="str">
        <f t="shared" ref="M19:M82" si="11">"["&amp;$R$1&amp;SUBSTITUTE(VLOOKUP(INT(LEFT(A19,4)),$U$77:$W$138,3,0),"_actor","")&amp;"_wuqi0"&amp;R19&amp;"_01"&amp;$R$1&amp;"]"</f>
        <v>["nezha_wuqi02_01"]</v>
      </c>
      <c r="N19" s="13" t="str">
        <f t="shared" ref="N19:N24" si="12">"["&amp;$R$1&amp;SUBSTITUTE(VLOOKUP(O19,$U$77:$W$138,3,0),"_actor","")&amp;"_sb"&amp;S19&amp;"_wuqi0"&amp;T19&amp;$R$1&amp;"]"</f>
        <v>["nezha_sb2_wuqi01_01"]</v>
      </c>
      <c r="O19" s="13">
        <f t="shared" si="3"/>
        <v>1102</v>
      </c>
      <c r="R19" s="13">
        <v>2</v>
      </c>
      <c r="S19" s="13">
        <v>2</v>
      </c>
      <c r="T19" s="13" t="s">
        <v>134</v>
      </c>
      <c r="U19" s="1">
        <v>1112</v>
      </c>
      <c r="V19" s="13">
        <f t="shared" si="4"/>
        <v>11121</v>
      </c>
      <c r="W19" s="13">
        <f t="shared" si="1"/>
        <v>11122</v>
      </c>
      <c r="X19" s="13">
        <f t="shared" si="1"/>
        <v>11123</v>
      </c>
      <c r="Y19" s="13">
        <f t="shared" si="1"/>
        <v>11124</v>
      </c>
      <c r="Z19" s="13">
        <f t="shared" si="1"/>
        <v>11125</v>
      </c>
      <c r="AB19" s="13">
        <v>2</v>
      </c>
      <c r="AC19" s="13">
        <f>INDEX($V$4:$Z$62,COUNTIFS($AB$1:$AB19,1),$AB19)</f>
        <v>11022</v>
      </c>
    </row>
    <row r="20" spans="1:29">
      <c r="A20" s="24">
        <v>11022</v>
      </c>
      <c r="B20" s="23" t="s">
        <v>518</v>
      </c>
      <c r="C20" s="24" t="s">
        <v>234</v>
      </c>
      <c r="D20" s="23" t="s">
        <v>127</v>
      </c>
      <c r="E20" s="23" t="s">
        <v>127</v>
      </c>
      <c r="F20" s="25" t="s">
        <v>605</v>
      </c>
      <c r="G20" s="26">
        <v>1102</v>
      </c>
      <c r="H20" s="23" t="s">
        <v>308</v>
      </c>
      <c r="I20" s="13" t="str">
        <f t="shared" si="0"/>
        <v>哪吒</v>
      </c>
      <c r="J20" s="13">
        <v>2</v>
      </c>
      <c r="K20" s="13" t="str">
        <f t="shared" si="2"/>
        <v>红莲岩泉+2</v>
      </c>
      <c r="L20" s="13" t="s">
        <v>307</v>
      </c>
      <c r="M20" s="13" t="str">
        <f t="shared" si="11"/>
        <v>["nezha_wuqi02_01"]</v>
      </c>
      <c r="N20" s="13" t="str">
        <f t="shared" si="12"/>
        <v>["nezha_sb3_wuqi02_01"]</v>
      </c>
      <c r="O20" s="13">
        <f t="shared" si="3"/>
        <v>1102</v>
      </c>
      <c r="R20" s="13">
        <v>2</v>
      </c>
      <c r="S20" s="13">
        <v>3</v>
      </c>
      <c r="T20" s="13" t="s">
        <v>135</v>
      </c>
      <c r="U20" s="1">
        <v>1119</v>
      </c>
      <c r="V20" s="13">
        <f t="shared" si="4"/>
        <v>11191</v>
      </c>
      <c r="W20" s="13">
        <f t="shared" si="1"/>
        <v>11192</v>
      </c>
      <c r="X20" s="13">
        <f t="shared" si="1"/>
        <v>11193</v>
      </c>
      <c r="Y20" s="13">
        <f t="shared" si="1"/>
        <v>11194</v>
      </c>
      <c r="Z20" s="13">
        <f t="shared" si="1"/>
        <v>11195</v>
      </c>
      <c r="AB20" s="13">
        <v>3</v>
      </c>
      <c r="AC20" s="13">
        <f>INDEX($V$4:$Z$62,COUNTIFS($AB$1:$AB20,1),$AB20)</f>
        <v>11023</v>
      </c>
    </row>
    <row r="21" spans="1:29">
      <c r="A21" s="24">
        <v>11023</v>
      </c>
      <c r="B21" s="23" t="s">
        <v>518</v>
      </c>
      <c r="C21" s="24" t="s">
        <v>234</v>
      </c>
      <c r="D21" s="23" t="s">
        <v>128</v>
      </c>
      <c r="E21" s="23" t="s">
        <v>128</v>
      </c>
      <c r="F21" s="25" t="s">
        <v>605</v>
      </c>
      <c r="G21" s="26">
        <v>1102</v>
      </c>
      <c r="H21" s="23" t="s">
        <v>309</v>
      </c>
      <c r="I21" s="13" t="str">
        <f t="shared" si="0"/>
        <v>哪吒</v>
      </c>
      <c r="J21" s="13">
        <v>3</v>
      </c>
      <c r="K21" s="13" t="str">
        <f t="shared" si="2"/>
        <v>红莲岩泉+3</v>
      </c>
      <c r="L21" s="13" t="s">
        <v>308</v>
      </c>
      <c r="M21" s="13" t="str">
        <f t="shared" si="11"/>
        <v>["nezha_wuqi02_01"]</v>
      </c>
      <c r="N21" s="13" t="str">
        <f t="shared" si="12"/>
        <v>["nezha_sb4_wuqi02_01"]</v>
      </c>
      <c r="O21" s="13">
        <f t="shared" si="3"/>
        <v>1102</v>
      </c>
      <c r="R21" s="13">
        <v>2</v>
      </c>
      <c r="S21" s="13">
        <v>4</v>
      </c>
      <c r="T21" s="13" t="s">
        <v>135</v>
      </c>
      <c r="U21" s="1">
        <v>1105</v>
      </c>
      <c r="V21" s="13">
        <f t="shared" si="4"/>
        <v>11051</v>
      </c>
      <c r="W21" s="13">
        <f t="shared" si="1"/>
        <v>11052</v>
      </c>
      <c r="X21" s="13">
        <f t="shared" si="1"/>
        <v>11053</v>
      </c>
      <c r="Y21" s="13">
        <f t="shared" si="1"/>
        <v>11054</v>
      </c>
      <c r="Z21" s="13">
        <f t="shared" si="1"/>
        <v>11055</v>
      </c>
      <c r="AB21" s="13">
        <v>4</v>
      </c>
      <c r="AC21" s="13">
        <f>INDEX($V$4:$Z$62,COUNTIFS($AB$1:$AB21,1),$AB21)</f>
        <v>11024</v>
      </c>
    </row>
    <row r="22" spans="1:29">
      <c r="A22" s="24">
        <v>11024</v>
      </c>
      <c r="B22" s="23" t="s">
        <v>518</v>
      </c>
      <c r="C22" s="24" t="s">
        <v>234</v>
      </c>
      <c r="D22" s="23" t="s">
        <v>129</v>
      </c>
      <c r="E22" s="23" t="s">
        <v>129</v>
      </c>
      <c r="F22" s="25" t="s">
        <v>605</v>
      </c>
      <c r="G22" s="26">
        <v>1102</v>
      </c>
      <c r="H22" s="23" t="s">
        <v>310</v>
      </c>
      <c r="I22" s="13" t="str">
        <f t="shared" si="0"/>
        <v>哪吒</v>
      </c>
      <c r="J22" s="13">
        <v>4</v>
      </c>
      <c r="K22" s="13" t="str">
        <f t="shared" si="2"/>
        <v>红莲岩泉+4</v>
      </c>
      <c r="L22" s="13" t="s">
        <v>309</v>
      </c>
      <c r="M22" s="13" t="str">
        <f t="shared" si="11"/>
        <v>["nezha_wuqi02_01"]</v>
      </c>
      <c r="N22" s="13" t="str">
        <f t="shared" si="12"/>
        <v>["nezha_sb5_wuqi03_01"]</v>
      </c>
      <c r="O22" s="13">
        <f t="shared" si="3"/>
        <v>1102</v>
      </c>
      <c r="R22" s="13">
        <v>2</v>
      </c>
      <c r="S22" s="13">
        <v>5</v>
      </c>
      <c r="T22" s="13" t="s">
        <v>136</v>
      </c>
      <c r="U22" s="1">
        <v>1218</v>
      </c>
      <c r="V22" s="13">
        <f t="shared" si="4"/>
        <v>12181</v>
      </c>
      <c r="W22" s="13">
        <f t="shared" si="1"/>
        <v>12182</v>
      </c>
      <c r="X22" s="13">
        <f t="shared" si="1"/>
        <v>12183</v>
      </c>
      <c r="Y22" s="13">
        <f t="shared" si="1"/>
        <v>12184</v>
      </c>
      <c r="Z22" s="13">
        <f t="shared" si="1"/>
        <v>12185</v>
      </c>
      <c r="AB22" s="13">
        <v>5</v>
      </c>
      <c r="AC22" s="13">
        <f>INDEX($V$4:$Z$62,COUNTIFS($AB$1:$AB22,1),$AB22)</f>
        <v>11025</v>
      </c>
    </row>
    <row r="23" spans="1:29">
      <c r="A23" s="24">
        <v>11025</v>
      </c>
      <c r="B23" s="23" t="s">
        <v>518</v>
      </c>
      <c r="C23" s="24" t="s">
        <v>234</v>
      </c>
      <c r="D23" s="23" t="s">
        <v>129</v>
      </c>
      <c r="E23" s="23" t="s">
        <v>129</v>
      </c>
      <c r="F23" s="25" t="s">
        <v>212</v>
      </c>
      <c r="G23" s="26">
        <v>1102</v>
      </c>
      <c r="H23" s="23" t="s">
        <v>310</v>
      </c>
      <c r="I23" s="13" t="str">
        <f t="shared" si="0"/>
        <v>哪吒</v>
      </c>
      <c r="J23" s="13">
        <v>5</v>
      </c>
      <c r="K23" s="13" t="str">
        <f t="shared" si="2"/>
        <v>红莲岩泉+5</v>
      </c>
      <c r="L23" s="13" t="s">
        <v>309</v>
      </c>
      <c r="M23" s="13" t="str">
        <f t="shared" si="11"/>
        <v>["nezha_wuqi02_01"]</v>
      </c>
      <c r="N23" s="13" t="str">
        <f t="shared" si="12"/>
        <v>["nezha_sb5_wuqi03_01"]</v>
      </c>
      <c r="O23" s="13">
        <f t="shared" si="3"/>
        <v>1102</v>
      </c>
      <c r="R23" s="13">
        <v>2</v>
      </c>
      <c r="S23" s="13">
        <v>5</v>
      </c>
      <c r="T23" s="13" t="s">
        <v>136</v>
      </c>
      <c r="U23" s="1">
        <v>1218</v>
      </c>
      <c r="V23" s="13">
        <f t="shared" si="4"/>
        <v>12181</v>
      </c>
      <c r="W23" s="13">
        <f t="shared" si="1"/>
        <v>12182</v>
      </c>
      <c r="X23" s="13">
        <f t="shared" si="1"/>
        <v>12183</v>
      </c>
      <c r="Y23" s="13">
        <f t="shared" si="1"/>
        <v>12184</v>
      </c>
      <c r="Z23" s="13">
        <f t="shared" si="1"/>
        <v>12185</v>
      </c>
      <c r="AB23" s="13">
        <v>5</v>
      </c>
      <c r="AC23" s="13">
        <f>INDEX($V$4:$Z$62,COUNTIFS($AB$1:$AB23,1),$AB23)</f>
        <v>11025</v>
      </c>
    </row>
    <row r="24" spans="1:29">
      <c r="A24" s="24">
        <v>11026</v>
      </c>
      <c r="B24" s="23" t="s">
        <v>518</v>
      </c>
      <c r="C24" s="24" t="s">
        <v>234</v>
      </c>
      <c r="D24" s="23" t="s">
        <v>129</v>
      </c>
      <c r="E24" s="23" t="s">
        <v>129</v>
      </c>
      <c r="F24" s="25" t="s">
        <v>605</v>
      </c>
      <c r="G24" s="26">
        <v>1102</v>
      </c>
      <c r="H24" s="23" t="s">
        <v>310</v>
      </c>
      <c r="I24" s="13" t="str">
        <f t="shared" si="0"/>
        <v>哪吒</v>
      </c>
      <c r="J24" s="13">
        <v>5</v>
      </c>
      <c r="K24" s="13" t="str">
        <f t="shared" ref="K24" si="13">IF(J24=0,$B24,B24&amp;"+"&amp;J24)</f>
        <v>红莲岩泉+5</v>
      </c>
      <c r="L24" s="13" t="s">
        <v>309</v>
      </c>
      <c r="M24" s="13" t="str">
        <f t="shared" si="11"/>
        <v>["nezha_wuqi02_01"]</v>
      </c>
      <c r="N24" s="13" t="str">
        <f t="shared" si="12"/>
        <v>["nezha_sb5_wuqi03_01"]</v>
      </c>
      <c r="O24" s="13">
        <f t="shared" ref="O24" si="14">INT(LEFT(A24,4))</f>
        <v>1102</v>
      </c>
      <c r="R24" s="13">
        <v>2</v>
      </c>
      <c r="S24" s="13">
        <v>5</v>
      </c>
      <c r="T24" s="13" t="s">
        <v>136</v>
      </c>
      <c r="U24" s="1">
        <v>1218</v>
      </c>
      <c r="V24" s="13">
        <f t="shared" si="4"/>
        <v>12181</v>
      </c>
      <c r="W24" s="13">
        <f t="shared" si="1"/>
        <v>12182</v>
      </c>
      <c r="X24" s="13">
        <f t="shared" si="1"/>
        <v>12183</v>
      </c>
      <c r="Y24" s="13">
        <f t="shared" si="1"/>
        <v>12184</v>
      </c>
      <c r="Z24" s="13">
        <f t="shared" si="1"/>
        <v>12185</v>
      </c>
      <c r="AB24" s="13">
        <v>5</v>
      </c>
      <c r="AC24" s="13">
        <f>INDEX($V$4:$Z$62,COUNTIFS($AB$1:$AB24,1),$AB24)</f>
        <v>11025</v>
      </c>
    </row>
    <row r="25" spans="1:29">
      <c r="A25" s="33">
        <v>12110</v>
      </c>
      <c r="B25" s="34" t="s">
        <v>519</v>
      </c>
      <c r="C25" s="33" t="s">
        <v>235</v>
      </c>
      <c r="D25" s="34" t="s">
        <v>608</v>
      </c>
      <c r="E25" s="34" t="s">
        <v>608</v>
      </c>
      <c r="F25" s="34" t="s">
        <v>609</v>
      </c>
      <c r="G25" s="35">
        <v>1211</v>
      </c>
      <c r="H25" s="34" t="s">
        <v>311</v>
      </c>
      <c r="I25" s="13" t="str">
        <f t="shared" si="0"/>
        <v>斗战胜佛</v>
      </c>
      <c r="J25" s="13">
        <v>0</v>
      </c>
      <c r="K25" s="13" t="str">
        <f t="shared" si="2"/>
        <v>斗神镇狱棒</v>
      </c>
      <c r="L25" s="13" t="s">
        <v>519</v>
      </c>
      <c r="M25" s="13" t="str">
        <f t="shared" si="11"/>
        <v>["douzhanshengfo_wuqi01_01"]</v>
      </c>
      <c r="N25" s="13" t="s">
        <v>138</v>
      </c>
      <c r="O25" s="13">
        <f t="shared" si="3"/>
        <v>1211</v>
      </c>
      <c r="R25" s="13">
        <v>1</v>
      </c>
      <c r="S25" s="13">
        <v>1</v>
      </c>
      <c r="T25" s="13" t="s">
        <v>134</v>
      </c>
      <c r="U25" s="1">
        <v>1124</v>
      </c>
      <c r="V25" s="13">
        <f t="shared" si="4"/>
        <v>11241</v>
      </c>
      <c r="W25" s="13">
        <f t="shared" si="1"/>
        <v>11242</v>
      </c>
      <c r="X25" s="13">
        <f t="shared" si="1"/>
        <v>11243</v>
      </c>
      <c r="Y25" s="13">
        <f t="shared" si="1"/>
        <v>11244</v>
      </c>
      <c r="Z25" s="13">
        <f t="shared" si="1"/>
        <v>11245</v>
      </c>
      <c r="AB25" s="13">
        <v>1</v>
      </c>
      <c r="AC25" s="13">
        <f>INDEX($V$4:$Z$62,COUNTIFS($AB$1:$AB25,1),$AB25)</f>
        <v>12111</v>
      </c>
    </row>
    <row r="26" spans="1:29">
      <c r="A26" s="33">
        <v>12111</v>
      </c>
      <c r="B26" s="34" t="s">
        <v>519</v>
      </c>
      <c r="C26" s="33" t="s">
        <v>236</v>
      </c>
      <c r="D26" s="34" t="s">
        <v>130</v>
      </c>
      <c r="E26" s="34" t="s">
        <v>130</v>
      </c>
      <c r="F26" s="34" t="s">
        <v>609</v>
      </c>
      <c r="G26" s="35">
        <v>1211</v>
      </c>
      <c r="H26" s="34" t="s">
        <v>312</v>
      </c>
      <c r="I26" s="13" t="str">
        <f t="shared" si="0"/>
        <v>斗战胜佛</v>
      </c>
      <c r="J26" s="13">
        <v>1</v>
      </c>
      <c r="K26" s="13" t="str">
        <f t="shared" si="2"/>
        <v>斗神镇狱棒+1</v>
      </c>
      <c r="L26" s="13" t="s">
        <v>311</v>
      </c>
      <c r="M26" s="13" t="str">
        <f t="shared" si="11"/>
        <v>["douzhanshengfo_wuqi02_01"]</v>
      </c>
      <c r="N26" s="13" t="str">
        <f t="shared" ref="N26:N31" si="15">"["&amp;$R$1&amp;SUBSTITUTE(VLOOKUP(O26,$U$77:$W$138,3,0),"_actor","")&amp;"_sb"&amp;S26&amp;"_wuqi0"&amp;T26&amp;$R$1&amp;"]"</f>
        <v>["douzhanshengfo_sb2_wuqi01_01"]</v>
      </c>
      <c r="O26" s="13">
        <f t="shared" si="3"/>
        <v>1211</v>
      </c>
      <c r="R26" s="13">
        <v>2</v>
      </c>
      <c r="S26" s="13">
        <v>2</v>
      </c>
      <c r="T26" s="13" t="s">
        <v>134</v>
      </c>
      <c r="U26" s="14">
        <v>1126</v>
      </c>
      <c r="V26" s="13">
        <f t="shared" si="4"/>
        <v>11261</v>
      </c>
      <c r="W26" s="13">
        <f t="shared" si="4"/>
        <v>11262</v>
      </c>
      <c r="X26" s="13">
        <f t="shared" si="4"/>
        <v>11263</v>
      </c>
      <c r="Y26" s="13">
        <f t="shared" si="4"/>
        <v>11264</v>
      </c>
      <c r="Z26" s="13">
        <f t="shared" si="4"/>
        <v>11265</v>
      </c>
      <c r="AB26" s="13">
        <v>2</v>
      </c>
      <c r="AC26" s="13">
        <f>INDEX($V$4:$Z$62,COUNTIFS($AB$1:$AB26,1),$AB26)</f>
        <v>12112</v>
      </c>
    </row>
    <row r="27" spans="1:29">
      <c r="A27" s="33">
        <v>12112</v>
      </c>
      <c r="B27" s="34" t="s">
        <v>519</v>
      </c>
      <c r="C27" s="33" t="s">
        <v>236</v>
      </c>
      <c r="D27" s="34" t="s">
        <v>139</v>
      </c>
      <c r="E27" s="34" t="s">
        <v>139</v>
      </c>
      <c r="F27" s="34" t="s">
        <v>609</v>
      </c>
      <c r="G27" s="35">
        <v>1211</v>
      </c>
      <c r="H27" s="34" t="s">
        <v>313</v>
      </c>
      <c r="I27" s="13" t="str">
        <f t="shared" si="0"/>
        <v>斗战胜佛</v>
      </c>
      <c r="J27" s="13">
        <v>2</v>
      </c>
      <c r="K27" s="13" t="str">
        <f t="shared" si="2"/>
        <v>斗神镇狱棒+2</v>
      </c>
      <c r="L27" s="13" t="s">
        <v>312</v>
      </c>
      <c r="M27" s="13" t="str">
        <f t="shared" si="11"/>
        <v>["douzhanshengfo_wuqi02_01"]</v>
      </c>
      <c r="N27" s="13" t="str">
        <f t="shared" si="15"/>
        <v>["douzhanshengfo_sb3_wuqi02_01"]</v>
      </c>
      <c r="O27" s="13">
        <f t="shared" si="3"/>
        <v>1211</v>
      </c>
      <c r="R27" s="13">
        <v>2</v>
      </c>
      <c r="S27" s="13">
        <v>3</v>
      </c>
      <c r="T27" s="13" t="s">
        <v>135</v>
      </c>
      <c r="U27" s="14">
        <v>1213</v>
      </c>
      <c r="V27" s="13">
        <f t="shared" si="4"/>
        <v>12131</v>
      </c>
      <c r="W27" s="13">
        <f t="shared" si="4"/>
        <v>12132</v>
      </c>
      <c r="X27" s="13">
        <f t="shared" si="4"/>
        <v>12133</v>
      </c>
      <c r="Y27" s="13">
        <f t="shared" si="4"/>
        <v>12134</v>
      </c>
      <c r="Z27" s="13">
        <f t="shared" si="4"/>
        <v>12135</v>
      </c>
      <c r="AB27" s="13">
        <v>3</v>
      </c>
      <c r="AC27" s="13">
        <f>INDEX($V$4:$Z$62,COUNTIFS($AB$1:$AB27,1),$AB27)</f>
        <v>12113</v>
      </c>
    </row>
    <row r="28" spans="1:29">
      <c r="A28" s="33">
        <v>12113</v>
      </c>
      <c r="B28" s="34" t="s">
        <v>519</v>
      </c>
      <c r="C28" s="33" t="s">
        <v>236</v>
      </c>
      <c r="D28" s="34" t="s">
        <v>610</v>
      </c>
      <c r="E28" s="34" t="s">
        <v>610</v>
      </c>
      <c r="F28" s="34" t="s">
        <v>609</v>
      </c>
      <c r="G28" s="35">
        <v>1211</v>
      </c>
      <c r="H28" s="34" t="s">
        <v>314</v>
      </c>
      <c r="I28" s="13" t="str">
        <f t="shared" si="0"/>
        <v>斗战胜佛</v>
      </c>
      <c r="J28" s="13">
        <v>3</v>
      </c>
      <c r="K28" s="13" t="str">
        <f t="shared" si="2"/>
        <v>斗神镇狱棒+3</v>
      </c>
      <c r="L28" s="13" t="s">
        <v>313</v>
      </c>
      <c r="M28" s="13" t="str">
        <f t="shared" si="11"/>
        <v>["douzhanshengfo_wuqi02_01"]</v>
      </c>
      <c r="N28" s="13" t="str">
        <f t="shared" si="15"/>
        <v>["douzhanshengfo_sb4_wuqi02_01"]</v>
      </c>
      <c r="O28" s="13">
        <f t="shared" si="3"/>
        <v>1211</v>
      </c>
      <c r="R28" s="13">
        <v>2</v>
      </c>
      <c r="S28" s="13">
        <v>4</v>
      </c>
      <c r="T28" s="13" t="s">
        <v>135</v>
      </c>
      <c r="U28" s="14">
        <v>1214</v>
      </c>
      <c r="V28" s="13">
        <f t="shared" si="4"/>
        <v>12141</v>
      </c>
      <c r="W28" s="13">
        <f t="shared" si="4"/>
        <v>12142</v>
      </c>
      <c r="X28" s="13">
        <f t="shared" si="4"/>
        <v>12143</v>
      </c>
      <c r="Y28" s="13">
        <f t="shared" si="4"/>
        <v>12144</v>
      </c>
      <c r="Z28" s="13">
        <f t="shared" si="4"/>
        <v>12145</v>
      </c>
      <c r="AB28" s="13">
        <v>4</v>
      </c>
      <c r="AC28" s="13">
        <f>INDEX($V$4:$Z$62,COUNTIFS($AB$1:$AB28,1),$AB28)</f>
        <v>12114</v>
      </c>
    </row>
    <row r="29" spans="1:29">
      <c r="A29" s="33">
        <v>12114</v>
      </c>
      <c r="B29" s="34" t="s">
        <v>519</v>
      </c>
      <c r="C29" s="33" t="s">
        <v>236</v>
      </c>
      <c r="D29" s="34" t="s">
        <v>611</v>
      </c>
      <c r="E29" s="34" t="s">
        <v>611</v>
      </c>
      <c r="F29" s="34" t="s">
        <v>612</v>
      </c>
      <c r="G29" s="35">
        <v>1211</v>
      </c>
      <c r="H29" s="34" t="s">
        <v>315</v>
      </c>
      <c r="I29" s="13" t="str">
        <f t="shared" si="0"/>
        <v>斗战胜佛</v>
      </c>
      <c r="J29" s="13">
        <v>4</v>
      </c>
      <c r="K29" s="13" t="str">
        <f t="shared" si="2"/>
        <v>斗神镇狱棒+4</v>
      </c>
      <c r="L29" s="13" t="s">
        <v>314</v>
      </c>
      <c r="M29" s="13" t="str">
        <f t="shared" si="11"/>
        <v>["douzhanshengfo_wuqi02_01"]</v>
      </c>
      <c r="N29" s="13" t="str">
        <f t="shared" si="15"/>
        <v>["douzhanshengfo_sb5_wuqi03_01"]</v>
      </c>
      <c r="O29" s="13">
        <f t="shared" si="3"/>
        <v>1211</v>
      </c>
      <c r="R29" s="13">
        <v>2</v>
      </c>
      <c r="S29" s="13">
        <v>5</v>
      </c>
      <c r="T29" s="13" t="s">
        <v>136</v>
      </c>
      <c r="U29" s="14">
        <v>1103</v>
      </c>
      <c r="V29" s="13">
        <f t="shared" si="4"/>
        <v>11031</v>
      </c>
      <c r="W29" s="13">
        <f t="shared" si="4"/>
        <v>11032</v>
      </c>
      <c r="X29" s="13">
        <f t="shared" si="4"/>
        <v>11033</v>
      </c>
      <c r="Y29" s="13">
        <f t="shared" si="4"/>
        <v>11034</v>
      </c>
      <c r="Z29" s="13">
        <f t="shared" si="4"/>
        <v>11035</v>
      </c>
      <c r="AB29" s="13">
        <v>5</v>
      </c>
      <c r="AC29" s="13">
        <f>INDEX($V$4:$Z$62,COUNTIFS($AB$1:$AB29,1),$AB29)</f>
        <v>12115</v>
      </c>
    </row>
    <row r="30" spans="1:29">
      <c r="A30" s="33">
        <v>12115</v>
      </c>
      <c r="B30" s="34" t="s">
        <v>519</v>
      </c>
      <c r="C30" s="33" t="s">
        <v>236</v>
      </c>
      <c r="D30" s="34" t="s">
        <v>613</v>
      </c>
      <c r="E30" s="34" t="s">
        <v>614</v>
      </c>
      <c r="F30" s="34" t="s">
        <v>213</v>
      </c>
      <c r="G30" s="35">
        <v>1211</v>
      </c>
      <c r="H30" s="34" t="s">
        <v>315</v>
      </c>
      <c r="I30" s="13" t="str">
        <f t="shared" si="0"/>
        <v>斗战胜佛</v>
      </c>
      <c r="J30" s="13">
        <v>5</v>
      </c>
      <c r="K30" s="13" t="str">
        <f t="shared" si="2"/>
        <v>斗神镇狱棒+5</v>
      </c>
      <c r="L30" s="13" t="s">
        <v>314</v>
      </c>
      <c r="M30" s="13" t="str">
        <f t="shared" si="11"/>
        <v>["douzhanshengfo_wuqi02_01"]</v>
      </c>
      <c r="N30" s="13" t="str">
        <f t="shared" si="15"/>
        <v>["douzhanshengfo_sb5_wuqi03_01"]</v>
      </c>
      <c r="O30" s="13">
        <f t="shared" si="3"/>
        <v>1211</v>
      </c>
      <c r="R30" s="13">
        <v>2</v>
      </c>
      <c r="S30" s="13">
        <v>5</v>
      </c>
      <c r="T30" s="13" t="s">
        <v>136</v>
      </c>
      <c r="U30" s="14">
        <v>1103</v>
      </c>
      <c r="V30" s="13">
        <f t="shared" si="4"/>
        <v>11031</v>
      </c>
      <c r="W30" s="13">
        <f t="shared" si="4"/>
        <v>11032</v>
      </c>
      <c r="X30" s="13">
        <f t="shared" si="4"/>
        <v>11033</v>
      </c>
      <c r="Y30" s="13">
        <f t="shared" si="4"/>
        <v>11034</v>
      </c>
      <c r="Z30" s="13">
        <f t="shared" si="4"/>
        <v>11035</v>
      </c>
      <c r="AB30" s="13">
        <v>5</v>
      </c>
      <c r="AC30" s="13">
        <f>INDEX($V$4:$Z$62,COUNTIFS($AB$1:$AB30,1),$AB30)</f>
        <v>12115</v>
      </c>
    </row>
    <row r="31" spans="1:29">
      <c r="A31" s="33">
        <v>12116</v>
      </c>
      <c r="B31" s="34" t="s">
        <v>519</v>
      </c>
      <c r="C31" s="33" t="s">
        <v>236</v>
      </c>
      <c r="D31" s="34" t="s">
        <v>613</v>
      </c>
      <c r="E31" s="34" t="s">
        <v>614</v>
      </c>
      <c r="F31" s="34" t="s">
        <v>612</v>
      </c>
      <c r="G31" s="35">
        <v>1211</v>
      </c>
      <c r="H31" s="34" t="s">
        <v>315</v>
      </c>
      <c r="I31" s="13" t="str">
        <f t="shared" si="0"/>
        <v>斗战胜佛</v>
      </c>
      <c r="J31" s="13">
        <v>5</v>
      </c>
      <c r="K31" s="13" t="str">
        <f t="shared" ref="K31" si="16">IF(J31=0,$B31,B31&amp;"+"&amp;J31)</f>
        <v>斗神镇狱棒+5</v>
      </c>
      <c r="L31" s="13" t="s">
        <v>314</v>
      </c>
      <c r="M31" s="13" t="str">
        <f t="shared" si="11"/>
        <v>["douzhanshengfo_wuqi02_01"]</v>
      </c>
      <c r="N31" s="13" t="str">
        <f t="shared" si="15"/>
        <v>["douzhanshengfo_sb5_wuqi03_01"]</v>
      </c>
      <c r="O31" s="13">
        <f t="shared" ref="O31" si="17">INT(LEFT(A31,4))</f>
        <v>1211</v>
      </c>
      <c r="R31" s="13">
        <v>2</v>
      </c>
      <c r="S31" s="13">
        <v>5</v>
      </c>
      <c r="T31" s="13" t="s">
        <v>136</v>
      </c>
      <c r="U31" s="14">
        <v>1103</v>
      </c>
      <c r="V31" s="13">
        <f t="shared" si="4"/>
        <v>11031</v>
      </c>
      <c r="W31" s="13">
        <f t="shared" si="4"/>
        <v>11032</v>
      </c>
      <c r="X31" s="13">
        <f t="shared" si="4"/>
        <v>11033</v>
      </c>
      <c r="Y31" s="13">
        <f t="shared" si="4"/>
        <v>11034</v>
      </c>
      <c r="Z31" s="13">
        <f t="shared" si="4"/>
        <v>11035</v>
      </c>
      <c r="AB31" s="13">
        <v>5</v>
      </c>
      <c r="AC31" s="13">
        <f>INDEX($V$4:$Z$62,COUNTIFS($AB$1:$AB31,1),$AB31)</f>
        <v>12115</v>
      </c>
    </row>
    <row r="32" spans="1:29">
      <c r="A32" s="24">
        <v>11010</v>
      </c>
      <c r="B32" s="23" t="s">
        <v>520</v>
      </c>
      <c r="C32" s="24" t="s">
        <v>237</v>
      </c>
      <c r="D32" s="23" t="s">
        <v>21</v>
      </c>
      <c r="E32" s="23" t="s">
        <v>21</v>
      </c>
      <c r="F32" s="25" t="s">
        <v>615</v>
      </c>
      <c r="G32" s="26">
        <v>1101</v>
      </c>
      <c r="H32" s="23" t="s">
        <v>316</v>
      </c>
      <c r="I32" s="13" t="str">
        <f t="shared" si="0"/>
        <v>二郎神</v>
      </c>
      <c r="J32" s="13">
        <v>0</v>
      </c>
      <c r="K32" s="13" t="str">
        <f t="shared" si="2"/>
        <v>三尖两刃刀</v>
      </c>
      <c r="L32" s="13" t="s">
        <v>520</v>
      </c>
      <c r="M32" s="13" t="str">
        <f t="shared" si="11"/>
        <v>["erlangshen_wuqi01_01"]</v>
      </c>
      <c r="N32" s="13" t="s">
        <v>138</v>
      </c>
      <c r="O32" s="13">
        <f t="shared" si="3"/>
        <v>1101</v>
      </c>
      <c r="R32" s="13">
        <v>1</v>
      </c>
      <c r="S32" s="13">
        <v>1</v>
      </c>
      <c r="T32" s="13" t="s">
        <v>134</v>
      </c>
      <c r="U32" s="1">
        <v>1109</v>
      </c>
      <c r="V32" s="13">
        <f t="shared" si="4"/>
        <v>11091</v>
      </c>
      <c r="W32" s="13">
        <f t="shared" si="4"/>
        <v>11092</v>
      </c>
      <c r="X32" s="13">
        <f t="shared" si="4"/>
        <v>11093</v>
      </c>
      <c r="Y32" s="13">
        <f t="shared" si="4"/>
        <v>11094</v>
      </c>
      <c r="Z32" s="13">
        <f t="shared" si="4"/>
        <v>11095</v>
      </c>
      <c r="AB32" s="13">
        <v>1</v>
      </c>
      <c r="AC32" s="13">
        <f>INDEX($V$4:$Z$62,COUNTIFS($AB$1:$AB32,1),$AB32)</f>
        <v>11011</v>
      </c>
    </row>
    <row r="33" spans="1:29">
      <c r="A33" s="24">
        <v>11011</v>
      </c>
      <c r="B33" s="23" t="s">
        <v>520</v>
      </c>
      <c r="C33" s="24" t="s">
        <v>238</v>
      </c>
      <c r="D33" s="23" t="s">
        <v>616</v>
      </c>
      <c r="E33" s="23" t="s">
        <v>616</v>
      </c>
      <c r="F33" s="25" t="s">
        <v>617</v>
      </c>
      <c r="G33" s="26">
        <v>1101</v>
      </c>
      <c r="H33" s="23" t="s">
        <v>317</v>
      </c>
      <c r="I33" s="13" t="str">
        <f t="shared" si="0"/>
        <v>二郎神</v>
      </c>
      <c r="J33" s="13">
        <v>1</v>
      </c>
      <c r="K33" s="13" t="str">
        <f t="shared" si="2"/>
        <v>三尖两刃刀+1</v>
      </c>
      <c r="L33" s="13" t="s">
        <v>316</v>
      </c>
      <c r="M33" s="13" t="str">
        <f t="shared" si="11"/>
        <v>["erlangshen_wuqi02_01"]</v>
      </c>
      <c r="N33" s="13" t="str">
        <f t="shared" ref="N33:N38" si="18">"["&amp;$R$1&amp;SUBSTITUTE(VLOOKUP(O33,$U$77:$W$138,3,0),"_actor","")&amp;"_sb"&amp;S33&amp;"_wuqi0"&amp;T33&amp;$R$1&amp;"]"</f>
        <v>["erlangshen_sb2_wuqi01_01"]</v>
      </c>
      <c r="O33" s="13">
        <f t="shared" si="3"/>
        <v>1101</v>
      </c>
      <c r="R33" s="13">
        <v>2</v>
      </c>
      <c r="S33" s="13">
        <v>2</v>
      </c>
      <c r="T33" s="13" t="s">
        <v>134</v>
      </c>
      <c r="U33" s="1">
        <v>1111</v>
      </c>
      <c r="V33" s="13">
        <f t="shared" si="4"/>
        <v>11111</v>
      </c>
      <c r="W33" s="13">
        <f t="shared" si="4"/>
        <v>11112</v>
      </c>
      <c r="X33" s="13">
        <f t="shared" si="4"/>
        <v>11113</v>
      </c>
      <c r="Y33" s="13">
        <f t="shared" si="4"/>
        <v>11114</v>
      </c>
      <c r="Z33" s="13">
        <f t="shared" si="4"/>
        <v>11115</v>
      </c>
      <c r="AB33" s="13">
        <v>2</v>
      </c>
      <c r="AC33" s="13">
        <f>INDEX($V$4:$Z$62,COUNTIFS($AB$1:$AB33,1),$AB33)</f>
        <v>11012</v>
      </c>
    </row>
    <row r="34" spans="1:29">
      <c r="A34" s="24">
        <v>11012</v>
      </c>
      <c r="B34" s="23" t="s">
        <v>520</v>
      </c>
      <c r="C34" s="24" t="s">
        <v>238</v>
      </c>
      <c r="D34" s="23" t="s">
        <v>140</v>
      </c>
      <c r="E34" s="23" t="s">
        <v>140</v>
      </c>
      <c r="F34" s="25" t="s">
        <v>618</v>
      </c>
      <c r="G34" s="26">
        <v>1101</v>
      </c>
      <c r="H34" s="23" t="s">
        <v>318</v>
      </c>
      <c r="I34" s="13" t="str">
        <f t="shared" si="0"/>
        <v>二郎神</v>
      </c>
      <c r="J34" s="13">
        <v>2</v>
      </c>
      <c r="K34" s="13" t="str">
        <f t="shared" si="2"/>
        <v>三尖两刃刀+2</v>
      </c>
      <c r="L34" s="13" t="s">
        <v>317</v>
      </c>
      <c r="M34" s="13" t="str">
        <f t="shared" si="11"/>
        <v>["erlangshen_wuqi02_01"]</v>
      </c>
      <c r="N34" s="13" t="str">
        <f t="shared" si="18"/>
        <v>["erlangshen_sb3_wuqi02_01"]</v>
      </c>
      <c r="O34" s="13">
        <f t="shared" si="3"/>
        <v>1101</v>
      </c>
      <c r="R34" s="13">
        <v>2</v>
      </c>
      <c r="S34" s="13">
        <v>3</v>
      </c>
      <c r="T34" s="13" t="s">
        <v>135</v>
      </c>
      <c r="U34" s="1">
        <v>1116</v>
      </c>
      <c r="V34" s="13">
        <f t="shared" si="4"/>
        <v>11161</v>
      </c>
      <c r="W34" s="13">
        <f t="shared" si="4"/>
        <v>11162</v>
      </c>
      <c r="X34" s="13">
        <f t="shared" si="4"/>
        <v>11163</v>
      </c>
      <c r="Y34" s="13">
        <f t="shared" si="4"/>
        <v>11164</v>
      </c>
      <c r="Z34" s="13">
        <f t="shared" si="4"/>
        <v>11165</v>
      </c>
      <c r="AB34" s="13">
        <v>3</v>
      </c>
      <c r="AC34" s="13">
        <f>INDEX($V$4:$Z$62,COUNTIFS($AB$1:$AB34,1),$AB34)</f>
        <v>11013</v>
      </c>
    </row>
    <row r="35" spans="1:29">
      <c r="A35" s="24">
        <v>11013</v>
      </c>
      <c r="B35" s="23" t="s">
        <v>520</v>
      </c>
      <c r="C35" s="24" t="s">
        <v>238</v>
      </c>
      <c r="D35" s="23" t="s">
        <v>141</v>
      </c>
      <c r="E35" s="23" t="s">
        <v>141</v>
      </c>
      <c r="F35" s="25" t="s">
        <v>619</v>
      </c>
      <c r="G35" s="26">
        <v>1101</v>
      </c>
      <c r="H35" s="23" t="s">
        <v>319</v>
      </c>
      <c r="I35" s="13" t="str">
        <f t="shared" si="0"/>
        <v>二郎神</v>
      </c>
      <c r="J35" s="13">
        <v>3</v>
      </c>
      <c r="K35" s="13" t="str">
        <f t="shared" si="2"/>
        <v>三尖两刃刀+3</v>
      </c>
      <c r="L35" s="13" t="s">
        <v>318</v>
      </c>
      <c r="M35" s="13" t="str">
        <f t="shared" si="11"/>
        <v>["erlangshen_wuqi02_01"]</v>
      </c>
      <c r="N35" s="13" t="str">
        <f t="shared" si="18"/>
        <v>["erlangshen_sb4_wuqi02_01"]</v>
      </c>
      <c r="O35" s="13">
        <f t="shared" si="3"/>
        <v>1101</v>
      </c>
      <c r="R35" s="13">
        <v>2</v>
      </c>
      <c r="S35" s="13">
        <v>4</v>
      </c>
      <c r="T35" s="13" t="s">
        <v>135</v>
      </c>
      <c r="U35" s="1">
        <v>1121</v>
      </c>
      <c r="V35" s="13">
        <f t="shared" si="4"/>
        <v>11211</v>
      </c>
      <c r="W35" s="13">
        <f t="shared" si="4"/>
        <v>11212</v>
      </c>
      <c r="X35" s="13">
        <f t="shared" si="4"/>
        <v>11213</v>
      </c>
      <c r="Y35" s="13">
        <f t="shared" si="4"/>
        <v>11214</v>
      </c>
      <c r="Z35" s="13">
        <f t="shared" si="4"/>
        <v>11215</v>
      </c>
      <c r="AB35" s="13">
        <v>4</v>
      </c>
      <c r="AC35" s="13">
        <f>INDEX($V$4:$Z$62,COUNTIFS($AB$1:$AB35,1),$AB35)</f>
        <v>11014</v>
      </c>
    </row>
    <row r="36" spans="1:29">
      <c r="A36" s="24">
        <v>11014</v>
      </c>
      <c r="B36" s="23" t="s">
        <v>520</v>
      </c>
      <c r="C36" s="24" t="s">
        <v>238</v>
      </c>
      <c r="D36" s="23" t="s">
        <v>142</v>
      </c>
      <c r="E36" s="23" t="s">
        <v>142</v>
      </c>
      <c r="F36" s="25" t="s">
        <v>617</v>
      </c>
      <c r="G36" s="26">
        <v>1101</v>
      </c>
      <c r="H36" s="23" t="s">
        <v>320</v>
      </c>
      <c r="I36" s="13" t="str">
        <f t="shared" si="0"/>
        <v>二郎神</v>
      </c>
      <c r="J36" s="13">
        <v>4</v>
      </c>
      <c r="K36" s="13" t="str">
        <f t="shared" ref="K36:K37" si="19">IF(J36=0,$B36,B36&amp;"+"&amp;J36)</f>
        <v>三尖两刃刀+4</v>
      </c>
      <c r="L36" s="13" t="s">
        <v>319</v>
      </c>
      <c r="M36" s="13" t="str">
        <f t="shared" si="11"/>
        <v>["erlangshen_wuqi02_01"]</v>
      </c>
      <c r="N36" s="13" t="str">
        <f t="shared" si="18"/>
        <v>["erlangshen_sb5_wuqi03_01"]</v>
      </c>
      <c r="O36" s="13">
        <f t="shared" ref="O36:O37" si="20">INT(LEFT(A36,4))</f>
        <v>1101</v>
      </c>
      <c r="R36" s="13">
        <v>2</v>
      </c>
      <c r="S36" s="13">
        <v>5</v>
      </c>
      <c r="T36" s="13" t="s">
        <v>136</v>
      </c>
      <c r="U36" s="1">
        <v>1215</v>
      </c>
      <c r="V36" s="13">
        <f t="shared" si="4"/>
        <v>12151</v>
      </c>
      <c r="W36" s="13">
        <f t="shared" si="4"/>
        <v>12152</v>
      </c>
      <c r="X36" s="13">
        <f t="shared" si="4"/>
        <v>12153</v>
      </c>
      <c r="Y36" s="13">
        <f t="shared" si="4"/>
        <v>12154</v>
      </c>
      <c r="Z36" s="13">
        <f t="shared" si="4"/>
        <v>12155</v>
      </c>
      <c r="AB36" s="13">
        <v>5</v>
      </c>
      <c r="AC36" s="13">
        <f>INDEX($V$4:$Z$62,COUNTIFS($AB$1:$AB36,1),$AB36)</f>
        <v>11015</v>
      </c>
    </row>
    <row r="37" spans="1:29">
      <c r="A37" s="24">
        <v>11015</v>
      </c>
      <c r="B37" s="23" t="s">
        <v>520</v>
      </c>
      <c r="C37" s="24" t="s">
        <v>238</v>
      </c>
      <c r="D37" s="23" t="s">
        <v>142</v>
      </c>
      <c r="E37" s="23" t="s">
        <v>142</v>
      </c>
      <c r="F37" s="25" t="s">
        <v>617</v>
      </c>
      <c r="G37" s="26">
        <v>1101</v>
      </c>
      <c r="H37" s="23" t="s">
        <v>320</v>
      </c>
      <c r="I37" s="13" t="str">
        <f t="shared" si="0"/>
        <v>二郎神</v>
      </c>
      <c r="J37" s="13">
        <v>5</v>
      </c>
      <c r="K37" s="13" t="str">
        <f t="shared" si="19"/>
        <v>三尖两刃刀+5</v>
      </c>
      <c r="L37" s="13" t="s">
        <v>319</v>
      </c>
      <c r="M37" s="13" t="str">
        <f t="shared" si="11"/>
        <v>["erlangshen_wuqi02_01"]</v>
      </c>
      <c r="N37" s="13" t="str">
        <f t="shared" si="18"/>
        <v>["erlangshen_sb5_wuqi03_01"]</v>
      </c>
      <c r="O37" s="13">
        <f t="shared" si="20"/>
        <v>1101</v>
      </c>
      <c r="R37" s="13">
        <v>2</v>
      </c>
      <c r="S37" s="13">
        <v>5</v>
      </c>
      <c r="T37" s="13" t="s">
        <v>136</v>
      </c>
      <c r="U37" s="1">
        <v>1215</v>
      </c>
      <c r="V37" s="13">
        <f t="shared" si="4"/>
        <v>12151</v>
      </c>
      <c r="W37" s="13">
        <f t="shared" si="4"/>
        <v>12152</v>
      </c>
      <c r="X37" s="13">
        <f t="shared" si="4"/>
        <v>12153</v>
      </c>
      <c r="Y37" s="13">
        <f t="shared" si="4"/>
        <v>12154</v>
      </c>
      <c r="Z37" s="13">
        <f t="shared" si="4"/>
        <v>12155</v>
      </c>
      <c r="AB37" s="13">
        <v>5</v>
      </c>
      <c r="AC37" s="13">
        <f>INDEX($V$4:$Z$62,COUNTIFS($AB$1:$AB37,1),$AB37)</f>
        <v>11015</v>
      </c>
    </row>
    <row r="38" spans="1:29">
      <c r="A38" s="24">
        <v>11016</v>
      </c>
      <c r="B38" s="23" t="s">
        <v>520</v>
      </c>
      <c r="C38" s="24" t="s">
        <v>238</v>
      </c>
      <c r="D38" s="23" t="s">
        <v>142</v>
      </c>
      <c r="E38" s="23" t="s">
        <v>142</v>
      </c>
      <c r="F38" s="25" t="s">
        <v>617</v>
      </c>
      <c r="G38" s="26">
        <v>1101</v>
      </c>
      <c r="H38" s="23" t="s">
        <v>320</v>
      </c>
      <c r="I38" s="13" t="str">
        <f t="shared" si="0"/>
        <v>二郎神</v>
      </c>
      <c r="J38" s="13">
        <v>5</v>
      </c>
      <c r="K38" s="13" t="str">
        <f t="shared" si="2"/>
        <v>三尖两刃刀+5</v>
      </c>
      <c r="L38" s="13" t="s">
        <v>319</v>
      </c>
      <c r="M38" s="13" t="str">
        <f t="shared" si="11"/>
        <v>["erlangshen_wuqi02_01"]</v>
      </c>
      <c r="N38" s="13" t="str">
        <f t="shared" si="18"/>
        <v>["erlangshen_sb5_wuqi03_01"]</v>
      </c>
      <c r="O38" s="13">
        <f t="shared" si="3"/>
        <v>1101</v>
      </c>
      <c r="R38" s="13">
        <v>2</v>
      </c>
      <c r="S38" s="13">
        <v>5</v>
      </c>
      <c r="T38" s="13" t="s">
        <v>136</v>
      </c>
      <c r="U38" s="1">
        <v>1215</v>
      </c>
      <c r="V38" s="13">
        <f t="shared" si="4"/>
        <v>12151</v>
      </c>
      <c r="W38" s="13">
        <f t="shared" si="4"/>
        <v>12152</v>
      </c>
      <c r="X38" s="13">
        <f t="shared" si="4"/>
        <v>12153</v>
      </c>
      <c r="Y38" s="13">
        <f t="shared" si="4"/>
        <v>12154</v>
      </c>
      <c r="Z38" s="13">
        <f t="shared" si="4"/>
        <v>12155</v>
      </c>
      <c r="AB38" s="13">
        <v>5</v>
      </c>
      <c r="AC38" s="13">
        <f>INDEX($V$4:$Z$62,COUNTIFS($AB$1:$AB38,1),$AB38)</f>
        <v>11015</v>
      </c>
    </row>
    <row r="39" spans="1:29">
      <c r="A39" s="33">
        <v>11080</v>
      </c>
      <c r="B39" s="34" t="s">
        <v>521</v>
      </c>
      <c r="C39" s="33" t="s">
        <v>239</v>
      </c>
      <c r="D39" s="34" t="s">
        <v>620</v>
      </c>
      <c r="E39" s="34" t="s">
        <v>620</v>
      </c>
      <c r="F39" s="34" t="s">
        <v>214</v>
      </c>
      <c r="G39" s="35">
        <v>1108</v>
      </c>
      <c r="H39" s="34" t="s">
        <v>321</v>
      </c>
      <c r="I39" s="13" t="str">
        <f t="shared" si="0"/>
        <v>托塔天王</v>
      </c>
      <c r="J39" s="13">
        <v>0</v>
      </c>
      <c r="K39" s="13" t="str">
        <f t="shared" si="2"/>
        <v>玲珑天晶塔</v>
      </c>
      <c r="L39" s="13" t="s">
        <v>521</v>
      </c>
      <c r="M39" s="13" t="str">
        <f t="shared" si="11"/>
        <v>["tuotatianwang_wuqi01_01"]</v>
      </c>
      <c r="N39" s="13" t="s">
        <v>138</v>
      </c>
      <c r="O39" s="13">
        <f t="shared" si="3"/>
        <v>1108</v>
      </c>
      <c r="R39" s="13">
        <v>1</v>
      </c>
      <c r="S39" s="13">
        <v>1</v>
      </c>
      <c r="T39" s="13" t="s">
        <v>134</v>
      </c>
      <c r="U39" s="1">
        <v>1114</v>
      </c>
      <c r="V39" s="13">
        <f t="shared" si="4"/>
        <v>11141</v>
      </c>
      <c r="W39" s="13">
        <f t="shared" si="4"/>
        <v>11142</v>
      </c>
      <c r="X39" s="13">
        <f t="shared" si="4"/>
        <v>11143</v>
      </c>
      <c r="Y39" s="13">
        <f t="shared" si="4"/>
        <v>11144</v>
      </c>
      <c r="Z39" s="13">
        <f t="shared" si="4"/>
        <v>11145</v>
      </c>
      <c r="AB39" s="13">
        <v>1</v>
      </c>
      <c r="AC39" s="13">
        <f>INDEX($V$4:$Z$62,COUNTIFS($AB$1:$AB39,1),$AB39)</f>
        <v>11011</v>
      </c>
    </row>
    <row r="40" spans="1:29">
      <c r="A40" s="33">
        <v>11081</v>
      </c>
      <c r="B40" s="34" t="s">
        <v>521</v>
      </c>
      <c r="C40" s="33" t="s">
        <v>240</v>
      </c>
      <c r="D40" s="34" t="s">
        <v>131</v>
      </c>
      <c r="E40" s="34" t="s">
        <v>131</v>
      </c>
      <c r="F40" s="34" t="s">
        <v>214</v>
      </c>
      <c r="G40" s="35">
        <v>1108</v>
      </c>
      <c r="H40" s="34" t="s">
        <v>322</v>
      </c>
      <c r="I40" s="13" t="str">
        <f t="shared" si="0"/>
        <v>托塔天王</v>
      </c>
      <c r="J40" s="13">
        <v>1</v>
      </c>
      <c r="K40" s="13" t="str">
        <f t="shared" si="2"/>
        <v>玲珑天晶塔+1</v>
      </c>
      <c r="L40" s="13" t="s">
        <v>321</v>
      </c>
      <c r="M40" s="13" t="str">
        <f t="shared" si="11"/>
        <v>["tuotatianwang_wuqi02_01"]</v>
      </c>
      <c r="N40" s="13" t="str">
        <f t="shared" ref="N40:N45" si="21">"["&amp;$R$1&amp;SUBSTITUTE(VLOOKUP(O40,$U$77:$W$138,3,0),"_actor","")&amp;"_sb"&amp;S40&amp;"_wuqi0"&amp;T40&amp;$R$1&amp;"]"</f>
        <v>["tuotatianwang_sb2_wuqi01_01"]</v>
      </c>
      <c r="O40" s="13">
        <f t="shared" si="3"/>
        <v>1108</v>
      </c>
      <c r="R40" s="13">
        <v>2</v>
      </c>
      <c r="S40" s="13">
        <v>2</v>
      </c>
      <c r="T40" s="13" t="s">
        <v>134</v>
      </c>
      <c r="U40" s="1">
        <v>1110</v>
      </c>
      <c r="V40" s="13">
        <f t="shared" si="4"/>
        <v>11101</v>
      </c>
      <c r="W40" s="13">
        <f t="shared" si="4"/>
        <v>11102</v>
      </c>
      <c r="X40" s="13">
        <f t="shared" si="4"/>
        <v>11103</v>
      </c>
      <c r="Y40" s="13">
        <f t="shared" si="4"/>
        <v>11104</v>
      </c>
      <c r="Z40" s="13">
        <f t="shared" si="4"/>
        <v>11105</v>
      </c>
      <c r="AB40" s="13">
        <v>2</v>
      </c>
      <c r="AC40" s="13">
        <f>INDEX($V$4:$Z$62,COUNTIFS($AB$1:$AB40,1),$AB40)</f>
        <v>11012</v>
      </c>
    </row>
    <row r="41" spans="1:29">
      <c r="A41" s="33">
        <v>11082</v>
      </c>
      <c r="B41" s="34" t="s">
        <v>521</v>
      </c>
      <c r="C41" s="33" t="s">
        <v>240</v>
      </c>
      <c r="D41" s="34" t="s">
        <v>143</v>
      </c>
      <c r="E41" s="34" t="s">
        <v>143</v>
      </c>
      <c r="F41" s="34" t="s">
        <v>214</v>
      </c>
      <c r="G41" s="35">
        <v>1108</v>
      </c>
      <c r="H41" s="34" t="s">
        <v>323</v>
      </c>
      <c r="I41" s="13" t="str">
        <f t="shared" si="0"/>
        <v>托塔天王</v>
      </c>
      <c r="J41" s="13">
        <v>2</v>
      </c>
      <c r="K41" s="13" t="str">
        <f t="shared" si="2"/>
        <v>玲珑天晶塔+2</v>
      </c>
      <c r="L41" s="13" t="s">
        <v>322</v>
      </c>
      <c r="M41" s="13" t="str">
        <f t="shared" si="11"/>
        <v>["tuotatianwang_wuqi02_01"]</v>
      </c>
      <c r="N41" s="13" t="str">
        <f t="shared" si="21"/>
        <v>["tuotatianwang_sb3_wuqi02_01"]</v>
      </c>
      <c r="O41" s="13">
        <f t="shared" si="3"/>
        <v>1108</v>
      </c>
      <c r="R41" s="13">
        <v>2</v>
      </c>
      <c r="S41" s="13">
        <v>3</v>
      </c>
      <c r="T41" s="13" t="s">
        <v>135</v>
      </c>
      <c r="U41" s="1">
        <v>1104</v>
      </c>
      <c r="V41" s="13">
        <f t="shared" si="4"/>
        <v>11041</v>
      </c>
      <c r="W41" s="13">
        <f t="shared" si="4"/>
        <v>11042</v>
      </c>
      <c r="X41" s="13">
        <f t="shared" si="4"/>
        <v>11043</v>
      </c>
      <c r="Y41" s="13">
        <f t="shared" si="4"/>
        <v>11044</v>
      </c>
      <c r="Z41" s="13">
        <f t="shared" si="4"/>
        <v>11045</v>
      </c>
      <c r="AB41" s="13">
        <v>3</v>
      </c>
      <c r="AC41" s="13">
        <f>INDEX($V$4:$Z$62,COUNTIFS($AB$1:$AB41,1),$AB41)</f>
        <v>11013</v>
      </c>
    </row>
    <row r="42" spans="1:29">
      <c r="A42" s="33">
        <v>11083</v>
      </c>
      <c r="B42" s="34" t="s">
        <v>521</v>
      </c>
      <c r="C42" s="33" t="s">
        <v>240</v>
      </c>
      <c r="D42" s="34" t="s">
        <v>621</v>
      </c>
      <c r="E42" s="34" t="s">
        <v>622</v>
      </c>
      <c r="F42" s="34" t="s">
        <v>623</v>
      </c>
      <c r="G42" s="35">
        <v>1108</v>
      </c>
      <c r="H42" s="34" t="s">
        <v>324</v>
      </c>
      <c r="I42" s="13" t="str">
        <f t="shared" si="0"/>
        <v>托塔天王</v>
      </c>
      <c r="J42" s="13">
        <v>3</v>
      </c>
      <c r="K42" s="13" t="str">
        <f t="shared" si="2"/>
        <v>玲珑天晶塔+3</v>
      </c>
      <c r="L42" s="13" t="s">
        <v>323</v>
      </c>
      <c r="M42" s="13" t="str">
        <f t="shared" si="11"/>
        <v>["tuotatianwang_wuqi02_01"]</v>
      </c>
      <c r="N42" s="13" t="str">
        <f t="shared" si="21"/>
        <v>["tuotatianwang_sb4_wuqi02_01"]</v>
      </c>
      <c r="O42" s="13">
        <f t="shared" si="3"/>
        <v>1108</v>
      </c>
      <c r="R42" s="13">
        <v>2</v>
      </c>
      <c r="S42" s="13">
        <v>4</v>
      </c>
      <c r="T42" s="13" t="s">
        <v>135</v>
      </c>
      <c r="U42" s="1">
        <v>1135</v>
      </c>
      <c r="V42" s="13">
        <f t="shared" si="4"/>
        <v>11351</v>
      </c>
      <c r="W42" s="13">
        <f t="shared" si="4"/>
        <v>11352</v>
      </c>
      <c r="X42" s="13">
        <f t="shared" si="4"/>
        <v>11353</v>
      </c>
      <c r="Y42" s="13">
        <f t="shared" si="4"/>
        <v>11354</v>
      </c>
      <c r="Z42" s="13">
        <f t="shared" si="4"/>
        <v>11355</v>
      </c>
      <c r="AB42" s="13">
        <v>4</v>
      </c>
      <c r="AC42" s="13">
        <f>INDEX($V$4:$Z$62,COUNTIFS($AB$1:$AB42,1),$AB42)</f>
        <v>11014</v>
      </c>
    </row>
    <row r="43" spans="1:29">
      <c r="A43" s="33">
        <v>11084</v>
      </c>
      <c r="B43" s="34" t="s">
        <v>521</v>
      </c>
      <c r="C43" s="33" t="s">
        <v>240</v>
      </c>
      <c r="D43" s="34" t="s">
        <v>624</v>
      </c>
      <c r="E43" s="34" t="s">
        <v>625</v>
      </c>
      <c r="F43" s="34" t="s">
        <v>623</v>
      </c>
      <c r="G43" s="35">
        <v>1108</v>
      </c>
      <c r="H43" s="34" t="s">
        <v>325</v>
      </c>
      <c r="I43" s="13" t="str">
        <f t="shared" si="0"/>
        <v>托塔天王</v>
      </c>
      <c r="J43" s="13">
        <v>4</v>
      </c>
      <c r="K43" s="13" t="str">
        <f t="shared" ref="K43:K44" si="22">IF(J43=0,$B43,B43&amp;"+"&amp;J43)</f>
        <v>玲珑天晶塔+4</v>
      </c>
      <c r="L43" s="13" t="s">
        <v>324</v>
      </c>
      <c r="M43" s="13" t="str">
        <f t="shared" si="11"/>
        <v>["tuotatianwang_wuqi02_01"]</v>
      </c>
      <c r="N43" s="13" t="str">
        <f t="shared" si="21"/>
        <v>["tuotatianwang_sb5_wuqi03_01"]</v>
      </c>
      <c r="O43" s="13">
        <f t="shared" ref="O43:O44" si="23">INT(LEFT(A43,4))</f>
        <v>1108</v>
      </c>
      <c r="R43" s="13">
        <v>2</v>
      </c>
      <c r="S43" s="13">
        <v>5</v>
      </c>
      <c r="T43" s="13" t="s">
        <v>136</v>
      </c>
      <c r="U43" s="1">
        <v>1132</v>
      </c>
      <c r="V43" s="13">
        <f t="shared" si="4"/>
        <v>11321</v>
      </c>
      <c r="W43" s="13">
        <f t="shared" si="4"/>
        <v>11322</v>
      </c>
      <c r="X43" s="13">
        <f t="shared" si="4"/>
        <v>11323</v>
      </c>
      <c r="Y43" s="13">
        <f t="shared" si="4"/>
        <v>11324</v>
      </c>
      <c r="Z43" s="13">
        <f t="shared" si="4"/>
        <v>11325</v>
      </c>
      <c r="AB43" s="13">
        <v>5</v>
      </c>
      <c r="AC43" s="13">
        <f>INDEX($V$4:$Z$62,COUNTIFS($AB$1:$AB43,1),$AB43)</f>
        <v>11015</v>
      </c>
    </row>
    <row r="44" spans="1:29">
      <c r="A44" s="33">
        <v>11085</v>
      </c>
      <c r="B44" s="34" t="s">
        <v>521</v>
      </c>
      <c r="C44" s="33" t="s">
        <v>240</v>
      </c>
      <c r="D44" s="34" t="s">
        <v>626</v>
      </c>
      <c r="E44" s="34" t="s">
        <v>624</v>
      </c>
      <c r="F44" s="34" t="s">
        <v>627</v>
      </c>
      <c r="G44" s="35">
        <v>1108</v>
      </c>
      <c r="H44" s="34" t="s">
        <v>325</v>
      </c>
      <c r="I44" s="13" t="str">
        <f t="shared" si="0"/>
        <v>托塔天王</v>
      </c>
      <c r="J44" s="13">
        <v>5</v>
      </c>
      <c r="K44" s="13" t="str">
        <f t="shared" si="22"/>
        <v>玲珑天晶塔+5</v>
      </c>
      <c r="L44" s="13" t="s">
        <v>324</v>
      </c>
      <c r="M44" s="13" t="str">
        <f t="shared" si="11"/>
        <v>["tuotatianwang_wuqi02_01"]</v>
      </c>
      <c r="N44" s="13" t="str">
        <f t="shared" si="21"/>
        <v>["tuotatianwang_sb5_wuqi03_01"]</v>
      </c>
      <c r="O44" s="13">
        <f t="shared" si="23"/>
        <v>1108</v>
      </c>
      <c r="R44" s="13">
        <v>2</v>
      </c>
      <c r="S44" s="13">
        <v>5</v>
      </c>
      <c r="T44" s="13" t="s">
        <v>136</v>
      </c>
      <c r="U44" s="1">
        <v>1132</v>
      </c>
      <c r="V44" s="13">
        <f t="shared" si="4"/>
        <v>11321</v>
      </c>
      <c r="W44" s="13">
        <f t="shared" si="4"/>
        <v>11322</v>
      </c>
      <c r="X44" s="13">
        <f t="shared" si="4"/>
        <v>11323</v>
      </c>
      <c r="Y44" s="13">
        <f t="shared" si="4"/>
        <v>11324</v>
      </c>
      <c r="Z44" s="13">
        <f t="shared" si="4"/>
        <v>11325</v>
      </c>
      <c r="AB44" s="13">
        <v>5</v>
      </c>
      <c r="AC44" s="13">
        <f>INDEX($V$4:$Z$62,COUNTIFS($AB$1:$AB44,1),$AB44)</f>
        <v>11015</v>
      </c>
    </row>
    <row r="45" spans="1:29">
      <c r="A45" s="33">
        <v>11086</v>
      </c>
      <c r="B45" s="34" t="s">
        <v>521</v>
      </c>
      <c r="C45" s="33" t="s">
        <v>240</v>
      </c>
      <c r="D45" s="34" t="s">
        <v>626</v>
      </c>
      <c r="E45" s="34" t="s">
        <v>624</v>
      </c>
      <c r="F45" s="34" t="s">
        <v>627</v>
      </c>
      <c r="G45" s="35">
        <v>1108</v>
      </c>
      <c r="H45" s="34" t="s">
        <v>325</v>
      </c>
      <c r="I45" s="13" t="str">
        <f t="shared" si="0"/>
        <v>托塔天王</v>
      </c>
      <c r="J45" s="13">
        <v>5</v>
      </c>
      <c r="K45" s="13" t="str">
        <f t="shared" si="2"/>
        <v>玲珑天晶塔+5</v>
      </c>
      <c r="L45" s="13" t="s">
        <v>324</v>
      </c>
      <c r="M45" s="13" t="str">
        <f t="shared" si="11"/>
        <v>["tuotatianwang_wuqi02_01"]</v>
      </c>
      <c r="N45" s="13" t="str">
        <f t="shared" si="21"/>
        <v>["tuotatianwang_sb5_wuqi03_01"]</v>
      </c>
      <c r="O45" s="13">
        <f t="shared" si="3"/>
        <v>1108</v>
      </c>
      <c r="R45" s="13">
        <v>2</v>
      </c>
      <c r="S45" s="13">
        <v>5</v>
      </c>
      <c r="T45" s="13" t="s">
        <v>136</v>
      </c>
      <c r="U45" s="1">
        <v>1132</v>
      </c>
      <c r="V45" s="13">
        <f t="shared" si="4"/>
        <v>11321</v>
      </c>
      <c r="W45" s="13">
        <f t="shared" si="4"/>
        <v>11322</v>
      </c>
      <c r="X45" s="13">
        <f t="shared" si="4"/>
        <v>11323</v>
      </c>
      <c r="Y45" s="13">
        <f t="shared" si="4"/>
        <v>11324</v>
      </c>
      <c r="Z45" s="13">
        <f t="shared" si="4"/>
        <v>11325</v>
      </c>
      <c r="AB45" s="13">
        <v>5</v>
      </c>
      <c r="AC45" s="13">
        <f>INDEX($V$4:$Z$62,COUNTIFS($AB$1:$AB45,1),$AB45)</f>
        <v>11015</v>
      </c>
    </row>
    <row r="46" spans="1:29" s="15" customFormat="1">
      <c r="A46" s="24">
        <v>11130</v>
      </c>
      <c r="B46" s="23" t="s">
        <v>522</v>
      </c>
      <c r="C46" s="24" t="s">
        <v>186</v>
      </c>
      <c r="D46" s="23" t="s">
        <v>21</v>
      </c>
      <c r="E46" s="23" t="s">
        <v>21</v>
      </c>
      <c r="F46" s="25" t="s">
        <v>628</v>
      </c>
      <c r="G46" s="26">
        <v>1113</v>
      </c>
      <c r="H46" s="23" t="s">
        <v>326</v>
      </c>
      <c r="I46" s="15" t="str">
        <f t="shared" si="0"/>
        <v>虎力大仙</v>
      </c>
      <c r="J46" s="15">
        <v>0</v>
      </c>
      <c r="K46" s="13" t="str">
        <f t="shared" si="2"/>
        <v>明王摧城</v>
      </c>
      <c r="L46" s="15" t="s">
        <v>522</v>
      </c>
      <c r="M46" s="15" t="str">
        <f t="shared" si="11"/>
        <v>["hulidaxian_wuqi01_01"]</v>
      </c>
      <c r="N46" s="15" t="s">
        <v>138</v>
      </c>
      <c r="O46" s="15">
        <f t="shared" si="3"/>
        <v>1113</v>
      </c>
      <c r="R46" s="15">
        <v>1</v>
      </c>
      <c r="S46" s="15">
        <v>1</v>
      </c>
      <c r="T46" s="15" t="s">
        <v>134</v>
      </c>
      <c r="U46" s="10">
        <v>1125</v>
      </c>
      <c r="V46" s="15">
        <f t="shared" si="4"/>
        <v>11251</v>
      </c>
      <c r="W46" s="15">
        <f t="shared" si="4"/>
        <v>11252</v>
      </c>
      <c r="X46" s="15">
        <f t="shared" si="4"/>
        <v>11253</v>
      </c>
      <c r="Y46" s="15">
        <f t="shared" si="4"/>
        <v>11254</v>
      </c>
      <c r="Z46" s="15">
        <f t="shared" si="4"/>
        <v>11255</v>
      </c>
      <c r="AB46" s="15">
        <v>1</v>
      </c>
      <c r="AC46" s="15">
        <f>INDEX($V$4:$Z$62,COUNTIFS($AB$1:$AB46,1),$AB46)</f>
        <v>11011</v>
      </c>
    </row>
    <row r="47" spans="1:29" s="15" customFormat="1">
      <c r="A47" s="24">
        <v>11131</v>
      </c>
      <c r="B47" s="23" t="s">
        <v>522</v>
      </c>
      <c r="C47" s="24" t="s">
        <v>187</v>
      </c>
      <c r="D47" s="23" t="s">
        <v>629</v>
      </c>
      <c r="E47" s="23" t="s">
        <v>630</v>
      </c>
      <c r="F47" s="25" t="s">
        <v>631</v>
      </c>
      <c r="G47" s="26">
        <v>1113</v>
      </c>
      <c r="H47" s="23" t="s">
        <v>327</v>
      </c>
      <c r="I47" s="15" t="str">
        <f t="shared" si="0"/>
        <v>虎力大仙</v>
      </c>
      <c r="J47" s="15">
        <v>1</v>
      </c>
      <c r="K47" s="13" t="str">
        <f t="shared" si="2"/>
        <v>明王摧城+1</v>
      </c>
      <c r="L47" s="15" t="s">
        <v>326</v>
      </c>
      <c r="M47" s="15" t="str">
        <f t="shared" si="11"/>
        <v>["hulidaxian_wuqi02_01"]</v>
      </c>
      <c r="N47" s="15" t="str">
        <f t="shared" ref="N47:N52" si="24">"["&amp;$R$1&amp;SUBSTITUTE(VLOOKUP(O47,$U$77:$W$138,3,0),"_actor","")&amp;"_sb"&amp;S47&amp;"_wuqi0"&amp;T47&amp;$R$1&amp;"]"</f>
        <v>["hulidaxian_sb2_wuqi01_01"]</v>
      </c>
      <c r="O47" s="15">
        <f t="shared" si="3"/>
        <v>1113</v>
      </c>
      <c r="R47" s="15">
        <v>2</v>
      </c>
      <c r="S47" s="15">
        <v>2</v>
      </c>
      <c r="T47" s="15" t="s">
        <v>134</v>
      </c>
      <c r="U47" s="10">
        <v>1202</v>
      </c>
      <c r="V47" s="15">
        <f t="shared" si="4"/>
        <v>12021</v>
      </c>
      <c r="W47" s="15">
        <f t="shared" si="4"/>
        <v>12022</v>
      </c>
      <c r="X47" s="15">
        <f t="shared" si="4"/>
        <v>12023</v>
      </c>
      <c r="Y47" s="15">
        <f t="shared" si="4"/>
        <v>12024</v>
      </c>
      <c r="Z47" s="15">
        <f t="shared" si="4"/>
        <v>12025</v>
      </c>
      <c r="AB47" s="15">
        <v>2</v>
      </c>
      <c r="AC47" s="15">
        <f>INDEX($V$4:$Z$62,COUNTIFS($AB$1:$AB47,1),$AB47)</f>
        <v>11012</v>
      </c>
    </row>
    <row r="48" spans="1:29" s="15" customFormat="1">
      <c r="A48" s="24">
        <v>11132</v>
      </c>
      <c r="B48" s="23" t="s">
        <v>522</v>
      </c>
      <c r="C48" s="24" t="s">
        <v>187</v>
      </c>
      <c r="D48" s="23" t="s">
        <v>199</v>
      </c>
      <c r="E48" s="23" t="s">
        <v>199</v>
      </c>
      <c r="F48" s="25" t="s">
        <v>632</v>
      </c>
      <c r="G48" s="26">
        <v>1113</v>
      </c>
      <c r="H48" s="23" t="s">
        <v>328</v>
      </c>
      <c r="I48" s="15" t="str">
        <f t="shared" si="0"/>
        <v>虎力大仙</v>
      </c>
      <c r="J48" s="15">
        <v>2</v>
      </c>
      <c r="K48" s="13" t="str">
        <f t="shared" si="2"/>
        <v>明王摧城+2</v>
      </c>
      <c r="L48" s="15" t="s">
        <v>327</v>
      </c>
      <c r="M48" s="15" t="str">
        <f t="shared" si="11"/>
        <v>["hulidaxian_wuqi02_01"]</v>
      </c>
      <c r="N48" s="15" t="str">
        <f t="shared" si="24"/>
        <v>["hulidaxian_sb3_wuqi02_01"]</v>
      </c>
      <c r="O48" s="15">
        <f t="shared" si="3"/>
        <v>1113</v>
      </c>
      <c r="R48" s="15">
        <v>2</v>
      </c>
      <c r="S48" s="15">
        <v>3</v>
      </c>
      <c r="T48" s="15" t="s">
        <v>135</v>
      </c>
      <c r="U48" s="10">
        <v>1123</v>
      </c>
      <c r="V48" s="15">
        <f t="shared" si="4"/>
        <v>11231</v>
      </c>
      <c r="W48" s="15">
        <f t="shared" si="4"/>
        <v>11232</v>
      </c>
      <c r="X48" s="15">
        <f t="shared" si="4"/>
        <v>11233</v>
      </c>
      <c r="Y48" s="15">
        <f t="shared" si="4"/>
        <v>11234</v>
      </c>
      <c r="Z48" s="15">
        <f t="shared" si="4"/>
        <v>11235</v>
      </c>
      <c r="AB48" s="15">
        <v>3</v>
      </c>
      <c r="AC48" s="15">
        <f>INDEX($V$4:$Z$62,COUNTIFS($AB$1:$AB48,1),$AB48)</f>
        <v>11013</v>
      </c>
    </row>
    <row r="49" spans="1:29" s="15" customFormat="1">
      <c r="A49" s="24">
        <v>11133</v>
      </c>
      <c r="B49" s="23" t="s">
        <v>522</v>
      </c>
      <c r="C49" s="24" t="s">
        <v>187</v>
      </c>
      <c r="D49" s="23" t="s">
        <v>176</v>
      </c>
      <c r="E49" s="23" t="s">
        <v>176</v>
      </c>
      <c r="F49" s="25" t="s">
        <v>633</v>
      </c>
      <c r="G49" s="26">
        <v>1113</v>
      </c>
      <c r="H49" s="23" t="s">
        <v>329</v>
      </c>
      <c r="I49" s="15" t="str">
        <f t="shared" si="0"/>
        <v>虎力大仙</v>
      </c>
      <c r="J49" s="15">
        <v>3</v>
      </c>
      <c r="K49" s="13" t="str">
        <f t="shared" si="2"/>
        <v>明王摧城+3</v>
      </c>
      <c r="L49" s="15" t="s">
        <v>328</v>
      </c>
      <c r="M49" s="15" t="str">
        <f t="shared" si="11"/>
        <v>["hulidaxian_wuqi02_01"]</v>
      </c>
      <c r="N49" s="15" t="str">
        <f t="shared" si="24"/>
        <v>["hulidaxian_sb4_wuqi02_01"]</v>
      </c>
      <c r="O49" s="15">
        <f t="shared" si="3"/>
        <v>1113</v>
      </c>
      <c r="R49" s="15">
        <v>2</v>
      </c>
      <c r="S49" s="15">
        <v>4</v>
      </c>
      <c r="T49" s="15" t="s">
        <v>135</v>
      </c>
      <c r="U49" s="10">
        <v>1117</v>
      </c>
      <c r="V49" s="15">
        <f t="shared" si="4"/>
        <v>11171</v>
      </c>
      <c r="W49" s="15">
        <f t="shared" si="4"/>
        <v>11172</v>
      </c>
      <c r="X49" s="15">
        <f t="shared" si="4"/>
        <v>11173</v>
      </c>
      <c r="Y49" s="15">
        <f t="shared" si="4"/>
        <v>11174</v>
      </c>
      <c r="Z49" s="15">
        <f t="shared" si="4"/>
        <v>11175</v>
      </c>
      <c r="AB49" s="15">
        <v>4</v>
      </c>
      <c r="AC49" s="15">
        <f>INDEX($V$4:$Z$62,COUNTIFS($AB$1:$AB49,1),$AB49)</f>
        <v>11014</v>
      </c>
    </row>
    <row r="50" spans="1:29" s="15" customFormat="1">
      <c r="A50" s="24">
        <v>11134</v>
      </c>
      <c r="B50" s="23" t="s">
        <v>522</v>
      </c>
      <c r="C50" s="24" t="s">
        <v>187</v>
      </c>
      <c r="D50" s="23" t="s">
        <v>177</v>
      </c>
      <c r="E50" s="23" t="s">
        <v>177</v>
      </c>
      <c r="F50" s="25" t="s">
        <v>634</v>
      </c>
      <c r="G50" s="26">
        <v>1113</v>
      </c>
      <c r="H50" s="23" t="s">
        <v>330</v>
      </c>
      <c r="I50" s="15" t="str">
        <f t="shared" si="0"/>
        <v>虎力大仙</v>
      </c>
      <c r="J50" s="15">
        <v>4</v>
      </c>
      <c r="K50" s="13" t="str">
        <f t="shared" si="2"/>
        <v>明王摧城+4</v>
      </c>
      <c r="L50" s="15" t="s">
        <v>329</v>
      </c>
      <c r="M50" s="15" t="str">
        <f t="shared" si="11"/>
        <v>["hulidaxian_wuqi02_01"]</v>
      </c>
      <c r="N50" s="15" t="str">
        <f t="shared" si="24"/>
        <v>["hulidaxian_sb5_wuqi03_01"]</v>
      </c>
      <c r="O50" s="15">
        <f t="shared" si="3"/>
        <v>1113</v>
      </c>
      <c r="R50" s="15">
        <v>2</v>
      </c>
      <c r="S50" s="15">
        <v>5</v>
      </c>
      <c r="T50" s="15" t="s">
        <v>136</v>
      </c>
      <c r="U50" s="10">
        <v>1201</v>
      </c>
      <c r="V50" s="15">
        <f t="shared" si="4"/>
        <v>12011</v>
      </c>
      <c r="W50" s="15">
        <f t="shared" si="4"/>
        <v>12012</v>
      </c>
      <c r="X50" s="15">
        <f t="shared" si="4"/>
        <v>12013</v>
      </c>
      <c r="Y50" s="15">
        <f t="shared" si="4"/>
        <v>12014</v>
      </c>
      <c r="Z50" s="15">
        <f t="shared" si="4"/>
        <v>12015</v>
      </c>
      <c r="AB50" s="15">
        <v>5</v>
      </c>
      <c r="AC50" s="15">
        <f>INDEX($V$4:$Z$62,COUNTIFS($AB$1:$AB50,1),$AB50)</f>
        <v>11015</v>
      </c>
    </row>
    <row r="51" spans="1:29" s="15" customFormat="1">
      <c r="A51" s="24">
        <v>11135</v>
      </c>
      <c r="B51" s="23" t="s">
        <v>522</v>
      </c>
      <c r="C51" s="24" t="s">
        <v>187</v>
      </c>
      <c r="D51" s="23" t="s">
        <v>177</v>
      </c>
      <c r="E51" s="23" t="s">
        <v>177</v>
      </c>
      <c r="F51" s="25" t="s">
        <v>635</v>
      </c>
      <c r="G51" s="26">
        <v>1113</v>
      </c>
      <c r="H51" s="23" t="s">
        <v>330</v>
      </c>
      <c r="I51" s="15" t="str">
        <f t="shared" si="0"/>
        <v>虎力大仙</v>
      </c>
      <c r="J51" s="15">
        <v>5</v>
      </c>
      <c r="K51" s="13" t="str">
        <f t="shared" si="2"/>
        <v>明王摧城+5</v>
      </c>
      <c r="L51" s="15" t="s">
        <v>329</v>
      </c>
      <c r="M51" s="15" t="str">
        <f t="shared" si="11"/>
        <v>["hulidaxian_wuqi02_01"]</v>
      </c>
      <c r="N51" s="15" t="str">
        <f t="shared" si="24"/>
        <v>["hulidaxian_sb5_wuqi03_01"]</v>
      </c>
      <c r="O51" s="15">
        <f t="shared" si="3"/>
        <v>1113</v>
      </c>
      <c r="R51" s="15">
        <v>2</v>
      </c>
      <c r="S51" s="15">
        <v>5</v>
      </c>
      <c r="T51" s="15" t="s">
        <v>136</v>
      </c>
      <c r="U51" s="10">
        <v>1201</v>
      </c>
      <c r="V51" s="15">
        <f t="shared" si="4"/>
        <v>12011</v>
      </c>
      <c r="W51" s="15">
        <f t="shared" si="4"/>
        <v>12012</v>
      </c>
      <c r="X51" s="15">
        <f t="shared" si="4"/>
        <v>12013</v>
      </c>
      <c r="Y51" s="15">
        <f t="shared" si="4"/>
        <v>12014</v>
      </c>
      <c r="Z51" s="15">
        <f t="shared" si="4"/>
        <v>12015</v>
      </c>
      <c r="AB51" s="15">
        <v>5</v>
      </c>
      <c r="AC51" s="15">
        <f>INDEX($V$4:$Z$62,COUNTIFS($AB$1:$AB51,1),$AB51)</f>
        <v>11015</v>
      </c>
    </row>
    <row r="52" spans="1:29" s="15" customFormat="1">
      <c r="A52" s="24">
        <v>11136</v>
      </c>
      <c r="B52" s="23" t="s">
        <v>522</v>
      </c>
      <c r="C52" s="24" t="s">
        <v>187</v>
      </c>
      <c r="D52" s="23" t="s">
        <v>177</v>
      </c>
      <c r="E52" s="23" t="s">
        <v>177</v>
      </c>
      <c r="F52" s="25" t="s">
        <v>635</v>
      </c>
      <c r="G52" s="26">
        <v>1113</v>
      </c>
      <c r="H52" s="23" t="s">
        <v>330</v>
      </c>
      <c r="I52" s="15" t="str">
        <f t="shared" si="0"/>
        <v>虎力大仙</v>
      </c>
      <c r="J52" s="15">
        <v>5</v>
      </c>
      <c r="K52" s="13" t="str">
        <f t="shared" ref="K52" si="25">IF(J52=0,$B52,B52&amp;"+"&amp;J52)</f>
        <v>明王摧城+5</v>
      </c>
      <c r="L52" s="15" t="s">
        <v>329</v>
      </c>
      <c r="M52" s="15" t="str">
        <f t="shared" si="11"/>
        <v>["hulidaxian_wuqi02_01"]</v>
      </c>
      <c r="N52" s="15" t="str">
        <f t="shared" si="24"/>
        <v>["hulidaxian_sb5_wuqi03_01"]</v>
      </c>
      <c r="O52" s="15">
        <f t="shared" ref="O52" si="26">INT(LEFT(A52,4))</f>
        <v>1113</v>
      </c>
      <c r="R52" s="15">
        <v>2</v>
      </c>
      <c r="S52" s="15">
        <v>5</v>
      </c>
      <c r="T52" s="15" t="s">
        <v>136</v>
      </c>
      <c r="U52" s="10">
        <v>1201</v>
      </c>
      <c r="V52" s="15">
        <f t="shared" si="4"/>
        <v>12011</v>
      </c>
      <c r="W52" s="15">
        <f t="shared" si="4"/>
        <v>12012</v>
      </c>
      <c r="X52" s="15">
        <f t="shared" si="4"/>
        <v>12013</v>
      </c>
      <c r="Y52" s="15">
        <f t="shared" si="4"/>
        <v>12014</v>
      </c>
      <c r="Z52" s="15">
        <f t="shared" si="4"/>
        <v>12015</v>
      </c>
      <c r="AB52" s="15">
        <v>5</v>
      </c>
      <c r="AC52" s="15">
        <f>INDEX($V$4:$Z$62,COUNTIFS($AB$1:$AB52,1),$AB52)</f>
        <v>11015</v>
      </c>
    </row>
    <row r="53" spans="1:29">
      <c r="A53" s="33">
        <v>11200</v>
      </c>
      <c r="B53" s="34" t="s">
        <v>523</v>
      </c>
      <c r="C53" s="33" t="s">
        <v>241</v>
      </c>
      <c r="D53" s="34" t="s">
        <v>636</v>
      </c>
      <c r="E53" s="34" t="s">
        <v>637</v>
      </c>
      <c r="F53" s="34" t="s">
        <v>638</v>
      </c>
      <c r="G53" s="35">
        <v>1120</v>
      </c>
      <c r="H53" s="34" t="s">
        <v>331</v>
      </c>
      <c r="I53" s="13" t="str">
        <f t="shared" si="0"/>
        <v>猪八戒</v>
      </c>
      <c r="J53" s="13">
        <v>0</v>
      </c>
      <c r="K53" s="13" t="str">
        <f t="shared" si="2"/>
        <v>上宝沁金钯</v>
      </c>
      <c r="L53" s="13" t="s">
        <v>523</v>
      </c>
      <c r="M53" s="13" t="str">
        <f t="shared" si="11"/>
        <v>["zhubajie_wuqi01_01"]</v>
      </c>
      <c r="N53" s="13" t="s">
        <v>138</v>
      </c>
      <c r="O53" s="13">
        <f t="shared" si="3"/>
        <v>1120</v>
      </c>
      <c r="R53" s="13">
        <v>1</v>
      </c>
      <c r="S53" s="13">
        <v>1</v>
      </c>
      <c r="T53" s="13" t="s">
        <v>134</v>
      </c>
      <c r="U53" s="1">
        <v>1131</v>
      </c>
      <c r="V53" s="13">
        <f t="shared" si="4"/>
        <v>11311</v>
      </c>
      <c r="W53" s="13">
        <f t="shared" si="4"/>
        <v>11312</v>
      </c>
      <c r="X53" s="13">
        <f t="shared" si="4"/>
        <v>11313</v>
      </c>
      <c r="Y53" s="13">
        <f t="shared" si="4"/>
        <v>11314</v>
      </c>
      <c r="Z53" s="13">
        <f t="shared" si="4"/>
        <v>11315</v>
      </c>
      <c r="AB53" s="13">
        <v>1</v>
      </c>
      <c r="AC53" s="13">
        <f>INDEX($V$4:$Z$62,COUNTIFS($AB$1:$AB53,1),$AB53)</f>
        <v>11081</v>
      </c>
    </row>
    <row r="54" spans="1:29">
      <c r="A54" s="33">
        <v>11201</v>
      </c>
      <c r="B54" s="34" t="s">
        <v>523</v>
      </c>
      <c r="C54" s="33" t="s">
        <v>242</v>
      </c>
      <c r="D54" s="34" t="s">
        <v>132</v>
      </c>
      <c r="E54" s="34" t="s">
        <v>132</v>
      </c>
      <c r="F54" s="34" t="s">
        <v>639</v>
      </c>
      <c r="G54" s="35">
        <v>1120</v>
      </c>
      <c r="H54" s="34" t="s">
        <v>332</v>
      </c>
      <c r="I54" s="13" t="str">
        <f t="shared" si="0"/>
        <v>猪八戒</v>
      </c>
      <c r="J54" s="13">
        <v>1</v>
      </c>
      <c r="K54" s="13" t="str">
        <f t="shared" si="2"/>
        <v>上宝沁金钯+1</v>
      </c>
      <c r="L54" s="13" t="s">
        <v>331</v>
      </c>
      <c r="M54" s="13" t="str">
        <f t="shared" si="11"/>
        <v>["zhubajie_wuqi02_01"]</v>
      </c>
      <c r="N54" s="13" t="str">
        <f t="shared" ref="N54:N59" si="27">"["&amp;$R$1&amp;SUBSTITUTE(VLOOKUP(O54,$U$77:$W$138,3,0),"_actor","")&amp;"_sb"&amp;S54&amp;"_wuqi0"&amp;T54&amp;$R$1&amp;"]"</f>
        <v>["zhubajie_sb2_wuqi01_01"]</v>
      </c>
      <c r="O54" s="13">
        <f t="shared" si="3"/>
        <v>1120</v>
      </c>
      <c r="R54" s="13">
        <v>2</v>
      </c>
      <c r="S54" s="13">
        <v>2</v>
      </c>
      <c r="T54" s="13" t="s">
        <v>134</v>
      </c>
      <c r="U54" s="1">
        <v>1137</v>
      </c>
      <c r="V54" s="13">
        <f t="shared" si="4"/>
        <v>11371</v>
      </c>
      <c r="W54" s="13">
        <f t="shared" si="4"/>
        <v>11372</v>
      </c>
      <c r="X54" s="13">
        <f t="shared" si="4"/>
        <v>11373</v>
      </c>
      <c r="Y54" s="13">
        <f t="shared" si="4"/>
        <v>11374</v>
      </c>
      <c r="Z54" s="13">
        <f t="shared" si="4"/>
        <v>11375</v>
      </c>
      <c r="AB54" s="13">
        <v>2</v>
      </c>
      <c r="AC54" s="13">
        <f>INDEX($V$4:$Z$62,COUNTIFS($AB$1:$AB54,1),$AB54)</f>
        <v>11082</v>
      </c>
    </row>
    <row r="55" spans="1:29">
      <c r="A55" s="33">
        <v>11202</v>
      </c>
      <c r="B55" s="34" t="s">
        <v>523</v>
      </c>
      <c r="C55" s="33" t="s">
        <v>242</v>
      </c>
      <c r="D55" s="34" t="s">
        <v>144</v>
      </c>
      <c r="E55" s="34" t="s">
        <v>144</v>
      </c>
      <c r="F55" s="34" t="s">
        <v>640</v>
      </c>
      <c r="G55" s="35">
        <v>1120</v>
      </c>
      <c r="H55" s="34" t="s">
        <v>333</v>
      </c>
      <c r="I55" s="13" t="str">
        <f t="shared" si="0"/>
        <v>猪八戒</v>
      </c>
      <c r="J55" s="13">
        <v>2</v>
      </c>
      <c r="K55" s="13" t="str">
        <f t="shared" si="2"/>
        <v>上宝沁金钯+2</v>
      </c>
      <c r="L55" s="13" t="s">
        <v>332</v>
      </c>
      <c r="M55" s="13" t="str">
        <f t="shared" si="11"/>
        <v>["zhubajie_wuqi02_01"]</v>
      </c>
      <c r="N55" s="13" t="str">
        <f t="shared" si="27"/>
        <v>["zhubajie_sb3_wuqi02_01"]</v>
      </c>
      <c r="O55" s="13">
        <f t="shared" si="3"/>
        <v>1120</v>
      </c>
      <c r="R55" s="13">
        <v>2</v>
      </c>
      <c r="S55" s="13">
        <v>3</v>
      </c>
      <c r="T55" s="13" t="s">
        <v>135</v>
      </c>
      <c r="U55" s="1">
        <v>1216</v>
      </c>
      <c r="V55" s="13">
        <f t="shared" si="4"/>
        <v>12161</v>
      </c>
      <c r="W55" s="13">
        <f t="shared" si="4"/>
        <v>12162</v>
      </c>
      <c r="X55" s="13">
        <f t="shared" si="4"/>
        <v>12163</v>
      </c>
      <c r="Y55" s="13">
        <f t="shared" si="4"/>
        <v>12164</v>
      </c>
      <c r="Z55" s="13">
        <f t="shared" si="4"/>
        <v>12165</v>
      </c>
      <c r="AB55" s="13">
        <v>3</v>
      </c>
      <c r="AC55" s="13">
        <f>INDEX($V$4:$Z$62,COUNTIFS($AB$1:$AB55,1),$AB55)</f>
        <v>11083</v>
      </c>
    </row>
    <row r="56" spans="1:29">
      <c r="A56" s="33">
        <v>11203</v>
      </c>
      <c r="B56" s="34" t="s">
        <v>523</v>
      </c>
      <c r="C56" s="33" t="s">
        <v>242</v>
      </c>
      <c r="D56" s="34" t="s">
        <v>641</v>
      </c>
      <c r="E56" s="34" t="s">
        <v>642</v>
      </c>
      <c r="F56" s="34" t="s">
        <v>643</v>
      </c>
      <c r="G56" s="35">
        <v>1120</v>
      </c>
      <c r="H56" s="34" t="s">
        <v>334</v>
      </c>
      <c r="I56" s="13" t="str">
        <f t="shared" si="0"/>
        <v>猪八戒</v>
      </c>
      <c r="J56" s="13">
        <v>3</v>
      </c>
      <c r="K56" s="13" t="str">
        <f t="shared" si="2"/>
        <v>上宝沁金钯+3</v>
      </c>
      <c r="L56" s="13" t="s">
        <v>333</v>
      </c>
      <c r="M56" s="13" t="str">
        <f t="shared" si="11"/>
        <v>["zhubajie_wuqi02_01"]</v>
      </c>
      <c r="N56" s="13" t="str">
        <f t="shared" si="27"/>
        <v>["zhubajie_sb4_wuqi02_01"]</v>
      </c>
      <c r="O56" s="13">
        <f t="shared" si="3"/>
        <v>1120</v>
      </c>
      <c r="R56" s="13">
        <v>2</v>
      </c>
      <c r="S56" s="13">
        <v>4</v>
      </c>
      <c r="T56" s="13" t="s">
        <v>135</v>
      </c>
      <c r="U56" s="1">
        <v>1106</v>
      </c>
      <c r="V56" s="13">
        <f t="shared" si="4"/>
        <v>11061</v>
      </c>
      <c r="W56" s="13">
        <f t="shared" si="4"/>
        <v>11062</v>
      </c>
      <c r="X56" s="13">
        <f t="shared" si="4"/>
        <v>11063</v>
      </c>
      <c r="Y56" s="13">
        <f t="shared" si="4"/>
        <v>11064</v>
      </c>
      <c r="Z56" s="13">
        <f t="shared" si="4"/>
        <v>11065</v>
      </c>
      <c r="AB56" s="13">
        <v>4</v>
      </c>
      <c r="AC56" s="13">
        <f>INDEX($V$4:$Z$62,COUNTIFS($AB$1:$AB56,1),$AB56)</f>
        <v>11084</v>
      </c>
    </row>
    <row r="57" spans="1:29">
      <c r="A57" s="33">
        <v>11204</v>
      </c>
      <c r="B57" s="34" t="s">
        <v>523</v>
      </c>
      <c r="C57" s="33" t="s">
        <v>242</v>
      </c>
      <c r="D57" s="34" t="s">
        <v>644</v>
      </c>
      <c r="E57" s="34" t="s">
        <v>645</v>
      </c>
      <c r="F57" s="34" t="s">
        <v>640</v>
      </c>
      <c r="G57" s="35">
        <v>1120</v>
      </c>
      <c r="H57" s="34" t="s">
        <v>335</v>
      </c>
      <c r="I57" s="13" t="str">
        <f t="shared" si="0"/>
        <v>猪八戒</v>
      </c>
      <c r="J57" s="13">
        <v>4</v>
      </c>
      <c r="K57" s="13" t="str">
        <f t="shared" ref="K57:K58" si="28">IF(J57=0,$B57,B57&amp;"+"&amp;J57)</f>
        <v>上宝沁金钯+4</v>
      </c>
      <c r="L57" s="13" t="s">
        <v>334</v>
      </c>
      <c r="M57" s="13" t="str">
        <f t="shared" si="11"/>
        <v>["zhubajie_wuqi02_01"]</v>
      </c>
      <c r="N57" s="13" t="str">
        <f t="shared" si="27"/>
        <v>["zhubajie_sb5_wuqi03_01"]</v>
      </c>
      <c r="O57" s="13">
        <f t="shared" ref="O57:O58" si="29">INT(LEFT(A57,4))</f>
        <v>1120</v>
      </c>
      <c r="R57" s="13">
        <v>2</v>
      </c>
      <c r="S57" s="13">
        <v>5</v>
      </c>
      <c r="T57" s="13" t="s">
        <v>136</v>
      </c>
      <c r="U57" s="1">
        <v>1115</v>
      </c>
      <c r="V57" s="13">
        <f t="shared" si="4"/>
        <v>11151</v>
      </c>
      <c r="W57" s="13">
        <f t="shared" si="4"/>
        <v>11152</v>
      </c>
      <c r="X57" s="13">
        <f t="shared" si="4"/>
        <v>11153</v>
      </c>
      <c r="Y57" s="13">
        <f t="shared" si="4"/>
        <v>11154</v>
      </c>
      <c r="Z57" s="13">
        <f t="shared" si="4"/>
        <v>11155</v>
      </c>
      <c r="AB57" s="13">
        <v>5</v>
      </c>
      <c r="AC57" s="13">
        <f>INDEX($V$4:$Z$62,COUNTIFS($AB$1:$AB57,1),$AB57)</f>
        <v>11085</v>
      </c>
    </row>
    <row r="58" spans="1:29">
      <c r="A58" s="33">
        <v>11205</v>
      </c>
      <c r="B58" s="34" t="s">
        <v>523</v>
      </c>
      <c r="C58" s="33" t="s">
        <v>242</v>
      </c>
      <c r="D58" s="34" t="s">
        <v>645</v>
      </c>
      <c r="E58" s="34" t="s">
        <v>645</v>
      </c>
      <c r="F58" s="34" t="s">
        <v>640</v>
      </c>
      <c r="G58" s="35">
        <v>1120</v>
      </c>
      <c r="H58" s="34" t="s">
        <v>335</v>
      </c>
      <c r="I58" s="13" t="str">
        <f t="shared" si="0"/>
        <v>猪八戒</v>
      </c>
      <c r="J58" s="13">
        <v>5</v>
      </c>
      <c r="K58" s="13" t="str">
        <f t="shared" si="28"/>
        <v>上宝沁金钯+5</v>
      </c>
      <c r="L58" s="13" t="s">
        <v>334</v>
      </c>
      <c r="M58" s="13" t="str">
        <f t="shared" si="11"/>
        <v>["zhubajie_wuqi02_01"]</v>
      </c>
      <c r="N58" s="13" t="str">
        <f t="shared" si="27"/>
        <v>["zhubajie_sb5_wuqi03_01"]</v>
      </c>
      <c r="O58" s="13">
        <f t="shared" si="29"/>
        <v>1120</v>
      </c>
      <c r="R58" s="13">
        <v>2</v>
      </c>
      <c r="S58" s="13">
        <v>5</v>
      </c>
      <c r="T58" s="13" t="s">
        <v>136</v>
      </c>
      <c r="U58" s="1">
        <v>1115</v>
      </c>
      <c r="V58" s="13">
        <f t="shared" si="4"/>
        <v>11151</v>
      </c>
      <c r="W58" s="13">
        <f t="shared" si="4"/>
        <v>11152</v>
      </c>
      <c r="X58" s="13">
        <f t="shared" si="4"/>
        <v>11153</v>
      </c>
      <c r="Y58" s="13">
        <f t="shared" si="4"/>
        <v>11154</v>
      </c>
      <c r="Z58" s="13">
        <f t="shared" si="4"/>
        <v>11155</v>
      </c>
      <c r="AB58" s="13">
        <v>5</v>
      </c>
      <c r="AC58" s="13">
        <f>INDEX($V$4:$Z$62,COUNTIFS($AB$1:$AB58,1),$AB58)</f>
        <v>11085</v>
      </c>
    </row>
    <row r="59" spans="1:29">
      <c r="A59" s="33">
        <v>11206</v>
      </c>
      <c r="B59" s="34" t="s">
        <v>523</v>
      </c>
      <c r="C59" s="33" t="s">
        <v>242</v>
      </c>
      <c r="D59" s="34" t="s">
        <v>645</v>
      </c>
      <c r="E59" s="34" t="s">
        <v>645</v>
      </c>
      <c r="F59" s="34" t="s">
        <v>640</v>
      </c>
      <c r="G59" s="35">
        <v>1120</v>
      </c>
      <c r="H59" s="34" t="s">
        <v>335</v>
      </c>
      <c r="I59" s="13" t="str">
        <f t="shared" si="0"/>
        <v>猪八戒</v>
      </c>
      <c r="J59" s="13">
        <v>5</v>
      </c>
      <c r="K59" s="13" t="str">
        <f t="shared" si="2"/>
        <v>上宝沁金钯+5</v>
      </c>
      <c r="L59" s="13" t="s">
        <v>334</v>
      </c>
      <c r="M59" s="13" t="str">
        <f t="shared" si="11"/>
        <v>["zhubajie_wuqi02_01"]</v>
      </c>
      <c r="N59" s="13" t="str">
        <f t="shared" si="27"/>
        <v>["zhubajie_sb5_wuqi03_01"]</v>
      </c>
      <c r="O59" s="13">
        <f t="shared" si="3"/>
        <v>1120</v>
      </c>
      <c r="R59" s="13">
        <v>2</v>
      </c>
      <c r="S59" s="13">
        <v>5</v>
      </c>
      <c r="T59" s="13" t="s">
        <v>136</v>
      </c>
      <c r="U59" s="1">
        <v>1115</v>
      </c>
      <c r="V59" s="13">
        <f t="shared" si="4"/>
        <v>11151</v>
      </c>
      <c r="W59" s="13">
        <f t="shared" si="4"/>
        <v>11152</v>
      </c>
      <c r="X59" s="13">
        <f t="shared" si="4"/>
        <v>11153</v>
      </c>
      <c r="Y59" s="13">
        <f t="shared" si="4"/>
        <v>11154</v>
      </c>
      <c r="Z59" s="13">
        <f t="shared" si="4"/>
        <v>11155</v>
      </c>
      <c r="AB59" s="13">
        <v>5</v>
      </c>
      <c r="AC59" s="13">
        <f>INDEX($V$4:$Z$62,COUNTIFS($AB$1:$AB59,1),$AB59)</f>
        <v>11085</v>
      </c>
    </row>
    <row r="60" spans="1:29" s="15" customFormat="1">
      <c r="A60" s="24">
        <v>11270</v>
      </c>
      <c r="B60" s="23" t="s">
        <v>524</v>
      </c>
      <c r="C60" s="24" t="s">
        <v>194</v>
      </c>
      <c r="D60" s="23" t="s">
        <v>21</v>
      </c>
      <c r="E60" s="23" t="s">
        <v>21</v>
      </c>
      <c r="F60" s="25" t="s">
        <v>646</v>
      </c>
      <c r="G60" s="26">
        <v>1127</v>
      </c>
      <c r="H60" s="23" t="s">
        <v>336</v>
      </c>
      <c r="I60" s="15" t="str">
        <f t="shared" si="0"/>
        <v>弥勒佛</v>
      </c>
      <c r="J60" s="15">
        <v>0</v>
      </c>
      <c r="K60" s="13" t="str">
        <f t="shared" si="2"/>
        <v>昆仑神木珠</v>
      </c>
      <c r="L60" s="15" t="s">
        <v>524</v>
      </c>
      <c r="M60" s="15" t="str">
        <f t="shared" si="11"/>
        <v>["milefo_wuqi01_01"]</v>
      </c>
      <c r="N60" s="15" t="s">
        <v>138</v>
      </c>
      <c r="O60" s="15">
        <f t="shared" si="3"/>
        <v>1127</v>
      </c>
      <c r="R60" s="15">
        <v>1</v>
      </c>
      <c r="S60" s="15">
        <v>1</v>
      </c>
      <c r="T60" s="15" t="s">
        <v>134</v>
      </c>
      <c r="U60" s="10">
        <v>1208</v>
      </c>
      <c r="V60" s="15">
        <f t="shared" si="4"/>
        <v>12081</v>
      </c>
      <c r="W60" s="15">
        <f t="shared" si="4"/>
        <v>12082</v>
      </c>
      <c r="X60" s="15">
        <f t="shared" si="4"/>
        <v>12083</v>
      </c>
      <c r="Y60" s="15">
        <f t="shared" si="4"/>
        <v>12084</v>
      </c>
      <c r="Z60" s="15">
        <f t="shared" si="4"/>
        <v>12085</v>
      </c>
      <c r="AB60" s="15">
        <v>1</v>
      </c>
      <c r="AC60" s="15">
        <f>INDEX($V$4:$Z$62,COUNTIFS($AB$1:$AB60,1),$AB60)</f>
        <v>11131</v>
      </c>
    </row>
    <row r="61" spans="1:29" s="15" customFormat="1">
      <c r="A61" s="24">
        <v>11271</v>
      </c>
      <c r="B61" s="23" t="s">
        <v>524</v>
      </c>
      <c r="C61" s="24" t="s">
        <v>195</v>
      </c>
      <c r="D61" s="23" t="s">
        <v>647</v>
      </c>
      <c r="E61" s="23" t="s">
        <v>647</v>
      </c>
      <c r="F61" s="25" t="s">
        <v>646</v>
      </c>
      <c r="G61" s="26">
        <v>1127</v>
      </c>
      <c r="H61" s="23" t="s">
        <v>337</v>
      </c>
      <c r="I61" s="15" t="str">
        <f t="shared" si="0"/>
        <v>弥勒佛</v>
      </c>
      <c r="J61" s="15">
        <v>1</v>
      </c>
      <c r="K61" s="13" t="str">
        <f t="shared" si="2"/>
        <v>昆仑神木珠+1</v>
      </c>
      <c r="L61" s="15" t="s">
        <v>336</v>
      </c>
      <c r="M61" s="15" t="str">
        <f t="shared" si="11"/>
        <v>["milefo_wuqi02_01"]</v>
      </c>
      <c r="N61" s="15" t="str">
        <f t="shared" ref="N61:N66" si="30">"["&amp;$R$1&amp;SUBSTITUTE(VLOOKUP(O61,$U$77:$W$138,3,0),"_actor","")&amp;"_sb"&amp;S61&amp;"_wuqi0"&amp;T61&amp;$R$1&amp;"]"</f>
        <v>["milefo_sb2_wuqi01_01"]</v>
      </c>
      <c r="O61" s="15">
        <f t="shared" si="3"/>
        <v>1127</v>
      </c>
      <c r="R61" s="15">
        <v>2</v>
      </c>
      <c r="S61" s="15">
        <v>2</v>
      </c>
      <c r="T61" s="15" t="s">
        <v>134</v>
      </c>
      <c r="U61" s="10">
        <v>1122</v>
      </c>
      <c r="V61" s="15">
        <f t="shared" si="4"/>
        <v>11221</v>
      </c>
      <c r="W61" s="15">
        <f t="shared" si="4"/>
        <v>11222</v>
      </c>
      <c r="X61" s="15">
        <f t="shared" si="4"/>
        <v>11223</v>
      </c>
      <c r="Y61" s="15">
        <f t="shared" si="4"/>
        <v>11224</v>
      </c>
      <c r="Z61" s="15">
        <f t="shared" si="4"/>
        <v>11225</v>
      </c>
      <c r="AB61" s="15">
        <v>2</v>
      </c>
      <c r="AC61" s="15">
        <f>INDEX($V$4:$Z$62,COUNTIFS($AB$1:$AB61,1),$AB61)</f>
        <v>11132</v>
      </c>
    </row>
    <row r="62" spans="1:29" s="15" customFormat="1">
      <c r="A62" s="24">
        <v>11272</v>
      </c>
      <c r="B62" s="23" t="s">
        <v>524</v>
      </c>
      <c r="C62" s="24" t="s">
        <v>193</v>
      </c>
      <c r="D62" s="23" t="s">
        <v>200</v>
      </c>
      <c r="E62" s="23" t="s">
        <v>200</v>
      </c>
      <c r="F62" s="25" t="s">
        <v>646</v>
      </c>
      <c r="G62" s="26">
        <v>1127</v>
      </c>
      <c r="H62" s="23" t="s">
        <v>338</v>
      </c>
      <c r="I62" s="15" t="str">
        <f t="shared" si="0"/>
        <v>弥勒佛</v>
      </c>
      <c r="J62" s="15">
        <v>2</v>
      </c>
      <c r="K62" s="13" t="str">
        <f t="shared" si="2"/>
        <v>昆仑神木珠+2</v>
      </c>
      <c r="L62" s="15" t="s">
        <v>337</v>
      </c>
      <c r="M62" s="15" t="str">
        <f t="shared" si="11"/>
        <v>["milefo_wuqi02_01"]</v>
      </c>
      <c r="N62" s="15" t="str">
        <f t="shared" si="30"/>
        <v>["milefo_sb3_wuqi02_01"]</v>
      </c>
      <c r="O62" s="15">
        <f t="shared" si="3"/>
        <v>1127</v>
      </c>
      <c r="R62" s="15">
        <v>2</v>
      </c>
      <c r="S62" s="15">
        <v>3</v>
      </c>
      <c r="T62" s="15" t="s">
        <v>135</v>
      </c>
      <c r="U62" s="10">
        <v>1207</v>
      </c>
      <c r="V62" s="15">
        <f t="shared" si="4"/>
        <v>12071</v>
      </c>
      <c r="W62" s="15">
        <f t="shared" si="4"/>
        <v>12072</v>
      </c>
      <c r="X62" s="15">
        <f t="shared" si="4"/>
        <v>12073</v>
      </c>
      <c r="Y62" s="15">
        <f t="shared" si="4"/>
        <v>12074</v>
      </c>
      <c r="Z62" s="15">
        <f t="shared" si="4"/>
        <v>12075</v>
      </c>
      <c r="AB62" s="15">
        <v>3</v>
      </c>
      <c r="AC62" s="15">
        <f>INDEX($V$4:$Z$62,COUNTIFS($AB$1:$AB62,1),$AB62)</f>
        <v>11133</v>
      </c>
    </row>
    <row r="63" spans="1:29" s="15" customFormat="1">
      <c r="A63" s="24">
        <v>11273</v>
      </c>
      <c r="B63" s="23" t="s">
        <v>524</v>
      </c>
      <c r="C63" s="24" t="s">
        <v>193</v>
      </c>
      <c r="D63" s="23" t="s">
        <v>201</v>
      </c>
      <c r="E63" s="23" t="s">
        <v>201</v>
      </c>
      <c r="F63" s="25" t="s">
        <v>646</v>
      </c>
      <c r="G63" s="26">
        <v>1127</v>
      </c>
      <c r="H63" s="23" t="s">
        <v>339</v>
      </c>
      <c r="I63" s="15" t="str">
        <f t="shared" si="0"/>
        <v>弥勒佛</v>
      </c>
      <c r="J63" s="15">
        <v>3</v>
      </c>
      <c r="K63" s="13" t="str">
        <f t="shared" si="2"/>
        <v>昆仑神木珠+3</v>
      </c>
      <c r="L63" s="15" t="s">
        <v>338</v>
      </c>
      <c r="M63" s="15" t="str">
        <f t="shared" si="11"/>
        <v>["milefo_wuqi02_01"]</v>
      </c>
      <c r="N63" s="15" t="str">
        <f t="shared" si="30"/>
        <v>["milefo_sb4_wuqi02_01"]</v>
      </c>
      <c r="O63" s="15">
        <f t="shared" si="3"/>
        <v>1127</v>
      </c>
      <c r="R63" s="15">
        <v>2</v>
      </c>
      <c r="S63" s="15">
        <v>4</v>
      </c>
      <c r="T63" s="15" t="s">
        <v>135</v>
      </c>
      <c r="AB63" s="15">
        <v>4</v>
      </c>
      <c r="AC63" s="15">
        <f>INDEX($V$4:$Z$62,COUNTIFS($AB$1:$AB63,1),$AB63)</f>
        <v>11134</v>
      </c>
    </row>
    <row r="64" spans="1:29" s="15" customFormat="1">
      <c r="A64" s="24">
        <v>11274</v>
      </c>
      <c r="B64" s="23" t="s">
        <v>524</v>
      </c>
      <c r="C64" s="24" t="s">
        <v>193</v>
      </c>
      <c r="D64" s="23" t="s">
        <v>202</v>
      </c>
      <c r="E64" s="23" t="s">
        <v>202</v>
      </c>
      <c r="F64" s="25" t="s">
        <v>646</v>
      </c>
      <c r="G64" s="26">
        <v>1127</v>
      </c>
      <c r="H64" s="23" t="s">
        <v>340</v>
      </c>
      <c r="I64" s="15" t="str">
        <f t="shared" si="0"/>
        <v>弥勒佛</v>
      </c>
      <c r="J64" s="15">
        <v>4</v>
      </c>
      <c r="K64" s="13" t="str">
        <f t="shared" ref="K64:K65" si="31">IF(J64=0,$B64,B64&amp;"+"&amp;J64)</f>
        <v>昆仑神木珠+4</v>
      </c>
      <c r="L64" s="15" t="s">
        <v>339</v>
      </c>
      <c r="M64" s="15" t="str">
        <f t="shared" si="11"/>
        <v>["milefo_wuqi02_01"]</v>
      </c>
      <c r="N64" s="15" t="str">
        <f t="shared" si="30"/>
        <v>["milefo_sb5_wuqi03_01"]</v>
      </c>
      <c r="O64" s="15">
        <f t="shared" ref="O64:O65" si="32">INT(LEFT(A64,4))</f>
        <v>1127</v>
      </c>
      <c r="R64" s="15">
        <v>2</v>
      </c>
      <c r="S64" s="15">
        <v>5</v>
      </c>
      <c r="T64" s="15" t="s">
        <v>136</v>
      </c>
      <c r="AB64" s="15">
        <v>5</v>
      </c>
      <c r="AC64" s="15">
        <f>INDEX($V$4:$Z$62,COUNTIFS($AB$1:$AB64,1),$AB64)</f>
        <v>11135</v>
      </c>
    </row>
    <row r="65" spans="1:29" s="15" customFormat="1">
      <c r="A65" s="24">
        <v>11275</v>
      </c>
      <c r="B65" s="23" t="s">
        <v>524</v>
      </c>
      <c r="C65" s="24" t="s">
        <v>193</v>
      </c>
      <c r="D65" s="23" t="s">
        <v>202</v>
      </c>
      <c r="E65" s="23" t="s">
        <v>202</v>
      </c>
      <c r="F65" s="25" t="s">
        <v>646</v>
      </c>
      <c r="G65" s="26">
        <v>1127</v>
      </c>
      <c r="H65" s="23" t="s">
        <v>340</v>
      </c>
      <c r="I65" s="15" t="str">
        <f t="shared" si="0"/>
        <v>弥勒佛</v>
      </c>
      <c r="J65" s="15">
        <v>5</v>
      </c>
      <c r="K65" s="13" t="str">
        <f t="shared" si="31"/>
        <v>昆仑神木珠+5</v>
      </c>
      <c r="L65" s="15" t="s">
        <v>339</v>
      </c>
      <c r="M65" s="15" t="str">
        <f t="shared" si="11"/>
        <v>["milefo_wuqi02_01"]</v>
      </c>
      <c r="N65" s="15" t="str">
        <f t="shared" si="30"/>
        <v>["milefo_sb5_wuqi03_01"]</v>
      </c>
      <c r="O65" s="15">
        <f t="shared" si="32"/>
        <v>1127</v>
      </c>
      <c r="R65" s="15">
        <v>2</v>
      </c>
      <c r="S65" s="15">
        <v>5</v>
      </c>
      <c r="T65" s="15" t="s">
        <v>136</v>
      </c>
      <c r="AB65" s="15">
        <v>5</v>
      </c>
      <c r="AC65" s="15">
        <f>INDEX($V$4:$Z$62,COUNTIFS($AB$1:$AB65,1),$AB65)</f>
        <v>11135</v>
      </c>
    </row>
    <row r="66" spans="1:29" s="15" customFormat="1">
      <c r="A66" s="24">
        <v>11276</v>
      </c>
      <c r="B66" s="23" t="s">
        <v>524</v>
      </c>
      <c r="C66" s="24" t="s">
        <v>193</v>
      </c>
      <c r="D66" s="23" t="s">
        <v>202</v>
      </c>
      <c r="E66" s="23" t="s">
        <v>202</v>
      </c>
      <c r="F66" s="25" t="s">
        <v>646</v>
      </c>
      <c r="G66" s="26">
        <v>1127</v>
      </c>
      <c r="H66" s="23" t="s">
        <v>340</v>
      </c>
      <c r="I66" s="15" t="str">
        <f t="shared" si="0"/>
        <v>弥勒佛</v>
      </c>
      <c r="J66" s="15">
        <v>5</v>
      </c>
      <c r="K66" s="13" t="str">
        <f t="shared" si="2"/>
        <v>昆仑神木珠+5</v>
      </c>
      <c r="L66" s="15" t="s">
        <v>339</v>
      </c>
      <c r="M66" s="15" t="str">
        <f t="shared" si="11"/>
        <v>["milefo_wuqi02_01"]</v>
      </c>
      <c r="N66" s="15" t="str">
        <f t="shared" si="30"/>
        <v>["milefo_sb5_wuqi03_01"]</v>
      </c>
      <c r="O66" s="15">
        <f t="shared" si="3"/>
        <v>1127</v>
      </c>
      <c r="R66" s="15">
        <v>2</v>
      </c>
      <c r="S66" s="15">
        <v>5</v>
      </c>
      <c r="T66" s="15" t="s">
        <v>136</v>
      </c>
      <c r="AB66" s="15">
        <v>5</v>
      </c>
      <c r="AC66" s="15">
        <f>INDEX($V$4:$Z$62,COUNTIFS($AB$1:$AB66,1),$AB66)</f>
        <v>11135</v>
      </c>
    </row>
    <row r="67" spans="1:29" s="15" customFormat="1">
      <c r="A67" s="33">
        <v>12120</v>
      </c>
      <c r="B67" s="34" t="s">
        <v>525</v>
      </c>
      <c r="C67" s="33" t="s">
        <v>196</v>
      </c>
      <c r="D67" s="34" t="s">
        <v>648</v>
      </c>
      <c r="E67" s="34" t="s">
        <v>648</v>
      </c>
      <c r="F67" s="34" t="s">
        <v>649</v>
      </c>
      <c r="G67" s="35">
        <v>1212</v>
      </c>
      <c r="H67" s="34" t="s">
        <v>341</v>
      </c>
      <c r="I67" s="15" t="str">
        <f t="shared" si="0"/>
        <v>金蝉子</v>
      </c>
      <c r="J67" s="15">
        <v>0</v>
      </c>
      <c r="K67" s="13" t="str">
        <f t="shared" si="2"/>
        <v>浮沉三世</v>
      </c>
      <c r="L67" s="15" t="s">
        <v>525</v>
      </c>
      <c r="M67" s="15" t="str">
        <f t="shared" si="11"/>
        <v>["jinchanzi_wuqi01_01"]</v>
      </c>
      <c r="N67" s="15" t="s">
        <v>138</v>
      </c>
      <c r="O67" s="15">
        <f t="shared" si="3"/>
        <v>1212</v>
      </c>
      <c r="R67" s="15">
        <v>1</v>
      </c>
      <c r="S67" s="15">
        <v>1</v>
      </c>
      <c r="T67" s="15" t="s">
        <v>134</v>
      </c>
      <c r="AB67" s="15">
        <v>1</v>
      </c>
      <c r="AC67" s="15">
        <f>INDEX($V$4:$Z$62,COUNTIFS($AB$1:$AB67,1),$AB67)</f>
        <v>11201</v>
      </c>
    </row>
    <row r="68" spans="1:29" s="15" customFormat="1">
      <c r="A68" s="33">
        <v>12121</v>
      </c>
      <c r="B68" s="34" t="s">
        <v>525</v>
      </c>
      <c r="C68" s="33" t="s">
        <v>198</v>
      </c>
      <c r="D68" s="34" t="s">
        <v>565</v>
      </c>
      <c r="E68" s="34" t="s">
        <v>565</v>
      </c>
      <c r="F68" s="34" t="s">
        <v>649</v>
      </c>
      <c r="G68" s="35">
        <v>1212</v>
      </c>
      <c r="H68" s="34" t="s">
        <v>342</v>
      </c>
      <c r="I68" s="15" t="str">
        <f t="shared" ref="I68:I131" si="33">VLOOKUP(INT(LEFT(A68,4)),$U$77:$V$138,2,0)</f>
        <v>金蝉子</v>
      </c>
      <c r="J68" s="15">
        <v>1</v>
      </c>
      <c r="K68" s="13" t="str">
        <f t="shared" si="2"/>
        <v>浮沉三世+1</v>
      </c>
      <c r="L68" s="15" t="s">
        <v>341</v>
      </c>
      <c r="M68" s="15" t="str">
        <f t="shared" si="11"/>
        <v>["jinchanzi_wuqi02_01"]</v>
      </c>
      <c r="N68" s="15" t="str">
        <f t="shared" ref="N68:N73" si="34">"["&amp;$R$1&amp;SUBSTITUTE(VLOOKUP(O68,$U$77:$W$138,3,0),"_actor","")&amp;"_sb"&amp;S68&amp;"_wuqi0"&amp;T68&amp;$R$1&amp;"]"</f>
        <v>["jinchanzi_sb2_wuqi01_01"]</v>
      </c>
      <c r="O68" s="15">
        <f t="shared" si="3"/>
        <v>1212</v>
      </c>
      <c r="R68" s="15">
        <v>2</v>
      </c>
      <c r="S68" s="15">
        <v>2</v>
      </c>
      <c r="T68" s="15" t="s">
        <v>134</v>
      </c>
      <c r="AB68" s="15">
        <v>2</v>
      </c>
      <c r="AC68" s="15">
        <f>INDEX($V$4:$Z$62,COUNTIFS($AB$1:$AB68,1),$AB68)</f>
        <v>11202</v>
      </c>
    </row>
    <row r="69" spans="1:29" s="15" customFormat="1">
      <c r="A69" s="33">
        <v>12122</v>
      </c>
      <c r="B69" s="34" t="s">
        <v>525</v>
      </c>
      <c r="C69" s="33" t="s">
        <v>197</v>
      </c>
      <c r="D69" s="34" t="s">
        <v>203</v>
      </c>
      <c r="E69" s="34" t="s">
        <v>203</v>
      </c>
      <c r="F69" s="34" t="s">
        <v>649</v>
      </c>
      <c r="G69" s="35">
        <v>1212</v>
      </c>
      <c r="H69" s="34" t="s">
        <v>343</v>
      </c>
      <c r="I69" s="15" t="str">
        <f t="shared" si="33"/>
        <v>金蝉子</v>
      </c>
      <c r="J69" s="15">
        <v>2</v>
      </c>
      <c r="K69" s="13" t="str">
        <f t="shared" si="2"/>
        <v>浮沉三世+2</v>
      </c>
      <c r="L69" s="15" t="s">
        <v>342</v>
      </c>
      <c r="M69" s="15" t="str">
        <f t="shared" si="11"/>
        <v>["jinchanzi_wuqi02_01"]</v>
      </c>
      <c r="N69" s="15" t="str">
        <f t="shared" si="34"/>
        <v>["jinchanzi_sb3_wuqi02_01"]</v>
      </c>
      <c r="O69" s="15">
        <f t="shared" si="3"/>
        <v>1212</v>
      </c>
      <c r="R69" s="15">
        <v>2</v>
      </c>
      <c r="S69" s="15">
        <v>3</v>
      </c>
      <c r="T69" s="15" t="s">
        <v>135</v>
      </c>
      <c r="AB69" s="15">
        <v>3</v>
      </c>
      <c r="AC69" s="15">
        <f>INDEX($V$4:$Z$62,COUNTIFS($AB$1:$AB69,1),$AB69)</f>
        <v>11203</v>
      </c>
    </row>
    <row r="70" spans="1:29" s="15" customFormat="1">
      <c r="A70" s="33">
        <v>12123</v>
      </c>
      <c r="B70" s="34" t="s">
        <v>525</v>
      </c>
      <c r="C70" s="33" t="s">
        <v>197</v>
      </c>
      <c r="D70" s="34" t="s">
        <v>650</v>
      </c>
      <c r="E70" s="34" t="s">
        <v>650</v>
      </c>
      <c r="F70" s="34" t="s">
        <v>649</v>
      </c>
      <c r="G70" s="35">
        <v>1212</v>
      </c>
      <c r="H70" s="34" t="s">
        <v>344</v>
      </c>
      <c r="I70" s="15" t="str">
        <f t="shared" si="33"/>
        <v>金蝉子</v>
      </c>
      <c r="J70" s="15">
        <v>3</v>
      </c>
      <c r="K70" s="13" t="str">
        <f t="shared" si="2"/>
        <v>浮沉三世+3</v>
      </c>
      <c r="L70" s="15" t="s">
        <v>343</v>
      </c>
      <c r="M70" s="15" t="str">
        <f t="shared" si="11"/>
        <v>["jinchanzi_wuqi02_01"]</v>
      </c>
      <c r="N70" s="15" t="str">
        <f t="shared" si="34"/>
        <v>["jinchanzi_sb4_wuqi02_01"]</v>
      </c>
      <c r="O70" s="15">
        <f t="shared" si="3"/>
        <v>1212</v>
      </c>
      <c r="R70" s="15">
        <v>2</v>
      </c>
      <c r="S70" s="15">
        <v>4</v>
      </c>
      <c r="T70" s="15" t="s">
        <v>135</v>
      </c>
      <c r="AB70" s="15">
        <v>4</v>
      </c>
      <c r="AC70" s="15">
        <f>INDEX($V$4:$Z$62,COUNTIFS($AB$1:$AB70,1),$AB70)</f>
        <v>11204</v>
      </c>
    </row>
    <row r="71" spans="1:29" s="15" customFormat="1">
      <c r="A71" s="33">
        <v>12124</v>
      </c>
      <c r="B71" s="34" t="s">
        <v>525</v>
      </c>
      <c r="C71" s="33" t="s">
        <v>197</v>
      </c>
      <c r="D71" s="34" t="s">
        <v>651</v>
      </c>
      <c r="E71" s="34" t="s">
        <v>651</v>
      </c>
      <c r="F71" s="34" t="s">
        <v>649</v>
      </c>
      <c r="G71" s="35">
        <v>1212</v>
      </c>
      <c r="H71" s="34" t="s">
        <v>345</v>
      </c>
      <c r="I71" s="15" t="str">
        <f t="shared" si="33"/>
        <v>金蝉子</v>
      </c>
      <c r="J71" s="15">
        <v>4</v>
      </c>
      <c r="K71" s="13" t="str">
        <f t="shared" ref="K71:K72" si="35">IF(J71=0,$B71,B71&amp;"+"&amp;J71)</f>
        <v>浮沉三世+4</v>
      </c>
      <c r="L71" s="15" t="s">
        <v>344</v>
      </c>
      <c r="M71" s="15" t="str">
        <f t="shared" si="11"/>
        <v>["jinchanzi_wuqi02_01"]</v>
      </c>
      <c r="N71" s="15" t="str">
        <f t="shared" si="34"/>
        <v>["jinchanzi_sb5_wuqi03_01"]</v>
      </c>
      <c r="O71" s="15">
        <f t="shared" ref="O71:O72" si="36">INT(LEFT(A71,4))</f>
        <v>1212</v>
      </c>
      <c r="R71" s="15">
        <v>2</v>
      </c>
      <c r="S71" s="15">
        <v>5</v>
      </c>
      <c r="T71" s="15" t="s">
        <v>136</v>
      </c>
      <c r="AB71" s="15">
        <v>5</v>
      </c>
      <c r="AC71" s="15">
        <f>INDEX($V$4:$Z$62,COUNTIFS($AB$1:$AB71,1),$AB71)</f>
        <v>11205</v>
      </c>
    </row>
    <row r="72" spans="1:29" s="15" customFormat="1">
      <c r="A72" s="33">
        <v>12125</v>
      </c>
      <c r="B72" s="34" t="s">
        <v>525</v>
      </c>
      <c r="C72" s="33" t="s">
        <v>197</v>
      </c>
      <c r="D72" s="34" t="s">
        <v>651</v>
      </c>
      <c r="E72" s="34" t="s">
        <v>651</v>
      </c>
      <c r="F72" s="34" t="s">
        <v>649</v>
      </c>
      <c r="G72" s="35">
        <v>1212</v>
      </c>
      <c r="H72" s="34" t="s">
        <v>345</v>
      </c>
      <c r="I72" s="15" t="str">
        <f t="shared" si="33"/>
        <v>金蝉子</v>
      </c>
      <c r="J72" s="15">
        <v>5</v>
      </c>
      <c r="K72" s="13" t="str">
        <f t="shared" si="35"/>
        <v>浮沉三世+5</v>
      </c>
      <c r="L72" s="15" t="s">
        <v>344</v>
      </c>
      <c r="M72" s="15" t="str">
        <f t="shared" si="11"/>
        <v>["jinchanzi_wuqi02_01"]</v>
      </c>
      <c r="N72" s="15" t="str">
        <f t="shared" si="34"/>
        <v>["jinchanzi_sb5_wuqi03_01"]</v>
      </c>
      <c r="O72" s="15">
        <f t="shared" si="36"/>
        <v>1212</v>
      </c>
      <c r="R72" s="15">
        <v>2</v>
      </c>
      <c r="S72" s="15">
        <v>5</v>
      </c>
      <c r="T72" s="15" t="s">
        <v>136</v>
      </c>
      <c r="AB72" s="15">
        <v>5</v>
      </c>
      <c r="AC72" s="15">
        <f>INDEX($V$4:$Z$62,COUNTIFS($AB$1:$AB72,1),$AB72)</f>
        <v>11205</v>
      </c>
    </row>
    <row r="73" spans="1:29" s="15" customFormat="1">
      <c r="A73" s="33">
        <v>12126</v>
      </c>
      <c r="B73" s="34" t="s">
        <v>525</v>
      </c>
      <c r="C73" s="33" t="s">
        <v>197</v>
      </c>
      <c r="D73" s="34" t="s">
        <v>651</v>
      </c>
      <c r="E73" s="34" t="s">
        <v>651</v>
      </c>
      <c r="F73" s="34" t="s">
        <v>649</v>
      </c>
      <c r="G73" s="35">
        <v>1212</v>
      </c>
      <c r="H73" s="34" t="s">
        <v>345</v>
      </c>
      <c r="I73" s="15" t="str">
        <f t="shared" si="33"/>
        <v>金蝉子</v>
      </c>
      <c r="J73" s="15">
        <v>5</v>
      </c>
      <c r="K73" s="13" t="str">
        <f t="shared" si="2"/>
        <v>浮沉三世+5</v>
      </c>
      <c r="L73" s="15" t="s">
        <v>344</v>
      </c>
      <c r="M73" s="15" t="str">
        <f t="shared" si="11"/>
        <v>["jinchanzi_wuqi02_01"]</v>
      </c>
      <c r="N73" s="15" t="str">
        <f t="shared" si="34"/>
        <v>["jinchanzi_sb5_wuqi03_01"]</v>
      </c>
      <c r="O73" s="15">
        <f t="shared" si="3"/>
        <v>1212</v>
      </c>
      <c r="R73" s="15">
        <v>2</v>
      </c>
      <c r="S73" s="15">
        <v>5</v>
      </c>
      <c r="T73" s="15" t="s">
        <v>136</v>
      </c>
      <c r="AB73" s="15">
        <v>5</v>
      </c>
      <c r="AC73" s="15">
        <f>INDEX($V$4:$Z$62,COUNTIFS($AB$1:$AB73,1),$AB73)</f>
        <v>11205</v>
      </c>
    </row>
    <row r="74" spans="1:29">
      <c r="A74" s="24">
        <v>12190</v>
      </c>
      <c r="B74" s="23" t="s">
        <v>526</v>
      </c>
      <c r="C74" s="24" t="s">
        <v>243</v>
      </c>
      <c r="D74" s="23" t="s">
        <v>564</v>
      </c>
      <c r="E74" s="23" t="s">
        <v>564</v>
      </c>
      <c r="F74" s="25" t="s">
        <v>652</v>
      </c>
      <c r="G74" s="26">
        <v>1219</v>
      </c>
      <c r="H74" s="23" t="s">
        <v>346</v>
      </c>
      <c r="I74" s="13" t="str">
        <f t="shared" si="33"/>
        <v>黑无常</v>
      </c>
      <c r="J74" s="13">
        <v>0</v>
      </c>
      <c r="K74" s="13" t="str">
        <f t="shared" si="2"/>
        <v>斩鬼流岩</v>
      </c>
      <c r="L74" s="13" t="s">
        <v>526</v>
      </c>
      <c r="M74" s="13" t="str">
        <f t="shared" si="11"/>
        <v>["heiwuchang_wuqi01_01"]</v>
      </c>
      <c r="N74" s="13" t="s">
        <v>138</v>
      </c>
      <c r="O74" s="13">
        <f t="shared" si="3"/>
        <v>1219</v>
      </c>
      <c r="R74" s="13">
        <v>1</v>
      </c>
      <c r="S74" s="13">
        <v>1</v>
      </c>
      <c r="T74" s="13" t="s">
        <v>134</v>
      </c>
      <c r="AB74" s="13">
        <v>1</v>
      </c>
      <c r="AC74" s="13">
        <f>INDEX($V$4:$Z$62,COUNTIFS($AB$1:$AB74,1),$AB74)</f>
        <v>11271</v>
      </c>
    </row>
    <row r="75" spans="1:29">
      <c r="A75" s="24">
        <v>12191</v>
      </c>
      <c r="B75" s="23" t="s">
        <v>526</v>
      </c>
      <c r="C75" s="24" t="s">
        <v>244</v>
      </c>
      <c r="D75" s="23" t="s">
        <v>653</v>
      </c>
      <c r="E75" s="23" t="s">
        <v>653</v>
      </c>
      <c r="F75" s="25" t="s">
        <v>652</v>
      </c>
      <c r="G75" s="26">
        <v>1219</v>
      </c>
      <c r="H75" s="23" t="s">
        <v>347</v>
      </c>
      <c r="I75" s="13" t="str">
        <f t="shared" si="33"/>
        <v>黑无常</v>
      </c>
      <c r="J75" s="13">
        <v>1</v>
      </c>
      <c r="K75" s="13" t="str">
        <f t="shared" si="2"/>
        <v>斩鬼流岩+1</v>
      </c>
      <c r="L75" s="13" t="s">
        <v>346</v>
      </c>
      <c r="M75" s="13" t="str">
        <f t="shared" si="11"/>
        <v>["heiwuchang_wuqi02_01"]</v>
      </c>
      <c r="N75" s="13" t="str">
        <f t="shared" ref="N75:N80" si="37">"["&amp;$R$1&amp;SUBSTITUTE(VLOOKUP(O75,$U$77:$W$138,3,0),"_actor","")&amp;"_sb"&amp;S75&amp;"_wuqi0"&amp;T75&amp;$R$1&amp;"]"</f>
        <v>["heiwuchang_sb2_wuqi01_01"]</v>
      </c>
      <c r="O75" s="13">
        <f t="shared" si="3"/>
        <v>1219</v>
      </c>
      <c r="R75" s="13">
        <v>2</v>
      </c>
      <c r="S75" s="13">
        <v>2</v>
      </c>
      <c r="T75" s="13" t="s">
        <v>134</v>
      </c>
      <c r="U75" s="2">
        <v>1001</v>
      </c>
      <c r="V75" s="2" t="s">
        <v>223</v>
      </c>
      <c r="W75" s="2" t="s">
        <v>225</v>
      </c>
      <c r="AB75" s="13">
        <v>2</v>
      </c>
      <c r="AC75" s="13">
        <f>INDEX($V$4:$Z$62,COUNTIFS($AB$1:$AB75,1),$AB75)</f>
        <v>11272</v>
      </c>
    </row>
    <row r="76" spans="1:29">
      <c r="A76" s="24">
        <v>12192</v>
      </c>
      <c r="B76" s="23" t="s">
        <v>526</v>
      </c>
      <c r="C76" s="24" t="s">
        <v>244</v>
      </c>
      <c r="D76" s="23" t="s">
        <v>566</v>
      </c>
      <c r="E76" s="23" t="s">
        <v>566</v>
      </c>
      <c r="F76" s="25" t="s">
        <v>652</v>
      </c>
      <c r="G76" s="26">
        <v>1219</v>
      </c>
      <c r="H76" s="23" t="s">
        <v>348</v>
      </c>
      <c r="I76" s="13" t="str">
        <f t="shared" si="33"/>
        <v>黑无常</v>
      </c>
      <c r="J76" s="13">
        <v>2</v>
      </c>
      <c r="K76" s="13" t="str">
        <f t="shared" si="2"/>
        <v>斩鬼流岩+2</v>
      </c>
      <c r="L76" s="13" t="s">
        <v>347</v>
      </c>
      <c r="M76" s="13" t="str">
        <f t="shared" si="11"/>
        <v>["heiwuchang_wuqi02_01"]</v>
      </c>
      <c r="N76" s="13" t="str">
        <f t="shared" si="37"/>
        <v>["heiwuchang_sb3_wuqi02_01"]</v>
      </c>
      <c r="O76" s="13">
        <f t="shared" si="3"/>
        <v>1219</v>
      </c>
      <c r="R76" s="13">
        <v>2</v>
      </c>
      <c r="S76" s="13">
        <v>3</v>
      </c>
      <c r="T76" s="13" t="s">
        <v>135</v>
      </c>
      <c r="U76" s="2">
        <v>1002</v>
      </c>
      <c r="V76" s="2" t="s">
        <v>224</v>
      </c>
      <c r="W76" s="2" t="s">
        <v>226</v>
      </c>
      <c r="AB76" s="13">
        <v>3</v>
      </c>
      <c r="AC76" s="13">
        <f>INDEX($V$4:$Z$62,COUNTIFS($AB$1:$AB76,1),$AB76)</f>
        <v>11273</v>
      </c>
    </row>
    <row r="77" spans="1:29">
      <c r="A77" s="24">
        <v>12193</v>
      </c>
      <c r="B77" s="23" t="s">
        <v>526</v>
      </c>
      <c r="C77" s="24" t="s">
        <v>244</v>
      </c>
      <c r="D77" s="23" t="s">
        <v>145</v>
      </c>
      <c r="E77" s="23" t="s">
        <v>145</v>
      </c>
      <c r="F77" s="25" t="s">
        <v>652</v>
      </c>
      <c r="G77" s="26">
        <v>1219</v>
      </c>
      <c r="H77" s="23" t="s">
        <v>349</v>
      </c>
      <c r="I77" s="13" t="str">
        <f t="shared" si="33"/>
        <v>黑无常</v>
      </c>
      <c r="J77" s="13">
        <v>3</v>
      </c>
      <c r="K77" s="13" t="str">
        <f t="shared" si="2"/>
        <v>斩鬼流岩+3</v>
      </c>
      <c r="L77" s="13" t="s">
        <v>348</v>
      </c>
      <c r="M77" s="13" t="str">
        <f t="shared" si="11"/>
        <v>["heiwuchang_wuqi02_01"]</v>
      </c>
      <c r="N77" s="13" t="str">
        <f t="shared" si="37"/>
        <v>["heiwuchang_sb4_wuqi02_01"]</v>
      </c>
      <c r="O77" s="13">
        <f t="shared" si="3"/>
        <v>1219</v>
      </c>
      <c r="R77" s="13">
        <v>2</v>
      </c>
      <c r="S77" s="13">
        <v>4</v>
      </c>
      <c r="T77" s="13" t="s">
        <v>135</v>
      </c>
      <c r="U77" s="2">
        <v>1102</v>
      </c>
      <c r="V77" s="2" t="s">
        <v>26</v>
      </c>
      <c r="W77" s="2" t="s">
        <v>70</v>
      </c>
      <c r="AB77" s="13">
        <v>4</v>
      </c>
      <c r="AC77" s="13">
        <f>INDEX($V$4:$Z$62,COUNTIFS($AB$1:$AB77,1),$AB77)</f>
        <v>11274</v>
      </c>
    </row>
    <row r="78" spans="1:29">
      <c r="A78" s="24">
        <v>12194</v>
      </c>
      <c r="B78" s="23" t="s">
        <v>526</v>
      </c>
      <c r="C78" s="24" t="s">
        <v>244</v>
      </c>
      <c r="D78" s="23" t="s">
        <v>146</v>
      </c>
      <c r="E78" s="23" t="s">
        <v>146</v>
      </c>
      <c r="F78" s="25" t="s">
        <v>652</v>
      </c>
      <c r="G78" s="26">
        <v>1219</v>
      </c>
      <c r="H78" s="23" t="s">
        <v>350</v>
      </c>
      <c r="I78" s="13" t="str">
        <f t="shared" si="33"/>
        <v>黑无常</v>
      </c>
      <c r="J78" s="13">
        <v>4</v>
      </c>
      <c r="K78" s="13" t="str">
        <f t="shared" ref="K78:K79" si="38">IF(J78=0,$B78,B78&amp;"+"&amp;J78)</f>
        <v>斩鬼流岩+4</v>
      </c>
      <c r="L78" s="13" t="s">
        <v>349</v>
      </c>
      <c r="M78" s="13" t="str">
        <f t="shared" si="11"/>
        <v>["heiwuchang_wuqi02_01"]</v>
      </c>
      <c r="N78" s="13" t="str">
        <f t="shared" si="37"/>
        <v>["heiwuchang_sb5_wuqi03_01"]</v>
      </c>
      <c r="O78" s="13">
        <f t="shared" ref="O78:O79" si="39">INT(LEFT(A78,4))</f>
        <v>1219</v>
      </c>
      <c r="R78" s="13">
        <v>2</v>
      </c>
      <c r="S78" s="13">
        <v>5</v>
      </c>
      <c r="T78" s="13" t="s">
        <v>136</v>
      </c>
      <c r="U78" s="2">
        <v>1211</v>
      </c>
      <c r="V78" s="2" t="s">
        <v>27</v>
      </c>
      <c r="W78" s="2" t="s">
        <v>71</v>
      </c>
      <c r="AB78" s="13">
        <v>5</v>
      </c>
      <c r="AC78" s="13">
        <f>INDEX($V$4:$Z$62,COUNTIFS($AB$1:$AB78,1),$AB78)</f>
        <v>11275</v>
      </c>
    </row>
    <row r="79" spans="1:29">
      <c r="A79" s="24">
        <v>12195</v>
      </c>
      <c r="B79" s="23" t="s">
        <v>526</v>
      </c>
      <c r="C79" s="24" t="s">
        <v>244</v>
      </c>
      <c r="D79" s="23" t="s">
        <v>146</v>
      </c>
      <c r="E79" s="23" t="s">
        <v>146</v>
      </c>
      <c r="F79" s="25" t="s">
        <v>216</v>
      </c>
      <c r="G79" s="26">
        <v>1219</v>
      </c>
      <c r="H79" s="23" t="s">
        <v>350</v>
      </c>
      <c r="I79" s="13" t="str">
        <f t="shared" si="33"/>
        <v>黑无常</v>
      </c>
      <c r="J79" s="13">
        <v>5</v>
      </c>
      <c r="K79" s="13" t="str">
        <f t="shared" si="38"/>
        <v>斩鬼流岩+5</v>
      </c>
      <c r="L79" s="13" t="s">
        <v>349</v>
      </c>
      <c r="M79" s="13" t="str">
        <f t="shared" si="11"/>
        <v>["heiwuchang_wuqi02_01"]</v>
      </c>
      <c r="N79" s="13" t="str">
        <f t="shared" si="37"/>
        <v>["heiwuchang_sb5_wuqi03_01"]</v>
      </c>
      <c r="O79" s="13">
        <f t="shared" si="39"/>
        <v>1219</v>
      </c>
      <c r="R79" s="13">
        <v>2</v>
      </c>
      <c r="S79" s="13">
        <v>5</v>
      </c>
      <c r="T79" s="13" t="s">
        <v>136</v>
      </c>
      <c r="U79" s="2">
        <v>1211</v>
      </c>
      <c r="V79" s="2" t="s">
        <v>27</v>
      </c>
      <c r="W79" s="2" t="s">
        <v>71</v>
      </c>
      <c r="AB79" s="13">
        <v>5</v>
      </c>
      <c r="AC79" s="13">
        <f>INDEX($V$4:$Z$62,COUNTIFS($AB$1:$AB79,1),$AB79)</f>
        <v>11275</v>
      </c>
    </row>
    <row r="80" spans="1:29">
      <c r="A80" s="24">
        <v>12196</v>
      </c>
      <c r="B80" s="23" t="s">
        <v>526</v>
      </c>
      <c r="C80" s="24" t="s">
        <v>244</v>
      </c>
      <c r="D80" s="23" t="s">
        <v>146</v>
      </c>
      <c r="E80" s="23" t="s">
        <v>146</v>
      </c>
      <c r="F80" s="25" t="s">
        <v>652</v>
      </c>
      <c r="G80" s="26">
        <v>1219</v>
      </c>
      <c r="H80" s="23" t="s">
        <v>350</v>
      </c>
      <c r="I80" s="13" t="str">
        <f t="shared" si="33"/>
        <v>黑无常</v>
      </c>
      <c r="J80" s="13">
        <v>5</v>
      </c>
      <c r="K80" s="13" t="str">
        <f t="shared" si="2"/>
        <v>斩鬼流岩+5</v>
      </c>
      <c r="L80" s="13" t="s">
        <v>349</v>
      </c>
      <c r="M80" s="13" t="str">
        <f t="shared" si="11"/>
        <v>["heiwuchang_wuqi02_01"]</v>
      </c>
      <c r="N80" s="13" t="str">
        <f t="shared" si="37"/>
        <v>["heiwuchang_sb5_wuqi03_01"]</v>
      </c>
      <c r="O80" s="13">
        <f t="shared" si="3"/>
        <v>1219</v>
      </c>
      <c r="R80" s="13">
        <v>2</v>
      </c>
      <c r="S80" s="13">
        <v>5</v>
      </c>
      <c r="T80" s="13" t="s">
        <v>136</v>
      </c>
      <c r="U80" s="2">
        <v>1211</v>
      </c>
      <c r="V80" s="2" t="s">
        <v>27</v>
      </c>
      <c r="W80" s="2" t="s">
        <v>71</v>
      </c>
      <c r="AB80" s="13">
        <v>5</v>
      </c>
      <c r="AC80" s="13">
        <f>INDEX($V$4:$Z$62,COUNTIFS($AB$1:$AB80,1),$AB80)</f>
        <v>11275</v>
      </c>
    </row>
    <row r="81" spans="1:29">
      <c r="A81" s="33">
        <v>11120</v>
      </c>
      <c r="B81" s="34" t="s">
        <v>527</v>
      </c>
      <c r="C81" s="33" t="s">
        <v>245</v>
      </c>
      <c r="D81" s="34" t="s">
        <v>648</v>
      </c>
      <c r="E81" s="34" t="s">
        <v>648</v>
      </c>
      <c r="F81" s="34" t="s">
        <v>654</v>
      </c>
      <c r="G81" s="35">
        <v>1112</v>
      </c>
      <c r="H81" s="34" t="s">
        <v>351</v>
      </c>
      <c r="I81" s="13" t="str">
        <f t="shared" si="33"/>
        <v>牛魔王</v>
      </c>
      <c r="J81" s="13">
        <v>0</v>
      </c>
      <c r="K81" s="13" t="str">
        <f t="shared" si="2"/>
        <v>修罗开山斧</v>
      </c>
      <c r="L81" s="13" t="s">
        <v>527</v>
      </c>
      <c r="M81" s="13" t="str">
        <f t="shared" si="11"/>
        <v>["niumowang_wuqi01_01"]</v>
      </c>
      <c r="N81" s="13" t="s">
        <v>138</v>
      </c>
      <c r="O81" s="13">
        <f t="shared" si="3"/>
        <v>1112</v>
      </c>
      <c r="R81" s="13">
        <v>1</v>
      </c>
      <c r="S81" s="13">
        <v>1</v>
      </c>
      <c r="T81" s="13" t="s">
        <v>134</v>
      </c>
      <c r="U81" s="2">
        <v>1101</v>
      </c>
      <c r="V81" s="2" t="s">
        <v>28</v>
      </c>
      <c r="W81" s="2" t="s">
        <v>72</v>
      </c>
      <c r="AB81" s="13">
        <v>1</v>
      </c>
      <c r="AC81" s="13">
        <f>INDEX($V$4:$Z$62,COUNTIFS($AB$1:$AB81,1),$AB81)</f>
        <v>12121</v>
      </c>
    </row>
    <row r="82" spans="1:29">
      <c r="A82" s="33">
        <v>11121</v>
      </c>
      <c r="B82" s="34" t="s">
        <v>527</v>
      </c>
      <c r="C82" s="33" t="s">
        <v>246</v>
      </c>
      <c r="D82" s="34" t="s">
        <v>567</v>
      </c>
      <c r="E82" s="34" t="s">
        <v>567</v>
      </c>
      <c r="F82" s="34" t="s">
        <v>654</v>
      </c>
      <c r="G82" s="35">
        <v>1112</v>
      </c>
      <c r="H82" s="34" t="s">
        <v>352</v>
      </c>
      <c r="I82" s="13" t="str">
        <f t="shared" si="33"/>
        <v>牛魔王</v>
      </c>
      <c r="J82" s="13">
        <v>1</v>
      </c>
      <c r="K82" s="13" t="str">
        <f t="shared" si="2"/>
        <v>修罗开山斧+1</v>
      </c>
      <c r="L82" s="13" t="s">
        <v>351</v>
      </c>
      <c r="M82" s="13" t="str">
        <f t="shared" si="11"/>
        <v>["niumowang_wuqi02_01"]</v>
      </c>
      <c r="N82" s="13" t="str">
        <f t="shared" ref="N82:N87" si="40">"["&amp;$R$1&amp;SUBSTITUTE(VLOOKUP(O82,$U$77:$W$138,3,0),"_actor","")&amp;"_sb"&amp;S82&amp;"_wuqi0"&amp;T82&amp;$R$1&amp;"]"</f>
        <v>["niumowang_sb2_wuqi01_01"]</v>
      </c>
      <c r="O82" s="13">
        <f t="shared" si="3"/>
        <v>1112</v>
      </c>
      <c r="R82" s="13">
        <v>2</v>
      </c>
      <c r="S82" s="13">
        <v>2</v>
      </c>
      <c r="T82" s="13" t="s">
        <v>134</v>
      </c>
      <c r="U82" s="3">
        <v>1108</v>
      </c>
      <c r="V82" s="3" t="s">
        <v>69</v>
      </c>
      <c r="W82" s="2" t="s">
        <v>73</v>
      </c>
      <c r="AB82" s="13">
        <v>2</v>
      </c>
      <c r="AC82" s="13">
        <f>INDEX($V$4:$Z$62,COUNTIFS($AB$1:$AB82,1),$AB82)</f>
        <v>12122</v>
      </c>
    </row>
    <row r="83" spans="1:29">
      <c r="A83" s="33">
        <v>11122</v>
      </c>
      <c r="B83" s="34" t="s">
        <v>527</v>
      </c>
      <c r="C83" s="33" t="s">
        <v>246</v>
      </c>
      <c r="D83" s="34" t="s">
        <v>147</v>
      </c>
      <c r="E83" s="34" t="s">
        <v>147</v>
      </c>
      <c r="F83" s="34" t="s">
        <v>654</v>
      </c>
      <c r="G83" s="35">
        <v>1112</v>
      </c>
      <c r="H83" s="34" t="s">
        <v>353</v>
      </c>
      <c r="I83" s="13" t="str">
        <f t="shared" si="33"/>
        <v>牛魔王</v>
      </c>
      <c r="J83" s="13">
        <v>2</v>
      </c>
      <c r="K83" s="13" t="str">
        <f t="shared" si="2"/>
        <v>修罗开山斧+2</v>
      </c>
      <c r="L83" s="13" t="s">
        <v>352</v>
      </c>
      <c r="M83" s="13" t="str">
        <f t="shared" ref="M83:M146" si="41">"["&amp;$R$1&amp;SUBSTITUTE(VLOOKUP(INT(LEFT(A83,4)),$U$77:$W$138,3,0),"_actor","")&amp;"_wuqi0"&amp;R83&amp;"_01"&amp;$R$1&amp;"]"</f>
        <v>["niumowang_wuqi02_01"]</v>
      </c>
      <c r="N83" s="13" t="str">
        <f t="shared" si="40"/>
        <v>["niumowang_sb3_wuqi02_01"]</v>
      </c>
      <c r="O83" s="13">
        <f t="shared" si="3"/>
        <v>1112</v>
      </c>
      <c r="R83" s="13">
        <v>2</v>
      </c>
      <c r="S83" s="13">
        <v>3</v>
      </c>
      <c r="T83" s="13" t="s">
        <v>135</v>
      </c>
      <c r="U83" s="2">
        <v>1113</v>
      </c>
      <c r="V83" s="2" t="s">
        <v>29</v>
      </c>
      <c r="W83" s="2" t="s">
        <v>74</v>
      </c>
      <c r="AB83" s="13">
        <v>3</v>
      </c>
      <c r="AC83" s="13">
        <f>INDEX($V$4:$Z$62,COUNTIFS($AB$1:$AB83,1),$AB83)</f>
        <v>12123</v>
      </c>
    </row>
    <row r="84" spans="1:29">
      <c r="A84" s="33">
        <v>11123</v>
      </c>
      <c r="B84" s="34" t="s">
        <v>527</v>
      </c>
      <c r="C84" s="33" t="s">
        <v>246</v>
      </c>
      <c r="D84" s="34" t="s">
        <v>655</v>
      </c>
      <c r="E84" s="34" t="s">
        <v>655</v>
      </c>
      <c r="F84" s="34" t="s">
        <v>654</v>
      </c>
      <c r="G84" s="35">
        <v>1112</v>
      </c>
      <c r="H84" s="34" t="s">
        <v>354</v>
      </c>
      <c r="I84" s="13" t="str">
        <f t="shared" si="33"/>
        <v>牛魔王</v>
      </c>
      <c r="J84" s="13">
        <v>3</v>
      </c>
      <c r="K84" s="13" t="str">
        <f t="shared" si="2"/>
        <v>修罗开山斧+3</v>
      </c>
      <c r="L84" s="13" t="s">
        <v>353</v>
      </c>
      <c r="M84" s="13" t="str">
        <f t="shared" si="41"/>
        <v>["niumowang_wuqi02_01"]</v>
      </c>
      <c r="N84" s="13" t="str">
        <f t="shared" si="40"/>
        <v>["niumowang_sb4_wuqi02_01"]</v>
      </c>
      <c r="O84" s="13">
        <f t="shared" si="3"/>
        <v>1112</v>
      </c>
      <c r="R84" s="13">
        <v>2</v>
      </c>
      <c r="S84" s="13">
        <v>4</v>
      </c>
      <c r="T84" s="13" t="s">
        <v>135</v>
      </c>
      <c r="U84" s="2">
        <v>1120</v>
      </c>
      <c r="V84" s="2" t="s">
        <v>30</v>
      </c>
      <c r="W84" s="2" t="s">
        <v>75</v>
      </c>
      <c r="AB84" s="13">
        <v>4</v>
      </c>
      <c r="AC84" s="13">
        <f>INDEX($V$4:$Z$62,COUNTIFS($AB$1:$AB84,1),$AB84)</f>
        <v>12124</v>
      </c>
    </row>
    <row r="85" spans="1:29">
      <c r="A85" s="33">
        <v>11124</v>
      </c>
      <c r="B85" s="34" t="s">
        <v>527</v>
      </c>
      <c r="C85" s="33" t="s">
        <v>246</v>
      </c>
      <c r="D85" s="34" t="s">
        <v>656</v>
      </c>
      <c r="E85" s="34" t="s">
        <v>656</v>
      </c>
      <c r="F85" s="34" t="s">
        <v>654</v>
      </c>
      <c r="G85" s="35">
        <v>1112</v>
      </c>
      <c r="H85" s="34" t="s">
        <v>355</v>
      </c>
      <c r="I85" s="13" t="str">
        <f t="shared" si="33"/>
        <v>牛魔王</v>
      </c>
      <c r="J85" s="13">
        <v>4</v>
      </c>
      <c r="K85" s="13" t="str">
        <f t="shared" ref="K85:K86" si="42">IF(J85=0,$B85,B85&amp;"+"&amp;J85)</f>
        <v>修罗开山斧+4</v>
      </c>
      <c r="L85" s="13" t="s">
        <v>354</v>
      </c>
      <c r="M85" s="13" t="str">
        <f t="shared" si="41"/>
        <v>["niumowang_wuqi02_01"]</v>
      </c>
      <c r="N85" s="13" t="str">
        <f t="shared" si="40"/>
        <v>["niumowang_sb5_wuqi03_01"]</v>
      </c>
      <c r="O85" s="13">
        <f t="shared" ref="O85:O86" si="43">INT(LEFT(A85,4))</f>
        <v>1112</v>
      </c>
      <c r="R85" s="13">
        <v>2</v>
      </c>
      <c r="S85" s="13">
        <v>5</v>
      </c>
      <c r="T85" s="13" t="s">
        <v>136</v>
      </c>
      <c r="U85" s="3">
        <v>1127</v>
      </c>
      <c r="V85" s="3" t="s">
        <v>31</v>
      </c>
      <c r="W85" s="2" t="s">
        <v>76</v>
      </c>
      <c r="AB85" s="13">
        <v>5</v>
      </c>
      <c r="AC85" s="13">
        <f>INDEX($V$4:$Z$62,COUNTIFS($AB$1:$AB85,1),$AB85)</f>
        <v>12125</v>
      </c>
    </row>
    <row r="86" spans="1:29">
      <c r="A86" s="33">
        <v>11125</v>
      </c>
      <c r="B86" s="34" t="s">
        <v>527</v>
      </c>
      <c r="C86" s="33" t="s">
        <v>246</v>
      </c>
      <c r="D86" s="34" t="s">
        <v>656</v>
      </c>
      <c r="E86" s="34" t="s">
        <v>656</v>
      </c>
      <c r="F86" s="34" t="s">
        <v>654</v>
      </c>
      <c r="G86" s="35">
        <v>1112</v>
      </c>
      <c r="H86" s="34" t="s">
        <v>355</v>
      </c>
      <c r="I86" s="13" t="str">
        <f t="shared" si="33"/>
        <v>牛魔王</v>
      </c>
      <c r="J86" s="13">
        <v>5</v>
      </c>
      <c r="K86" s="13" t="str">
        <f t="shared" si="42"/>
        <v>修罗开山斧+5</v>
      </c>
      <c r="L86" s="13" t="s">
        <v>354</v>
      </c>
      <c r="M86" s="13" t="str">
        <f t="shared" si="41"/>
        <v>["niumowang_wuqi02_01"]</v>
      </c>
      <c r="N86" s="13" t="str">
        <f t="shared" si="40"/>
        <v>["niumowang_sb5_wuqi03_01"]</v>
      </c>
      <c r="O86" s="13">
        <f t="shared" si="43"/>
        <v>1112</v>
      </c>
      <c r="R86" s="13">
        <v>2</v>
      </c>
      <c r="S86" s="13">
        <v>5</v>
      </c>
      <c r="T86" s="13" t="s">
        <v>136</v>
      </c>
      <c r="U86" s="3">
        <v>1127</v>
      </c>
      <c r="V86" s="3" t="s">
        <v>31</v>
      </c>
      <c r="W86" s="2" t="s">
        <v>76</v>
      </c>
      <c r="AB86" s="13">
        <v>5</v>
      </c>
      <c r="AC86" s="13">
        <f>INDEX($V$4:$Z$62,COUNTIFS($AB$1:$AB86,1),$AB86)</f>
        <v>12125</v>
      </c>
    </row>
    <row r="87" spans="1:29">
      <c r="A87" s="33">
        <v>11126</v>
      </c>
      <c r="B87" s="34" t="s">
        <v>527</v>
      </c>
      <c r="C87" s="33" t="s">
        <v>246</v>
      </c>
      <c r="D87" s="34" t="s">
        <v>656</v>
      </c>
      <c r="E87" s="34" t="s">
        <v>656</v>
      </c>
      <c r="F87" s="34" t="s">
        <v>654</v>
      </c>
      <c r="G87" s="35">
        <v>1112</v>
      </c>
      <c r="H87" s="34" t="s">
        <v>355</v>
      </c>
      <c r="I87" s="13" t="str">
        <f t="shared" si="33"/>
        <v>牛魔王</v>
      </c>
      <c r="J87" s="13">
        <v>5</v>
      </c>
      <c r="K87" s="13" t="str">
        <f t="shared" si="2"/>
        <v>修罗开山斧+5</v>
      </c>
      <c r="L87" s="13" t="s">
        <v>354</v>
      </c>
      <c r="M87" s="13" t="str">
        <f t="shared" si="41"/>
        <v>["niumowang_wuqi02_01"]</v>
      </c>
      <c r="N87" s="13" t="str">
        <f t="shared" si="40"/>
        <v>["niumowang_sb5_wuqi03_01"]</v>
      </c>
      <c r="O87" s="13">
        <f t="shared" si="3"/>
        <v>1112</v>
      </c>
      <c r="R87" s="13">
        <v>2</v>
      </c>
      <c r="S87" s="13">
        <v>5</v>
      </c>
      <c r="T87" s="13" t="s">
        <v>136</v>
      </c>
      <c r="U87" s="3">
        <v>1127</v>
      </c>
      <c r="V87" s="3" t="s">
        <v>31</v>
      </c>
      <c r="W87" s="2" t="s">
        <v>76</v>
      </c>
      <c r="AB87" s="13">
        <v>5</v>
      </c>
      <c r="AC87" s="13">
        <f>INDEX($V$4:$Z$62,COUNTIFS($AB$1:$AB87,1),$AB87)</f>
        <v>12125</v>
      </c>
    </row>
    <row r="88" spans="1:29">
      <c r="A88" s="24">
        <v>11190</v>
      </c>
      <c r="B88" s="23" t="s">
        <v>528</v>
      </c>
      <c r="C88" s="24" t="s">
        <v>247</v>
      </c>
      <c r="D88" s="23" t="s">
        <v>564</v>
      </c>
      <c r="E88" s="23" t="s">
        <v>564</v>
      </c>
      <c r="F88" s="25" t="s">
        <v>657</v>
      </c>
      <c r="G88" s="26">
        <v>1119</v>
      </c>
      <c r="H88" s="23" t="s">
        <v>356</v>
      </c>
      <c r="I88" s="13" t="str">
        <f t="shared" si="33"/>
        <v>孙悟空</v>
      </c>
      <c r="J88" s="13">
        <v>0</v>
      </c>
      <c r="K88" s="13" t="str">
        <f t="shared" si="2"/>
        <v>如意金箍棒</v>
      </c>
      <c r="L88" s="13" t="s">
        <v>528</v>
      </c>
      <c r="M88" s="13" t="str">
        <f t="shared" si="41"/>
        <v>["sunwukong_wuqi01_01"]</v>
      </c>
      <c r="N88" s="13" t="s">
        <v>138</v>
      </c>
      <c r="O88" s="13">
        <f t="shared" si="3"/>
        <v>1119</v>
      </c>
      <c r="R88" s="13">
        <v>1</v>
      </c>
      <c r="S88" s="13">
        <v>1</v>
      </c>
      <c r="T88" s="13" t="s">
        <v>134</v>
      </c>
      <c r="U88" s="4">
        <v>1212</v>
      </c>
      <c r="V88" s="3" t="s">
        <v>32</v>
      </c>
      <c r="W88" s="9" t="s">
        <v>77</v>
      </c>
      <c r="AB88" s="13">
        <v>1</v>
      </c>
      <c r="AC88" s="13">
        <f>INDEX($V$4:$Z$62,COUNTIFS($AB$1:$AB88,1),$AB88)</f>
        <v>12121</v>
      </c>
    </row>
    <row r="89" spans="1:29">
      <c r="A89" s="24">
        <v>11191</v>
      </c>
      <c r="B89" s="23" t="s">
        <v>528</v>
      </c>
      <c r="C89" s="24" t="s">
        <v>248</v>
      </c>
      <c r="D89" s="23" t="s">
        <v>658</v>
      </c>
      <c r="E89" s="23" t="s">
        <v>658</v>
      </c>
      <c r="F89" s="25" t="s">
        <v>657</v>
      </c>
      <c r="G89" s="26">
        <v>1119</v>
      </c>
      <c r="H89" s="23" t="s">
        <v>357</v>
      </c>
      <c r="I89" s="13" t="str">
        <f t="shared" si="33"/>
        <v>孙悟空</v>
      </c>
      <c r="J89" s="13">
        <v>1</v>
      </c>
      <c r="K89" s="13" t="str">
        <f t="shared" si="2"/>
        <v>如意金箍棒+1</v>
      </c>
      <c r="L89" s="13" t="s">
        <v>356</v>
      </c>
      <c r="M89" s="13" t="str">
        <f t="shared" si="41"/>
        <v>["sunwukong_wuqi02_01"]</v>
      </c>
      <c r="N89" s="13" t="str">
        <f t="shared" ref="N89:N94" si="44">"["&amp;$R$1&amp;SUBSTITUTE(VLOOKUP(O89,$U$77:$W$138,3,0),"_actor","")&amp;"_sb"&amp;S89&amp;"_wuqi0"&amp;T89&amp;$R$1&amp;"]"</f>
        <v>["sunwukong_sb2_wuqi01_01"]</v>
      </c>
      <c r="O89" s="13">
        <f t="shared" si="3"/>
        <v>1119</v>
      </c>
      <c r="R89" s="13">
        <v>2</v>
      </c>
      <c r="S89" s="13">
        <v>2</v>
      </c>
      <c r="T89" s="13" t="s">
        <v>134</v>
      </c>
      <c r="U89" s="5">
        <v>1219</v>
      </c>
      <c r="V89" s="6" t="s">
        <v>33</v>
      </c>
      <c r="W89" s="5" t="s">
        <v>78</v>
      </c>
      <c r="AB89" s="13">
        <v>2</v>
      </c>
      <c r="AC89" s="13">
        <f>INDEX($V$4:$Z$62,COUNTIFS($AB$1:$AB89,1),$AB89)</f>
        <v>12122</v>
      </c>
    </row>
    <row r="90" spans="1:29">
      <c r="A90" s="24">
        <v>11192</v>
      </c>
      <c r="B90" s="23" t="s">
        <v>528</v>
      </c>
      <c r="C90" s="24" t="s">
        <v>248</v>
      </c>
      <c r="D90" s="23" t="s">
        <v>568</v>
      </c>
      <c r="E90" s="23" t="s">
        <v>568</v>
      </c>
      <c r="F90" s="25" t="s">
        <v>657</v>
      </c>
      <c r="G90" s="26">
        <v>1119</v>
      </c>
      <c r="H90" s="23" t="s">
        <v>358</v>
      </c>
      <c r="I90" s="13" t="str">
        <f t="shared" si="33"/>
        <v>孙悟空</v>
      </c>
      <c r="J90" s="13">
        <v>2</v>
      </c>
      <c r="K90" s="13" t="str">
        <f t="shared" si="2"/>
        <v>如意金箍棒+2</v>
      </c>
      <c r="L90" s="13" t="s">
        <v>357</v>
      </c>
      <c r="M90" s="13" t="str">
        <f t="shared" si="41"/>
        <v>["sunwukong_wuqi02_01"]</v>
      </c>
      <c r="N90" s="13" t="str">
        <f t="shared" si="44"/>
        <v>["sunwukong_sb3_wuqi02_01"]</v>
      </c>
      <c r="O90" s="13">
        <f t="shared" si="3"/>
        <v>1119</v>
      </c>
      <c r="R90" s="13">
        <v>2</v>
      </c>
      <c r="S90" s="13">
        <v>3</v>
      </c>
      <c r="T90" s="13" t="s">
        <v>135</v>
      </c>
      <c r="U90" s="2">
        <v>1112</v>
      </c>
      <c r="V90" s="2" t="s">
        <v>34</v>
      </c>
      <c r="W90" s="2" t="s">
        <v>79</v>
      </c>
      <c r="AB90" s="13">
        <v>3</v>
      </c>
      <c r="AC90" s="13">
        <f>INDEX($V$4:$Z$62,COUNTIFS($AB$1:$AB90,1),$AB90)</f>
        <v>12123</v>
      </c>
    </row>
    <row r="91" spans="1:29">
      <c r="A91" s="24">
        <v>11193</v>
      </c>
      <c r="B91" s="23" t="s">
        <v>528</v>
      </c>
      <c r="C91" s="24" t="s">
        <v>248</v>
      </c>
      <c r="D91" s="23" t="s">
        <v>148</v>
      </c>
      <c r="E91" s="23" t="s">
        <v>148</v>
      </c>
      <c r="F91" s="25" t="s">
        <v>657</v>
      </c>
      <c r="G91" s="26">
        <v>1119</v>
      </c>
      <c r="H91" s="23" t="s">
        <v>359</v>
      </c>
      <c r="I91" s="13" t="str">
        <f t="shared" si="33"/>
        <v>孙悟空</v>
      </c>
      <c r="J91" s="13">
        <v>3</v>
      </c>
      <c r="K91" s="13" t="str">
        <f t="shared" si="2"/>
        <v>如意金箍棒+3</v>
      </c>
      <c r="L91" s="13" t="s">
        <v>358</v>
      </c>
      <c r="M91" s="13" t="str">
        <f t="shared" si="41"/>
        <v>["sunwukong_wuqi02_01"]</v>
      </c>
      <c r="N91" s="13" t="str">
        <f t="shared" si="44"/>
        <v>["sunwukong_sb4_wuqi02_01"]</v>
      </c>
      <c r="O91" s="13">
        <f t="shared" si="3"/>
        <v>1119</v>
      </c>
      <c r="R91" s="13">
        <v>2</v>
      </c>
      <c r="S91" s="13">
        <v>4</v>
      </c>
      <c r="T91" s="13" t="s">
        <v>135</v>
      </c>
      <c r="U91" s="2">
        <v>1119</v>
      </c>
      <c r="V91" s="2" t="s">
        <v>35</v>
      </c>
      <c r="W91" s="2" t="s">
        <v>80</v>
      </c>
      <c r="AB91" s="13">
        <v>4</v>
      </c>
      <c r="AC91" s="13">
        <f>INDEX($V$4:$Z$62,COUNTIFS($AB$1:$AB91,1),$AB91)</f>
        <v>12124</v>
      </c>
    </row>
    <row r="92" spans="1:29">
      <c r="A92" s="24">
        <v>11194</v>
      </c>
      <c r="B92" s="23" t="s">
        <v>528</v>
      </c>
      <c r="C92" s="24" t="s">
        <v>248</v>
      </c>
      <c r="D92" s="23" t="s">
        <v>149</v>
      </c>
      <c r="E92" s="23" t="s">
        <v>149</v>
      </c>
      <c r="F92" s="25" t="s">
        <v>657</v>
      </c>
      <c r="G92" s="26">
        <v>1119</v>
      </c>
      <c r="H92" s="23" t="s">
        <v>360</v>
      </c>
      <c r="I92" s="13" t="str">
        <f t="shared" si="33"/>
        <v>孙悟空</v>
      </c>
      <c r="J92" s="13">
        <v>4</v>
      </c>
      <c r="K92" s="13" t="str">
        <f t="shared" ref="K92:K93" si="45">IF(J92=0,$B92,B92&amp;"+"&amp;J92)</f>
        <v>如意金箍棒+4</v>
      </c>
      <c r="L92" s="13" t="s">
        <v>359</v>
      </c>
      <c r="M92" s="13" t="str">
        <f t="shared" si="41"/>
        <v>["sunwukong_wuqi02_01"]</v>
      </c>
      <c r="N92" s="13" t="str">
        <f t="shared" si="44"/>
        <v>["sunwukong_sb5_wuqi03_01"]</v>
      </c>
      <c r="O92" s="13">
        <f t="shared" ref="O92:O93" si="46">INT(LEFT(A92,4))</f>
        <v>1119</v>
      </c>
      <c r="R92" s="13">
        <v>2</v>
      </c>
      <c r="S92" s="13">
        <v>5</v>
      </c>
      <c r="T92" s="13" t="s">
        <v>136</v>
      </c>
      <c r="U92" s="2">
        <v>1105</v>
      </c>
      <c r="V92" s="2" t="s">
        <v>36</v>
      </c>
      <c r="W92" s="2" t="s">
        <v>81</v>
      </c>
      <c r="AB92" s="13">
        <v>5</v>
      </c>
      <c r="AC92" s="13">
        <f>INDEX($V$4:$Z$62,COUNTIFS($AB$1:$AB92,1),$AB92)</f>
        <v>12125</v>
      </c>
    </row>
    <row r="93" spans="1:29">
      <c r="A93" s="24">
        <v>11195</v>
      </c>
      <c r="B93" s="23" t="s">
        <v>528</v>
      </c>
      <c r="C93" s="24" t="s">
        <v>248</v>
      </c>
      <c r="D93" s="23" t="s">
        <v>149</v>
      </c>
      <c r="E93" s="23" t="s">
        <v>149</v>
      </c>
      <c r="F93" s="25" t="s">
        <v>657</v>
      </c>
      <c r="G93" s="26">
        <v>1119</v>
      </c>
      <c r="H93" s="23" t="s">
        <v>360</v>
      </c>
      <c r="I93" s="13" t="str">
        <f t="shared" si="33"/>
        <v>孙悟空</v>
      </c>
      <c r="J93" s="13">
        <v>5</v>
      </c>
      <c r="K93" s="13" t="str">
        <f t="shared" si="45"/>
        <v>如意金箍棒+5</v>
      </c>
      <c r="L93" s="13" t="s">
        <v>359</v>
      </c>
      <c r="M93" s="13" t="str">
        <f t="shared" si="41"/>
        <v>["sunwukong_wuqi02_01"]</v>
      </c>
      <c r="N93" s="13" t="str">
        <f t="shared" si="44"/>
        <v>["sunwukong_sb5_wuqi03_01"]</v>
      </c>
      <c r="O93" s="13">
        <f t="shared" si="46"/>
        <v>1119</v>
      </c>
      <c r="R93" s="13">
        <v>2</v>
      </c>
      <c r="S93" s="13">
        <v>5</v>
      </c>
      <c r="T93" s="13" t="s">
        <v>136</v>
      </c>
      <c r="U93" s="2">
        <v>1105</v>
      </c>
      <c r="V93" s="2" t="s">
        <v>36</v>
      </c>
      <c r="W93" s="2" t="s">
        <v>81</v>
      </c>
      <c r="AB93" s="13">
        <v>5</v>
      </c>
      <c r="AC93" s="13">
        <f>INDEX($V$4:$Z$62,COUNTIFS($AB$1:$AB93,1),$AB93)</f>
        <v>12125</v>
      </c>
    </row>
    <row r="94" spans="1:29">
      <c r="A94" s="24">
        <v>11196</v>
      </c>
      <c r="B94" s="23" t="s">
        <v>528</v>
      </c>
      <c r="C94" s="24" t="s">
        <v>248</v>
      </c>
      <c r="D94" s="23" t="s">
        <v>149</v>
      </c>
      <c r="E94" s="23" t="s">
        <v>149</v>
      </c>
      <c r="F94" s="25" t="s">
        <v>657</v>
      </c>
      <c r="G94" s="26">
        <v>1119</v>
      </c>
      <c r="H94" s="23" t="s">
        <v>360</v>
      </c>
      <c r="I94" s="13" t="str">
        <f t="shared" si="33"/>
        <v>孙悟空</v>
      </c>
      <c r="J94" s="13">
        <v>5</v>
      </c>
      <c r="K94" s="13" t="str">
        <f t="shared" si="2"/>
        <v>如意金箍棒+5</v>
      </c>
      <c r="L94" s="13" t="s">
        <v>359</v>
      </c>
      <c r="M94" s="13" t="str">
        <f t="shared" si="41"/>
        <v>["sunwukong_wuqi02_01"]</v>
      </c>
      <c r="N94" s="13" t="str">
        <f t="shared" si="44"/>
        <v>["sunwukong_sb5_wuqi03_01"]</v>
      </c>
      <c r="O94" s="13">
        <f t="shared" si="3"/>
        <v>1119</v>
      </c>
      <c r="R94" s="13">
        <v>2</v>
      </c>
      <c r="S94" s="13">
        <v>5</v>
      </c>
      <c r="T94" s="13" t="s">
        <v>136</v>
      </c>
      <c r="U94" s="2">
        <v>1105</v>
      </c>
      <c r="V94" s="2" t="s">
        <v>36</v>
      </c>
      <c r="W94" s="2" t="s">
        <v>81</v>
      </c>
      <c r="AB94" s="13">
        <v>5</v>
      </c>
      <c r="AC94" s="13">
        <f>INDEX($V$4:$Z$62,COUNTIFS($AB$1:$AB94,1),$AB94)</f>
        <v>12125</v>
      </c>
    </row>
    <row r="95" spans="1:29">
      <c r="A95" s="33">
        <v>11050</v>
      </c>
      <c r="B95" s="34" t="s">
        <v>529</v>
      </c>
      <c r="C95" s="33" t="s">
        <v>249</v>
      </c>
      <c r="D95" s="34" t="s">
        <v>648</v>
      </c>
      <c r="E95" s="34" t="s">
        <v>648</v>
      </c>
      <c r="F95" s="34" t="s">
        <v>659</v>
      </c>
      <c r="G95" s="35">
        <v>1105</v>
      </c>
      <c r="H95" s="34" t="s">
        <v>361</v>
      </c>
      <c r="I95" s="13" t="str">
        <f t="shared" si="33"/>
        <v>王母娘娘</v>
      </c>
      <c r="J95" s="13">
        <v>0</v>
      </c>
      <c r="K95" s="13" t="str">
        <f t="shared" ref="K95:K182" si="47">IF(J95=0,$B95,B95&amp;"+"&amp;J95)</f>
        <v>如意鸾凤簪</v>
      </c>
      <c r="L95" s="13" t="s">
        <v>529</v>
      </c>
      <c r="M95" s="13" t="str">
        <f t="shared" si="41"/>
        <v>["wangmuniangniang_wuqi01_01"]</v>
      </c>
      <c r="N95" s="13" t="s">
        <v>138</v>
      </c>
      <c r="O95" s="13">
        <f t="shared" ref="O95:O182" si="48">INT(LEFT(A95,4))</f>
        <v>1105</v>
      </c>
      <c r="R95" s="13">
        <v>1</v>
      </c>
      <c r="S95" s="13">
        <v>1</v>
      </c>
      <c r="T95" s="13" t="s">
        <v>134</v>
      </c>
      <c r="U95" s="5">
        <v>1218</v>
      </c>
      <c r="V95" s="6" t="s">
        <v>37</v>
      </c>
      <c r="W95" s="5" t="s">
        <v>82</v>
      </c>
      <c r="AB95" s="13">
        <v>1</v>
      </c>
      <c r="AC95" s="13">
        <f>INDEX($V$4:$Z$62,COUNTIFS($AB$1:$AB95,1),$AB95)</f>
        <v>12121</v>
      </c>
    </row>
    <row r="96" spans="1:29">
      <c r="A96" s="33">
        <v>11051</v>
      </c>
      <c r="B96" s="34" t="s">
        <v>529</v>
      </c>
      <c r="C96" s="33" t="s">
        <v>250</v>
      </c>
      <c r="D96" s="34" t="s">
        <v>569</v>
      </c>
      <c r="E96" s="34" t="s">
        <v>569</v>
      </c>
      <c r="F96" s="34" t="s">
        <v>659</v>
      </c>
      <c r="G96" s="35">
        <v>1105</v>
      </c>
      <c r="H96" s="34" t="s">
        <v>362</v>
      </c>
      <c r="I96" s="13" t="str">
        <f t="shared" si="33"/>
        <v>王母娘娘</v>
      </c>
      <c r="J96" s="13">
        <v>1</v>
      </c>
      <c r="K96" s="13" t="str">
        <f t="shared" si="47"/>
        <v>如意鸾凤簪+1</v>
      </c>
      <c r="L96" s="13" t="s">
        <v>361</v>
      </c>
      <c r="M96" s="13" t="str">
        <f t="shared" si="41"/>
        <v>["wangmuniangniang_wuqi02_01"]</v>
      </c>
      <c r="N96" s="13" t="str">
        <f t="shared" ref="N96:N101" si="49">"["&amp;$R$1&amp;SUBSTITUTE(VLOOKUP(O96,$U$77:$W$138,3,0),"_actor","")&amp;"_sb"&amp;S96&amp;"_wuqi0"&amp;T96&amp;$R$1&amp;"]"</f>
        <v>["wangmuniangniang_sb2_wuqi01_01"]</v>
      </c>
      <c r="O96" s="13">
        <f t="shared" si="48"/>
        <v>1105</v>
      </c>
      <c r="R96" s="13">
        <v>2</v>
      </c>
      <c r="S96" s="13">
        <v>2</v>
      </c>
      <c r="T96" s="13" t="s">
        <v>134</v>
      </c>
      <c r="U96" s="2">
        <v>1124</v>
      </c>
      <c r="V96" s="2" t="s">
        <v>38</v>
      </c>
      <c r="W96" s="2" t="s">
        <v>83</v>
      </c>
      <c r="AB96" s="13">
        <v>2</v>
      </c>
      <c r="AC96" s="13">
        <f>INDEX($V$4:$Z$62,COUNTIFS($AB$1:$AB96,1),$AB96)</f>
        <v>12122</v>
      </c>
    </row>
    <row r="97" spans="1:29">
      <c r="A97" s="33">
        <v>11052</v>
      </c>
      <c r="B97" s="34" t="s">
        <v>529</v>
      </c>
      <c r="C97" s="33" t="s">
        <v>250</v>
      </c>
      <c r="D97" s="34" t="s">
        <v>150</v>
      </c>
      <c r="E97" s="34" t="s">
        <v>150</v>
      </c>
      <c r="F97" s="34" t="s">
        <v>659</v>
      </c>
      <c r="G97" s="35">
        <v>1105</v>
      </c>
      <c r="H97" s="34" t="s">
        <v>363</v>
      </c>
      <c r="I97" s="13" t="str">
        <f t="shared" si="33"/>
        <v>王母娘娘</v>
      </c>
      <c r="J97" s="13">
        <v>2</v>
      </c>
      <c r="K97" s="13" t="str">
        <f t="shared" si="47"/>
        <v>如意鸾凤簪+2</v>
      </c>
      <c r="L97" s="13" t="s">
        <v>362</v>
      </c>
      <c r="M97" s="13" t="str">
        <f t="shared" si="41"/>
        <v>["wangmuniangniang_wuqi02_01"]</v>
      </c>
      <c r="N97" s="13" t="str">
        <f t="shared" si="49"/>
        <v>["wangmuniangniang_sb3_wuqi02_01"]</v>
      </c>
      <c r="O97" s="13">
        <f t="shared" si="48"/>
        <v>1105</v>
      </c>
      <c r="R97" s="13">
        <v>2</v>
      </c>
      <c r="S97" s="13">
        <v>3</v>
      </c>
      <c r="T97" s="13" t="s">
        <v>135</v>
      </c>
      <c r="U97" s="3">
        <v>1126</v>
      </c>
      <c r="V97" s="3" t="s">
        <v>39</v>
      </c>
      <c r="W97" s="2" t="s">
        <v>84</v>
      </c>
      <c r="AB97" s="13">
        <v>3</v>
      </c>
      <c r="AC97" s="13">
        <f>INDEX($V$4:$Z$62,COUNTIFS($AB$1:$AB97,1),$AB97)</f>
        <v>12123</v>
      </c>
    </row>
    <row r="98" spans="1:29">
      <c r="A98" s="33">
        <v>11053</v>
      </c>
      <c r="B98" s="34" t="s">
        <v>529</v>
      </c>
      <c r="C98" s="33" t="s">
        <v>250</v>
      </c>
      <c r="D98" s="34" t="s">
        <v>660</v>
      </c>
      <c r="E98" s="34" t="s">
        <v>661</v>
      </c>
      <c r="F98" s="34" t="s">
        <v>662</v>
      </c>
      <c r="G98" s="35">
        <v>1105</v>
      </c>
      <c r="H98" s="34" t="s">
        <v>364</v>
      </c>
      <c r="I98" s="13" t="str">
        <f t="shared" si="33"/>
        <v>王母娘娘</v>
      </c>
      <c r="J98" s="13">
        <v>3</v>
      </c>
      <c r="K98" s="13" t="str">
        <f t="shared" si="47"/>
        <v>如意鸾凤簪+3</v>
      </c>
      <c r="L98" s="13" t="s">
        <v>363</v>
      </c>
      <c r="M98" s="13" t="str">
        <f t="shared" si="41"/>
        <v>["wangmuniangniang_wuqi02_01"]</v>
      </c>
      <c r="N98" s="13" t="str">
        <f t="shared" si="49"/>
        <v>["wangmuniangniang_sb4_wuqi02_01"]</v>
      </c>
      <c r="O98" s="13">
        <f t="shared" si="48"/>
        <v>1105</v>
      </c>
      <c r="R98" s="13">
        <v>2</v>
      </c>
      <c r="S98" s="13">
        <v>4</v>
      </c>
      <c r="T98" s="13" t="s">
        <v>135</v>
      </c>
      <c r="U98" s="3">
        <v>1213</v>
      </c>
      <c r="V98" s="3" t="s">
        <v>40</v>
      </c>
      <c r="W98" s="2" t="s">
        <v>85</v>
      </c>
      <c r="AB98" s="13">
        <v>4</v>
      </c>
      <c r="AC98" s="13">
        <f>INDEX($V$4:$Z$62,COUNTIFS($AB$1:$AB98,1),$AB98)</f>
        <v>12124</v>
      </c>
    </row>
    <row r="99" spans="1:29">
      <c r="A99" s="33">
        <v>11054</v>
      </c>
      <c r="B99" s="34" t="s">
        <v>529</v>
      </c>
      <c r="C99" s="33" t="s">
        <v>250</v>
      </c>
      <c r="D99" s="34" t="s">
        <v>663</v>
      </c>
      <c r="E99" s="34" t="s">
        <v>663</v>
      </c>
      <c r="F99" s="34" t="s">
        <v>662</v>
      </c>
      <c r="G99" s="35">
        <v>1105</v>
      </c>
      <c r="H99" s="34" t="s">
        <v>365</v>
      </c>
      <c r="I99" s="13" t="str">
        <f t="shared" si="33"/>
        <v>王母娘娘</v>
      </c>
      <c r="J99" s="13">
        <v>4</v>
      </c>
      <c r="K99" s="13" t="str">
        <f t="shared" ref="K99:K100" si="50">IF(J99=0,$B99,B99&amp;"+"&amp;J99)</f>
        <v>如意鸾凤簪+4</v>
      </c>
      <c r="L99" s="13" t="s">
        <v>364</v>
      </c>
      <c r="M99" s="13" t="str">
        <f t="shared" si="41"/>
        <v>["wangmuniangniang_wuqi02_01"]</v>
      </c>
      <c r="N99" s="13" t="str">
        <f t="shared" si="49"/>
        <v>["wangmuniangniang_sb5_wuqi03_01"]</v>
      </c>
      <c r="O99" s="13">
        <f t="shared" ref="O99:O100" si="51">INT(LEFT(A99,4))</f>
        <v>1105</v>
      </c>
      <c r="R99" s="13">
        <v>2</v>
      </c>
      <c r="S99" s="13">
        <v>5</v>
      </c>
      <c r="T99" s="13" t="s">
        <v>136</v>
      </c>
      <c r="U99" s="3">
        <v>1214</v>
      </c>
      <c r="V99" s="3" t="s">
        <v>41</v>
      </c>
      <c r="W99" s="2" t="s">
        <v>86</v>
      </c>
      <c r="AB99" s="13">
        <v>5</v>
      </c>
      <c r="AC99" s="13">
        <f>INDEX($V$4:$Z$62,COUNTIFS($AB$1:$AB99,1),$AB99)</f>
        <v>12125</v>
      </c>
    </row>
    <row r="100" spans="1:29">
      <c r="A100" s="33">
        <v>11055</v>
      </c>
      <c r="B100" s="34" t="s">
        <v>529</v>
      </c>
      <c r="C100" s="33" t="s">
        <v>250</v>
      </c>
      <c r="D100" s="34" t="s">
        <v>663</v>
      </c>
      <c r="E100" s="34" t="s">
        <v>663</v>
      </c>
      <c r="F100" s="34" t="s">
        <v>659</v>
      </c>
      <c r="G100" s="35">
        <v>1105</v>
      </c>
      <c r="H100" s="34" t="s">
        <v>365</v>
      </c>
      <c r="I100" s="13" t="str">
        <f t="shared" si="33"/>
        <v>王母娘娘</v>
      </c>
      <c r="J100" s="13">
        <v>5</v>
      </c>
      <c r="K100" s="13" t="str">
        <f t="shared" si="50"/>
        <v>如意鸾凤簪+5</v>
      </c>
      <c r="L100" s="13" t="s">
        <v>364</v>
      </c>
      <c r="M100" s="13" t="str">
        <f t="shared" si="41"/>
        <v>["wangmuniangniang_wuqi02_01"]</v>
      </c>
      <c r="N100" s="13" t="str">
        <f t="shared" si="49"/>
        <v>["wangmuniangniang_sb5_wuqi03_01"]</v>
      </c>
      <c r="O100" s="13">
        <f t="shared" si="51"/>
        <v>1105</v>
      </c>
      <c r="R100" s="13">
        <v>2</v>
      </c>
      <c r="S100" s="13">
        <v>5</v>
      </c>
      <c r="T100" s="13" t="s">
        <v>136</v>
      </c>
      <c r="U100" s="3">
        <v>1214</v>
      </c>
      <c r="V100" s="3" t="s">
        <v>41</v>
      </c>
      <c r="W100" s="2" t="s">
        <v>86</v>
      </c>
      <c r="AB100" s="13">
        <v>5</v>
      </c>
      <c r="AC100" s="13">
        <f>INDEX($V$4:$Z$62,COUNTIFS($AB$1:$AB100,1),$AB100)</f>
        <v>12125</v>
      </c>
    </row>
    <row r="101" spans="1:29">
      <c r="A101" s="33">
        <v>11056</v>
      </c>
      <c r="B101" s="34" t="s">
        <v>529</v>
      </c>
      <c r="C101" s="33" t="s">
        <v>250</v>
      </c>
      <c r="D101" s="34" t="s">
        <v>663</v>
      </c>
      <c r="E101" s="34" t="s">
        <v>663</v>
      </c>
      <c r="F101" s="34" t="s">
        <v>662</v>
      </c>
      <c r="G101" s="35">
        <v>1105</v>
      </c>
      <c r="H101" s="34" t="s">
        <v>365</v>
      </c>
      <c r="I101" s="13" t="str">
        <f t="shared" si="33"/>
        <v>王母娘娘</v>
      </c>
      <c r="J101" s="13">
        <v>5</v>
      </c>
      <c r="K101" s="13" t="str">
        <f t="shared" si="47"/>
        <v>如意鸾凤簪+5</v>
      </c>
      <c r="L101" s="13" t="s">
        <v>364</v>
      </c>
      <c r="M101" s="13" t="str">
        <f t="shared" si="41"/>
        <v>["wangmuniangniang_wuqi02_01"]</v>
      </c>
      <c r="N101" s="13" t="str">
        <f t="shared" si="49"/>
        <v>["wangmuniangniang_sb5_wuqi03_01"]</v>
      </c>
      <c r="O101" s="13">
        <f t="shared" si="48"/>
        <v>1105</v>
      </c>
      <c r="R101" s="13">
        <v>2</v>
      </c>
      <c r="S101" s="13">
        <v>5</v>
      </c>
      <c r="T101" s="13" t="s">
        <v>136</v>
      </c>
      <c r="U101" s="3">
        <v>1214</v>
      </c>
      <c r="V101" s="3" t="s">
        <v>41</v>
      </c>
      <c r="W101" s="2" t="s">
        <v>86</v>
      </c>
      <c r="AB101" s="13">
        <v>5</v>
      </c>
      <c r="AC101" s="13">
        <f>INDEX($V$4:$Z$62,COUNTIFS($AB$1:$AB101,1),$AB101)</f>
        <v>12125</v>
      </c>
    </row>
    <row r="102" spans="1:29">
      <c r="A102" s="24">
        <v>12180</v>
      </c>
      <c r="B102" s="23" t="s">
        <v>530</v>
      </c>
      <c r="C102" s="24" t="s">
        <v>251</v>
      </c>
      <c r="D102" s="23" t="s">
        <v>564</v>
      </c>
      <c r="E102" s="23" t="s">
        <v>564</v>
      </c>
      <c r="F102" s="25" t="s">
        <v>664</v>
      </c>
      <c r="G102" s="26">
        <v>1218</v>
      </c>
      <c r="H102" s="23" t="s">
        <v>366</v>
      </c>
      <c r="I102" s="13" t="str">
        <f t="shared" si="33"/>
        <v>白无常</v>
      </c>
      <c r="J102" s="13">
        <v>0</v>
      </c>
      <c r="K102" s="13" t="str">
        <f t="shared" si="47"/>
        <v>绝魂领悟</v>
      </c>
      <c r="L102" s="13" t="s">
        <v>530</v>
      </c>
      <c r="M102" s="13" t="str">
        <f t="shared" si="41"/>
        <v>["baiwuchang_wuqi01_01"]</v>
      </c>
      <c r="N102" s="13" t="s">
        <v>138</v>
      </c>
      <c r="O102" s="13">
        <f t="shared" si="48"/>
        <v>1218</v>
      </c>
      <c r="R102" s="13">
        <v>1</v>
      </c>
      <c r="S102" s="13">
        <v>1</v>
      </c>
      <c r="T102" s="13" t="s">
        <v>134</v>
      </c>
      <c r="U102" s="2">
        <v>1103</v>
      </c>
      <c r="V102" s="2" t="s">
        <v>42</v>
      </c>
      <c r="W102" s="2" t="s">
        <v>87</v>
      </c>
      <c r="AB102" s="13">
        <v>1</v>
      </c>
      <c r="AC102" s="13">
        <f>INDEX($V$4:$Z$62,COUNTIFS($AB$1:$AB102,1),$AB102)</f>
        <v>12191</v>
      </c>
    </row>
    <row r="103" spans="1:29">
      <c r="A103" s="24">
        <v>12181</v>
      </c>
      <c r="B103" s="23" t="s">
        <v>530</v>
      </c>
      <c r="C103" s="24" t="s">
        <v>252</v>
      </c>
      <c r="D103" s="23" t="s">
        <v>665</v>
      </c>
      <c r="E103" s="23" t="s">
        <v>665</v>
      </c>
      <c r="F103" s="25" t="s">
        <v>664</v>
      </c>
      <c r="G103" s="26">
        <v>1218</v>
      </c>
      <c r="H103" s="23" t="s">
        <v>367</v>
      </c>
      <c r="I103" s="13" t="str">
        <f t="shared" si="33"/>
        <v>白无常</v>
      </c>
      <c r="J103" s="13">
        <v>1</v>
      </c>
      <c r="K103" s="13" t="str">
        <f t="shared" si="47"/>
        <v>绝魂领悟+1</v>
      </c>
      <c r="L103" s="13" t="s">
        <v>366</v>
      </c>
      <c r="M103" s="13" t="str">
        <f t="shared" si="41"/>
        <v>["baiwuchang_wuqi02_01"]</v>
      </c>
      <c r="N103" s="13" t="str">
        <f t="shared" ref="N103:N108" si="52">"["&amp;$R$1&amp;SUBSTITUTE(VLOOKUP(O103,$U$77:$W$138,3,0),"_actor","")&amp;"_sb"&amp;S103&amp;"_wuqi0"&amp;T103&amp;$R$1&amp;"]"</f>
        <v>["baiwuchang_sb2_wuqi01_01"]</v>
      </c>
      <c r="O103" s="13">
        <f t="shared" si="48"/>
        <v>1218</v>
      </c>
      <c r="R103" s="13">
        <v>2</v>
      </c>
      <c r="S103" s="13">
        <v>2</v>
      </c>
      <c r="T103" s="13" t="s">
        <v>134</v>
      </c>
      <c r="U103" s="6">
        <v>1109</v>
      </c>
      <c r="V103" s="6" t="s">
        <v>43</v>
      </c>
      <c r="W103" s="6" t="s">
        <v>88</v>
      </c>
      <c r="AB103" s="13">
        <v>2</v>
      </c>
      <c r="AC103" s="13">
        <f>INDEX($V$4:$Z$62,COUNTIFS($AB$1:$AB103,1),$AB103)</f>
        <v>12192</v>
      </c>
    </row>
    <row r="104" spans="1:29">
      <c r="A104" s="24">
        <v>12182</v>
      </c>
      <c r="B104" s="23" t="s">
        <v>530</v>
      </c>
      <c r="C104" s="24" t="s">
        <v>252</v>
      </c>
      <c r="D104" s="23" t="s">
        <v>570</v>
      </c>
      <c r="E104" s="23" t="s">
        <v>570</v>
      </c>
      <c r="F104" s="25" t="s">
        <v>664</v>
      </c>
      <c r="G104" s="26">
        <v>1218</v>
      </c>
      <c r="H104" s="23" t="s">
        <v>368</v>
      </c>
      <c r="I104" s="13" t="str">
        <f t="shared" si="33"/>
        <v>白无常</v>
      </c>
      <c r="J104" s="13">
        <v>2</v>
      </c>
      <c r="K104" s="13" t="str">
        <f t="shared" si="47"/>
        <v>绝魂领悟+2</v>
      </c>
      <c r="L104" s="13" t="s">
        <v>367</v>
      </c>
      <c r="M104" s="13" t="str">
        <f t="shared" si="41"/>
        <v>["baiwuchang_wuqi02_01"]</v>
      </c>
      <c r="N104" s="13" t="str">
        <f t="shared" si="52"/>
        <v>["baiwuchang_sb3_wuqi02_01"]</v>
      </c>
      <c r="O104" s="13">
        <f t="shared" si="48"/>
        <v>1218</v>
      </c>
      <c r="R104" s="13">
        <v>2</v>
      </c>
      <c r="S104" s="13">
        <v>3</v>
      </c>
      <c r="T104" s="13" t="s">
        <v>135</v>
      </c>
      <c r="U104" s="2">
        <v>1111</v>
      </c>
      <c r="V104" s="2" t="s">
        <v>44</v>
      </c>
      <c r="W104" s="2" t="s">
        <v>89</v>
      </c>
      <c r="AB104" s="13">
        <v>3</v>
      </c>
      <c r="AC104" s="13">
        <f>INDEX($V$4:$Z$62,COUNTIFS($AB$1:$AB104,1),$AB104)</f>
        <v>12193</v>
      </c>
    </row>
    <row r="105" spans="1:29">
      <c r="A105" s="24">
        <v>12183</v>
      </c>
      <c r="B105" s="23" t="s">
        <v>530</v>
      </c>
      <c r="C105" s="24" t="s">
        <v>252</v>
      </c>
      <c r="D105" s="23" t="s">
        <v>151</v>
      </c>
      <c r="E105" s="23" t="s">
        <v>151</v>
      </c>
      <c r="F105" s="25" t="s">
        <v>666</v>
      </c>
      <c r="G105" s="26">
        <v>1218</v>
      </c>
      <c r="H105" s="23" t="s">
        <v>369</v>
      </c>
      <c r="I105" s="13" t="str">
        <f t="shared" si="33"/>
        <v>白无常</v>
      </c>
      <c r="J105" s="13">
        <v>3</v>
      </c>
      <c r="K105" s="13" t="str">
        <f t="shared" si="47"/>
        <v>绝魂领悟+3</v>
      </c>
      <c r="L105" s="13" t="s">
        <v>368</v>
      </c>
      <c r="M105" s="13" t="str">
        <f t="shared" si="41"/>
        <v>["baiwuchang_wuqi02_01"]</v>
      </c>
      <c r="N105" s="13" t="str">
        <f t="shared" si="52"/>
        <v>["baiwuchang_sb4_wuqi02_01"]</v>
      </c>
      <c r="O105" s="13">
        <f t="shared" si="48"/>
        <v>1218</v>
      </c>
      <c r="R105" s="13">
        <v>2</v>
      </c>
      <c r="S105" s="13">
        <v>4</v>
      </c>
      <c r="T105" s="13" t="s">
        <v>135</v>
      </c>
      <c r="U105" s="2">
        <v>1116</v>
      </c>
      <c r="V105" s="2" t="s">
        <v>45</v>
      </c>
      <c r="W105" s="2" t="s">
        <v>90</v>
      </c>
      <c r="AB105" s="13">
        <v>4</v>
      </c>
      <c r="AC105" s="13">
        <f>INDEX($V$4:$Z$62,COUNTIFS($AB$1:$AB105,1),$AB105)</f>
        <v>12194</v>
      </c>
    </row>
    <row r="106" spans="1:29">
      <c r="A106" s="24">
        <v>12184</v>
      </c>
      <c r="B106" s="23" t="s">
        <v>530</v>
      </c>
      <c r="C106" s="24" t="s">
        <v>252</v>
      </c>
      <c r="D106" s="23" t="s">
        <v>152</v>
      </c>
      <c r="E106" s="23" t="s">
        <v>152</v>
      </c>
      <c r="F106" s="25" t="s">
        <v>667</v>
      </c>
      <c r="G106" s="26">
        <v>1218</v>
      </c>
      <c r="H106" s="23" t="s">
        <v>370</v>
      </c>
      <c r="I106" s="13" t="str">
        <f t="shared" si="33"/>
        <v>白无常</v>
      </c>
      <c r="J106" s="13">
        <v>4</v>
      </c>
      <c r="K106" s="13" t="str">
        <f t="shared" ref="K106:K107" si="53">IF(J106=0,$B106,B106&amp;"+"&amp;J106)</f>
        <v>绝魂领悟+4</v>
      </c>
      <c r="L106" s="13" t="s">
        <v>369</v>
      </c>
      <c r="M106" s="13" t="str">
        <f t="shared" si="41"/>
        <v>["baiwuchang_wuqi02_01"]</v>
      </c>
      <c r="N106" s="13" t="str">
        <f t="shared" si="52"/>
        <v>["baiwuchang_sb5_wuqi03_01"]</v>
      </c>
      <c r="O106" s="13">
        <f t="shared" ref="O106:O107" si="54">INT(LEFT(A106,4))</f>
        <v>1218</v>
      </c>
      <c r="R106" s="13">
        <v>2</v>
      </c>
      <c r="S106" s="13">
        <v>5</v>
      </c>
      <c r="T106" s="13" t="s">
        <v>136</v>
      </c>
      <c r="U106" s="2">
        <v>1121</v>
      </c>
      <c r="V106" s="2" t="s">
        <v>46</v>
      </c>
      <c r="W106" s="2" t="s">
        <v>91</v>
      </c>
      <c r="AB106" s="13">
        <v>5</v>
      </c>
      <c r="AC106" s="13">
        <f>INDEX($V$4:$Z$62,COUNTIFS($AB$1:$AB106,1),$AB106)</f>
        <v>12195</v>
      </c>
    </row>
    <row r="107" spans="1:29">
      <c r="A107" s="24">
        <v>12185</v>
      </c>
      <c r="B107" s="23" t="s">
        <v>530</v>
      </c>
      <c r="C107" s="24" t="s">
        <v>252</v>
      </c>
      <c r="D107" s="23" t="s">
        <v>152</v>
      </c>
      <c r="E107" s="23" t="s">
        <v>152</v>
      </c>
      <c r="F107" s="25" t="s">
        <v>667</v>
      </c>
      <c r="G107" s="26">
        <v>1218</v>
      </c>
      <c r="H107" s="23" t="s">
        <v>370</v>
      </c>
      <c r="I107" s="13" t="str">
        <f t="shared" si="33"/>
        <v>白无常</v>
      </c>
      <c r="J107" s="13">
        <v>5</v>
      </c>
      <c r="K107" s="13" t="str">
        <f t="shared" si="53"/>
        <v>绝魂领悟+5</v>
      </c>
      <c r="L107" s="13" t="s">
        <v>369</v>
      </c>
      <c r="M107" s="13" t="str">
        <f t="shared" si="41"/>
        <v>["baiwuchang_wuqi02_01"]</v>
      </c>
      <c r="N107" s="13" t="str">
        <f t="shared" si="52"/>
        <v>["baiwuchang_sb5_wuqi03_01"]</v>
      </c>
      <c r="O107" s="13">
        <f t="shared" si="54"/>
        <v>1218</v>
      </c>
      <c r="R107" s="13">
        <v>2</v>
      </c>
      <c r="S107" s="13">
        <v>5</v>
      </c>
      <c r="T107" s="13" t="s">
        <v>136</v>
      </c>
      <c r="U107" s="2">
        <v>1121</v>
      </c>
      <c r="V107" s="2" t="s">
        <v>46</v>
      </c>
      <c r="W107" s="2" t="s">
        <v>91</v>
      </c>
      <c r="AB107" s="13">
        <v>5</v>
      </c>
      <c r="AC107" s="13">
        <f>INDEX($V$4:$Z$62,COUNTIFS($AB$1:$AB107,1),$AB107)</f>
        <v>12195</v>
      </c>
    </row>
    <row r="108" spans="1:29">
      <c r="A108" s="24">
        <v>12186</v>
      </c>
      <c r="B108" s="23" t="s">
        <v>530</v>
      </c>
      <c r="C108" s="24" t="s">
        <v>252</v>
      </c>
      <c r="D108" s="23" t="s">
        <v>152</v>
      </c>
      <c r="E108" s="23" t="s">
        <v>152</v>
      </c>
      <c r="F108" s="25" t="s">
        <v>667</v>
      </c>
      <c r="G108" s="26">
        <v>1218</v>
      </c>
      <c r="H108" s="23" t="s">
        <v>370</v>
      </c>
      <c r="I108" s="13" t="str">
        <f t="shared" si="33"/>
        <v>白无常</v>
      </c>
      <c r="J108" s="13">
        <v>5</v>
      </c>
      <c r="K108" s="13" t="str">
        <f t="shared" si="47"/>
        <v>绝魂领悟+5</v>
      </c>
      <c r="L108" s="13" t="s">
        <v>369</v>
      </c>
      <c r="M108" s="13" t="str">
        <f t="shared" si="41"/>
        <v>["baiwuchang_wuqi02_01"]</v>
      </c>
      <c r="N108" s="13" t="str">
        <f t="shared" si="52"/>
        <v>["baiwuchang_sb5_wuqi03_01"]</v>
      </c>
      <c r="O108" s="13">
        <f t="shared" si="48"/>
        <v>1218</v>
      </c>
      <c r="R108" s="13">
        <v>2</v>
      </c>
      <c r="S108" s="13">
        <v>5</v>
      </c>
      <c r="T108" s="13" t="s">
        <v>136</v>
      </c>
      <c r="U108" s="2">
        <v>1121</v>
      </c>
      <c r="V108" s="2" t="s">
        <v>46</v>
      </c>
      <c r="W108" s="2" t="s">
        <v>91</v>
      </c>
      <c r="AB108" s="13">
        <v>5</v>
      </c>
      <c r="AC108" s="13">
        <f>INDEX($V$4:$Z$62,COUNTIFS($AB$1:$AB108,1),$AB108)</f>
        <v>12195</v>
      </c>
    </row>
    <row r="109" spans="1:29">
      <c r="A109" s="33">
        <v>11240</v>
      </c>
      <c r="B109" s="34" t="s">
        <v>531</v>
      </c>
      <c r="C109" s="33" t="s">
        <v>253</v>
      </c>
      <c r="D109" s="34" t="s">
        <v>668</v>
      </c>
      <c r="E109" s="34" t="s">
        <v>620</v>
      </c>
      <c r="F109" s="34" t="s">
        <v>669</v>
      </c>
      <c r="G109" s="35">
        <v>1124</v>
      </c>
      <c r="H109" s="34" t="s">
        <v>371</v>
      </c>
      <c r="I109" s="13" t="str">
        <f t="shared" si="33"/>
        <v>沙和尚</v>
      </c>
      <c r="J109" s="13">
        <v>0</v>
      </c>
      <c r="K109" s="13" t="str">
        <f t="shared" si="47"/>
        <v>降妖宝杖</v>
      </c>
      <c r="L109" s="13" t="s">
        <v>531</v>
      </c>
      <c r="M109" s="13" t="str">
        <f t="shared" si="41"/>
        <v>["shaheshang_wuqi01_01"]</v>
      </c>
      <c r="N109" s="13" t="s">
        <v>138</v>
      </c>
      <c r="O109" s="13">
        <f t="shared" si="48"/>
        <v>1124</v>
      </c>
      <c r="R109" s="13">
        <v>1</v>
      </c>
      <c r="S109" s="13">
        <v>1</v>
      </c>
      <c r="T109" s="13" t="s">
        <v>134</v>
      </c>
      <c r="U109" s="6">
        <v>1215</v>
      </c>
      <c r="V109" s="7" t="s">
        <v>47</v>
      </c>
      <c r="W109" s="7" t="s">
        <v>92</v>
      </c>
      <c r="AB109" s="13">
        <v>1</v>
      </c>
      <c r="AC109" s="13">
        <f>INDEX($V$4:$Z$62,COUNTIFS($AB$1:$AB109,1),$AB109)</f>
        <v>11121</v>
      </c>
    </row>
    <row r="110" spans="1:29">
      <c r="A110" s="33">
        <v>11241</v>
      </c>
      <c r="B110" s="34" t="s">
        <v>531</v>
      </c>
      <c r="C110" s="33" t="s">
        <v>254</v>
      </c>
      <c r="D110" s="34" t="s">
        <v>571</v>
      </c>
      <c r="E110" s="34" t="s">
        <v>571</v>
      </c>
      <c r="F110" s="34" t="s">
        <v>669</v>
      </c>
      <c r="G110" s="35">
        <v>1124</v>
      </c>
      <c r="H110" s="34" t="s">
        <v>372</v>
      </c>
      <c r="I110" s="13" t="str">
        <f t="shared" si="33"/>
        <v>沙和尚</v>
      </c>
      <c r="J110" s="13">
        <v>1</v>
      </c>
      <c r="K110" s="13" t="str">
        <f t="shared" si="47"/>
        <v>降妖宝杖+1</v>
      </c>
      <c r="L110" s="13" t="s">
        <v>371</v>
      </c>
      <c r="M110" s="13" t="str">
        <f t="shared" si="41"/>
        <v>["shaheshang_wuqi02_01"]</v>
      </c>
      <c r="N110" s="13" t="str">
        <f t="shared" ref="N110:N115" si="55">"["&amp;$R$1&amp;SUBSTITUTE(VLOOKUP(O110,$U$77:$W$138,3,0),"_actor","")&amp;"_sb"&amp;S110&amp;"_wuqi0"&amp;T110&amp;$R$1&amp;"]"</f>
        <v>["shaheshang_sb2_wuqi01_01"]</v>
      </c>
      <c r="O110" s="13">
        <f t="shared" si="48"/>
        <v>1124</v>
      </c>
      <c r="R110" s="13">
        <v>2</v>
      </c>
      <c r="S110" s="13">
        <v>2</v>
      </c>
      <c r="T110" s="13" t="s">
        <v>134</v>
      </c>
      <c r="U110" s="2">
        <v>1114</v>
      </c>
      <c r="V110" s="2" t="s">
        <v>48</v>
      </c>
      <c r="W110" s="2" t="s">
        <v>93</v>
      </c>
      <c r="AB110" s="13">
        <v>2</v>
      </c>
      <c r="AC110" s="13">
        <f>INDEX($V$4:$Z$62,COUNTIFS($AB$1:$AB110,1),$AB110)</f>
        <v>11122</v>
      </c>
    </row>
    <row r="111" spans="1:29">
      <c r="A111" s="33">
        <v>11242</v>
      </c>
      <c r="B111" s="34" t="s">
        <v>531</v>
      </c>
      <c r="C111" s="33" t="s">
        <v>254</v>
      </c>
      <c r="D111" s="34" t="s">
        <v>153</v>
      </c>
      <c r="E111" s="34" t="s">
        <v>153</v>
      </c>
      <c r="F111" s="34" t="s">
        <v>669</v>
      </c>
      <c r="G111" s="35">
        <v>1124</v>
      </c>
      <c r="H111" s="34" t="s">
        <v>373</v>
      </c>
      <c r="I111" s="13" t="str">
        <f t="shared" si="33"/>
        <v>沙和尚</v>
      </c>
      <c r="J111" s="13">
        <v>2</v>
      </c>
      <c r="K111" s="13" t="str">
        <f t="shared" si="47"/>
        <v>降妖宝杖+2</v>
      </c>
      <c r="L111" s="13" t="s">
        <v>372</v>
      </c>
      <c r="M111" s="13" t="str">
        <f t="shared" si="41"/>
        <v>["shaheshang_wuqi02_01"]</v>
      </c>
      <c r="N111" s="13" t="str">
        <f t="shared" si="55"/>
        <v>["shaheshang_sb3_wuqi02_01"]</v>
      </c>
      <c r="O111" s="13">
        <f t="shared" si="48"/>
        <v>1124</v>
      </c>
      <c r="R111" s="13">
        <v>2</v>
      </c>
      <c r="S111" s="13">
        <v>3</v>
      </c>
      <c r="T111" s="13" t="s">
        <v>135</v>
      </c>
      <c r="U111" s="2">
        <v>1110</v>
      </c>
      <c r="V111" s="2" t="s">
        <v>49</v>
      </c>
      <c r="W111" s="2" t="s">
        <v>94</v>
      </c>
      <c r="AB111" s="13">
        <v>3</v>
      </c>
      <c r="AC111" s="13">
        <f>INDEX($V$4:$Z$62,COUNTIFS($AB$1:$AB111,1),$AB111)</f>
        <v>11123</v>
      </c>
    </row>
    <row r="112" spans="1:29">
      <c r="A112" s="33">
        <v>11243</v>
      </c>
      <c r="B112" s="34" t="s">
        <v>531</v>
      </c>
      <c r="C112" s="33" t="s">
        <v>254</v>
      </c>
      <c r="D112" s="34" t="s">
        <v>670</v>
      </c>
      <c r="E112" s="34" t="s">
        <v>671</v>
      </c>
      <c r="F112" s="34" t="s">
        <v>669</v>
      </c>
      <c r="G112" s="35">
        <v>1124</v>
      </c>
      <c r="H112" s="34" t="s">
        <v>374</v>
      </c>
      <c r="I112" s="13" t="str">
        <f t="shared" si="33"/>
        <v>沙和尚</v>
      </c>
      <c r="J112" s="13">
        <v>3</v>
      </c>
      <c r="K112" s="13" t="str">
        <f t="shared" si="47"/>
        <v>降妖宝杖+3</v>
      </c>
      <c r="L112" s="13" t="s">
        <v>373</v>
      </c>
      <c r="M112" s="13" t="str">
        <f t="shared" si="41"/>
        <v>["shaheshang_wuqi02_01"]</v>
      </c>
      <c r="N112" s="13" t="str">
        <f t="shared" si="55"/>
        <v>["shaheshang_sb4_wuqi02_01"]</v>
      </c>
      <c r="O112" s="13">
        <f t="shared" si="48"/>
        <v>1124</v>
      </c>
      <c r="R112" s="13">
        <v>2</v>
      </c>
      <c r="S112" s="13">
        <v>4</v>
      </c>
      <c r="T112" s="13" t="s">
        <v>135</v>
      </c>
      <c r="U112" s="2">
        <v>1104</v>
      </c>
      <c r="V112" s="2" t="s">
        <v>50</v>
      </c>
      <c r="W112" s="2" t="s">
        <v>95</v>
      </c>
      <c r="AB112" s="13">
        <v>4</v>
      </c>
      <c r="AC112" s="13">
        <f>INDEX($V$4:$Z$62,COUNTIFS($AB$1:$AB112,1),$AB112)</f>
        <v>11124</v>
      </c>
    </row>
    <row r="113" spans="1:29">
      <c r="A113" s="33">
        <v>11244</v>
      </c>
      <c r="B113" s="34" t="s">
        <v>531</v>
      </c>
      <c r="C113" s="33" t="s">
        <v>254</v>
      </c>
      <c r="D113" s="34" t="s">
        <v>672</v>
      </c>
      <c r="E113" s="34" t="s">
        <v>673</v>
      </c>
      <c r="F113" s="34" t="s">
        <v>674</v>
      </c>
      <c r="G113" s="35">
        <v>1124</v>
      </c>
      <c r="H113" s="34" t="s">
        <v>375</v>
      </c>
      <c r="I113" s="13" t="str">
        <f t="shared" si="33"/>
        <v>沙和尚</v>
      </c>
      <c r="J113" s="13">
        <v>4</v>
      </c>
      <c r="K113" s="13" t="str">
        <f t="shared" ref="K113:K114" si="56">IF(J113=0,$B113,B113&amp;"+"&amp;J113)</f>
        <v>降妖宝杖+4</v>
      </c>
      <c r="L113" s="13" t="s">
        <v>374</v>
      </c>
      <c r="M113" s="13" t="str">
        <f t="shared" si="41"/>
        <v>["shaheshang_wuqi02_01"]</v>
      </c>
      <c r="N113" s="13" t="str">
        <f t="shared" si="55"/>
        <v>["shaheshang_sb5_wuqi03_01"]</v>
      </c>
      <c r="O113" s="13">
        <f t="shared" ref="O113:O114" si="57">INT(LEFT(A113,4))</f>
        <v>1124</v>
      </c>
      <c r="R113" s="13">
        <v>2</v>
      </c>
      <c r="S113" s="13">
        <v>5</v>
      </c>
      <c r="T113" s="13" t="s">
        <v>136</v>
      </c>
      <c r="U113" s="2">
        <v>1135</v>
      </c>
      <c r="V113" s="2" t="s">
        <v>51</v>
      </c>
      <c r="W113" s="2" t="s">
        <v>96</v>
      </c>
      <c r="AB113" s="13">
        <v>5</v>
      </c>
      <c r="AC113" s="13">
        <f>INDEX($V$4:$Z$62,COUNTIFS($AB$1:$AB113,1),$AB113)</f>
        <v>11125</v>
      </c>
    </row>
    <row r="114" spans="1:29">
      <c r="A114" s="33">
        <v>11245</v>
      </c>
      <c r="B114" s="34" t="s">
        <v>531</v>
      </c>
      <c r="C114" s="33" t="s">
        <v>254</v>
      </c>
      <c r="D114" s="34" t="s">
        <v>675</v>
      </c>
      <c r="E114" s="34" t="s">
        <v>675</v>
      </c>
      <c r="F114" s="34" t="s">
        <v>676</v>
      </c>
      <c r="G114" s="35">
        <v>1124</v>
      </c>
      <c r="H114" s="34" t="s">
        <v>375</v>
      </c>
      <c r="I114" s="13" t="str">
        <f t="shared" si="33"/>
        <v>沙和尚</v>
      </c>
      <c r="J114" s="13">
        <v>5</v>
      </c>
      <c r="K114" s="13" t="str">
        <f t="shared" si="56"/>
        <v>降妖宝杖+5</v>
      </c>
      <c r="L114" s="13" t="s">
        <v>374</v>
      </c>
      <c r="M114" s="13" t="str">
        <f t="shared" si="41"/>
        <v>["shaheshang_wuqi02_01"]</v>
      </c>
      <c r="N114" s="13" t="str">
        <f t="shared" si="55"/>
        <v>["shaheshang_sb5_wuqi03_01"]</v>
      </c>
      <c r="O114" s="13">
        <f t="shared" si="57"/>
        <v>1124</v>
      </c>
      <c r="R114" s="13">
        <v>2</v>
      </c>
      <c r="S114" s="13">
        <v>5</v>
      </c>
      <c r="T114" s="13" t="s">
        <v>136</v>
      </c>
      <c r="U114" s="2">
        <v>1135</v>
      </c>
      <c r="V114" s="2" t="s">
        <v>51</v>
      </c>
      <c r="W114" s="2" t="s">
        <v>96</v>
      </c>
      <c r="AB114" s="13">
        <v>5</v>
      </c>
      <c r="AC114" s="13">
        <f>INDEX($V$4:$Z$62,COUNTIFS($AB$1:$AB114,1),$AB114)</f>
        <v>11125</v>
      </c>
    </row>
    <row r="115" spans="1:29">
      <c r="A115" s="33">
        <v>11246</v>
      </c>
      <c r="B115" s="34" t="s">
        <v>531</v>
      </c>
      <c r="C115" s="33" t="s">
        <v>254</v>
      </c>
      <c r="D115" s="34" t="s">
        <v>675</v>
      </c>
      <c r="E115" s="34" t="s">
        <v>675</v>
      </c>
      <c r="F115" s="34" t="s">
        <v>676</v>
      </c>
      <c r="G115" s="35">
        <v>1124</v>
      </c>
      <c r="H115" s="34" t="s">
        <v>375</v>
      </c>
      <c r="I115" s="13" t="str">
        <f t="shared" si="33"/>
        <v>沙和尚</v>
      </c>
      <c r="J115" s="13">
        <v>5</v>
      </c>
      <c r="K115" s="13" t="str">
        <f t="shared" si="47"/>
        <v>降妖宝杖+5</v>
      </c>
      <c r="L115" s="13" t="s">
        <v>374</v>
      </c>
      <c r="M115" s="13" t="str">
        <f t="shared" si="41"/>
        <v>["shaheshang_wuqi02_01"]</v>
      </c>
      <c r="N115" s="13" t="str">
        <f t="shared" si="55"/>
        <v>["shaheshang_sb5_wuqi03_01"]</v>
      </c>
      <c r="O115" s="13">
        <f t="shared" si="48"/>
        <v>1124</v>
      </c>
      <c r="R115" s="13">
        <v>2</v>
      </c>
      <c r="S115" s="13">
        <v>5</v>
      </c>
      <c r="T115" s="13" t="s">
        <v>136</v>
      </c>
      <c r="U115" s="2">
        <v>1135</v>
      </c>
      <c r="V115" s="2" t="s">
        <v>51</v>
      </c>
      <c r="W115" s="2" t="s">
        <v>96</v>
      </c>
      <c r="AB115" s="13">
        <v>5</v>
      </c>
      <c r="AC115" s="13">
        <f>INDEX($V$4:$Z$62,COUNTIFS($AB$1:$AB115,1),$AB115)</f>
        <v>11125</v>
      </c>
    </row>
    <row r="116" spans="1:29">
      <c r="A116" s="24">
        <v>11260</v>
      </c>
      <c r="B116" s="23" t="s">
        <v>532</v>
      </c>
      <c r="C116" s="24" t="s">
        <v>255</v>
      </c>
      <c r="D116" s="23" t="s">
        <v>572</v>
      </c>
      <c r="E116" s="23" t="s">
        <v>572</v>
      </c>
      <c r="F116" s="25" t="s">
        <v>677</v>
      </c>
      <c r="G116" s="26">
        <v>1126</v>
      </c>
      <c r="H116" s="23" t="s">
        <v>376</v>
      </c>
      <c r="I116" s="13" t="str">
        <f t="shared" si="33"/>
        <v>文殊菩萨</v>
      </c>
      <c r="J116" s="13">
        <v>0</v>
      </c>
      <c r="K116" s="13" t="str">
        <f t="shared" si="47"/>
        <v>天慧法杖</v>
      </c>
      <c r="L116" s="13" t="s">
        <v>532</v>
      </c>
      <c r="M116" s="13" t="str">
        <f t="shared" si="41"/>
        <v>["wenshupusa_wuqi01_01"]</v>
      </c>
      <c r="N116" s="13" t="s">
        <v>138</v>
      </c>
      <c r="O116" s="13">
        <f t="shared" si="48"/>
        <v>1126</v>
      </c>
      <c r="R116" s="13">
        <v>1</v>
      </c>
      <c r="S116" s="13">
        <v>1</v>
      </c>
      <c r="T116" s="13" t="s">
        <v>134</v>
      </c>
      <c r="U116" s="2">
        <v>1132</v>
      </c>
      <c r="V116" s="2" t="s">
        <v>52</v>
      </c>
      <c r="W116" s="2" t="s">
        <v>97</v>
      </c>
      <c r="AB116" s="13">
        <v>1</v>
      </c>
      <c r="AC116" s="13">
        <f>INDEX($V$4:$Z$62,COUNTIFS($AB$1:$AB116,1),$AB116)</f>
        <v>11191</v>
      </c>
    </row>
    <row r="117" spans="1:29">
      <c r="A117" s="24">
        <v>11261</v>
      </c>
      <c r="B117" s="23" t="s">
        <v>532</v>
      </c>
      <c r="C117" s="24" t="s">
        <v>256</v>
      </c>
      <c r="D117" s="23" t="s">
        <v>678</v>
      </c>
      <c r="E117" s="23" t="s">
        <v>678</v>
      </c>
      <c r="F117" s="25" t="s">
        <v>679</v>
      </c>
      <c r="G117" s="26">
        <v>1126</v>
      </c>
      <c r="H117" s="23" t="s">
        <v>377</v>
      </c>
      <c r="I117" s="13" t="str">
        <f t="shared" si="33"/>
        <v>文殊菩萨</v>
      </c>
      <c r="J117" s="13">
        <v>1</v>
      </c>
      <c r="K117" s="13" t="str">
        <f t="shared" si="47"/>
        <v>天慧法杖+1</v>
      </c>
      <c r="L117" s="13" t="s">
        <v>376</v>
      </c>
      <c r="M117" s="13" t="str">
        <f t="shared" si="41"/>
        <v>["wenshupusa_wuqi02_01"]</v>
      </c>
      <c r="N117" s="13" t="str">
        <f t="shared" ref="N117:N122" si="58">"["&amp;$R$1&amp;SUBSTITUTE(VLOOKUP(O117,$U$77:$W$138,3,0),"_actor","")&amp;"_sb"&amp;S117&amp;"_wuqi0"&amp;T117&amp;$R$1&amp;"]"</f>
        <v>["wenshupusa_sb2_wuqi01_01"]</v>
      </c>
      <c r="O117" s="13">
        <f t="shared" si="48"/>
        <v>1126</v>
      </c>
      <c r="R117" s="13">
        <v>2</v>
      </c>
      <c r="S117" s="13">
        <v>2</v>
      </c>
      <c r="T117" s="13" t="s">
        <v>134</v>
      </c>
      <c r="U117" s="6">
        <v>1125</v>
      </c>
      <c r="V117" s="7" t="s">
        <v>53</v>
      </c>
      <c r="W117" s="6" t="s">
        <v>98</v>
      </c>
      <c r="AB117" s="13">
        <v>2</v>
      </c>
      <c r="AC117" s="13">
        <f>INDEX($V$4:$Z$62,COUNTIFS($AB$1:$AB117,1),$AB117)</f>
        <v>11192</v>
      </c>
    </row>
    <row r="118" spans="1:29">
      <c r="A118" s="24">
        <v>11262</v>
      </c>
      <c r="B118" s="23" t="s">
        <v>532</v>
      </c>
      <c r="C118" s="24" t="s">
        <v>256</v>
      </c>
      <c r="D118" s="23" t="s">
        <v>573</v>
      </c>
      <c r="E118" s="23" t="s">
        <v>573</v>
      </c>
      <c r="F118" s="25" t="s">
        <v>680</v>
      </c>
      <c r="G118" s="26">
        <v>1126</v>
      </c>
      <c r="H118" s="23" t="s">
        <v>378</v>
      </c>
      <c r="I118" s="13" t="str">
        <f t="shared" si="33"/>
        <v>文殊菩萨</v>
      </c>
      <c r="J118" s="13">
        <v>2</v>
      </c>
      <c r="K118" s="13" t="str">
        <f t="shared" si="47"/>
        <v>天慧法杖+2</v>
      </c>
      <c r="L118" s="13" t="s">
        <v>377</v>
      </c>
      <c r="M118" s="13" t="str">
        <f t="shared" si="41"/>
        <v>["wenshupusa_wuqi02_01"]</v>
      </c>
      <c r="N118" s="13" t="str">
        <f t="shared" si="58"/>
        <v>["wenshupusa_sb3_wuqi02_01"]</v>
      </c>
      <c r="O118" s="13">
        <f t="shared" si="48"/>
        <v>1126</v>
      </c>
      <c r="R118" s="13">
        <v>2</v>
      </c>
      <c r="S118" s="13">
        <v>3</v>
      </c>
      <c r="T118" s="13" t="s">
        <v>135</v>
      </c>
      <c r="U118" s="3">
        <v>1202</v>
      </c>
      <c r="V118" s="3" t="s">
        <v>54</v>
      </c>
      <c r="W118" s="2" t="s">
        <v>99</v>
      </c>
      <c r="AB118" s="13">
        <v>3</v>
      </c>
      <c r="AC118" s="13">
        <f>INDEX($V$4:$Z$62,COUNTIFS($AB$1:$AB118,1),$AB118)</f>
        <v>11193</v>
      </c>
    </row>
    <row r="119" spans="1:29">
      <c r="A119" s="24">
        <v>11263</v>
      </c>
      <c r="B119" s="23" t="s">
        <v>532</v>
      </c>
      <c r="C119" s="24" t="s">
        <v>256</v>
      </c>
      <c r="D119" s="23" t="s">
        <v>154</v>
      </c>
      <c r="E119" s="23" t="s">
        <v>154</v>
      </c>
      <c r="F119" s="25" t="s">
        <v>679</v>
      </c>
      <c r="G119" s="26">
        <v>1126</v>
      </c>
      <c r="H119" s="23" t="s">
        <v>379</v>
      </c>
      <c r="I119" s="13" t="str">
        <f t="shared" si="33"/>
        <v>文殊菩萨</v>
      </c>
      <c r="J119" s="13">
        <v>3</v>
      </c>
      <c r="K119" s="13" t="str">
        <f t="shared" si="47"/>
        <v>天慧法杖+3</v>
      </c>
      <c r="L119" s="13" t="s">
        <v>378</v>
      </c>
      <c r="M119" s="13" t="str">
        <f t="shared" si="41"/>
        <v>["wenshupusa_wuqi02_01"]</v>
      </c>
      <c r="N119" s="13" t="str">
        <f t="shared" si="58"/>
        <v>["wenshupusa_sb4_wuqi02_01"]</v>
      </c>
      <c r="O119" s="13">
        <f t="shared" si="48"/>
        <v>1126</v>
      </c>
      <c r="R119" s="13">
        <v>2</v>
      </c>
      <c r="S119" s="13">
        <v>4</v>
      </c>
      <c r="T119" s="13" t="s">
        <v>135</v>
      </c>
      <c r="U119" s="2">
        <v>1123</v>
      </c>
      <c r="V119" s="2" t="s">
        <v>55</v>
      </c>
      <c r="W119" s="2" t="s">
        <v>100</v>
      </c>
      <c r="AB119" s="13">
        <v>4</v>
      </c>
      <c r="AC119" s="13">
        <f>INDEX($V$4:$Z$62,COUNTIFS($AB$1:$AB119,1),$AB119)</f>
        <v>11194</v>
      </c>
    </row>
    <row r="120" spans="1:29">
      <c r="A120" s="24">
        <v>11264</v>
      </c>
      <c r="B120" s="23" t="s">
        <v>532</v>
      </c>
      <c r="C120" s="24" t="s">
        <v>256</v>
      </c>
      <c r="D120" s="23" t="s">
        <v>180</v>
      </c>
      <c r="E120" s="23" t="s">
        <v>180</v>
      </c>
      <c r="F120" s="25" t="s">
        <v>679</v>
      </c>
      <c r="G120" s="26">
        <v>1126</v>
      </c>
      <c r="H120" s="23" t="s">
        <v>380</v>
      </c>
      <c r="I120" s="13" t="str">
        <f t="shared" si="33"/>
        <v>文殊菩萨</v>
      </c>
      <c r="J120" s="13">
        <v>4</v>
      </c>
      <c r="K120" s="13" t="str">
        <f t="shared" ref="K120:K121" si="59">IF(J120=0,$B120,B120&amp;"+"&amp;J120)</f>
        <v>天慧法杖+4</v>
      </c>
      <c r="L120" s="13" t="s">
        <v>379</v>
      </c>
      <c r="M120" s="13" t="str">
        <f t="shared" si="41"/>
        <v>["wenshupusa_wuqi02_01"]</v>
      </c>
      <c r="N120" s="13" t="str">
        <f t="shared" si="58"/>
        <v>["wenshupusa_sb5_wuqi03_01"]</v>
      </c>
      <c r="O120" s="13">
        <f t="shared" ref="O120:O121" si="60">INT(LEFT(A120,4))</f>
        <v>1126</v>
      </c>
      <c r="R120" s="13">
        <v>2</v>
      </c>
      <c r="S120" s="13">
        <v>5</v>
      </c>
      <c r="T120" s="13" t="s">
        <v>136</v>
      </c>
      <c r="U120" s="2">
        <v>1117</v>
      </c>
      <c r="V120" s="2" t="s">
        <v>56</v>
      </c>
      <c r="W120" s="2" t="s">
        <v>101</v>
      </c>
      <c r="AB120" s="13">
        <v>5</v>
      </c>
      <c r="AC120" s="13">
        <f>INDEX($V$4:$Z$62,COUNTIFS($AB$1:$AB120,1),$AB120)</f>
        <v>11195</v>
      </c>
    </row>
    <row r="121" spans="1:29">
      <c r="A121" s="24">
        <v>11265</v>
      </c>
      <c r="B121" s="23" t="s">
        <v>532</v>
      </c>
      <c r="C121" s="24" t="s">
        <v>256</v>
      </c>
      <c r="D121" s="23" t="s">
        <v>180</v>
      </c>
      <c r="E121" s="23" t="s">
        <v>180</v>
      </c>
      <c r="F121" s="25" t="s">
        <v>681</v>
      </c>
      <c r="G121" s="26">
        <v>1126</v>
      </c>
      <c r="H121" s="23" t="s">
        <v>380</v>
      </c>
      <c r="I121" s="13" t="str">
        <f t="shared" si="33"/>
        <v>文殊菩萨</v>
      </c>
      <c r="J121" s="13">
        <v>5</v>
      </c>
      <c r="K121" s="13" t="str">
        <f t="shared" si="59"/>
        <v>天慧法杖+5</v>
      </c>
      <c r="L121" s="13" t="s">
        <v>379</v>
      </c>
      <c r="M121" s="13" t="str">
        <f t="shared" si="41"/>
        <v>["wenshupusa_wuqi02_01"]</v>
      </c>
      <c r="N121" s="13" t="str">
        <f t="shared" si="58"/>
        <v>["wenshupusa_sb5_wuqi03_01"]</v>
      </c>
      <c r="O121" s="13">
        <f t="shared" si="60"/>
        <v>1126</v>
      </c>
      <c r="R121" s="13">
        <v>2</v>
      </c>
      <c r="S121" s="13">
        <v>5</v>
      </c>
      <c r="T121" s="13" t="s">
        <v>136</v>
      </c>
      <c r="U121" s="2">
        <v>1117</v>
      </c>
      <c r="V121" s="2" t="s">
        <v>56</v>
      </c>
      <c r="W121" s="2" t="s">
        <v>101</v>
      </c>
      <c r="AB121" s="13">
        <v>5</v>
      </c>
      <c r="AC121" s="13">
        <f>INDEX($V$4:$Z$62,COUNTIFS($AB$1:$AB121,1),$AB121)</f>
        <v>11195</v>
      </c>
    </row>
    <row r="122" spans="1:29">
      <c r="A122" s="24">
        <v>11266</v>
      </c>
      <c r="B122" s="23" t="s">
        <v>532</v>
      </c>
      <c r="C122" s="24" t="s">
        <v>256</v>
      </c>
      <c r="D122" s="23" t="s">
        <v>180</v>
      </c>
      <c r="E122" s="23" t="s">
        <v>180</v>
      </c>
      <c r="F122" s="25" t="s">
        <v>681</v>
      </c>
      <c r="G122" s="26">
        <v>1126</v>
      </c>
      <c r="H122" s="23" t="s">
        <v>380</v>
      </c>
      <c r="I122" s="13" t="str">
        <f t="shared" si="33"/>
        <v>文殊菩萨</v>
      </c>
      <c r="J122" s="13">
        <v>5</v>
      </c>
      <c r="K122" s="13" t="str">
        <f t="shared" si="47"/>
        <v>天慧法杖+5</v>
      </c>
      <c r="L122" s="13" t="s">
        <v>379</v>
      </c>
      <c r="M122" s="13" t="str">
        <f t="shared" si="41"/>
        <v>["wenshupusa_wuqi02_01"]</v>
      </c>
      <c r="N122" s="13" t="str">
        <f t="shared" si="58"/>
        <v>["wenshupusa_sb5_wuqi03_01"]</v>
      </c>
      <c r="O122" s="13">
        <f t="shared" si="48"/>
        <v>1126</v>
      </c>
      <c r="R122" s="13">
        <v>2</v>
      </c>
      <c r="S122" s="13">
        <v>5</v>
      </c>
      <c r="T122" s="13" t="s">
        <v>136</v>
      </c>
      <c r="U122" s="2">
        <v>1117</v>
      </c>
      <c r="V122" s="2" t="s">
        <v>56</v>
      </c>
      <c r="W122" s="2" t="s">
        <v>101</v>
      </c>
      <c r="AB122" s="13">
        <v>5</v>
      </c>
      <c r="AC122" s="13">
        <f>INDEX($V$4:$Z$62,COUNTIFS($AB$1:$AB122,1),$AB122)</f>
        <v>11195</v>
      </c>
    </row>
    <row r="123" spans="1:29">
      <c r="A123" s="33">
        <v>12130</v>
      </c>
      <c r="B123" s="34" t="s">
        <v>533</v>
      </c>
      <c r="C123" s="33" t="s">
        <v>257</v>
      </c>
      <c r="D123" s="34" t="s">
        <v>682</v>
      </c>
      <c r="E123" s="34" t="s">
        <v>682</v>
      </c>
      <c r="F123" s="34" t="s">
        <v>683</v>
      </c>
      <c r="G123" s="35">
        <v>1213</v>
      </c>
      <c r="H123" s="34" t="s">
        <v>381</v>
      </c>
      <c r="I123" s="13" t="str">
        <f t="shared" si="33"/>
        <v>龙帝</v>
      </c>
      <c r="J123" s="13">
        <v>0</v>
      </c>
      <c r="K123" s="13" t="str">
        <f t="shared" si="47"/>
        <v>深海碎霜</v>
      </c>
      <c r="L123" s="13" t="s">
        <v>533</v>
      </c>
      <c r="M123" s="13" t="str">
        <f t="shared" si="41"/>
        <v>["longdi_wuqi01_01"]</v>
      </c>
      <c r="N123" s="13" t="s">
        <v>138</v>
      </c>
      <c r="O123" s="13">
        <f t="shared" si="48"/>
        <v>1213</v>
      </c>
      <c r="R123" s="13">
        <v>1</v>
      </c>
      <c r="S123" s="13">
        <v>1</v>
      </c>
      <c r="T123" s="13" t="s">
        <v>134</v>
      </c>
      <c r="U123" s="2">
        <v>1201</v>
      </c>
      <c r="V123" s="2" t="s">
        <v>57</v>
      </c>
      <c r="W123" s="2" t="s">
        <v>102</v>
      </c>
      <c r="AB123" s="13">
        <v>1</v>
      </c>
      <c r="AC123" s="13">
        <f>INDEX($V$4:$Z$62,COUNTIFS($AB$1:$AB123,1),$AB123)</f>
        <v>11051</v>
      </c>
    </row>
    <row r="124" spans="1:29">
      <c r="A124" s="33">
        <v>12131</v>
      </c>
      <c r="B124" s="34" t="s">
        <v>533</v>
      </c>
      <c r="C124" s="33" t="s">
        <v>258</v>
      </c>
      <c r="D124" s="34" t="s">
        <v>574</v>
      </c>
      <c r="E124" s="34" t="s">
        <v>574</v>
      </c>
      <c r="F124" s="34" t="s">
        <v>684</v>
      </c>
      <c r="G124" s="35">
        <v>1213</v>
      </c>
      <c r="H124" s="34" t="s">
        <v>382</v>
      </c>
      <c r="I124" s="13" t="str">
        <f t="shared" si="33"/>
        <v>龙帝</v>
      </c>
      <c r="J124" s="13">
        <v>1</v>
      </c>
      <c r="K124" s="13" t="str">
        <f t="shared" si="47"/>
        <v>深海碎霜+1</v>
      </c>
      <c r="L124" s="13" t="s">
        <v>381</v>
      </c>
      <c r="M124" s="13" t="str">
        <f t="shared" si="41"/>
        <v>["longdi_wuqi02_01"]</v>
      </c>
      <c r="N124" s="13" t="str">
        <f t="shared" ref="N124:N129" si="61">"["&amp;$R$1&amp;SUBSTITUTE(VLOOKUP(O124,$U$77:$W$138,3,0),"_actor","")&amp;"_sb"&amp;S124&amp;"_wuqi0"&amp;T124&amp;$R$1&amp;"]"</f>
        <v>["longdi_sb2_wuqi01_01"]</v>
      </c>
      <c r="O124" s="13">
        <f t="shared" si="48"/>
        <v>1213</v>
      </c>
      <c r="R124" s="13">
        <v>2</v>
      </c>
      <c r="S124" s="13">
        <v>2</v>
      </c>
      <c r="T124" s="13" t="s">
        <v>134</v>
      </c>
      <c r="U124" s="2">
        <v>1131</v>
      </c>
      <c r="V124" s="2" t="s">
        <v>58</v>
      </c>
      <c r="W124" s="2" t="s">
        <v>103</v>
      </c>
      <c r="AB124" s="13">
        <v>2</v>
      </c>
      <c r="AC124" s="13">
        <f>INDEX($V$4:$Z$62,COUNTIFS($AB$1:$AB124,1),$AB124)</f>
        <v>11052</v>
      </c>
    </row>
    <row r="125" spans="1:29">
      <c r="A125" s="33">
        <v>12132</v>
      </c>
      <c r="B125" s="34" t="s">
        <v>533</v>
      </c>
      <c r="C125" s="33" t="s">
        <v>258</v>
      </c>
      <c r="D125" s="34" t="s">
        <v>155</v>
      </c>
      <c r="E125" s="34" t="s">
        <v>155</v>
      </c>
      <c r="F125" s="34" t="s">
        <v>684</v>
      </c>
      <c r="G125" s="35">
        <v>1213</v>
      </c>
      <c r="H125" s="34" t="s">
        <v>383</v>
      </c>
      <c r="I125" s="13" t="str">
        <f t="shared" si="33"/>
        <v>龙帝</v>
      </c>
      <c r="J125" s="13">
        <v>2</v>
      </c>
      <c r="K125" s="13" t="str">
        <f t="shared" si="47"/>
        <v>深海碎霜+2</v>
      </c>
      <c r="L125" s="13" t="s">
        <v>382</v>
      </c>
      <c r="M125" s="13" t="str">
        <f t="shared" si="41"/>
        <v>["longdi_wuqi02_01"]</v>
      </c>
      <c r="N125" s="13" t="str">
        <f t="shared" si="61"/>
        <v>["longdi_sb3_wuqi02_01"]</v>
      </c>
      <c r="O125" s="13">
        <f t="shared" si="48"/>
        <v>1213</v>
      </c>
      <c r="R125" s="13">
        <v>2</v>
      </c>
      <c r="S125" s="13">
        <v>3</v>
      </c>
      <c r="T125" s="13" t="s">
        <v>135</v>
      </c>
      <c r="U125" s="2">
        <v>1137</v>
      </c>
      <c r="V125" s="2" t="s">
        <v>59</v>
      </c>
      <c r="W125" s="2" t="s">
        <v>104</v>
      </c>
      <c r="AB125" s="13">
        <v>3</v>
      </c>
      <c r="AC125" s="13">
        <f>INDEX($V$4:$Z$62,COUNTIFS($AB$1:$AB125,1),$AB125)</f>
        <v>11053</v>
      </c>
    </row>
    <row r="126" spans="1:29">
      <c r="A126" s="33">
        <v>12133</v>
      </c>
      <c r="B126" s="34" t="s">
        <v>533</v>
      </c>
      <c r="C126" s="33" t="s">
        <v>258</v>
      </c>
      <c r="D126" s="34" t="s">
        <v>685</v>
      </c>
      <c r="E126" s="34" t="s">
        <v>685</v>
      </c>
      <c r="F126" s="34" t="s">
        <v>683</v>
      </c>
      <c r="G126" s="35">
        <v>1213</v>
      </c>
      <c r="H126" s="34" t="s">
        <v>384</v>
      </c>
      <c r="I126" s="13" t="str">
        <f t="shared" si="33"/>
        <v>龙帝</v>
      </c>
      <c r="J126" s="13">
        <v>3</v>
      </c>
      <c r="K126" s="13" t="str">
        <f t="shared" si="47"/>
        <v>深海碎霜+3</v>
      </c>
      <c r="L126" s="13" t="s">
        <v>383</v>
      </c>
      <c r="M126" s="13" t="str">
        <f t="shared" si="41"/>
        <v>["longdi_wuqi02_01"]</v>
      </c>
      <c r="N126" s="13" t="str">
        <f t="shared" si="61"/>
        <v>["longdi_sb4_wuqi02_01"]</v>
      </c>
      <c r="O126" s="13">
        <f t="shared" si="48"/>
        <v>1213</v>
      </c>
      <c r="R126" s="13">
        <v>2</v>
      </c>
      <c r="S126" s="13">
        <v>4</v>
      </c>
      <c r="T126" s="13" t="s">
        <v>135</v>
      </c>
      <c r="U126" s="3">
        <v>1216</v>
      </c>
      <c r="V126" s="3" t="s">
        <v>60</v>
      </c>
      <c r="W126" s="2" t="s">
        <v>105</v>
      </c>
      <c r="AB126" s="13">
        <v>4</v>
      </c>
      <c r="AC126" s="13">
        <f>INDEX($V$4:$Z$62,COUNTIFS($AB$1:$AB126,1),$AB126)</f>
        <v>11054</v>
      </c>
    </row>
    <row r="127" spans="1:29">
      <c r="A127" s="33">
        <v>12134</v>
      </c>
      <c r="B127" s="34" t="s">
        <v>533</v>
      </c>
      <c r="C127" s="33" t="s">
        <v>258</v>
      </c>
      <c r="D127" s="34" t="s">
        <v>686</v>
      </c>
      <c r="E127" s="34" t="s">
        <v>687</v>
      </c>
      <c r="F127" s="34" t="s">
        <v>684</v>
      </c>
      <c r="G127" s="35">
        <v>1213</v>
      </c>
      <c r="H127" s="34" t="s">
        <v>385</v>
      </c>
      <c r="I127" s="13" t="str">
        <f t="shared" si="33"/>
        <v>龙帝</v>
      </c>
      <c r="J127" s="13">
        <v>4</v>
      </c>
      <c r="K127" s="13" t="str">
        <f t="shared" ref="K127:K128" si="62">IF(J127=0,$B127,B127&amp;"+"&amp;J127)</f>
        <v>深海碎霜+4</v>
      </c>
      <c r="L127" s="13" t="s">
        <v>384</v>
      </c>
      <c r="M127" s="13" t="str">
        <f t="shared" si="41"/>
        <v>["longdi_wuqi02_01"]</v>
      </c>
      <c r="N127" s="13" t="str">
        <f t="shared" si="61"/>
        <v>["longdi_sb5_wuqi03_01"]</v>
      </c>
      <c r="O127" s="13">
        <f t="shared" ref="O127:O128" si="63">INT(LEFT(A127,4))</f>
        <v>1213</v>
      </c>
      <c r="R127" s="13">
        <v>2</v>
      </c>
      <c r="S127" s="13">
        <v>5</v>
      </c>
      <c r="T127" s="13" t="s">
        <v>136</v>
      </c>
      <c r="U127" s="2">
        <v>1106</v>
      </c>
      <c r="V127" s="2" t="s">
        <v>61</v>
      </c>
      <c r="W127" s="2" t="s">
        <v>106</v>
      </c>
      <c r="AB127" s="13">
        <v>5</v>
      </c>
      <c r="AC127" s="13">
        <f>INDEX($V$4:$Z$62,COUNTIFS($AB$1:$AB127,1),$AB127)</f>
        <v>11055</v>
      </c>
    </row>
    <row r="128" spans="1:29">
      <c r="A128" s="33">
        <v>12135</v>
      </c>
      <c r="B128" s="34" t="s">
        <v>533</v>
      </c>
      <c r="C128" s="33" t="s">
        <v>258</v>
      </c>
      <c r="D128" s="34" t="s">
        <v>686</v>
      </c>
      <c r="E128" s="34" t="s">
        <v>687</v>
      </c>
      <c r="F128" s="34" t="s">
        <v>689</v>
      </c>
      <c r="G128" s="35">
        <v>1213</v>
      </c>
      <c r="H128" s="34" t="s">
        <v>385</v>
      </c>
      <c r="I128" s="13" t="str">
        <f t="shared" si="33"/>
        <v>龙帝</v>
      </c>
      <c r="J128" s="13">
        <v>5</v>
      </c>
      <c r="K128" s="13" t="str">
        <f t="shared" si="62"/>
        <v>深海碎霜+5</v>
      </c>
      <c r="L128" s="13" t="s">
        <v>384</v>
      </c>
      <c r="M128" s="13" t="str">
        <f t="shared" si="41"/>
        <v>["longdi_wuqi02_01"]</v>
      </c>
      <c r="N128" s="13" t="str">
        <f t="shared" si="61"/>
        <v>["longdi_sb5_wuqi03_01"]</v>
      </c>
      <c r="O128" s="13">
        <f t="shared" si="63"/>
        <v>1213</v>
      </c>
      <c r="R128" s="13">
        <v>2</v>
      </c>
      <c r="S128" s="13">
        <v>5</v>
      </c>
      <c r="T128" s="13" t="s">
        <v>136</v>
      </c>
      <c r="U128" s="2">
        <v>1106</v>
      </c>
      <c r="V128" s="2" t="s">
        <v>61</v>
      </c>
      <c r="W128" s="2" t="s">
        <v>106</v>
      </c>
      <c r="AB128" s="13">
        <v>5</v>
      </c>
      <c r="AC128" s="13">
        <f>INDEX($V$4:$Z$62,COUNTIFS($AB$1:$AB128,1),$AB128)</f>
        <v>11055</v>
      </c>
    </row>
    <row r="129" spans="1:29">
      <c r="A129" s="33">
        <v>12136</v>
      </c>
      <c r="B129" s="34" t="s">
        <v>533</v>
      </c>
      <c r="C129" s="33" t="s">
        <v>258</v>
      </c>
      <c r="D129" s="34" t="s">
        <v>688</v>
      </c>
      <c r="E129" s="34" t="s">
        <v>687</v>
      </c>
      <c r="F129" s="34" t="s">
        <v>689</v>
      </c>
      <c r="G129" s="35">
        <v>1213</v>
      </c>
      <c r="H129" s="34" t="s">
        <v>385</v>
      </c>
      <c r="I129" s="13" t="str">
        <f t="shared" si="33"/>
        <v>龙帝</v>
      </c>
      <c r="J129" s="13">
        <v>5</v>
      </c>
      <c r="K129" s="13" t="str">
        <f t="shared" si="47"/>
        <v>深海碎霜+5</v>
      </c>
      <c r="L129" s="13" t="s">
        <v>384</v>
      </c>
      <c r="M129" s="13" t="str">
        <f t="shared" si="41"/>
        <v>["longdi_wuqi02_01"]</v>
      </c>
      <c r="N129" s="13" t="str">
        <f t="shared" si="61"/>
        <v>["longdi_sb5_wuqi03_01"]</v>
      </c>
      <c r="O129" s="13">
        <f t="shared" si="48"/>
        <v>1213</v>
      </c>
      <c r="R129" s="13">
        <v>2</v>
      </c>
      <c r="S129" s="13">
        <v>5</v>
      </c>
      <c r="T129" s="13" t="s">
        <v>136</v>
      </c>
      <c r="U129" s="2">
        <v>1106</v>
      </c>
      <c r="V129" s="2" t="s">
        <v>61</v>
      </c>
      <c r="W129" s="2" t="s">
        <v>106</v>
      </c>
      <c r="AB129" s="13">
        <v>5</v>
      </c>
      <c r="AC129" s="13">
        <f>INDEX($V$4:$Z$62,COUNTIFS($AB$1:$AB129,1),$AB129)</f>
        <v>11055</v>
      </c>
    </row>
    <row r="130" spans="1:29">
      <c r="A130" s="24">
        <v>12140</v>
      </c>
      <c r="B130" s="23" t="s">
        <v>534</v>
      </c>
      <c r="C130" s="24" t="s">
        <v>114</v>
      </c>
      <c r="D130" s="23" t="s">
        <v>572</v>
      </c>
      <c r="E130" s="23" t="s">
        <v>572</v>
      </c>
      <c r="F130" s="25" t="s">
        <v>690</v>
      </c>
      <c r="G130" s="26">
        <v>1214</v>
      </c>
      <c r="H130" s="23" t="s">
        <v>386</v>
      </c>
      <c r="I130" s="13" t="str">
        <f t="shared" si="33"/>
        <v>八部天龙</v>
      </c>
      <c r="J130" s="13">
        <v>0</v>
      </c>
      <c r="K130" s="13" t="str">
        <f t="shared" si="47"/>
        <v>焚焰溯流</v>
      </c>
      <c r="L130" s="13" t="s">
        <v>534</v>
      </c>
      <c r="M130" s="13" t="str">
        <f t="shared" si="41"/>
        <v>["babutianlong_wuqi01_01"]</v>
      </c>
      <c r="N130" s="13" t="s">
        <v>138</v>
      </c>
      <c r="O130" s="13">
        <f t="shared" si="48"/>
        <v>1214</v>
      </c>
      <c r="R130" s="13">
        <v>1</v>
      </c>
      <c r="S130" s="13">
        <v>1</v>
      </c>
      <c r="T130" s="13" t="s">
        <v>134</v>
      </c>
      <c r="U130" s="2">
        <v>1115</v>
      </c>
      <c r="V130" s="2" t="s">
        <v>62</v>
      </c>
      <c r="W130" s="2" t="s">
        <v>107</v>
      </c>
      <c r="AB130" s="13">
        <v>1</v>
      </c>
      <c r="AC130" s="13">
        <f>INDEX($V$4:$Z$62,COUNTIFS($AB$1:$AB130,1),$AB130)</f>
        <v>12181</v>
      </c>
    </row>
    <row r="131" spans="1:29">
      <c r="A131" s="24">
        <v>12141</v>
      </c>
      <c r="B131" s="23" t="s">
        <v>534</v>
      </c>
      <c r="C131" s="24" t="s">
        <v>118</v>
      </c>
      <c r="D131" s="23" t="s">
        <v>691</v>
      </c>
      <c r="E131" s="23" t="s">
        <v>691</v>
      </c>
      <c r="F131" s="25" t="s">
        <v>692</v>
      </c>
      <c r="G131" s="26">
        <v>1214</v>
      </c>
      <c r="H131" s="23" t="s">
        <v>387</v>
      </c>
      <c r="I131" s="13" t="str">
        <f t="shared" si="33"/>
        <v>八部天龙</v>
      </c>
      <c r="J131" s="13">
        <v>1</v>
      </c>
      <c r="K131" s="13" t="str">
        <f t="shared" si="47"/>
        <v>焚焰溯流+1</v>
      </c>
      <c r="L131" s="13" t="s">
        <v>386</v>
      </c>
      <c r="M131" s="13" t="str">
        <f t="shared" si="41"/>
        <v>["babutianlong_wuqi02_01"]</v>
      </c>
      <c r="N131" s="13" t="str">
        <f t="shared" ref="N131:N136" si="64">"["&amp;$R$1&amp;SUBSTITUTE(VLOOKUP(O131,$U$77:$W$138,3,0),"_actor","")&amp;"_sb"&amp;S131&amp;"_wuqi0"&amp;T131&amp;$R$1&amp;"]"</f>
        <v>["babutianlong_sb2_wuqi01_01"]</v>
      </c>
      <c r="O131" s="13">
        <f t="shared" si="48"/>
        <v>1214</v>
      </c>
      <c r="R131" s="13">
        <v>2</v>
      </c>
      <c r="S131" s="13">
        <v>2</v>
      </c>
      <c r="T131" s="13" t="s">
        <v>134</v>
      </c>
      <c r="U131" s="6">
        <v>1208</v>
      </c>
      <c r="V131" s="6" t="s">
        <v>63</v>
      </c>
      <c r="W131" s="6" t="s">
        <v>108</v>
      </c>
      <c r="AB131" s="13">
        <v>2</v>
      </c>
      <c r="AC131" s="13">
        <f>INDEX($V$4:$Z$62,COUNTIFS($AB$1:$AB131,1),$AB131)</f>
        <v>12182</v>
      </c>
    </row>
    <row r="132" spans="1:29">
      <c r="A132" s="24">
        <v>12142</v>
      </c>
      <c r="B132" s="23" t="s">
        <v>534</v>
      </c>
      <c r="C132" s="24" t="s">
        <v>118</v>
      </c>
      <c r="D132" s="23" t="s">
        <v>575</v>
      </c>
      <c r="E132" s="23" t="s">
        <v>575</v>
      </c>
      <c r="F132" s="25" t="s">
        <v>693</v>
      </c>
      <c r="G132" s="26">
        <v>1214</v>
      </c>
      <c r="H132" s="23" t="s">
        <v>388</v>
      </c>
      <c r="I132" s="13" t="str">
        <f t="shared" ref="I132:I195" si="65">VLOOKUP(INT(LEFT(A132,4)),$U$77:$V$138,2,0)</f>
        <v>八部天龙</v>
      </c>
      <c r="J132" s="13">
        <v>2</v>
      </c>
      <c r="K132" s="13" t="str">
        <f t="shared" si="47"/>
        <v>焚焰溯流+2</v>
      </c>
      <c r="L132" s="13" t="s">
        <v>387</v>
      </c>
      <c r="M132" s="13" t="str">
        <f t="shared" si="41"/>
        <v>["babutianlong_wuqi02_01"]</v>
      </c>
      <c r="N132" s="13" t="str">
        <f t="shared" si="64"/>
        <v>["babutianlong_sb3_wuqi02_01"]</v>
      </c>
      <c r="O132" s="13">
        <f t="shared" si="48"/>
        <v>1214</v>
      </c>
      <c r="R132" s="13">
        <v>2</v>
      </c>
      <c r="S132" s="13">
        <v>3</v>
      </c>
      <c r="T132" s="13" t="s">
        <v>135</v>
      </c>
      <c r="U132" s="2">
        <v>1122</v>
      </c>
      <c r="V132" s="2" t="s">
        <v>64</v>
      </c>
      <c r="W132" s="2" t="s">
        <v>109</v>
      </c>
      <c r="AB132" s="13">
        <v>3</v>
      </c>
      <c r="AC132" s="13">
        <f>INDEX($V$4:$Z$62,COUNTIFS($AB$1:$AB132,1),$AB132)</f>
        <v>12183</v>
      </c>
    </row>
    <row r="133" spans="1:29">
      <c r="A133" s="24">
        <v>12143</v>
      </c>
      <c r="B133" s="23" t="s">
        <v>534</v>
      </c>
      <c r="C133" s="24" t="s">
        <v>118</v>
      </c>
      <c r="D133" s="23" t="s">
        <v>156</v>
      </c>
      <c r="E133" s="23" t="s">
        <v>156</v>
      </c>
      <c r="F133" s="25" t="s">
        <v>694</v>
      </c>
      <c r="G133" s="26">
        <v>1214</v>
      </c>
      <c r="H133" s="23" t="s">
        <v>389</v>
      </c>
      <c r="I133" s="13" t="str">
        <f t="shared" si="65"/>
        <v>八部天龙</v>
      </c>
      <c r="J133" s="13">
        <v>3</v>
      </c>
      <c r="K133" s="13" t="str">
        <f t="shared" si="47"/>
        <v>焚焰溯流+3</v>
      </c>
      <c r="L133" s="13" t="s">
        <v>388</v>
      </c>
      <c r="M133" s="13" t="str">
        <f t="shared" si="41"/>
        <v>["babutianlong_wuqi02_01"]</v>
      </c>
      <c r="N133" s="13" t="str">
        <f t="shared" si="64"/>
        <v>["babutianlong_sb4_wuqi02_01"]</v>
      </c>
      <c r="O133" s="13">
        <f t="shared" si="48"/>
        <v>1214</v>
      </c>
      <c r="R133" s="13">
        <v>2</v>
      </c>
      <c r="S133" s="13">
        <v>4</v>
      </c>
      <c r="T133" s="13" t="s">
        <v>135</v>
      </c>
      <c r="U133" s="2">
        <v>1207</v>
      </c>
      <c r="V133" s="2" t="s">
        <v>65</v>
      </c>
      <c r="W133" s="2" t="s">
        <v>110</v>
      </c>
      <c r="AB133" s="13">
        <v>4</v>
      </c>
      <c r="AC133" s="13">
        <f>INDEX($V$4:$Z$62,COUNTIFS($AB$1:$AB133,1),$AB133)</f>
        <v>12184</v>
      </c>
    </row>
    <row r="134" spans="1:29">
      <c r="A134" s="24">
        <v>12144</v>
      </c>
      <c r="B134" s="23" t="s">
        <v>534</v>
      </c>
      <c r="C134" s="24" t="s">
        <v>118</v>
      </c>
      <c r="D134" s="23" t="s">
        <v>157</v>
      </c>
      <c r="E134" s="23" t="s">
        <v>157</v>
      </c>
      <c r="F134" s="25" t="s">
        <v>692</v>
      </c>
      <c r="G134" s="26">
        <v>1214</v>
      </c>
      <c r="H134" s="23" t="s">
        <v>390</v>
      </c>
      <c r="I134" s="13" t="str">
        <f t="shared" si="65"/>
        <v>八部天龙</v>
      </c>
      <c r="J134" s="13">
        <v>4</v>
      </c>
      <c r="K134" s="13" t="str">
        <f t="shared" ref="K134:K135" si="66">IF(J134=0,$B134,B134&amp;"+"&amp;J134)</f>
        <v>焚焰溯流+4</v>
      </c>
      <c r="L134" s="13" t="s">
        <v>389</v>
      </c>
      <c r="M134" s="13" t="str">
        <f t="shared" si="41"/>
        <v>["babutianlong_wuqi02_01"]</v>
      </c>
      <c r="N134" s="13" t="str">
        <f t="shared" si="64"/>
        <v>["babutianlong_sb5_wuqi03_01"]</v>
      </c>
      <c r="O134" s="13">
        <f t="shared" ref="O134:O135" si="67">INT(LEFT(A134,4))</f>
        <v>1214</v>
      </c>
      <c r="R134" s="13">
        <v>2</v>
      </c>
      <c r="S134" s="13">
        <v>5</v>
      </c>
      <c r="T134" s="13" t="s">
        <v>136</v>
      </c>
      <c r="U134" s="8">
        <v>1139</v>
      </c>
      <c r="V134" s="8" t="s">
        <v>66</v>
      </c>
      <c r="W134" s="8" t="s">
        <v>111</v>
      </c>
      <c r="AB134" s="13">
        <v>5</v>
      </c>
      <c r="AC134" s="13">
        <f>INDEX($V$4:$Z$62,COUNTIFS($AB$1:$AB134,1),$AB134)</f>
        <v>12185</v>
      </c>
    </row>
    <row r="135" spans="1:29">
      <c r="A135" s="24">
        <v>12145</v>
      </c>
      <c r="B135" s="23" t="s">
        <v>534</v>
      </c>
      <c r="C135" s="24" t="s">
        <v>118</v>
      </c>
      <c r="D135" s="23" t="s">
        <v>157</v>
      </c>
      <c r="E135" s="23" t="s">
        <v>157</v>
      </c>
      <c r="F135" s="25" t="s">
        <v>692</v>
      </c>
      <c r="G135" s="26">
        <v>1214</v>
      </c>
      <c r="H135" s="23" t="s">
        <v>390</v>
      </c>
      <c r="I135" s="13" t="str">
        <f t="shared" si="65"/>
        <v>八部天龙</v>
      </c>
      <c r="J135" s="13">
        <v>5</v>
      </c>
      <c r="K135" s="13" t="str">
        <f t="shared" si="66"/>
        <v>焚焰溯流+5</v>
      </c>
      <c r="L135" s="13" t="s">
        <v>389</v>
      </c>
      <c r="M135" s="13" t="str">
        <f t="shared" si="41"/>
        <v>["babutianlong_wuqi02_01"]</v>
      </c>
      <c r="N135" s="13" t="str">
        <f t="shared" si="64"/>
        <v>["babutianlong_sb5_wuqi03_01"]</v>
      </c>
      <c r="O135" s="13">
        <f t="shared" si="67"/>
        <v>1214</v>
      </c>
      <c r="R135" s="13">
        <v>2</v>
      </c>
      <c r="S135" s="13">
        <v>5</v>
      </c>
      <c r="T135" s="13" t="s">
        <v>136</v>
      </c>
      <c r="U135" s="8">
        <v>1139</v>
      </c>
      <c r="V135" s="8" t="s">
        <v>66</v>
      </c>
      <c r="W135" s="8" t="s">
        <v>111</v>
      </c>
      <c r="AB135" s="13">
        <v>5</v>
      </c>
      <c r="AC135" s="13">
        <f>INDEX($V$4:$Z$62,COUNTIFS($AB$1:$AB135,1),$AB135)</f>
        <v>12185</v>
      </c>
    </row>
    <row r="136" spans="1:29">
      <c r="A136" s="24">
        <v>12146</v>
      </c>
      <c r="B136" s="23" t="s">
        <v>534</v>
      </c>
      <c r="C136" s="24" t="s">
        <v>118</v>
      </c>
      <c r="D136" s="23" t="s">
        <v>157</v>
      </c>
      <c r="E136" s="23" t="s">
        <v>157</v>
      </c>
      <c r="F136" s="25" t="s">
        <v>695</v>
      </c>
      <c r="G136" s="26">
        <v>1214</v>
      </c>
      <c r="H136" s="23" t="s">
        <v>390</v>
      </c>
      <c r="I136" s="13" t="str">
        <f t="shared" si="65"/>
        <v>八部天龙</v>
      </c>
      <c r="J136" s="13">
        <v>5</v>
      </c>
      <c r="K136" s="13" t="str">
        <f t="shared" si="47"/>
        <v>焚焰溯流+5</v>
      </c>
      <c r="L136" s="13" t="s">
        <v>389</v>
      </c>
      <c r="M136" s="13" t="str">
        <f t="shared" si="41"/>
        <v>["babutianlong_wuqi02_01"]</v>
      </c>
      <c r="N136" s="13" t="str">
        <f t="shared" si="64"/>
        <v>["babutianlong_sb5_wuqi03_01"]</v>
      </c>
      <c r="O136" s="13">
        <f t="shared" si="48"/>
        <v>1214</v>
      </c>
      <c r="R136" s="13">
        <v>2</v>
      </c>
      <c r="S136" s="13">
        <v>5</v>
      </c>
      <c r="T136" s="13" t="s">
        <v>136</v>
      </c>
      <c r="U136" s="8">
        <v>1139</v>
      </c>
      <c r="V136" s="8" t="s">
        <v>66</v>
      </c>
      <c r="W136" s="8" t="s">
        <v>111</v>
      </c>
      <c r="AB136" s="13">
        <v>5</v>
      </c>
      <c r="AC136" s="13">
        <f>INDEX($V$4:$Z$62,COUNTIFS($AB$1:$AB136,1),$AB136)</f>
        <v>12185</v>
      </c>
    </row>
    <row r="137" spans="1:29">
      <c r="A137" s="33">
        <v>11030</v>
      </c>
      <c r="B137" s="34" t="s">
        <v>535</v>
      </c>
      <c r="C137" s="33" t="s">
        <v>184</v>
      </c>
      <c r="D137" s="34" t="s">
        <v>682</v>
      </c>
      <c r="E137" s="34" t="s">
        <v>682</v>
      </c>
      <c r="F137" s="34" t="s">
        <v>696</v>
      </c>
      <c r="G137" s="35">
        <v>1103</v>
      </c>
      <c r="H137" s="34" t="s">
        <v>391</v>
      </c>
      <c r="I137" s="13" t="str">
        <f t="shared" si="65"/>
        <v>嫦娥</v>
      </c>
      <c r="J137" s="13">
        <v>0</v>
      </c>
      <c r="K137" s="13" t="str">
        <f t="shared" si="47"/>
        <v>追风紫罗带</v>
      </c>
      <c r="L137" s="13" t="s">
        <v>535</v>
      </c>
      <c r="M137" s="13" t="str">
        <f t="shared" si="41"/>
        <v>["change_wuqi01_01"]</v>
      </c>
      <c r="N137" s="13" t="s">
        <v>138</v>
      </c>
      <c r="O137" s="13">
        <f t="shared" si="48"/>
        <v>1103</v>
      </c>
      <c r="R137" s="13">
        <v>1</v>
      </c>
      <c r="S137" s="13">
        <v>1</v>
      </c>
      <c r="T137" s="13" t="s">
        <v>134</v>
      </c>
      <c r="U137" s="2">
        <v>1140</v>
      </c>
      <c r="V137" s="2" t="s">
        <v>67</v>
      </c>
      <c r="W137" s="2" t="s">
        <v>112</v>
      </c>
      <c r="AB137" s="13">
        <v>1</v>
      </c>
      <c r="AC137" s="13">
        <f>INDEX($V$4:$Z$62,COUNTIFS($AB$1:$AB137,1),$AB137)</f>
        <v>12181</v>
      </c>
    </row>
    <row r="138" spans="1:29">
      <c r="A138" s="33">
        <v>11031</v>
      </c>
      <c r="B138" s="34" t="s">
        <v>535</v>
      </c>
      <c r="C138" s="33" t="s">
        <v>185</v>
      </c>
      <c r="D138" s="34" t="s">
        <v>576</v>
      </c>
      <c r="E138" s="34" t="s">
        <v>576</v>
      </c>
      <c r="F138" s="34" t="s">
        <v>697</v>
      </c>
      <c r="G138" s="35">
        <v>1103</v>
      </c>
      <c r="H138" s="34" t="s">
        <v>392</v>
      </c>
      <c r="I138" s="13" t="str">
        <f t="shared" si="65"/>
        <v>嫦娥</v>
      </c>
      <c r="J138" s="13">
        <v>1</v>
      </c>
      <c r="K138" s="13" t="str">
        <f t="shared" si="47"/>
        <v>追风紫罗带+1</v>
      </c>
      <c r="L138" s="13" t="s">
        <v>391</v>
      </c>
      <c r="M138" s="13" t="str">
        <f t="shared" si="41"/>
        <v>["change_wuqi02_01"]</v>
      </c>
      <c r="N138" s="13" t="str">
        <f t="shared" ref="N138:N143" si="68">"["&amp;$R$1&amp;SUBSTITUTE(VLOOKUP(O138,$U$77:$W$138,3,0),"_actor","")&amp;"_sb"&amp;S138&amp;"_wuqi0"&amp;T138&amp;$R$1&amp;"]"</f>
        <v>["change_sb2_wuqi01_01"]</v>
      </c>
      <c r="O138" s="13">
        <f t="shared" si="48"/>
        <v>1103</v>
      </c>
      <c r="R138" s="13">
        <v>2</v>
      </c>
      <c r="S138" s="13">
        <v>2</v>
      </c>
      <c r="T138" s="13" t="s">
        <v>134</v>
      </c>
      <c r="U138" s="3">
        <v>1107</v>
      </c>
      <c r="V138" s="3" t="s">
        <v>68</v>
      </c>
      <c r="W138" s="2" t="s">
        <v>113</v>
      </c>
      <c r="AB138" s="13">
        <v>2</v>
      </c>
      <c r="AC138" s="13">
        <f>INDEX($V$4:$Z$62,COUNTIFS($AB$1:$AB138,1),$AB138)</f>
        <v>12182</v>
      </c>
    </row>
    <row r="139" spans="1:29">
      <c r="A139" s="33">
        <v>11032</v>
      </c>
      <c r="B139" s="34" t="s">
        <v>535</v>
      </c>
      <c r="C139" s="33" t="s">
        <v>185</v>
      </c>
      <c r="D139" s="34" t="s">
        <v>206</v>
      </c>
      <c r="E139" s="34" t="s">
        <v>206</v>
      </c>
      <c r="F139" s="34" t="s">
        <v>697</v>
      </c>
      <c r="G139" s="35">
        <v>1103</v>
      </c>
      <c r="H139" s="34" t="s">
        <v>393</v>
      </c>
      <c r="I139" s="13" t="str">
        <f t="shared" si="65"/>
        <v>嫦娥</v>
      </c>
      <c r="J139" s="13">
        <v>2</v>
      </c>
      <c r="K139" s="13" t="str">
        <f t="shared" si="47"/>
        <v>追风紫罗带+2</v>
      </c>
      <c r="L139" s="13" t="s">
        <v>392</v>
      </c>
      <c r="M139" s="13" t="str">
        <f t="shared" si="41"/>
        <v>["change_wuqi02_01"]</v>
      </c>
      <c r="N139" s="13" t="str">
        <f t="shared" si="68"/>
        <v>["change_sb3_wuqi02_01"]</v>
      </c>
      <c r="O139" s="13">
        <f t="shared" si="48"/>
        <v>1103</v>
      </c>
      <c r="R139" s="13">
        <v>2</v>
      </c>
      <c r="S139" s="13">
        <v>3</v>
      </c>
      <c r="T139" s="13" t="s">
        <v>135</v>
      </c>
      <c r="AB139" s="13">
        <v>3</v>
      </c>
      <c r="AC139" s="13">
        <f>INDEX($V$4:$Z$62,COUNTIFS($AB$1:$AB139,1),$AB139)</f>
        <v>12183</v>
      </c>
    </row>
    <row r="140" spans="1:29">
      <c r="A140" s="33">
        <v>11033</v>
      </c>
      <c r="B140" s="34" t="s">
        <v>535</v>
      </c>
      <c r="C140" s="33" t="s">
        <v>185</v>
      </c>
      <c r="D140" s="34" t="s">
        <v>698</v>
      </c>
      <c r="E140" s="34" t="s">
        <v>698</v>
      </c>
      <c r="F140" s="34" t="s">
        <v>699</v>
      </c>
      <c r="G140" s="35">
        <v>1103</v>
      </c>
      <c r="H140" s="34" t="s">
        <v>394</v>
      </c>
      <c r="I140" s="13" t="str">
        <f t="shared" si="65"/>
        <v>嫦娥</v>
      </c>
      <c r="J140" s="13">
        <v>3</v>
      </c>
      <c r="K140" s="13" t="str">
        <f t="shared" si="47"/>
        <v>追风紫罗带+3</v>
      </c>
      <c r="L140" s="13" t="s">
        <v>393</v>
      </c>
      <c r="M140" s="13" t="str">
        <f t="shared" si="41"/>
        <v>["change_wuqi02_01"]</v>
      </c>
      <c r="N140" s="13" t="str">
        <f t="shared" si="68"/>
        <v>["change_sb4_wuqi02_01"]</v>
      </c>
      <c r="O140" s="13">
        <f t="shared" si="48"/>
        <v>1103</v>
      </c>
      <c r="R140" s="13">
        <v>2</v>
      </c>
      <c r="S140" s="13">
        <v>4</v>
      </c>
      <c r="T140" s="13" t="s">
        <v>135</v>
      </c>
      <c r="AB140" s="13">
        <v>4</v>
      </c>
      <c r="AC140" s="13">
        <f>INDEX($V$4:$Z$62,COUNTIFS($AB$1:$AB140,1),$AB140)</f>
        <v>12184</v>
      </c>
    </row>
    <row r="141" spans="1:29">
      <c r="A141" s="33">
        <v>11034</v>
      </c>
      <c r="B141" s="34" t="s">
        <v>535</v>
      </c>
      <c r="C141" s="33" t="s">
        <v>185</v>
      </c>
      <c r="D141" s="34" t="s">
        <v>700</v>
      </c>
      <c r="E141" s="34" t="s">
        <v>700</v>
      </c>
      <c r="F141" s="34" t="s">
        <v>701</v>
      </c>
      <c r="G141" s="35">
        <v>1103</v>
      </c>
      <c r="H141" s="34" t="s">
        <v>395</v>
      </c>
      <c r="I141" s="13" t="str">
        <f t="shared" si="65"/>
        <v>嫦娥</v>
      </c>
      <c r="J141" s="13">
        <v>4</v>
      </c>
      <c r="K141" s="13" t="str">
        <f t="shared" ref="K141:K142" si="69">IF(J141=0,$B141,B141&amp;"+"&amp;J141)</f>
        <v>追风紫罗带+4</v>
      </c>
      <c r="L141" s="13" t="s">
        <v>394</v>
      </c>
      <c r="M141" s="13" t="str">
        <f t="shared" si="41"/>
        <v>["change_wuqi02_01"]</v>
      </c>
      <c r="N141" s="13" t="str">
        <f t="shared" si="68"/>
        <v>["change_sb5_wuqi03_01"]</v>
      </c>
      <c r="O141" s="13">
        <f t="shared" ref="O141:O142" si="70">INT(LEFT(A141,4))</f>
        <v>1103</v>
      </c>
      <c r="R141" s="13">
        <v>2</v>
      </c>
      <c r="S141" s="13">
        <v>5</v>
      </c>
      <c r="T141" s="13" t="s">
        <v>136</v>
      </c>
      <c r="AB141" s="13">
        <v>5</v>
      </c>
      <c r="AC141" s="13">
        <f>INDEX($V$4:$Z$62,COUNTIFS($AB$1:$AB141,1),$AB141)</f>
        <v>12185</v>
      </c>
    </row>
    <row r="142" spans="1:29">
      <c r="A142" s="33">
        <v>11035</v>
      </c>
      <c r="B142" s="34" t="s">
        <v>535</v>
      </c>
      <c r="C142" s="33" t="s">
        <v>185</v>
      </c>
      <c r="D142" s="34" t="s">
        <v>702</v>
      </c>
      <c r="E142" s="34" t="s">
        <v>703</v>
      </c>
      <c r="F142" s="34" t="s">
        <v>696</v>
      </c>
      <c r="G142" s="35">
        <v>1103</v>
      </c>
      <c r="H142" s="34" t="s">
        <v>395</v>
      </c>
      <c r="I142" s="13" t="str">
        <f t="shared" si="65"/>
        <v>嫦娥</v>
      </c>
      <c r="J142" s="13">
        <v>5</v>
      </c>
      <c r="K142" s="13" t="str">
        <f t="shared" si="69"/>
        <v>追风紫罗带+5</v>
      </c>
      <c r="L142" s="13" t="s">
        <v>394</v>
      </c>
      <c r="M142" s="13" t="str">
        <f t="shared" si="41"/>
        <v>["change_wuqi02_01"]</v>
      </c>
      <c r="N142" s="13" t="str">
        <f t="shared" si="68"/>
        <v>["change_sb5_wuqi03_01"]</v>
      </c>
      <c r="O142" s="13">
        <f t="shared" si="70"/>
        <v>1103</v>
      </c>
      <c r="R142" s="13">
        <v>2</v>
      </c>
      <c r="S142" s="13">
        <v>5</v>
      </c>
      <c r="T142" s="13" t="s">
        <v>136</v>
      </c>
      <c r="AB142" s="13">
        <v>5</v>
      </c>
      <c r="AC142" s="13">
        <f>INDEX($V$4:$Z$62,COUNTIFS($AB$1:$AB142,1),$AB142)</f>
        <v>12185</v>
      </c>
    </row>
    <row r="143" spans="1:29">
      <c r="A143" s="33">
        <v>11036</v>
      </c>
      <c r="B143" s="34" t="s">
        <v>535</v>
      </c>
      <c r="C143" s="33" t="s">
        <v>185</v>
      </c>
      <c r="D143" s="34" t="s">
        <v>702</v>
      </c>
      <c r="E143" s="34" t="s">
        <v>703</v>
      </c>
      <c r="F143" s="34" t="s">
        <v>699</v>
      </c>
      <c r="G143" s="35">
        <v>1103</v>
      </c>
      <c r="H143" s="34" t="s">
        <v>395</v>
      </c>
      <c r="I143" s="13" t="str">
        <f t="shared" si="65"/>
        <v>嫦娥</v>
      </c>
      <c r="J143" s="13">
        <v>5</v>
      </c>
      <c r="K143" s="13" t="str">
        <f t="shared" si="47"/>
        <v>追风紫罗带+5</v>
      </c>
      <c r="L143" s="13" t="s">
        <v>394</v>
      </c>
      <c r="M143" s="13" t="str">
        <f t="shared" si="41"/>
        <v>["change_wuqi02_01"]</v>
      </c>
      <c r="N143" s="13" t="str">
        <f t="shared" si="68"/>
        <v>["change_sb5_wuqi03_01"]</v>
      </c>
      <c r="O143" s="13">
        <f t="shared" si="48"/>
        <v>1103</v>
      </c>
      <c r="R143" s="13">
        <v>2</v>
      </c>
      <c r="S143" s="13">
        <v>5</v>
      </c>
      <c r="T143" s="13" t="s">
        <v>136</v>
      </c>
      <c r="AB143" s="13">
        <v>5</v>
      </c>
      <c r="AC143" s="13">
        <f>INDEX($V$4:$Z$62,COUNTIFS($AB$1:$AB143,1),$AB143)</f>
        <v>12185</v>
      </c>
    </row>
    <row r="144" spans="1:29">
      <c r="A144" s="24">
        <v>11090</v>
      </c>
      <c r="B144" s="23" t="s">
        <v>536</v>
      </c>
      <c r="C144" s="24" t="s">
        <v>115</v>
      </c>
      <c r="D144" s="23" t="s">
        <v>572</v>
      </c>
      <c r="E144" s="23" t="s">
        <v>572</v>
      </c>
      <c r="F144" s="25" t="s">
        <v>704</v>
      </c>
      <c r="G144" s="26">
        <v>1109</v>
      </c>
      <c r="H144" s="23" t="s">
        <v>396</v>
      </c>
      <c r="I144" s="13" t="str">
        <f t="shared" si="65"/>
        <v>九天玄女</v>
      </c>
      <c r="J144" s="13">
        <v>0</v>
      </c>
      <c r="K144" s="13" t="str">
        <f t="shared" si="47"/>
        <v>碧海定沁丹</v>
      </c>
      <c r="L144" s="13" t="s">
        <v>536</v>
      </c>
      <c r="M144" s="13" t="str">
        <f t="shared" si="41"/>
        <v>["jiutianxuannv_wuqi01_01"]</v>
      </c>
      <c r="N144" s="13" t="s">
        <v>138</v>
      </c>
      <c r="O144" s="13">
        <f t="shared" si="48"/>
        <v>1109</v>
      </c>
      <c r="R144" s="13">
        <v>1</v>
      </c>
      <c r="S144" s="13">
        <v>1</v>
      </c>
      <c r="T144" s="13" t="s">
        <v>134</v>
      </c>
      <c r="AB144" s="13">
        <v>1</v>
      </c>
      <c r="AC144" s="13">
        <f>INDEX($V$4:$Z$62,COUNTIFS($AB$1:$AB144,1),$AB144)</f>
        <v>12181</v>
      </c>
    </row>
    <row r="145" spans="1:29" s="15" customFormat="1">
      <c r="A145" s="24">
        <v>11091</v>
      </c>
      <c r="B145" s="23" t="s">
        <v>536</v>
      </c>
      <c r="C145" s="24" t="s">
        <v>183</v>
      </c>
      <c r="D145" s="23" t="s">
        <v>705</v>
      </c>
      <c r="E145" s="23" t="s">
        <v>706</v>
      </c>
      <c r="F145" s="25" t="s">
        <v>707</v>
      </c>
      <c r="G145" s="26">
        <v>1109</v>
      </c>
      <c r="H145" s="23" t="s">
        <v>397</v>
      </c>
      <c r="I145" s="15" t="str">
        <f t="shared" si="65"/>
        <v>九天玄女</v>
      </c>
      <c r="J145" s="15">
        <v>1</v>
      </c>
      <c r="K145" s="13" t="str">
        <f t="shared" si="47"/>
        <v>碧海定沁丹+1</v>
      </c>
      <c r="L145" s="15" t="s">
        <v>396</v>
      </c>
      <c r="M145" s="15" t="str">
        <f t="shared" si="41"/>
        <v>["jiutianxuannv_wuqi02_01"]</v>
      </c>
      <c r="N145" s="15" t="str">
        <f t="shared" ref="N145:N150" si="71">"["&amp;$R$1&amp;SUBSTITUTE(VLOOKUP(O145,$U$77:$W$138,3,0),"_actor","")&amp;"_sb"&amp;S145&amp;"_wuqi0"&amp;T145&amp;$R$1&amp;"]"</f>
        <v>["jiutianxuannv_sb2_wuqi01_01"]</v>
      </c>
      <c r="O145" s="15">
        <f t="shared" si="48"/>
        <v>1109</v>
      </c>
      <c r="R145" s="15">
        <v>2</v>
      </c>
      <c r="S145" s="15">
        <v>2</v>
      </c>
      <c r="T145" s="15" t="s">
        <v>134</v>
      </c>
      <c r="AB145" s="15">
        <v>2</v>
      </c>
      <c r="AC145" s="15">
        <f>INDEX($V$4:$Z$62,COUNTIFS($AB$1:$AB145,1),$AB145)</f>
        <v>12182</v>
      </c>
    </row>
    <row r="146" spans="1:29" s="15" customFormat="1">
      <c r="A146" s="24">
        <v>11092</v>
      </c>
      <c r="B146" s="23" t="s">
        <v>536</v>
      </c>
      <c r="C146" s="24" t="s">
        <v>182</v>
      </c>
      <c r="D146" s="23" t="s">
        <v>577</v>
      </c>
      <c r="E146" s="23" t="s">
        <v>577</v>
      </c>
      <c r="F146" s="25" t="s">
        <v>707</v>
      </c>
      <c r="G146" s="26">
        <v>1109</v>
      </c>
      <c r="H146" s="23" t="s">
        <v>398</v>
      </c>
      <c r="I146" s="15" t="str">
        <f t="shared" si="65"/>
        <v>九天玄女</v>
      </c>
      <c r="J146" s="15">
        <v>2</v>
      </c>
      <c r="K146" s="13" t="str">
        <f t="shared" si="47"/>
        <v>碧海定沁丹+2</v>
      </c>
      <c r="L146" s="15" t="s">
        <v>397</v>
      </c>
      <c r="M146" s="15" t="str">
        <f t="shared" si="41"/>
        <v>["jiutianxuannv_wuqi02_01"]</v>
      </c>
      <c r="N146" s="15" t="str">
        <f t="shared" si="71"/>
        <v>["jiutianxuannv_sb3_wuqi02_01"]</v>
      </c>
      <c r="O146" s="15">
        <f t="shared" si="48"/>
        <v>1109</v>
      </c>
      <c r="R146" s="15">
        <v>2</v>
      </c>
      <c r="S146" s="15">
        <v>3</v>
      </c>
      <c r="T146" s="15" t="s">
        <v>135</v>
      </c>
      <c r="AB146" s="15">
        <v>3</v>
      </c>
      <c r="AC146" s="15">
        <f>INDEX($V$4:$Z$62,COUNTIFS($AB$1:$AB146,1),$AB146)</f>
        <v>12183</v>
      </c>
    </row>
    <row r="147" spans="1:29" s="15" customFormat="1">
      <c r="A147" s="24">
        <v>11093</v>
      </c>
      <c r="B147" s="23" t="s">
        <v>536</v>
      </c>
      <c r="C147" s="24" t="s">
        <v>182</v>
      </c>
      <c r="D147" s="23" t="s">
        <v>204</v>
      </c>
      <c r="E147" s="23" t="s">
        <v>204</v>
      </c>
      <c r="F147" s="25" t="s">
        <v>707</v>
      </c>
      <c r="G147" s="26">
        <v>1109</v>
      </c>
      <c r="H147" s="23" t="s">
        <v>399</v>
      </c>
      <c r="I147" s="15" t="str">
        <f t="shared" si="65"/>
        <v>九天玄女</v>
      </c>
      <c r="J147" s="15">
        <v>3</v>
      </c>
      <c r="K147" s="13" t="str">
        <f t="shared" si="47"/>
        <v>碧海定沁丹+3</v>
      </c>
      <c r="L147" s="15" t="s">
        <v>398</v>
      </c>
      <c r="M147" s="15" t="str">
        <f t="shared" ref="M147:M210" si="72">"["&amp;$R$1&amp;SUBSTITUTE(VLOOKUP(INT(LEFT(A147,4)),$U$77:$W$138,3,0),"_actor","")&amp;"_wuqi0"&amp;R147&amp;"_01"&amp;$R$1&amp;"]"</f>
        <v>["jiutianxuannv_wuqi02_01"]</v>
      </c>
      <c r="N147" s="15" t="str">
        <f t="shared" si="71"/>
        <v>["jiutianxuannv_sb4_wuqi02_01"]</v>
      </c>
      <c r="O147" s="15">
        <f t="shared" si="48"/>
        <v>1109</v>
      </c>
      <c r="R147" s="15">
        <v>2</v>
      </c>
      <c r="S147" s="15">
        <v>4</v>
      </c>
      <c r="T147" s="15" t="s">
        <v>135</v>
      </c>
      <c r="AB147" s="15">
        <v>4</v>
      </c>
      <c r="AC147" s="15">
        <f>INDEX($V$4:$Z$62,COUNTIFS($AB$1:$AB147,1),$AB147)</f>
        <v>12184</v>
      </c>
    </row>
    <row r="148" spans="1:29" s="15" customFormat="1">
      <c r="A148" s="24">
        <v>11094</v>
      </c>
      <c r="B148" s="23" t="s">
        <v>536</v>
      </c>
      <c r="C148" s="24" t="s">
        <v>182</v>
      </c>
      <c r="D148" s="23" t="s">
        <v>205</v>
      </c>
      <c r="E148" s="23" t="s">
        <v>205</v>
      </c>
      <c r="F148" s="25" t="s">
        <v>707</v>
      </c>
      <c r="G148" s="26">
        <v>1109</v>
      </c>
      <c r="H148" s="23" t="s">
        <v>400</v>
      </c>
      <c r="I148" s="15" t="str">
        <f t="shared" si="65"/>
        <v>九天玄女</v>
      </c>
      <c r="J148" s="15">
        <v>4</v>
      </c>
      <c r="K148" s="13" t="str">
        <f t="shared" ref="K148:K149" si="73">IF(J148=0,$B148,B148&amp;"+"&amp;J148)</f>
        <v>碧海定沁丹+4</v>
      </c>
      <c r="L148" s="15" t="s">
        <v>399</v>
      </c>
      <c r="M148" s="15" t="str">
        <f t="shared" si="72"/>
        <v>["jiutianxuannv_wuqi02_01"]</v>
      </c>
      <c r="N148" s="15" t="str">
        <f t="shared" si="71"/>
        <v>["jiutianxuannv_sb5_wuqi03_01"]</v>
      </c>
      <c r="O148" s="15">
        <f t="shared" ref="O148:O149" si="74">INT(LEFT(A148,4))</f>
        <v>1109</v>
      </c>
      <c r="R148" s="15">
        <v>2</v>
      </c>
      <c r="S148" s="15">
        <v>5</v>
      </c>
      <c r="T148" s="15" t="s">
        <v>136</v>
      </c>
      <c r="AB148" s="15">
        <v>5</v>
      </c>
      <c r="AC148" s="15">
        <f>INDEX($V$4:$Z$62,COUNTIFS($AB$1:$AB148,1),$AB148)</f>
        <v>12185</v>
      </c>
    </row>
    <row r="149" spans="1:29" s="15" customFormat="1">
      <c r="A149" s="24">
        <v>11095</v>
      </c>
      <c r="B149" s="23" t="s">
        <v>536</v>
      </c>
      <c r="C149" s="24" t="s">
        <v>182</v>
      </c>
      <c r="D149" s="23" t="s">
        <v>205</v>
      </c>
      <c r="E149" s="23" t="s">
        <v>205</v>
      </c>
      <c r="F149" s="25" t="s">
        <v>707</v>
      </c>
      <c r="G149" s="26">
        <v>1109</v>
      </c>
      <c r="H149" s="23" t="s">
        <v>400</v>
      </c>
      <c r="I149" s="15" t="str">
        <f t="shared" si="65"/>
        <v>九天玄女</v>
      </c>
      <c r="J149" s="15">
        <v>5</v>
      </c>
      <c r="K149" s="13" t="str">
        <f t="shared" si="73"/>
        <v>碧海定沁丹+5</v>
      </c>
      <c r="L149" s="15" t="s">
        <v>399</v>
      </c>
      <c r="M149" s="15" t="str">
        <f t="shared" si="72"/>
        <v>["jiutianxuannv_wuqi02_01"]</v>
      </c>
      <c r="N149" s="15" t="str">
        <f t="shared" si="71"/>
        <v>["jiutianxuannv_sb5_wuqi03_01"]</v>
      </c>
      <c r="O149" s="15">
        <f t="shared" si="74"/>
        <v>1109</v>
      </c>
      <c r="R149" s="15">
        <v>2</v>
      </c>
      <c r="S149" s="15">
        <v>5</v>
      </c>
      <c r="T149" s="15" t="s">
        <v>136</v>
      </c>
      <c r="AB149" s="15">
        <v>5</v>
      </c>
      <c r="AC149" s="15">
        <f>INDEX($V$4:$Z$62,COUNTIFS($AB$1:$AB149,1),$AB149)</f>
        <v>12185</v>
      </c>
    </row>
    <row r="150" spans="1:29" s="15" customFormat="1">
      <c r="A150" s="24">
        <v>11096</v>
      </c>
      <c r="B150" s="23" t="s">
        <v>536</v>
      </c>
      <c r="C150" s="24" t="s">
        <v>182</v>
      </c>
      <c r="D150" s="23" t="s">
        <v>205</v>
      </c>
      <c r="E150" s="23" t="s">
        <v>205</v>
      </c>
      <c r="F150" s="25" t="s">
        <v>707</v>
      </c>
      <c r="G150" s="26">
        <v>1109</v>
      </c>
      <c r="H150" s="23" t="s">
        <v>400</v>
      </c>
      <c r="I150" s="15" t="str">
        <f t="shared" si="65"/>
        <v>九天玄女</v>
      </c>
      <c r="J150" s="15">
        <v>5</v>
      </c>
      <c r="K150" s="13" t="str">
        <f t="shared" si="47"/>
        <v>碧海定沁丹+5</v>
      </c>
      <c r="L150" s="15" t="s">
        <v>399</v>
      </c>
      <c r="M150" s="15" t="str">
        <f t="shared" si="72"/>
        <v>["jiutianxuannv_wuqi02_01"]</v>
      </c>
      <c r="N150" s="15" t="str">
        <f t="shared" si="71"/>
        <v>["jiutianxuannv_sb5_wuqi03_01"]</v>
      </c>
      <c r="O150" s="15">
        <f t="shared" si="48"/>
        <v>1109</v>
      </c>
      <c r="R150" s="15">
        <v>2</v>
      </c>
      <c r="S150" s="15">
        <v>5</v>
      </c>
      <c r="T150" s="15" t="s">
        <v>136</v>
      </c>
      <c r="AB150" s="15">
        <v>5</v>
      </c>
      <c r="AC150" s="15">
        <f>INDEX($V$4:$Z$62,COUNTIFS($AB$1:$AB150,1),$AB150)</f>
        <v>12185</v>
      </c>
    </row>
    <row r="151" spans="1:29">
      <c r="A151" s="33">
        <v>11110</v>
      </c>
      <c r="B151" s="34" t="s">
        <v>537</v>
      </c>
      <c r="C151" s="33" t="s">
        <v>259</v>
      </c>
      <c r="D151" s="34" t="s">
        <v>564</v>
      </c>
      <c r="E151" s="34" t="s">
        <v>564</v>
      </c>
      <c r="F151" s="34" t="s">
        <v>708</v>
      </c>
      <c r="G151" s="35">
        <v>1111</v>
      </c>
      <c r="H151" s="34" t="s">
        <v>401</v>
      </c>
      <c r="I151" s="13" t="str">
        <f t="shared" si="65"/>
        <v>铁扇公主</v>
      </c>
      <c r="J151" s="13">
        <v>0</v>
      </c>
      <c r="K151" s="13" t="str">
        <f t="shared" si="47"/>
        <v>沉星芭蕉扇</v>
      </c>
      <c r="L151" s="13" t="s">
        <v>537</v>
      </c>
      <c r="M151" s="13" t="str">
        <f t="shared" si="72"/>
        <v>["tieshangongzhu_wuqi01_01"]</v>
      </c>
      <c r="N151" s="13" t="s">
        <v>138</v>
      </c>
      <c r="O151" s="13">
        <f t="shared" si="48"/>
        <v>1111</v>
      </c>
      <c r="R151" s="13">
        <v>1</v>
      </c>
      <c r="S151" s="13">
        <v>1</v>
      </c>
      <c r="T151" s="13" t="s">
        <v>134</v>
      </c>
      <c r="AB151" s="13">
        <v>1</v>
      </c>
      <c r="AC151" s="13">
        <f>INDEX($V$4:$Z$62,COUNTIFS($AB$1:$AB151,1),$AB151)</f>
        <v>11241</v>
      </c>
    </row>
    <row r="152" spans="1:29">
      <c r="A152" s="33">
        <v>11111</v>
      </c>
      <c r="B152" s="34" t="s">
        <v>537</v>
      </c>
      <c r="C152" s="33" t="s">
        <v>260</v>
      </c>
      <c r="D152" s="34" t="s">
        <v>578</v>
      </c>
      <c r="E152" s="34" t="s">
        <v>578</v>
      </c>
      <c r="F152" s="34" t="s">
        <v>708</v>
      </c>
      <c r="G152" s="35">
        <v>1111</v>
      </c>
      <c r="H152" s="34" t="s">
        <v>402</v>
      </c>
      <c r="I152" s="13" t="str">
        <f t="shared" si="65"/>
        <v>铁扇公主</v>
      </c>
      <c r="J152" s="13">
        <v>1</v>
      </c>
      <c r="K152" s="13" t="str">
        <f t="shared" si="47"/>
        <v>沉星芭蕉扇+1</v>
      </c>
      <c r="L152" s="13" t="s">
        <v>401</v>
      </c>
      <c r="M152" s="13" t="str">
        <f t="shared" si="72"/>
        <v>["tieshangongzhu_wuqi02_01"]</v>
      </c>
      <c r="N152" s="13" t="str">
        <f t="shared" ref="N152:N157" si="75">"["&amp;$R$1&amp;SUBSTITUTE(VLOOKUP(O152,$U$77:$W$138,3,0),"_actor","")&amp;"_sb"&amp;S152&amp;"_wuqi0"&amp;T152&amp;$R$1&amp;"]"</f>
        <v>["tieshangongzhu_sb2_wuqi01_01"]</v>
      </c>
      <c r="O152" s="13">
        <f t="shared" si="48"/>
        <v>1111</v>
      </c>
      <c r="R152" s="13">
        <v>2</v>
      </c>
      <c r="S152" s="13">
        <v>2</v>
      </c>
      <c r="T152" s="13" t="s">
        <v>134</v>
      </c>
      <c r="AB152" s="13">
        <v>2</v>
      </c>
      <c r="AC152" s="13">
        <f>INDEX($V$4:$Z$62,COUNTIFS($AB$1:$AB152,1),$AB152)</f>
        <v>11242</v>
      </c>
    </row>
    <row r="153" spans="1:29">
      <c r="A153" s="33">
        <v>11112</v>
      </c>
      <c r="B153" s="34" t="s">
        <v>537</v>
      </c>
      <c r="C153" s="33" t="s">
        <v>260</v>
      </c>
      <c r="D153" s="34" t="s">
        <v>158</v>
      </c>
      <c r="E153" s="34" t="s">
        <v>158</v>
      </c>
      <c r="F153" s="34" t="s">
        <v>708</v>
      </c>
      <c r="G153" s="35">
        <v>1111</v>
      </c>
      <c r="H153" s="34" t="s">
        <v>403</v>
      </c>
      <c r="I153" s="13" t="str">
        <f t="shared" si="65"/>
        <v>铁扇公主</v>
      </c>
      <c r="J153" s="13">
        <v>2</v>
      </c>
      <c r="K153" s="13" t="str">
        <f t="shared" si="47"/>
        <v>沉星芭蕉扇+2</v>
      </c>
      <c r="L153" s="13" t="s">
        <v>402</v>
      </c>
      <c r="M153" s="13" t="str">
        <f t="shared" si="72"/>
        <v>["tieshangongzhu_wuqi02_01"]</v>
      </c>
      <c r="N153" s="13" t="str">
        <f t="shared" si="75"/>
        <v>["tieshangongzhu_sb3_wuqi02_01"]</v>
      </c>
      <c r="O153" s="13">
        <f t="shared" si="48"/>
        <v>1111</v>
      </c>
      <c r="R153" s="13">
        <v>2</v>
      </c>
      <c r="S153" s="13">
        <v>3</v>
      </c>
      <c r="T153" s="13" t="s">
        <v>135</v>
      </c>
      <c r="AB153" s="13">
        <v>3</v>
      </c>
      <c r="AC153" s="13">
        <f>INDEX($V$4:$Z$62,COUNTIFS($AB$1:$AB153,1),$AB153)</f>
        <v>11243</v>
      </c>
    </row>
    <row r="154" spans="1:29">
      <c r="A154" s="33">
        <v>11113</v>
      </c>
      <c r="B154" s="34" t="s">
        <v>537</v>
      </c>
      <c r="C154" s="33" t="s">
        <v>260</v>
      </c>
      <c r="D154" s="34" t="s">
        <v>709</v>
      </c>
      <c r="E154" s="34" t="s">
        <v>709</v>
      </c>
      <c r="F154" s="34" t="s">
        <v>708</v>
      </c>
      <c r="G154" s="35">
        <v>1111</v>
      </c>
      <c r="H154" s="34" t="s">
        <v>404</v>
      </c>
      <c r="I154" s="13" t="str">
        <f t="shared" si="65"/>
        <v>铁扇公主</v>
      </c>
      <c r="J154" s="13">
        <v>3</v>
      </c>
      <c r="K154" s="13" t="str">
        <f t="shared" si="47"/>
        <v>沉星芭蕉扇+3</v>
      </c>
      <c r="L154" s="13" t="s">
        <v>403</v>
      </c>
      <c r="M154" s="13" t="str">
        <f t="shared" si="72"/>
        <v>["tieshangongzhu_wuqi02_01"]</v>
      </c>
      <c r="N154" s="13" t="str">
        <f t="shared" si="75"/>
        <v>["tieshangongzhu_sb4_wuqi02_01"]</v>
      </c>
      <c r="O154" s="13">
        <f t="shared" si="48"/>
        <v>1111</v>
      </c>
      <c r="R154" s="13">
        <v>2</v>
      </c>
      <c r="S154" s="13">
        <v>4</v>
      </c>
      <c r="T154" s="13" t="s">
        <v>135</v>
      </c>
      <c r="AB154" s="13">
        <v>4</v>
      </c>
      <c r="AC154" s="13">
        <f>INDEX($V$4:$Z$62,COUNTIFS($AB$1:$AB154,1),$AB154)</f>
        <v>11244</v>
      </c>
    </row>
    <row r="155" spans="1:29">
      <c r="A155" s="33">
        <v>11114</v>
      </c>
      <c r="B155" s="34" t="s">
        <v>537</v>
      </c>
      <c r="C155" s="33" t="s">
        <v>260</v>
      </c>
      <c r="D155" s="34" t="s">
        <v>710</v>
      </c>
      <c r="E155" s="34" t="s">
        <v>710</v>
      </c>
      <c r="F155" s="34" t="s">
        <v>708</v>
      </c>
      <c r="G155" s="35">
        <v>1111</v>
      </c>
      <c r="H155" s="34" t="s">
        <v>405</v>
      </c>
      <c r="I155" s="13" t="str">
        <f t="shared" si="65"/>
        <v>铁扇公主</v>
      </c>
      <c r="J155" s="13">
        <v>4</v>
      </c>
      <c r="K155" s="13" t="str">
        <f t="shared" ref="K155:K156" si="76">IF(J155=0,$B155,B155&amp;"+"&amp;J155)</f>
        <v>沉星芭蕉扇+4</v>
      </c>
      <c r="L155" s="13" t="s">
        <v>404</v>
      </c>
      <c r="M155" s="13" t="str">
        <f t="shared" si="72"/>
        <v>["tieshangongzhu_wuqi02_01"]</v>
      </c>
      <c r="N155" s="13" t="str">
        <f t="shared" si="75"/>
        <v>["tieshangongzhu_sb5_wuqi03_01"]</v>
      </c>
      <c r="O155" s="13">
        <f t="shared" ref="O155:O156" si="77">INT(LEFT(A155,4))</f>
        <v>1111</v>
      </c>
      <c r="R155" s="13">
        <v>2</v>
      </c>
      <c r="S155" s="13">
        <v>5</v>
      </c>
      <c r="T155" s="13" t="s">
        <v>136</v>
      </c>
      <c r="AB155" s="13">
        <v>5</v>
      </c>
      <c r="AC155" s="13">
        <f>INDEX($V$4:$Z$62,COUNTIFS($AB$1:$AB155,1),$AB155)</f>
        <v>11245</v>
      </c>
    </row>
    <row r="156" spans="1:29">
      <c r="A156" s="33">
        <v>11115</v>
      </c>
      <c r="B156" s="34" t="s">
        <v>537</v>
      </c>
      <c r="C156" s="33" t="s">
        <v>260</v>
      </c>
      <c r="D156" s="34" t="s">
        <v>710</v>
      </c>
      <c r="E156" s="34" t="s">
        <v>710</v>
      </c>
      <c r="F156" s="34" t="s">
        <v>708</v>
      </c>
      <c r="G156" s="35">
        <v>1111</v>
      </c>
      <c r="H156" s="34" t="s">
        <v>405</v>
      </c>
      <c r="I156" s="13" t="str">
        <f t="shared" si="65"/>
        <v>铁扇公主</v>
      </c>
      <c r="J156" s="13">
        <v>5</v>
      </c>
      <c r="K156" s="13" t="str">
        <f t="shared" si="76"/>
        <v>沉星芭蕉扇+5</v>
      </c>
      <c r="L156" s="13" t="s">
        <v>404</v>
      </c>
      <c r="M156" s="13" t="str">
        <f t="shared" si="72"/>
        <v>["tieshangongzhu_wuqi02_01"]</v>
      </c>
      <c r="N156" s="13" t="str">
        <f t="shared" si="75"/>
        <v>["tieshangongzhu_sb5_wuqi03_01"]</v>
      </c>
      <c r="O156" s="13">
        <f t="shared" si="77"/>
        <v>1111</v>
      </c>
      <c r="R156" s="13">
        <v>2</v>
      </c>
      <c r="S156" s="13">
        <v>5</v>
      </c>
      <c r="T156" s="13" t="s">
        <v>136</v>
      </c>
      <c r="AB156" s="13">
        <v>5</v>
      </c>
      <c r="AC156" s="13">
        <f>INDEX($V$4:$Z$62,COUNTIFS($AB$1:$AB156,1),$AB156)</f>
        <v>11245</v>
      </c>
    </row>
    <row r="157" spans="1:29">
      <c r="A157" s="33">
        <v>11116</v>
      </c>
      <c r="B157" s="34" t="s">
        <v>537</v>
      </c>
      <c r="C157" s="33" t="s">
        <v>260</v>
      </c>
      <c r="D157" s="34" t="s">
        <v>710</v>
      </c>
      <c r="E157" s="34" t="s">
        <v>710</v>
      </c>
      <c r="F157" s="34" t="s">
        <v>708</v>
      </c>
      <c r="G157" s="35">
        <v>1111</v>
      </c>
      <c r="H157" s="34" t="s">
        <v>405</v>
      </c>
      <c r="I157" s="13" t="str">
        <f t="shared" si="65"/>
        <v>铁扇公主</v>
      </c>
      <c r="J157" s="13">
        <v>5</v>
      </c>
      <c r="K157" s="13" t="str">
        <f t="shared" si="47"/>
        <v>沉星芭蕉扇+5</v>
      </c>
      <c r="L157" s="13" t="s">
        <v>404</v>
      </c>
      <c r="M157" s="13" t="str">
        <f t="shared" si="72"/>
        <v>["tieshangongzhu_wuqi02_01"]</v>
      </c>
      <c r="N157" s="13" t="str">
        <f t="shared" si="75"/>
        <v>["tieshangongzhu_sb5_wuqi03_01"]</v>
      </c>
      <c r="O157" s="13">
        <f t="shared" si="48"/>
        <v>1111</v>
      </c>
      <c r="R157" s="13">
        <v>2</v>
      </c>
      <c r="S157" s="13">
        <v>5</v>
      </c>
      <c r="T157" s="13" t="s">
        <v>136</v>
      </c>
      <c r="AB157" s="13">
        <v>5</v>
      </c>
      <c r="AC157" s="13">
        <f>INDEX($V$4:$Z$62,COUNTIFS($AB$1:$AB157,1),$AB157)</f>
        <v>11245</v>
      </c>
    </row>
    <row r="158" spans="1:29">
      <c r="A158" s="24">
        <v>11160</v>
      </c>
      <c r="B158" s="23" t="s">
        <v>538</v>
      </c>
      <c r="C158" s="24" t="s">
        <v>261</v>
      </c>
      <c r="D158" s="23" t="s">
        <v>572</v>
      </c>
      <c r="E158" s="23" t="s">
        <v>572</v>
      </c>
      <c r="F158" s="25" t="s">
        <v>711</v>
      </c>
      <c r="G158" s="26">
        <v>1116</v>
      </c>
      <c r="H158" s="23" t="s">
        <v>406</v>
      </c>
      <c r="I158" s="13" t="str">
        <f t="shared" si="65"/>
        <v>白骨夫人</v>
      </c>
      <c r="J158" s="13">
        <v>0</v>
      </c>
      <c r="K158" s="13" t="str">
        <f t="shared" si="47"/>
        <v>白骨幡</v>
      </c>
      <c r="L158" s="13" t="s">
        <v>538</v>
      </c>
      <c r="M158" s="13" t="str">
        <f t="shared" si="72"/>
        <v>["baigufuren_wuqi01_01"]</v>
      </c>
      <c r="N158" s="13" t="s">
        <v>138</v>
      </c>
      <c r="O158" s="13">
        <f t="shared" si="48"/>
        <v>1116</v>
      </c>
      <c r="R158" s="13">
        <v>1</v>
      </c>
      <c r="S158" s="13">
        <v>1</v>
      </c>
      <c r="T158" s="13" t="s">
        <v>134</v>
      </c>
      <c r="AB158" s="13">
        <v>1</v>
      </c>
      <c r="AC158" s="13">
        <f>INDEX($V$4:$Z$62,COUNTIFS($AB$1:$AB158,1),$AB158)</f>
        <v>11261</v>
      </c>
    </row>
    <row r="159" spans="1:29">
      <c r="A159" s="24">
        <v>11161</v>
      </c>
      <c r="B159" s="23" t="s">
        <v>538</v>
      </c>
      <c r="C159" s="24" t="s">
        <v>262</v>
      </c>
      <c r="D159" s="23" t="s">
        <v>712</v>
      </c>
      <c r="E159" s="23" t="s">
        <v>712</v>
      </c>
      <c r="F159" s="25" t="s">
        <v>711</v>
      </c>
      <c r="G159" s="26">
        <v>1116</v>
      </c>
      <c r="H159" s="23" t="s">
        <v>407</v>
      </c>
      <c r="I159" s="13" t="str">
        <f t="shared" si="65"/>
        <v>白骨夫人</v>
      </c>
      <c r="J159" s="13">
        <v>1</v>
      </c>
      <c r="K159" s="13" t="str">
        <f t="shared" si="47"/>
        <v>白骨幡+1</v>
      </c>
      <c r="L159" s="13" t="s">
        <v>406</v>
      </c>
      <c r="M159" s="13" t="str">
        <f t="shared" si="72"/>
        <v>["baigufuren_wuqi02_01"]</v>
      </c>
      <c r="N159" s="13" t="str">
        <f t="shared" ref="N159:N164" si="78">"["&amp;$R$1&amp;SUBSTITUTE(VLOOKUP(O159,$U$77:$W$138,3,0),"_actor","")&amp;"_sb"&amp;S159&amp;"_wuqi0"&amp;T159&amp;$R$1&amp;"]"</f>
        <v>["baigufuren_sb2_wuqi01_01"]</v>
      </c>
      <c r="O159" s="13">
        <f t="shared" si="48"/>
        <v>1116</v>
      </c>
      <c r="R159" s="13">
        <v>2</v>
      </c>
      <c r="S159" s="13">
        <v>2</v>
      </c>
      <c r="T159" s="13" t="s">
        <v>134</v>
      </c>
      <c r="AB159" s="13">
        <v>2</v>
      </c>
      <c r="AC159" s="13">
        <f>INDEX($V$4:$Z$62,COUNTIFS($AB$1:$AB159,1),$AB159)</f>
        <v>11262</v>
      </c>
    </row>
    <row r="160" spans="1:29">
      <c r="A160" s="24">
        <v>11162</v>
      </c>
      <c r="B160" s="23" t="s">
        <v>538</v>
      </c>
      <c r="C160" s="24" t="s">
        <v>262</v>
      </c>
      <c r="D160" s="23" t="s">
        <v>579</v>
      </c>
      <c r="E160" s="23" t="s">
        <v>579</v>
      </c>
      <c r="F160" s="25" t="s">
        <v>711</v>
      </c>
      <c r="G160" s="26">
        <v>1116</v>
      </c>
      <c r="H160" s="23" t="s">
        <v>408</v>
      </c>
      <c r="I160" s="13" t="str">
        <f t="shared" si="65"/>
        <v>白骨夫人</v>
      </c>
      <c r="J160" s="13">
        <v>2</v>
      </c>
      <c r="K160" s="13" t="str">
        <f t="shared" si="47"/>
        <v>白骨幡+2</v>
      </c>
      <c r="L160" s="13" t="s">
        <v>407</v>
      </c>
      <c r="M160" s="13" t="str">
        <f t="shared" si="72"/>
        <v>["baigufuren_wuqi02_01"]</v>
      </c>
      <c r="N160" s="13" t="str">
        <f t="shared" si="78"/>
        <v>["baigufuren_sb3_wuqi02_01"]</v>
      </c>
      <c r="O160" s="13">
        <f t="shared" si="48"/>
        <v>1116</v>
      </c>
      <c r="R160" s="13">
        <v>2</v>
      </c>
      <c r="S160" s="13">
        <v>3</v>
      </c>
      <c r="T160" s="13" t="s">
        <v>135</v>
      </c>
      <c r="AB160" s="13">
        <v>3</v>
      </c>
      <c r="AC160" s="13">
        <f>INDEX($V$4:$Z$62,COUNTIFS($AB$1:$AB160,1),$AB160)</f>
        <v>11263</v>
      </c>
    </row>
    <row r="161" spans="1:29">
      <c r="A161" s="24">
        <v>11163</v>
      </c>
      <c r="B161" s="23" t="s">
        <v>538</v>
      </c>
      <c r="C161" s="24" t="s">
        <v>262</v>
      </c>
      <c r="D161" s="23" t="s">
        <v>159</v>
      </c>
      <c r="E161" s="23" t="s">
        <v>159</v>
      </c>
      <c r="F161" s="25" t="s">
        <v>711</v>
      </c>
      <c r="G161" s="26">
        <v>1116</v>
      </c>
      <c r="H161" s="23" t="s">
        <v>409</v>
      </c>
      <c r="I161" s="13" t="str">
        <f t="shared" si="65"/>
        <v>白骨夫人</v>
      </c>
      <c r="J161" s="13">
        <v>3</v>
      </c>
      <c r="K161" s="13" t="str">
        <f t="shared" si="47"/>
        <v>白骨幡+3</v>
      </c>
      <c r="L161" s="13" t="s">
        <v>408</v>
      </c>
      <c r="M161" s="13" t="str">
        <f t="shared" si="72"/>
        <v>["baigufuren_wuqi02_01"]</v>
      </c>
      <c r="N161" s="13" t="str">
        <f t="shared" si="78"/>
        <v>["baigufuren_sb4_wuqi02_01"]</v>
      </c>
      <c r="O161" s="13">
        <f t="shared" si="48"/>
        <v>1116</v>
      </c>
      <c r="R161" s="13">
        <v>2</v>
      </c>
      <c r="S161" s="13">
        <v>4</v>
      </c>
      <c r="T161" s="13" t="s">
        <v>135</v>
      </c>
      <c r="AB161" s="13">
        <v>4</v>
      </c>
      <c r="AC161" s="13">
        <f>INDEX($V$4:$Z$62,COUNTIFS($AB$1:$AB161,1),$AB161)</f>
        <v>11264</v>
      </c>
    </row>
    <row r="162" spans="1:29">
      <c r="A162" s="24">
        <v>11164</v>
      </c>
      <c r="B162" s="23" t="s">
        <v>538</v>
      </c>
      <c r="C162" s="24" t="s">
        <v>262</v>
      </c>
      <c r="D162" s="23" t="s">
        <v>181</v>
      </c>
      <c r="E162" s="23" t="s">
        <v>181</v>
      </c>
      <c r="F162" s="25" t="s">
        <v>711</v>
      </c>
      <c r="G162" s="26">
        <v>1116</v>
      </c>
      <c r="H162" s="23" t="s">
        <v>410</v>
      </c>
      <c r="I162" s="13" t="str">
        <f t="shared" si="65"/>
        <v>白骨夫人</v>
      </c>
      <c r="J162" s="13">
        <v>4</v>
      </c>
      <c r="K162" s="13" t="str">
        <f t="shared" ref="K162:K163" si="79">IF(J162=0,$B162,B162&amp;"+"&amp;J162)</f>
        <v>白骨幡+4</v>
      </c>
      <c r="L162" s="13" t="s">
        <v>409</v>
      </c>
      <c r="M162" s="13" t="str">
        <f t="shared" si="72"/>
        <v>["baigufuren_wuqi02_01"]</v>
      </c>
      <c r="N162" s="13" t="str">
        <f t="shared" si="78"/>
        <v>["baigufuren_sb4_wuqi02_01"]</v>
      </c>
      <c r="O162" s="13">
        <f t="shared" ref="O162:O163" si="80">INT(LEFT(A162,4))</f>
        <v>1116</v>
      </c>
      <c r="R162" s="13">
        <v>2</v>
      </c>
      <c r="S162" s="13">
        <v>4</v>
      </c>
      <c r="T162" s="13" t="s">
        <v>137</v>
      </c>
      <c r="AB162" s="13">
        <v>5</v>
      </c>
      <c r="AC162" s="13">
        <f>INDEX($V$4:$Z$62,COUNTIFS($AB$1:$AB162,1),$AB162)</f>
        <v>11265</v>
      </c>
    </row>
    <row r="163" spans="1:29">
      <c r="A163" s="24">
        <v>11165</v>
      </c>
      <c r="B163" s="23" t="s">
        <v>538</v>
      </c>
      <c r="C163" s="24" t="s">
        <v>262</v>
      </c>
      <c r="D163" s="23" t="s">
        <v>181</v>
      </c>
      <c r="E163" s="23" t="s">
        <v>181</v>
      </c>
      <c r="F163" s="25" t="s">
        <v>711</v>
      </c>
      <c r="G163" s="26">
        <v>1116</v>
      </c>
      <c r="H163" s="23" t="s">
        <v>410</v>
      </c>
      <c r="I163" s="13" t="str">
        <f t="shared" si="65"/>
        <v>白骨夫人</v>
      </c>
      <c r="J163" s="13">
        <v>5</v>
      </c>
      <c r="K163" s="13" t="str">
        <f t="shared" si="79"/>
        <v>白骨幡+5</v>
      </c>
      <c r="L163" s="13" t="s">
        <v>409</v>
      </c>
      <c r="M163" s="13" t="str">
        <f t="shared" si="72"/>
        <v>["baigufuren_wuqi02_01"]</v>
      </c>
      <c r="N163" s="13" t="str">
        <f t="shared" si="78"/>
        <v>["baigufuren_sb4_wuqi02_01"]</v>
      </c>
      <c r="O163" s="13">
        <f t="shared" si="80"/>
        <v>1116</v>
      </c>
      <c r="R163" s="13">
        <v>2</v>
      </c>
      <c r="S163" s="13">
        <v>4</v>
      </c>
      <c r="T163" s="13" t="s">
        <v>135</v>
      </c>
      <c r="AB163" s="13">
        <v>5</v>
      </c>
      <c r="AC163" s="13">
        <f>INDEX($V$4:$Z$62,COUNTIFS($AB$1:$AB163,1),$AB163)</f>
        <v>11265</v>
      </c>
    </row>
    <row r="164" spans="1:29">
      <c r="A164" s="24">
        <v>11166</v>
      </c>
      <c r="B164" s="23" t="s">
        <v>538</v>
      </c>
      <c r="C164" s="24" t="s">
        <v>262</v>
      </c>
      <c r="D164" s="23" t="s">
        <v>181</v>
      </c>
      <c r="E164" s="23" t="s">
        <v>181</v>
      </c>
      <c r="F164" s="25" t="s">
        <v>711</v>
      </c>
      <c r="G164" s="26">
        <v>1116</v>
      </c>
      <c r="H164" s="23" t="s">
        <v>410</v>
      </c>
      <c r="I164" s="13" t="str">
        <f t="shared" si="65"/>
        <v>白骨夫人</v>
      </c>
      <c r="J164" s="13">
        <v>5</v>
      </c>
      <c r="K164" s="13" t="str">
        <f t="shared" si="47"/>
        <v>白骨幡+5</v>
      </c>
      <c r="L164" s="13" t="s">
        <v>409</v>
      </c>
      <c r="M164" s="13" t="str">
        <f t="shared" si="72"/>
        <v>["baigufuren_wuqi02_01"]</v>
      </c>
      <c r="N164" s="13" t="str">
        <f t="shared" si="78"/>
        <v>["baigufuren_sb4_wuqi02_01"]</v>
      </c>
      <c r="O164" s="13">
        <f t="shared" si="48"/>
        <v>1116</v>
      </c>
      <c r="R164" s="13">
        <v>2</v>
      </c>
      <c r="S164" s="13">
        <v>4</v>
      </c>
      <c r="T164" s="13" t="s">
        <v>137</v>
      </c>
      <c r="AB164" s="13">
        <v>5</v>
      </c>
      <c r="AC164" s="13">
        <f>INDEX($V$4:$Z$62,COUNTIFS($AB$1:$AB164,1),$AB164)</f>
        <v>11265</v>
      </c>
    </row>
    <row r="165" spans="1:29">
      <c r="A165" s="33">
        <v>11210</v>
      </c>
      <c r="B165" s="34" t="s">
        <v>539</v>
      </c>
      <c r="C165" s="33" t="s">
        <v>190</v>
      </c>
      <c r="D165" s="34" t="s">
        <v>564</v>
      </c>
      <c r="E165" s="34" t="s">
        <v>564</v>
      </c>
      <c r="F165" s="34" t="s">
        <v>713</v>
      </c>
      <c r="G165" s="35">
        <v>1121</v>
      </c>
      <c r="H165" s="34" t="s">
        <v>411</v>
      </c>
      <c r="I165" s="13" t="str">
        <f t="shared" si="65"/>
        <v>紫霞仙子</v>
      </c>
      <c r="J165" s="13">
        <v>0</v>
      </c>
      <c r="K165" s="13" t="str">
        <f t="shared" si="47"/>
        <v>紫青玄铁剑</v>
      </c>
      <c r="L165" s="13" t="s">
        <v>539</v>
      </c>
      <c r="M165" s="13" t="str">
        <f t="shared" si="72"/>
        <v>["zixiaxianzi_wuqi01_01"]</v>
      </c>
      <c r="N165" s="13" t="s">
        <v>138</v>
      </c>
      <c r="O165" s="13">
        <f t="shared" si="48"/>
        <v>1121</v>
      </c>
      <c r="R165" s="13">
        <v>1</v>
      </c>
      <c r="S165" s="13">
        <v>1</v>
      </c>
      <c r="T165" s="13" t="s">
        <v>134</v>
      </c>
      <c r="AB165" s="13">
        <v>1</v>
      </c>
      <c r="AC165" s="13">
        <f>INDEX($V$4:$Z$62,COUNTIFS($AB$1:$AB165,1),$AB165)</f>
        <v>12131</v>
      </c>
    </row>
    <row r="166" spans="1:29">
      <c r="A166" s="33">
        <v>11211</v>
      </c>
      <c r="B166" s="34" t="s">
        <v>539</v>
      </c>
      <c r="C166" s="33" t="s">
        <v>192</v>
      </c>
      <c r="D166" s="34" t="s">
        <v>580</v>
      </c>
      <c r="E166" s="34" t="s">
        <v>580</v>
      </c>
      <c r="F166" s="34" t="s">
        <v>713</v>
      </c>
      <c r="G166" s="35">
        <v>1121</v>
      </c>
      <c r="H166" s="34" t="s">
        <v>412</v>
      </c>
      <c r="I166" s="13" t="str">
        <f t="shared" si="65"/>
        <v>紫霞仙子</v>
      </c>
      <c r="J166" s="13">
        <v>1</v>
      </c>
      <c r="K166" s="13" t="str">
        <f t="shared" si="47"/>
        <v>紫青玄铁剑+1</v>
      </c>
      <c r="L166" s="13" t="s">
        <v>411</v>
      </c>
      <c r="M166" s="13" t="str">
        <f t="shared" si="72"/>
        <v>["zixiaxianzi_wuqi02_01"]</v>
      </c>
      <c r="N166" s="13" t="str">
        <f t="shared" ref="N166:N171" si="81">"["&amp;$R$1&amp;SUBSTITUTE(VLOOKUP(O166,$U$77:$W$138,3,0),"_actor","")&amp;"_sb"&amp;S166&amp;"_wuqi0"&amp;T166&amp;$R$1&amp;"]"</f>
        <v>["zixiaxianzi_sb2_wuqi01_01"]</v>
      </c>
      <c r="O166" s="13">
        <f t="shared" si="48"/>
        <v>1121</v>
      </c>
      <c r="R166" s="13">
        <v>2</v>
      </c>
      <c r="S166" s="13">
        <v>2</v>
      </c>
      <c r="T166" s="13" t="s">
        <v>134</v>
      </c>
      <c r="AB166" s="13">
        <v>2</v>
      </c>
      <c r="AC166" s="13">
        <f>INDEX($V$4:$Z$62,COUNTIFS($AB$1:$AB166,1),$AB166)</f>
        <v>12132</v>
      </c>
    </row>
    <row r="167" spans="1:29">
      <c r="A167" s="33">
        <v>11212</v>
      </c>
      <c r="B167" s="34" t="s">
        <v>539</v>
      </c>
      <c r="C167" s="33" t="s">
        <v>191</v>
      </c>
      <c r="D167" s="34" t="s">
        <v>160</v>
      </c>
      <c r="E167" s="34" t="s">
        <v>160</v>
      </c>
      <c r="F167" s="34" t="s">
        <v>713</v>
      </c>
      <c r="G167" s="35">
        <v>1121</v>
      </c>
      <c r="H167" s="34" t="s">
        <v>413</v>
      </c>
      <c r="I167" s="13" t="str">
        <f t="shared" si="65"/>
        <v>紫霞仙子</v>
      </c>
      <c r="J167" s="13">
        <v>2</v>
      </c>
      <c r="K167" s="13" t="str">
        <f t="shared" si="47"/>
        <v>紫青玄铁剑+2</v>
      </c>
      <c r="L167" s="13" t="s">
        <v>412</v>
      </c>
      <c r="M167" s="13" t="str">
        <f t="shared" si="72"/>
        <v>["zixiaxianzi_wuqi02_01"]</v>
      </c>
      <c r="N167" s="13" t="str">
        <f t="shared" si="81"/>
        <v>["zixiaxianzi_sb3_wuqi02_01"]</v>
      </c>
      <c r="O167" s="13">
        <f t="shared" si="48"/>
        <v>1121</v>
      </c>
      <c r="R167" s="13">
        <v>2</v>
      </c>
      <c r="S167" s="13">
        <v>3</v>
      </c>
      <c r="T167" s="13" t="s">
        <v>135</v>
      </c>
      <c r="AB167" s="13">
        <v>3</v>
      </c>
      <c r="AC167" s="13">
        <f>INDEX($V$4:$Z$62,COUNTIFS($AB$1:$AB167,1),$AB167)</f>
        <v>12133</v>
      </c>
    </row>
    <row r="168" spans="1:29">
      <c r="A168" s="33">
        <v>11213</v>
      </c>
      <c r="B168" s="34" t="s">
        <v>539</v>
      </c>
      <c r="C168" s="33" t="s">
        <v>191</v>
      </c>
      <c r="D168" s="34" t="s">
        <v>714</v>
      </c>
      <c r="E168" s="34" t="s">
        <v>714</v>
      </c>
      <c r="F168" s="34" t="s">
        <v>713</v>
      </c>
      <c r="G168" s="35">
        <v>1121</v>
      </c>
      <c r="H168" s="34" t="s">
        <v>414</v>
      </c>
      <c r="I168" s="13" t="str">
        <f t="shared" si="65"/>
        <v>紫霞仙子</v>
      </c>
      <c r="J168" s="13">
        <v>3</v>
      </c>
      <c r="K168" s="13" t="str">
        <f t="shared" si="47"/>
        <v>紫青玄铁剑+3</v>
      </c>
      <c r="L168" s="13" t="s">
        <v>413</v>
      </c>
      <c r="M168" s="13" t="str">
        <f t="shared" si="72"/>
        <v>["zixiaxianzi_wuqi02_01"]</v>
      </c>
      <c r="N168" s="13" t="str">
        <f t="shared" si="81"/>
        <v>["zixiaxianzi_sb4_wuqi02_01"]</v>
      </c>
      <c r="O168" s="13">
        <f t="shared" si="48"/>
        <v>1121</v>
      </c>
      <c r="R168" s="13">
        <v>2</v>
      </c>
      <c r="S168" s="13">
        <v>4</v>
      </c>
      <c r="T168" s="13" t="s">
        <v>135</v>
      </c>
      <c r="AB168" s="13">
        <v>4</v>
      </c>
      <c r="AC168" s="13">
        <f>INDEX($V$4:$Z$62,COUNTIFS($AB$1:$AB168,1),$AB168)</f>
        <v>12134</v>
      </c>
    </row>
    <row r="169" spans="1:29">
      <c r="A169" s="33">
        <v>11214</v>
      </c>
      <c r="B169" s="34" t="s">
        <v>539</v>
      </c>
      <c r="C169" s="33" t="s">
        <v>191</v>
      </c>
      <c r="D169" s="34" t="s">
        <v>715</v>
      </c>
      <c r="E169" s="34" t="s">
        <v>715</v>
      </c>
      <c r="F169" s="34" t="s">
        <v>713</v>
      </c>
      <c r="G169" s="35">
        <v>1121</v>
      </c>
      <c r="H169" s="34" t="s">
        <v>415</v>
      </c>
      <c r="I169" s="13" t="str">
        <f t="shared" si="65"/>
        <v>紫霞仙子</v>
      </c>
      <c r="J169" s="13">
        <v>4</v>
      </c>
      <c r="K169" s="13" t="str">
        <f t="shared" ref="K169:K170" si="82">IF(J169=0,$B169,B169&amp;"+"&amp;J169)</f>
        <v>紫青玄铁剑+4</v>
      </c>
      <c r="L169" s="13" t="s">
        <v>414</v>
      </c>
      <c r="M169" s="13" t="str">
        <f t="shared" si="72"/>
        <v>["zixiaxianzi_wuqi02_01"]</v>
      </c>
      <c r="N169" s="13" t="str">
        <f t="shared" si="81"/>
        <v>["zixiaxianzi_sb5_wuqi03_01"]</v>
      </c>
      <c r="O169" s="13">
        <f t="shared" ref="O169:O170" si="83">INT(LEFT(A169,4))</f>
        <v>1121</v>
      </c>
      <c r="R169" s="13">
        <v>2</v>
      </c>
      <c r="S169" s="13">
        <v>5</v>
      </c>
      <c r="T169" s="13" t="s">
        <v>136</v>
      </c>
      <c r="AB169" s="13">
        <v>5</v>
      </c>
      <c r="AC169" s="13">
        <f>INDEX($V$4:$Z$62,COUNTIFS($AB$1:$AB169,1),$AB169)</f>
        <v>12135</v>
      </c>
    </row>
    <row r="170" spans="1:29">
      <c r="A170" s="33">
        <v>11215</v>
      </c>
      <c r="B170" s="34" t="s">
        <v>539</v>
      </c>
      <c r="C170" s="33" t="s">
        <v>191</v>
      </c>
      <c r="D170" s="34" t="s">
        <v>715</v>
      </c>
      <c r="E170" s="34" t="s">
        <v>715</v>
      </c>
      <c r="F170" s="34" t="s">
        <v>713</v>
      </c>
      <c r="G170" s="35">
        <v>1121</v>
      </c>
      <c r="H170" s="34" t="s">
        <v>415</v>
      </c>
      <c r="I170" s="13" t="str">
        <f t="shared" si="65"/>
        <v>紫霞仙子</v>
      </c>
      <c r="J170" s="13">
        <v>5</v>
      </c>
      <c r="K170" s="13" t="str">
        <f t="shared" si="82"/>
        <v>紫青玄铁剑+5</v>
      </c>
      <c r="L170" s="13" t="s">
        <v>414</v>
      </c>
      <c r="M170" s="13" t="str">
        <f t="shared" si="72"/>
        <v>["zixiaxianzi_wuqi02_01"]</v>
      </c>
      <c r="N170" s="13" t="str">
        <f t="shared" si="81"/>
        <v>["zixiaxianzi_sb5_wuqi03_01"]</v>
      </c>
      <c r="O170" s="13">
        <f t="shared" si="83"/>
        <v>1121</v>
      </c>
      <c r="R170" s="13">
        <v>2</v>
      </c>
      <c r="S170" s="13">
        <v>5</v>
      </c>
      <c r="T170" s="13" t="s">
        <v>136</v>
      </c>
      <c r="AB170" s="13">
        <v>5</v>
      </c>
      <c r="AC170" s="13">
        <f>INDEX($V$4:$Z$62,COUNTIFS($AB$1:$AB170,1),$AB170)</f>
        <v>12135</v>
      </c>
    </row>
    <row r="171" spans="1:29">
      <c r="A171" s="33">
        <v>11216</v>
      </c>
      <c r="B171" s="34" t="s">
        <v>539</v>
      </c>
      <c r="C171" s="33" t="s">
        <v>191</v>
      </c>
      <c r="D171" s="34" t="s">
        <v>715</v>
      </c>
      <c r="E171" s="34" t="s">
        <v>715</v>
      </c>
      <c r="F171" s="34" t="s">
        <v>713</v>
      </c>
      <c r="G171" s="35">
        <v>1121</v>
      </c>
      <c r="H171" s="34" t="s">
        <v>415</v>
      </c>
      <c r="I171" s="13" t="str">
        <f t="shared" si="65"/>
        <v>紫霞仙子</v>
      </c>
      <c r="J171" s="13">
        <v>5</v>
      </c>
      <c r="K171" s="13" t="str">
        <f t="shared" si="47"/>
        <v>紫青玄铁剑+5</v>
      </c>
      <c r="L171" s="13" t="s">
        <v>414</v>
      </c>
      <c r="M171" s="13" t="str">
        <f t="shared" si="72"/>
        <v>["zixiaxianzi_wuqi02_01"]</v>
      </c>
      <c r="N171" s="13" t="str">
        <f t="shared" si="81"/>
        <v>["zixiaxianzi_sb5_wuqi03_01"]</v>
      </c>
      <c r="O171" s="13">
        <f t="shared" si="48"/>
        <v>1121</v>
      </c>
      <c r="R171" s="13">
        <v>2</v>
      </c>
      <c r="S171" s="13">
        <v>5</v>
      </c>
      <c r="T171" s="13" t="s">
        <v>136</v>
      </c>
      <c r="AB171" s="13">
        <v>5</v>
      </c>
      <c r="AC171" s="13">
        <f>INDEX($V$4:$Z$62,COUNTIFS($AB$1:$AB171,1),$AB171)</f>
        <v>12135</v>
      </c>
    </row>
    <row r="172" spans="1:29">
      <c r="A172" s="24">
        <v>12150</v>
      </c>
      <c r="B172" s="23" t="s">
        <v>540</v>
      </c>
      <c r="C172" s="24" t="s">
        <v>263</v>
      </c>
      <c r="D172" s="23" t="s">
        <v>572</v>
      </c>
      <c r="E172" s="23" t="s">
        <v>572</v>
      </c>
      <c r="F172" s="25" t="s">
        <v>716</v>
      </c>
      <c r="G172" s="26">
        <v>1215</v>
      </c>
      <c r="H172" s="23" t="s">
        <v>416</v>
      </c>
      <c r="I172" s="13" t="str">
        <f t="shared" si="65"/>
        <v>观世音</v>
      </c>
      <c r="J172" s="13">
        <v>0</v>
      </c>
      <c r="K172" s="13" t="str">
        <f t="shared" si="47"/>
        <v>羊脂玉净瓶</v>
      </c>
      <c r="L172" s="13" t="s">
        <v>540</v>
      </c>
      <c r="M172" s="13" t="str">
        <f t="shared" si="72"/>
        <v>["guanshiyin_wuqi01_01"]</v>
      </c>
      <c r="N172" s="13" t="s">
        <v>138</v>
      </c>
      <c r="O172" s="13">
        <f t="shared" si="48"/>
        <v>1215</v>
      </c>
      <c r="R172" s="13">
        <v>1</v>
      </c>
      <c r="S172" s="13">
        <v>1</v>
      </c>
      <c r="T172" s="13" t="s">
        <v>134</v>
      </c>
      <c r="AB172" s="13">
        <v>1</v>
      </c>
      <c r="AC172" s="13">
        <f>INDEX($V$4:$Z$62,COUNTIFS($AB$1:$AB172,1),$AB172)</f>
        <v>12141</v>
      </c>
    </row>
    <row r="173" spans="1:29">
      <c r="A173" s="24">
        <v>12151</v>
      </c>
      <c r="B173" s="23" t="s">
        <v>540</v>
      </c>
      <c r="C173" s="24" t="s">
        <v>264</v>
      </c>
      <c r="D173" s="23" t="s">
        <v>717</v>
      </c>
      <c r="E173" s="23" t="s">
        <v>717</v>
      </c>
      <c r="F173" s="25" t="s">
        <v>716</v>
      </c>
      <c r="G173" s="26">
        <v>1215</v>
      </c>
      <c r="H173" s="23" t="s">
        <v>417</v>
      </c>
      <c r="I173" s="13" t="str">
        <f t="shared" si="65"/>
        <v>观世音</v>
      </c>
      <c r="J173" s="13">
        <v>1</v>
      </c>
      <c r="K173" s="13" t="str">
        <f t="shared" si="47"/>
        <v>羊脂玉净瓶+1</v>
      </c>
      <c r="L173" s="13" t="s">
        <v>416</v>
      </c>
      <c r="M173" s="13" t="str">
        <f t="shared" si="72"/>
        <v>["guanshiyin_wuqi02_01"]</v>
      </c>
      <c r="N173" s="13" t="str">
        <f t="shared" ref="N173:N178" si="84">"["&amp;$R$1&amp;SUBSTITUTE(VLOOKUP(O173,$U$77:$W$138,3,0),"_actor","")&amp;"_sb"&amp;S173&amp;"_wuqi0"&amp;T173&amp;$R$1&amp;"]"</f>
        <v>["guanshiyin_sb2_wuqi01_01"]</v>
      </c>
      <c r="O173" s="13">
        <f t="shared" si="48"/>
        <v>1215</v>
      </c>
      <c r="R173" s="13">
        <v>2</v>
      </c>
      <c r="S173" s="13">
        <v>2</v>
      </c>
      <c r="T173" s="13" t="s">
        <v>134</v>
      </c>
      <c r="AB173" s="13">
        <v>2</v>
      </c>
      <c r="AC173" s="13">
        <f>INDEX($V$4:$Z$62,COUNTIFS($AB$1:$AB173,1),$AB173)</f>
        <v>12142</v>
      </c>
    </row>
    <row r="174" spans="1:29">
      <c r="A174" s="24">
        <v>12152</v>
      </c>
      <c r="B174" s="23" t="s">
        <v>540</v>
      </c>
      <c r="C174" s="24" t="s">
        <v>264</v>
      </c>
      <c r="D174" s="23" t="s">
        <v>581</v>
      </c>
      <c r="E174" s="23" t="s">
        <v>581</v>
      </c>
      <c r="F174" s="25" t="s">
        <v>716</v>
      </c>
      <c r="G174" s="26">
        <v>1215</v>
      </c>
      <c r="H174" s="23" t="s">
        <v>418</v>
      </c>
      <c r="I174" s="13" t="str">
        <f t="shared" si="65"/>
        <v>观世音</v>
      </c>
      <c r="J174" s="13">
        <v>2</v>
      </c>
      <c r="K174" s="13" t="str">
        <f t="shared" si="47"/>
        <v>羊脂玉净瓶+2</v>
      </c>
      <c r="L174" s="13" t="s">
        <v>417</v>
      </c>
      <c r="M174" s="13" t="str">
        <f t="shared" si="72"/>
        <v>["guanshiyin_wuqi02_01"]</v>
      </c>
      <c r="N174" s="13" t="str">
        <f t="shared" si="84"/>
        <v>["guanshiyin_sb3_wuqi02_01"]</v>
      </c>
      <c r="O174" s="13">
        <f t="shared" si="48"/>
        <v>1215</v>
      </c>
      <c r="R174" s="13">
        <v>2</v>
      </c>
      <c r="S174" s="13">
        <v>3</v>
      </c>
      <c r="T174" s="13" t="s">
        <v>135</v>
      </c>
      <c r="AB174" s="13">
        <v>3</v>
      </c>
      <c r="AC174" s="13">
        <f>INDEX($V$4:$Z$62,COUNTIFS($AB$1:$AB174,1),$AB174)</f>
        <v>12143</v>
      </c>
    </row>
    <row r="175" spans="1:29">
      <c r="A175" s="24">
        <v>12153</v>
      </c>
      <c r="B175" s="23" t="s">
        <v>540</v>
      </c>
      <c r="C175" s="24" t="s">
        <v>264</v>
      </c>
      <c r="D175" s="23" t="s">
        <v>161</v>
      </c>
      <c r="E175" s="23" t="s">
        <v>161</v>
      </c>
      <c r="F175" s="25" t="s">
        <v>716</v>
      </c>
      <c r="G175" s="26">
        <v>1215</v>
      </c>
      <c r="H175" s="23" t="s">
        <v>419</v>
      </c>
      <c r="I175" s="13" t="str">
        <f t="shared" si="65"/>
        <v>观世音</v>
      </c>
      <c r="J175" s="13">
        <v>3</v>
      </c>
      <c r="K175" s="13" t="str">
        <f t="shared" si="47"/>
        <v>羊脂玉净瓶+3</v>
      </c>
      <c r="L175" s="13" t="s">
        <v>418</v>
      </c>
      <c r="M175" s="13" t="str">
        <f t="shared" si="72"/>
        <v>["guanshiyin_wuqi02_01"]</v>
      </c>
      <c r="N175" s="13" t="str">
        <f t="shared" si="84"/>
        <v>["guanshiyin_sb4_wuqi02_01"]</v>
      </c>
      <c r="O175" s="13">
        <f t="shared" si="48"/>
        <v>1215</v>
      </c>
      <c r="R175" s="13">
        <v>2</v>
      </c>
      <c r="S175" s="13">
        <v>4</v>
      </c>
      <c r="T175" s="13" t="s">
        <v>135</v>
      </c>
      <c r="AB175" s="13">
        <v>4</v>
      </c>
      <c r="AC175" s="13">
        <f>INDEX($V$4:$Z$62,COUNTIFS($AB$1:$AB175,1),$AB175)</f>
        <v>12144</v>
      </c>
    </row>
    <row r="176" spans="1:29">
      <c r="A176" s="24">
        <v>12154</v>
      </c>
      <c r="B176" s="23" t="s">
        <v>540</v>
      </c>
      <c r="C176" s="24" t="s">
        <v>264</v>
      </c>
      <c r="D176" s="23" t="s">
        <v>161</v>
      </c>
      <c r="E176" s="23" t="s">
        <v>161</v>
      </c>
      <c r="F176" s="25" t="s">
        <v>716</v>
      </c>
      <c r="G176" s="26">
        <v>1215</v>
      </c>
      <c r="H176" s="23" t="s">
        <v>420</v>
      </c>
      <c r="I176" s="13" t="str">
        <f t="shared" si="65"/>
        <v>观世音</v>
      </c>
      <c r="J176" s="13">
        <v>4</v>
      </c>
      <c r="K176" s="13" t="str">
        <f t="shared" ref="K176:K177" si="85">IF(J176=0,$B176,B176&amp;"+"&amp;J176)</f>
        <v>羊脂玉净瓶+4</v>
      </c>
      <c r="L176" s="13" t="s">
        <v>419</v>
      </c>
      <c r="M176" s="13" t="str">
        <f t="shared" si="72"/>
        <v>["guanshiyin_wuqi02_01"]</v>
      </c>
      <c r="N176" s="13" t="str">
        <f t="shared" si="84"/>
        <v>["guanshiyin_sb5_wuqi03_01"]</v>
      </c>
      <c r="O176" s="13">
        <f t="shared" ref="O176:O177" si="86">INT(LEFT(A176,4))</f>
        <v>1215</v>
      </c>
      <c r="R176" s="13">
        <v>2</v>
      </c>
      <c r="S176" s="13">
        <v>5</v>
      </c>
      <c r="T176" s="13" t="s">
        <v>136</v>
      </c>
      <c r="AB176" s="13">
        <v>5</v>
      </c>
      <c r="AC176" s="13">
        <f>INDEX($V$4:$Z$62,COUNTIFS($AB$1:$AB176,1),$AB176)</f>
        <v>12145</v>
      </c>
    </row>
    <row r="177" spans="1:29">
      <c r="A177" s="24">
        <v>12155</v>
      </c>
      <c r="B177" s="23" t="s">
        <v>540</v>
      </c>
      <c r="C177" s="24" t="s">
        <v>264</v>
      </c>
      <c r="D177" s="23" t="s">
        <v>161</v>
      </c>
      <c r="E177" s="23" t="s">
        <v>161</v>
      </c>
      <c r="F177" s="25" t="s">
        <v>716</v>
      </c>
      <c r="G177" s="26">
        <v>1215</v>
      </c>
      <c r="H177" s="23" t="s">
        <v>420</v>
      </c>
      <c r="I177" s="13" t="str">
        <f t="shared" si="65"/>
        <v>观世音</v>
      </c>
      <c r="J177" s="13">
        <v>5</v>
      </c>
      <c r="K177" s="13" t="str">
        <f t="shared" si="85"/>
        <v>羊脂玉净瓶+5</v>
      </c>
      <c r="L177" s="13" t="s">
        <v>419</v>
      </c>
      <c r="M177" s="13" t="str">
        <f t="shared" si="72"/>
        <v>["guanshiyin_wuqi02_01"]</v>
      </c>
      <c r="N177" s="13" t="str">
        <f t="shared" si="84"/>
        <v>["guanshiyin_sb5_wuqi03_01"]</v>
      </c>
      <c r="O177" s="13">
        <f t="shared" si="86"/>
        <v>1215</v>
      </c>
      <c r="R177" s="13">
        <v>2</v>
      </c>
      <c r="S177" s="13">
        <v>5</v>
      </c>
      <c r="T177" s="13" t="s">
        <v>136</v>
      </c>
      <c r="AB177" s="13">
        <v>5</v>
      </c>
      <c r="AC177" s="13">
        <f>INDEX($V$4:$Z$62,COUNTIFS($AB$1:$AB177,1),$AB177)</f>
        <v>12145</v>
      </c>
    </row>
    <row r="178" spans="1:29">
      <c r="A178" s="24">
        <v>12156</v>
      </c>
      <c r="B178" s="23" t="s">
        <v>540</v>
      </c>
      <c r="C178" s="24" t="s">
        <v>264</v>
      </c>
      <c r="D178" s="23" t="s">
        <v>161</v>
      </c>
      <c r="E178" s="23" t="s">
        <v>161</v>
      </c>
      <c r="F178" s="25" t="s">
        <v>716</v>
      </c>
      <c r="G178" s="26">
        <v>1215</v>
      </c>
      <c r="H178" s="23" t="s">
        <v>420</v>
      </c>
      <c r="I178" s="13" t="str">
        <f t="shared" si="65"/>
        <v>观世音</v>
      </c>
      <c r="J178" s="13">
        <v>5</v>
      </c>
      <c r="K178" s="13" t="str">
        <f t="shared" si="47"/>
        <v>羊脂玉净瓶+5</v>
      </c>
      <c r="L178" s="13" t="s">
        <v>419</v>
      </c>
      <c r="M178" s="13" t="str">
        <f t="shared" si="72"/>
        <v>["guanshiyin_wuqi02_01"]</v>
      </c>
      <c r="N178" s="13" t="str">
        <f t="shared" si="84"/>
        <v>["guanshiyin_sb5_wuqi03_01"]</v>
      </c>
      <c r="O178" s="13">
        <f t="shared" si="48"/>
        <v>1215</v>
      </c>
      <c r="R178" s="13">
        <v>2</v>
      </c>
      <c r="S178" s="13">
        <v>5</v>
      </c>
      <c r="T178" s="13" t="s">
        <v>136</v>
      </c>
      <c r="AB178" s="13">
        <v>5</v>
      </c>
      <c r="AC178" s="13">
        <f>INDEX($V$4:$Z$62,COUNTIFS($AB$1:$AB178,1),$AB178)</f>
        <v>12145</v>
      </c>
    </row>
    <row r="179" spans="1:29">
      <c r="A179" s="33">
        <v>11140</v>
      </c>
      <c r="B179" s="34" t="s">
        <v>541</v>
      </c>
      <c r="C179" s="33" t="s">
        <v>116</v>
      </c>
      <c r="D179" s="34" t="s">
        <v>564</v>
      </c>
      <c r="E179" s="34" t="s">
        <v>564</v>
      </c>
      <c r="F179" s="34" t="s">
        <v>718</v>
      </c>
      <c r="G179" s="35">
        <v>1114</v>
      </c>
      <c r="H179" s="34" t="s">
        <v>421</v>
      </c>
      <c r="I179" s="13" t="str">
        <f t="shared" si="65"/>
        <v>鹿力大仙</v>
      </c>
      <c r="J179" s="13">
        <v>0</v>
      </c>
      <c r="K179" s="13" t="str">
        <f t="shared" si="47"/>
        <v>龙凤双环</v>
      </c>
      <c r="L179" s="13" t="s">
        <v>541</v>
      </c>
      <c r="M179" s="13" t="str">
        <f t="shared" si="72"/>
        <v>["lulidaxian_wuqi01_01"]</v>
      </c>
      <c r="N179" s="13" t="s">
        <v>138</v>
      </c>
      <c r="O179" s="13">
        <f t="shared" si="48"/>
        <v>1114</v>
      </c>
      <c r="R179" s="13">
        <v>1</v>
      </c>
      <c r="S179" s="13">
        <v>1</v>
      </c>
      <c r="T179" s="13" t="s">
        <v>134</v>
      </c>
      <c r="AB179" s="13">
        <v>1</v>
      </c>
      <c r="AC179" s="13">
        <f>INDEX($V$4:$Z$62,COUNTIFS($AB$1:$AB179,1),$AB179)</f>
        <v>11031</v>
      </c>
    </row>
    <row r="180" spans="1:29">
      <c r="A180" s="33">
        <v>11141</v>
      </c>
      <c r="B180" s="34" t="s">
        <v>541</v>
      </c>
      <c r="C180" s="33" t="s">
        <v>117</v>
      </c>
      <c r="D180" s="34" t="s">
        <v>582</v>
      </c>
      <c r="E180" s="34" t="s">
        <v>582</v>
      </c>
      <c r="F180" s="34" t="s">
        <v>718</v>
      </c>
      <c r="G180" s="35">
        <v>1114</v>
      </c>
      <c r="H180" s="34" t="s">
        <v>422</v>
      </c>
      <c r="I180" s="13" t="str">
        <f t="shared" si="65"/>
        <v>鹿力大仙</v>
      </c>
      <c r="J180" s="13">
        <v>1</v>
      </c>
      <c r="K180" s="13" t="str">
        <f t="shared" si="47"/>
        <v>龙凤双环+1</v>
      </c>
      <c r="L180" s="13" t="s">
        <v>421</v>
      </c>
      <c r="M180" s="13" t="str">
        <f t="shared" si="72"/>
        <v>["lulidaxian_wuqi02_01"]</v>
      </c>
      <c r="N180" s="13" t="str">
        <f t="shared" ref="N180:N185" si="87">"["&amp;$R$1&amp;SUBSTITUTE(VLOOKUP(O180,$U$77:$W$138,3,0),"_actor","")&amp;"_sb"&amp;S180&amp;"_wuqi0"&amp;T180&amp;$R$1&amp;"]"</f>
        <v>["lulidaxian_sb2_wuqi01_01"]</v>
      </c>
      <c r="O180" s="13">
        <f t="shared" si="48"/>
        <v>1114</v>
      </c>
      <c r="R180" s="13">
        <v>2</v>
      </c>
      <c r="S180" s="13">
        <v>2</v>
      </c>
      <c r="T180" s="13" t="s">
        <v>134</v>
      </c>
      <c r="AB180" s="13">
        <v>2</v>
      </c>
      <c r="AC180" s="13">
        <f>INDEX($V$4:$Z$62,COUNTIFS($AB$1:$AB180,1),$AB180)</f>
        <v>11032</v>
      </c>
    </row>
    <row r="181" spans="1:29">
      <c r="A181" s="33">
        <v>11142</v>
      </c>
      <c r="B181" s="34" t="s">
        <v>541</v>
      </c>
      <c r="C181" s="33" t="s">
        <v>117</v>
      </c>
      <c r="D181" s="34" t="s">
        <v>209</v>
      </c>
      <c r="E181" s="34" t="s">
        <v>209</v>
      </c>
      <c r="F181" s="34" t="s">
        <v>718</v>
      </c>
      <c r="G181" s="35">
        <v>1114</v>
      </c>
      <c r="H181" s="34" t="s">
        <v>423</v>
      </c>
      <c r="I181" s="13" t="str">
        <f t="shared" si="65"/>
        <v>鹿力大仙</v>
      </c>
      <c r="J181" s="13">
        <v>2</v>
      </c>
      <c r="K181" s="13" t="str">
        <f t="shared" si="47"/>
        <v>龙凤双环+2</v>
      </c>
      <c r="L181" s="13" t="s">
        <v>422</v>
      </c>
      <c r="M181" s="13" t="str">
        <f t="shared" si="72"/>
        <v>["lulidaxian_wuqi02_01"]</v>
      </c>
      <c r="N181" s="13" t="str">
        <f t="shared" si="87"/>
        <v>["lulidaxian_sb3_wuqi02_01"]</v>
      </c>
      <c r="O181" s="13">
        <f t="shared" si="48"/>
        <v>1114</v>
      </c>
      <c r="R181" s="13">
        <v>2</v>
      </c>
      <c r="S181" s="13">
        <v>3</v>
      </c>
      <c r="T181" s="13" t="s">
        <v>135</v>
      </c>
      <c r="AB181" s="13">
        <v>3</v>
      </c>
      <c r="AC181" s="13">
        <f>INDEX($V$4:$Z$62,COUNTIFS($AB$1:$AB181,1),$AB181)</f>
        <v>11033</v>
      </c>
    </row>
    <row r="182" spans="1:29">
      <c r="A182" s="33">
        <v>11143</v>
      </c>
      <c r="B182" s="34" t="s">
        <v>541</v>
      </c>
      <c r="C182" s="33" t="s">
        <v>117</v>
      </c>
      <c r="D182" s="34" t="s">
        <v>719</v>
      </c>
      <c r="E182" s="34" t="s">
        <v>719</v>
      </c>
      <c r="F182" s="34" t="s">
        <v>718</v>
      </c>
      <c r="G182" s="35">
        <v>1114</v>
      </c>
      <c r="H182" s="34" t="s">
        <v>424</v>
      </c>
      <c r="I182" s="13" t="str">
        <f t="shared" si="65"/>
        <v>鹿力大仙</v>
      </c>
      <c r="J182" s="13">
        <v>3</v>
      </c>
      <c r="K182" s="13" t="str">
        <f t="shared" si="47"/>
        <v>龙凤双环+3</v>
      </c>
      <c r="L182" s="13" t="s">
        <v>423</v>
      </c>
      <c r="M182" s="13" t="str">
        <f t="shared" si="72"/>
        <v>["lulidaxian_wuqi02_01"]</v>
      </c>
      <c r="N182" s="13" t="str">
        <f t="shared" si="87"/>
        <v>["lulidaxian_sb4_wuqi02_01"]</v>
      </c>
      <c r="O182" s="13">
        <f t="shared" si="48"/>
        <v>1114</v>
      </c>
      <c r="R182" s="13">
        <v>2</v>
      </c>
      <c r="S182" s="13">
        <v>4</v>
      </c>
      <c r="T182" s="13" t="s">
        <v>135</v>
      </c>
      <c r="AB182" s="13">
        <v>4</v>
      </c>
      <c r="AC182" s="13">
        <f>INDEX($V$4:$Z$62,COUNTIFS($AB$1:$AB182,1),$AB182)</f>
        <v>11034</v>
      </c>
    </row>
    <row r="183" spans="1:29">
      <c r="A183" s="33">
        <v>11144</v>
      </c>
      <c r="B183" s="34" t="s">
        <v>541</v>
      </c>
      <c r="C183" s="33" t="s">
        <v>117</v>
      </c>
      <c r="D183" s="34" t="s">
        <v>719</v>
      </c>
      <c r="E183" s="34" t="s">
        <v>719</v>
      </c>
      <c r="F183" s="34" t="s">
        <v>718</v>
      </c>
      <c r="G183" s="35">
        <v>1114</v>
      </c>
      <c r="H183" s="34" t="s">
        <v>425</v>
      </c>
      <c r="I183" s="13" t="str">
        <f t="shared" si="65"/>
        <v>鹿力大仙</v>
      </c>
      <c r="J183" s="13">
        <v>4</v>
      </c>
      <c r="K183" s="13" t="str">
        <f t="shared" ref="K183:K184" si="88">IF(J183=0,$B183,B183&amp;"+"&amp;J183)</f>
        <v>龙凤双环+4</v>
      </c>
      <c r="L183" s="13" t="s">
        <v>424</v>
      </c>
      <c r="M183" s="13" t="str">
        <f t="shared" si="72"/>
        <v>["lulidaxian_wuqi02_01"]</v>
      </c>
      <c r="N183" s="13" t="str">
        <f t="shared" si="87"/>
        <v>["lulidaxian_sb4_wuqi02_01"]</v>
      </c>
      <c r="O183" s="13">
        <f t="shared" ref="O183:O184" si="89">INT(LEFT(A183,4))</f>
        <v>1114</v>
      </c>
      <c r="R183" s="13">
        <v>2</v>
      </c>
      <c r="S183" s="13">
        <v>4</v>
      </c>
      <c r="T183" s="13" t="s">
        <v>137</v>
      </c>
      <c r="AB183" s="13">
        <v>5</v>
      </c>
      <c r="AC183" s="13">
        <f>INDEX($V$4:$Z$62,COUNTIFS($AB$1:$AB183,1),$AB183)</f>
        <v>11035</v>
      </c>
    </row>
    <row r="184" spans="1:29">
      <c r="A184" s="33">
        <v>11145</v>
      </c>
      <c r="B184" s="34" t="s">
        <v>541</v>
      </c>
      <c r="C184" s="33" t="s">
        <v>117</v>
      </c>
      <c r="D184" s="34" t="s">
        <v>719</v>
      </c>
      <c r="E184" s="34" t="s">
        <v>719</v>
      </c>
      <c r="F184" s="34" t="s">
        <v>718</v>
      </c>
      <c r="G184" s="35">
        <v>1114</v>
      </c>
      <c r="H184" s="34" t="s">
        <v>425</v>
      </c>
      <c r="I184" s="13" t="str">
        <f t="shared" si="65"/>
        <v>鹿力大仙</v>
      </c>
      <c r="J184" s="13">
        <v>5</v>
      </c>
      <c r="K184" s="13" t="str">
        <f t="shared" si="88"/>
        <v>龙凤双环+5</v>
      </c>
      <c r="L184" s="13" t="s">
        <v>424</v>
      </c>
      <c r="M184" s="13" t="str">
        <f t="shared" si="72"/>
        <v>["lulidaxian_wuqi02_01"]</v>
      </c>
      <c r="N184" s="13" t="str">
        <f t="shared" si="87"/>
        <v>["lulidaxian_sb4_wuqi02_01"]</v>
      </c>
      <c r="O184" s="13">
        <f t="shared" si="89"/>
        <v>1114</v>
      </c>
      <c r="R184" s="13">
        <v>2</v>
      </c>
      <c r="S184" s="13">
        <v>4</v>
      </c>
      <c r="T184" s="13" t="s">
        <v>135</v>
      </c>
      <c r="AB184" s="13">
        <v>5</v>
      </c>
      <c r="AC184" s="13">
        <f>INDEX($V$4:$Z$62,COUNTIFS($AB$1:$AB184,1),$AB184)</f>
        <v>11035</v>
      </c>
    </row>
    <row r="185" spans="1:29">
      <c r="A185" s="33">
        <v>11146</v>
      </c>
      <c r="B185" s="34" t="s">
        <v>541</v>
      </c>
      <c r="C185" s="33" t="s">
        <v>117</v>
      </c>
      <c r="D185" s="34" t="s">
        <v>719</v>
      </c>
      <c r="E185" s="34" t="s">
        <v>719</v>
      </c>
      <c r="F185" s="34" t="s">
        <v>718</v>
      </c>
      <c r="G185" s="35">
        <v>1114</v>
      </c>
      <c r="H185" s="34" t="s">
        <v>425</v>
      </c>
      <c r="I185" s="13" t="str">
        <f t="shared" si="65"/>
        <v>鹿力大仙</v>
      </c>
      <c r="J185" s="13">
        <v>5</v>
      </c>
      <c r="K185" s="13" t="str">
        <f t="shared" ref="K185:K272" si="90">IF(J185=0,$B185,B185&amp;"+"&amp;J185)</f>
        <v>龙凤双环+5</v>
      </c>
      <c r="L185" s="13" t="s">
        <v>424</v>
      </c>
      <c r="M185" s="13" t="str">
        <f t="shared" si="72"/>
        <v>["lulidaxian_wuqi02_01"]</v>
      </c>
      <c r="N185" s="13" t="str">
        <f t="shared" si="87"/>
        <v>["lulidaxian_sb4_wuqi02_01"]</v>
      </c>
      <c r="O185" s="13">
        <f t="shared" ref="O185:O272" si="91">INT(LEFT(A185,4))</f>
        <v>1114</v>
      </c>
      <c r="R185" s="13">
        <v>2</v>
      </c>
      <c r="S185" s="13">
        <v>4</v>
      </c>
      <c r="T185" s="13" t="s">
        <v>137</v>
      </c>
      <c r="AB185" s="13">
        <v>5</v>
      </c>
      <c r="AC185" s="13">
        <f>INDEX($V$4:$Z$62,COUNTIFS($AB$1:$AB185,1),$AB185)</f>
        <v>11035</v>
      </c>
    </row>
    <row r="186" spans="1:29">
      <c r="A186" s="24">
        <v>11100</v>
      </c>
      <c r="B186" s="23" t="s">
        <v>542</v>
      </c>
      <c r="C186" s="24" t="s">
        <v>265</v>
      </c>
      <c r="D186" s="23" t="s">
        <v>572</v>
      </c>
      <c r="E186" s="23" t="s">
        <v>572</v>
      </c>
      <c r="F186" s="25" t="s">
        <v>720</v>
      </c>
      <c r="G186" s="26">
        <v>1110</v>
      </c>
      <c r="H186" s="23" t="s">
        <v>426</v>
      </c>
      <c r="I186" s="13" t="str">
        <f t="shared" si="65"/>
        <v>红孩儿</v>
      </c>
      <c r="J186" s="13">
        <v>0</v>
      </c>
      <c r="K186" s="13" t="str">
        <f t="shared" si="90"/>
        <v>真火子母枪</v>
      </c>
      <c r="L186" s="13" t="s">
        <v>542</v>
      </c>
      <c r="M186" s="13" t="str">
        <f t="shared" si="72"/>
        <v>["honghaier_wuqi01_01"]</v>
      </c>
      <c r="N186" s="13" t="s">
        <v>138</v>
      </c>
      <c r="O186" s="13">
        <f t="shared" si="91"/>
        <v>1110</v>
      </c>
      <c r="R186" s="13">
        <v>1</v>
      </c>
      <c r="S186" s="13">
        <v>1</v>
      </c>
      <c r="T186" s="13" t="s">
        <v>134</v>
      </c>
      <c r="AB186" s="13">
        <v>1</v>
      </c>
      <c r="AC186" s="13">
        <f>INDEX($V$4:$Z$62,COUNTIFS($AB$1:$AB186,1),$AB186)</f>
        <v>11031</v>
      </c>
    </row>
    <row r="187" spans="1:29">
      <c r="A187" s="24">
        <v>11101</v>
      </c>
      <c r="B187" s="23" t="s">
        <v>542</v>
      </c>
      <c r="C187" s="24" t="s">
        <v>266</v>
      </c>
      <c r="D187" s="23" t="s">
        <v>721</v>
      </c>
      <c r="E187" s="23" t="s">
        <v>721</v>
      </c>
      <c r="F187" s="25" t="s">
        <v>720</v>
      </c>
      <c r="G187" s="26">
        <v>1110</v>
      </c>
      <c r="H187" s="23" t="s">
        <v>427</v>
      </c>
      <c r="I187" s="13" t="str">
        <f t="shared" si="65"/>
        <v>红孩儿</v>
      </c>
      <c r="J187" s="13">
        <v>1</v>
      </c>
      <c r="K187" s="13" t="str">
        <f t="shared" si="90"/>
        <v>真火子母枪+1</v>
      </c>
      <c r="L187" s="13" t="s">
        <v>426</v>
      </c>
      <c r="M187" s="13" t="str">
        <f t="shared" si="72"/>
        <v>["honghaier_wuqi02_01"]</v>
      </c>
      <c r="N187" s="13" t="str">
        <f t="shared" ref="N187:N192" si="92">"["&amp;$R$1&amp;SUBSTITUTE(VLOOKUP(O187,$U$77:$W$138,3,0),"_actor","")&amp;"_sb"&amp;S187&amp;"_wuqi0"&amp;T187&amp;$R$1&amp;"]"</f>
        <v>["honghaier_sb2_wuqi01_01"]</v>
      </c>
      <c r="O187" s="13">
        <f t="shared" si="91"/>
        <v>1110</v>
      </c>
      <c r="R187" s="13">
        <v>2</v>
      </c>
      <c r="S187" s="13">
        <v>2</v>
      </c>
      <c r="T187" s="13" t="s">
        <v>134</v>
      </c>
      <c r="AB187" s="13">
        <v>2</v>
      </c>
      <c r="AC187" s="13">
        <f>INDEX($V$4:$Z$62,COUNTIFS($AB$1:$AB187,1),$AB187)</f>
        <v>11032</v>
      </c>
    </row>
    <row r="188" spans="1:29">
      <c r="A188" s="24">
        <v>11102</v>
      </c>
      <c r="B188" s="23" t="s">
        <v>542</v>
      </c>
      <c r="C188" s="24" t="s">
        <v>266</v>
      </c>
      <c r="D188" s="23" t="s">
        <v>583</v>
      </c>
      <c r="E188" s="23" t="s">
        <v>583</v>
      </c>
      <c r="F188" s="25" t="s">
        <v>720</v>
      </c>
      <c r="G188" s="26">
        <v>1110</v>
      </c>
      <c r="H188" s="23" t="s">
        <v>428</v>
      </c>
      <c r="I188" s="13" t="str">
        <f t="shared" si="65"/>
        <v>红孩儿</v>
      </c>
      <c r="J188" s="13">
        <v>2</v>
      </c>
      <c r="K188" s="13" t="str">
        <f t="shared" si="90"/>
        <v>真火子母枪+2</v>
      </c>
      <c r="L188" s="13" t="s">
        <v>427</v>
      </c>
      <c r="M188" s="13" t="str">
        <f t="shared" si="72"/>
        <v>["honghaier_wuqi02_01"]</v>
      </c>
      <c r="N188" s="13" t="str">
        <f t="shared" si="92"/>
        <v>["honghaier_sb3_wuqi02_01"]</v>
      </c>
      <c r="O188" s="13">
        <f t="shared" si="91"/>
        <v>1110</v>
      </c>
      <c r="R188" s="13">
        <v>2</v>
      </c>
      <c r="S188" s="13">
        <v>3</v>
      </c>
      <c r="T188" s="13" t="s">
        <v>135</v>
      </c>
      <c r="AB188" s="13">
        <v>3</v>
      </c>
      <c r="AC188" s="13">
        <f>INDEX($V$4:$Z$62,COUNTIFS($AB$1:$AB188,1),$AB188)</f>
        <v>11033</v>
      </c>
    </row>
    <row r="189" spans="1:29">
      <c r="A189" s="24">
        <v>11103</v>
      </c>
      <c r="B189" s="23" t="s">
        <v>542</v>
      </c>
      <c r="C189" s="24" t="s">
        <v>266</v>
      </c>
      <c r="D189" s="23" t="s">
        <v>162</v>
      </c>
      <c r="E189" s="23" t="s">
        <v>162</v>
      </c>
      <c r="F189" s="25" t="s">
        <v>720</v>
      </c>
      <c r="G189" s="26">
        <v>1110</v>
      </c>
      <c r="H189" s="23" t="s">
        <v>429</v>
      </c>
      <c r="I189" s="13" t="str">
        <f t="shared" si="65"/>
        <v>红孩儿</v>
      </c>
      <c r="J189" s="13">
        <v>3</v>
      </c>
      <c r="K189" s="13" t="str">
        <f t="shared" si="90"/>
        <v>真火子母枪+3</v>
      </c>
      <c r="L189" s="13" t="s">
        <v>428</v>
      </c>
      <c r="M189" s="13" t="str">
        <f t="shared" si="72"/>
        <v>["honghaier_wuqi02_01"]</v>
      </c>
      <c r="N189" s="13" t="str">
        <f t="shared" si="92"/>
        <v>["honghaier_sb4_wuqi02_01"]</v>
      </c>
      <c r="O189" s="13">
        <f t="shared" si="91"/>
        <v>1110</v>
      </c>
      <c r="R189" s="13">
        <v>2</v>
      </c>
      <c r="S189" s="13">
        <v>4</v>
      </c>
      <c r="T189" s="13" t="s">
        <v>135</v>
      </c>
      <c r="AB189" s="13">
        <v>4</v>
      </c>
      <c r="AC189" s="13">
        <f>INDEX($V$4:$Z$62,COUNTIFS($AB$1:$AB189,1),$AB189)</f>
        <v>11034</v>
      </c>
    </row>
    <row r="190" spans="1:29">
      <c r="A190" s="24">
        <v>11104</v>
      </c>
      <c r="B190" s="23" t="s">
        <v>542</v>
      </c>
      <c r="C190" s="24" t="s">
        <v>266</v>
      </c>
      <c r="D190" s="23" t="s">
        <v>162</v>
      </c>
      <c r="E190" s="23" t="s">
        <v>162</v>
      </c>
      <c r="F190" s="25" t="s">
        <v>720</v>
      </c>
      <c r="G190" s="26">
        <v>1110</v>
      </c>
      <c r="H190" s="23" t="s">
        <v>430</v>
      </c>
      <c r="I190" s="13" t="str">
        <f t="shared" si="65"/>
        <v>红孩儿</v>
      </c>
      <c r="J190" s="13">
        <v>4</v>
      </c>
      <c r="K190" s="13" t="str">
        <f t="shared" ref="K190:K191" si="93">IF(J190=0,$B190,B190&amp;"+"&amp;J190)</f>
        <v>真火子母枪+4</v>
      </c>
      <c r="L190" s="13" t="s">
        <v>429</v>
      </c>
      <c r="M190" s="13" t="str">
        <f t="shared" si="72"/>
        <v>["honghaier_wuqi02_01"]</v>
      </c>
      <c r="N190" s="13" t="str">
        <f t="shared" si="92"/>
        <v>["honghaier_sb4_wuqi02_01"]</v>
      </c>
      <c r="O190" s="13">
        <f t="shared" ref="O190:O191" si="94">INT(LEFT(A190,4))</f>
        <v>1110</v>
      </c>
      <c r="R190" s="13">
        <v>2</v>
      </c>
      <c r="S190" s="13">
        <v>4</v>
      </c>
      <c r="T190" s="13" t="s">
        <v>137</v>
      </c>
      <c r="AB190" s="13">
        <v>5</v>
      </c>
      <c r="AC190" s="13">
        <f>INDEX($V$4:$Z$62,COUNTIFS($AB$1:$AB190,1),$AB190)</f>
        <v>11035</v>
      </c>
    </row>
    <row r="191" spans="1:29">
      <c r="A191" s="24">
        <v>11105</v>
      </c>
      <c r="B191" s="23" t="s">
        <v>542</v>
      </c>
      <c r="C191" s="24" t="s">
        <v>266</v>
      </c>
      <c r="D191" s="23" t="s">
        <v>162</v>
      </c>
      <c r="E191" s="23" t="s">
        <v>162</v>
      </c>
      <c r="F191" s="25" t="s">
        <v>217</v>
      </c>
      <c r="G191" s="26">
        <v>1110</v>
      </c>
      <c r="H191" s="23" t="s">
        <v>430</v>
      </c>
      <c r="I191" s="13" t="str">
        <f t="shared" si="65"/>
        <v>红孩儿</v>
      </c>
      <c r="J191" s="13">
        <v>5</v>
      </c>
      <c r="K191" s="13" t="str">
        <f t="shared" si="93"/>
        <v>真火子母枪+5</v>
      </c>
      <c r="L191" s="13" t="s">
        <v>429</v>
      </c>
      <c r="M191" s="13" t="str">
        <f t="shared" si="72"/>
        <v>["honghaier_wuqi02_01"]</v>
      </c>
      <c r="N191" s="13" t="str">
        <f t="shared" si="92"/>
        <v>["honghaier_sb4_wuqi02_01"]</v>
      </c>
      <c r="O191" s="13">
        <f t="shared" si="94"/>
        <v>1110</v>
      </c>
      <c r="R191" s="13">
        <v>2</v>
      </c>
      <c r="S191" s="13">
        <v>4</v>
      </c>
      <c r="T191" s="13" t="s">
        <v>135</v>
      </c>
      <c r="AB191" s="13">
        <v>5</v>
      </c>
      <c r="AC191" s="13">
        <f>INDEX($V$4:$Z$62,COUNTIFS($AB$1:$AB191,1),$AB191)</f>
        <v>11035</v>
      </c>
    </row>
    <row r="192" spans="1:29">
      <c r="A192" s="24">
        <v>11106</v>
      </c>
      <c r="B192" s="23" t="s">
        <v>542</v>
      </c>
      <c r="C192" s="24" t="s">
        <v>266</v>
      </c>
      <c r="D192" s="23" t="s">
        <v>162</v>
      </c>
      <c r="E192" s="23" t="s">
        <v>162</v>
      </c>
      <c r="F192" s="25" t="s">
        <v>720</v>
      </c>
      <c r="G192" s="26">
        <v>1110</v>
      </c>
      <c r="H192" s="23" t="s">
        <v>430</v>
      </c>
      <c r="I192" s="13" t="str">
        <f t="shared" si="65"/>
        <v>红孩儿</v>
      </c>
      <c r="J192" s="13">
        <v>5</v>
      </c>
      <c r="K192" s="13" t="str">
        <f t="shared" si="90"/>
        <v>真火子母枪+5</v>
      </c>
      <c r="L192" s="13" t="s">
        <v>429</v>
      </c>
      <c r="M192" s="13" t="str">
        <f t="shared" si="72"/>
        <v>["honghaier_wuqi02_01"]</v>
      </c>
      <c r="N192" s="13" t="str">
        <f t="shared" si="92"/>
        <v>["honghaier_sb4_wuqi02_01"]</v>
      </c>
      <c r="O192" s="13">
        <f t="shared" si="91"/>
        <v>1110</v>
      </c>
      <c r="R192" s="13">
        <v>2</v>
      </c>
      <c r="S192" s="13">
        <v>4</v>
      </c>
      <c r="T192" s="13" t="s">
        <v>137</v>
      </c>
      <c r="AB192" s="13">
        <v>5</v>
      </c>
      <c r="AC192" s="13">
        <f>INDEX($V$4:$Z$62,COUNTIFS($AB$1:$AB192,1),$AB192)</f>
        <v>11035</v>
      </c>
    </row>
    <row r="193" spans="1:29">
      <c r="A193" s="33">
        <v>11040</v>
      </c>
      <c r="B193" s="34" t="s">
        <v>543</v>
      </c>
      <c r="C193" s="33" t="s">
        <v>267</v>
      </c>
      <c r="D193" s="34" t="s">
        <v>564</v>
      </c>
      <c r="E193" s="34" t="s">
        <v>564</v>
      </c>
      <c r="F193" s="34" t="s">
        <v>722</v>
      </c>
      <c r="G193" s="35">
        <v>1104</v>
      </c>
      <c r="H193" s="34" t="s">
        <v>431</v>
      </c>
      <c r="I193" s="13" t="str">
        <f t="shared" si="65"/>
        <v>玉皇大帝</v>
      </c>
      <c r="J193" s="13">
        <v>0</v>
      </c>
      <c r="K193" s="13" t="str">
        <f t="shared" si="90"/>
        <v>渊微凡尘</v>
      </c>
      <c r="L193" s="13" t="s">
        <v>543</v>
      </c>
      <c r="M193" s="13" t="str">
        <f t="shared" si="72"/>
        <v>["yuhuangdadi_wuqi01_01"]</v>
      </c>
      <c r="N193" s="13" t="s">
        <v>138</v>
      </c>
      <c r="O193" s="13">
        <f t="shared" si="91"/>
        <v>1104</v>
      </c>
      <c r="R193" s="13">
        <v>1</v>
      </c>
      <c r="S193" s="13">
        <v>1</v>
      </c>
      <c r="T193" s="13" t="s">
        <v>134</v>
      </c>
      <c r="AB193" s="13">
        <v>1</v>
      </c>
      <c r="AC193" s="13">
        <f>INDEX($V$4:$Z$62,COUNTIFS($AB$1:$AB193,1),$AB193)</f>
        <v>11031</v>
      </c>
    </row>
    <row r="194" spans="1:29">
      <c r="A194" s="33">
        <v>11041</v>
      </c>
      <c r="B194" s="34" t="s">
        <v>543</v>
      </c>
      <c r="C194" s="33" t="s">
        <v>268</v>
      </c>
      <c r="D194" s="34" t="s">
        <v>584</v>
      </c>
      <c r="E194" s="34" t="s">
        <v>584</v>
      </c>
      <c r="F194" s="34" t="s">
        <v>722</v>
      </c>
      <c r="G194" s="35">
        <v>1104</v>
      </c>
      <c r="H194" s="34" t="s">
        <v>432</v>
      </c>
      <c r="I194" s="13" t="str">
        <f t="shared" si="65"/>
        <v>玉皇大帝</v>
      </c>
      <c r="J194" s="13">
        <v>1</v>
      </c>
      <c r="K194" s="13" t="str">
        <f t="shared" si="90"/>
        <v>渊微凡尘+1</v>
      </c>
      <c r="L194" s="13" t="s">
        <v>431</v>
      </c>
      <c r="M194" s="13" t="str">
        <f t="shared" si="72"/>
        <v>["yuhuangdadi_wuqi02_01"]</v>
      </c>
      <c r="N194" s="13" t="str">
        <f t="shared" ref="N194:N199" si="95">"["&amp;$R$1&amp;SUBSTITUTE(VLOOKUP(O194,$U$77:$W$138,3,0),"_actor","")&amp;"_sb"&amp;S194&amp;"_wuqi0"&amp;T194&amp;$R$1&amp;"]"</f>
        <v>["yuhuangdadi_sb2_wuqi01_01"]</v>
      </c>
      <c r="O194" s="13">
        <f t="shared" si="91"/>
        <v>1104</v>
      </c>
      <c r="R194" s="13">
        <v>2</v>
      </c>
      <c r="S194" s="13">
        <v>2</v>
      </c>
      <c r="T194" s="13" t="s">
        <v>134</v>
      </c>
      <c r="AB194" s="13">
        <v>2</v>
      </c>
      <c r="AC194" s="13">
        <f>INDEX($V$4:$Z$62,COUNTIFS($AB$1:$AB194,1),$AB194)</f>
        <v>11032</v>
      </c>
    </row>
    <row r="195" spans="1:29">
      <c r="A195" s="33">
        <v>11042</v>
      </c>
      <c r="B195" s="34" t="s">
        <v>543</v>
      </c>
      <c r="C195" s="33" t="s">
        <v>268</v>
      </c>
      <c r="D195" s="34" t="s">
        <v>163</v>
      </c>
      <c r="E195" s="34" t="s">
        <v>163</v>
      </c>
      <c r="F195" s="34" t="s">
        <v>722</v>
      </c>
      <c r="G195" s="35">
        <v>1104</v>
      </c>
      <c r="H195" s="34" t="s">
        <v>433</v>
      </c>
      <c r="I195" s="13" t="str">
        <f t="shared" si="65"/>
        <v>玉皇大帝</v>
      </c>
      <c r="J195" s="13">
        <v>2</v>
      </c>
      <c r="K195" s="13" t="str">
        <f t="shared" si="90"/>
        <v>渊微凡尘+2</v>
      </c>
      <c r="L195" s="13" t="s">
        <v>432</v>
      </c>
      <c r="M195" s="13" t="str">
        <f t="shared" si="72"/>
        <v>["yuhuangdadi_wuqi02_01"]</v>
      </c>
      <c r="N195" s="13" t="str">
        <f t="shared" si="95"/>
        <v>["yuhuangdadi_sb3_wuqi02_01"]</v>
      </c>
      <c r="O195" s="13">
        <f t="shared" si="91"/>
        <v>1104</v>
      </c>
      <c r="R195" s="13">
        <v>2</v>
      </c>
      <c r="S195" s="13">
        <v>3</v>
      </c>
      <c r="T195" s="13" t="s">
        <v>135</v>
      </c>
      <c r="AB195" s="13">
        <v>3</v>
      </c>
      <c r="AC195" s="13">
        <f>INDEX($V$4:$Z$62,COUNTIFS($AB$1:$AB195,1),$AB195)</f>
        <v>11033</v>
      </c>
    </row>
    <row r="196" spans="1:29">
      <c r="A196" s="33">
        <v>11043</v>
      </c>
      <c r="B196" s="34" t="s">
        <v>543</v>
      </c>
      <c r="C196" s="33" t="s">
        <v>268</v>
      </c>
      <c r="D196" s="34" t="s">
        <v>723</v>
      </c>
      <c r="E196" s="34" t="s">
        <v>723</v>
      </c>
      <c r="F196" s="34" t="s">
        <v>722</v>
      </c>
      <c r="G196" s="35">
        <v>1104</v>
      </c>
      <c r="H196" s="34" t="s">
        <v>434</v>
      </c>
      <c r="I196" s="13" t="str">
        <f t="shared" ref="I196:I259" si="96">VLOOKUP(INT(LEFT(A196,4)),$U$77:$V$138,2,0)</f>
        <v>玉皇大帝</v>
      </c>
      <c r="J196" s="13">
        <v>3</v>
      </c>
      <c r="K196" s="13" t="str">
        <f t="shared" si="90"/>
        <v>渊微凡尘+3</v>
      </c>
      <c r="L196" s="13" t="s">
        <v>433</v>
      </c>
      <c r="M196" s="13" t="str">
        <f t="shared" si="72"/>
        <v>["yuhuangdadi_wuqi02_01"]</v>
      </c>
      <c r="N196" s="13" t="str">
        <f t="shared" si="95"/>
        <v>["yuhuangdadi_sb4_wuqi02_01"]</v>
      </c>
      <c r="O196" s="13">
        <f t="shared" si="91"/>
        <v>1104</v>
      </c>
      <c r="R196" s="13">
        <v>2</v>
      </c>
      <c r="S196" s="13">
        <v>4</v>
      </c>
      <c r="T196" s="13" t="s">
        <v>135</v>
      </c>
      <c r="AB196" s="13">
        <v>4</v>
      </c>
      <c r="AC196" s="13">
        <f>INDEX($V$4:$Z$62,COUNTIFS($AB$1:$AB196,1),$AB196)</f>
        <v>11034</v>
      </c>
    </row>
    <row r="197" spans="1:29">
      <c r="A197" s="33">
        <v>11044</v>
      </c>
      <c r="B197" s="34" t="s">
        <v>543</v>
      </c>
      <c r="C197" s="33" t="s">
        <v>268</v>
      </c>
      <c r="D197" s="34" t="s">
        <v>724</v>
      </c>
      <c r="E197" s="34" t="s">
        <v>724</v>
      </c>
      <c r="F197" s="34" t="s">
        <v>722</v>
      </c>
      <c r="G197" s="35">
        <v>1104</v>
      </c>
      <c r="H197" s="34" t="s">
        <v>435</v>
      </c>
      <c r="I197" s="13" t="str">
        <f t="shared" si="96"/>
        <v>玉皇大帝</v>
      </c>
      <c r="J197" s="13">
        <v>4</v>
      </c>
      <c r="K197" s="13" t="str">
        <f t="shared" ref="K197:K198" si="97">IF(J197=0,$B197,B197&amp;"+"&amp;J197)</f>
        <v>渊微凡尘+4</v>
      </c>
      <c r="L197" s="13" t="s">
        <v>434</v>
      </c>
      <c r="M197" s="13" t="str">
        <f t="shared" si="72"/>
        <v>["yuhuangdadi_wuqi02_01"]</v>
      </c>
      <c r="N197" s="13" t="str">
        <f t="shared" si="95"/>
        <v>["yuhuangdadi_sb4_wuqi02_01"]</v>
      </c>
      <c r="O197" s="13">
        <f t="shared" ref="O197:O198" si="98">INT(LEFT(A197,4))</f>
        <v>1104</v>
      </c>
      <c r="R197" s="13">
        <v>2</v>
      </c>
      <c r="S197" s="13">
        <v>4</v>
      </c>
      <c r="T197" s="13" t="s">
        <v>137</v>
      </c>
      <c r="AB197" s="13">
        <v>5</v>
      </c>
      <c r="AC197" s="13">
        <f>INDEX($V$4:$Z$62,COUNTIFS($AB$1:$AB197,1),$AB197)</f>
        <v>11035</v>
      </c>
    </row>
    <row r="198" spans="1:29">
      <c r="A198" s="33">
        <v>11045</v>
      </c>
      <c r="B198" s="34" t="s">
        <v>543</v>
      </c>
      <c r="C198" s="33" t="s">
        <v>268</v>
      </c>
      <c r="D198" s="34" t="s">
        <v>724</v>
      </c>
      <c r="E198" s="34" t="s">
        <v>724</v>
      </c>
      <c r="F198" s="34" t="s">
        <v>218</v>
      </c>
      <c r="G198" s="35">
        <v>1104</v>
      </c>
      <c r="H198" s="34" t="s">
        <v>435</v>
      </c>
      <c r="I198" s="13" t="str">
        <f t="shared" si="96"/>
        <v>玉皇大帝</v>
      </c>
      <c r="J198" s="13">
        <v>5</v>
      </c>
      <c r="K198" s="13" t="str">
        <f t="shared" si="97"/>
        <v>渊微凡尘+5</v>
      </c>
      <c r="L198" s="13" t="s">
        <v>434</v>
      </c>
      <c r="M198" s="13" t="str">
        <f t="shared" si="72"/>
        <v>["yuhuangdadi_wuqi02_01"]</v>
      </c>
      <c r="N198" s="13" t="str">
        <f t="shared" si="95"/>
        <v>["yuhuangdadi_sb4_wuqi02_01"]</v>
      </c>
      <c r="O198" s="13">
        <f t="shared" si="98"/>
        <v>1104</v>
      </c>
      <c r="R198" s="13">
        <v>2</v>
      </c>
      <c r="S198" s="13">
        <v>4</v>
      </c>
      <c r="T198" s="13" t="s">
        <v>135</v>
      </c>
      <c r="AB198" s="13">
        <v>5</v>
      </c>
      <c r="AC198" s="13">
        <f>INDEX($V$4:$Z$62,COUNTIFS($AB$1:$AB198,1),$AB198)</f>
        <v>11035</v>
      </c>
    </row>
    <row r="199" spans="1:29">
      <c r="A199" s="33">
        <v>11046</v>
      </c>
      <c r="B199" s="34" t="s">
        <v>543</v>
      </c>
      <c r="C199" s="33" t="s">
        <v>268</v>
      </c>
      <c r="D199" s="34" t="s">
        <v>724</v>
      </c>
      <c r="E199" s="34" t="s">
        <v>724</v>
      </c>
      <c r="F199" s="34" t="s">
        <v>722</v>
      </c>
      <c r="G199" s="35">
        <v>1104</v>
      </c>
      <c r="H199" s="34" t="s">
        <v>435</v>
      </c>
      <c r="I199" s="13" t="str">
        <f t="shared" si="96"/>
        <v>玉皇大帝</v>
      </c>
      <c r="J199" s="13">
        <v>5</v>
      </c>
      <c r="K199" s="13" t="str">
        <f t="shared" si="90"/>
        <v>渊微凡尘+5</v>
      </c>
      <c r="L199" s="13" t="s">
        <v>434</v>
      </c>
      <c r="M199" s="13" t="str">
        <f t="shared" si="72"/>
        <v>["yuhuangdadi_wuqi02_01"]</v>
      </c>
      <c r="N199" s="13" t="str">
        <f t="shared" si="95"/>
        <v>["yuhuangdadi_sb4_wuqi02_01"]</v>
      </c>
      <c r="O199" s="13">
        <f t="shared" si="91"/>
        <v>1104</v>
      </c>
      <c r="R199" s="13">
        <v>2</v>
      </c>
      <c r="S199" s="13">
        <v>4</v>
      </c>
      <c r="T199" s="13" t="s">
        <v>137</v>
      </c>
      <c r="AB199" s="13">
        <v>5</v>
      </c>
      <c r="AC199" s="13">
        <f>INDEX($V$4:$Z$62,COUNTIFS($AB$1:$AB199,1),$AB199)</f>
        <v>11035</v>
      </c>
    </row>
    <row r="200" spans="1:29">
      <c r="A200" s="24">
        <v>11350</v>
      </c>
      <c r="B200" s="23" t="s">
        <v>544</v>
      </c>
      <c r="C200" s="24" t="s">
        <v>269</v>
      </c>
      <c r="D200" s="23" t="s">
        <v>572</v>
      </c>
      <c r="E200" s="23" t="s">
        <v>572</v>
      </c>
      <c r="F200" s="25" t="s">
        <v>725</v>
      </c>
      <c r="G200" s="26">
        <v>1135</v>
      </c>
      <c r="H200" s="23" t="s">
        <v>436</v>
      </c>
      <c r="I200" s="13" t="str">
        <f t="shared" si="96"/>
        <v>东海龙王</v>
      </c>
      <c r="J200" s="13">
        <v>0</v>
      </c>
      <c r="K200" s="13" t="str">
        <f t="shared" si="90"/>
        <v>海王戟</v>
      </c>
      <c r="L200" s="13" t="s">
        <v>544</v>
      </c>
      <c r="M200" s="13" t="str">
        <f t="shared" si="72"/>
        <v>["donghailongwang_wuqi01_01"]</v>
      </c>
      <c r="N200" s="13" t="s">
        <v>138</v>
      </c>
      <c r="O200" s="13">
        <f t="shared" si="91"/>
        <v>1135</v>
      </c>
      <c r="R200" s="13">
        <v>1</v>
      </c>
      <c r="S200" s="13">
        <v>1</v>
      </c>
      <c r="T200" s="13" t="s">
        <v>134</v>
      </c>
      <c r="AB200" s="13">
        <v>1</v>
      </c>
      <c r="AC200" s="13">
        <f>INDEX($V$4:$Z$62,COUNTIFS($AB$1:$AB200,1),$AB200)</f>
        <v>11091</v>
      </c>
    </row>
    <row r="201" spans="1:29">
      <c r="A201" s="24">
        <v>11351</v>
      </c>
      <c r="B201" s="23" t="s">
        <v>544</v>
      </c>
      <c r="C201" s="24" t="s">
        <v>270</v>
      </c>
      <c r="D201" s="23" t="s">
        <v>726</v>
      </c>
      <c r="E201" s="23" t="s">
        <v>726</v>
      </c>
      <c r="F201" s="25" t="s">
        <v>725</v>
      </c>
      <c r="G201" s="26">
        <v>1135</v>
      </c>
      <c r="H201" s="23" t="s">
        <v>437</v>
      </c>
      <c r="I201" s="13" t="str">
        <f t="shared" si="96"/>
        <v>东海龙王</v>
      </c>
      <c r="J201" s="13">
        <v>1</v>
      </c>
      <c r="K201" s="13" t="str">
        <f t="shared" si="90"/>
        <v>海王戟+1</v>
      </c>
      <c r="L201" s="13" t="s">
        <v>436</v>
      </c>
      <c r="M201" s="13" t="str">
        <f t="shared" si="72"/>
        <v>["donghailongwang_wuqi02_01"]</v>
      </c>
      <c r="N201" s="13" t="str">
        <f t="shared" ref="N201:N206" si="99">"["&amp;$R$1&amp;SUBSTITUTE(VLOOKUP(O201,$U$77:$W$138,3,0),"_actor","")&amp;"_sb"&amp;S201&amp;"_wuqi0"&amp;T201&amp;$R$1&amp;"]"</f>
        <v>["donghailongwang_sb2_wuqi01_01"]</v>
      </c>
      <c r="O201" s="13">
        <f t="shared" si="91"/>
        <v>1135</v>
      </c>
      <c r="R201" s="13">
        <v>2</v>
      </c>
      <c r="S201" s="13">
        <v>2</v>
      </c>
      <c r="T201" s="13" t="s">
        <v>134</v>
      </c>
      <c r="AB201" s="13">
        <v>2</v>
      </c>
      <c r="AC201" s="13">
        <f>INDEX($V$4:$Z$62,COUNTIFS($AB$1:$AB201,1),$AB201)</f>
        <v>11092</v>
      </c>
    </row>
    <row r="202" spans="1:29">
      <c r="A202" s="24">
        <v>11352</v>
      </c>
      <c r="B202" s="23" t="s">
        <v>544</v>
      </c>
      <c r="C202" s="24" t="s">
        <v>270</v>
      </c>
      <c r="D202" s="23" t="s">
        <v>585</v>
      </c>
      <c r="E202" s="23" t="s">
        <v>585</v>
      </c>
      <c r="F202" s="25" t="s">
        <v>725</v>
      </c>
      <c r="G202" s="26">
        <v>1135</v>
      </c>
      <c r="H202" s="23" t="s">
        <v>438</v>
      </c>
      <c r="I202" s="13" t="str">
        <f t="shared" si="96"/>
        <v>东海龙王</v>
      </c>
      <c r="J202" s="13">
        <v>2</v>
      </c>
      <c r="K202" s="13" t="str">
        <f t="shared" si="90"/>
        <v>海王戟+2</v>
      </c>
      <c r="L202" s="13" t="s">
        <v>437</v>
      </c>
      <c r="M202" s="13" t="str">
        <f t="shared" si="72"/>
        <v>["donghailongwang_wuqi02_01"]</v>
      </c>
      <c r="N202" s="13" t="str">
        <f t="shared" si="99"/>
        <v>["donghailongwang_sb3_wuqi02_01"]</v>
      </c>
      <c r="O202" s="13">
        <f t="shared" si="91"/>
        <v>1135</v>
      </c>
      <c r="R202" s="13">
        <v>2</v>
      </c>
      <c r="S202" s="13">
        <v>3</v>
      </c>
      <c r="T202" s="13" t="s">
        <v>135</v>
      </c>
      <c r="AB202" s="13">
        <v>3</v>
      </c>
      <c r="AC202" s="13">
        <f>INDEX($V$4:$Z$62,COUNTIFS($AB$1:$AB202,1),$AB202)</f>
        <v>11093</v>
      </c>
    </row>
    <row r="203" spans="1:29">
      <c r="A203" s="24">
        <v>11353</v>
      </c>
      <c r="B203" s="23" t="s">
        <v>544</v>
      </c>
      <c r="C203" s="24" t="s">
        <v>270</v>
      </c>
      <c r="D203" s="23" t="s">
        <v>164</v>
      </c>
      <c r="E203" s="23" t="s">
        <v>164</v>
      </c>
      <c r="F203" s="25" t="s">
        <v>725</v>
      </c>
      <c r="G203" s="26">
        <v>1135</v>
      </c>
      <c r="H203" s="23" t="s">
        <v>439</v>
      </c>
      <c r="I203" s="13" t="str">
        <f t="shared" si="96"/>
        <v>东海龙王</v>
      </c>
      <c r="J203" s="13">
        <v>3</v>
      </c>
      <c r="K203" s="13" t="str">
        <f t="shared" si="90"/>
        <v>海王戟+3</v>
      </c>
      <c r="L203" s="13" t="s">
        <v>438</v>
      </c>
      <c r="M203" s="13" t="str">
        <f t="shared" si="72"/>
        <v>["donghailongwang_wuqi02_01"]</v>
      </c>
      <c r="N203" s="13" t="str">
        <f t="shared" si="99"/>
        <v>["donghailongwang_sb4_wuqi02_01"]</v>
      </c>
      <c r="O203" s="13">
        <f t="shared" si="91"/>
        <v>1135</v>
      </c>
      <c r="R203" s="13">
        <v>2</v>
      </c>
      <c r="S203" s="13">
        <v>4</v>
      </c>
      <c r="T203" s="13" t="s">
        <v>135</v>
      </c>
      <c r="AB203" s="13">
        <v>4</v>
      </c>
      <c r="AC203" s="13">
        <f>INDEX($V$4:$Z$62,COUNTIFS($AB$1:$AB203,1),$AB203)</f>
        <v>11094</v>
      </c>
    </row>
    <row r="204" spans="1:29">
      <c r="A204" s="24">
        <v>11354</v>
      </c>
      <c r="B204" s="23" t="s">
        <v>544</v>
      </c>
      <c r="C204" s="24" t="s">
        <v>270</v>
      </c>
      <c r="D204" s="23" t="s">
        <v>164</v>
      </c>
      <c r="E204" s="23" t="s">
        <v>164</v>
      </c>
      <c r="F204" s="25" t="s">
        <v>725</v>
      </c>
      <c r="G204" s="26">
        <v>1135</v>
      </c>
      <c r="H204" s="23" t="s">
        <v>440</v>
      </c>
      <c r="I204" s="13" t="str">
        <f t="shared" si="96"/>
        <v>东海龙王</v>
      </c>
      <c r="J204" s="13">
        <v>4</v>
      </c>
      <c r="K204" s="13" t="str">
        <f t="shared" ref="K204:K205" si="100">IF(J204=0,$B204,B204&amp;"+"&amp;J204)</f>
        <v>海王戟+4</v>
      </c>
      <c r="L204" s="13" t="s">
        <v>439</v>
      </c>
      <c r="M204" s="13" t="str">
        <f t="shared" si="72"/>
        <v>["donghailongwang_wuqi02_01"]</v>
      </c>
      <c r="N204" s="13" t="str">
        <f t="shared" si="99"/>
        <v>["donghailongwang_sb4_wuqi02_01"]</v>
      </c>
      <c r="O204" s="13">
        <f t="shared" ref="O204:O205" si="101">INT(LEFT(A204,4))</f>
        <v>1135</v>
      </c>
      <c r="R204" s="13">
        <v>2</v>
      </c>
      <c r="S204" s="13">
        <v>4</v>
      </c>
      <c r="T204" s="13" t="s">
        <v>137</v>
      </c>
      <c r="AB204" s="13">
        <v>5</v>
      </c>
      <c r="AC204" s="13">
        <f>INDEX($V$4:$Z$62,COUNTIFS($AB$1:$AB204,1),$AB204)</f>
        <v>11095</v>
      </c>
    </row>
    <row r="205" spans="1:29">
      <c r="A205" s="24">
        <v>11355</v>
      </c>
      <c r="B205" s="23" t="s">
        <v>544</v>
      </c>
      <c r="C205" s="24" t="s">
        <v>270</v>
      </c>
      <c r="D205" s="23" t="s">
        <v>164</v>
      </c>
      <c r="E205" s="23" t="s">
        <v>164</v>
      </c>
      <c r="F205" s="25" t="s">
        <v>725</v>
      </c>
      <c r="G205" s="26">
        <v>1135</v>
      </c>
      <c r="H205" s="23" t="s">
        <v>440</v>
      </c>
      <c r="I205" s="13" t="str">
        <f t="shared" si="96"/>
        <v>东海龙王</v>
      </c>
      <c r="J205" s="13">
        <v>5</v>
      </c>
      <c r="K205" s="13" t="str">
        <f t="shared" si="100"/>
        <v>海王戟+5</v>
      </c>
      <c r="L205" s="13" t="s">
        <v>439</v>
      </c>
      <c r="M205" s="13" t="str">
        <f t="shared" si="72"/>
        <v>["donghailongwang_wuqi02_01"]</v>
      </c>
      <c r="N205" s="13" t="str">
        <f t="shared" si="99"/>
        <v>["donghailongwang_sb4_wuqi02_01"]</v>
      </c>
      <c r="O205" s="13">
        <f t="shared" si="101"/>
        <v>1135</v>
      </c>
      <c r="R205" s="13">
        <v>2</v>
      </c>
      <c r="S205" s="13">
        <v>4</v>
      </c>
      <c r="T205" s="13" t="s">
        <v>135</v>
      </c>
      <c r="AB205" s="13">
        <v>5</v>
      </c>
      <c r="AC205" s="13">
        <f>INDEX($V$4:$Z$62,COUNTIFS($AB$1:$AB205,1),$AB205)</f>
        <v>11095</v>
      </c>
    </row>
    <row r="206" spans="1:29">
      <c r="A206" s="24">
        <v>11356</v>
      </c>
      <c r="B206" s="23" t="s">
        <v>544</v>
      </c>
      <c r="C206" s="24" t="s">
        <v>270</v>
      </c>
      <c r="D206" s="23" t="s">
        <v>164</v>
      </c>
      <c r="E206" s="23" t="s">
        <v>164</v>
      </c>
      <c r="F206" s="25" t="s">
        <v>725</v>
      </c>
      <c r="G206" s="26">
        <v>1135</v>
      </c>
      <c r="H206" s="23" t="s">
        <v>440</v>
      </c>
      <c r="I206" s="13" t="str">
        <f t="shared" si="96"/>
        <v>东海龙王</v>
      </c>
      <c r="J206" s="13">
        <v>5</v>
      </c>
      <c r="K206" s="13" t="str">
        <f t="shared" si="90"/>
        <v>海王戟+5</v>
      </c>
      <c r="L206" s="13" t="s">
        <v>439</v>
      </c>
      <c r="M206" s="13" t="str">
        <f t="shared" si="72"/>
        <v>["donghailongwang_wuqi02_01"]</v>
      </c>
      <c r="N206" s="13" t="str">
        <f t="shared" si="99"/>
        <v>["donghailongwang_sb4_wuqi02_01"]</v>
      </c>
      <c r="O206" s="13">
        <f t="shared" si="91"/>
        <v>1135</v>
      </c>
      <c r="R206" s="13">
        <v>2</v>
      </c>
      <c r="S206" s="13">
        <v>4</v>
      </c>
      <c r="T206" s="13" t="s">
        <v>137</v>
      </c>
      <c r="AB206" s="13">
        <v>5</v>
      </c>
      <c r="AC206" s="13">
        <f>INDEX($V$4:$Z$62,COUNTIFS($AB$1:$AB206,1),$AB206)</f>
        <v>11095</v>
      </c>
    </row>
    <row r="207" spans="1:29">
      <c r="A207" s="33">
        <v>11320</v>
      </c>
      <c r="B207" s="34" t="s">
        <v>545</v>
      </c>
      <c r="C207" s="33" t="s">
        <v>271</v>
      </c>
      <c r="D207" s="34" t="s">
        <v>564</v>
      </c>
      <c r="E207" s="34" t="s">
        <v>564</v>
      </c>
      <c r="F207" s="34" t="s">
        <v>727</v>
      </c>
      <c r="G207" s="35">
        <v>1132</v>
      </c>
      <c r="H207" s="34" t="s">
        <v>441</v>
      </c>
      <c r="I207" s="13" t="str">
        <f t="shared" si="96"/>
        <v>混世魔王</v>
      </c>
      <c r="J207" s="13">
        <v>0</v>
      </c>
      <c r="K207" s="13" t="str">
        <f t="shared" si="90"/>
        <v>混世蛇矛</v>
      </c>
      <c r="L207" s="13" t="s">
        <v>545</v>
      </c>
      <c r="M207" s="13" t="str">
        <f t="shared" si="72"/>
        <v>["hunshimowang_wuqi01_01"]</v>
      </c>
      <c r="N207" s="13" t="s">
        <v>138</v>
      </c>
      <c r="O207" s="13">
        <f t="shared" si="91"/>
        <v>1132</v>
      </c>
      <c r="R207" s="13">
        <v>1</v>
      </c>
      <c r="S207" s="13">
        <v>1</v>
      </c>
      <c r="T207" s="13" t="s">
        <v>134</v>
      </c>
      <c r="AB207" s="13">
        <v>1</v>
      </c>
      <c r="AC207" s="13">
        <f>INDEX($V$4:$Z$62,COUNTIFS($AB$1:$AB207,1),$AB207)</f>
        <v>11111</v>
      </c>
    </row>
    <row r="208" spans="1:29">
      <c r="A208" s="33">
        <v>11321</v>
      </c>
      <c r="B208" s="34" t="s">
        <v>545</v>
      </c>
      <c r="C208" s="33" t="s">
        <v>272</v>
      </c>
      <c r="D208" s="34" t="s">
        <v>586</v>
      </c>
      <c r="E208" s="34" t="s">
        <v>586</v>
      </c>
      <c r="F208" s="34" t="s">
        <v>727</v>
      </c>
      <c r="G208" s="35">
        <v>1132</v>
      </c>
      <c r="H208" s="34" t="s">
        <v>442</v>
      </c>
      <c r="I208" s="13" t="str">
        <f t="shared" si="96"/>
        <v>混世魔王</v>
      </c>
      <c r="J208" s="13">
        <v>1</v>
      </c>
      <c r="K208" s="13" t="str">
        <f t="shared" si="90"/>
        <v>混世蛇矛+1</v>
      </c>
      <c r="L208" s="13" t="s">
        <v>441</v>
      </c>
      <c r="M208" s="13" t="str">
        <f t="shared" si="72"/>
        <v>["hunshimowang_wuqi02_01"]</v>
      </c>
      <c r="N208" s="13" t="str">
        <f t="shared" ref="N208:N213" si="102">"["&amp;$R$1&amp;SUBSTITUTE(VLOOKUP(O208,$U$77:$W$138,3,0),"_actor","")&amp;"_sb"&amp;S208&amp;"_wuqi0"&amp;T208&amp;$R$1&amp;"]"</f>
        <v>["hunshimowang_sb2_wuqi01_01"]</v>
      </c>
      <c r="O208" s="13">
        <f t="shared" si="91"/>
        <v>1132</v>
      </c>
      <c r="R208" s="13">
        <v>2</v>
      </c>
      <c r="S208" s="13">
        <v>2</v>
      </c>
      <c r="T208" s="13" t="s">
        <v>134</v>
      </c>
      <c r="AB208" s="13">
        <v>2</v>
      </c>
      <c r="AC208" s="13">
        <f>INDEX($V$4:$Z$62,COUNTIFS($AB$1:$AB208,1),$AB208)</f>
        <v>11112</v>
      </c>
    </row>
    <row r="209" spans="1:29">
      <c r="A209" s="33">
        <v>11322</v>
      </c>
      <c r="B209" s="34" t="s">
        <v>545</v>
      </c>
      <c r="C209" s="33" t="s">
        <v>272</v>
      </c>
      <c r="D209" s="34" t="s">
        <v>165</v>
      </c>
      <c r="E209" s="34" t="s">
        <v>165</v>
      </c>
      <c r="F209" s="34" t="s">
        <v>727</v>
      </c>
      <c r="G209" s="35">
        <v>1132</v>
      </c>
      <c r="H209" s="34" t="s">
        <v>443</v>
      </c>
      <c r="I209" s="13" t="str">
        <f t="shared" si="96"/>
        <v>混世魔王</v>
      </c>
      <c r="J209" s="13">
        <v>2</v>
      </c>
      <c r="K209" s="13" t="str">
        <f t="shared" si="90"/>
        <v>混世蛇矛+2</v>
      </c>
      <c r="L209" s="13" t="s">
        <v>442</v>
      </c>
      <c r="M209" s="13" t="str">
        <f t="shared" si="72"/>
        <v>["hunshimowang_wuqi02_01"]</v>
      </c>
      <c r="N209" s="13" t="str">
        <f t="shared" si="102"/>
        <v>["hunshimowang_sb3_wuqi02_01"]</v>
      </c>
      <c r="O209" s="13">
        <f t="shared" si="91"/>
        <v>1132</v>
      </c>
      <c r="R209" s="13">
        <v>2</v>
      </c>
      <c r="S209" s="13">
        <v>3</v>
      </c>
      <c r="T209" s="13" t="s">
        <v>135</v>
      </c>
      <c r="AB209" s="13">
        <v>3</v>
      </c>
      <c r="AC209" s="13">
        <f>INDEX($V$4:$Z$62,COUNTIFS($AB$1:$AB209,1),$AB209)</f>
        <v>11113</v>
      </c>
    </row>
    <row r="210" spans="1:29">
      <c r="A210" s="33">
        <v>11323</v>
      </c>
      <c r="B210" s="34" t="s">
        <v>545</v>
      </c>
      <c r="C210" s="33" t="s">
        <v>272</v>
      </c>
      <c r="D210" s="34" t="s">
        <v>728</v>
      </c>
      <c r="E210" s="34" t="s">
        <v>728</v>
      </c>
      <c r="F210" s="34" t="s">
        <v>727</v>
      </c>
      <c r="G210" s="35">
        <v>1132</v>
      </c>
      <c r="H210" s="34" t="s">
        <v>444</v>
      </c>
      <c r="I210" s="13" t="str">
        <f t="shared" si="96"/>
        <v>混世魔王</v>
      </c>
      <c r="J210" s="13">
        <v>3</v>
      </c>
      <c r="K210" s="13" t="str">
        <f t="shared" si="90"/>
        <v>混世蛇矛+3</v>
      </c>
      <c r="L210" s="13" t="s">
        <v>443</v>
      </c>
      <c r="M210" s="13" t="str">
        <f t="shared" si="72"/>
        <v>["hunshimowang_wuqi02_01"]</v>
      </c>
      <c r="N210" s="13" t="str">
        <f t="shared" si="102"/>
        <v>["hunshimowang_sb4_wuqi02_01"]</v>
      </c>
      <c r="O210" s="13">
        <f t="shared" si="91"/>
        <v>1132</v>
      </c>
      <c r="R210" s="13">
        <v>2</v>
      </c>
      <c r="S210" s="13">
        <v>4</v>
      </c>
      <c r="T210" s="13" t="s">
        <v>135</v>
      </c>
      <c r="AB210" s="13">
        <v>4</v>
      </c>
      <c r="AC210" s="13">
        <f>INDEX($V$4:$Z$62,COUNTIFS($AB$1:$AB210,1),$AB210)</f>
        <v>11114</v>
      </c>
    </row>
    <row r="211" spans="1:29">
      <c r="A211" s="33">
        <v>11324</v>
      </c>
      <c r="B211" s="34" t="s">
        <v>545</v>
      </c>
      <c r="C211" s="33" t="s">
        <v>272</v>
      </c>
      <c r="D211" s="34" t="s">
        <v>729</v>
      </c>
      <c r="E211" s="34" t="s">
        <v>729</v>
      </c>
      <c r="F211" s="34" t="s">
        <v>727</v>
      </c>
      <c r="G211" s="35">
        <v>1132</v>
      </c>
      <c r="H211" s="34" t="s">
        <v>445</v>
      </c>
      <c r="I211" s="13" t="str">
        <f t="shared" si="96"/>
        <v>混世魔王</v>
      </c>
      <c r="J211" s="13">
        <v>4</v>
      </c>
      <c r="K211" s="13" t="str">
        <f t="shared" ref="K211:K212" si="103">IF(J211=0,$B211,B211&amp;"+"&amp;J211)</f>
        <v>混世蛇矛+4</v>
      </c>
      <c r="L211" s="13" t="s">
        <v>444</v>
      </c>
      <c r="M211" s="13" t="str">
        <f t="shared" ref="M211:M274" si="104">"["&amp;$R$1&amp;SUBSTITUTE(VLOOKUP(INT(LEFT(A211,4)),$U$77:$W$138,3,0),"_actor","")&amp;"_wuqi0"&amp;R211&amp;"_01"&amp;$R$1&amp;"]"</f>
        <v>["hunshimowang_wuqi02_01"]</v>
      </c>
      <c r="N211" s="13" t="str">
        <f t="shared" si="102"/>
        <v>["hunshimowang_sb4_wuqi02_01"]</v>
      </c>
      <c r="O211" s="13">
        <f t="shared" ref="O211:O212" si="105">INT(LEFT(A211,4))</f>
        <v>1132</v>
      </c>
      <c r="R211" s="13">
        <v>2</v>
      </c>
      <c r="S211" s="13">
        <v>4</v>
      </c>
      <c r="T211" s="13" t="s">
        <v>137</v>
      </c>
      <c r="AB211" s="13">
        <v>5</v>
      </c>
      <c r="AC211" s="13">
        <f>INDEX($V$4:$Z$62,COUNTIFS($AB$1:$AB211,1),$AB211)</f>
        <v>11115</v>
      </c>
    </row>
    <row r="212" spans="1:29">
      <c r="A212" s="33">
        <v>11325</v>
      </c>
      <c r="B212" s="34" t="s">
        <v>545</v>
      </c>
      <c r="C212" s="33" t="s">
        <v>272</v>
      </c>
      <c r="D212" s="34" t="s">
        <v>729</v>
      </c>
      <c r="E212" s="34" t="s">
        <v>729</v>
      </c>
      <c r="F212" s="34" t="s">
        <v>727</v>
      </c>
      <c r="G212" s="35">
        <v>1132</v>
      </c>
      <c r="H212" s="34" t="s">
        <v>445</v>
      </c>
      <c r="I212" s="13" t="str">
        <f t="shared" si="96"/>
        <v>混世魔王</v>
      </c>
      <c r="J212" s="13">
        <v>5</v>
      </c>
      <c r="K212" s="13" t="str">
        <f t="shared" si="103"/>
        <v>混世蛇矛+5</v>
      </c>
      <c r="L212" s="13" t="s">
        <v>444</v>
      </c>
      <c r="M212" s="13" t="str">
        <f t="shared" si="104"/>
        <v>["hunshimowang_wuqi02_01"]</v>
      </c>
      <c r="N212" s="13" t="str">
        <f t="shared" si="102"/>
        <v>["hunshimowang_sb4_wuqi02_01"]</v>
      </c>
      <c r="O212" s="13">
        <f t="shared" si="105"/>
        <v>1132</v>
      </c>
      <c r="R212" s="13">
        <v>2</v>
      </c>
      <c r="S212" s="13">
        <v>4</v>
      </c>
      <c r="T212" s="13" t="s">
        <v>135</v>
      </c>
      <c r="AB212" s="13">
        <v>5</v>
      </c>
      <c r="AC212" s="13">
        <f>INDEX($V$4:$Z$62,COUNTIFS($AB$1:$AB212,1),$AB212)</f>
        <v>11115</v>
      </c>
    </row>
    <row r="213" spans="1:29">
      <c r="A213" s="33">
        <v>11326</v>
      </c>
      <c r="B213" s="34" t="s">
        <v>545</v>
      </c>
      <c r="C213" s="33" t="s">
        <v>272</v>
      </c>
      <c r="D213" s="34" t="s">
        <v>729</v>
      </c>
      <c r="E213" s="34" t="s">
        <v>729</v>
      </c>
      <c r="F213" s="34" t="s">
        <v>727</v>
      </c>
      <c r="G213" s="35">
        <v>1132</v>
      </c>
      <c r="H213" s="34" t="s">
        <v>445</v>
      </c>
      <c r="I213" s="13" t="str">
        <f t="shared" si="96"/>
        <v>混世魔王</v>
      </c>
      <c r="J213" s="13">
        <v>5</v>
      </c>
      <c r="K213" s="13" t="str">
        <f t="shared" si="90"/>
        <v>混世蛇矛+5</v>
      </c>
      <c r="L213" s="13" t="s">
        <v>444</v>
      </c>
      <c r="M213" s="13" t="str">
        <f t="shared" si="104"/>
        <v>["hunshimowang_wuqi02_01"]</v>
      </c>
      <c r="N213" s="13" t="str">
        <f t="shared" si="102"/>
        <v>["hunshimowang_sb4_wuqi02_01"]</v>
      </c>
      <c r="O213" s="13">
        <f t="shared" si="91"/>
        <v>1132</v>
      </c>
      <c r="R213" s="13">
        <v>2</v>
      </c>
      <c r="S213" s="13">
        <v>4</v>
      </c>
      <c r="T213" s="13" t="s">
        <v>137</v>
      </c>
      <c r="AB213" s="13">
        <v>5</v>
      </c>
      <c r="AC213" s="13">
        <f>INDEX($V$4:$Z$62,COUNTIFS($AB$1:$AB213,1),$AB213)</f>
        <v>11115</v>
      </c>
    </row>
    <row r="214" spans="1:29">
      <c r="A214" s="24">
        <v>11250</v>
      </c>
      <c r="B214" s="23" t="s">
        <v>546</v>
      </c>
      <c r="C214" s="24" t="s">
        <v>220</v>
      </c>
      <c r="D214" s="23" t="s">
        <v>572</v>
      </c>
      <c r="E214" s="23" t="s">
        <v>572</v>
      </c>
      <c r="F214" s="25" t="s">
        <v>730</v>
      </c>
      <c r="G214" s="26">
        <v>1125</v>
      </c>
      <c r="H214" s="23" t="s">
        <v>446</v>
      </c>
      <c r="I214" s="13" t="str">
        <f t="shared" si="96"/>
        <v>迦叶</v>
      </c>
      <c r="J214" s="13">
        <v>0</v>
      </c>
      <c r="K214" s="13" t="str">
        <f t="shared" si="90"/>
        <v>流星拳</v>
      </c>
      <c r="L214" s="13" t="s">
        <v>546</v>
      </c>
      <c r="M214" s="13" t="str">
        <f t="shared" si="104"/>
        <v>["jiaye_wuqi01_01"]</v>
      </c>
      <c r="N214" s="13" t="s">
        <v>138</v>
      </c>
      <c r="O214" s="13">
        <f t="shared" si="91"/>
        <v>1125</v>
      </c>
      <c r="R214" s="13">
        <v>1</v>
      </c>
      <c r="S214" s="13">
        <v>1</v>
      </c>
      <c r="T214" s="13" t="s">
        <v>134</v>
      </c>
      <c r="AB214" s="13">
        <v>1</v>
      </c>
      <c r="AC214" s="13">
        <f>INDEX($V$4:$Z$62,COUNTIFS($AB$1:$AB214,1),$AB214)</f>
        <v>11161</v>
      </c>
    </row>
    <row r="215" spans="1:29">
      <c r="A215" s="24">
        <v>11251</v>
      </c>
      <c r="B215" s="23" t="s">
        <v>546</v>
      </c>
      <c r="C215" s="24" t="s">
        <v>221</v>
      </c>
      <c r="D215" s="23" t="s">
        <v>731</v>
      </c>
      <c r="E215" s="23" t="s">
        <v>731</v>
      </c>
      <c r="F215" s="25" t="s">
        <v>730</v>
      </c>
      <c r="G215" s="26">
        <v>1125</v>
      </c>
      <c r="H215" s="23" t="s">
        <v>447</v>
      </c>
      <c r="I215" s="13" t="str">
        <f t="shared" si="96"/>
        <v>迦叶</v>
      </c>
      <c r="J215" s="13">
        <v>1</v>
      </c>
      <c r="K215" s="13" t="str">
        <f t="shared" si="90"/>
        <v>流星拳+1</v>
      </c>
      <c r="L215" s="13" t="s">
        <v>446</v>
      </c>
      <c r="M215" s="13" t="str">
        <f t="shared" si="104"/>
        <v>["jiaye_wuqi02_01"]</v>
      </c>
      <c r="N215" s="13" t="str">
        <f t="shared" ref="N215:N220" si="106">"["&amp;$R$1&amp;SUBSTITUTE(VLOOKUP(O215,$U$77:$W$138,3,0),"_actor","")&amp;"_sb"&amp;S215&amp;"_wuqi0"&amp;T215&amp;$R$1&amp;"]"</f>
        <v>["jiaye_sb2_wuqi01_01"]</v>
      </c>
      <c r="O215" s="13">
        <f t="shared" si="91"/>
        <v>1125</v>
      </c>
      <c r="R215" s="13">
        <v>2</v>
      </c>
      <c r="S215" s="13">
        <v>2</v>
      </c>
      <c r="T215" s="13" t="s">
        <v>134</v>
      </c>
      <c r="AB215" s="13">
        <v>2</v>
      </c>
      <c r="AC215" s="13">
        <f>INDEX($V$4:$Z$62,COUNTIFS($AB$1:$AB215,1),$AB215)</f>
        <v>11162</v>
      </c>
    </row>
    <row r="216" spans="1:29">
      <c r="A216" s="24">
        <v>11252</v>
      </c>
      <c r="B216" s="23" t="s">
        <v>546</v>
      </c>
      <c r="C216" s="24" t="s">
        <v>221</v>
      </c>
      <c r="D216" s="23" t="s">
        <v>587</v>
      </c>
      <c r="E216" s="23" t="s">
        <v>587</v>
      </c>
      <c r="F216" s="25" t="s">
        <v>730</v>
      </c>
      <c r="G216" s="26">
        <v>1125</v>
      </c>
      <c r="H216" s="23" t="s">
        <v>448</v>
      </c>
      <c r="I216" s="13" t="str">
        <f t="shared" si="96"/>
        <v>迦叶</v>
      </c>
      <c r="J216" s="13">
        <v>2</v>
      </c>
      <c r="K216" s="13" t="str">
        <f t="shared" si="90"/>
        <v>流星拳+2</v>
      </c>
      <c r="L216" s="13" t="s">
        <v>447</v>
      </c>
      <c r="M216" s="13" t="str">
        <f t="shared" si="104"/>
        <v>["jiaye_wuqi02_01"]</v>
      </c>
      <c r="N216" s="13" t="str">
        <f t="shared" si="106"/>
        <v>["jiaye_sb3_wuqi02_01"]</v>
      </c>
      <c r="O216" s="13">
        <f t="shared" si="91"/>
        <v>1125</v>
      </c>
      <c r="R216" s="13">
        <v>2</v>
      </c>
      <c r="S216" s="13">
        <v>3</v>
      </c>
      <c r="T216" s="13" t="s">
        <v>135</v>
      </c>
      <c r="AB216" s="13">
        <v>3</v>
      </c>
      <c r="AC216" s="13">
        <f>INDEX($V$4:$Z$62,COUNTIFS($AB$1:$AB216,1),$AB216)</f>
        <v>11163</v>
      </c>
    </row>
    <row r="217" spans="1:29">
      <c r="A217" s="24">
        <v>11253</v>
      </c>
      <c r="B217" s="23" t="s">
        <v>546</v>
      </c>
      <c r="C217" s="24" t="s">
        <v>221</v>
      </c>
      <c r="D217" s="23" t="s">
        <v>222</v>
      </c>
      <c r="E217" s="23" t="s">
        <v>222</v>
      </c>
      <c r="F217" s="25" t="s">
        <v>730</v>
      </c>
      <c r="G217" s="26">
        <v>1125</v>
      </c>
      <c r="H217" s="23" t="s">
        <v>449</v>
      </c>
      <c r="I217" s="13" t="str">
        <f t="shared" si="96"/>
        <v>迦叶</v>
      </c>
      <c r="J217" s="13">
        <v>3</v>
      </c>
      <c r="K217" s="13" t="str">
        <f t="shared" si="90"/>
        <v>流星拳+3</v>
      </c>
      <c r="L217" s="13" t="s">
        <v>448</v>
      </c>
      <c r="M217" s="13" t="str">
        <f t="shared" si="104"/>
        <v>["jiaye_wuqi02_01"]</v>
      </c>
      <c r="N217" s="13" t="str">
        <f t="shared" si="106"/>
        <v>["jiaye_sb4_wuqi02_01"]</v>
      </c>
      <c r="O217" s="13">
        <f t="shared" si="91"/>
        <v>1125</v>
      </c>
      <c r="R217" s="13">
        <v>2</v>
      </c>
      <c r="S217" s="13">
        <v>4</v>
      </c>
      <c r="T217" s="13" t="s">
        <v>135</v>
      </c>
      <c r="AB217" s="13">
        <v>4</v>
      </c>
      <c r="AC217" s="13">
        <f>INDEX($V$4:$Z$62,COUNTIFS($AB$1:$AB217,1),$AB217)</f>
        <v>11164</v>
      </c>
    </row>
    <row r="218" spans="1:29">
      <c r="A218" s="24">
        <v>11254</v>
      </c>
      <c r="B218" s="23" t="s">
        <v>546</v>
      </c>
      <c r="C218" s="24" t="s">
        <v>221</v>
      </c>
      <c r="D218" s="23" t="s">
        <v>222</v>
      </c>
      <c r="E218" s="23" t="s">
        <v>222</v>
      </c>
      <c r="F218" s="25" t="s">
        <v>730</v>
      </c>
      <c r="G218" s="26">
        <v>1125</v>
      </c>
      <c r="H218" s="23" t="s">
        <v>450</v>
      </c>
      <c r="I218" s="13" t="str">
        <f t="shared" si="96"/>
        <v>迦叶</v>
      </c>
      <c r="J218" s="13">
        <v>4</v>
      </c>
      <c r="K218" s="13" t="str">
        <f t="shared" ref="K218:K219" si="107">IF(J218=0,$B218,B218&amp;"+"&amp;J218)</f>
        <v>流星拳+4</v>
      </c>
      <c r="L218" s="13" t="s">
        <v>449</v>
      </c>
      <c r="M218" s="13" t="str">
        <f t="shared" si="104"/>
        <v>["jiaye_wuqi02_01"]</v>
      </c>
      <c r="N218" s="13" t="str">
        <f t="shared" si="106"/>
        <v>["jiaye_sb4_wuqi02_01"]</v>
      </c>
      <c r="O218" s="13">
        <f t="shared" ref="O218:O219" si="108">INT(LEFT(A218,4))</f>
        <v>1125</v>
      </c>
      <c r="R218" s="13">
        <v>2</v>
      </c>
      <c r="S218" s="13">
        <v>4</v>
      </c>
      <c r="T218" s="13" t="s">
        <v>137</v>
      </c>
      <c r="AB218" s="13">
        <v>5</v>
      </c>
      <c r="AC218" s="13">
        <f>INDEX($V$4:$Z$62,COUNTIFS($AB$1:$AB218,1),$AB218)</f>
        <v>11165</v>
      </c>
    </row>
    <row r="219" spans="1:29">
      <c r="A219" s="24">
        <v>11255</v>
      </c>
      <c r="B219" s="23" t="s">
        <v>546</v>
      </c>
      <c r="C219" s="24" t="s">
        <v>221</v>
      </c>
      <c r="D219" s="23" t="s">
        <v>222</v>
      </c>
      <c r="E219" s="23" t="s">
        <v>222</v>
      </c>
      <c r="F219" s="25" t="s">
        <v>730</v>
      </c>
      <c r="G219" s="26">
        <v>1125</v>
      </c>
      <c r="H219" s="23" t="s">
        <v>450</v>
      </c>
      <c r="I219" s="13" t="str">
        <f t="shared" si="96"/>
        <v>迦叶</v>
      </c>
      <c r="J219" s="13">
        <v>5</v>
      </c>
      <c r="K219" s="13" t="str">
        <f t="shared" si="107"/>
        <v>流星拳+5</v>
      </c>
      <c r="L219" s="13" t="s">
        <v>449</v>
      </c>
      <c r="M219" s="13" t="str">
        <f t="shared" si="104"/>
        <v>["jiaye_wuqi02_01"]</v>
      </c>
      <c r="N219" s="13" t="str">
        <f t="shared" si="106"/>
        <v>["jiaye_sb4_wuqi02_01"]</v>
      </c>
      <c r="O219" s="13">
        <f t="shared" si="108"/>
        <v>1125</v>
      </c>
      <c r="R219" s="13">
        <v>2</v>
      </c>
      <c r="S219" s="13">
        <v>4</v>
      </c>
      <c r="T219" s="13" t="s">
        <v>135</v>
      </c>
      <c r="AB219" s="13">
        <v>5</v>
      </c>
      <c r="AC219" s="13">
        <f>INDEX($V$4:$Z$62,COUNTIFS($AB$1:$AB219,1),$AB219)</f>
        <v>11165</v>
      </c>
    </row>
    <row r="220" spans="1:29">
      <c r="A220" s="24">
        <v>11256</v>
      </c>
      <c r="B220" s="23" t="s">
        <v>546</v>
      </c>
      <c r="C220" s="24" t="s">
        <v>221</v>
      </c>
      <c r="D220" s="23" t="s">
        <v>222</v>
      </c>
      <c r="E220" s="23" t="s">
        <v>222</v>
      </c>
      <c r="F220" s="25" t="s">
        <v>730</v>
      </c>
      <c r="G220" s="26">
        <v>1125</v>
      </c>
      <c r="H220" s="23" t="s">
        <v>450</v>
      </c>
      <c r="I220" s="13" t="str">
        <f t="shared" si="96"/>
        <v>迦叶</v>
      </c>
      <c r="J220" s="13">
        <v>5</v>
      </c>
      <c r="K220" s="13" t="str">
        <f t="shared" si="90"/>
        <v>流星拳+5</v>
      </c>
      <c r="L220" s="13" t="s">
        <v>449</v>
      </c>
      <c r="M220" s="13" t="str">
        <f t="shared" si="104"/>
        <v>["jiaye_wuqi02_01"]</v>
      </c>
      <c r="N220" s="13" t="str">
        <f t="shared" si="106"/>
        <v>["jiaye_sb4_wuqi02_01"]</v>
      </c>
      <c r="O220" s="13">
        <f t="shared" si="91"/>
        <v>1125</v>
      </c>
      <c r="R220" s="13">
        <v>2</v>
      </c>
      <c r="S220" s="13">
        <v>4</v>
      </c>
      <c r="T220" s="13" t="s">
        <v>137</v>
      </c>
      <c r="AB220" s="13">
        <v>5</v>
      </c>
      <c r="AC220" s="13">
        <f>INDEX($V$4:$Z$62,COUNTIFS($AB$1:$AB220,1),$AB220)</f>
        <v>11165</v>
      </c>
    </row>
    <row r="221" spans="1:29">
      <c r="A221" s="33">
        <v>12020</v>
      </c>
      <c r="B221" s="34" t="s">
        <v>547</v>
      </c>
      <c r="C221" s="33" t="s">
        <v>273</v>
      </c>
      <c r="D221" s="34" t="s">
        <v>564</v>
      </c>
      <c r="E221" s="34" t="s">
        <v>564</v>
      </c>
      <c r="F221" s="34" t="s">
        <v>732</v>
      </c>
      <c r="G221" s="35">
        <v>1202</v>
      </c>
      <c r="H221" s="34" t="s">
        <v>451</v>
      </c>
      <c r="I221" s="13" t="str">
        <f t="shared" si="96"/>
        <v>人参娃</v>
      </c>
      <c r="J221" s="13">
        <v>0</v>
      </c>
      <c r="K221" s="13" t="str">
        <f t="shared" si="90"/>
        <v>人参糖葫芦</v>
      </c>
      <c r="L221" s="13" t="s">
        <v>547</v>
      </c>
      <c r="M221" s="13" t="str">
        <f t="shared" si="104"/>
        <v>["renshenwa_wuqi01_01"]</v>
      </c>
      <c r="N221" s="13" t="s">
        <v>138</v>
      </c>
      <c r="O221" s="13">
        <f t="shared" si="91"/>
        <v>1202</v>
      </c>
      <c r="R221" s="13">
        <v>1</v>
      </c>
      <c r="S221" s="13">
        <v>1</v>
      </c>
      <c r="T221" s="13" t="s">
        <v>134</v>
      </c>
      <c r="AB221" s="13">
        <v>1</v>
      </c>
      <c r="AC221" s="13">
        <f>INDEX($V$4:$Z$62,COUNTIFS($AB$1:$AB221,1),$AB221)</f>
        <v>11211</v>
      </c>
    </row>
    <row r="222" spans="1:29">
      <c r="A222" s="33">
        <v>12021</v>
      </c>
      <c r="B222" s="34" t="s">
        <v>547</v>
      </c>
      <c r="C222" s="33" t="s">
        <v>274</v>
      </c>
      <c r="D222" s="34" t="s">
        <v>588</v>
      </c>
      <c r="E222" s="34" t="s">
        <v>588</v>
      </c>
      <c r="F222" s="34" t="s">
        <v>732</v>
      </c>
      <c r="G222" s="35">
        <v>1202</v>
      </c>
      <c r="H222" s="34" t="s">
        <v>452</v>
      </c>
      <c r="I222" s="13" t="str">
        <f t="shared" si="96"/>
        <v>人参娃</v>
      </c>
      <c r="J222" s="13">
        <v>1</v>
      </c>
      <c r="K222" s="13" t="str">
        <f t="shared" si="90"/>
        <v>人参糖葫芦+1</v>
      </c>
      <c r="L222" s="13" t="s">
        <v>451</v>
      </c>
      <c r="M222" s="13" t="str">
        <f t="shared" si="104"/>
        <v>["renshenwa_wuqi02_01"]</v>
      </c>
      <c r="N222" s="13" t="str">
        <f t="shared" ref="N222:N227" si="109">"["&amp;$R$1&amp;SUBSTITUTE(VLOOKUP(O222,$U$77:$W$138,3,0),"_actor","")&amp;"_sb"&amp;S222&amp;"_wuqi0"&amp;T222&amp;$R$1&amp;"]"</f>
        <v>["renshenwa_sb2_wuqi01_01"]</v>
      </c>
      <c r="O222" s="13">
        <f t="shared" si="91"/>
        <v>1202</v>
      </c>
      <c r="R222" s="13">
        <v>2</v>
      </c>
      <c r="S222" s="13">
        <v>2</v>
      </c>
      <c r="T222" s="13" t="s">
        <v>134</v>
      </c>
      <c r="AB222" s="13">
        <v>2</v>
      </c>
      <c r="AC222" s="13">
        <f>INDEX($V$4:$Z$62,COUNTIFS($AB$1:$AB222,1),$AB222)</f>
        <v>11212</v>
      </c>
    </row>
    <row r="223" spans="1:29">
      <c r="A223" s="33">
        <v>12022</v>
      </c>
      <c r="B223" s="34" t="s">
        <v>547</v>
      </c>
      <c r="C223" s="33" t="s">
        <v>274</v>
      </c>
      <c r="D223" s="34" t="s">
        <v>166</v>
      </c>
      <c r="E223" s="34" t="s">
        <v>166</v>
      </c>
      <c r="F223" s="34" t="s">
        <v>732</v>
      </c>
      <c r="G223" s="35">
        <v>1202</v>
      </c>
      <c r="H223" s="34" t="s">
        <v>453</v>
      </c>
      <c r="I223" s="13" t="str">
        <f t="shared" si="96"/>
        <v>人参娃</v>
      </c>
      <c r="J223" s="13">
        <v>2</v>
      </c>
      <c r="K223" s="13" t="str">
        <f t="shared" si="90"/>
        <v>人参糖葫芦+2</v>
      </c>
      <c r="L223" s="13" t="s">
        <v>452</v>
      </c>
      <c r="M223" s="13" t="str">
        <f t="shared" si="104"/>
        <v>["renshenwa_wuqi02_01"]</v>
      </c>
      <c r="N223" s="13" t="str">
        <f t="shared" si="109"/>
        <v>["renshenwa_sb3_wuqi02_01"]</v>
      </c>
      <c r="O223" s="13">
        <f t="shared" si="91"/>
        <v>1202</v>
      </c>
      <c r="R223" s="13">
        <v>2</v>
      </c>
      <c r="S223" s="13">
        <v>3</v>
      </c>
      <c r="T223" s="13" t="s">
        <v>135</v>
      </c>
      <c r="AB223" s="13">
        <v>3</v>
      </c>
      <c r="AC223" s="13">
        <f>INDEX($V$4:$Z$62,COUNTIFS($AB$1:$AB223,1),$AB223)</f>
        <v>11213</v>
      </c>
    </row>
    <row r="224" spans="1:29">
      <c r="A224" s="33">
        <v>12023</v>
      </c>
      <c r="B224" s="34" t="s">
        <v>547</v>
      </c>
      <c r="C224" s="33" t="s">
        <v>274</v>
      </c>
      <c r="D224" s="34" t="s">
        <v>733</v>
      </c>
      <c r="E224" s="34" t="s">
        <v>733</v>
      </c>
      <c r="F224" s="34" t="s">
        <v>732</v>
      </c>
      <c r="G224" s="35">
        <v>1202</v>
      </c>
      <c r="H224" s="34" t="s">
        <v>454</v>
      </c>
      <c r="I224" s="13" t="str">
        <f t="shared" si="96"/>
        <v>人参娃</v>
      </c>
      <c r="J224" s="13">
        <v>3</v>
      </c>
      <c r="K224" s="13" t="str">
        <f t="shared" si="90"/>
        <v>人参糖葫芦+3</v>
      </c>
      <c r="L224" s="13" t="s">
        <v>453</v>
      </c>
      <c r="M224" s="13" t="str">
        <f t="shared" si="104"/>
        <v>["renshenwa_wuqi02_01"]</v>
      </c>
      <c r="N224" s="13" t="str">
        <f t="shared" si="109"/>
        <v>["renshenwa_sb4_wuqi02_01"]</v>
      </c>
      <c r="O224" s="13">
        <f t="shared" si="91"/>
        <v>1202</v>
      </c>
      <c r="R224" s="13">
        <v>2</v>
      </c>
      <c r="S224" s="13">
        <v>4</v>
      </c>
      <c r="T224" s="13" t="s">
        <v>135</v>
      </c>
      <c r="AB224" s="13">
        <v>4</v>
      </c>
      <c r="AC224" s="13">
        <f>INDEX($V$4:$Z$62,COUNTIFS($AB$1:$AB224,1),$AB224)</f>
        <v>11214</v>
      </c>
    </row>
    <row r="225" spans="1:29">
      <c r="A225" s="33">
        <v>12024</v>
      </c>
      <c r="B225" s="34" t="s">
        <v>547</v>
      </c>
      <c r="C225" s="33" t="s">
        <v>274</v>
      </c>
      <c r="D225" s="34" t="s">
        <v>734</v>
      </c>
      <c r="E225" s="34" t="s">
        <v>734</v>
      </c>
      <c r="F225" s="34" t="s">
        <v>732</v>
      </c>
      <c r="G225" s="35">
        <v>1202</v>
      </c>
      <c r="H225" s="34" t="s">
        <v>455</v>
      </c>
      <c r="I225" s="13" t="str">
        <f t="shared" si="96"/>
        <v>人参娃</v>
      </c>
      <c r="J225" s="13">
        <v>4</v>
      </c>
      <c r="K225" s="13" t="str">
        <f t="shared" ref="K225:K226" si="110">IF(J225=0,$B225,B225&amp;"+"&amp;J225)</f>
        <v>人参糖葫芦+4</v>
      </c>
      <c r="L225" s="13" t="s">
        <v>454</v>
      </c>
      <c r="M225" s="13" t="str">
        <f t="shared" si="104"/>
        <v>["renshenwa_wuqi02_01"]</v>
      </c>
      <c r="N225" s="13" t="str">
        <f t="shared" si="109"/>
        <v>["renshenwa_sb4_wuqi02_01"]</v>
      </c>
      <c r="O225" s="13">
        <f t="shared" ref="O225:O226" si="111">INT(LEFT(A225,4))</f>
        <v>1202</v>
      </c>
      <c r="R225" s="13">
        <v>2</v>
      </c>
      <c r="S225" s="13">
        <v>4</v>
      </c>
      <c r="T225" s="13" t="s">
        <v>137</v>
      </c>
      <c r="AB225" s="13">
        <v>5</v>
      </c>
      <c r="AC225" s="13">
        <f>INDEX($V$4:$Z$62,COUNTIFS($AB$1:$AB225,1),$AB225)</f>
        <v>11215</v>
      </c>
    </row>
    <row r="226" spans="1:29">
      <c r="A226" s="33">
        <v>12025</v>
      </c>
      <c r="B226" s="34" t="s">
        <v>547</v>
      </c>
      <c r="C226" s="33" t="s">
        <v>274</v>
      </c>
      <c r="D226" s="34" t="s">
        <v>734</v>
      </c>
      <c r="E226" s="34" t="s">
        <v>734</v>
      </c>
      <c r="F226" s="34" t="s">
        <v>732</v>
      </c>
      <c r="G226" s="35">
        <v>1202</v>
      </c>
      <c r="H226" s="34" t="s">
        <v>455</v>
      </c>
      <c r="I226" s="13" t="str">
        <f t="shared" si="96"/>
        <v>人参娃</v>
      </c>
      <c r="J226" s="13">
        <v>5</v>
      </c>
      <c r="K226" s="13" t="str">
        <f t="shared" si="110"/>
        <v>人参糖葫芦+5</v>
      </c>
      <c r="L226" s="13" t="s">
        <v>454</v>
      </c>
      <c r="M226" s="13" t="str">
        <f t="shared" si="104"/>
        <v>["renshenwa_wuqi02_01"]</v>
      </c>
      <c r="N226" s="13" t="str">
        <f t="shared" si="109"/>
        <v>["renshenwa_sb4_wuqi02_01"]</v>
      </c>
      <c r="O226" s="13">
        <f t="shared" si="111"/>
        <v>1202</v>
      </c>
      <c r="R226" s="13">
        <v>2</v>
      </c>
      <c r="S226" s="13">
        <v>4</v>
      </c>
      <c r="T226" s="13" t="s">
        <v>135</v>
      </c>
      <c r="AB226" s="13">
        <v>5</v>
      </c>
      <c r="AC226" s="13">
        <f>INDEX($V$4:$Z$62,COUNTIFS($AB$1:$AB226,1),$AB226)</f>
        <v>11215</v>
      </c>
    </row>
    <row r="227" spans="1:29">
      <c r="A227" s="33">
        <v>12026</v>
      </c>
      <c r="B227" s="34" t="s">
        <v>547</v>
      </c>
      <c r="C227" s="33" t="s">
        <v>274</v>
      </c>
      <c r="D227" s="34" t="s">
        <v>734</v>
      </c>
      <c r="E227" s="34" t="s">
        <v>734</v>
      </c>
      <c r="F227" s="34" t="s">
        <v>732</v>
      </c>
      <c r="G227" s="35">
        <v>1202</v>
      </c>
      <c r="H227" s="34" t="s">
        <v>455</v>
      </c>
      <c r="I227" s="13" t="str">
        <f t="shared" si="96"/>
        <v>人参娃</v>
      </c>
      <c r="J227" s="13">
        <v>5</v>
      </c>
      <c r="K227" s="13" t="str">
        <f t="shared" si="90"/>
        <v>人参糖葫芦+5</v>
      </c>
      <c r="L227" s="13" t="s">
        <v>454</v>
      </c>
      <c r="M227" s="13" t="str">
        <f t="shared" si="104"/>
        <v>["renshenwa_wuqi02_01"]</v>
      </c>
      <c r="N227" s="13" t="str">
        <f t="shared" si="109"/>
        <v>["renshenwa_sb4_wuqi02_01"]</v>
      </c>
      <c r="O227" s="13">
        <f t="shared" si="91"/>
        <v>1202</v>
      </c>
      <c r="R227" s="13">
        <v>2</v>
      </c>
      <c r="S227" s="13">
        <v>4</v>
      </c>
      <c r="T227" s="13" t="s">
        <v>137</v>
      </c>
      <c r="AB227" s="13">
        <v>5</v>
      </c>
      <c r="AC227" s="13">
        <f>INDEX($V$4:$Z$62,COUNTIFS($AB$1:$AB227,1),$AB227)</f>
        <v>11215</v>
      </c>
    </row>
    <row r="228" spans="1:29">
      <c r="A228" s="24">
        <v>11230</v>
      </c>
      <c r="B228" s="23" t="s">
        <v>548</v>
      </c>
      <c r="C228" s="24" t="s">
        <v>275</v>
      </c>
      <c r="D228" s="23" t="s">
        <v>572</v>
      </c>
      <c r="E228" s="23" t="s">
        <v>572</v>
      </c>
      <c r="F228" s="25" t="s">
        <v>735</v>
      </c>
      <c r="G228" s="26">
        <v>1123</v>
      </c>
      <c r="H228" s="23" t="s">
        <v>456</v>
      </c>
      <c r="I228" s="13" t="str">
        <f t="shared" si="96"/>
        <v>小白龙</v>
      </c>
      <c r="J228" s="13">
        <v>0</v>
      </c>
      <c r="K228" s="13" t="str">
        <f t="shared" si="90"/>
        <v>逆流白龙吟</v>
      </c>
      <c r="L228" s="13" t="s">
        <v>548</v>
      </c>
      <c r="M228" s="13" t="str">
        <f t="shared" si="104"/>
        <v>["xiaobailong_wuqi01_01"]</v>
      </c>
      <c r="N228" s="13" t="s">
        <v>138</v>
      </c>
      <c r="O228" s="13">
        <f t="shared" si="91"/>
        <v>1123</v>
      </c>
      <c r="R228" s="13">
        <v>1</v>
      </c>
      <c r="S228" s="13">
        <v>1</v>
      </c>
      <c r="T228" s="13" t="s">
        <v>134</v>
      </c>
      <c r="AB228" s="13">
        <v>1</v>
      </c>
      <c r="AC228" s="13">
        <f>INDEX($V$4:$Z$62,COUNTIFS($AB$1:$AB228,1),$AB228)</f>
        <v>12151</v>
      </c>
    </row>
    <row r="229" spans="1:29">
      <c r="A229" s="24">
        <v>11231</v>
      </c>
      <c r="B229" s="23" t="s">
        <v>548</v>
      </c>
      <c r="C229" s="24" t="s">
        <v>276</v>
      </c>
      <c r="D229" s="23" t="s">
        <v>736</v>
      </c>
      <c r="E229" s="23" t="s">
        <v>736</v>
      </c>
      <c r="F229" s="25" t="s">
        <v>735</v>
      </c>
      <c r="G229" s="26">
        <v>1123</v>
      </c>
      <c r="H229" s="23" t="s">
        <v>457</v>
      </c>
      <c r="I229" s="13" t="str">
        <f t="shared" si="96"/>
        <v>小白龙</v>
      </c>
      <c r="J229" s="13">
        <v>1</v>
      </c>
      <c r="K229" s="13" t="str">
        <f t="shared" si="90"/>
        <v>逆流白龙吟+1</v>
      </c>
      <c r="L229" s="13" t="s">
        <v>456</v>
      </c>
      <c r="M229" s="13" t="str">
        <f t="shared" si="104"/>
        <v>["xiaobailong_wuqi02_01"]</v>
      </c>
      <c r="N229" s="13" t="str">
        <f t="shared" ref="N229:N234" si="112">"["&amp;$R$1&amp;SUBSTITUTE(VLOOKUP(O229,$U$77:$W$138,3,0),"_actor","")&amp;"_sb"&amp;S229&amp;"_wuqi0"&amp;T229&amp;$R$1&amp;"]"</f>
        <v>["xiaobailong_sb2_wuqi01_01"]</v>
      </c>
      <c r="O229" s="13">
        <f t="shared" si="91"/>
        <v>1123</v>
      </c>
      <c r="R229" s="13">
        <v>2</v>
      </c>
      <c r="S229" s="13">
        <v>2</v>
      </c>
      <c r="T229" s="13" t="s">
        <v>134</v>
      </c>
      <c r="AB229" s="13">
        <v>2</v>
      </c>
      <c r="AC229" s="13">
        <f>INDEX($V$4:$Z$62,COUNTIFS($AB$1:$AB229,1),$AB229)</f>
        <v>12152</v>
      </c>
    </row>
    <row r="230" spans="1:29">
      <c r="A230" s="24">
        <v>11232</v>
      </c>
      <c r="B230" s="23" t="s">
        <v>548</v>
      </c>
      <c r="C230" s="24" t="s">
        <v>276</v>
      </c>
      <c r="D230" s="23" t="s">
        <v>589</v>
      </c>
      <c r="E230" s="23" t="s">
        <v>589</v>
      </c>
      <c r="F230" s="25" t="s">
        <v>735</v>
      </c>
      <c r="G230" s="26">
        <v>1123</v>
      </c>
      <c r="H230" s="23" t="s">
        <v>458</v>
      </c>
      <c r="I230" s="13" t="str">
        <f t="shared" si="96"/>
        <v>小白龙</v>
      </c>
      <c r="J230" s="13">
        <v>2</v>
      </c>
      <c r="K230" s="13" t="str">
        <f t="shared" si="90"/>
        <v>逆流白龙吟+2</v>
      </c>
      <c r="L230" s="13" t="s">
        <v>457</v>
      </c>
      <c r="M230" s="13" t="str">
        <f t="shared" si="104"/>
        <v>["xiaobailong_wuqi02_01"]</v>
      </c>
      <c r="N230" s="13" t="str">
        <f t="shared" si="112"/>
        <v>["xiaobailong_sb3_wuqi02_01"]</v>
      </c>
      <c r="O230" s="13">
        <f t="shared" si="91"/>
        <v>1123</v>
      </c>
      <c r="R230" s="13">
        <v>2</v>
      </c>
      <c r="S230" s="13">
        <v>3</v>
      </c>
      <c r="T230" s="13" t="s">
        <v>135</v>
      </c>
      <c r="AB230" s="13">
        <v>3</v>
      </c>
      <c r="AC230" s="13">
        <f>INDEX($V$4:$Z$62,COUNTIFS($AB$1:$AB230,1),$AB230)</f>
        <v>12153</v>
      </c>
    </row>
    <row r="231" spans="1:29">
      <c r="A231" s="24">
        <v>11233</v>
      </c>
      <c r="B231" s="23" t="s">
        <v>548</v>
      </c>
      <c r="C231" s="24" t="s">
        <v>276</v>
      </c>
      <c r="D231" s="23" t="s">
        <v>167</v>
      </c>
      <c r="E231" s="23" t="s">
        <v>167</v>
      </c>
      <c r="F231" s="25" t="s">
        <v>735</v>
      </c>
      <c r="G231" s="26">
        <v>1123</v>
      </c>
      <c r="H231" s="23" t="s">
        <v>459</v>
      </c>
      <c r="I231" s="13" t="str">
        <f t="shared" si="96"/>
        <v>小白龙</v>
      </c>
      <c r="J231" s="13">
        <v>3</v>
      </c>
      <c r="K231" s="13" t="str">
        <f t="shared" si="90"/>
        <v>逆流白龙吟+3</v>
      </c>
      <c r="L231" s="13" t="s">
        <v>458</v>
      </c>
      <c r="M231" s="13" t="str">
        <f t="shared" si="104"/>
        <v>["xiaobailong_wuqi02_01"]</v>
      </c>
      <c r="N231" s="13" t="str">
        <f t="shared" si="112"/>
        <v>["xiaobailong_sb4_wuqi02_01"]</v>
      </c>
      <c r="O231" s="13">
        <f t="shared" si="91"/>
        <v>1123</v>
      </c>
      <c r="R231" s="13">
        <v>2</v>
      </c>
      <c r="S231" s="13">
        <v>4</v>
      </c>
      <c r="T231" s="13" t="s">
        <v>135</v>
      </c>
      <c r="AB231" s="13">
        <v>4</v>
      </c>
      <c r="AC231" s="13">
        <f>INDEX($V$4:$Z$62,COUNTIFS($AB$1:$AB231,1),$AB231)</f>
        <v>12154</v>
      </c>
    </row>
    <row r="232" spans="1:29">
      <c r="A232" s="24">
        <v>11234</v>
      </c>
      <c r="B232" s="23" t="s">
        <v>548</v>
      </c>
      <c r="C232" s="24" t="s">
        <v>276</v>
      </c>
      <c r="D232" s="23" t="s">
        <v>167</v>
      </c>
      <c r="E232" s="23" t="s">
        <v>167</v>
      </c>
      <c r="F232" s="25" t="s">
        <v>735</v>
      </c>
      <c r="G232" s="26">
        <v>1123</v>
      </c>
      <c r="H232" s="23" t="s">
        <v>460</v>
      </c>
      <c r="I232" s="13" t="str">
        <f t="shared" si="96"/>
        <v>小白龙</v>
      </c>
      <c r="J232" s="13">
        <v>4</v>
      </c>
      <c r="K232" s="13" t="str">
        <f t="shared" ref="K232:K233" si="113">IF(J232=0,$B232,B232&amp;"+"&amp;J232)</f>
        <v>逆流白龙吟+4</v>
      </c>
      <c r="L232" s="13" t="s">
        <v>459</v>
      </c>
      <c r="M232" s="13" t="str">
        <f t="shared" si="104"/>
        <v>["xiaobailong_wuqi02_01"]</v>
      </c>
      <c r="N232" s="13" t="str">
        <f t="shared" si="112"/>
        <v>["xiaobailong_sb4_wuqi02_01"]</v>
      </c>
      <c r="O232" s="13">
        <f t="shared" ref="O232:O233" si="114">INT(LEFT(A232,4))</f>
        <v>1123</v>
      </c>
      <c r="R232" s="13">
        <v>2</v>
      </c>
      <c r="S232" s="13">
        <v>4</v>
      </c>
      <c r="T232" s="13" t="s">
        <v>137</v>
      </c>
      <c r="AB232" s="13">
        <v>5</v>
      </c>
      <c r="AC232" s="13">
        <f>INDEX($V$4:$Z$62,COUNTIFS($AB$1:$AB232,1),$AB232)</f>
        <v>12155</v>
      </c>
    </row>
    <row r="233" spans="1:29">
      <c r="A233" s="24">
        <v>11235</v>
      </c>
      <c r="B233" s="23" t="s">
        <v>548</v>
      </c>
      <c r="C233" s="24" t="s">
        <v>276</v>
      </c>
      <c r="D233" s="23" t="s">
        <v>167</v>
      </c>
      <c r="E233" s="23" t="s">
        <v>167</v>
      </c>
      <c r="F233" s="25" t="s">
        <v>735</v>
      </c>
      <c r="G233" s="26">
        <v>1123</v>
      </c>
      <c r="H233" s="23" t="s">
        <v>460</v>
      </c>
      <c r="I233" s="13" t="str">
        <f t="shared" si="96"/>
        <v>小白龙</v>
      </c>
      <c r="J233" s="13">
        <v>5</v>
      </c>
      <c r="K233" s="13" t="str">
        <f t="shared" si="113"/>
        <v>逆流白龙吟+5</v>
      </c>
      <c r="L233" s="13" t="s">
        <v>459</v>
      </c>
      <c r="M233" s="13" t="str">
        <f t="shared" si="104"/>
        <v>["xiaobailong_wuqi02_01"]</v>
      </c>
      <c r="N233" s="13" t="str">
        <f t="shared" si="112"/>
        <v>["xiaobailong_sb4_wuqi02_01"]</v>
      </c>
      <c r="O233" s="13">
        <f t="shared" si="114"/>
        <v>1123</v>
      </c>
      <c r="R233" s="13">
        <v>2</v>
      </c>
      <c r="S233" s="13">
        <v>4</v>
      </c>
      <c r="T233" s="13" t="s">
        <v>135</v>
      </c>
      <c r="AB233" s="13">
        <v>5</v>
      </c>
      <c r="AC233" s="13">
        <f>INDEX($V$4:$Z$62,COUNTIFS($AB$1:$AB233,1),$AB233)</f>
        <v>12155</v>
      </c>
    </row>
    <row r="234" spans="1:29">
      <c r="A234" s="24">
        <v>11236</v>
      </c>
      <c r="B234" s="23" t="s">
        <v>548</v>
      </c>
      <c r="C234" s="24" t="s">
        <v>276</v>
      </c>
      <c r="D234" s="23" t="s">
        <v>167</v>
      </c>
      <c r="E234" s="23" t="s">
        <v>167</v>
      </c>
      <c r="F234" s="25" t="s">
        <v>735</v>
      </c>
      <c r="G234" s="26">
        <v>1123</v>
      </c>
      <c r="H234" s="23" t="s">
        <v>460</v>
      </c>
      <c r="I234" s="13" t="str">
        <f t="shared" si="96"/>
        <v>小白龙</v>
      </c>
      <c r="J234" s="13">
        <v>5</v>
      </c>
      <c r="K234" s="13" t="str">
        <f t="shared" si="90"/>
        <v>逆流白龙吟+5</v>
      </c>
      <c r="L234" s="13" t="s">
        <v>459</v>
      </c>
      <c r="M234" s="13" t="str">
        <f t="shared" si="104"/>
        <v>["xiaobailong_wuqi02_01"]</v>
      </c>
      <c r="N234" s="13" t="str">
        <f t="shared" si="112"/>
        <v>["xiaobailong_sb4_wuqi02_01"]</v>
      </c>
      <c r="O234" s="13">
        <f t="shared" si="91"/>
        <v>1123</v>
      </c>
      <c r="R234" s="13">
        <v>2</v>
      </c>
      <c r="S234" s="13">
        <v>4</v>
      </c>
      <c r="T234" s="13" t="s">
        <v>137</v>
      </c>
      <c r="AB234" s="13">
        <v>5</v>
      </c>
      <c r="AC234" s="13">
        <f>INDEX($V$4:$Z$62,COUNTIFS($AB$1:$AB234,1),$AB234)</f>
        <v>12155</v>
      </c>
    </row>
    <row r="235" spans="1:29">
      <c r="A235" s="33">
        <v>11170</v>
      </c>
      <c r="B235" s="34" t="s">
        <v>549</v>
      </c>
      <c r="C235" s="33" t="s">
        <v>277</v>
      </c>
      <c r="D235" s="34" t="s">
        <v>564</v>
      </c>
      <c r="E235" s="34" t="s">
        <v>564</v>
      </c>
      <c r="F235" s="34" t="s">
        <v>737</v>
      </c>
      <c r="G235" s="35">
        <v>1117</v>
      </c>
      <c r="H235" s="34" t="s">
        <v>461</v>
      </c>
      <c r="I235" s="13" t="str">
        <f t="shared" si="96"/>
        <v>六耳猕猴</v>
      </c>
      <c r="J235" s="13">
        <v>0</v>
      </c>
      <c r="K235" s="13" t="str">
        <f t="shared" si="90"/>
        <v>猕猴斩魄刀</v>
      </c>
      <c r="L235" s="13" t="s">
        <v>549</v>
      </c>
      <c r="M235" s="13" t="str">
        <f t="shared" si="104"/>
        <v>["liuermihou_wuqi01_01"]</v>
      </c>
      <c r="N235" s="13" t="s">
        <v>138</v>
      </c>
      <c r="O235" s="13">
        <f t="shared" si="91"/>
        <v>1117</v>
      </c>
      <c r="R235" s="13">
        <v>1</v>
      </c>
      <c r="S235" s="13">
        <v>1</v>
      </c>
      <c r="T235" s="13" t="s">
        <v>134</v>
      </c>
      <c r="AB235" s="13">
        <v>1</v>
      </c>
      <c r="AC235" s="13">
        <f>INDEX($V$4:$Z$62,COUNTIFS($AB$1:$AB235,1),$AB235)</f>
        <v>12151</v>
      </c>
    </row>
    <row r="236" spans="1:29">
      <c r="A236" s="33">
        <v>11171</v>
      </c>
      <c r="B236" s="34" t="s">
        <v>549</v>
      </c>
      <c r="C236" s="33" t="s">
        <v>278</v>
      </c>
      <c r="D236" s="34" t="s">
        <v>590</v>
      </c>
      <c r="E236" s="34" t="s">
        <v>590</v>
      </c>
      <c r="F236" s="34" t="s">
        <v>737</v>
      </c>
      <c r="G236" s="35">
        <v>1117</v>
      </c>
      <c r="H236" s="34" t="s">
        <v>462</v>
      </c>
      <c r="I236" s="13" t="str">
        <f t="shared" si="96"/>
        <v>六耳猕猴</v>
      </c>
      <c r="J236" s="13">
        <v>1</v>
      </c>
      <c r="K236" s="13" t="str">
        <f t="shared" si="90"/>
        <v>猕猴斩魄刀+1</v>
      </c>
      <c r="L236" s="13" t="s">
        <v>461</v>
      </c>
      <c r="M236" s="13" t="str">
        <f t="shared" si="104"/>
        <v>["liuermihou_wuqi02_01"]</v>
      </c>
      <c r="N236" s="13" t="str">
        <f t="shared" ref="N236:N241" si="115">"["&amp;$R$1&amp;SUBSTITUTE(VLOOKUP(O236,$U$77:$W$138,3,0),"_actor","")&amp;"_sb"&amp;S236&amp;"_wuqi0"&amp;T236&amp;$R$1&amp;"]"</f>
        <v>["liuermihou_sb2_wuqi01_01"]</v>
      </c>
      <c r="O236" s="13">
        <f t="shared" si="91"/>
        <v>1117</v>
      </c>
      <c r="R236" s="13">
        <v>2</v>
      </c>
      <c r="S236" s="13">
        <v>2</v>
      </c>
      <c r="T236" s="13" t="s">
        <v>134</v>
      </c>
      <c r="AB236" s="13">
        <v>2</v>
      </c>
      <c r="AC236" s="13">
        <f>INDEX($V$4:$Z$62,COUNTIFS($AB$1:$AB236,1),$AB236)</f>
        <v>12152</v>
      </c>
    </row>
    <row r="237" spans="1:29">
      <c r="A237" s="33">
        <v>11172</v>
      </c>
      <c r="B237" s="34" t="s">
        <v>549</v>
      </c>
      <c r="C237" s="33" t="s">
        <v>278</v>
      </c>
      <c r="D237" s="34" t="s">
        <v>168</v>
      </c>
      <c r="E237" s="34" t="s">
        <v>168</v>
      </c>
      <c r="F237" s="34" t="s">
        <v>737</v>
      </c>
      <c r="G237" s="35">
        <v>1117</v>
      </c>
      <c r="H237" s="34" t="s">
        <v>463</v>
      </c>
      <c r="I237" s="13" t="str">
        <f t="shared" si="96"/>
        <v>六耳猕猴</v>
      </c>
      <c r="J237" s="13">
        <v>2</v>
      </c>
      <c r="K237" s="13" t="str">
        <f t="shared" si="90"/>
        <v>猕猴斩魄刀+2</v>
      </c>
      <c r="L237" s="13" t="s">
        <v>462</v>
      </c>
      <c r="M237" s="13" t="str">
        <f t="shared" si="104"/>
        <v>["liuermihou_wuqi02_01"]</v>
      </c>
      <c r="N237" s="13" t="str">
        <f t="shared" si="115"/>
        <v>["liuermihou_sb3_wuqi02_01"]</v>
      </c>
      <c r="O237" s="13">
        <f t="shared" si="91"/>
        <v>1117</v>
      </c>
      <c r="R237" s="13">
        <v>2</v>
      </c>
      <c r="S237" s="13">
        <v>3</v>
      </c>
      <c r="T237" s="13" t="s">
        <v>135</v>
      </c>
      <c r="AB237" s="13">
        <v>3</v>
      </c>
      <c r="AC237" s="13">
        <f>INDEX($V$4:$Z$62,COUNTIFS($AB$1:$AB237,1),$AB237)</f>
        <v>12153</v>
      </c>
    </row>
    <row r="238" spans="1:29">
      <c r="A238" s="33">
        <v>11173</v>
      </c>
      <c r="B238" s="34" t="s">
        <v>549</v>
      </c>
      <c r="C238" s="33" t="s">
        <v>278</v>
      </c>
      <c r="D238" s="34" t="s">
        <v>738</v>
      </c>
      <c r="E238" s="34" t="s">
        <v>738</v>
      </c>
      <c r="F238" s="34" t="s">
        <v>737</v>
      </c>
      <c r="G238" s="35">
        <v>1117</v>
      </c>
      <c r="H238" s="34" t="s">
        <v>464</v>
      </c>
      <c r="I238" s="13" t="str">
        <f t="shared" si="96"/>
        <v>六耳猕猴</v>
      </c>
      <c r="J238" s="13">
        <v>3</v>
      </c>
      <c r="K238" s="13" t="str">
        <f t="shared" si="90"/>
        <v>猕猴斩魄刀+3</v>
      </c>
      <c r="L238" s="13" t="s">
        <v>463</v>
      </c>
      <c r="M238" s="13" t="str">
        <f t="shared" si="104"/>
        <v>["liuermihou_wuqi02_01"]</v>
      </c>
      <c r="N238" s="13" t="str">
        <f t="shared" si="115"/>
        <v>["liuermihou_sb4_wuqi02_01"]</v>
      </c>
      <c r="O238" s="13">
        <f t="shared" si="91"/>
        <v>1117</v>
      </c>
      <c r="R238" s="13">
        <v>2</v>
      </c>
      <c r="S238" s="13">
        <v>4</v>
      </c>
      <c r="T238" s="13" t="s">
        <v>135</v>
      </c>
      <c r="AB238" s="13">
        <v>4</v>
      </c>
      <c r="AC238" s="13">
        <f>INDEX($V$4:$Z$62,COUNTIFS($AB$1:$AB238,1),$AB238)</f>
        <v>12154</v>
      </c>
    </row>
    <row r="239" spans="1:29">
      <c r="A239" s="33">
        <v>11174</v>
      </c>
      <c r="B239" s="34" t="s">
        <v>549</v>
      </c>
      <c r="C239" s="33" t="s">
        <v>278</v>
      </c>
      <c r="D239" s="34" t="s">
        <v>739</v>
      </c>
      <c r="E239" s="34" t="s">
        <v>739</v>
      </c>
      <c r="F239" s="34" t="s">
        <v>737</v>
      </c>
      <c r="G239" s="35">
        <v>1117</v>
      </c>
      <c r="H239" s="34" t="s">
        <v>465</v>
      </c>
      <c r="I239" s="13" t="str">
        <f t="shared" si="96"/>
        <v>六耳猕猴</v>
      </c>
      <c r="J239" s="13">
        <v>4</v>
      </c>
      <c r="K239" s="13" t="str">
        <f t="shared" ref="K239:K240" si="116">IF(J239=0,$B239,B239&amp;"+"&amp;J239)</f>
        <v>猕猴斩魄刀+4</v>
      </c>
      <c r="L239" s="13" t="s">
        <v>464</v>
      </c>
      <c r="M239" s="13" t="str">
        <f t="shared" si="104"/>
        <v>["liuermihou_wuqi02_01"]</v>
      </c>
      <c r="N239" s="13" t="str">
        <f t="shared" si="115"/>
        <v>["liuermihou_sb4_wuqi02_01"]</v>
      </c>
      <c r="O239" s="13">
        <f t="shared" ref="O239:O240" si="117">INT(LEFT(A239,4))</f>
        <v>1117</v>
      </c>
      <c r="R239" s="13">
        <v>2</v>
      </c>
      <c r="S239" s="13">
        <v>4</v>
      </c>
      <c r="T239" s="13" t="s">
        <v>137</v>
      </c>
      <c r="AB239" s="13">
        <v>5</v>
      </c>
      <c r="AC239" s="13">
        <f>INDEX($V$4:$Z$62,COUNTIFS($AB$1:$AB239,1),$AB239)</f>
        <v>12155</v>
      </c>
    </row>
    <row r="240" spans="1:29">
      <c r="A240" s="33">
        <v>11175</v>
      </c>
      <c r="B240" s="34" t="s">
        <v>549</v>
      </c>
      <c r="C240" s="33" t="s">
        <v>278</v>
      </c>
      <c r="D240" s="34" t="s">
        <v>739</v>
      </c>
      <c r="E240" s="34" t="s">
        <v>739</v>
      </c>
      <c r="F240" s="34" t="s">
        <v>737</v>
      </c>
      <c r="G240" s="35">
        <v>1117</v>
      </c>
      <c r="H240" s="34" t="s">
        <v>465</v>
      </c>
      <c r="I240" s="13" t="str">
        <f t="shared" si="96"/>
        <v>六耳猕猴</v>
      </c>
      <c r="J240" s="13">
        <v>5</v>
      </c>
      <c r="K240" s="13" t="str">
        <f t="shared" si="116"/>
        <v>猕猴斩魄刀+5</v>
      </c>
      <c r="L240" s="13" t="s">
        <v>464</v>
      </c>
      <c r="M240" s="13" t="str">
        <f t="shared" si="104"/>
        <v>["liuermihou_wuqi02_01"]</v>
      </c>
      <c r="N240" s="13" t="str">
        <f t="shared" si="115"/>
        <v>["liuermihou_sb4_wuqi02_01"]</v>
      </c>
      <c r="O240" s="13">
        <f t="shared" si="117"/>
        <v>1117</v>
      </c>
      <c r="R240" s="13">
        <v>2</v>
      </c>
      <c r="S240" s="13">
        <v>4</v>
      </c>
      <c r="T240" s="13" t="s">
        <v>135</v>
      </c>
      <c r="AB240" s="13">
        <v>5</v>
      </c>
      <c r="AC240" s="13">
        <f>INDEX($V$4:$Z$62,COUNTIFS($AB$1:$AB240,1),$AB240)</f>
        <v>12155</v>
      </c>
    </row>
    <row r="241" spans="1:29">
      <c r="A241" s="33">
        <v>11176</v>
      </c>
      <c r="B241" s="34" t="s">
        <v>549</v>
      </c>
      <c r="C241" s="33" t="s">
        <v>278</v>
      </c>
      <c r="D241" s="34" t="s">
        <v>739</v>
      </c>
      <c r="E241" s="34" t="s">
        <v>739</v>
      </c>
      <c r="F241" s="34" t="s">
        <v>737</v>
      </c>
      <c r="G241" s="35">
        <v>1117</v>
      </c>
      <c r="H241" s="34" t="s">
        <v>465</v>
      </c>
      <c r="I241" s="13" t="str">
        <f t="shared" si="96"/>
        <v>六耳猕猴</v>
      </c>
      <c r="J241" s="13">
        <v>5</v>
      </c>
      <c r="K241" s="13" t="str">
        <f t="shared" si="90"/>
        <v>猕猴斩魄刀+5</v>
      </c>
      <c r="L241" s="13" t="s">
        <v>464</v>
      </c>
      <c r="M241" s="13" t="str">
        <f t="shared" si="104"/>
        <v>["liuermihou_wuqi02_01"]</v>
      </c>
      <c r="N241" s="13" t="str">
        <f t="shared" si="115"/>
        <v>["liuermihou_sb4_wuqi02_01"]</v>
      </c>
      <c r="O241" s="13">
        <f t="shared" si="91"/>
        <v>1117</v>
      </c>
      <c r="R241" s="13">
        <v>2</v>
      </c>
      <c r="S241" s="13">
        <v>4</v>
      </c>
      <c r="T241" s="13" t="s">
        <v>137</v>
      </c>
      <c r="AB241" s="13">
        <v>5</v>
      </c>
      <c r="AC241" s="13">
        <f>INDEX($V$4:$Z$62,COUNTIFS($AB$1:$AB241,1),$AB241)</f>
        <v>12155</v>
      </c>
    </row>
    <row r="242" spans="1:29">
      <c r="A242" s="24">
        <v>12010</v>
      </c>
      <c r="B242" s="23" t="s">
        <v>550</v>
      </c>
      <c r="C242" s="24" t="s">
        <v>279</v>
      </c>
      <c r="D242" s="23" t="s">
        <v>572</v>
      </c>
      <c r="E242" s="23" t="s">
        <v>572</v>
      </c>
      <c r="F242" s="25" t="s">
        <v>740</v>
      </c>
      <c r="G242" s="26">
        <v>1201</v>
      </c>
      <c r="H242" s="23" t="s">
        <v>466</v>
      </c>
      <c r="I242" s="13" t="str">
        <f t="shared" si="96"/>
        <v>阎罗王</v>
      </c>
      <c r="J242" s="13">
        <v>0</v>
      </c>
      <c r="K242" s="13" t="str">
        <f t="shared" si="90"/>
        <v>判官笔</v>
      </c>
      <c r="L242" s="13" t="s">
        <v>550</v>
      </c>
      <c r="M242" s="13" t="str">
        <f t="shared" si="104"/>
        <v>["yanluowang_wuqi01_01"]</v>
      </c>
      <c r="N242" s="13" t="s">
        <v>138</v>
      </c>
      <c r="O242" s="13">
        <f t="shared" si="91"/>
        <v>1201</v>
      </c>
      <c r="R242" s="13">
        <v>1</v>
      </c>
      <c r="S242" s="13">
        <v>1</v>
      </c>
      <c r="T242" s="13" t="s">
        <v>134</v>
      </c>
      <c r="AB242" s="13">
        <v>1</v>
      </c>
      <c r="AC242" s="13">
        <f>INDEX($V$4:$Z$62,COUNTIFS($AB$1:$AB242,1),$AB242)</f>
        <v>12151</v>
      </c>
    </row>
    <row r="243" spans="1:29">
      <c r="A243" s="24">
        <v>12011</v>
      </c>
      <c r="B243" s="23" t="s">
        <v>550</v>
      </c>
      <c r="C243" s="24" t="s">
        <v>280</v>
      </c>
      <c r="D243" s="23" t="s">
        <v>741</v>
      </c>
      <c r="E243" s="23" t="s">
        <v>741</v>
      </c>
      <c r="F243" s="25" t="s">
        <v>740</v>
      </c>
      <c r="G243" s="26">
        <v>1201</v>
      </c>
      <c r="H243" s="23" t="s">
        <v>467</v>
      </c>
      <c r="I243" s="13" t="str">
        <f t="shared" si="96"/>
        <v>阎罗王</v>
      </c>
      <c r="J243" s="13">
        <v>1</v>
      </c>
      <c r="K243" s="13" t="str">
        <f t="shared" si="90"/>
        <v>判官笔+1</v>
      </c>
      <c r="L243" s="13" t="s">
        <v>466</v>
      </c>
      <c r="M243" s="13" t="str">
        <f t="shared" si="104"/>
        <v>["yanluowang_wuqi02_01"]</v>
      </c>
      <c r="N243" s="13" t="str">
        <f t="shared" ref="N243:N248" si="118">"["&amp;$R$1&amp;SUBSTITUTE(VLOOKUP(O243,$U$77:$W$138,3,0),"_actor","")&amp;"_sb"&amp;S243&amp;"_wuqi0"&amp;T243&amp;$R$1&amp;"]"</f>
        <v>["yanluowang_sb2_wuqi01_01"]</v>
      </c>
      <c r="O243" s="13">
        <f t="shared" si="91"/>
        <v>1201</v>
      </c>
      <c r="R243" s="13">
        <v>2</v>
      </c>
      <c r="S243" s="13">
        <v>2</v>
      </c>
      <c r="T243" s="13" t="s">
        <v>134</v>
      </c>
      <c r="AB243" s="13">
        <v>2</v>
      </c>
      <c r="AC243" s="13">
        <f>INDEX($V$4:$Z$62,COUNTIFS($AB$1:$AB243,1),$AB243)</f>
        <v>12152</v>
      </c>
    </row>
    <row r="244" spans="1:29">
      <c r="A244" s="24">
        <v>12012</v>
      </c>
      <c r="B244" s="23" t="s">
        <v>550</v>
      </c>
      <c r="C244" s="24" t="s">
        <v>280</v>
      </c>
      <c r="D244" s="23" t="s">
        <v>591</v>
      </c>
      <c r="E244" s="23" t="s">
        <v>592</v>
      </c>
      <c r="F244" s="25" t="s">
        <v>740</v>
      </c>
      <c r="G244" s="26">
        <v>1201</v>
      </c>
      <c r="H244" s="23" t="s">
        <v>468</v>
      </c>
      <c r="I244" s="13" t="str">
        <f t="shared" si="96"/>
        <v>阎罗王</v>
      </c>
      <c r="J244" s="13">
        <v>2</v>
      </c>
      <c r="K244" s="13" t="str">
        <f t="shared" si="90"/>
        <v>判官笔+2</v>
      </c>
      <c r="L244" s="13" t="s">
        <v>467</v>
      </c>
      <c r="M244" s="13" t="str">
        <f t="shared" si="104"/>
        <v>["yanluowang_wuqi02_01"]</v>
      </c>
      <c r="N244" s="13" t="str">
        <f t="shared" si="118"/>
        <v>["yanluowang_sb3_wuqi02_01"]</v>
      </c>
      <c r="O244" s="13">
        <f t="shared" si="91"/>
        <v>1201</v>
      </c>
      <c r="R244" s="13">
        <v>2</v>
      </c>
      <c r="S244" s="13">
        <v>3</v>
      </c>
      <c r="T244" s="13" t="s">
        <v>135</v>
      </c>
      <c r="AB244" s="13">
        <v>3</v>
      </c>
      <c r="AC244" s="13">
        <f>INDEX($V$4:$Z$62,COUNTIFS($AB$1:$AB244,1),$AB244)</f>
        <v>12153</v>
      </c>
    </row>
    <row r="245" spans="1:29">
      <c r="A245" s="24">
        <v>12013</v>
      </c>
      <c r="B245" s="23" t="s">
        <v>550</v>
      </c>
      <c r="C245" s="24" t="s">
        <v>280</v>
      </c>
      <c r="D245" s="23" t="s">
        <v>169</v>
      </c>
      <c r="E245" s="23" t="s">
        <v>169</v>
      </c>
      <c r="F245" s="25" t="s">
        <v>740</v>
      </c>
      <c r="G245" s="26">
        <v>1201</v>
      </c>
      <c r="H245" s="23" t="s">
        <v>469</v>
      </c>
      <c r="I245" s="13" t="str">
        <f t="shared" si="96"/>
        <v>阎罗王</v>
      </c>
      <c r="J245" s="13">
        <v>3</v>
      </c>
      <c r="K245" s="13" t="str">
        <f t="shared" si="90"/>
        <v>判官笔+3</v>
      </c>
      <c r="L245" s="13" t="s">
        <v>468</v>
      </c>
      <c r="M245" s="13" t="str">
        <f t="shared" si="104"/>
        <v>["yanluowang_wuqi02_01"]</v>
      </c>
      <c r="N245" s="13" t="str">
        <f t="shared" si="118"/>
        <v>["yanluowang_sb4_wuqi02_01"]</v>
      </c>
      <c r="O245" s="13">
        <f t="shared" si="91"/>
        <v>1201</v>
      </c>
      <c r="R245" s="13">
        <v>2</v>
      </c>
      <c r="S245" s="13">
        <v>4</v>
      </c>
      <c r="T245" s="13" t="s">
        <v>135</v>
      </c>
      <c r="AB245" s="13">
        <v>4</v>
      </c>
      <c r="AC245" s="13">
        <f>INDEX($V$4:$Z$62,COUNTIFS($AB$1:$AB245,1),$AB245)</f>
        <v>12154</v>
      </c>
    </row>
    <row r="246" spans="1:29">
      <c r="A246" s="24">
        <v>12014</v>
      </c>
      <c r="B246" s="23" t="s">
        <v>550</v>
      </c>
      <c r="C246" s="24" t="s">
        <v>280</v>
      </c>
      <c r="D246" s="23" t="s">
        <v>169</v>
      </c>
      <c r="E246" s="23" t="s">
        <v>169</v>
      </c>
      <c r="F246" s="25" t="s">
        <v>740</v>
      </c>
      <c r="G246" s="26">
        <v>1201</v>
      </c>
      <c r="H246" s="23" t="s">
        <v>470</v>
      </c>
      <c r="I246" s="13" t="str">
        <f t="shared" si="96"/>
        <v>阎罗王</v>
      </c>
      <c r="J246" s="13">
        <v>4</v>
      </c>
      <c r="K246" s="13" t="str">
        <f t="shared" ref="K246:K247" si="119">IF(J246=0,$B246,B246&amp;"+"&amp;J246)</f>
        <v>判官笔+4</v>
      </c>
      <c r="L246" s="13" t="s">
        <v>469</v>
      </c>
      <c r="M246" s="13" t="str">
        <f t="shared" si="104"/>
        <v>["yanluowang_wuqi02_01"]</v>
      </c>
      <c r="N246" s="13" t="str">
        <f t="shared" si="118"/>
        <v>["yanluowang_sb4_wuqi02_01"]</v>
      </c>
      <c r="O246" s="13">
        <f t="shared" ref="O246:O247" si="120">INT(LEFT(A246,4))</f>
        <v>1201</v>
      </c>
      <c r="R246" s="13">
        <v>2</v>
      </c>
      <c r="S246" s="13">
        <v>4</v>
      </c>
      <c r="T246" s="13" t="s">
        <v>137</v>
      </c>
      <c r="AB246" s="13">
        <v>5</v>
      </c>
      <c r="AC246" s="13">
        <f>INDEX($V$4:$Z$62,COUNTIFS($AB$1:$AB246,1),$AB246)</f>
        <v>12155</v>
      </c>
    </row>
    <row r="247" spans="1:29">
      <c r="A247" s="24">
        <v>12015</v>
      </c>
      <c r="B247" s="23" t="s">
        <v>550</v>
      </c>
      <c r="C247" s="24" t="s">
        <v>280</v>
      </c>
      <c r="D247" s="23" t="s">
        <v>169</v>
      </c>
      <c r="E247" s="23" t="s">
        <v>169</v>
      </c>
      <c r="F247" s="25" t="s">
        <v>740</v>
      </c>
      <c r="G247" s="26">
        <v>1201</v>
      </c>
      <c r="H247" s="23" t="s">
        <v>470</v>
      </c>
      <c r="I247" s="13" t="str">
        <f t="shared" si="96"/>
        <v>阎罗王</v>
      </c>
      <c r="J247" s="13">
        <v>5</v>
      </c>
      <c r="K247" s="13" t="str">
        <f t="shared" si="119"/>
        <v>判官笔+5</v>
      </c>
      <c r="L247" s="13" t="s">
        <v>469</v>
      </c>
      <c r="M247" s="13" t="str">
        <f t="shared" si="104"/>
        <v>["yanluowang_wuqi02_01"]</v>
      </c>
      <c r="N247" s="13" t="str">
        <f t="shared" si="118"/>
        <v>["yanluowang_sb4_wuqi02_01"]</v>
      </c>
      <c r="O247" s="13">
        <f t="shared" si="120"/>
        <v>1201</v>
      </c>
      <c r="R247" s="13">
        <v>2</v>
      </c>
      <c r="S247" s="13">
        <v>4</v>
      </c>
      <c r="T247" s="13" t="s">
        <v>135</v>
      </c>
      <c r="AB247" s="13">
        <v>5</v>
      </c>
      <c r="AC247" s="13">
        <f>INDEX($V$4:$Z$62,COUNTIFS($AB$1:$AB247,1),$AB247)</f>
        <v>12155</v>
      </c>
    </row>
    <row r="248" spans="1:29">
      <c r="A248" s="24">
        <v>12016</v>
      </c>
      <c r="B248" s="23" t="s">
        <v>550</v>
      </c>
      <c r="C248" s="24" t="s">
        <v>280</v>
      </c>
      <c r="D248" s="23" t="s">
        <v>169</v>
      </c>
      <c r="E248" s="23" t="s">
        <v>169</v>
      </c>
      <c r="F248" s="25" t="s">
        <v>740</v>
      </c>
      <c r="G248" s="26">
        <v>1201</v>
      </c>
      <c r="H248" s="23" t="s">
        <v>470</v>
      </c>
      <c r="I248" s="13" t="str">
        <f t="shared" si="96"/>
        <v>阎罗王</v>
      </c>
      <c r="J248" s="13">
        <v>5</v>
      </c>
      <c r="K248" s="13" t="str">
        <f t="shared" si="90"/>
        <v>判官笔+5</v>
      </c>
      <c r="L248" s="13" t="s">
        <v>469</v>
      </c>
      <c r="M248" s="13" t="str">
        <f t="shared" si="104"/>
        <v>["yanluowang_wuqi02_01"]</v>
      </c>
      <c r="N248" s="13" t="str">
        <f t="shared" si="118"/>
        <v>["yanluowang_sb4_wuqi02_01"]</v>
      </c>
      <c r="O248" s="13">
        <f t="shared" si="91"/>
        <v>1201</v>
      </c>
      <c r="R248" s="13">
        <v>2</v>
      </c>
      <c r="S248" s="13">
        <v>4</v>
      </c>
      <c r="T248" s="13" t="s">
        <v>137</v>
      </c>
      <c r="AB248" s="13">
        <v>5</v>
      </c>
      <c r="AC248" s="13">
        <f>INDEX($V$4:$Z$62,COUNTIFS($AB$1:$AB248,1),$AB248)</f>
        <v>12155</v>
      </c>
    </row>
    <row r="249" spans="1:29">
      <c r="A249" s="33">
        <v>11310</v>
      </c>
      <c r="B249" s="34" t="s">
        <v>551</v>
      </c>
      <c r="C249" s="33" t="s">
        <v>281</v>
      </c>
      <c r="D249" s="34" t="s">
        <v>564</v>
      </c>
      <c r="E249" s="34" t="s">
        <v>564</v>
      </c>
      <c r="F249" s="34" t="s">
        <v>759</v>
      </c>
      <c r="G249" s="35">
        <v>1131</v>
      </c>
      <c r="H249" s="34" t="s">
        <v>471</v>
      </c>
      <c r="I249" s="13" t="str">
        <f t="shared" si="96"/>
        <v>蝎子精</v>
      </c>
      <c r="J249" s="13">
        <v>0</v>
      </c>
      <c r="K249" s="13" t="str">
        <f t="shared" si="90"/>
        <v>琴瑟琵琶</v>
      </c>
      <c r="L249" s="13" t="s">
        <v>551</v>
      </c>
      <c r="M249" s="13" t="str">
        <f t="shared" si="104"/>
        <v>["xiezijing_wuqi01_01"]</v>
      </c>
      <c r="N249" s="13" t="s">
        <v>138</v>
      </c>
      <c r="O249" s="13">
        <f t="shared" si="91"/>
        <v>1131</v>
      </c>
      <c r="R249" s="13">
        <v>1</v>
      </c>
      <c r="S249" s="13">
        <v>1</v>
      </c>
      <c r="T249" s="13" t="s">
        <v>134</v>
      </c>
      <c r="AB249" s="13">
        <v>1</v>
      </c>
      <c r="AC249" s="13">
        <f>INDEX($V$4:$Z$62,COUNTIFS($AB$1:$AB249,1),$AB249)</f>
        <v>11141</v>
      </c>
    </row>
    <row r="250" spans="1:29">
      <c r="A250" s="33">
        <v>11311</v>
      </c>
      <c r="B250" s="34" t="s">
        <v>551</v>
      </c>
      <c r="C250" s="33" t="s">
        <v>282</v>
      </c>
      <c r="D250" s="34" t="s">
        <v>593</v>
      </c>
      <c r="E250" s="34" t="s">
        <v>593</v>
      </c>
      <c r="F250" s="34" t="s">
        <v>759</v>
      </c>
      <c r="G250" s="35">
        <v>1131</v>
      </c>
      <c r="H250" s="34" t="s">
        <v>472</v>
      </c>
      <c r="I250" s="13" t="str">
        <f t="shared" si="96"/>
        <v>蝎子精</v>
      </c>
      <c r="J250" s="13">
        <v>1</v>
      </c>
      <c r="K250" s="13" t="str">
        <f t="shared" si="90"/>
        <v>琴瑟琵琶+1</v>
      </c>
      <c r="L250" s="13" t="s">
        <v>471</v>
      </c>
      <c r="M250" s="13" t="str">
        <f t="shared" si="104"/>
        <v>["xiezijing_wuqi02_01"]</v>
      </c>
      <c r="N250" s="13" t="str">
        <f t="shared" ref="N250:N255" si="121">"["&amp;$R$1&amp;SUBSTITUTE(VLOOKUP(O250,$U$77:$W$138,3,0),"_actor","")&amp;"_sb"&amp;S250&amp;"_wuqi0"&amp;T250&amp;$R$1&amp;"]"</f>
        <v>["xiezijing_sb2_wuqi01_01"]</v>
      </c>
      <c r="O250" s="13">
        <f t="shared" si="91"/>
        <v>1131</v>
      </c>
      <c r="R250" s="13">
        <v>2</v>
      </c>
      <c r="S250" s="13">
        <v>2</v>
      </c>
      <c r="T250" s="13" t="s">
        <v>134</v>
      </c>
      <c r="AB250" s="13">
        <v>2</v>
      </c>
      <c r="AC250" s="13">
        <f>INDEX($V$4:$Z$62,COUNTIFS($AB$1:$AB250,1),$AB250)</f>
        <v>11142</v>
      </c>
    </row>
    <row r="251" spans="1:29">
      <c r="A251" s="33">
        <v>11312</v>
      </c>
      <c r="B251" s="34" t="s">
        <v>551</v>
      </c>
      <c r="C251" s="33" t="s">
        <v>282</v>
      </c>
      <c r="D251" s="34" t="s">
        <v>170</v>
      </c>
      <c r="E251" s="34" t="s">
        <v>170</v>
      </c>
      <c r="F251" s="34" t="s">
        <v>759</v>
      </c>
      <c r="G251" s="35">
        <v>1131</v>
      </c>
      <c r="H251" s="34" t="s">
        <v>473</v>
      </c>
      <c r="I251" s="13" t="str">
        <f t="shared" si="96"/>
        <v>蝎子精</v>
      </c>
      <c r="J251" s="13">
        <v>2</v>
      </c>
      <c r="K251" s="13" t="str">
        <f t="shared" si="90"/>
        <v>琴瑟琵琶+2</v>
      </c>
      <c r="L251" s="13" t="s">
        <v>472</v>
      </c>
      <c r="M251" s="13" t="str">
        <f t="shared" si="104"/>
        <v>["xiezijing_wuqi02_01"]</v>
      </c>
      <c r="N251" s="13" t="str">
        <f t="shared" si="121"/>
        <v>["xiezijing_sb3_wuqi02_01"]</v>
      </c>
      <c r="O251" s="13">
        <f t="shared" si="91"/>
        <v>1131</v>
      </c>
      <c r="R251" s="13">
        <v>2</v>
      </c>
      <c r="S251" s="13">
        <v>3</v>
      </c>
      <c r="T251" s="13" t="s">
        <v>135</v>
      </c>
      <c r="AB251" s="13">
        <v>3</v>
      </c>
      <c r="AC251" s="13">
        <f>INDEX($V$4:$Z$62,COUNTIFS($AB$1:$AB251,1),$AB251)</f>
        <v>11143</v>
      </c>
    </row>
    <row r="252" spans="1:29">
      <c r="A252" s="33">
        <v>11313</v>
      </c>
      <c r="B252" s="34" t="s">
        <v>551</v>
      </c>
      <c r="C252" s="33" t="s">
        <v>282</v>
      </c>
      <c r="D252" s="34" t="s">
        <v>594</v>
      </c>
      <c r="E252" s="34" t="s">
        <v>594</v>
      </c>
      <c r="F252" s="34" t="s">
        <v>759</v>
      </c>
      <c r="G252" s="35">
        <v>1131</v>
      </c>
      <c r="H252" s="34" t="s">
        <v>474</v>
      </c>
      <c r="I252" s="13" t="str">
        <f t="shared" si="96"/>
        <v>蝎子精</v>
      </c>
      <c r="J252" s="13">
        <v>3</v>
      </c>
      <c r="K252" s="13" t="str">
        <f t="shared" si="90"/>
        <v>琴瑟琵琶+3</v>
      </c>
      <c r="L252" s="13" t="s">
        <v>473</v>
      </c>
      <c r="M252" s="13" t="str">
        <f t="shared" si="104"/>
        <v>["xiezijing_wuqi02_01"]</v>
      </c>
      <c r="N252" s="13" t="str">
        <f t="shared" si="121"/>
        <v>["xiezijing_sb4_wuqi02_01"]</v>
      </c>
      <c r="O252" s="13">
        <f t="shared" si="91"/>
        <v>1131</v>
      </c>
      <c r="R252" s="13">
        <v>2</v>
      </c>
      <c r="S252" s="13">
        <v>4</v>
      </c>
      <c r="T252" s="13" t="s">
        <v>135</v>
      </c>
      <c r="AB252" s="13">
        <v>4</v>
      </c>
      <c r="AC252" s="13">
        <f>INDEX($V$4:$Z$62,COUNTIFS($AB$1:$AB252,1),$AB252)</f>
        <v>11144</v>
      </c>
    </row>
    <row r="253" spans="1:29">
      <c r="A253" s="33">
        <v>11314</v>
      </c>
      <c r="B253" s="34" t="s">
        <v>551</v>
      </c>
      <c r="C253" s="33" t="s">
        <v>282</v>
      </c>
      <c r="D253" s="34" t="s">
        <v>742</v>
      </c>
      <c r="E253" s="34" t="s">
        <v>742</v>
      </c>
      <c r="F253" s="34" t="s">
        <v>759</v>
      </c>
      <c r="G253" s="35">
        <v>1131</v>
      </c>
      <c r="H253" s="34" t="s">
        <v>475</v>
      </c>
      <c r="I253" s="13" t="str">
        <f t="shared" si="96"/>
        <v>蝎子精</v>
      </c>
      <c r="J253" s="13">
        <v>4</v>
      </c>
      <c r="K253" s="13" t="str">
        <f t="shared" ref="K253:K254" si="122">IF(J253=0,$B253,B253&amp;"+"&amp;J253)</f>
        <v>琴瑟琵琶+4</v>
      </c>
      <c r="L253" s="13" t="s">
        <v>474</v>
      </c>
      <c r="M253" s="13" t="str">
        <f t="shared" si="104"/>
        <v>["xiezijing_wuqi02_01"]</v>
      </c>
      <c r="N253" s="13" t="str">
        <f t="shared" si="121"/>
        <v>["xiezijing_sb4_wuqi02_01"]</v>
      </c>
      <c r="O253" s="13">
        <f t="shared" ref="O253:O254" si="123">INT(LEFT(A253,4))</f>
        <v>1131</v>
      </c>
      <c r="R253" s="13">
        <v>2</v>
      </c>
      <c r="S253" s="13">
        <v>4</v>
      </c>
      <c r="T253" s="13" t="s">
        <v>137</v>
      </c>
      <c r="AB253" s="13">
        <v>5</v>
      </c>
      <c r="AC253" s="13">
        <f>INDEX($V$4:$Z$62,COUNTIFS($AB$1:$AB253,1),$AB253)</f>
        <v>11145</v>
      </c>
    </row>
    <row r="254" spans="1:29">
      <c r="A254" s="33">
        <v>11315</v>
      </c>
      <c r="B254" s="34" t="s">
        <v>551</v>
      </c>
      <c r="C254" s="33" t="s">
        <v>282</v>
      </c>
      <c r="D254" s="34" t="s">
        <v>742</v>
      </c>
      <c r="E254" s="34" t="s">
        <v>742</v>
      </c>
      <c r="F254" s="34" t="s">
        <v>759</v>
      </c>
      <c r="G254" s="35">
        <v>1131</v>
      </c>
      <c r="H254" s="34" t="s">
        <v>475</v>
      </c>
      <c r="I254" s="13" t="str">
        <f t="shared" si="96"/>
        <v>蝎子精</v>
      </c>
      <c r="J254" s="13">
        <v>5</v>
      </c>
      <c r="K254" s="13" t="str">
        <f t="shared" si="122"/>
        <v>琴瑟琵琶+5</v>
      </c>
      <c r="L254" s="13" t="s">
        <v>474</v>
      </c>
      <c r="M254" s="13" t="str">
        <f t="shared" si="104"/>
        <v>["xiezijing_wuqi02_01"]</v>
      </c>
      <c r="N254" s="13" t="str">
        <f t="shared" si="121"/>
        <v>["xiezijing_sb4_wuqi02_01"]</v>
      </c>
      <c r="O254" s="13">
        <f t="shared" si="123"/>
        <v>1131</v>
      </c>
      <c r="R254" s="13">
        <v>2</v>
      </c>
      <c r="S254" s="13">
        <v>4</v>
      </c>
      <c r="T254" s="13" t="s">
        <v>135</v>
      </c>
      <c r="AB254" s="13">
        <v>5</v>
      </c>
      <c r="AC254" s="13">
        <f>INDEX($V$4:$Z$62,COUNTIFS($AB$1:$AB254,1),$AB254)</f>
        <v>11145</v>
      </c>
    </row>
    <row r="255" spans="1:29">
      <c r="A255" s="33">
        <v>11316</v>
      </c>
      <c r="B255" s="34" t="s">
        <v>551</v>
      </c>
      <c r="C255" s="33" t="s">
        <v>282</v>
      </c>
      <c r="D255" s="34" t="s">
        <v>742</v>
      </c>
      <c r="E255" s="34" t="s">
        <v>742</v>
      </c>
      <c r="F255" s="34" t="s">
        <v>759</v>
      </c>
      <c r="G255" s="35">
        <v>1131</v>
      </c>
      <c r="H255" s="34" t="s">
        <v>475</v>
      </c>
      <c r="I255" s="13" t="str">
        <f t="shared" si="96"/>
        <v>蝎子精</v>
      </c>
      <c r="J255" s="13">
        <v>5</v>
      </c>
      <c r="K255" s="13" t="str">
        <f t="shared" si="90"/>
        <v>琴瑟琵琶+5</v>
      </c>
      <c r="L255" s="13" t="s">
        <v>474</v>
      </c>
      <c r="M255" s="13" t="str">
        <f t="shared" si="104"/>
        <v>["xiezijing_wuqi02_01"]</v>
      </c>
      <c r="N255" s="13" t="str">
        <f t="shared" si="121"/>
        <v>["xiezijing_sb4_wuqi02_01"]</v>
      </c>
      <c r="O255" s="13">
        <f t="shared" si="91"/>
        <v>1131</v>
      </c>
      <c r="R255" s="13">
        <v>2</v>
      </c>
      <c r="S255" s="13">
        <v>4</v>
      </c>
      <c r="T255" s="13" t="s">
        <v>137</v>
      </c>
      <c r="AB255" s="13">
        <v>5</v>
      </c>
      <c r="AC255" s="13">
        <f>INDEX($V$4:$Z$62,COUNTIFS($AB$1:$AB255,1),$AB255)</f>
        <v>11145</v>
      </c>
    </row>
    <row r="256" spans="1:29">
      <c r="A256" s="24">
        <v>11370</v>
      </c>
      <c r="B256" s="23" t="s">
        <v>552</v>
      </c>
      <c r="C256" s="24" t="s">
        <v>283</v>
      </c>
      <c r="D256" s="23" t="s">
        <v>564</v>
      </c>
      <c r="E256" s="23" t="s">
        <v>564</v>
      </c>
      <c r="F256" s="25" t="s">
        <v>743</v>
      </c>
      <c r="G256" s="26">
        <v>1137</v>
      </c>
      <c r="H256" s="23" t="s">
        <v>476</v>
      </c>
      <c r="I256" s="13" t="str">
        <f t="shared" si="96"/>
        <v>蜘蛛精</v>
      </c>
      <c r="J256" s="13">
        <v>0</v>
      </c>
      <c r="K256" s="13" t="str">
        <f t="shared" si="90"/>
        <v>肚脐蛛网</v>
      </c>
      <c r="L256" s="13" t="s">
        <v>552</v>
      </c>
      <c r="M256" s="13" t="str">
        <f t="shared" si="104"/>
        <v>["zhizhujing_wuqi01_01"]</v>
      </c>
      <c r="N256" s="13" t="s">
        <v>138</v>
      </c>
      <c r="O256" s="13">
        <f t="shared" si="91"/>
        <v>1137</v>
      </c>
      <c r="R256" s="13">
        <v>1</v>
      </c>
      <c r="S256" s="13">
        <v>1</v>
      </c>
      <c r="T256" s="13" t="s">
        <v>134</v>
      </c>
      <c r="AB256" s="13">
        <v>1</v>
      </c>
      <c r="AC256" s="13">
        <f>INDEX($V$4:$Z$62,COUNTIFS($AB$1:$AB256,1),$AB256)</f>
        <v>11101</v>
      </c>
    </row>
    <row r="257" spans="1:29">
      <c r="A257" s="24">
        <v>11371</v>
      </c>
      <c r="B257" s="23" t="s">
        <v>552</v>
      </c>
      <c r="C257" s="24" t="s">
        <v>284</v>
      </c>
      <c r="D257" s="23" t="s">
        <v>744</v>
      </c>
      <c r="E257" s="23" t="s">
        <v>744</v>
      </c>
      <c r="F257" s="25" t="s">
        <v>743</v>
      </c>
      <c r="G257" s="26">
        <v>1137</v>
      </c>
      <c r="H257" s="23" t="s">
        <v>477</v>
      </c>
      <c r="I257" s="13" t="str">
        <f t="shared" si="96"/>
        <v>蜘蛛精</v>
      </c>
      <c r="J257" s="13">
        <v>1</v>
      </c>
      <c r="K257" s="13" t="str">
        <f t="shared" si="90"/>
        <v>肚脐蛛网+1</v>
      </c>
      <c r="L257" s="13" t="s">
        <v>476</v>
      </c>
      <c r="M257" s="13" t="str">
        <f t="shared" si="104"/>
        <v>["zhizhujing_wuqi02_01"]</v>
      </c>
      <c r="N257" s="13" t="str">
        <f t="shared" ref="N257:N262" si="124">"["&amp;$R$1&amp;SUBSTITUTE(VLOOKUP(O257,$U$77:$W$138,3,0),"_actor","")&amp;"_sb"&amp;S257&amp;"_wuqi0"&amp;T257&amp;$R$1&amp;"]"</f>
        <v>["zhizhujing_sb2_wuqi01_01"]</v>
      </c>
      <c r="O257" s="13">
        <f t="shared" si="91"/>
        <v>1137</v>
      </c>
      <c r="R257" s="13">
        <v>2</v>
      </c>
      <c r="S257" s="13">
        <v>2</v>
      </c>
      <c r="T257" s="13" t="s">
        <v>134</v>
      </c>
      <c r="AB257" s="13">
        <v>2</v>
      </c>
      <c r="AC257" s="13">
        <f>INDEX($V$4:$Z$62,COUNTIFS($AB$1:$AB257,1),$AB257)</f>
        <v>11102</v>
      </c>
    </row>
    <row r="258" spans="1:29">
      <c r="A258" s="24">
        <v>11372</v>
      </c>
      <c r="B258" s="23" t="s">
        <v>552</v>
      </c>
      <c r="C258" s="24" t="s">
        <v>284</v>
      </c>
      <c r="D258" s="23" t="s">
        <v>595</v>
      </c>
      <c r="E258" s="23" t="s">
        <v>595</v>
      </c>
      <c r="F258" s="25" t="s">
        <v>743</v>
      </c>
      <c r="G258" s="26">
        <v>1137</v>
      </c>
      <c r="H258" s="23" t="s">
        <v>478</v>
      </c>
      <c r="I258" s="13" t="str">
        <f t="shared" si="96"/>
        <v>蜘蛛精</v>
      </c>
      <c r="J258" s="13">
        <v>2</v>
      </c>
      <c r="K258" s="13" t="str">
        <f t="shared" si="90"/>
        <v>肚脐蛛网+2</v>
      </c>
      <c r="L258" s="13" t="s">
        <v>477</v>
      </c>
      <c r="M258" s="13" t="str">
        <f t="shared" si="104"/>
        <v>["zhizhujing_wuqi02_01"]</v>
      </c>
      <c r="N258" s="13" t="str">
        <f t="shared" si="124"/>
        <v>["zhizhujing_sb3_wuqi02_01"]</v>
      </c>
      <c r="O258" s="13">
        <f t="shared" si="91"/>
        <v>1137</v>
      </c>
      <c r="R258" s="13">
        <v>2</v>
      </c>
      <c r="S258" s="13">
        <v>3</v>
      </c>
      <c r="T258" s="13" t="s">
        <v>135</v>
      </c>
      <c r="AB258" s="13">
        <v>3</v>
      </c>
      <c r="AC258" s="13">
        <f>INDEX($V$4:$Z$62,COUNTIFS($AB$1:$AB258,1),$AB258)</f>
        <v>11103</v>
      </c>
    </row>
    <row r="259" spans="1:29">
      <c r="A259" s="24">
        <v>11373</v>
      </c>
      <c r="B259" s="23" t="s">
        <v>552</v>
      </c>
      <c r="C259" s="24" t="s">
        <v>284</v>
      </c>
      <c r="D259" s="23" t="s">
        <v>171</v>
      </c>
      <c r="E259" s="23" t="s">
        <v>171</v>
      </c>
      <c r="F259" s="25" t="s">
        <v>743</v>
      </c>
      <c r="G259" s="26">
        <v>1137</v>
      </c>
      <c r="H259" s="23" t="s">
        <v>479</v>
      </c>
      <c r="I259" s="13" t="str">
        <f t="shared" si="96"/>
        <v>蜘蛛精</v>
      </c>
      <c r="J259" s="13">
        <v>3</v>
      </c>
      <c r="K259" s="13" t="str">
        <f t="shared" si="90"/>
        <v>肚脐蛛网+3</v>
      </c>
      <c r="L259" s="13" t="s">
        <v>478</v>
      </c>
      <c r="M259" s="13" t="str">
        <f t="shared" si="104"/>
        <v>["zhizhujing_wuqi02_01"]</v>
      </c>
      <c r="N259" s="13" t="str">
        <f t="shared" si="124"/>
        <v>["zhizhujing_sb4_wuqi02_01"]</v>
      </c>
      <c r="O259" s="13">
        <f t="shared" si="91"/>
        <v>1137</v>
      </c>
      <c r="R259" s="13">
        <v>2</v>
      </c>
      <c r="S259" s="13">
        <v>4</v>
      </c>
      <c r="T259" s="13" t="s">
        <v>135</v>
      </c>
      <c r="AB259" s="13">
        <v>4</v>
      </c>
      <c r="AC259" s="13">
        <f>INDEX($V$4:$Z$62,COUNTIFS($AB$1:$AB259,1),$AB259)</f>
        <v>11104</v>
      </c>
    </row>
    <row r="260" spans="1:29">
      <c r="A260" s="24">
        <v>11374</v>
      </c>
      <c r="B260" s="23" t="s">
        <v>552</v>
      </c>
      <c r="C260" s="24" t="s">
        <v>284</v>
      </c>
      <c r="D260" s="23" t="s">
        <v>171</v>
      </c>
      <c r="E260" s="23" t="s">
        <v>171</v>
      </c>
      <c r="F260" s="25" t="s">
        <v>743</v>
      </c>
      <c r="G260" s="26">
        <v>1137</v>
      </c>
      <c r="H260" s="23" t="s">
        <v>480</v>
      </c>
      <c r="I260" s="13" t="str">
        <f t="shared" ref="I260:I312" si="125">VLOOKUP(INT(LEFT(A260,4)),$U$77:$V$138,2,0)</f>
        <v>蜘蛛精</v>
      </c>
      <c r="J260" s="13">
        <v>4</v>
      </c>
      <c r="K260" s="13" t="str">
        <f t="shared" ref="K260:K261" si="126">IF(J260=0,$B260,B260&amp;"+"&amp;J260)</f>
        <v>肚脐蛛网+4</v>
      </c>
      <c r="L260" s="13" t="s">
        <v>479</v>
      </c>
      <c r="M260" s="13" t="str">
        <f t="shared" si="104"/>
        <v>["zhizhujing_wuqi02_01"]</v>
      </c>
      <c r="N260" s="13" t="str">
        <f t="shared" si="124"/>
        <v>["zhizhujing_sb4_wuqi02_01"]</v>
      </c>
      <c r="O260" s="13">
        <f t="shared" ref="O260:O261" si="127">INT(LEFT(A260,4))</f>
        <v>1137</v>
      </c>
      <c r="R260" s="13">
        <v>2</v>
      </c>
      <c r="S260" s="13">
        <v>4</v>
      </c>
      <c r="T260" s="13" t="s">
        <v>137</v>
      </c>
      <c r="AB260" s="13">
        <v>5</v>
      </c>
      <c r="AC260" s="13">
        <f>INDEX($V$4:$Z$62,COUNTIFS($AB$1:$AB260,1),$AB260)</f>
        <v>11105</v>
      </c>
    </row>
    <row r="261" spans="1:29">
      <c r="A261" s="24">
        <v>11375</v>
      </c>
      <c r="B261" s="23" t="s">
        <v>552</v>
      </c>
      <c r="C261" s="24" t="s">
        <v>284</v>
      </c>
      <c r="D261" s="23" t="s">
        <v>171</v>
      </c>
      <c r="E261" s="23" t="s">
        <v>171</v>
      </c>
      <c r="F261" s="25" t="s">
        <v>743</v>
      </c>
      <c r="G261" s="26">
        <v>1137</v>
      </c>
      <c r="H261" s="23" t="s">
        <v>480</v>
      </c>
      <c r="I261" s="13" t="str">
        <f t="shared" si="125"/>
        <v>蜘蛛精</v>
      </c>
      <c r="J261" s="13">
        <v>5</v>
      </c>
      <c r="K261" s="13" t="str">
        <f t="shared" si="126"/>
        <v>肚脐蛛网+5</v>
      </c>
      <c r="L261" s="13" t="s">
        <v>479</v>
      </c>
      <c r="M261" s="13" t="str">
        <f t="shared" si="104"/>
        <v>["zhizhujing_wuqi02_01"]</v>
      </c>
      <c r="N261" s="13" t="str">
        <f t="shared" si="124"/>
        <v>["zhizhujing_sb4_wuqi02_01"]</v>
      </c>
      <c r="O261" s="13">
        <f t="shared" si="127"/>
        <v>1137</v>
      </c>
      <c r="R261" s="13">
        <v>2</v>
      </c>
      <c r="S261" s="13">
        <v>4</v>
      </c>
      <c r="T261" s="13" t="s">
        <v>135</v>
      </c>
      <c r="AB261" s="13">
        <v>5</v>
      </c>
      <c r="AC261" s="13">
        <f>INDEX($V$4:$Z$62,COUNTIFS($AB$1:$AB261,1),$AB261)</f>
        <v>11105</v>
      </c>
    </row>
    <row r="262" spans="1:29">
      <c r="A262" s="24">
        <v>11376</v>
      </c>
      <c r="B262" s="23" t="s">
        <v>552</v>
      </c>
      <c r="C262" s="24" t="s">
        <v>284</v>
      </c>
      <c r="D262" s="23" t="s">
        <v>171</v>
      </c>
      <c r="E262" s="23" t="s">
        <v>171</v>
      </c>
      <c r="F262" s="25" t="s">
        <v>743</v>
      </c>
      <c r="G262" s="26">
        <v>1137</v>
      </c>
      <c r="H262" s="23" t="s">
        <v>480</v>
      </c>
      <c r="I262" s="13" t="str">
        <f t="shared" si="125"/>
        <v>蜘蛛精</v>
      </c>
      <c r="J262" s="13">
        <v>5</v>
      </c>
      <c r="K262" s="13" t="str">
        <f t="shared" si="90"/>
        <v>肚脐蛛网+5</v>
      </c>
      <c r="L262" s="13" t="s">
        <v>479</v>
      </c>
      <c r="M262" s="13" t="str">
        <f t="shared" si="104"/>
        <v>["zhizhujing_wuqi02_01"]</v>
      </c>
      <c r="N262" s="13" t="str">
        <f t="shared" si="124"/>
        <v>["zhizhujing_sb4_wuqi02_01"]</v>
      </c>
      <c r="O262" s="13">
        <f t="shared" si="91"/>
        <v>1137</v>
      </c>
      <c r="R262" s="13">
        <v>2</v>
      </c>
      <c r="S262" s="13">
        <v>4</v>
      </c>
      <c r="T262" s="13" t="s">
        <v>137</v>
      </c>
      <c r="AB262" s="13">
        <v>5</v>
      </c>
      <c r="AC262" s="13">
        <f>INDEX($V$4:$Z$62,COUNTIFS($AB$1:$AB262,1),$AB262)</f>
        <v>11105</v>
      </c>
    </row>
    <row r="263" spans="1:29" s="15" customFormat="1">
      <c r="A263" s="33">
        <v>12160</v>
      </c>
      <c r="B263" s="34" t="s">
        <v>553</v>
      </c>
      <c r="C263" s="33" t="s">
        <v>188</v>
      </c>
      <c r="D263" s="34" t="s">
        <v>682</v>
      </c>
      <c r="E263" s="34" t="s">
        <v>682</v>
      </c>
      <c r="F263" s="34" t="s">
        <v>745</v>
      </c>
      <c r="G263" s="35">
        <v>1216</v>
      </c>
      <c r="H263" s="34" t="s">
        <v>481</v>
      </c>
      <c r="I263" s="15" t="str">
        <f t="shared" si="125"/>
        <v>女儿国国王</v>
      </c>
      <c r="J263" s="15">
        <v>0</v>
      </c>
      <c r="K263" s="13" t="str">
        <f t="shared" si="90"/>
        <v>相思醉</v>
      </c>
      <c r="L263" s="15" t="s">
        <v>553</v>
      </c>
      <c r="M263" s="15" t="str">
        <f t="shared" si="104"/>
        <v>["nverguoguowang_wuqi01_01"]</v>
      </c>
      <c r="N263" s="15" t="s">
        <v>138</v>
      </c>
      <c r="O263" s="15">
        <f t="shared" si="91"/>
        <v>1216</v>
      </c>
      <c r="R263" s="15">
        <v>1</v>
      </c>
      <c r="S263" s="15">
        <v>1</v>
      </c>
      <c r="T263" s="15" t="s">
        <v>134</v>
      </c>
      <c r="AB263" s="15">
        <v>1</v>
      </c>
      <c r="AC263" s="15">
        <f>INDEX($V$4:$Z$62,COUNTIFS($AB$1:$AB263,1),$AB263)</f>
        <v>11041</v>
      </c>
    </row>
    <row r="264" spans="1:29" s="15" customFormat="1">
      <c r="A264" s="33">
        <v>12161</v>
      </c>
      <c r="B264" s="34" t="s">
        <v>553</v>
      </c>
      <c r="C264" s="33" t="s">
        <v>189</v>
      </c>
      <c r="D264" s="34" t="s">
        <v>596</v>
      </c>
      <c r="E264" s="34" t="s">
        <v>596</v>
      </c>
      <c r="F264" s="34" t="s">
        <v>745</v>
      </c>
      <c r="G264" s="35">
        <v>1216</v>
      </c>
      <c r="H264" s="34" t="s">
        <v>482</v>
      </c>
      <c r="I264" s="15" t="str">
        <f t="shared" si="125"/>
        <v>女儿国国王</v>
      </c>
      <c r="J264" s="15">
        <v>1</v>
      </c>
      <c r="K264" s="13" t="str">
        <f t="shared" si="90"/>
        <v>相思醉+1</v>
      </c>
      <c r="L264" s="15" t="s">
        <v>481</v>
      </c>
      <c r="M264" s="15" t="str">
        <f t="shared" si="104"/>
        <v>["nverguoguowang_wuqi02_01"]</v>
      </c>
      <c r="N264" s="15" t="str">
        <f t="shared" ref="N264:N269" si="128">"["&amp;$R$1&amp;SUBSTITUTE(VLOOKUP(O264,$U$77:$W$138,3,0),"_actor","")&amp;"_sb"&amp;S264&amp;"_wuqi0"&amp;T264&amp;$R$1&amp;"]"</f>
        <v>["nverguoguowang_sb2_wuqi01_01"]</v>
      </c>
      <c r="O264" s="15">
        <f t="shared" si="91"/>
        <v>1216</v>
      </c>
      <c r="R264" s="15">
        <v>2</v>
      </c>
      <c r="S264" s="15">
        <v>2</v>
      </c>
      <c r="T264" s="15" t="s">
        <v>134</v>
      </c>
      <c r="AB264" s="15">
        <v>2</v>
      </c>
      <c r="AC264" s="15">
        <f>INDEX($V$4:$Z$62,COUNTIFS($AB$1:$AB264,1),$AB264)</f>
        <v>11042</v>
      </c>
    </row>
    <row r="265" spans="1:29" s="15" customFormat="1">
      <c r="A265" s="33">
        <v>12162</v>
      </c>
      <c r="B265" s="34" t="s">
        <v>553</v>
      </c>
      <c r="C265" s="33" t="s">
        <v>189</v>
      </c>
      <c r="D265" s="34" t="s">
        <v>207</v>
      </c>
      <c r="E265" s="34" t="s">
        <v>207</v>
      </c>
      <c r="F265" s="34" t="s">
        <v>745</v>
      </c>
      <c r="G265" s="35">
        <v>1216</v>
      </c>
      <c r="H265" s="34" t="s">
        <v>483</v>
      </c>
      <c r="I265" s="15" t="str">
        <f t="shared" si="125"/>
        <v>女儿国国王</v>
      </c>
      <c r="J265" s="15">
        <v>2</v>
      </c>
      <c r="K265" s="13" t="str">
        <f t="shared" si="90"/>
        <v>相思醉+2</v>
      </c>
      <c r="L265" s="15" t="s">
        <v>482</v>
      </c>
      <c r="M265" s="15" t="str">
        <f t="shared" si="104"/>
        <v>["nverguoguowang_wuqi02_01"]</v>
      </c>
      <c r="N265" s="15" t="str">
        <f t="shared" si="128"/>
        <v>["nverguoguowang_sb3_wuqi02_01"]</v>
      </c>
      <c r="O265" s="15">
        <f t="shared" si="91"/>
        <v>1216</v>
      </c>
      <c r="R265" s="15">
        <v>2</v>
      </c>
      <c r="S265" s="15">
        <v>3</v>
      </c>
      <c r="T265" s="15" t="s">
        <v>135</v>
      </c>
      <c r="AB265" s="15">
        <v>3</v>
      </c>
      <c r="AC265" s="15">
        <f>INDEX($V$4:$Z$62,COUNTIFS($AB$1:$AB265,1),$AB265)</f>
        <v>11043</v>
      </c>
    </row>
    <row r="266" spans="1:29" s="15" customFormat="1">
      <c r="A266" s="33">
        <v>12163</v>
      </c>
      <c r="B266" s="34" t="s">
        <v>553</v>
      </c>
      <c r="C266" s="33" t="s">
        <v>189</v>
      </c>
      <c r="D266" s="34" t="s">
        <v>746</v>
      </c>
      <c r="E266" s="34" t="s">
        <v>746</v>
      </c>
      <c r="F266" s="34" t="s">
        <v>745</v>
      </c>
      <c r="G266" s="35">
        <v>1216</v>
      </c>
      <c r="H266" s="34" t="s">
        <v>484</v>
      </c>
      <c r="I266" s="15" t="str">
        <f t="shared" si="125"/>
        <v>女儿国国王</v>
      </c>
      <c r="J266" s="15">
        <v>3</v>
      </c>
      <c r="K266" s="13" t="str">
        <f t="shared" si="90"/>
        <v>相思醉+3</v>
      </c>
      <c r="L266" s="15" t="s">
        <v>483</v>
      </c>
      <c r="M266" s="15" t="str">
        <f t="shared" si="104"/>
        <v>["nverguoguowang_wuqi02_01"]</v>
      </c>
      <c r="N266" s="15" t="str">
        <f t="shared" si="128"/>
        <v>["nverguoguowang_sb4_wuqi02_01"]</v>
      </c>
      <c r="O266" s="15">
        <f t="shared" si="91"/>
        <v>1216</v>
      </c>
      <c r="R266" s="15">
        <v>2</v>
      </c>
      <c r="S266" s="15">
        <v>4</v>
      </c>
      <c r="T266" s="15" t="s">
        <v>135</v>
      </c>
      <c r="AB266" s="15">
        <v>4</v>
      </c>
      <c r="AC266" s="15">
        <f>INDEX($V$4:$Z$62,COUNTIFS($AB$1:$AB266,1),$AB266)</f>
        <v>11044</v>
      </c>
    </row>
    <row r="267" spans="1:29" s="15" customFormat="1">
      <c r="A267" s="33">
        <v>12164</v>
      </c>
      <c r="B267" s="34" t="s">
        <v>553</v>
      </c>
      <c r="C267" s="33" t="s">
        <v>189</v>
      </c>
      <c r="D267" s="34" t="s">
        <v>746</v>
      </c>
      <c r="E267" s="34" t="s">
        <v>746</v>
      </c>
      <c r="F267" s="34" t="s">
        <v>745</v>
      </c>
      <c r="G267" s="35">
        <v>1216</v>
      </c>
      <c r="H267" s="34" t="s">
        <v>485</v>
      </c>
      <c r="I267" s="15" t="str">
        <f t="shared" si="125"/>
        <v>女儿国国王</v>
      </c>
      <c r="J267" s="15">
        <v>4</v>
      </c>
      <c r="K267" s="13" t="str">
        <f t="shared" ref="K267:K268" si="129">IF(J267=0,$B267,B267&amp;"+"&amp;J267)</f>
        <v>相思醉+4</v>
      </c>
      <c r="L267" s="15" t="s">
        <v>484</v>
      </c>
      <c r="M267" s="15" t="str">
        <f t="shared" si="104"/>
        <v>["nverguoguowang_wuqi02_01"]</v>
      </c>
      <c r="N267" s="15" t="str">
        <f t="shared" si="128"/>
        <v>["nverguoguowang_sb4_wuqi02_01"]</v>
      </c>
      <c r="O267" s="15">
        <f t="shared" ref="O267:O268" si="130">INT(LEFT(A267,4))</f>
        <v>1216</v>
      </c>
      <c r="R267" s="15">
        <v>2</v>
      </c>
      <c r="S267" s="15">
        <v>4</v>
      </c>
      <c r="T267" s="15" t="s">
        <v>137</v>
      </c>
      <c r="AB267" s="15">
        <v>5</v>
      </c>
      <c r="AC267" s="15">
        <f>INDEX($V$4:$Z$62,COUNTIFS($AB$1:$AB267,1),$AB267)</f>
        <v>11045</v>
      </c>
    </row>
    <row r="268" spans="1:29" s="15" customFormat="1">
      <c r="A268" s="33">
        <v>12165</v>
      </c>
      <c r="B268" s="34" t="s">
        <v>553</v>
      </c>
      <c r="C268" s="33" t="s">
        <v>189</v>
      </c>
      <c r="D268" s="34" t="s">
        <v>746</v>
      </c>
      <c r="E268" s="34" t="s">
        <v>746</v>
      </c>
      <c r="F268" s="34" t="s">
        <v>745</v>
      </c>
      <c r="G268" s="35">
        <v>1216</v>
      </c>
      <c r="H268" s="34" t="s">
        <v>485</v>
      </c>
      <c r="I268" s="15" t="str">
        <f t="shared" si="125"/>
        <v>女儿国国王</v>
      </c>
      <c r="J268" s="15">
        <v>5</v>
      </c>
      <c r="K268" s="13" t="str">
        <f t="shared" si="129"/>
        <v>相思醉+5</v>
      </c>
      <c r="L268" s="15" t="s">
        <v>484</v>
      </c>
      <c r="M268" s="15" t="str">
        <f t="shared" si="104"/>
        <v>["nverguoguowang_wuqi02_01"]</v>
      </c>
      <c r="N268" s="15" t="str">
        <f t="shared" si="128"/>
        <v>["nverguoguowang_sb4_wuqi02_01"]</v>
      </c>
      <c r="O268" s="15">
        <f t="shared" si="130"/>
        <v>1216</v>
      </c>
      <c r="R268" s="15">
        <v>2</v>
      </c>
      <c r="S268" s="15">
        <v>4</v>
      </c>
      <c r="T268" s="15" t="s">
        <v>135</v>
      </c>
      <c r="AB268" s="15">
        <v>5</v>
      </c>
      <c r="AC268" s="15">
        <f>INDEX($V$4:$Z$62,COUNTIFS($AB$1:$AB268,1),$AB268)</f>
        <v>11045</v>
      </c>
    </row>
    <row r="269" spans="1:29" s="15" customFormat="1">
      <c r="A269" s="33">
        <v>12166</v>
      </c>
      <c r="B269" s="34" t="s">
        <v>553</v>
      </c>
      <c r="C269" s="33" t="s">
        <v>189</v>
      </c>
      <c r="D269" s="34" t="s">
        <v>746</v>
      </c>
      <c r="E269" s="34" t="s">
        <v>746</v>
      </c>
      <c r="F269" s="34" t="s">
        <v>745</v>
      </c>
      <c r="G269" s="35">
        <v>1216</v>
      </c>
      <c r="H269" s="34" t="s">
        <v>485</v>
      </c>
      <c r="I269" s="15" t="str">
        <f t="shared" si="125"/>
        <v>女儿国国王</v>
      </c>
      <c r="J269" s="15">
        <v>5</v>
      </c>
      <c r="K269" s="13" t="str">
        <f t="shared" si="90"/>
        <v>相思醉+5</v>
      </c>
      <c r="L269" s="15" t="s">
        <v>484</v>
      </c>
      <c r="M269" s="15" t="str">
        <f t="shared" si="104"/>
        <v>["nverguoguowang_wuqi02_01"]</v>
      </c>
      <c r="N269" s="15" t="str">
        <f t="shared" si="128"/>
        <v>["nverguoguowang_sb4_wuqi02_01"]</v>
      </c>
      <c r="O269" s="15">
        <f t="shared" si="91"/>
        <v>1216</v>
      </c>
      <c r="R269" s="15">
        <v>2</v>
      </c>
      <c r="S269" s="15">
        <v>4</v>
      </c>
      <c r="T269" s="15" t="s">
        <v>137</v>
      </c>
      <c r="AB269" s="15">
        <v>5</v>
      </c>
      <c r="AC269" s="15">
        <f>INDEX($V$4:$Z$62,COUNTIFS($AB$1:$AB269,1),$AB269)</f>
        <v>11045</v>
      </c>
    </row>
    <row r="270" spans="1:29">
      <c r="A270" s="24">
        <v>11060</v>
      </c>
      <c r="B270" s="23" t="s">
        <v>554</v>
      </c>
      <c r="C270" s="24" t="s">
        <v>285</v>
      </c>
      <c r="D270" s="23" t="s">
        <v>564</v>
      </c>
      <c r="E270" s="23" t="s">
        <v>564</v>
      </c>
      <c r="F270" s="25" t="s">
        <v>747</v>
      </c>
      <c r="G270" s="26">
        <v>1106</v>
      </c>
      <c r="H270" s="23" t="s">
        <v>486</v>
      </c>
      <c r="I270" s="13" t="str">
        <f t="shared" si="125"/>
        <v>太白金星</v>
      </c>
      <c r="J270" s="13">
        <v>0</v>
      </c>
      <c r="K270" s="13" t="str">
        <f t="shared" si="90"/>
        <v>太白金剑</v>
      </c>
      <c r="L270" s="13" t="s">
        <v>554</v>
      </c>
      <c r="M270" s="13" t="str">
        <f t="shared" si="104"/>
        <v>["taibaijinxing_wuqi01_01"]</v>
      </c>
      <c r="N270" s="13" t="s">
        <v>138</v>
      </c>
      <c r="O270" s="13">
        <f t="shared" si="91"/>
        <v>1106</v>
      </c>
      <c r="R270" s="13">
        <v>1</v>
      </c>
      <c r="S270" s="13">
        <v>1</v>
      </c>
      <c r="T270" s="13" t="s">
        <v>134</v>
      </c>
      <c r="AB270" s="13">
        <v>1</v>
      </c>
      <c r="AC270" s="13">
        <f>INDEX($V$4:$Z$62,COUNTIFS($AB$1:$AB270,1),$AB270)</f>
        <v>11351</v>
      </c>
    </row>
    <row r="271" spans="1:29">
      <c r="A271" s="24">
        <v>11061</v>
      </c>
      <c r="B271" s="23" t="s">
        <v>554</v>
      </c>
      <c r="C271" s="24" t="s">
        <v>286</v>
      </c>
      <c r="D271" s="23" t="s">
        <v>748</v>
      </c>
      <c r="E271" s="23" t="s">
        <v>748</v>
      </c>
      <c r="F271" s="25" t="s">
        <v>747</v>
      </c>
      <c r="G271" s="26">
        <v>1106</v>
      </c>
      <c r="H271" s="23" t="s">
        <v>487</v>
      </c>
      <c r="I271" s="13" t="str">
        <f t="shared" si="125"/>
        <v>太白金星</v>
      </c>
      <c r="J271" s="13">
        <v>1</v>
      </c>
      <c r="K271" s="13" t="str">
        <f t="shared" si="90"/>
        <v>太白金剑+1</v>
      </c>
      <c r="L271" s="13" t="s">
        <v>560</v>
      </c>
      <c r="M271" s="13" t="str">
        <f t="shared" si="104"/>
        <v>["taibaijinxing_wuqi02_01"]</v>
      </c>
      <c r="N271" s="13" t="str">
        <f t="shared" ref="N271:N276" si="131">"["&amp;$R$1&amp;SUBSTITUTE(VLOOKUP(O271,$U$77:$W$138,3,0),"_actor","")&amp;"_sb"&amp;S271&amp;"_wuqi0"&amp;T271&amp;$R$1&amp;"]"</f>
        <v>["taibaijinxing_sb2_wuqi01_01"]</v>
      </c>
      <c r="O271" s="13">
        <f t="shared" si="91"/>
        <v>1106</v>
      </c>
      <c r="R271" s="13">
        <v>2</v>
      </c>
      <c r="S271" s="13">
        <v>2</v>
      </c>
      <c r="T271" s="13" t="s">
        <v>134</v>
      </c>
      <c r="AB271" s="13">
        <v>2</v>
      </c>
      <c r="AC271" s="13">
        <f>INDEX($V$4:$Z$62,COUNTIFS($AB$1:$AB271,1),$AB271)</f>
        <v>11352</v>
      </c>
    </row>
    <row r="272" spans="1:29">
      <c r="A272" s="24">
        <v>11062</v>
      </c>
      <c r="B272" s="23" t="s">
        <v>554</v>
      </c>
      <c r="C272" s="24" t="s">
        <v>286</v>
      </c>
      <c r="D272" s="23" t="s">
        <v>597</v>
      </c>
      <c r="E272" s="23" t="s">
        <v>597</v>
      </c>
      <c r="F272" s="25" t="s">
        <v>747</v>
      </c>
      <c r="G272" s="26">
        <v>1106</v>
      </c>
      <c r="H272" s="23" t="s">
        <v>488</v>
      </c>
      <c r="I272" s="13" t="str">
        <f t="shared" si="125"/>
        <v>太白金星</v>
      </c>
      <c r="J272" s="13">
        <v>2</v>
      </c>
      <c r="K272" s="13" t="str">
        <f t="shared" si="90"/>
        <v>太白金剑+2</v>
      </c>
      <c r="L272" s="13" t="s">
        <v>561</v>
      </c>
      <c r="M272" s="13" t="str">
        <f t="shared" si="104"/>
        <v>["taibaijinxing_wuqi02_01"]</v>
      </c>
      <c r="N272" s="13" t="str">
        <f t="shared" si="131"/>
        <v>["taibaijinxing_sb3_wuqi02_01"]</v>
      </c>
      <c r="O272" s="13">
        <f t="shared" si="91"/>
        <v>1106</v>
      </c>
      <c r="R272" s="13">
        <v>2</v>
      </c>
      <c r="S272" s="13">
        <v>3</v>
      </c>
      <c r="T272" s="13" t="s">
        <v>135</v>
      </c>
      <c r="AB272" s="13">
        <v>3</v>
      </c>
      <c r="AC272" s="13">
        <f>INDEX($V$4:$Z$62,COUNTIFS($AB$1:$AB272,1),$AB272)</f>
        <v>11353</v>
      </c>
    </row>
    <row r="273" spans="1:29">
      <c r="A273" s="24">
        <v>11063</v>
      </c>
      <c r="B273" s="23" t="s">
        <v>554</v>
      </c>
      <c r="C273" s="24" t="s">
        <v>286</v>
      </c>
      <c r="D273" s="23" t="s">
        <v>172</v>
      </c>
      <c r="E273" s="23" t="s">
        <v>172</v>
      </c>
      <c r="F273" s="25" t="s">
        <v>747</v>
      </c>
      <c r="G273" s="26">
        <v>1106</v>
      </c>
      <c r="H273" s="23" t="s">
        <v>489</v>
      </c>
      <c r="I273" s="13" t="str">
        <f t="shared" si="125"/>
        <v>太白金星</v>
      </c>
      <c r="J273" s="13">
        <v>3</v>
      </c>
      <c r="K273" s="13" t="str">
        <f t="shared" ref="K273:K312" si="132">IF(J273=0,$B273,B273&amp;"+"&amp;J273)</f>
        <v>太白金剑+3</v>
      </c>
      <c r="L273" s="13" t="s">
        <v>562</v>
      </c>
      <c r="M273" s="13" t="str">
        <f t="shared" si="104"/>
        <v>["taibaijinxing_wuqi02_01"]</v>
      </c>
      <c r="N273" s="13" t="str">
        <f t="shared" si="131"/>
        <v>["taibaijinxing_sb4_wuqi02_01"]</v>
      </c>
      <c r="O273" s="13">
        <f t="shared" ref="O273:O312" si="133">INT(LEFT(A273,4))</f>
        <v>1106</v>
      </c>
      <c r="R273" s="13">
        <v>2</v>
      </c>
      <c r="S273" s="13">
        <v>4</v>
      </c>
      <c r="T273" s="13" t="s">
        <v>135</v>
      </c>
      <c r="AB273" s="13">
        <v>4</v>
      </c>
      <c r="AC273" s="13">
        <f>INDEX($V$4:$Z$62,COUNTIFS($AB$1:$AB273,1),$AB273)</f>
        <v>11354</v>
      </c>
    </row>
    <row r="274" spans="1:29">
      <c r="A274" s="24">
        <v>11064</v>
      </c>
      <c r="B274" s="23" t="s">
        <v>554</v>
      </c>
      <c r="C274" s="24" t="s">
        <v>286</v>
      </c>
      <c r="D274" s="23" t="s">
        <v>172</v>
      </c>
      <c r="E274" s="23" t="s">
        <v>172</v>
      </c>
      <c r="F274" s="25" t="s">
        <v>747</v>
      </c>
      <c r="G274" s="26">
        <v>1106</v>
      </c>
      <c r="H274" s="23" t="s">
        <v>490</v>
      </c>
      <c r="I274" s="13" t="str">
        <f t="shared" si="125"/>
        <v>太白金星</v>
      </c>
      <c r="J274" s="13">
        <v>4</v>
      </c>
      <c r="K274" s="13" t="str">
        <f t="shared" ref="K274:K275" si="134">IF(J274=0,$B274,B274&amp;"+"&amp;J274)</f>
        <v>太白金剑+4</v>
      </c>
      <c r="L274" s="13" t="s">
        <v>563</v>
      </c>
      <c r="M274" s="13" t="str">
        <f t="shared" si="104"/>
        <v>["taibaijinxing_wuqi02_01"]</v>
      </c>
      <c r="N274" s="13" t="str">
        <f t="shared" si="131"/>
        <v>["taibaijinxing_sb4_wuqi02_01"]</v>
      </c>
      <c r="O274" s="13">
        <f t="shared" ref="O274:O275" si="135">INT(LEFT(A274,4))</f>
        <v>1106</v>
      </c>
      <c r="R274" s="13">
        <v>2</v>
      </c>
      <c r="S274" s="13">
        <v>4</v>
      </c>
      <c r="T274" s="13" t="s">
        <v>137</v>
      </c>
      <c r="AB274" s="13">
        <v>5</v>
      </c>
      <c r="AC274" s="13">
        <f>INDEX($V$4:$Z$62,COUNTIFS($AB$1:$AB274,1),$AB274)</f>
        <v>11355</v>
      </c>
    </row>
    <row r="275" spans="1:29">
      <c r="A275" s="24">
        <v>11065</v>
      </c>
      <c r="B275" s="23" t="s">
        <v>554</v>
      </c>
      <c r="C275" s="24" t="s">
        <v>286</v>
      </c>
      <c r="D275" s="23" t="s">
        <v>172</v>
      </c>
      <c r="E275" s="23" t="s">
        <v>172</v>
      </c>
      <c r="F275" s="25" t="s">
        <v>747</v>
      </c>
      <c r="G275" s="26">
        <v>1106</v>
      </c>
      <c r="H275" s="23" t="s">
        <v>490</v>
      </c>
      <c r="I275" s="13" t="str">
        <f t="shared" si="125"/>
        <v>太白金星</v>
      </c>
      <c r="J275" s="13">
        <v>5</v>
      </c>
      <c r="K275" s="13" t="str">
        <f t="shared" si="134"/>
        <v>太白金剑+5</v>
      </c>
      <c r="L275" s="13" t="s">
        <v>563</v>
      </c>
      <c r="M275" s="13" t="str">
        <f t="shared" ref="M275:M312" si="136">"["&amp;$R$1&amp;SUBSTITUTE(VLOOKUP(INT(LEFT(A275,4)),$U$77:$W$138,3,0),"_actor","")&amp;"_wuqi0"&amp;R275&amp;"_01"&amp;$R$1&amp;"]"</f>
        <v>["taibaijinxing_wuqi02_01"]</v>
      </c>
      <c r="N275" s="13" t="str">
        <f t="shared" si="131"/>
        <v>["taibaijinxing_sb4_wuqi02_01"]</v>
      </c>
      <c r="O275" s="13">
        <f t="shared" si="135"/>
        <v>1106</v>
      </c>
      <c r="R275" s="13">
        <v>2</v>
      </c>
      <c r="S275" s="13">
        <v>4</v>
      </c>
      <c r="T275" s="13" t="s">
        <v>135</v>
      </c>
      <c r="AB275" s="13">
        <v>5</v>
      </c>
      <c r="AC275" s="13">
        <f>INDEX($V$4:$Z$62,COUNTIFS($AB$1:$AB275,1),$AB275)</f>
        <v>11355</v>
      </c>
    </row>
    <row r="276" spans="1:29">
      <c r="A276" s="24">
        <v>11066</v>
      </c>
      <c r="B276" s="23" t="s">
        <v>554</v>
      </c>
      <c r="C276" s="24" t="s">
        <v>286</v>
      </c>
      <c r="D276" s="23" t="s">
        <v>172</v>
      </c>
      <c r="E276" s="23" t="s">
        <v>172</v>
      </c>
      <c r="F276" s="25" t="s">
        <v>747</v>
      </c>
      <c r="G276" s="26">
        <v>1106</v>
      </c>
      <c r="H276" s="23" t="s">
        <v>490</v>
      </c>
      <c r="I276" s="13" t="str">
        <f t="shared" si="125"/>
        <v>太白金星</v>
      </c>
      <c r="J276" s="13">
        <v>5</v>
      </c>
      <c r="K276" s="13" t="str">
        <f t="shared" si="132"/>
        <v>太白金剑+5</v>
      </c>
      <c r="L276" s="13" t="s">
        <v>563</v>
      </c>
      <c r="M276" s="13" t="str">
        <f t="shared" si="136"/>
        <v>["taibaijinxing_wuqi02_01"]</v>
      </c>
      <c r="N276" s="13" t="str">
        <f t="shared" si="131"/>
        <v>["taibaijinxing_sb4_wuqi02_01"]</v>
      </c>
      <c r="O276" s="13">
        <f t="shared" si="133"/>
        <v>1106</v>
      </c>
      <c r="R276" s="13">
        <v>2</v>
      </c>
      <c r="S276" s="13">
        <v>4</v>
      </c>
      <c r="T276" s="13" t="s">
        <v>137</v>
      </c>
      <c r="AB276" s="13">
        <v>5</v>
      </c>
      <c r="AC276" s="13">
        <f>INDEX($V$4:$Z$62,COUNTIFS($AB$1:$AB276,1),$AB276)</f>
        <v>11355</v>
      </c>
    </row>
    <row r="277" spans="1:29">
      <c r="A277" s="33">
        <v>11150</v>
      </c>
      <c r="B277" s="34" t="s">
        <v>555</v>
      </c>
      <c r="C277" s="33" t="s">
        <v>287</v>
      </c>
      <c r="D277" s="34" t="s">
        <v>564</v>
      </c>
      <c r="E277" s="34" t="s">
        <v>564</v>
      </c>
      <c r="F277" s="34" t="s">
        <v>749</v>
      </c>
      <c r="G277" s="35">
        <v>1115</v>
      </c>
      <c r="H277" s="34" t="s">
        <v>491</v>
      </c>
      <c r="I277" s="13" t="str">
        <f t="shared" si="125"/>
        <v>羊力大仙</v>
      </c>
      <c r="J277" s="13">
        <v>0</v>
      </c>
      <c r="K277" s="13" t="str">
        <f t="shared" si="132"/>
        <v>羊角画戟</v>
      </c>
      <c r="L277" s="13" t="s">
        <v>555</v>
      </c>
      <c r="M277" s="13" t="str">
        <f t="shared" si="136"/>
        <v>["yanglidaxian_wuqi01_01"]</v>
      </c>
      <c r="N277" s="13" t="s">
        <v>138</v>
      </c>
      <c r="O277" s="13">
        <f t="shared" si="133"/>
        <v>1115</v>
      </c>
      <c r="R277" s="13">
        <v>1</v>
      </c>
      <c r="S277" s="13">
        <v>1</v>
      </c>
      <c r="T277" s="13" t="s">
        <v>134</v>
      </c>
      <c r="AB277" s="13">
        <v>1</v>
      </c>
      <c r="AC277" s="13">
        <f>INDEX($V$4:$Z$62,COUNTIFS($AB$1:$AB277,1),$AB277)</f>
        <v>11321</v>
      </c>
    </row>
    <row r="278" spans="1:29">
      <c r="A278" s="33">
        <v>11151</v>
      </c>
      <c r="B278" s="34" t="s">
        <v>555</v>
      </c>
      <c r="C278" s="33" t="s">
        <v>288</v>
      </c>
      <c r="D278" s="34" t="s">
        <v>598</v>
      </c>
      <c r="E278" s="34" t="s">
        <v>598</v>
      </c>
      <c r="F278" s="34" t="s">
        <v>749</v>
      </c>
      <c r="G278" s="35">
        <v>1115</v>
      </c>
      <c r="H278" s="34" t="s">
        <v>492</v>
      </c>
      <c r="I278" s="13" t="str">
        <f t="shared" si="125"/>
        <v>羊力大仙</v>
      </c>
      <c r="J278" s="13">
        <v>1</v>
      </c>
      <c r="K278" s="13" t="str">
        <f t="shared" si="132"/>
        <v>羊角画戟+1</v>
      </c>
      <c r="L278" s="13" t="s">
        <v>491</v>
      </c>
      <c r="M278" s="13" t="str">
        <f t="shared" si="136"/>
        <v>["yanglidaxian_wuqi02_01"]</v>
      </c>
      <c r="N278" s="13" t="str">
        <f t="shared" ref="N278:N283" si="137">"["&amp;$R$1&amp;SUBSTITUTE(VLOOKUP(O278,$U$77:$W$138,3,0),"_actor","")&amp;"_sb"&amp;S278&amp;"_wuqi0"&amp;T278&amp;$R$1&amp;"]"</f>
        <v>["yanglidaxian_sb2_wuqi01_01"]</v>
      </c>
      <c r="O278" s="13">
        <f t="shared" si="133"/>
        <v>1115</v>
      </c>
      <c r="R278" s="13">
        <v>2</v>
      </c>
      <c r="S278" s="13">
        <v>2</v>
      </c>
      <c r="T278" s="13" t="s">
        <v>134</v>
      </c>
      <c r="AB278" s="13">
        <v>2</v>
      </c>
      <c r="AC278" s="13">
        <f>INDEX($V$4:$Z$62,COUNTIFS($AB$1:$AB278,1),$AB278)</f>
        <v>11322</v>
      </c>
    </row>
    <row r="279" spans="1:29">
      <c r="A279" s="33">
        <v>11152</v>
      </c>
      <c r="B279" s="34" t="s">
        <v>555</v>
      </c>
      <c r="C279" s="33" t="s">
        <v>288</v>
      </c>
      <c r="D279" s="34" t="s">
        <v>173</v>
      </c>
      <c r="E279" s="34" t="s">
        <v>173</v>
      </c>
      <c r="F279" s="34" t="s">
        <v>749</v>
      </c>
      <c r="G279" s="35">
        <v>1115</v>
      </c>
      <c r="H279" s="34" t="s">
        <v>493</v>
      </c>
      <c r="I279" s="13" t="str">
        <f t="shared" si="125"/>
        <v>羊力大仙</v>
      </c>
      <c r="J279" s="13">
        <v>2</v>
      </c>
      <c r="K279" s="13" t="str">
        <f t="shared" si="132"/>
        <v>羊角画戟+2</v>
      </c>
      <c r="L279" s="13" t="s">
        <v>492</v>
      </c>
      <c r="M279" s="13" t="str">
        <f t="shared" si="136"/>
        <v>["yanglidaxian_wuqi02_01"]</v>
      </c>
      <c r="N279" s="13" t="str">
        <f t="shared" si="137"/>
        <v>["yanglidaxian_sb3_wuqi02_01"]</v>
      </c>
      <c r="O279" s="13">
        <f t="shared" si="133"/>
        <v>1115</v>
      </c>
      <c r="R279" s="13">
        <v>2</v>
      </c>
      <c r="S279" s="13">
        <v>3</v>
      </c>
      <c r="T279" s="13" t="s">
        <v>135</v>
      </c>
      <c r="AB279" s="13">
        <v>3</v>
      </c>
      <c r="AC279" s="13">
        <f>INDEX($V$4:$Z$62,COUNTIFS($AB$1:$AB279,1),$AB279)</f>
        <v>11323</v>
      </c>
    </row>
    <row r="280" spans="1:29">
      <c r="A280" s="33">
        <v>11153</v>
      </c>
      <c r="B280" s="34" t="s">
        <v>555</v>
      </c>
      <c r="C280" s="33" t="s">
        <v>288</v>
      </c>
      <c r="D280" s="34" t="s">
        <v>599</v>
      </c>
      <c r="E280" s="34" t="s">
        <v>599</v>
      </c>
      <c r="F280" s="34" t="s">
        <v>749</v>
      </c>
      <c r="G280" s="35">
        <v>1115</v>
      </c>
      <c r="H280" s="34" t="s">
        <v>494</v>
      </c>
      <c r="I280" s="13" t="str">
        <f t="shared" si="125"/>
        <v>羊力大仙</v>
      </c>
      <c r="J280" s="13">
        <v>3</v>
      </c>
      <c r="K280" s="13" t="str">
        <f t="shared" si="132"/>
        <v>羊角画戟+3</v>
      </c>
      <c r="L280" s="13" t="s">
        <v>493</v>
      </c>
      <c r="M280" s="13" t="str">
        <f t="shared" si="136"/>
        <v>["yanglidaxian_wuqi02_01"]</v>
      </c>
      <c r="N280" s="13" t="str">
        <f t="shared" si="137"/>
        <v>["yanglidaxian_sb4_wuqi02_01"]</v>
      </c>
      <c r="O280" s="13">
        <f t="shared" si="133"/>
        <v>1115</v>
      </c>
      <c r="R280" s="13">
        <v>2</v>
      </c>
      <c r="S280" s="13">
        <v>4</v>
      </c>
      <c r="T280" s="13" t="s">
        <v>135</v>
      </c>
      <c r="AB280" s="13">
        <v>4</v>
      </c>
      <c r="AC280" s="13">
        <f>INDEX($V$4:$Z$62,COUNTIFS($AB$1:$AB280,1),$AB280)</f>
        <v>11324</v>
      </c>
    </row>
    <row r="281" spans="1:29">
      <c r="A281" s="33">
        <v>11154</v>
      </c>
      <c r="B281" s="34" t="s">
        <v>555</v>
      </c>
      <c r="C281" s="33" t="s">
        <v>288</v>
      </c>
      <c r="D281" s="34" t="s">
        <v>750</v>
      </c>
      <c r="E281" s="34" t="s">
        <v>750</v>
      </c>
      <c r="F281" s="34" t="s">
        <v>749</v>
      </c>
      <c r="G281" s="35">
        <v>1115</v>
      </c>
      <c r="H281" s="34" t="s">
        <v>495</v>
      </c>
      <c r="I281" s="13" t="str">
        <f t="shared" si="125"/>
        <v>羊力大仙</v>
      </c>
      <c r="J281" s="13">
        <v>4</v>
      </c>
      <c r="K281" s="13" t="str">
        <f t="shared" ref="K281:K282" si="138">IF(J281=0,$B281,B281&amp;"+"&amp;J281)</f>
        <v>羊角画戟+4</v>
      </c>
      <c r="L281" s="13" t="s">
        <v>494</v>
      </c>
      <c r="M281" s="13" t="str">
        <f t="shared" si="136"/>
        <v>["yanglidaxian_wuqi02_01"]</v>
      </c>
      <c r="N281" s="13" t="str">
        <f t="shared" si="137"/>
        <v>["yanglidaxian_sb4_wuqi02_01"]</v>
      </c>
      <c r="O281" s="13">
        <f t="shared" ref="O281:O282" si="139">INT(LEFT(A281,4))</f>
        <v>1115</v>
      </c>
      <c r="R281" s="13">
        <v>2</v>
      </c>
      <c r="S281" s="13">
        <v>4</v>
      </c>
      <c r="T281" s="13" t="s">
        <v>137</v>
      </c>
      <c r="AB281" s="13">
        <v>5</v>
      </c>
      <c r="AC281" s="13">
        <f>INDEX($V$4:$Z$62,COUNTIFS($AB$1:$AB281,1),$AB281)</f>
        <v>11325</v>
      </c>
    </row>
    <row r="282" spans="1:29">
      <c r="A282" s="33">
        <v>11155</v>
      </c>
      <c r="B282" s="34" t="s">
        <v>555</v>
      </c>
      <c r="C282" s="33" t="s">
        <v>288</v>
      </c>
      <c r="D282" s="34" t="s">
        <v>750</v>
      </c>
      <c r="E282" s="34" t="s">
        <v>750</v>
      </c>
      <c r="F282" s="34" t="s">
        <v>749</v>
      </c>
      <c r="G282" s="35">
        <v>1115</v>
      </c>
      <c r="H282" s="34" t="s">
        <v>495</v>
      </c>
      <c r="I282" s="13" t="str">
        <f t="shared" si="125"/>
        <v>羊力大仙</v>
      </c>
      <c r="J282" s="13">
        <v>5</v>
      </c>
      <c r="K282" s="13" t="str">
        <f t="shared" si="138"/>
        <v>羊角画戟+5</v>
      </c>
      <c r="L282" s="13" t="s">
        <v>494</v>
      </c>
      <c r="M282" s="13" t="str">
        <f t="shared" si="136"/>
        <v>["yanglidaxian_wuqi02_01"]</v>
      </c>
      <c r="N282" s="13" t="str">
        <f t="shared" si="137"/>
        <v>["yanglidaxian_sb4_wuqi02_01"]</v>
      </c>
      <c r="O282" s="13">
        <f t="shared" si="139"/>
        <v>1115</v>
      </c>
      <c r="R282" s="13">
        <v>2</v>
      </c>
      <c r="S282" s="13">
        <v>4</v>
      </c>
      <c r="T282" s="13" t="s">
        <v>135</v>
      </c>
      <c r="AB282" s="13">
        <v>5</v>
      </c>
      <c r="AC282" s="13">
        <f>INDEX($V$4:$Z$62,COUNTIFS($AB$1:$AB282,1),$AB282)</f>
        <v>11325</v>
      </c>
    </row>
    <row r="283" spans="1:29">
      <c r="A283" s="33">
        <v>11156</v>
      </c>
      <c r="B283" s="34" t="s">
        <v>555</v>
      </c>
      <c r="C283" s="33" t="s">
        <v>288</v>
      </c>
      <c r="D283" s="34" t="s">
        <v>750</v>
      </c>
      <c r="E283" s="34" t="s">
        <v>750</v>
      </c>
      <c r="F283" s="34" t="s">
        <v>749</v>
      </c>
      <c r="G283" s="35">
        <v>1115</v>
      </c>
      <c r="H283" s="34" t="s">
        <v>495</v>
      </c>
      <c r="I283" s="13" t="str">
        <f t="shared" si="125"/>
        <v>羊力大仙</v>
      </c>
      <c r="J283" s="13">
        <v>5</v>
      </c>
      <c r="K283" s="13" t="str">
        <f t="shared" si="132"/>
        <v>羊角画戟+5</v>
      </c>
      <c r="L283" s="13" t="s">
        <v>494</v>
      </c>
      <c r="M283" s="13" t="str">
        <f t="shared" si="136"/>
        <v>["yanglidaxian_wuqi02_01"]</v>
      </c>
      <c r="N283" s="13" t="str">
        <f t="shared" si="137"/>
        <v>["yanglidaxian_sb4_wuqi02_01"]</v>
      </c>
      <c r="O283" s="13">
        <f t="shared" si="133"/>
        <v>1115</v>
      </c>
      <c r="R283" s="13">
        <v>2</v>
      </c>
      <c r="S283" s="13">
        <v>4</v>
      </c>
      <c r="T283" s="13" t="s">
        <v>137</v>
      </c>
      <c r="AB283" s="13">
        <v>5</v>
      </c>
      <c r="AC283" s="13">
        <f>INDEX($V$4:$Z$62,COUNTIFS($AB$1:$AB283,1),$AB283)</f>
        <v>11325</v>
      </c>
    </row>
    <row r="284" spans="1:29">
      <c r="A284" s="24">
        <v>12080</v>
      </c>
      <c r="B284" s="23" t="s">
        <v>556</v>
      </c>
      <c r="C284" s="24" t="s">
        <v>289</v>
      </c>
      <c r="D284" s="23" t="s">
        <v>564</v>
      </c>
      <c r="E284" s="23" t="s">
        <v>564</v>
      </c>
      <c r="F284" s="25" t="s">
        <v>751</v>
      </c>
      <c r="G284" s="26">
        <v>1208</v>
      </c>
      <c r="H284" s="23" t="s">
        <v>496</v>
      </c>
      <c r="I284" s="13" t="str">
        <f t="shared" si="125"/>
        <v>彩蝶仙童</v>
      </c>
      <c r="J284" s="13">
        <v>0</v>
      </c>
      <c r="K284" s="13" t="str">
        <f t="shared" si="132"/>
        <v>凝神花</v>
      </c>
      <c r="L284" s="13" t="s">
        <v>556</v>
      </c>
      <c r="M284" s="13" t="str">
        <f t="shared" si="136"/>
        <v>["caidiexiantong_wuqi01_01"]</v>
      </c>
      <c r="N284" s="13" t="s">
        <v>138</v>
      </c>
      <c r="O284" s="13">
        <f t="shared" si="133"/>
        <v>1208</v>
      </c>
      <c r="R284" s="13">
        <v>1</v>
      </c>
      <c r="S284" s="13">
        <v>1</v>
      </c>
      <c r="T284" s="13" t="s">
        <v>134</v>
      </c>
      <c r="AB284" s="13">
        <v>1</v>
      </c>
      <c r="AC284" s="13">
        <f>INDEX($V$4:$Z$62,COUNTIFS($AB$1:$AB284,1),$AB284)</f>
        <v>11321</v>
      </c>
    </row>
    <row r="285" spans="1:29">
      <c r="A285" s="24">
        <v>12081</v>
      </c>
      <c r="B285" s="23" t="s">
        <v>556</v>
      </c>
      <c r="C285" s="24" t="s">
        <v>290</v>
      </c>
      <c r="D285" s="23" t="s">
        <v>752</v>
      </c>
      <c r="E285" s="23" t="s">
        <v>752</v>
      </c>
      <c r="F285" s="25" t="s">
        <v>751</v>
      </c>
      <c r="G285" s="26">
        <v>1208</v>
      </c>
      <c r="H285" s="23" t="s">
        <v>497</v>
      </c>
      <c r="I285" s="13" t="str">
        <f t="shared" si="125"/>
        <v>彩蝶仙童</v>
      </c>
      <c r="J285" s="13">
        <v>1</v>
      </c>
      <c r="K285" s="13" t="str">
        <f t="shared" si="132"/>
        <v>凝神花+1</v>
      </c>
      <c r="L285" s="13" t="s">
        <v>496</v>
      </c>
      <c r="M285" s="13" t="str">
        <f t="shared" si="136"/>
        <v>["caidiexiantong_wuqi02_01"]</v>
      </c>
      <c r="N285" s="13" t="str">
        <f t="shared" ref="N285:N290" si="140">"["&amp;$R$1&amp;SUBSTITUTE(VLOOKUP(O285,$U$77:$W$138,3,0),"_actor","")&amp;"_sb"&amp;S285&amp;"_wuqi0"&amp;T285&amp;$R$1&amp;"]"</f>
        <v>["caidiexiantong_sb2_wuqi01_01"]</v>
      </c>
      <c r="O285" s="13">
        <f t="shared" si="133"/>
        <v>1208</v>
      </c>
      <c r="R285" s="13">
        <v>2</v>
      </c>
      <c r="S285" s="13">
        <v>2</v>
      </c>
      <c r="T285" s="13" t="s">
        <v>134</v>
      </c>
      <c r="AB285" s="13">
        <v>2</v>
      </c>
      <c r="AC285" s="13">
        <f>INDEX($V$4:$Z$62,COUNTIFS($AB$1:$AB285,1),$AB285)</f>
        <v>11322</v>
      </c>
    </row>
    <row r="286" spans="1:29">
      <c r="A286" s="24">
        <v>12082</v>
      </c>
      <c r="B286" s="23" t="s">
        <v>556</v>
      </c>
      <c r="C286" s="24" t="s">
        <v>290</v>
      </c>
      <c r="D286" s="23" t="s">
        <v>600</v>
      </c>
      <c r="E286" s="23" t="s">
        <v>600</v>
      </c>
      <c r="F286" s="25" t="s">
        <v>751</v>
      </c>
      <c r="G286" s="26">
        <v>1208</v>
      </c>
      <c r="H286" s="23" t="s">
        <v>498</v>
      </c>
      <c r="I286" s="13" t="str">
        <f t="shared" si="125"/>
        <v>彩蝶仙童</v>
      </c>
      <c r="J286" s="13">
        <v>2</v>
      </c>
      <c r="K286" s="13" t="str">
        <f t="shared" si="132"/>
        <v>凝神花+2</v>
      </c>
      <c r="L286" s="13" t="s">
        <v>497</v>
      </c>
      <c r="M286" s="13" t="str">
        <f t="shared" si="136"/>
        <v>["caidiexiantong_wuqi02_01"]</v>
      </c>
      <c r="N286" s="13" t="str">
        <f t="shared" si="140"/>
        <v>["caidiexiantong_sb3_wuqi02_01"]</v>
      </c>
      <c r="O286" s="13">
        <f t="shared" si="133"/>
        <v>1208</v>
      </c>
      <c r="R286" s="13">
        <v>2</v>
      </c>
      <c r="S286" s="13">
        <v>3</v>
      </c>
      <c r="T286" s="13" t="s">
        <v>135</v>
      </c>
      <c r="AB286" s="13">
        <v>3</v>
      </c>
      <c r="AC286" s="13">
        <f>INDEX($V$4:$Z$62,COUNTIFS($AB$1:$AB286,1),$AB286)</f>
        <v>11323</v>
      </c>
    </row>
    <row r="287" spans="1:29">
      <c r="A287" s="24">
        <v>12083</v>
      </c>
      <c r="B287" s="23" t="s">
        <v>556</v>
      </c>
      <c r="C287" s="24" t="s">
        <v>290</v>
      </c>
      <c r="D287" s="23" t="s">
        <v>174</v>
      </c>
      <c r="E287" s="23" t="s">
        <v>174</v>
      </c>
      <c r="F287" s="25" t="s">
        <v>751</v>
      </c>
      <c r="G287" s="26">
        <v>1208</v>
      </c>
      <c r="H287" s="23" t="s">
        <v>499</v>
      </c>
      <c r="I287" s="13" t="str">
        <f t="shared" si="125"/>
        <v>彩蝶仙童</v>
      </c>
      <c r="J287" s="13">
        <v>3</v>
      </c>
      <c r="K287" s="13" t="str">
        <f t="shared" si="132"/>
        <v>凝神花+3</v>
      </c>
      <c r="L287" s="13" t="s">
        <v>498</v>
      </c>
      <c r="M287" s="13" t="str">
        <f t="shared" si="136"/>
        <v>["caidiexiantong_wuqi02_01"]</v>
      </c>
      <c r="N287" s="13" t="str">
        <f t="shared" si="140"/>
        <v>["caidiexiantong_sb4_wuqi02_01"]</v>
      </c>
      <c r="O287" s="13">
        <f t="shared" si="133"/>
        <v>1208</v>
      </c>
      <c r="R287" s="13">
        <v>2</v>
      </c>
      <c r="S287" s="13">
        <v>4</v>
      </c>
      <c r="T287" s="13" t="s">
        <v>135</v>
      </c>
      <c r="AB287" s="13">
        <v>4</v>
      </c>
      <c r="AC287" s="13">
        <f>INDEX($V$4:$Z$62,COUNTIFS($AB$1:$AB287,1),$AB287)</f>
        <v>11324</v>
      </c>
    </row>
    <row r="288" spans="1:29">
      <c r="A288" s="24">
        <v>12084</v>
      </c>
      <c r="B288" s="23" t="s">
        <v>556</v>
      </c>
      <c r="C288" s="24" t="s">
        <v>290</v>
      </c>
      <c r="D288" s="23" t="s">
        <v>174</v>
      </c>
      <c r="E288" s="23" t="s">
        <v>174</v>
      </c>
      <c r="F288" s="25" t="s">
        <v>751</v>
      </c>
      <c r="G288" s="26">
        <v>1208</v>
      </c>
      <c r="H288" s="23" t="s">
        <v>500</v>
      </c>
      <c r="I288" s="13" t="str">
        <f t="shared" si="125"/>
        <v>彩蝶仙童</v>
      </c>
      <c r="J288" s="13">
        <v>4</v>
      </c>
      <c r="K288" s="13" t="str">
        <f t="shared" ref="K288:K289" si="141">IF(J288=0,$B288,B288&amp;"+"&amp;J288)</f>
        <v>凝神花+4</v>
      </c>
      <c r="L288" s="13" t="s">
        <v>499</v>
      </c>
      <c r="M288" s="13" t="str">
        <f t="shared" si="136"/>
        <v>["caidiexiantong_wuqi02_01"]</v>
      </c>
      <c r="N288" s="13" t="str">
        <f t="shared" si="140"/>
        <v>["caidiexiantong_sb4_wuqi02_01"]</v>
      </c>
      <c r="O288" s="13">
        <f t="shared" ref="O288:O289" si="142">INT(LEFT(A288,4))</f>
        <v>1208</v>
      </c>
      <c r="R288" s="13">
        <v>2</v>
      </c>
      <c r="S288" s="13">
        <v>4</v>
      </c>
      <c r="T288" s="13" t="s">
        <v>137</v>
      </c>
      <c r="AB288" s="13">
        <v>5</v>
      </c>
      <c r="AC288" s="13">
        <f>INDEX($V$4:$Z$62,COUNTIFS($AB$1:$AB288,1),$AB288)</f>
        <v>11325</v>
      </c>
    </row>
    <row r="289" spans="1:29">
      <c r="A289" s="24">
        <v>12085</v>
      </c>
      <c r="B289" s="23" t="s">
        <v>556</v>
      </c>
      <c r="C289" s="24" t="s">
        <v>290</v>
      </c>
      <c r="D289" s="23" t="s">
        <v>174</v>
      </c>
      <c r="E289" s="23" t="s">
        <v>174</v>
      </c>
      <c r="F289" s="25" t="s">
        <v>751</v>
      </c>
      <c r="G289" s="26">
        <v>1208</v>
      </c>
      <c r="H289" s="23" t="s">
        <v>500</v>
      </c>
      <c r="I289" s="13" t="str">
        <f t="shared" si="125"/>
        <v>彩蝶仙童</v>
      </c>
      <c r="J289" s="13">
        <v>5</v>
      </c>
      <c r="K289" s="13" t="str">
        <f t="shared" si="141"/>
        <v>凝神花+5</v>
      </c>
      <c r="L289" s="13" t="s">
        <v>499</v>
      </c>
      <c r="M289" s="13" t="str">
        <f t="shared" si="136"/>
        <v>["caidiexiantong_wuqi02_01"]</v>
      </c>
      <c r="N289" s="13" t="str">
        <f t="shared" si="140"/>
        <v>["caidiexiantong_sb4_wuqi02_01"]</v>
      </c>
      <c r="O289" s="13">
        <f t="shared" si="142"/>
        <v>1208</v>
      </c>
      <c r="R289" s="13">
        <v>2</v>
      </c>
      <c r="S289" s="13">
        <v>4</v>
      </c>
      <c r="T289" s="13" t="s">
        <v>135</v>
      </c>
      <c r="AB289" s="13">
        <v>5</v>
      </c>
      <c r="AC289" s="13">
        <f>INDEX($V$4:$Z$62,COUNTIFS($AB$1:$AB289,1),$AB289)</f>
        <v>11325</v>
      </c>
    </row>
    <row r="290" spans="1:29">
      <c r="A290" s="24">
        <v>12086</v>
      </c>
      <c r="B290" s="23" t="s">
        <v>556</v>
      </c>
      <c r="C290" s="24" t="s">
        <v>290</v>
      </c>
      <c r="D290" s="23" t="s">
        <v>174</v>
      </c>
      <c r="E290" s="23" t="s">
        <v>174</v>
      </c>
      <c r="F290" s="25" t="s">
        <v>751</v>
      </c>
      <c r="G290" s="26">
        <v>1208</v>
      </c>
      <c r="H290" s="23" t="s">
        <v>500</v>
      </c>
      <c r="I290" s="13" t="str">
        <f t="shared" si="125"/>
        <v>彩蝶仙童</v>
      </c>
      <c r="J290" s="13">
        <v>5</v>
      </c>
      <c r="K290" s="13" t="str">
        <f t="shared" si="132"/>
        <v>凝神花+5</v>
      </c>
      <c r="L290" s="13" t="s">
        <v>499</v>
      </c>
      <c r="M290" s="13" t="str">
        <f t="shared" si="136"/>
        <v>["caidiexiantong_wuqi02_01"]</v>
      </c>
      <c r="N290" s="13" t="str">
        <f t="shared" si="140"/>
        <v>["caidiexiantong_sb4_wuqi02_01"]</v>
      </c>
      <c r="O290" s="13">
        <f t="shared" si="133"/>
        <v>1208</v>
      </c>
      <c r="R290" s="13">
        <v>2</v>
      </c>
      <c r="S290" s="13">
        <v>4</v>
      </c>
      <c r="T290" s="13" t="s">
        <v>137</v>
      </c>
      <c r="AB290" s="13">
        <v>5</v>
      </c>
      <c r="AC290" s="13">
        <f>INDEX($V$4:$Z$62,COUNTIFS($AB$1:$AB290,1),$AB290)</f>
        <v>11325</v>
      </c>
    </row>
    <row r="291" spans="1:29">
      <c r="A291" s="33">
        <v>11220</v>
      </c>
      <c r="B291" s="34" t="s">
        <v>557</v>
      </c>
      <c r="C291" s="33" t="s">
        <v>291</v>
      </c>
      <c r="D291" s="34" t="s">
        <v>564</v>
      </c>
      <c r="E291" s="34" t="s">
        <v>564</v>
      </c>
      <c r="F291" s="34" t="s">
        <v>753</v>
      </c>
      <c r="G291" s="35">
        <v>1122</v>
      </c>
      <c r="H291" s="34" t="s">
        <v>501</v>
      </c>
      <c r="I291" s="13" t="str">
        <f t="shared" si="125"/>
        <v>唐三藏</v>
      </c>
      <c r="J291" s="13">
        <v>0</v>
      </c>
      <c r="K291" s="13" t="str">
        <f t="shared" si="132"/>
        <v>九环锡杖</v>
      </c>
      <c r="L291" s="13" t="s">
        <v>557</v>
      </c>
      <c r="M291" s="13" t="str">
        <f t="shared" si="136"/>
        <v>["tangsanzang_wuqi01_01"]</v>
      </c>
      <c r="N291" s="13" t="s">
        <v>138</v>
      </c>
      <c r="O291" s="13">
        <f t="shared" si="133"/>
        <v>1122</v>
      </c>
      <c r="R291" s="13">
        <v>1</v>
      </c>
      <c r="S291" s="13">
        <v>1</v>
      </c>
      <c r="T291" s="13" t="s">
        <v>134</v>
      </c>
      <c r="AB291" s="13">
        <v>1</v>
      </c>
      <c r="AC291" s="13">
        <f>INDEX($V$4:$Z$62,COUNTIFS($AB$1:$AB291,1),$AB291)</f>
        <v>11321</v>
      </c>
    </row>
    <row r="292" spans="1:29">
      <c r="A292" s="33">
        <v>11221</v>
      </c>
      <c r="B292" s="34" t="s">
        <v>557</v>
      </c>
      <c r="C292" s="33" t="s">
        <v>292</v>
      </c>
      <c r="D292" s="34" t="s">
        <v>601</v>
      </c>
      <c r="E292" s="34" t="s">
        <v>601</v>
      </c>
      <c r="F292" s="34" t="s">
        <v>753</v>
      </c>
      <c r="G292" s="35">
        <v>1122</v>
      </c>
      <c r="H292" s="34" t="s">
        <v>502</v>
      </c>
      <c r="I292" s="13" t="str">
        <f t="shared" si="125"/>
        <v>唐三藏</v>
      </c>
      <c r="J292" s="13">
        <v>1</v>
      </c>
      <c r="K292" s="13" t="str">
        <f t="shared" si="132"/>
        <v>九环锡杖+1</v>
      </c>
      <c r="L292" s="13" t="s">
        <v>501</v>
      </c>
      <c r="M292" s="13" t="str">
        <f t="shared" si="136"/>
        <v>["tangsanzang_wuqi02_01"]</v>
      </c>
      <c r="N292" s="13" t="str">
        <f t="shared" ref="N292:N297" si="143">"["&amp;$R$1&amp;SUBSTITUTE(VLOOKUP(O292,$U$77:$W$138,3,0),"_actor","")&amp;"_sb"&amp;S292&amp;"_wuqi0"&amp;T292&amp;$R$1&amp;"]"</f>
        <v>["tangsanzang_sb2_wuqi01_01"]</v>
      </c>
      <c r="O292" s="13">
        <f t="shared" si="133"/>
        <v>1122</v>
      </c>
      <c r="R292" s="13">
        <v>2</v>
      </c>
      <c r="S292" s="13">
        <v>2</v>
      </c>
      <c r="T292" s="13" t="s">
        <v>134</v>
      </c>
      <c r="AB292" s="13">
        <v>2</v>
      </c>
      <c r="AC292" s="13">
        <f>INDEX($V$4:$Z$62,COUNTIFS($AB$1:$AB292,1),$AB292)</f>
        <v>11322</v>
      </c>
    </row>
    <row r="293" spans="1:29">
      <c r="A293" s="33">
        <v>11222</v>
      </c>
      <c r="B293" s="34" t="s">
        <v>557</v>
      </c>
      <c r="C293" s="33" t="s">
        <v>292</v>
      </c>
      <c r="D293" s="34" t="s">
        <v>175</v>
      </c>
      <c r="E293" s="34" t="s">
        <v>175</v>
      </c>
      <c r="F293" s="34" t="s">
        <v>753</v>
      </c>
      <c r="G293" s="35">
        <v>1122</v>
      </c>
      <c r="H293" s="34" t="s">
        <v>503</v>
      </c>
      <c r="I293" s="13" t="str">
        <f t="shared" si="125"/>
        <v>唐三藏</v>
      </c>
      <c r="J293" s="13">
        <v>2</v>
      </c>
      <c r="K293" s="13" t="str">
        <f t="shared" si="132"/>
        <v>九环锡杖+2</v>
      </c>
      <c r="L293" s="13" t="s">
        <v>502</v>
      </c>
      <c r="M293" s="13" t="str">
        <f t="shared" si="136"/>
        <v>["tangsanzang_wuqi02_01"]</v>
      </c>
      <c r="N293" s="13" t="str">
        <f t="shared" si="143"/>
        <v>["tangsanzang_sb3_wuqi02_01"]</v>
      </c>
      <c r="O293" s="13">
        <f t="shared" si="133"/>
        <v>1122</v>
      </c>
      <c r="R293" s="13">
        <v>2</v>
      </c>
      <c r="S293" s="13">
        <v>3</v>
      </c>
      <c r="T293" s="13" t="s">
        <v>135</v>
      </c>
      <c r="AB293" s="13">
        <v>3</v>
      </c>
      <c r="AC293" s="13">
        <f>INDEX($V$4:$Z$62,COUNTIFS($AB$1:$AB293,1),$AB293)</f>
        <v>11323</v>
      </c>
    </row>
    <row r="294" spans="1:29">
      <c r="A294" s="33">
        <v>11223</v>
      </c>
      <c r="B294" s="34" t="s">
        <v>557</v>
      </c>
      <c r="C294" s="33" t="s">
        <v>292</v>
      </c>
      <c r="D294" s="34" t="s">
        <v>602</v>
      </c>
      <c r="E294" s="34" t="s">
        <v>602</v>
      </c>
      <c r="F294" s="34" t="s">
        <v>753</v>
      </c>
      <c r="G294" s="35">
        <v>1122</v>
      </c>
      <c r="H294" s="34" t="s">
        <v>504</v>
      </c>
      <c r="I294" s="13" t="str">
        <f t="shared" si="125"/>
        <v>唐三藏</v>
      </c>
      <c r="J294" s="13">
        <v>3</v>
      </c>
      <c r="K294" s="13" t="str">
        <f t="shared" si="132"/>
        <v>九环锡杖+3</v>
      </c>
      <c r="L294" s="13" t="s">
        <v>503</v>
      </c>
      <c r="M294" s="13" t="str">
        <f t="shared" si="136"/>
        <v>["tangsanzang_wuqi02_01"]</v>
      </c>
      <c r="N294" s="13" t="str">
        <f t="shared" si="143"/>
        <v>["tangsanzang_sb4_wuqi02_01"]</v>
      </c>
      <c r="O294" s="13">
        <f t="shared" si="133"/>
        <v>1122</v>
      </c>
      <c r="R294" s="13">
        <v>2</v>
      </c>
      <c r="S294" s="13">
        <v>4</v>
      </c>
      <c r="T294" s="13" t="s">
        <v>135</v>
      </c>
      <c r="AB294" s="13">
        <v>4</v>
      </c>
      <c r="AC294" s="13">
        <f>INDEX($V$4:$Z$62,COUNTIFS($AB$1:$AB294,1),$AB294)</f>
        <v>11324</v>
      </c>
    </row>
    <row r="295" spans="1:29">
      <c r="A295" s="33">
        <v>11224</v>
      </c>
      <c r="B295" s="34" t="s">
        <v>557</v>
      </c>
      <c r="C295" s="33" t="s">
        <v>292</v>
      </c>
      <c r="D295" s="34" t="s">
        <v>754</v>
      </c>
      <c r="E295" s="34" t="s">
        <v>754</v>
      </c>
      <c r="F295" s="34" t="s">
        <v>753</v>
      </c>
      <c r="G295" s="35">
        <v>1122</v>
      </c>
      <c r="H295" s="34" t="s">
        <v>505</v>
      </c>
      <c r="I295" s="13" t="str">
        <f t="shared" si="125"/>
        <v>唐三藏</v>
      </c>
      <c r="J295" s="13">
        <v>4</v>
      </c>
      <c r="K295" s="13" t="str">
        <f t="shared" ref="K295:K296" si="144">IF(J295=0,$B295,B295&amp;"+"&amp;J295)</f>
        <v>九环锡杖+4</v>
      </c>
      <c r="L295" s="13" t="s">
        <v>504</v>
      </c>
      <c r="M295" s="13" t="str">
        <f t="shared" si="136"/>
        <v>["tangsanzang_wuqi02_01"]</v>
      </c>
      <c r="N295" s="13" t="str">
        <f t="shared" si="143"/>
        <v>["tangsanzang_sb4_wuqi02_01"]</v>
      </c>
      <c r="O295" s="13">
        <f t="shared" ref="O295:O296" si="145">INT(LEFT(A295,4))</f>
        <v>1122</v>
      </c>
      <c r="R295" s="13">
        <v>2</v>
      </c>
      <c r="S295" s="13">
        <v>4</v>
      </c>
      <c r="T295" s="13" t="s">
        <v>137</v>
      </c>
      <c r="AB295" s="13">
        <v>5</v>
      </c>
      <c r="AC295" s="13">
        <f>INDEX($V$4:$Z$62,COUNTIFS($AB$1:$AB295,1),$AB295)</f>
        <v>11325</v>
      </c>
    </row>
    <row r="296" spans="1:29">
      <c r="A296" s="33">
        <v>11225</v>
      </c>
      <c r="B296" s="34" t="s">
        <v>557</v>
      </c>
      <c r="C296" s="33" t="s">
        <v>292</v>
      </c>
      <c r="D296" s="34" t="s">
        <v>754</v>
      </c>
      <c r="E296" s="34" t="s">
        <v>754</v>
      </c>
      <c r="F296" s="34" t="s">
        <v>753</v>
      </c>
      <c r="G296" s="35">
        <v>1122</v>
      </c>
      <c r="H296" s="34" t="s">
        <v>505</v>
      </c>
      <c r="I296" s="13" t="str">
        <f t="shared" si="125"/>
        <v>唐三藏</v>
      </c>
      <c r="J296" s="13">
        <v>5</v>
      </c>
      <c r="K296" s="13" t="str">
        <f t="shared" si="144"/>
        <v>九环锡杖+5</v>
      </c>
      <c r="L296" s="13" t="s">
        <v>504</v>
      </c>
      <c r="M296" s="13" t="str">
        <f t="shared" si="136"/>
        <v>["tangsanzang_wuqi02_01"]</v>
      </c>
      <c r="N296" s="13" t="str">
        <f t="shared" si="143"/>
        <v>["tangsanzang_sb4_wuqi02_01"]</v>
      </c>
      <c r="O296" s="13">
        <f t="shared" si="145"/>
        <v>1122</v>
      </c>
      <c r="R296" s="13">
        <v>2</v>
      </c>
      <c r="S296" s="13">
        <v>4</v>
      </c>
      <c r="T296" s="13" t="s">
        <v>135</v>
      </c>
      <c r="AB296" s="13">
        <v>5</v>
      </c>
      <c r="AC296" s="13">
        <f>INDEX($V$4:$Z$62,COUNTIFS($AB$1:$AB296,1),$AB296)</f>
        <v>11325</v>
      </c>
    </row>
    <row r="297" spans="1:29">
      <c r="A297" s="33">
        <v>11226</v>
      </c>
      <c r="B297" s="34" t="s">
        <v>557</v>
      </c>
      <c r="C297" s="33" t="s">
        <v>292</v>
      </c>
      <c r="D297" s="34" t="s">
        <v>754</v>
      </c>
      <c r="E297" s="34" t="s">
        <v>754</v>
      </c>
      <c r="F297" s="34" t="s">
        <v>753</v>
      </c>
      <c r="G297" s="35">
        <v>1122</v>
      </c>
      <c r="H297" s="34" t="s">
        <v>505</v>
      </c>
      <c r="I297" s="13" t="str">
        <f t="shared" si="125"/>
        <v>唐三藏</v>
      </c>
      <c r="J297" s="13">
        <v>5</v>
      </c>
      <c r="K297" s="13" t="str">
        <f t="shared" si="132"/>
        <v>九环锡杖+5</v>
      </c>
      <c r="L297" s="13" t="s">
        <v>504</v>
      </c>
      <c r="M297" s="13" t="str">
        <f t="shared" si="136"/>
        <v>["tangsanzang_wuqi02_01"]</v>
      </c>
      <c r="N297" s="13" t="str">
        <f t="shared" si="143"/>
        <v>["tangsanzang_sb4_wuqi02_01"]</v>
      </c>
      <c r="O297" s="13">
        <f t="shared" si="133"/>
        <v>1122</v>
      </c>
      <c r="R297" s="13">
        <v>2</v>
      </c>
      <c r="S297" s="13">
        <v>4</v>
      </c>
      <c r="T297" s="13" t="s">
        <v>137</v>
      </c>
      <c r="AB297" s="13">
        <v>5</v>
      </c>
      <c r="AC297" s="13">
        <f>INDEX($V$4:$Z$62,COUNTIFS($AB$1:$AB297,1),$AB297)</f>
        <v>11325</v>
      </c>
    </row>
    <row r="298" spans="1:29">
      <c r="A298" s="24">
        <v>12070</v>
      </c>
      <c r="B298" s="23" t="s">
        <v>558</v>
      </c>
      <c r="C298" s="24" t="s">
        <v>293</v>
      </c>
      <c r="D298" s="23" t="s">
        <v>564</v>
      </c>
      <c r="E298" s="23" t="s">
        <v>564</v>
      </c>
      <c r="F298" s="25" t="s">
        <v>755</v>
      </c>
      <c r="G298" s="26">
        <v>1207</v>
      </c>
      <c r="H298" s="23" t="s">
        <v>506</v>
      </c>
      <c r="I298" s="13" t="str">
        <f t="shared" si="125"/>
        <v>引魂仙子</v>
      </c>
      <c r="J298" s="13">
        <v>0</v>
      </c>
      <c r="K298" s="13" t="str">
        <f t="shared" si="132"/>
        <v>吊莲仙灯</v>
      </c>
      <c r="L298" s="13" t="s">
        <v>558</v>
      </c>
      <c r="M298" s="13" t="str">
        <f t="shared" si="136"/>
        <v>["yinhunxianzi_wuqi01_01"]</v>
      </c>
      <c r="N298" s="13" t="s">
        <v>138</v>
      </c>
      <c r="O298" s="13">
        <f t="shared" si="133"/>
        <v>1207</v>
      </c>
      <c r="R298" s="13">
        <v>1</v>
      </c>
      <c r="S298" s="13">
        <v>1</v>
      </c>
      <c r="T298" s="13" t="s">
        <v>134</v>
      </c>
      <c r="AB298" s="13">
        <v>1</v>
      </c>
      <c r="AC298" s="13">
        <f>INDEX($V$4:$Z$62,COUNTIFS($AB$1:$AB298,1),$AB298)</f>
        <v>11251</v>
      </c>
    </row>
    <row r="299" spans="1:29">
      <c r="A299" s="24">
        <v>12071</v>
      </c>
      <c r="B299" s="23" t="s">
        <v>558</v>
      </c>
      <c r="C299" s="24" t="s">
        <v>294</v>
      </c>
      <c r="D299" s="23" t="s">
        <v>756</v>
      </c>
      <c r="E299" s="23" t="s">
        <v>756</v>
      </c>
      <c r="F299" s="25" t="s">
        <v>755</v>
      </c>
      <c r="G299" s="26">
        <v>1207</v>
      </c>
      <c r="H299" s="23" t="s">
        <v>507</v>
      </c>
      <c r="I299" s="13" t="str">
        <f t="shared" si="125"/>
        <v>引魂仙子</v>
      </c>
      <c r="J299" s="13">
        <v>1</v>
      </c>
      <c r="K299" s="13" t="str">
        <f t="shared" si="132"/>
        <v>吊莲仙灯+1</v>
      </c>
      <c r="L299" s="13" t="s">
        <v>506</v>
      </c>
      <c r="M299" s="13" t="str">
        <f t="shared" si="136"/>
        <v>["yinhunxianzi_wuqi02_01"]</v>
      </c>
      <c r="N299" s="13" t="str">
        <f t="shared" ref="N299:N304" si="146">"["&amp;$R$1&amp;SUBSTITUTE(VLOOKUP(O299,$U$77:$W$138,3,0),"_actor","")&amp;"_sb"&amp;S299&amp;"_wuqi0"&amp;T299&amp;$R$1&amp;"]"</f>
        <v>["yinhunxianzi_sb2_wuqi01_01"]</v>
      </c>
      <c r="O299" s="13">
        <f t="shared" si="133"/>
        <v>1207</v>
      </c>
      <c r="R299" s="13">
        <v>2</v>
      </c>
      <c r="S299" s="13">
        <v>2</v>
      </c>
      <c r="T299" s="13" t="s">
        <v>134</v>
      </c>
      <c r="AB299" s="13">
        <v>2</v>
      </c>
      <c r="AC299" s="13">
        <f>INDEX($V$4:$Z$62,COUNTIFS($AB$1:$AB299,1),$AB299)</f>
        <v>11252</v>
      </c>
    </row>
    <row r="300" spans="1:29">
      <c r="A300" s="24">
        <v>12072</v>
      </c>
      <c r="B300" s="23" t="s">
        <v>558</v>
      </c>
      <c r="C300" s="24" t="s">
        <v>294</v>
      </c>
      <c r="D300" s="23" t="s">
        <v>603</v>
      </c>
      <c r="E300" s="23" t="s">
        <v>603</v>
      </c>
      <c r="F300" s="25" t="s">
        <v>755</v>
      </c>
      <c r="G300" s="26">
        <v>1207</v>
      </c>
      <c r="H300" s="23" t="s">
        <v>508</v>
      </c>
      <c r="I300" s="13" t="str">
        <f t="shared" si="125"/>
        <v>引魂仙子</v>
      </c>
      <c r="J300" s="13">
        <v>2</v>
      </c>
      <c r="K300" s="13" t="str">
        <f t="shared" si="132"/>
        <v>吊莲仙灯+2</v>
      </c>
      <c r="L300" s="13" t="s">
        <v>507</v>
      </c>
      <c r="M300" s="13" t="str">
        <f t="shared" si="136"/>
        <v>["yinhunxianzi_wuqi02_01"]</v>
      </c>
      <c r="N300" s="13" t="str">
        <f t="shared" si="146"/>
        <v>["yinhunxianzi_sb3_wuqi02_01"]</v>
      </c>
      <c r="O300" s="13">
        <f t="shared" si="133"/>
        <v>1207</v>
      </c>
      <c r="R300" s="13">
        <v>2</v>
      </c>
      <c r="S300" s="13">
        <v>3</v>
      </c>
      <c r="T300" s="13" t="s">
        <v>135</v>
      </c>
      <c r="AB300" s="13">
        <v>3</v>
      </c>
      <c r="AC300" s="13">
        <f>INDEX($V$4:$Z$62,COUNTIFS($AB$1:$AB300,1),$AB300)</f>
        <v>11253</v>
      </c>
    </row>
    <row r="301" spans="1:29">
      <c r="A301" s="24">
        <v>12073</v>
      </c>
      <c r="B301" s="23" t="s">
        <v>558</v>
      </c>
      <c r="C301" s="24" t="s">
        <v>294</v>
      </c>
      <c r="D301" s="23" t="s">
        <v>219</v>
      </c>
      <c r="E301" s="23" t="s">
        <v>219</v>
      </c>
      <c r="F301" s="25" t="s">
        <v>755</v>
      </c>
      <c r="G301" s="26">
        <v>1207</v>
      </c>
      <c r="H301" s="23" t="s">
        <v>509</v>
      </c>
      <c r="I301" s="13" t="str">
        <f t="shared" si="125"/>
        <v>引魂仙子</v>
      </c>
      <c r="J301" s="13">
        <v>3</v>
      </c>
      <c r="K301" s="13" t="str">
        <f t="shared" si="132"/>
        <v>吊莲仙灯+3</v>
      </c>
      <c r="L301" s="13" t="s">
        <v>508</v>
      </c>
      <c r="M301" s="13" t="str">
        <f t="shared" si="136"/>
        <v>["yinhunxianzi_wuqi02_01"]</v>
      </c>
      <c r="N301" s="13" t="str">
        <f t="shared" si="146"/>
        <v>["yinhunxianzi_sb4_wuqi02_01"]</v>
      </c>
      <c r="O301" s="13">
        <f t="shared" si="133"/>
        <v>1207</v>
      </c>
      <c r="R301" s="13">
        <v>2</v>
      </c>
      <c r="S301" s="13">
        <v>4</v>
      </c>
      <c r="T301" s="13" t="s">
        <v>135</v>
      </c>
      <c r="AB301" s="13">
        <v>4</v>
      </c>
      <c r="AC301" s="13">
        <f>INDEX($V$4:$Z$62,COUNTIFS($AB$1:$AB301,1),$AB301)</f>
        <v>11254</v>
      </c>
    </row>
    <row r="302" spans="1:29">
      <c r="A302" s="24">
        <v>12074</v>
      </c>
      <c r="B302" s="23" t="s">
        <v>558</v>
      </c>
      <c r="C302" s="24" t="s">
        <v>294</v>
      </c>
      <c r="D302" s="23" t="s">
        <v>219</v>
      </c>
      <c r="E302" s="23" t="s">
        <v>219</v>
      </c>
      <c r="F302" s="25" t="s">
        <v>755</v>
      </c>
      <c r="G302" s="26">
        <v>1207</v>
      </c>
      <c r="H302" s="23" t="s">
        <v>510</v>
      </c>
      <c r="I302" s="13" t="str">
        <f t="shared" si="125"/>
        <v>引魂仙子</v>
      </c>
      <c r="J302" s="13">
        <v>4</v>
      </c>
      <c r="K302" s="13" t="str">
        <f t="shared" ref="K302:K303" si="147">IF(J302=0,$B302,B302&amp;"+"&amp;J302)</f>
        <v>吊莲仙灯+4</v>
      </c>
      <c r="L302" s="13" t="s">
        <v>509</v>
      </c>
      <c r="M302" s="13" t="str">
        <f t="shared" si="136"/>
        <v>["yinhunxianzi_wuqi02_01"]</v>
      </c>
      <c r="N302" s="13" t="str">
        <f t="shared" si="146"/>
        <v>["yinhunxianzi_sb4_wuqi02_01"]</v>
      </c>
      <c r="O302" s="13">
        <f t="shared" ref="O302:O303" si="148">INT(LEFT(A302,4))</f>
        <v>1207</v>
      </c>
      <c r="R302" s="13">
        <v>2</v>
      </c>
      <c r="S302" s="13">
        <v>4</v>
      </c>
      <c r="T302" s="13" t="s">
        <v>137</v>
      </c>
      <c r="AB302" s="13">
        <v>5</v>
      </c>
      <c r="AC302" s="13">
        <f>INDEX($V$4:$Z$62,COUNTIFS($AB$1:$AB302,1),$AB302)</f>
        <v>11255</v>
      </c>
    </row>
    <row r="303" spans="1:29">
      <c r="A303" s="24">
        <v>12075</v>
      </c>
      <c r="B303" s="23" t="s">
        <v>558</v>
      </c>
      <c r="C303" s="24" t="s">
        <v>294</v>
      </c>
      <c r="D303" s="23" t="s">
        <v>219</v>
      </c>
      <c r="E303" s="23" t="s">
        <v>219</v>
      </c>
      <c r="F303" s="25" t="s">
        <v>755</v>
      </c>
      <c r="G303" s="26">
        <v>1207</v>
      </c>
      <c r="H303" s="23" t="s">
        <v>510</v>
      </c>
      <c r="I303" s="13" t="str">
        <f t="shared" si="125"/>
        <v>引魂仙子</v>
      </c>
      <c r="J303" s="13">
        <v>5</v>
      </c>
      <c r="K303" s="13" t="str">
        <f t="shared" si="147"/>
        <v>吊莲仙灯+5</v>
      </c>
      <c r="L303" s="13" t="s">
        <v>509</v>
      </c>
      <c r="M303" s="13" t="str">
        <f t="shared" si="136"/>
        <v>["yinhunxianzi_wuqi02_01"]</v>
      </c>
      <c r="N303" s="13" t="str">
        <f t="shared" si="146"/>
        <v>["yinhunxianzi_sb4_wuqi02_01"]</v>
      </c>
      <c r="O303" s="13">
        <f t="shared" si="148"/>
        <v>1207</v>
      </c>
      <c r="R303" s="13">
        <v>2</v>
      </c>
      <c r="S303" s="13">
        <v>4</v>
      </c>
      <c r="T303" s="13" t="s">
        <v>135</v>
      </c>
      <c r="AB303" s="13">
        <v>5</v>
      </c>
      <c r="AC303" s="13">
        <f>INDEX($V$4:$Z$62,COUNTIFS($AB$1:$AB303,1),$AB303)</f>
        <v>11255</v>
      </c>
    </row>
    <row r="304" spans="1:29">
      <c r="A304" s="24">
        <v>12076</v>
      </c>
      <c r="B304" s="23" t="s">
        <v>558</v>
      </c>
      <c r="C304" s="24" t="s">
        <v>294</v>
      </c>
      <c r="D304" s="23" t="s">
        <v>219</v>
      </c>
      <c r="E304" s="23" t="s">
        <v>219</v>
      </c>
      <c r="F304" s="25" t="s">
        <v>755</v>
      </c>
      <c r="G304" s="26">
        <v>1207</v>
      </c>
      <c r="H304" s="23" t="s">
        <v>510</v>
      </c>
      <c r="I304" s="13" t="str">
        <f t="shared" si="125"/>
        <v>引魂仙子</v>
      </c>
      <c r="J304" s="13">
        <v>5</v>
      </c>
      <c r="K304" s="13" t="str">
        <f t="shared" si="132"/>
        <v>吊莲仙灯+5</v>
      </c>
      <c r="L304" s="13" t="s">
        <v>509</v>
      </c>
      <c r="M304" s="13" t="str">
        <f t="shared" si="136"/>
        <v>["yinhunxianzi_wuqi02_01"]</v>
      </c>
      <c r="N304" s="13" t="str">
        <f t="shared" si="146"/>
        <v>["yinhunxianzi_sb4_wuqi02_01"]</v>
      </c>
      <c r="O304" s="13">
        <f t="shared" si="133"/>
        <v>1207</v>
      </c>
      <c r="R304" s="13">
        <v>2</v>
      </c>
      <c r="S304" s="13">
        <v>4</v>
      </c>
      <c r="T304" s="13" t="s">
        <v>137</v>
      </c>
      <c r="AB304" s="13">
        <v>5</v>
      </c>
      <c r="AC304" s="13">
        <f>INDEX($V$4:$Z$62,COUNTIFS($AB$1:$AB304,1),$AB304)</f>
        <v>11255</v>
      </c>
    </row>
    <row r="305" spans="1:29" s="15" customFormat="1">
      <c r="A305" s="33">
        <v>11070</v>
      </c>
      <c r="B305" s="34" t="s">
        <v>559</v>
      </c>
      <c r="C305" s="33" t="s">
        <v>119</v>
      </c>
      <c r="D305" s="34" t="s">
        <v>564</v>
      </c>
      <c r="E305" s="34" t="s">
        <v>564</v>
      </c>
      <c r="F305" s="34" t="s">
        <v>757</v>
      </c>
      <c r="G305" s="35">
        <v>1107</v>
      </c>
      <c r="H305" s="34" t="s">
        <v>511</v>
      </c>
      <c r="I305" s="15" t="str">
        <f t="shared" si="125"/>
        <v>赤脚大仙</v>
      </c>
      <c r="J305" s="15">
        <v>0</v>
      </c>
      <c r="K305" s="13" t="str">
        <f t="shared" si="132"/>
        <v>落樱神斧</v>
      </c>
      <c r="L305" s="15" t="s">
        <v>559</v>
      </c>
      <c r="M305" s="15" t="str">
        <f t="shared" si="136"/>
        <v>["chijiaodaxian_wuqi01_01"]</v>
      </c>
      <c r="N305" s="15" t="s">
        <v>138</v>
      </c>
      <c r="O305" s="15">
        <f t="shared" si="133"/>
        <v>1107</v>
      </c>
      <c r="R305" s="15">
        <v>1</v>
      </c>
      <c r="S305" s="15">
        <v>1</v>
      </c>
      <c r="T305" s="15" t="s">
        <v>134</v>
      </c>
    </row>
    <row r="306" spans="1:29" s="15" customFormat="1">
      <c r="A306" s="33">
        <v>11071</v>
      </c>
      <c r="B306" s="34" t="s">
        <v>559</v>
      </c>
      <c r="C306" s="33" t="s">
        <v>120</v>
      </c>
      <c r="D306" s="34" t="s">
        <v>604</v>
      </c>
      <c r="E306" s="34" t="s">
        <v>604</v>
      </c>
      <c r="F306" s="34" t="s">
        <v>757</v>
      </c>
      <c r="G306" s="35">
        <v>1107</v>
      </c>
      <c r="H306" s="34" t="s">
        <v>512</v>
      </c>
      <c r="I306" s="15" t="str">
        <f t="shared" si="125"/>
        <v>赤脚大仙</v>
      </c>
      <c r="J306" s="15">
        <v>1</v>
      </c>
      <c r="K306" s="13" t="str">
        <f t="shared" si="132"/>
        <v>落樱神斧+1</v>
      </c>
      <c r="L306" s="15" t="s">
        <v>511</v>
      </c>
      <c r="M306" s="15" t="str">
        <f t="shared" si="136"/>
        <v>["chijiaodaxian_wuqi02_01"]</v>
      </c>
      <c r="N306" s="15" t="str">
        <f t="shared" ref="N306:N312" si="149">"["&amp;$R$1&amp;SUBSTITUTE(VLOOKUP(O306,$U$77:$W$138,3,0),"_actor","")&amp;"_sb"&amp;S306&amp;"_wuqi0"&amp;T306&amp;$R$1&amp;"]"</f>
        <v>["chijiaodaxian_sb2_wuqi01_01"]</v>
      </c>
      <c r="O306" s="15">
        <f t="shared" si="133"/>
        <v>1107</v>
      </c>
      <c r="R306" s="15">
        <v>2</v>
      </c>
      <c r="S306" s="15">
        <v>2</v>
      </c>
      <c r="T306" s="15" t="s">
        <v>134</v>
      </c>
    </row>
    <row r="307" spans="1:29" s="15" customFormat="1">
      <c r="A307" s="33">
        <v>11072</v>
      </c>
      <c r="B307" s="34" t="s">
        <v>559</v>
      </c>
      <c r="C307" s="33" t="s">
        <v>120</v>
      </c>
      <c r="D307" s="34" t="s">
        <v>208</v>
      </c>
      <c r="E307" s="34" t="s">
        <v>208</v>
      </c>
      <c r="F307" s="34" t="s">
        <v>757</v>
      </c>
      <c r="G307" s="35">
        <v>1107</v>
      </c>
      <c r="H307" s="34" t="s">
        <v>513</v>
      </c>
      <c r="I307" s="15" t="str">
        <f t="shared" si="125"/>
        <v>赤脚大仙</v>
      </c>
      <c r="J307" s="15">
        <v>2</v>
      </c>
      <c r="K307" s="13" t="str">
        <f t="shared" si="132"/>
        <v>落樱神斧+2</v>
      </c>
      <c r="L307" s="15" t="s">
        <v>512</v>
      </c>
      <c r="M307" s="15" t="str">
        <f t="shared" si="136"/>
        <v>["chijiaodaxian_wuqi02_01"]</v>
      </c>
      <c r="N307" s="15" t="str">
        <f t="shared" si="149"/>
        <v>["chijiaodaxian_sb3_wuqi02_01"]</v>
      </c>
      <c r="O307" s="15">
        <f t="shared" si="133"/>
        <v>1107</v>
      </c>
      <c r="R307" s="15">
        <v>2</v>
      </c>
      <c r="S307" s="15">
        <v>3</v>
      </c>
      <c r="T307" s="15" t="s">
        <v>135</v>
      </c>
    </row>
    <row r="308" spans="1:29" s="15" customFormat="1">
      <c r="A308" s="33">
        <v>11073</v>
      </c>
      <c r="B308" s="34" t="s">
        <v>559</v>
      </c>
      <c r="C308" s="33" t="s">
        <v>120</v>
      </c>
      <c r="D308" s="34" t="s">
        <v>758</v>
      </c>
      <c r="E308" s="34" t="s">
        <v>758</v>
      </c>
      <c r="F308" s="34" t="s">
        <v>757</v>
      </c>
      <c r="G308" s="35">
        <v>1107</v>
      </c>
      <c r="H308" s="34" t="s">
        <v>514</v>
      </c>
      <c r="I308" s="15" t="str">
        <f t="shared" si="125"/>
        <v>赤脚大仙</v>
      </c>
      <c r="J308" s="15">
        <v>3</v>
      </c>
      <c r="K308" s="13" t="str">
        <f t="shared" si="132"/>
        <v>落樱神斧+3</v>
      </c>
      <c r="L308" s="15" t="s">
        <v>513</v>
      </c>
      <c r="M308" s="15" t="str">
        <f t="shared" si="136"/>
        <v>["chijiaodaxian_wuqi02_01"]</v>
      </c>
      <c r="N308" s="15" t="str">
        <f t="shared" si="149"/>
        <v>["chijiaodaxian_sb4_wuqi02_01"]</v>
      </c>
      <c r="O308" s="15">
        <f t="shared" si="133"/>
        <v>1107</v>
      </c>
      <c r="R308" s="15">
        <v>2</v>
      </c>
      <c r="S308" s="15">
        <v>4</v>
      </c>
      <c r="T308" s="15" t="s">
        <v>135</v>
      </c>
    </row>
    <row r="309" spans="1:29" s="15" customFormat="1">
      <c r="A309" s="33">
        <v>11074</v>
      </c>
      <c r="B309" s="34" t="s">
        <v>559</v>
      </c>
      <c r="C309" s="33" t="s">
        <v>120</v>
      </c>
      <c r="D309" s="34" t="s">
        <v>758</v>
      </c>
      <c r="E309" s="34" t="s">
        <v>758</v>
      </c>
      <c r="F309" s="34" t="s">
        <v>757</v>
      </c>
      <c r="G309" s="35">
        <v>1107</v>
      </c>
      <c r="H309" s="34" t="s">
        <v>515</v>
      </c>
      <c r="I309" s="15" t="str">
        <f t="shared" si="125"/>
        <v>赤脚大仙</v>
      </c>
      <c r="J309" s="15">
        <v>4</v>
      </c>
      <c r="K309" s="13" t="str">
        <f t="shared" ref="K309:K310" si="150">IF(J309=0,$B309,B309&amp;"+"&amp;J309)</f>
        <v>落樱神斧+4</v>
      </c>
      <c r="L309" s="15" t="s">
        <v>514</v>
      </c>
      <c r="M309" s="15" t="str">
        <f t="shared" si="136"/>
        <v>["chijiaodaxian_wuqi02_01"]</v>
      </c>
      <c r="N309" s="15" t="str">
        <f t="shared" si="149"/>
        <v>["chijiaodaxian_sb4_wuqi02_01"]</v>
      </c>
      <c r="O309" s="15">
        <f t="shared" ref="O309:O310" si="151">INT(LEFT(A309,4))</f>
        <v>1107</v>
      </c>
      <c r="R309" s="15">
        <v>2</v>
      </c>
      <c r="S309" s="15">
        <v>4</v>
      </c>
      <c r="T309" s="15" t="s">
        <v>137</v>
      </c>
    </row>
    <row r="310" spans="1:29" s="15" customFormat="1">
      <c r="A310" s="33">
        <v>11075</v>
      </c>
      <c r="B310" s="34" t="s">
        <v>559</v>
      </c>
      <c r="C310" s="33" t="s">
        <v>120</v>
      </c>
      <c r="D310" s="34" t="s">
        <v>758</v>
      </c>
      <c r="E310" s="34" t="s">
        <v>758</v>
      </c>
      <c r="F310" s="34" t="s">
        <v>757</v>
      </c>
      <c r="G310" s="35">
        <v>1107</v>
      </c>
      <c r="H310" s="34" t="s">
        <v>515</v>
      </c>
      <c r="I310" s="15" t="str">
        <f t="shared" si="125"/>
        <v>赤脚大仙</v>
      </c>
      <c r="J310" s="15">
        <v>5</v>
      </c>
      <c r="K310" s="13" t="str">
        <f t="shared" si="150"/>
        <v>落樱神斧+5</v>
      </c>
      <c r="L310" s="15" t="s">
        <v>514</v>
      </c>
      <c r="M310" s="15" t="str">
        <f t="shared" si="136"/>
        <v>["chijiaodaxian_wuqi02_01"]</v>
      </c>
      <c r="N310" s="15" t="str">
        <f t="shared" si="149"/>
        <v>["chijiaodaxian_sb4_wuqi02_01"]</v>
      </c>
      <c r="O310" s="15">
        <f t="shared" si="151"/>
        <v>1107</v>
      </c>
      <c r="R310" s="15">
        <v>2</v>
      </c>
      <c r="S310" s="15">
        <v>4</v>
      </c>
      <c r="T310" s="15" t="s">
        <v>135</v>
      </c>
    </row>
    <row r="311" spans="1:29" s="15" customFormat="1">
      <c r="A311" s="33">
        <v>11076</v>
      </c>
      <c r="B311" s="34" t="s">
        <v>559</v>
      </c>
      <c r="C311" s="33" t="s">
        <v>120</v>
      </c>
      <c r="D311" s="34" t="s">
        <v>758</v>
      </c>
      <c r="E311" s="34" t="s">
        <v>758</v>
      </c>
      <c r="F311" s="34" t="s">
        <v>757</v>
      </c>
      <c r="G311" s="35">
        <v>1107</v>
      </c>
      <c r="H311" s="34" t="s">
        <v>515</v>
      </c>
      <c r="I311" s="15" t="str">
        <f t="shared" si="125"/>
        <v>赤脚大仙</v>
      </c>
      <c r="J311" s="15">
        <v>5</v>
      </c>
      <c r="K311" s="13" t="str">
        <f t="shared" si="132"/>
        <v>落樱神斧+5</v>
      </c>
      <c r="L311" s="15" t="s">
        <v>514</v>
      </c>
      <c r="M311" s="15" t="str">
        <f t="shared" si="136"/>
        <v>["chijiaodaxian_wuqi02_01"]</v>
      </c>
      <c r="N311" s="15" t="str">
        <f t="shared" si="149"/>
        <v>["chijiaodaxian_sb4_wuqi02_01"]</v>
      </c>
      <c r="O311" s="15">
        <f t="shared" si="133"/>
        <v>1107</v>
      </c>
      <c r="R311" s="15">
        <v>2</v>
      </c>
      <c r="S311" s="15">
        <v>4</v>
      </c>
      <c r="T311" s="15" t="s">
        <v>137</v>
      </c>
    </row>
    <row r="312" spans="1:29">
      <c r="A312" s="36">
        <v>100000</v>
      </c>
      <c r="B312" s="6" t="s">
        <v>760</v>
      </c>
      <c r="C312" s="36" t="s">
        <v>761</v>
      </c>
      <c r="D312" s="37" t="s">
        <v>762</v>
      </c>
      <c r="E312" s="37" t="s">
        <v>762</v>
      </c>
      <c r="F312" s="37" t="s">
        <v>609</v>
      </c>
      <c r="G312" s="38">
        <v>1211</v>
      </c>
      <c r="H312" s="37" t="s">
        <v>312</v>
      </c>
      <c r="I312" s="13" t="e">
        <f t="shared" si="125"/>
        <v>#N/A</v>
      </c>
      <c r="J312" s="13">
        <v>1</v>
      </c>
      <c r="K312" s="13" t="str">
        <f t="shared" si="132"/>
        <v>暴走孙悟空+1</v>
      </c>
      <c r="L312" s="13" t="s">
        <v>311</v>
      </c>
      <c r="M312" s="13" t="e">
        <f t="shared" si="136"/>
        <v>#N/A</v>
      </c>
      <c r="N312" s="13" t="e">
        <f t="shared" si="149"/>
        <v>#N/A</v>
      </c>
      <c r="O312" s="13">
        <f t="shared" si="133"/>
        <v>1000</v>
      </c>
      <c r="R312" s="13">
        <v>2</v>
      </c>
      <c r="S312" s="13">
        <v>2</v>
      </c>
      <c r="T312" s="13" t="s">
        <v>134</v>
      </c>
      <c r="U312" s="14">
        <v>1126</v>
      </c>
      <c r="V312" s="13">
        <f t="shared" ref="V312:Z312" si="152">INT($U312&amp;V$3)</f>
        <v>11261</v>
      </c>
      <c r="W312" s="13">
        <f t="shared" si="152"/>
        <v>11262</v>
      </c>
      <c r="X312" s="13">
        <f t="shared" si="152"/>
        <v>11263</v>
      </c>
      <c r="Y312" s="13">
        <f t="shared" si="152"/>
        <v>11264</v>
      </c>
      <c r="Z312" s="13">
        <f t="shared" si="152"/>
        <v>11265</v>
      </c>
      <c r="AB312" s="13">
        <v>2</v>
      </c>
      <c r="AC312" s="13">
        <f>INDEX($V$4:$Z$62,COUNTIFS($AB$1:$AB312,1),$AB312)</f>
        <v>11252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微软用户</cp:lastModifiedBy>
  <dcterms:created xsi:type="dcterms:W3CDTF">2006-09-16T00:00:00Z</dcterms:created>
  <dcterms:modified xsi:type="dcterms:W3CDTF">2018-01-24T04:13:33Z</dcterms:modified>
</cp:coreProperties>
</file>