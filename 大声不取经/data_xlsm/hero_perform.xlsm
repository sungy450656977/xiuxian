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180" windowWidth="19410" windowHeight="11010"/>
  </bookViews>
  <sheets>
    <sheet name="Sheet1" sheetId="1" r:id="rId1"/>
    <sheet name="Sheet2" sheetId="2" r:id="rId2"/>
  </sheets>
  <functionGroups builtInGroupCount="17"/>
  <definedNames>
    <definedName name="_xlnm._FilterDatabase" localSheetId="0" hidden="1">Sheet1!$A$1:$H$58</definedName>
  </definedNames>
  <calcPr calcId="144525" concurrentCalc="0"/>
</workbook>
</file>

<file path=xl/calcChain.xml><?xml version="1.0" encoding="utf-8"?>
<calcChain xmlns="http://schemas.openxmlformats.org/spreadsheetml/2006/main">
  <c r="I5" i="1" l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4" i="1"/>
  <c r="M4" i="2"/>
  <c r="L4" i="2"/>
</calcChain>
</file>

<file path=xl/sharedStrings.xml><?xml version="1.0" encoding="utf-8"?>
<sst xmlns="http://schemas.openxmlformats.org/spreadsheetml/2006/main" count="351" uniqueCount="202">
  <si>
    <t>表现包ID[字符串]</t>
  </si>
  <si>
    <t>表现（动作、特效）描述[字符串]</t>
  </si>
  <si>
    <t>perform_id</t>
  </si>
  <si>
    <t>perform_name</t>
  </si>
  <si>
    <t>effect_id</t>
  </si>
  <si>
    <t>effect_time</t>
  </si>
  <si>
    <t>effect_pos_type</t>
  </si>
  <si>
    <t>effect_anchor</t>
  </si>
  <si>
    <t>effect_pos_offset</t>
  </si>
  <si>
    <t>effect_rotation_offset</t>
  </si>
  <si>
    <t>s</t>
  </si>
  <si>
    <t>n</t>
  </si>
  <si>
    <t>i</t>
  </si>
  <si>
    <t>[]</t>
  </si>
  <si>
    <t>attack_1</t>
    <phoneticPr fontId="2" type="noConversion"/>
  </si>
  <si>
    <t>skill_4</t>
    <phoneticPr fontId="2" type="noConversion"/>
  </si>
  <si>
    <t>[]</t>
    <phoneticPr fontId="2" type="noConversion"/>
  </si>
  <si>
    <t>attack_1</t>
  </si>
  <si>
    <t>skill_2</t>
  </si>
  <si>
    <t>skill_4</t>
  </si>
  <si>
    <t>[]</t>
    <phoneticPr fontId="2" type="noConversion"/>
  </si>
  <si>
    <t>xiaobailong_skill01</t>
    <phoneticPr fontId="2" type="noConversion"/>
  </si>
  <si>
    <t>小白龙核心技能</t>
    <phoneticPr fontId="2" type="noConversion"/>
  </si>
  <si>
    <t>xiaobailong_effect1</t>
  </si>
  <si>
    <t>nezha_attack</t>
    <phoneticPr fontId="2" type="noConversion"/>
  </si>
  <si>
    <t>哪吒普攻</t>
    <phoneticPr fontId="2" type="noConversion"/>
  </si>
  <si>
    <t>zhubajie_effect2_q</t>
  </si>
  <si>
    <t>zhubajie_effect2_b</t>
  </si>
  <si>
    <t>zhubajie_skill04</t>
    <phoneticPr fontId="2" type="noConversion"/>
  </si>
  <si>
    <t>猪八戒技能4</t>
    <phoneticPr fontId="2" type="noConversion"/>
  </si>
  <si>
    <t>zhubajie_effect4</t>
  </si>
  <si>
    <t>龙帝技能</t>
    <phoneticPr fontId="2" type="noConversion"/>
  </si>
  <si>
    <t>longdi_effect2</t>
    <phoneticPr fontId="2" type="noConversion"/>
  </si>
  <si>
    <t>longdi_skill02</t>
    <phoneticPr fontId="2" type="noConversion"/>
  </si>
  <si>
    <t>zhubajie_skill02_q</t>
  </si>
  <si>
    <t>猪八戒技能2起手</t>
  </si>
  <si>
    <t>zhubajie_skill02_b</t>
  </si>
  <si>
    <t>猪八戒技能2命中</t>
  </si>
  <si>
    <t>youyinghun_attack</t>
  </si>
  <si>
    <t>幽萤魂普攻</t>
  </si>
  <si>
    <t>0|0|1.5</t>
    <phoneticPr fontId="2" type="noConversion"/>
  </si>
  <si>
    <t>youyinghun_attack</t>
    <phoneticPr fontId="2" type="noConversion"/>
  </si>
  <si>
    <t>0|-1.75|0</t>
    <phoneticPr fontId="2" type="noConversion"/>
  </si>
  <si>
    <t>0|0|1</t>
    <phoneticPr fontId="2" type="noConversion"/>
  </si>
  <si>
    <t>特效资源调用ID[字符串][]=只播放动画,Null=生成空特效                                            调用game_res里面的资源</t>
  </si>
  <si>
    <t>特效持续时间 0=永久仅对有特效的情况下生效</t>
  </si>
  <si>
    <t>特效挂载骨骼[字符串]
仅对挂载类型为1,2,4的有效 
0=原点（默认）
1=中心（偏移）
2=顶部（偏移）
3=脚底（骨骼）
4=胸口（骨骼）
5=头部（骨骼）
6=左手（骨骼）
7=右手（骨骼）
8=武器（骨骼）
9=左脚(骨骼)  
10=右脚(骨骼) 
11=左前臂(骨骼)   
12=右前臂(骨骼) 
13=质心(骨骼) 
14=颈部(骨骼) 
15=武器(骨骼)</t>
  </si>
  <si>
    <t>sunwukong_cj_1</t>
  </si>
  <si>
    <t>babutianlong_cj_1</t>
  </si>
  <si>
    <t>babutianlong_cj_0</t>
  </si>
  <si>
    <t>nezha_cj_1</t>
  </si>
  <si>
    <t>nezha_cj_0</t>
  </si>
  <si>
    <t>nvzhujue_cj_0</t>
  </si>
  <si>
    <t>xiaobailong_cj_1</t>
  </si>
  <si>
    <t>baigufuren_cj_0</t>
  </si>
  <si>
    <t>baigufuren_cj_1</t>
  </si>
  <si>
    <t>baiwuchang_cj_0</t>
  </si>
  <si>
    <t>change_cj_0</t>
  </si>
  <si>
    <t>douzhanshengfo_cj_0</t>
  </si>
  <si>
    <t>erlangshen_cj_0</t>
  </si>
  <si>
    <t>guanshiyin_cj_0</t>
  </si>
  <si>
    <t>heiwuchang_cj_0</t>
  </si>
  <si>
    <t>hulidaxian_cj_0</t>
  </si>
  <si>
    <t>jinchanzi_cj_0</t>
  </si>
  <si>
    <t>jiutianxuannv_cj_0</t>
  </si>
  <si>
    <t>longdi_cj_0</t>
  </si>
  <si>
    <t>longdi_zis_Bip001 L Hand</t>
  </si>
  <si>
    <t>milefo_cj_0</t>
  </si>
  <si>
    <t>nanzhujue_cj_0</t>
  </si>
  <si>
    <t>niumowang_cj_0</t>
  </si>
  <si>
    <t>sunwukong_cj_0</t>
  </si>
  <si>
    <t>tieshangongzhu_cj_0</t>
  </si>
  <si>
    <t>wangmuniangniang_cj_0</t>
  </si>
  <si>
    <t>wenshupusa_cj_0</t>
  </si>
  <si>
    <t>xiaobailong_cj_0</t>
  </si>
  <si>
    <t>xiaobailong_zis_Bip001 Spine</t>
  </si>
  <si>
    <t>yuhuangdadi_cj_0</t>
  </si>
  <si>
    <t>zhubajie_cj_0</t>
  </si>
  <si>
    <t>zixiaxianzi_cj_0</t>
  </si>
  <si>
    <t>白骨夫人场景</t>
  </si>
  <si>
    <t>白无常场景</t>
  </si>
  <si>
    <t>嫦娥场景</t>
  </si>
  <si>
    <t>斗战胜佛场景</t>
  </si>
  <si>
    <t>二郎神场景</t>
  </si>
  <si>
    <t>观世音场景</t>
  </si>
  <si>
    <t>黑无常场景</t>
  </si>
  <si>
    <t>虎力大仙场景</t>
    <phoneticPr fontId="2" type="noConversion"/>
  </si>
  <si>
    <t>金蝉子场景</t>
    <phoneticPr fontId="2" type="noConversion"/>
  </si>
  <si>
    <t>九天玄女场景</t>
    <phoneticPr fontId="2" type="noConversion"/>
  </si>
  <si>
    <t>龙帝场景</t>
    <phoneticPr fontId="2" type="noConversion"/>
  </si>
  <si>
    <t>弥勒佛场景</t>
    <phoneticPr fontId="2" type="noConversion"/>
  </si>
  <si>
    <t>男主角场景</t>
    <phoneticPr fontId="2" type="noConversion"/>
  </si>
  <si>
    <t>哪吒场景</t>
    <phoneticPr fontId="2" type="noConversion"/>
  </si>
  <si>
    <t>牛魔王场景</t>
    <phoneticPr fontId="2" type="noConversion"/>
  </si>
  <si>
    <t>女主角场景</t>
    <phoneticPr fontId="2" type="noConversion"/>
  </si>
  <si>
    <t>孙悟空场景</t>
    <phoneticPr fontId="2" type="noConversion"/>
  </si>
  <si>
    <t>铁扇公主场景</t>
    <phoneticPr fontId="2" type="noConversion"/>
  </si>
  <si>
    <t>王母娘娘场景</t>
    <phoneticPr fontId="2" type="noConversion"/>
  </si>
  <si>
    <t>文殊菩萨场景</t>
    <phoneticPr fontId="2" type="noConversion"/>
  </si>
  <si>
    <t>小白龙场景</t>
    <phoneticPr fontId="2" type="noConversion"/>
  </si>
  <si>
    <t>玉皇大帝场景</t>
    <phoneticPr fontId="2" type="noConversion"/>
  </si>
  <si>
    <t>猪八戒场景</t>
    <phoneticPr fontId="2" type="noConversion"/>
  </si>
  <si>
    <t>紫霞仙子场景</t>
    <phoneticPr fontId="2" type="noConversion"/>
  </si>
  <si>
    <t>baiwuchang_cj_1</t>
  </si>
  <si>
    <t>change_cj_1</t>
  </si>
  <si>
    <t>douzhanshengfo_cj_1</t>
  </si>
  <si>
    <t>erlangshen_cj_1</t>
  </si>
  <si>
    <t>guanshiyin_cj_1</t>
  </si>
  <si>
    <t>heiwuchang_cj_1</t>
  </si>
  <si>
    <t>hulidaxian_cj_1</t>
  </si>
  <si>
    <t>jinchanzi_cj_1</t>
  </si>
  <si>
    <t>jiutianxuannv_cj_1</t>
  </si>
  <si>
    <t>longdi_cj_1</t>
  </si>
  <si>
    <t>milefo_cj_1</t>
  </si>
  <si>
    <t>nanzhujue_cj_1</t>
  </si>
  <si>
    <t>niumowang_cj_1</t>
  </si>
  <si>
    <t>nvzhujue_cj_1</t>
  </si>
  <si>
    <t>tieshangongzhu_cj_1</t>
  </si>
  <si>
    <t>wangmuniangniang_cj_1</t>
  </si>
  <si>
    <t>wenshupusa_cj_1</t>
  </si>
  <si>
    <t>yuhuangdadi_cj_1</t>
  </si>
  <si>
    <t>zhubajie_cj_1</t>
  </si>
  <si>
    <t>zixiaxianzi_cj_1</t>
  </si>
  <si>
    <t>八部天龙场景</t>
    <phoneticPr fontId="2" type="noConversion"/>
  </si>
  <si>
    <t>龙帝自身</t>
    <phoneticPr fontId="2" type="noConversion"/>
  </si>
  <si>
    <t>longdi_zis_1</t>
    <phoneticPr fontId="2" type="noConversion"/>
  </si>
  <si>
    <t>小白龙自身</t>
    <phoneticPr fontId="2" type="noConversion"/>
  </si>
  <si>
    <t>xiaobailong_zis_1</t>
    <phoneticPr fontId="2" type="noConversion"/>
  </si>
  <si>
    <t>erlangshen_zis_Point001</t>
    <phoneticPr fontId="2" type="noConversion"/>
  </si>
  <si>
    <t>二郎神自身</t>
    <phoneticPr fontId="2" type="noConversion"/>
  </si>
  <si>
    <t>erlangshen_zis_1</t>
    <phoneticPr fontId="2" type="noConversion"/>
  </si>
  <si>
    <t>na</t>
    <phoneticPr fontId="2" type="noConversion"/>
  </si>
  <si>
    <t>特效偏移位置点(x,y,z)[字符串]
（右，上，前）</t>
    <phoneticPr fontId="2" type="noConversion"/>
  </si>
  <si>
    <t>[12,15,64]</t>
    <phoneticPr fontId="2" type="noConversion"/>
  </si>
  <si>
    <t>zixiaxianzi_zis_Bip001 R Forearm</t>
    <phoneticPr fontId="2" type="noConversion"/>
  </si>
  <si>
    <t>zixiaxianzi_zis_Bone033</t>
    <phoneticPr fontId="2" type="noConversion"/>
  </si>
  <si>
    <t>zixiaxianzi_zis_Bip001 L Forearm</t>
    <phoneticPr fontId="2" type="noConversion"/>
  </si>
  <si>
    <t>[0.02,0.16,-0.10]</t>
    <phoneticPr fontId="2" type="noConversion"/>
  </si>
  <si>
    <t>[-67.3,-77.8,-105.7]</t>
    <phoneticPr fontId="2" type="noConversion"/>
  </si>
  <si>
    <t>紫霞仙子挂饰1</t>
    <phoneticPr fontId="2" type="noConversion"/>
  </si>
  <si>
    <t>紫霞仙子挂饰2</t>
  </si>
  <si>
    <t>紫霞仙子挂饰3</t>
  </si>
  <si>
    <t>zixiaxianzi_zis_2</t>
  </si>
  <si>
    <t>zixiaxianzi_zis_3</t>
  </si>
  <si>
    <t>zixiaxianzi_zis_1</t>
    <phoneticPr fontId="2" type="noConversion"/>
  </si>
  <si>
    <t>niumowang_zis_Bip001 Head</t>
  </si>
  <si>
    <t>牛魔王自身</t>
    <phoneticPr fontId="2" type="noConversion"/>
  </si>
  <si>
    <t>niumowang_zis_1</t>
    <phoneticPr fontId="2" type="noConversion"/>
  </si>
  <si>
    <t>特效挂载类型[字符串]
0=不生成  
2=始终跟随角色，方向也随角色旋转 
5= 始终跟随目标，但不随角色旋转</t>
    <phoneticPr fontId="2" type="noConversion"/>
  </si>
  <si>
    <t>[]</t>
    <phoneticPr fontId="2" type="noConversion"/>
  </si>
  <si>
    <t>东海龙王场景</t>
    <phoneticPr fontId="2" type="noConversion"/>
  </si>
  <si>
    <t>hunshimowang_cj_0</t>
    <phoneticPr fontId="2" type="noConversion"/>
  </si>
  <si>
    <t>lulidaxian_cj_0</t>
    <phoneticPr fontId="2" type="noConversion"/>
  </si>
  <si>
    <t>nverguoguowang_cj_0</t>
    <phoneticPr fontId="2" type="noConversion"/>
  </si>
  <si>
    <t>shaheshang_cj_0</t>
    <phoneticPr fontId="2" type="noConversion"/>
  </si>
  <si>
    <t>xiezijing_cj_0</t>
    <phoneticPr fontId="2" type="noConversion"/>
  </si>
  <si>
    <t>混世魔王场景</t>
    <phoneticPr fontId="2" type="noConversion"/>
  </si>
  <si>
    <t>迦叶场景</t>
    <phoneticPr fontId="2" type="noConversion"/>
  </si>
  <si>
    <t>鹿力大仙场景</t>
    <phoneticPr fontId="2" type="noConversion"/>
  </si>
  <si>
    <t>女儿国国王场景</t>
    <phoneticPr fontId="2" type="noConversion"/>
  </si>
  <si>
    <t>沙和尚场景</t>
    <phoneticPr fontId="2" type="noConversion"/>
  </si>
  <si>
    <t>蝎子精场景</t>
    <phoneticPr fontId="2" type="noConversion"/>
  </si>
  <si>
    <t>羊力大仙场景</t>
    <phoneticPr fontId="2" type="noConversion"/>
  </si>
  <si>
    <t>yanglidaxian_cj_0</t>
    <phoneticPr fontId="2" type="noConversion"/>
  </si>
  <si>
    <t>yinhunxianzi_cj_1</t>
    <phoneticPr fontId="2" type="noConversion"/>
  </si>
  <si>
    <t>引魂仙子场景</t>
    <phoneticPr fontId="2" type="noConversion"/>
  </si>
  <si>
    <t>yinhunxianzi_cj_0</t>
    <phoneticPr fontId="2" type="noConversion"/>
  </si>
  <si>
    <t>donghailongwang_cj_0</t>
    <phoneticPr fontId="2" type="noConversion"/>
  </si>
  <si>
    <t>jiaye_cj_0</t>
    <phoneticPr fontId="2" type="noConversion"/>
  </si>
  <si>
    <t>donghailongwang_cj_1</t>
    <phoneticPr fontId="2" type="noConversion"/>
  </si>
  <si>
    <t>hunshimowang_cj_1</t>
    <phoneticPr fontId="2" type="noConversion"/>
  </si>
  <si>
    <t>jiaye_cj_1</t>
    <phoneticPr fontId="2" type="noConversion"/>
  </si>
  <si>
    <t>lulidaxian_cj_1</t>
    <phoneticPr fontId="2" type="noConversion"/>
  </si>
  <si>
    <t>nverguoguowang_cj_1</t>
    <phoneticPr fontId="2" type="noConversion"/>
  </si>
  <si>
    <t>shaheshang_cj_1</t>
    <phoneticPr fontId="2" type="noConversion"/>
  </si>
  <si>
    <t>xiezijing_cj_1</t>
    <phoneticPr fontId="2" type="noConversion"/>
  </si>
  <si>
    <t>yanglidaxian_cj_1</t>
    <phoneticPr fontId="2" type="noConversion"/>
  </si>
  <si>
    <t>caidiexiantong_cj_0</t>
    <phoneticPr fontId="2" type="noConversion"/>
  </si>
  <si>
    <t>honghaier_cj_0</t>
    <phoneticPr fontId="2" type="noConversion"/>
  </si>
  <si>
    <t>liuermihou_cj_0</t>
    <phoneticPr fontId="2" type="noConversion"/>
  </si>
  <si>
    <t>tangsanzang_cj_0</t>
    <phoneticPr fontId="2" type="noConversion"/>
  </si>
  <si>
    <t>yanluowang_cj_0</t>
    <phoneticPr fontId="2" type="noConversion"/>
  </si>
  <si>
    <t>zhizhujing_cj_0</t>
    <phoneticPr fontId="2" type="noConversion"/>
  </si>
  <si>
    <t>renshenwa_cj_0</t>
    <phoneticPr fontId="2" type="noConversion"/>
  </si>
  <si>
    <t>彩蝶仙童场景</t>
    <phoneticPr fontId="2" type="noConversion"/>
  </si>
  <si>
    <t>红孩儿场景</t>
    <phoneticPr fontId="2" type="noConversion"/>
  </si>
  <si>
    <t>六耳猕猴场景</t>
    <phoneticPr fontId="2" type="noConversion"/>
  </si>
  <si>
    <t>太白金星场景</t>
    <phoneticPr fontId="2" type="noConversion"/>
  </si>
  <si>
    <t>唐三藏场景</t>
    <phoneticPr fontId="2" type="noConversion"/>
  </si>
  <si>
    <t>阎罗王场景</t>
    <phoneticPr fontId="2" type="noConversion"/>
  </si>
  <si>
    <t>蜘蛛精场景</t>
    <phoneticPr fontId="2" type="noConversion"/>
  </si>
  <si>
    <t>人参娃场景</t>
    <phoneticPr fontId="2" type="noConversion"/>
  </si>
  <si>
    <t>caidiexiantong_cj_1</t>
    <phoneticPr fontId="2" type="noConversion"/>
  </si>
  <si>
    <t>honghaier_cj_1</t>
    <phoneticPr fontId="2" type="noConversion"/>
  </si>
  <si>
    <t>liuermihou_cj_1</t>
    <phoneticPr fontId="2" type="noConversion"/>
  </si>
  <si>
    <t>taibaijinxing_cj_1</t>
    <phoneticPr fontId="2" type="noConversion"/>
  </si>
  <si>
    <t>tangsanzang_cj_1</t>
    <phoneticPr fontId="2" type="noConversion"/>
  </si>
  <si>
    <t>yanluowang_cj_1</t>
    <phoneticPr fontId="2" type="noConversion"/>
  </si>
  <si>
    <t>zhizhujing_cj_1</t>
    <phoneticPr fontId="2" type="noConversion"/>
  </si>
  <si>
    <t>renshenwa_cj_1</t>
    <phoneticPr fontId="2" type="noConversion"/>
  </si>
  <si>
    <t>taibaijinxing_cj_0</t>
    <phoneticPr fontId="2" type="noConversion"/>
  </si>
  <si>
    <t>[]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</si>
</sst>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color indexed="0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60"/>
      <name val="宋体"/>
      <family val="3"/>
      <charset val="134"/>
    </font>
    <font>
      <sz val="10"/>
      <name val="微软雅黑"/>
      <family val="2"/>
      <charset val="134"/>
    </font>
    <font>
      <sz val="10"/>
      <color rgb="FFFF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7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8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2" borderId="0" applyNumberFormat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3" fillId="3" borderId="1" xfId="0" applyFont="1" applyFill="1" applyBorder="1" applyAlignment="1">
      <alignment horizontal="left" vertical="top"/>
    </xf>
    <xf numFmtId="49" fontId="3" fillId="4" borderId="1" xfId="0" applyNumberFormat="1" applyFont="1" applyFill="1" applyBorder="1" applyAlignment="1">
      <alignment horizontal="left" vertical="top" wrapText="1"/>
    </xf>
    <xf numFmtId="0" fontId="9" fillId="0" borderId="1" xfId="2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9" fillId="0" borderId="0" xfId="0" applyFont="1" applyFill="1" applyBorder="1">
      <alignment vertical="center"/>
    </xf>
    <xf numFmtId="0" fontId="10" fillId="0" borderId="0" xfId="0" applyFont="1" applyFill="1">
      <alignment vertical="center"/>
    </xf>
    <xf numFmtId="49" fontId="3" fillId="3" borderId="1" xfId="0" applyNumberFormat="1" applyFont="1" applyFill="1" applyBorder="1" applyAlignment="1">
      <alignment horizontal="left" vertical="top"/>
    </xf>
    <xf numFmtId="49" fontId="9" fillId="0" borderId="1" xfId="2" applyNumberFormat="1" applyFont="1" applyFill="1" applyBorder="1" applyAlignment="1">
      <alignment horizontal="left" vertical="top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49" fontId="10" fillId="0" borderId="0" xfId="0" applyNumberFormat="1" applyFont="1">
      <alignment vertical="center"/>
    </xf>
    <xf numFmtId="0" fontId="9" fillId="0" borderId="0" xfId="0" applyFont="1" applyFill="1" applyBorder="1" applyAlignment="1">
      <alignment vertical="center" wrapText="1"/>
    </xf>
    <xf numFmtId="0" fontId="9" fillId="0" borderId="0" xfId="0" applyFont="1" applyFill="1">
      <alignment vertical="center"/>
    </xf>
    <xf numFmtId="49" fontId="9" fillId="0" borderId="0" xfId="0" applyNumberFormat="1" applyFont="1" applyFill="1">
      <alignment vertical="center"/>
    </xf>
    <xf numFmtId="0" fontId="3" fillId="4" borderId="1" xfId="0" applyFont="1" applyFill="1" applyBorder="1" applyAlignment="1">
      <alignment horizontal="left" vertical="top" wrapText="1"/>
    </xf>
    <xf numFmtId="0" fontId="9" fillId="0" borderId="1" xfId="0" applyFont="1" applyFill="1" applyBorder="1">
      <alignment vertical="center"/>
    </xf>
    <xf numFmtId="0" fontId="10" fillId="0" borderId="1" xfId="2" applyFont="1" applyFill="1" applyBorder="1" applyAlignment="1">
      <alignment horizontal="left" vertical="top"/>
    </xf>
    <xf numFmtId="49" fontId="10" fillId="0" borderId="1" xfId="2" applyNumberFormat="1" applyFont="1" applyFill="1" applyBorder="1" applyAlignment="1">
      <alignment horizontal="left" vertical="top"/>
    </xf>
    <xf numFmtId="0" fontId="10" fillId="0" borderId="0" xfId="0" applyFont="1" applyFill="1" applyBorder="1">
      <alignment vertical="center"/>
    </xf>
  </cellXfs>
  <cellStyles count="47">
    <cellStyle name="差 2" xfId="6"/>
    <cellStyle name="差 2 10" xfId="21"/>
    <cellStyle name="差 2 11" xfId="23"/>
    <cellStyle name="差 2 12" xfId="25"/>
    <cellStyle name="差 2 13" xfId="27"/>
    <cellStyle name="差 2 14" xfId="29"/>
    <cellStyle name="差 2 15" xfId="31"/>
    <cellStyle name="差 2 16" xfId="33"/>
    <cellStyle name="差 2 17" xfId="35"/>
    <cellStyle name="差 2 18" xfId="37"/>
    <cellStyle name="差 2 19" xfId="39"/>
    <cellStyle name="差 2 2" xfId="8"/>
    <cellStyle name="差 2 20" xfId="41"/>
    <cellStyle name="差 2 21" xfId="46"/>
    <cellStyle name="差 2 3" xfId="15"/>
    <cellStyle name="差 2 4" xfId="13"/>
    <cellStyle name="差 2 5" xfId="10"/>
    <cellStyle name="差 2 6" xfId="11"/>
    <cellStyle name="差 2 7" xfId="16"/>
    <cellStyle name="差 2 8" xfId="17"/>
    <cellStyle name="差 2 9" xfId="19"/>
    <cellStyle name="差 3" xfId="4"/>
    <cellStyle name="常规" xfId="0" builtinId="0"/>
    <cellStyle name="常规 2" xfId="1"/>
    <cellStyle name="常规 2 2" xfId="5"/>
    <cellStyle name="常规 2 3" xfId="3"/>
    <cellStyle name="常规 2 3 10" xfId="26"/>
    <cellStyle name="常规 2 3 11" xfId="28"/>
    <cellStyle name="常规 2 3 12" xfId="30"/>
    <cellStyle name="常规 2 3 13" xfId="32"/>
    <cellStyle name="常规 2 3 14" xfId="34"/>
    <cellStyle name="常规 2 3 15" xfId="36"/>
    <cellStyle name="常规 2 3 16" xfId="38"/>
    <cellStyle name="常规 2 3 17" xfId="40"/>
    <cellStyle name="常规 2 3 18" xfId="42"/>
    <cellStyle name="常规 2 3 19" xfId="43"/>
    <cellStyle name="常规 2 3 2" xfId="7"/>
    <cellStyle name="常规 2 3 20" xfId="44"/>
    <cellStyle name="常规 2 3 21" xfId="45"/>
    <cellStyle name="常规 2 3 3" xfId="12"/>
    <cellStyle name="常规 2 3 4" xfId="14"/>
    <cellStyle name="常规 2 3 5" xfId="9"/>
    <cellStyle name="常规 2 3 6" xfId="18"/>
    <cellStyle name="常规 2 3 7" xfId="20"/>
    <cellStyle name="常规 2 3 8" xfId="22"/>
    <cellStyle name="常规 2 3 9" xfId="24"/>
    <cellStyle name="常规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0</xdr:row>
      <xdr:rowOff>0</xdr:rowOff>
    </xdr:from>
    <xdr:to>
      <xdr:col>10</xdr:col>
      <xdr:colOff>9086</xdr:colOff>
      <xdr:row>8</xdr:row>
      <xdr:rowOff>95057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52800" y="0"/>
          <a:ext cx="3514286" cy="15428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459441</xdr:colOff>
      <xdr:row>13</xdr:row>
      <xdr:rowOff>75080</xdr:rowOff>
    </xdr:to>
    <xdr:pic>
      <xdr:nvPicPr>
        <xdr:cNvPr id="3" name="图片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202641" cy="24277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4"/>
  <sheetViews>
    <sheetView tabSelected="1" zoomScale="85" zoomScaleNormal="85" workbookViewId="0">
      <pane xSplit="2" ySplit="3" topLeftCell="C37" activePane="bottomRight" state="frozen"/>
      <selection pane="topRight" activeCell="C1" sqref="C1"/>
      <selection pane="bottomLeft" activeCell="A4" sqref="A4"/>
      <selection pane="bottomRight" activeCell="A40" sqref="A40:XFD40"/>
    </sheetView>
  </sheetViews>
  <sheetFormatPr defaultColWidth="9" defaultRowHeight="16.5" x14ac:dyDescent="0.15"/>
  <cols>
    <col min="1" max="1" width="30.5" style="14" customWidth="1"/>
    <col min="2" max="2" width="19.875" style="14" customWidth="1"/>
    <col min="3" max="3" width="30.5" style="14" customWidth="1"/>
    <col min="4" max="4" width="21.75" style="14" customWidth="1"/>
    <col min="5" max="5" width="32" style="14" bestFit="1" customWidth="1"/>
    <col min="6" max="6" width="22.75" style="14" bestFit="1" customWidth="1"/>
    <col min="7" max="7" width="15.375" style="15" customWidth="1"/>
    <col min="8" max="8" width="19.25" style="14" bestFit="1" customWidth="1"/>
    <col min="9" max="16384" width="9" style="14"/>
  </cols>
  <sheetData>
    <row r="1" spans="1:10" s="13" customFormat="1" ht="192" customHeight="1" x14ac:dyDescent="0.15">
      <c r="A1" s="2" t="s">
        <v>0</v>
      </c>
      <c r="B1" s="2" t="s">
        <v>1</v>
      </c>
      <c r="C1" s="2" t="s">
        <v>44</v>
      </c>
      <c r="D1" s="2" t="s">
        <v>45</v>
      </c>
      <c r="E1" s="2" t="s">
        <v>148</v>
      </c>
      <c r="F1" s="2" t="s">
        <v>46</v>
      </c>
      <c r="G1" s="2" t="s">
        <v>132</v>
      </c>
      <c r="H1" s="16" t="s">
        <v>133</v>
      </c>
    </row>
    <row r="2" spans="1:10" s="6" customFormat="1" x14ac:dyDescent="0.15">
      <c r="A2" s="1" t="s">
        <v>2</v>
      </c>
      <c r="B2" s="1" t="s">
        <v>3</v>
      </c>
      <c r="C2" s="1" t="s">
        <v>4</v>
      </c>
      <c r="D2" s="1" t="s">
        <v>5</v>
      </c>
      <c r="E2" s="1" t="s">
        <v>6</v>
      </c>
      <c r="F2" s="1" t="s">
        <v>7</v>
      </c>
      <c r="G2" s="8" t="s">
        <v>8</v>
      </c>
      <c r="H2" s="1" t="s">
        <v>9</v>
      </c>
    </row>
    <row r="3" spans="1:10" s="6" customFormat="1" x14ac:dyDescent="0.15">
      <c r="A3" s="1" t="s">
        <v>10</v>
      </c>
      <c r="B3" s="1" t="s">
        <v>10</v>
      </c>
      <c r="C3" s="1" t="s">
        <v>10</v>
      </c>
      <c r="D3" s="1" t="s">
        <v>11</v>
      </c>
      <c r="E3" s="1" t="s">
        <v>12</v>
      </c>
      <c r="F3" s="1" t="s">
        <v>12</v>
      </c>
      <c r="G3" s="8" t="s">
        <v>131</v>
      </c>
      <c r="H3" s="1" t="s">
        <v>131</v>
      </c>
    </row>
    <row r="4" spans="1:10" s="6" customFormat="1" x14ac:dyDescent="0.15">
      <c r="A4" s="3" t="s">
        <v>48</v>
      </c>
      <c r="B4" s="3" t="s">
        <v>123</v>
      </c>
      <c r="C4" s="3" t="s">
        <v>49</v>
      </c>
      <c r="D4" s="3">
        <v>0</v>
      </c>
      <c r="E4" s="3">
        <v>5</v>
      </c>
      <c r="F4" s="3">
        <v>0</v>
      </c>
      <c r="G4" s="9" t="s">
        <v>13</v>
      </c>
      <c r="H4" s="5" t="s">
        <v>13</v>
      </c>
      <c r="I4" s="6" t="str">
        <f>MID(B4,1,SEARCH("场景",B4,1)-1)</f>
        <v>八部天龙</v>
      </c>
      <c r="J4" s="3" t="s">
        <v>48</v>
      </c>
    </row>
    <row r="5" spans="1:10" s="6" customFormat="1" x14ac:dyDescent="0.15">
      <c r="A5" s="3" t="s">
        <v>55</v>
      </c>
      <c r="B5" s="3" t="s">
        <v>79</v>
      </c>
      <c r="C5" s="3" t="s">
        <v>54</v>
      </c>
      <c r="D5" s="3">
        <v>0</v>
      </c>
      <c r="E5" s="3">
        <v>5</v>
      </c>
      <c r="F5" s="3">
        <v>0</v>
      </c>
      <c r="G5" s="9" t="s">
        <v>13</v>
      </c>
      <c r="H5" s="9" t="s">
        <v>13</v>
      </c>
      <c r="I5" s="6" t="str">
        <f t="shared" ref="I5:I28" si="0">MID(B5,1,SEARCH("场景",B5,1)-1)</f>
        <v>白骨夫人</v>
      </c>
      <c r="J5" s="3" t="s">
        <v>55</v>
      </c>
    </row>
    <row r="6" spans="1:10" s="6" customFormat="1" x14ac:dyDescent="0.15">
      <c r="A6" s="3" t="s">
        <v>103</v>
      </c>
      <c r="B6" s="3" t="s">
        <v>80</v>
      </c>
      <c r="C6" s="3" t="s">
        <v>56</v>
      </c>
      <c r="D6" s="3">
        <v>0</v>
      </c>
      <c r="E6" s="3">
        <v>5</v>
      </c>
      <c r="F6" s="3">
        <v>0</v>
      </c>
      <c r="G6" s="9" t="s">
        <v>13</v>
      </c>
      <c r="H6" s="5" t="s">
        <v>13</v>
      </c>
      <c r="I6" s="6" t="str">
        <f t="shared" si="0"/>
        <v>白无常</v>
      </c>
      <c r="J6" s="3" t="s">
        <v>103</v>
      </c>
    </row>
    <row r="7" spans="1:10" s="6" customFormat="1" x14ac:dyDescent="0.15">
      <c r="A7" s="3" t="s">
        <v>104</v>
      </c>
      <c r="B7" s="3" t="s">
        <v>81</v>
      </c>
      <c r="C7" s="3" t="s">
        <v>57</v>
      </c>
      <c r="D7" s="3">
        <v>0</v>
      </c>
      <c r="E7" s="3">
        <v>5</v>
      </c>
      <c r="F7" s="3">
        <v>0</v>
      </c>
      <c r="G7" s="9" t="s">
        <v>13</v>
      </c>
      <c r="H7" s="9" t="s">
        <v>13</v>
      </c>
      <c r="I7" s="6" t="str">
        <f t="shared" si="0"/>
        <v>嫦娥</v>
      </c>
      <c r="J7" s="3" t="s">
        <v>104</v>
      </c>
    </row>
    <row r="8" spans="1:10" s="6" customFormat="1" x14ac:dyDescent="0.15">
      <c r="A8" s="3" t="s">
        <v>105</v>
      </c>
      <c r="B8" s="3" t="s">
        <v>82</v>
      </c>
      <c r="C8" s="3" t="s">
        <v>58</v>
      </c>
      <c r="D8" s="3">
        <v>0</v>
      </c>
      <c r="E8" s="3">
        <v>5</v>
      </c>
      <c r="F8" s="3">
        <v>0</v>
      </c>
      <c r="G8" s="9" t="s">
        <v>13</v>
      </c>
      <c r="H8" s="5" t="s">
        <v>13</v>
      </c>
      <c r="I8" s="6" t="str">
        <f t="shared" si="0"/>
        <v>斗战胜佛</v>
      </c>
      <c r="J8" s="3" t="s">
        <v>105</v>
      </c>
    </row>
    <row r="9" spans="1:10" s="6" customFormat="1" x14ac:dyDescent="0.15">
      <c r="A9" s="3" t="s">
        <v>106</v>
      </c>
      <c r="B9" s="3" t="s">
        <v>83</v>
      </c>
      <c r="C9" s="3" t="s">
        <v>59</v>
      </c>
      <c r="D9" s="3">
        <v>0</v>
      </c>
      <c r="E9" s="3">
        <v>5</v>
      </c>
      <c r="F9" s="3">
        <v>0</v>
      </c>
      <c r="G9" s="9" t="s">
        <v>13</v>
      </c>
      <c r="H9" s="9" t="s">
        <v>13</v>
      </c>
      <c r="I9" s="6" t="str">
        <f t="shared" si="0"/>
        <v>二郎神</v>
      </c>
      <c r="J9" s="3" t="s">
        <v>106</v>
      </c>
    </row>
    <row r="10" spans="1:10" s="6" customFormat="1" x14ac:dyDescent="0.15">
      <c r="A10" s="3" t="s">
        <v>107</v>
      </c>
      <c r="B10" s="3" t="s">
        <v>84</v>
      </c>
      <c r="C10" s="3" t="s">
        <v>60</v>
      </c>
      <c r="D10" s="3">
        <v>0</v>
      </c>
      <c r="E10" s="3">
        <v>5</v>
      </c>
      <c r="F10" s="3">
        <v>0</v>
      </c>
      <c r="G10" s="9" t="s">
        <v>13</v>
      </c>
      <c r="H10" s="5" t="s">
        <v>13</v>
      </c>
      <c r="I10" s="6" t="str">
        <f t="shared" si="0"/>
        <v>观世音</v>
      </c>
      <c r="J10" s="3" t="s">
        <v>107</v>
      </c>
    </row>
    <row r="11" spans="1:10" s="6" customFormat="1" x14ac:dyDescent="0.15">
      <c r="A11" s="3" t="s">
        <v>108</v>
      </c>
      <c r="B11" s="3" t="s">
        <v>85</v>
      </c>
      <c r="C11" s="3" t="s">
        <v>61</v>
      </c>
      <c r="D11" s="3">
        <v>0</v>
      </c>
      <c r="E11" s="3">
        <v>5</v>
      </c>
      <c r="F11" s="3">
        <v>0</v>
      </c>
      <c r="G11" s="9" t="s">
        <v>13</v>
      </c>
      <c r="H11" s="9" t="s">
        <v>13</v>
      </c>
      <c r="I11" s="6" t="str">
        <f t="shared" si="0"/>
        <v>黑无常</v>
      </c>
      <c r="J11" s="3" t="s">
        <v>108</v>
      </c>
    </row>
    <row r="12" spans="1:10" s="6" customFormat="1" x14ac:dyDescent="0.15">
      <c r="A12" s="3" t="s">
        <v>109</v>
      </c>
      <c r="B12" s="3" t="s">
        <v>86</v>
      </c>
      <c r="C12" s="3" t="s">
        <v>62</v>
      </c>
      <c r="D12" s="3">
        <v>0</v>
      </c>
      <c r="E12" s="3">
        <v>5</v>
      </c>
      <c r="F12" s="3">
        <v>0</v>
      </c>
      <c r="G12" s="9" t="s">
        <v>13</v>
      </c>
      <c r="H12" s="5" t="s">
        <v>13</v>
      </c>
      <c r="I12" s="6" t="str">
        <f t="shared" si="0"/>
        <v>虎力大仙</v>
      </c>
      <c r="J12" s="3" t="s">
        <v>109</v>
      </c>
    </row>
    <row r="13" spans="1:10" s="6" customFormat="1" x14ac:dyDescent="0.15">
      <c r="A13" s="3" t="s">
        <v>110</v>
      </c>
      <c r="B13" s="3" t="s">
        <v>87</v>
      </c>
      <c r="C13" s="3" t="s">
        <v>63</v>
      </c>
      <c r="D13" s="3">
        <v>0</v>
      </c>
      <c r="E13" s="3">
        <v>5</v>
      </c>
      <c r="F13" s="3">
        <v>0</v>
      </c>
      <c r="G13" s="9" t="s">
        <v>13</v>
      </c>
      <c r="H13" s="9" t="s">
        <v>13</v>
      </c>
      <c r="I13" s="6" t="str">
        <f t="shared" si="0"/>
        <v>金蝉子</v>
      </c>
      <c r="J13" s="3" t="s">
        <v>110</v>
      </c>
    </row>
    <row r="14" spans="1:10" s="6" customFormat="1" x14ac:dyDescent="0.15">
      <c r="A14" s="3" t="s">
        <v>111</v>
      </c>
      <c r="B14" s="3" t="s">
        <v>88</v>
      </c>
      <c r="C14" s="3" t="s">
        <v>64</v>
      </c>
      <c r="D14" s="3">
        <v>0</v>
      </c>
      <c r="E14" s="3">
        <v>5</v>
      </c>
      <c r="F14" s="3">
        <v>0</v>
      </c>
      <c r="G14" s="9" t="s">
        <v>13</v>
      </c>
      <c r="H14" s="5" t="s">
        <v>13</v>
      </c>
      <c r="I14" s="6" t="str">
        <f t="shared" si="0"/>
        <v>九天玄女</v>
      </c>
      <c r="J14" s="3" t="s">
        <v>111</v>
      </c>
    </row>
    <row r="15" spans="1:10" s="6" customFormat="1" x14ac:dyDescent="0.15">
      <c r="A15" s="3" t="s">
        <v>112</v>
      </c>
      <c r="B15" s="3" t="s">
        <v>89</v>
      </c>
      <c r="C15" s="3" t="s">
        <v>65</v>
      </c>
      <c r="D15" s="3">
        <v>0</v>
      </c>
      <c r="E15" s="3">
        <v>5</v>
      </c>
      <c r="F15" s="3">
        <v>0</v>
      </c>
      <c r="G15" s="9" t="s">
        <v>13</v>
      </c>
      <c r="H15" s="9" t="s">
        <v>13</v>
      </c>
      <c r="I15" s="6" t="str">
        <f t="shared" si="0"/>
        <v>龙帝</v>
      </c>
      <c r="J15" s="3" t="s">
        <v>112</v>
      </c>
    </row>
    <row r="16" spans="1:10" s="6" customFormat="1" x14ac:dyDescent="0.15">
      <c r="A16" s="3" t="s">
        <v>113</v>
      </c>
      <c r="B16" s="3" t="s">
        <v>90</v>
      </c>
      <c r="C16" s="3" t="s">
        <v>67</v>
      </c>
      <c r="D16" s="3">
        <v>0</v>
      </c>
      <c r="E16" s="3">
        <v>5</v>
      </c>
      <c r="F16" s="3">
        <v>0</v>
      </c>
      <c r="G16" s="9" t="s">
        <v>13</v>
      </c>
      <c r="H16" s="5" t="s">
        <v>13</v>
      </c>
      <c r="I16" s="6" t="str">
        <f t="shared" si="0"/>
        <v>弥勒佛</v>
      </c>
      <c r="J16" s="3" t="s">
        <v>113</v>
      </c>
    </row>
    <row r="17" spans="1:10" s="6" customFormat="1" x14ac:dyDescent="0.15">
      <c r="A17" s="3" t="s">
        <v>50</v>
      </c>
      <c r="B17" s="3" t="s">
        <v>92</v>
      </c>
      <c r="C17" s="3" t="s">
        <v>51</v>
      </c>
      <c r="D17" s="3">
        <v>0</v>
      </c>
      <c r="E17" s="3">
        <v>5</v>
      </c>
      <c r="F17" s="3">
        <v>0</v>
      </c>
      <c r="G17" s="9" t="s">
        <v>13</v>
      </c>
      <c r="H17" s="9" t="s">
        <v>13</v>
      </c>
      <c r="I17" s="6" t="str">
        <f t="shared" si="0"/>
        <v>哪吒</v>
      </c>
      <c r="J17" s="3" t="s">
        <v>50</v>
      </c>
    </row>
    <row r="18" spans="1:10" s="6" customFormat="1" x14ac:dyDescent="0.15">
      <c r="A18" s="3" t="s">
        <v>114</v>
      </c>
      <c r="B18" s="3" t="s">
        <v>91</v>
      </c>
      <c r="C18" s="3" t="s">
        <v>68</v>
      </c>
      <c r="D18" s="3">
        <v>0</v>
      </c>
      <c r="E18" s="3">
        <v>5</v>
      </c>
      <c r="F18" s="3">
        <v>0</v>
      </c>
      <c r="G18" s="9" t="s">
        <v>13</v>
      </c>
      <c r="H18" s="5" t="s">
        <v>13</v>
      </c>
      <c r="I18" s="6" t="str">
        <f t="shared" si="0"/>
        <v>男主角</v>
      </c>
      <c r="J18" s="3" t="s">
        <v>114</v>
      </c>
    </row>
    <row r="19" spans="1:10" s="6" customFormat="1" x14ac:dyDescent="0.15">
      <c r="A19" s="3" t="s">
        <v>115</v>
      </c>
      <c r="B19" s="3" t="s">
        <v>93</v>
      </c>
      <c r="C19" s="3" t="s">
        <v>69</v>
      </c>
      <c r="D19" s="3">
        <v>0</v>
      </c>
      <c r="E19" s="3">
        <v>5</v>
      </c>
      <c r="F19" s="3">
        <v>0</v>
      </c>
      <c r="G19" s="9" t="s">
        <v>13</v>
      </c>
      <c r="H19" s="9" t="s">
        <v>13</v>
      </c>
      <c r="I19" s="6" t="str">
        <f t="shared" si="0"/>
        <v>牛魔王</v>
      </c>
      <c r="J19" s="3" t="s">
        <v>115</v>
      </c>
    </row>
    <row r="20" spans="1:10" s="6" customFormat="1" x14ac:dyDescent="0.15">
      <c r="A20" s="3" t="s">
        <v>116</v>
      </c>
      <c r="B20" s="3" t="s">
        <v>94</v>
      </c>
      <c r="C20" s="3" t="s">
        <v>52</v>
      </c>
      <c r="D20" s="3">
        <v>0</v>
      </c>
      <c r="E20" s="3">
        <v>5</v>
      </c>
      <c r="F20" s="3">
        <v>0</v>
      </c>
      <c r="G20" s="9" t="s">
        <v>13</v>
      </c>
      <c r="H20" s="5" t="s">
        <v>13</v>
      </c>
      <c r="I20" s="6" t="str">
        <f t="shared" si="0"/>
        <v>女主角</v>
      </c>
      <c r="J20" s="3" t="s">
        <v>116</v>
      </c>
    </row>
    <row r="21" spans="1:10" s="6" customFormat="1" x14ac:dyDescent="0.15">
      <c r="A21" s="3" t="s">
        <v>47</v>
      </c>
      <c r="B21" s="3" t="s">
        <v>95</v>
      </c>
      <c r="C21" s="3" t="s">
        <v>70</v>
      </c>
      <c r="D21" s="3">
        <v>0</v>
      </c>
      <c r="E21" s="3">
        <v>5</v>
      </c>
      <c r="F21" s="3">
        <v>0</v>
      </c>
      <c r="G21" s="9" t="s">
        <v>13</v>
      </c>
      <c r="H21" s="9" t="s">
        <v>13</v>
      </c>
      <c r="I21" s="6" t="str">
        <f t="shared" si="0"/>
        <v>孙悟空</v>
      </c>
      <c r="J21" s="3" t="s">
        <v>47</v>
      </c>
    </row>
    <row r="22" spans="1:10" s="6" customFormat="1" x14ac:dyDescent="0.15">
      <c r="A22" s="3" t="s">
        <v>117</v>
      </c>
      <c r="B22" s="3" t="s">
        <v>96</v>
      </c>
      <c r="C22" s="3" t="s">
        <v>71</v>
      </c>
      <c r="D22" s="3">
        <v>0</v>
      </c>
      <c r="E22" s="3">
        <v>5</v>
      </c>
      <c r="F22" s="3">
        <v>0</v>
      </c>
      <c r="G22" s="9" t="s">
        <v>13</v>
      </c>
      <c r="H22" s="5" t="s">
        <v>13</v>
      </c>
      <c r="I22" s="6" t="str">
        <f t="shared" si="0"/>
        <v>铁扇公主</v>
      </c>
      <c r="J22" s="3" t="s">
        <v>117</v>
      </c>
    </row>
    <row r="23" spans="1:10" s="6" customFormat="1" x14ac:dyDescent="0.15">
      <c r="A23" s="3" t="s">
        <v>118</v>
      </c>
      <c r="B23" s="3" t="s">
        <v>97</v>
      </c>
      <c r="C23" s="3" t="s">
        <v>72</v>
      </c>
      <c r="D23" s="3">
        <v>0</v>
      </c>
      <c r="E23" s="3">
        <v>5</v>
      </c>
      <c r="F23" s="3">
        <v>0</v>
      </c>
      <c r="G23" s="9" t="s">
        <v>13</v>
      </c>
      <c r="H23" s="9" t="s">
        <v>13</v>
      </c>
      <c r="I23" s="6" t="str">
        <f t="shared" si="0"/>
        <v>王母娘娘</v>
      </c>
      <c r="J23" s="3" t="s">
        <v>118</v>
      </c>
    </row>
    <row r="24" spans="1:10" s="6" customFormat="1" x14ac:dyDescent="0.15">
      <c r="A24" s="3" t="s">
        <v>119</v>
      </c>
      <c r="B24" s="3" t="s">
        <v>98</v>
      </c>
      <c r="C24" s="3" t="s">
        <v>73</v>
      </c>
      <c r="D24" s="3">
        <v>0</v>
      </c>
      <c r="E24" s="3">
        <v>5</v>
      </c>
      <c r="F24" s="3">
        <v>0</v>
      </c>
      <c r="G24" s="9" t="s">
        <v>13</v>
      </c>
      <c r="H24" s="5" t="s">
        <v>13</v>
      </c>
      <c r="I24" s="6" t="str">
        <f t="shared" si="0"/>
        <v>文殊菩萨</v>
      </c>
      <c r="J24" s="3" t="s">
        <v>119</v>
      </c>
    </row>
    <row r="25" spans="1:10" s="6" customFormat="1" x14ac:dyDescent="0.15">
      <c r="A25" s="3" t="s">
        <v>53</v>
      </c>
      <c r="B25" s="3" t="s">
        <v>99</v>
      </c>
      <c r="C25" s="3" t="s">
        <v>74</v>
      </c>
      <c r="D25" s="3">
        <v>0</v>
      </c>
      <c r="E25" s="3">
        <v>5</v>
      </c>
      <c r="F25" s="3">
        <v>0</v>
      </c>
      <c r="G25" s="9" t="s">
        <v>13</v>
      </c>
      <c r="H25" s="9" t="s">
        <v>13</v>
      </c>
      <c r="I25" s="6" t="str">
        <f t="shared" si="0"/>
        <v>小白龙</v>
      </c>
      <c r="J25" s="3" t="s">
        <v>53</v>
      </c>
    </row>
    <row r="26" spans="1:10" s="6" customFormat="1" x14ac:dyDescent="0.15">
      <c r="A26" s="3" t="s">
        <v>120</v>
      </c>
      <c r="B26" s="3" t="s">
        <v>100</v>
      </c>
      <c r="C26" s="3" t="s">
        <v>76</v>
      </c>
      <c r="D26" s="3">
        <v>0</v>
      </c>
      <c r="E26" s="3">
        <v>5</v>
      </c>
      <c r="F26" s="3">
        <v>0</v>
      </c>
      <c r="G26" s="9" t="s">
        <v>13</v>
      </c>
      <c r="H26" s="5" t="s">
        <v>13</v>
      </c>
      <c r="I26" s="6" t="str">
        <f t="shared" si="0"/>
        <v>玉皇大帝</v>
      </c>
      <c r="J26" s="3" t="s">
        <v>120</v>
      </c>
    </row>
    <row r="27" spans="1:10" s="6" customFormat="1" x14ac:dyDescent="0.15">
      <c r="A27" s="3" t="s">
        <v>121</v>
      </c>
      <c r="B27" s="3" t="s">
        <v>101</v>
      </c>
      <c r="C27" s="3" t="s">
        <v>77</v>
      </c>
      <c r="D27" s="3">
        <v>0</v>
      </c>
      <c r="E27" s="3">
        <v>5</v>
      </c>
      <c r="F27" s="3">
        <v>0</v>
      </c>
      <c r="G27" s="9" t="s">
        <v>13</v>
      </c>
      <c r="H27" s="9" t="s">
        <v>13</v>
      </c>
      <c r="I27" s="6" t="str">
        <f t="shared" si="0"/>
        <v>猪八戒</v>
      </c>
      <c r="J27" s="3" t="s">
        <v>121</v>
      </c>
    </row>
    <row r="28" spans="1:10" s="6" customFormat="1" x14ac:dyDescent="0.15">
      <c r="A28" s="3" t="s">
        <v>122</v>
      </c>
      <c r="B28" s="3" t="s">
        <v>102</v>
      </c>
      <c r="C28" s="3" t="s">
        <v>78</v>
      </c>
      <c r="D28" s="3">
        <v>0</v>
      </c>
      <c r="E28" s="3">
        <v>5</v>
      </c>
      <c r="F28" s="3">
        <v>0</v>
      </c>
      <c r="G28" s="9" t="s">
        <v>13</v>
      </c>
      <c r="H28" s="5" t="s">
        <v>13</v>
      </c>
      <c r="I28" s="6" t="str">
        <f t="shared" si="0"/>
        <v>紫霞仙子</v>
      </c>
      <c r="J28" s="3" t="s">
        <v>122</v>
      </c>
    </row>
    <row r="29" spans="1:10" s="6" customFormat="1" x14ac:dyDescent="0.15">
      <c r="A29" s="3" t="s">
        <v>169</v>
      </c>
      <c r="B29" s="3" t="s">
        <v>150</v>
      </c>
      <c r="C29" s="3" t="s">
        <v>167</v>
      </c>
      <c r="D29" s="3">
        <v>0</v>
      </c>
      <c r="E29" s="3">
        <v>5</v>
      </c>
      <c r="F29" s="3">
        <v>0</v>
      </c>
      <c r="G29" s="9" t="s">
        <v>149</v>
      </c>
      <c r="H29" s="9" t="s">
        <v>149</v>
      </c>
      <c r="J29" s="3"/>
    </row>
    <row r="30" spans="1:10" s="6" customFormat="1" x14ac:dyDescent="0.15">
      <c r="A30" s="3" t="s">
        <v>170</v>
      </c>
      <c r="B30" s="3" t="s">
        <v>156</v>
      </c>
      <c r="C30" s="3" t="s">
        <v>151</v>
      </c>
      <c r="D30" s="3">
        <v>0</v>
      </c>
      <c r="E30" s="3">
        <v>5</v>
      </c>
      <c r="F30" s="3">
        <v>0</v>
      </c>
      <c r="G30" s="9" t="s">
        <v>149</v>
      </c>
      <c r="H30" s="9" t="s">
        <v>149</v>
      </c>
      <c r="J30" s="3"/>
    </row>
    <row r="31" spans="1:10" s="6" customFormat="1" x14ac:dyDescent="0.15">
      <c r="A31" s="3" t="s">
        <v>171</v>
      </c>
      <c r="B31" s="3" t="s">
        <v>157</v>
      </c>
      <c r="C31" s="3" t="s">
        <v>168</v>
      </c>
      <c r="D31" s="3">
        <v>0</v>
      </c>
      <c r="E31" s="3">
        <v>5</v>
      </c>
      <c r="F31" s="3">
        <v>0</v>
      </c>
      <c r="G31" s="9" t="s">
        <v>149</v>
      </c>
      <c r="H31" s="9" t="s">
        <v>149</v>
      </c>
      <c r="J31" s="3"/>
    </row>
    <row r="32" spans="1:10" s="6" customFormat="1" x14ac:dyDescent="0.15">
      <c r="A32" s="3" t="s">
        <v>172</v>
      </c>
      <c r="B32" s="3" t="s">
        <v>158</v>
      </c>
      <c r="C32" s="3" t="s">
        <v>152</v>
      </c>
      <c r="D32" s="3">
        <v>0</v>
      </c>
      <c r="E32" s="3">
        <v>5</v>
      </c>
      <c r="F32" s="3">
        <v>0</v>
      </c>
      <c r="G32" s="9" t="s">
        <v>149</v>
      </c>
      <c r="H32" s="9" t="s">
        <v>149</v>
      </c>
      <c r="J32" s="3"/>
    </row>
    <row r="33" spans="1:10" s="6" customFormat="1" x14ac:dyDescent="0.15">
      <c r="A33" s="3" t="s">
        <v>173</v>
      </c>
      <c r="B33" s="3" t="s">
        <v>159</v>
      </c>
      <c r="C33" s="3" t="s">
        <v>153</v>
      </c>
      <c r="D33" s="3">
        <v>0</v>
      </c>
      <c r="E33" s="3">
        <v>5</v>
      </c>
      <c r="F33" s="3">
        <v>0</v>
      </c>
      <c r="G33" s="9" t="s">
        <v>149</v>
      </c>
      <c r="H33" s="9" t="s">
        <v>149</v>
      </c>
      <c r="J33" s="3"/>
    </row>
    <row r="34" spans="1:10" s="6" customFormat="1" x14ac:dyDescent="0.15">
      <c r="A34" s="3" t="s">
        <v>174</v>
      </c>
      <c r="B34" s="3" t="s">
        <v>160</v>
      </c>
      <c r="C34" s="3" t="s">
        <v>154</v>
      </c>
      <c r="D34" s="3">
        <v>0</v>
      </c>
      <c r="E34" s="3">
        <v>5</v>
      </c>
      <c r="F34" s="3">
        <v>0</v>
      </c>
      <c r="G34" s="9" t="s">
        <v>149</v>
      </c>
      <c r="H34" s="9" t="s">
        <v>149</v>
      </c>
      <c r="J34" s="3"/>
    </row>
    <row r="35" spans="1:10" s="6" customFormat="1" x14ac:dyDescent="0.15">
      <c r="A35" s="3" t="s">
        <v>175</v>
      </c>
      <c r="B35" s="3" t="s">
        <v>161</v>
      </c>
      <c r="C35" s="3" t="s">
        <v>155</v>
      </c>
      <c r="D35" s="3">
        <v>0</v>
      </c>
      <c r="E35" s="3">
        <v>5</v>
      </c>
      <c r="F35" s="3">
        <v>0</v>
      </c>
      <c r="G35" s="9" t="s">
        <v>149</v>
      </c>
      <c r="H35" s="9" t="s">
        <v>149</v>
      </c>
      <c r="J35" s="3"/>
    </row>
    <row r="36" spans="1:10" s="6" customFormat="1" x14ac:dyDescent="0.15">
      <c r="A36" s="3" t="s">
        <v>176</v>
      </c>
      <c r="B36" s="3" t="s">
        <v>162</v>
      </c>
      <c r="C36" s="3" t="s">
        <v>163</v>
      </c>
      <c r="D36" s="3">
        <v>0</v>
      </c>
      <c r="E36" s="3">
        <v>5</v>
      </c>
      <c r="F36" s="3">
        <v>0</v>
      </c>
      <c r="G36" s="9" t="s">
        <v>149</v>
      </c>
      <c r="H36" s="9" t="s">
        <v>149</v>
      </c>
      <c r="J36" s="3"/>
    </row>
    <row r="37" spans="1:10" s="6" customFormat="1" x14ac:dyDescent="0.15">
      <c r="A37" s="3" t="s">
        <v>164</v>
      </c>
      <c r="B37" s="3" t="s">
        <v>165</v>
      </c>
      <c r="C37" s="3" t="s">
        <v>166</v>
      </c>
      <c r="D37" s="3">
        <v>0</v>
      </c>
      <c r="E37" s="3">
        <v>5</v>
      </c>
      <c r="F37" s="3">
        <v>0</v>
      </c>
      <c r="G37" s="9" t="s">
        <v>149</v>
      </c>
      <c r="H37" s="9" t="s">
        <v>149</v>
      </c>
      <c r="J37" s="3"/>
    </row>
    <row r="38" spans="1:10" s="6" customFormat="1" x14ac:dyDescent="0.15">
      <c r="A38" s="3" t="s">
        <v>125</v>
      </c>
      <c r="B38" s="3" t="s">
        <v>124</v>
      </c>
      <c r="C38" s="3" t="s">
        <v>66</v>
      </c>
      <c r="D38" s="3">
        <v>0</v>
      </c>
      <c r="E38" s="3">
        <v>2</v>
      </c>
      <c r="F38" s="3">
        <v>6</v>
      </c>
      <c r="G38" s="9" t="s">
        <v>13</v>
      </c>
      <c r="H38" s="9" t="s">
        <v>13</v>
      </c>
    </row>
    <row r="39" spans="1:10" s="6" customFormat="1" x14ac:dyDescent="0.15">
      <c r="A39" s="3" t="s">
        <v>127</v>
      </c>
      <c r="B39" s="3" t="s">
        <v>126</v>
      </c>
      <c r="C39" s="3" t="s">
        <v>75</v>
      </c>
      <c r="D39" s="3">
        <v>0</v>
      </c>
      <c r="E39" s="3">
        <v>2</v>
      </c>
      <c r="F39" s="3">
        <v>4</v>
      </c>
      <c r="G39" s="9" t="s">
        <v>13</v>
      </c>
      <c r="H39" s="5" t="s">
        <v>13</v>
      </c>
    </row>
    <row r="40" spans="1:10" s="20" customFormat="1" x14ac:dyDescent="0.15">
      <c r="A40" s="18" t="s">
        <v>130</v>
      </c>
      <c r="B40" s="18" t="s">
        <v>129</v>
      </c>
      <c r="C40" s="18" t="s">
        <v>128</v>
      </c>
      <c r="D40" s="18">
        <v>0</v>
      </c>
      <c r="E40" s="18">
        <v>2</v>
      </c>
      <c r="F40" s="18">
        <v>5</v>
      </c>
      <c r="G40" s="19" t="s">
        <v>201</v>
      </c>
      <c r="H40" s="19" t="s">
        <v>201</v>
      </c>
    </row>
    <row r="41" spans="1:10" s="6" customFormat="1" x14ac:dyDescent="0.15">
      <c r="A41" s="3" t="s">
        <v>144</v>
      </c>
      <c r="B41" s="3" t="s">
        <v>139</v>
      </c>
      <c r="C41" s="3" t="s">
        <v>136</v>
      </c>
      <c r="D41" s="3">
        <v>0</v>
      </c>
      <c r="E41" s="3">
        <v>2</v>
      </c>
      <c r="F41" s="3">
        <v>11</v>
      </c>
      <c r="G41" s="9" t="s">
        <v>13</v>
      </c>
      <c r="H41" s="5" t="s">
        <v>13</v>
      </c>
    </row>
    <row r="42" spans="1:10" s="6" customFormat="1" x14ac:dyDescent="0.15">
      <c r="A42" s="3" t="s">
        <v>142</v>
      </c>
      <c r="B42" s="3" t="s">
        <v>140</v>
      </c>
      <c r="C42" s="3" t="s">
        <v>134</v>
      </c>
      <c r="D42" s="3">
        <v>0</v>
      </c>
      <c r="E42" s="3">
        <v>2</v>
      </c>
      <c r="F42" s="3">
        <v>12</v>
      </c>
      <c r="G42" s="9" t="s">
        <v>13</v>
      </c>
      <c r="H42" s="9" t="s">
        <v>13</v>
      </c>
    </row>
    <row r="43" spans="1:10" s="6" customFormat="1" x14ac:dyDescent="0.15">
      <c r="A43" s="3" t="s">
        <v>143</v>
      </c>
      <c r="B43" s="3" t="s">
        <v>141</v>
      </c>
      <c r="C43" s="3" t="s">
        <v>135</v>
      </c>
      <c r="D43" s="3">
        <v>0</v>
      </c>
      <c r="E43" s="3">
        <v>2</v>
      </c>
      <c r="F43" s="3">
        <v>4</v>
      </c>
      <c r="G43" s="17" t="s">
        <v>137</v>
      </c>
      <c r="H43" s="17" t="s">
        <v>138</v>
      </c>
    </row>
    <row r="44" spans="1:10" s="6" customFormat="1" x14ac:dyDescent="0.15">
      <c r="A44" s="3" t="s">
        <v>147</v>
      </c>
      <c r="B44" s="3" t="s">
        <v>146</v>
      </c>
      <c r="C44" s="3" t="s">
        <v>145</v>
      </c>
      <c r="D44" s="3">
        <v>0</v>
      </c>
      <c r="E44" s="3">
        <v>2</v>
      </c>
      <c r="F44" s="3">
        <v>5</v>
      </c>
      <c r="G44" s="9" t="s">
        <v>13</v>
      </c>
      <c r="H44" s="9" t="s">
        <v>13</v>
      </c>
    </row>
    <row r="45" spans="1:10" s="6" customFormat="1" x14ac:dyDescent="0.15">
      <c r="A45" s="3" t="s">
        <v>192</v>
      </c>
      <c r="B45" s="3" t="s">
        <v>184</v>
      </c>
      <c r="C45" s="3" t="s">
        <v>177</v>
      </c>
      <c r="D45" s="3">
        <v>0</v>
      </c>
      <c r="E45" s="3">
        <v>5</v>
      </c>
      <c r="F45" s="3">
        <v>0</v>
      </c>
      <c r="G45" s="9" t="s">
        <v>13</v>
      </c>
      <c r="H45" s="5" t="s">
        <v>13</v>
      </c>
      <c r="J45" s="3"/>
    </row>
    <row r="46" spans="1:10" s="6" customFormat="1" x14ac:dyDescent="0.15">
      <c r="A46" s="3" t="s">
        <v>193</v>
      </c>
      <c r="B46" s="3" t="s">
        <v>185</v>
      </c>
      <c r="C46" s="3" t="s">
        <v>178</v>
      </c>
      <c r="D46" s="3">
        <v>0</v>
      </c>
      <c r="E46" s="3">
        <v>5</v>
      </c>
      <c r="F46" s="3">
        <v>0</v>
      </c>
      <c r="G46" s="9" t="s">
        <v>13</v>
      </c>
      <c r="H46" s="5" t="s">
        <v>13</v>
      </c>
      <c r="J46" s="3"/>
    </row>
    <row r="47" spans="1:10" s="6" customFormat="1" x14ac:dyDescent="0.15">
      <c r="A47" s="3" t="s">
        <v>194</v>
      </c>
      <c r="B47" s="3" t="s">
        <v>186</v>
      </c>
      <c r="C47" s="3" t="s">
        <v>179</v>
      </c>
      <c r="D47" s="3">
        <v>0</v>
      </c>
      <c r="E47" s="3">
        <v>5</v>
      </c>
      <c r="F47" s="3">
        <v>0</v>
      </c>
      <c r="G47" s="9" t="s">
        <v>13</v>
      </c>
      <c r="H47" s="5" t="s">
        <v>13</v>
      </c>
      <c r="J47" s="3"/>
    </row>
    <row r="48" spans="1:10" s="6" customFormat="1" x14ac:dyDescent="0.15">
      <c r="A48" s="3" t="s">
        <v>195</v>
      </c>
      <c r="B48" s="3" t="s">
        <v>187</v>
      </c>
      <c r="C48" s="3" t="s">
        <v>200</v>
      </c>
      <c r="D48" s="3">
        <v>0</v>
      </c>
      <c r="E48" s="3">
        <v>5</v>
      </c>
      <c r="F48" s="3">
        <v>0</v>
      </c>
      <c r="G48" s="9" t="s">
        <v>13</v>
      </c>
      <c r="H48" s="5" t="s">
        <v>13</v>
      </c>
      <c r="J48" s="3"/>
    </row>
    <row r="49" spans="1:10" s="6" customFormat="1" x14ac:dyDescent="0.15">
      <c r="A49" s="3" t="s">
        <v>196</v>
      </c>
      <c r="B49" s="3" t="s">
        <v>188</v>
      </c>
      <c r="C49" s="3" t="s">
        <v>180</v>
      </c>
      <c r="D49" s="3">
        <v>0</v>
      </c>
      <c r="E49" s="3">
        <v>5</v>
      </c>
      <c r="F49" s="3">
        <v>0</v>
      </c>
      <c r="G49" s="9" t="s">
        <v>13</v>
      </c>
      <c r="H49" s="5" t="s">
        <v>13</v>
      </c>
      <c r="J49" s="3"/>
    </row>
    <row r="50" spans="1:10" s="6" customFormat="1" x14ac:dyDescent="0.15">
      <c r="A50" s="3" t="s">
        <v>197</v>
      </c>
      <c r="B50" s="3" t="s">
        <v>189</v>
      </c>
      <c r="C50" s="3" t="s">
        <v>181</v>
      </c>
      <c r="D50" s="3">
        <v>0</v>
      </c>
      <c r="E50" s="3">
        <v>5</v>
      </c>
      <c r="F50" s="3">
        <v>0</v>
      </c>
      <c r="G50" s="9" t="s">
        <v>13</v>
      </c>
      <c r="H50" s="5" t="s">
        <v>13</v>
      </c>
      <c r="J50" s="3"/>
    </row>
    <row r="51" spans="1:10" s="6" customFormat="1" x14ac:dyDescent="0.15">
      <c r="A51" s="3" t="s">
        <v>198</v>
      </c>
      <c r="B51" s="3" t="s">
        <v>190</v>
      </c>
      <c r="C51" s="3" t="s">
        <v>182</v>
      </c>
      <c r="D51" s="3">
        <v>0</v>
      </c>
      <c r="E51" s="3">
        <v>5</v>
      </c>
      <c r="F51" s="3">
        <v>0</v>
      </c>
      <c r="G51" s="9" t="s">
        <v>13</v>
      </c>
      <c r="H51" s="5" t="s">
        <v>13</v>
      </c>
      <c r="J51" s="3"/>
    </row>
    <row r="52" spans="1:10" s="6" customFormat="1" x14ac:dyDescent="0.15">
      <c r="A52" s="3" t="s">
        <v>199</v>
      </c>
      <c r="B52" s="3" t="s">
        <v>191</v>
      </c>
      <c r="C52" s="3" t="s">
        <v>183</v>
      </c>
      <c r="D52" s="3">
        <v>0</v>
      </c>
      <c r="E52" s="3">
        <v>5</v>
      </c>
      <c r="F52" s="3">
        <v>0</v>
      </c>
      <c r="G52" s="9" t="s">
        <v>13</v>
      </c>
      <c r="H52" s="5" t="s">
        <v>13</v>
      </c>
      <c r="J52" s="3"/>
    </row>
    <row r="53" spans="1:10" s="6" customFormat="1" x14ac:dyDescent="0.15">
      <c r="A53" s="14"/>
      <c r="B53" s="14"/>
      <c r="C53" s="14"/>
      <c r="D53" s="14"/>
      <c r="E53" s="14"/>
      <c r="F53" s="14"/>
      <c r="G53" s="15"/>
      <c r="H53" s="14"/>
    </row>
    <row r="54" spans="1:10" s="6" customFormat="1" x14ac:dyDescent="0.15">
      <c r="A54" s="14"/>
      <c r="B54" s="14"/>
      <c r="C54" s="14"/>
      <c r="D54" s="14"/>
      <c r="E54" s="14"/>
      <c r="F54" s="14"/>
      <c r="G54" s="15"/>
      <c r="H54" s="14"/>
    </row>
  </sheetData>
  <autoFilter ref="A1:H58"/>
  <sortState ref="B4:C36">
    <sortCondition ref="B4:B36"/>
  </sortState>
  <phoneticPr fontId="2" type="noConversion"/>
  <pageMargins left="0.75" right="0.75" top="1" bottom="1" header="0.51180555555555596" footer="0.51180555555555596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X26"/>
  <sheetViews>
    <sheetView workbookViewId="0">
      <selection activeCell="A20" sqref="A20:XFD26"/>
    </sheetView>
  </sheetViews>
  <sheetFormatPr defaultRowHeight="14.25" x14ac:dyDescent="0.15"/>
  <sheetData>
    <row r="4" spans="12:13" x14ac:dyDescent="0.15">
      <c r="L4">
        <f>-8.61+8.21</f>
        <v>-0.39999999999999858</v>
      </c>
      <c r="M4">
        <f>46.51-45.96</f>
        <v>0.54999999999999716</v>
      </c>
    </row>
    <row r="20" spans="1:24" s="6" customFormat="1" ht="16.5" x14ac:dyDescent="0.15">
      <c r="A20" s="3" t="s">
        <v>24</v>
      </c>
      <c r="B20" s="3" t="s">
        <v>25</v>
      </c>
      <c r="C20" s="3" t="s">
        <v>14</v>
      </c>
      <c r="D20" s="3">
        <v>0.73299999999999998</v>
      </c>
      <c r="E20" s="3">
        <v>0</v>
      </c>
      <c r="F20" s="3">
        <v>1</v>
      </c>
      <c r="G20" s="3">
        <v>0</v>
      </c>
      <c r="H20" s="3">
        <v>1</v>
      </c>
      <c r="I20" s="3" t="s">
        <v>13</v>
      </c>
      <c r="J20" s="3" t="s">
        <v>24</v>
      </c>
      <c r="K20" s="3">
        <v>1</v>
      </c>
      <c r="L20" s="3">
        <v>0</v>
      </c>
      <c r="M20" s="3">
        <v>1</v>
      </c>
      <c r="N20" s="3">
        <v>0</v>
      </c>
      <c r="O20" s="9" t="s">
        <v>13</v>
      </c>
      <c r="P20" s="5" t="s">
        <v>13</v>
      </c>
      <c r="Q20" s="5" t="s">
        <v>13</v>
      </c>
      <c r="R20" s="5">
        <v>0</v>
      </c>
      <c r="S20" s="5">
        <v>0</v>
      </c>
      <c r="T20" s="4">
        <v>0</v>
      </c>
      <c r="U20" s="5">
        <v>0</v>
      </c>
      <c r="V20" s="5">
        <v>0</v>
      </c>
      <c r="W20" s="5">
        <v>0</v>
      </c>
      <c r="X20" s="5">
        <v>0</v>
      </c>
    </row>
    <row r="21" spans="1:24" s="6" customFormat="1" ht="16.5" x14ac:dyDescent="0.15">
      <c r="A21" s="3" t="s">
        <v>34</v>
      </c>
      <c r="B21" s="3" t="s">
        <v>35</v>
      </c>
      <c r="C21" s="3" t="s">
        <v>19</v>
      </c>
      <c r="D21" s="3">
        <v>1.667</v>
      </c>
      <c r="E21" s="3">
        <v>0</v>
      </c>
      <c r="F21" s="3">
        <v>1</v>
      </c>
      <c r="G21" s="3">
        <v>0</v>
      </c>
      <c r="H21" s="3">
        <v>1</v>
      </c>
      <c r="I21" s="3" t="s">
        <v>13</v>
      </c>
      <c r="J21" s="3" t="s">
        <v>26</v>
      </c>
      <c r="K21" s="3">
        <v>5</v>
      </c>
      <c r="L21" s="3">
        <v>0</v>
      </c>
      <c r="M21" s="3">
        <v>1</v>
      </c>
      <c r="N21" s="3">
        <v>0</v>
      </c>
      <c r="O21" s="9" t="s">
        <v>13</v>
      </c>
      <c r="P21" s="5" t="s">
        <v>13</v>
      </c>
      <c r="Q21" s="5" t="s">
        <v>13</v>
      </c>
      <c r="R21" s="5">
        <v>0</v>
      </c>
      <c r="S21" s="5">
        <v>0</v>
      </c>
      <c r="T21" s="4">
        <v>0</v>
      </c>
      <c r="U21" s="5">
        <v>0</v>
      </c>
      <c r="V21" s="5">
        <v>0</v>
      </c>
      <c r="W21" s="5">
        <v>0</v>
      </c>
      <c r="X21" s="5">
        <v>0</v>
      </c>
    </row>
    <row r="22" spans="1:24" s="6" customFormat="1" ht="16.5" x14ac:dyDescent="0.15">
      <c r="A22" s="3" t="s">
        <v>36</v>
      </c>
      <c r="B22" s="3" t="s">
        <v>37</v>
      </c>
      <c r="C22" s="3" t="s">
        <v>19</v>
      </c>
      <c r="D22" s="3">
        <v>0</v>
      </c>
      <c r="E22" s="3">
        <v>0</v>
      </c>
      <c r="F22" s="3">
        <v>1</v>
      </c>
      <c r="G22" s="3">
        <v>0</v>
      </c>
      <c r="H22" s="3" t="s">
        <v>13</v>
      </c>
      <c r="I22" s="3" t="s">
        <v>13</v>
      </c>
      <c r="J22" s="3" t="s">
        <v>27</v>
      </c>
      <c r="K22" s="3">
        <v>0</v>
      </c>
      <c r="L22" s="3">
        <v>0</v>
      </c>
      <c r="M22" s="3">
        <v>2</v>
      </c>
      <c r="N22" s="3">
        <v>1</v>
      </c>
      <c r="O22" s="9" t="s">
        <v>42</v>
      </c>
      <c r="P22" s="5" t="s">
        <v>13</v>
      </c>
      <c r="Q22" s="5" t="s">
        <v>13</v>
      </c>
      <c r="R22" s="5">
        <v>0</v>
      </c>
      <c r="S22" s="5">
        <v>0</v>
      </c>
      <c r="T22" s="4">
        <v>0</v>
      </c>
      <c r="U22" s="5">
        <v>0</v>
      </c>
      <c r="V22" s="5">
        <v>0</v>
      </c>
      <c r="W22" s="5">
        <v>0</v>
      </c>
      <c r="X22" s="5">
        <v>0</v>
      </c>
    </row>
    <row r="23" spans="1:24" s="6" customFormat="1" ht="16.5" x14ac:dyDescent="0.15">
      <c r="A23" s="3" t="s">
        <v>28</v>
      </c>
      <c r="B23" s="3" t="s">
        <v>29</v>
      </c>
      <c r="C23" s="3" t="s">
        <v>15</v>
      </c>
      <c r="D23" s="3">
        <v>3.3330000000000002</v>
      </c>
      <c r="E23" s="3">
        <v>0</v>
      </c>
      <c r="F23" s="3">
        <v>1</v>
      </c>
      <c r="G23" s="3">
        <v>0</v>
      </c>
      <c r="H23" s="3">
        <v>1</v>
      </c>
      <c r="I23" s="3" t="s">
        <v>16</v>
      </c>
      <c r="J23" s="3" t="s">
        <v>30</v>
      </c>
      <c r="K23" s="3">
        <v>5</v>
      </c>
      <c r="L23" s="3">
        <v>0.1</v>
      </c>
      <c r="M23" s="3">
        <v>1</v>
      </c>
      <c r="N23" s="3">
        <v>0</v>
      </c>
      <c r="O23" s="9" t="s">
        <v>16</v>
      </c>
      <c r="P23" s="5" t="s">
        <v>13</v>
      </c>
      <c r="Q23" s="5" t="s">
        <v>13</v>
      </c>
      <c r="R23" s="5">
        <v>0</v>
      </c>
      <c r="S23" s="5">
        <v>0</v>
      </c>
      <c r="T23" s="4">
        <v>0</v>
      </c>
      <c r="U23" s="5">
        <v>0</v>
      </c>
      <c r="V23" s="5">
        <v>0</v>
      </c>
      <c r="W23" s="5">
        <v>0</v>
      </c>
      <c r="X23" s="5">
        <v>0</v>
      </c>
    </row>
    <row r="24" spans="1:24" s="6" customFormat="1" ht="16.5" x14ac:dyDescent="0.15">
      <c r="A24" s="3" t="s">
        <v>33</v>
      </c>
      <c r="B24" s="3" t="s">
        <v>31</v>
      </c>
      <c r="C24" s="3" t="s">
        <v>18</v>
      </c>
      <c r="D24" s="3">
        <v>2</v>
      </c>
      <c r="E24" s="3">
        <v>0</v>
      </c>
      <c r="F24" s="3">
        <v>1</v>
      </c>
      <c r="G24" s="3">
        <v>0</v>
      </c>
      <c r="H24" s="3">
        <v>1</v>
      </c>
      <c r="I24" s="3" t="s">
        <v>13</v>
      </c>
      <c r="J24" s="3" t="s">
        <v>32</v>
      </c>
      <c r="K24" s="3">
        <v>5</v>
      </c>
      <c r="L24" s="3">
        <v>0.4</v>
      </c>
      <c r="M24" s="3">
        <v>1</v>
      </c>
      <c r="N24" s="3">
        <v>0</v>
      </c>
      <c r="O24" s="9" t="s">
        <v>43</v>
      </c>
      <c r="P24" s="5" t="s">
        <v>13</v>
      </c>
      <c r="Q24" s="5" t="s">
        <v>13</v>
      </c>
      <c r="R24" s="5">
        <v>0</v>
      </c>
      <c r="S24" s="5">
        <v>0</v>
      </c>
      <c r="T24" s="4">
        <v>0</v>
      </c>
      <c r="U24" s="5">
        <v>0</v>
      </c>
      <c r="V24" s="5">
        <v>0</v>
      </c>
      <c r="W24" s="5">
        <v>0</v>
      </c>
      <c r="X24" s="5">
        <v>0</v>
      </c>
    </row>
    <row r="25" spans="1:24" s="10" customFormat="1" ht="16.5" x14ac:dyDescent="0.15">
      <c r="A25" s="7" t="s">
        <v>38</v>
      </c>
      <c r="B25" s="10" t="s">
        <v>39</v>
      </c>
      <c r="C25" s="10" t="s">
        <v>17</v>
      </c>
      <c r="D25" s="10">
        <v>1</v>
      </c>
      <c r="E25" s="10">
        <v>0</v>
      </c>
      <c r="F25" s="10">
        <v>2</v>
      </c>
      <c r="G25" s="10">
        <v>17</v>
      </c>
      <c r="H25" s="10">
        <v>1</v>
      </c>
      <c r="I25" s="10" t="s">
        <v>13</v>
      </c>
      <c r="J25" s="10" t="s">
        <v>41</v>
      </c>
      <c r="K25" s="10">
        <v>5</v>
      </c>
      <c r="L25" s="10">
        <v>0.53</v>
      </c>
      <c r="M25" s="11">
        <v>1</v>
      </c>
      <c r="N25" s="10">
        <v>1</v>
      </c>
      <c r="O25" s="12" t="s">
        <v>40</v>
      </c>
      <c r="P25" s="10" t="s">
        <v>13</v>
      </c>
      <c r="Q25" s="10" t="s">
        <v>13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</row>
    <row r="26" spans="1:24" s="6" customFormat="1" ht="16.5" x14ac:dyDescent="0.15">
      <c r="A26" s="3" t="s">
        <v>21</v>
      </c>
      <c r="B26" s="3" t="s">
        <v>22</v>
      </c>
      <c r="C26" s="3" t="s">
        <v>19</v>
      </c>
      <c r="D26" s="3">
        <v>1.667</v>
      </c>
      <c r="E26" s="3">
        <v>0</v>
      </c>
      <c r="F26" s="3">
        <v>1</v>
      </c>
      <c r="G26" s="3">
        <v>0</v>
      </c>
      <c r="H26" s="3">
        <v>1</v>
      </c>
      <c r="I26" s="3" t="s">
        <v>20</v>
      </c>
      <c r="J26" s="3" t="s">
        <v>23</v>
      </c>
      <c r="K26" s="3">
        <v>3.3</v>
      </c>
      <c r="L26" s="3">
        <v>0.6</v>
      </c>
      <c r="M26" s="3">
        <v>3</v>
      </c>
      <c r="N26" s="3">
        <v>0</v>
      </c>
      <c r="O26" s="9" t="s">
        <v>16</v>
      </c>
      <c r="P26" s="5" t="s">
        <v>13</v>
      </c>
      <c r="Q26" s="5" t="s">
        <v>13</v>
      </c>
      <c r="R26" s="5">
        <v>0</v>
      </c>
      <c r="S26" s="5">
        <v>0</v>
      </c>
      <c r="T26" s="4">
        <v>0</v>
      </c>
      <c r="U26" s="5">
        <v>0</v>
      </c>
      <c r="V26" s="5">
        <v>0</v>
      </c>
      <c r="W26" s="5">
        <v>0</v>
      </c>
      <c r="X26" s="5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Windows User</cp:lastModifiedBy>
  <dcterms:created xsi:type="dcterms:W3CDTF">2015-06-16T11:24:00Z</dcterms:created>
  <dcterms:modified xsi:type="dcterms:W3CDTF">2017-11-12T07:07:25Z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2052-9.1.0.5184</vt:lpwstr>
  </property>
</Properties>
</file>