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35" windowWidth="14805" windowHeight="7980"/>
  </bookViews>
  <sheets>
    <sheet name="Sheet1" sheetId="1" r:id="rId1"/>
    <sheet name="Sheet2" sheetId="4" r:id="rId2"/>
    <sheet name="Sheet3" sheetId="3" r:id="rId3"/>
    <sheet name="技能描述" sheetId="5" r:id="rId4"/>
  </sheets>
  <functionGroups/>
  <externalReferences>
    <externalReference r:id="rId5"/>
    <externalReference r:id="rId6"/>
    <externalReference r:id="rId7"/>
  </externalReferences>
  <definedNames>
    <definedName name="_xlnm._FilterDatabase" localSheetId="1" hidden="1">Sheet2!$A$1:$M$183</definedName>
  </definedNames>
  <calcPr calcId="125725"/>
</workbook>
</file>

<file path=xl/calcChain.xml><?xml version="1.0" encoding="utf-8"?>
<calcChain xmlns="http://schemas.openxmlformats.org/spreadsheetml/2006/main">
  <c r="B768" i="5"/>
  <c r="I194" i="1" l="1"/>
  <c r="I196"/>
  <c r="I198"/>
  <c r="I200"/>
  <c r="I202"/>
  <c r="I204"/>
  <c r="I206"/>
  <c r="I208"/>
  <c r="I210"/>
  <c r="I212"/>
  <c r="I214"/>
  <c r="I216"/>
  <c r="I218"/>
  <c r="I220"/>
  <c r="I222"/>
  <c r="I224"/>
  <c r="I226"/>
  <c r="I228"/>
  <c r="I230"/>
  <c r="I232"/>
  <c r="I234"/>
  <c r="I236"/>
  <c r="I238"/>
  <c r="I240"/>
  <c r="I242"/>
  <c r="I244"/>
  <c r="I246"/>
  <c r="I248"/>
  <c r="I250"/>
  <c r="I252"/>
  <c r="I254"/>
  <c r="I256"/>
  <c r="I258"/>
  <c r="I260"/>
  <c r="I262"/>
  <c r="I264"/>
  <c r="I266"/>
  <c r="I268"/>
  <c r="I270"/>
  <c r="I272"/>
  <c r="I274"/>
  <c r="I276"/>
  <c r="I278"/>
  <c r="I280"/>
  <c r="I282"/>
  <c r="I284"/>
  <c r="I286"/>
  <c r="I288"/>
  <c r="I290"/>
  <c r="I292"/>
  <c r="I294"/>
  <c r="I296"/>
  <c r="I298"/>
  <c r="I300"/>
  <c r="I302"/>
  <c r="I304"/>
  <c r="I306"/>
  <c r="I308"/>
  <c r="I310"/>
  <c r="I312"/>
  <c r="I314"/>
  <c r="I316"/>
  <c r="I318"/>
  <c r="I320"/>
  <c r="I322"/>
  <c r="I324"/>
  <c r="I326"/>
  <c r="I328"/>
  <c r="I330"/>
  <c r="I332"/>
  <c r="I334"/>
  <c r="I336"/>
  <c r="I338"/>
  <c r="I340"/>
  <c r="I342"/>
  <c r="I344"/>
  <c r="I346"/>
  <c r="I348"/>
  <c r="I350"/>
  <c r="I352"/>
  <c r="I354"/>
  <c r="I356"/>
  <c r="I358"/>
  <c r="I360"/>
  <c r="I362"/>
  <c r="I364"/>
  <c r="I366"/>
  <c r="I368"/>
  <c r="I370"/>
  <c r="I372"/>
  <c r="I374"/>
  <c r="I376"/>
  <c r="I378"/>
  <c r="I380"/>
  <c r="I382"/>
  <c r="I384"/>
  <c r="I386"/>
  <c r="I388"/>
  <c r="I390"/>
  <c r="I392"/>
  <c r="I394"/>
  <c r="I396"/>
  <c r="I398"/>
  <c r="I400"/>
  <c r="I402"/>
  <c r="I404"/>
  <c r="I406"/>
  <c r="I408"/>
  <c r="I410"/>
  <c r="I412"/>
  <c r="I414"/>
  <c r="I416"/>
  <c r="I418"/>
  <c r="I420"/>
  <c r="I422"/>
  <c r="I424"/>
  <c r="I426"/>
  <c r="I428"/>
  <c r="I430"/>
  <c r="I432"/>
  <c r="I434"/>
  <c r="I436"/>
  <c r="I438"/>
  <c r="I440"/>
  <c r="I442"/>
  <c r="I444"/>
  <c r="I446"/>
  <c r="I448"/>
  <c r="I450"/>
  <c r="I452"/>
  <c r="I454"/>
  <c r="I456"/>
  <c r="I458"/>
  <c r="I460"/>
  <c r="I462"/>
  <c r="I464"/>
  <c r="I466"/>
  <c r="I468"/>
  <c r="I470"/>
  <c r="I472"/>
  <c r="I474"/>
  <c r="I476"/>
  <c r="I478"/>
  <c r="I480"/>
  <c r="I482"/>
  <c r="I484"/>
  <c r="I486"/>
  <c r="I488"/>
  <c r="I490"/>
  <c r="I492"/>
  <c r="I494"/>
  <c r="I496"/>
  <c r="I498"/>
  <c r="I500"/>
  <c r="I502"/>
  <c r="I504"/>
  <c r="I506"/>
  <c r="I508"/>
  <c r="I510"/>
  <c r="I512"/>
  <c r="I514"/>
  <c r="I516"/>
  <c r="I518"/>
  <c r="I520"/>
  <c r="I522"/>
  <c r="I524"/>
  <c r="I526"/>
  <c r="I528"/>
  <c r="I530"/>
  <c r="I532"/>
  <c r="I534"/>
  <c r="I536"/>
  <c r="I538"/>
  <c r="I540"/>
  <c r="I542"/>
  <c r="I544"/>
  <c r="I546"/>
  <c r="I548"/>
  <c r="I550"/>
  <c r="I552"/>
  <c r="I554"/>
  <c r="I556"/>
  <c r="I558"/>
  <c r="I560"/>
  <c r="I562"/>
  <c r="I564"/>
  <c r="I566"/>
  <c r="I568"/>
  <c r="I570"/>
  <c r="I572"/>
  <c r="I574"/>
  <c r="I576"/>
  <c r="I578"/>
  <c r="I580"/>
  <c r="I582"/>
  <c r="I584"/>
  <c r="I586"/>
  <c r="I588"/>
  <c r="I590"/>
  <c r="I592"/>
  <c r="I594"/>
  <c r="I596"/>
  <c r="I598"/>
  <c r="I600"/>
  <c r="I602"/>
  <c r="I604"/>
  <c r="I606"/>
  <c r="I608"/>
  <c r="I609"/>
  <c r="I610"/>
  <c r="I611"/>
  <c r="I612"/>
  <c r="I614"/>
  <c r="I616"/>
  <c r="I617"/>
  <c r="I618"/>
  <c r="I619"/>
  <c r="I620"/>
  <c r="I622"/>
  <c r="I624"/>
  <c r="I626"/>
  <c r="I628"/>
  <c r="I630"/>
  <c r="I632"/>
  <c r="I634"/>
  <c r="I635"/>
  <c r="I636"/>
  <c r="I637"/>
  <c r="I638"/>
  <c r="I640"/>
  <c r="I642"/>
  <c r="I643"/>
  <c r="I644"/>
  <c r="I645"/>
  <c r="I646"/>
  <c r="I648"/>
  <c r="I650"/>
  <c r="I651"/>
  <c r="I652"/>
  <c r="I653"/>
  <c r="I654"/>
  <c r="I656"/>
  <c r="I658"/>
  <c r="I659"/>
  <c r="I660"/>
  <c r="I661"/>
  <c r="I662"/>
  <c r="I664"/>
  <c r="I666"/>
  <c r="I667"/>
  <c r="I668"/>
  <c r="I669"/>
  <c r="I670"/>
  <c r="I672"/>
  <c r="I674"/>
  <c r="I675"/>
  <c r="I676"/>
  <c r="I677"/>
  <c r="I678"/>
  <c r="I680"/>
  <c r="I682"/>
  <c r="I683"/>
  <c r="I684"/>
  <c r="I685"/>
  <c r="I686"/>
  <c r="I688"/>
  <c r="I690"/>
  <c r="I691"/>
  <c r="I692"/>
  <c r="I693"/>
  <c r="I694"/>
  <c r="I696"/>
  <c r="I698"/>
  <c r="I699"/>
  <c r="I700"/>
  <c r="I701"/>
  <c r="I702"/>
  <c r="I704"/>
  <c r="I706"/>
  <c r="I707"/>
  <c r="I708"/>
  <c r="I709"/>
  <c r="I710"/>
  <c r="I712"/>
  <c r="I714"/>
  <c r="I715"/>
  <c r="I716"/>
  <c r="I717"/>
  <c r="I718"/>
  <c r="I720"/>
  <c r="I722"/>
  <c r="I723"/>
  <c r="I724"/>
  <c r="I725"/>
  <c r="I726"/>
  <c r="I728"/>
  <c r="I730"/>
  <c r="I731"/>
  <c r="I732"/>
  <c r="I733"/>
  <c r="I734"/>
  <c r="I736"/>
  <c r="I738"/>
  <c r="I739"/>
  <c r="I740"/>
  <c r="I741"/>
  <c r="I742"/>
  <c r="I744"/>
  <c r="I746"/>
  <c r="I747"/>
  <c r="I748"/>
  <c r="I749"/>
  <c r="I750"/>
  <c r="I752"/>
  <c r="I754"/>
  <c r="I755"/>
  <c r="I756"/>
  <c r="I757"/>
  <c r="B769" i="5"/>
  <c r="B770"/>
  <c r="B771"/>
  <c r="B772"/>
  <c r="B773"/>
  <c r="B774"/>
  <c r="B775"/>
  <c r="B776"/>
  <c r="B777"/>
  <c r="B778"/>
  <c r="B779"/>
  <c r="D756" i="1" l="1"/>
  <c r="D757"/>
  <c r="F194"/>
  <c r="E195" l="1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J200"/>
  <c r="J204"/>
  <c r="J208"/>
  <c r="J212"/>
  <c r="J240"/>
  <c r="J244"/>
  <c r="J254"/>
  <c r="J262"/>
  <c r="J276"/>
  <c r="J292"/>
  <c r="J296"/>
  <c r="J300"/>
  <c r="J330"/>
  <c r="J336"/>
  <c r="J346"/>
  <c r="J350"/>
  <c r="J358"/>
  <c r="J364"/>
  <c r="J372"/>
  <c r="J394"/>
  <c r="J408"/>
  <c r="J422"/>
  <c r="J428"/>
  <c r="J444"/>
  <c r="J468"/>
  <c r="J474"/>
  <c r="J484"/>
  <c r="J498"/>
  <c r="J500"/>
  <c r="J502"/>
  <c r="J506"/>
  <c r="J510"/>
  <c r="J520"/>
  <c r="J540"/>
  <c r="J558"/>
  <c r="J574"/>
  <c r="J584"/>
  <c r="J588"/>
  <c r="J594"/>
  <c r="J608"/>
  <c r="J610"/>
  <c r="J614"/>
  <c r="J617"/>
  <c r="J636"/>
  <c r="J644"/>
  <c r="J650"/>
  <c r="J658"/>
  <c r="J662"/>
  <c r="J667"/>
  <c r="J676"/>
  <c r="J683"/>
  <c r="J696"/>
  <c r="J698"/>
  <c r="J707"/>
  <c r="J710"/>
  <c r="J714"/>
  <c r="J716"/>
  <c r="J723"/>
  <c r="J728"/>
  <c r="J730"/>
  <c r="J732"/>
  <c r="J738"/>
  <c r="J744"/>
  <c r="J747"/>
  <c r="H19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4"/>
  <c r="A194"/>
  <c r="E185"/>
  <c r="E186"/>
  <c r="E187"/>
  <c r="E188"/>
  <c r="E189"/>
  <c r="E190"/>
  <c r="E191"/>
  <c r="E192"/>
  <c r="E193"/>
  <c r="E184"/>
  <c r="I186" i="4"/>
  <c r="J186"/>
  <c r="L186" s="1"/>
  <c r="M186" s="1"/>
  <c r="I187"/>
  <c r="J187"/>
  <c r="L187" s="1"/>
  <c r="M187" s="1"/>
  <c r="I188"/>
  <c r="J188"/>
  <c r="L188" s="1"/>
  <c r="M188" s="1"/>
  <c r="I189"/>
  <c r="J189"/>
  <c r="L189"/>
  <c r="M189" s="1"/>
  <c r="I190"/>
  <c r="J190"/>
  <c r="L190" s="1"/>
  <c r="M190" s="1"/>
  <c r="I191"/>
  <c r="J191"/>
  <c r="L191" s="1"/>
  <c r="M191" s="1"/>
  <c r="I192"/>
  <c r="J192"/>
  <c r="L192"/>
  <c r="M192" s="1"/>
  <c r="I193"/>
  <c r="J193"/>
  <c r="L193"/>
  <c r="M193" s="1"/>
  <c r="I194"/>
  <c r="J194"/>
  <c r="L194" s="1"/>
  <c r="M194" s="1"/>
  <c r="I195"/>
  <c r="J195"/>
  <c r="L195" s="1"/>
  <c r="M195" s="1"/>
  <c r="I196"/>
  <c r="J196"/>
  <c r="L196" s="1"/>
  <c r="M196" s="1"/>
  <c r="I197"/>
  <c r="J197"/>
  <c r="L197"/>
  <c r="M197" s="1"/>
  <c r="I198"/>
  <c r="J198"/>
  <c r="L198" s="1"/>
  <c r="M198" s="1"/>
  <c r="I199"/>
  <c r="J199"/>
  <c r="L199" s="1"/>
  <c r="M199" s="1"/>
  <c r="I200"/>
  <c r="J200"/>
  <c r="L200"/>
  <c r="M200" s="1"/>
  <c r="I201"/>
  <c r="J201"/>
  <c r="L201"/>
  <c r="M201" s="1"/>
  <c r="I202"/>
  <c r="J202"/>
  <c r="L202" s="1"/>
  <c r="M202" s="1"/>
  <c r="I203"/>
  <c r="J203"/>
  <c r="L203" s="1"/>
  <c r="M203" s="1"/>
  <c r="I204"/>
  <c r="J204"/>
  <c r="L204" s="1"/>
  <c r="M204" s="1"/>
  <c r="I205"/>
  <c r="J205"/>
  <c r="L205"/>
  <c r="M205" s="1"/>
  <c r="I206"/>
  <c r="J206"/>
  <c r="L206" s="1"/>
  <c r="M206" s="1"/>
  <c r="I207"/>
  <c r="J207"/>
  <c r="L207"/>
  <c r="M207" s="1"/>
  <c r="I208"/>
  <c r="J208"/>
  <c r="L208"/>
  <c r="M208" s="1"/>
  <c r="I209"/>
  <c r="J209"/>
  <c r="L209"/>
  <c r="M209" s="1"/>
  <c r="I210"/>
  <c r="J210"/>
  <c r="L210" s="1"/>
  <c r="M210" s="1"/>
  <c r="I211"/>
  <c r="J211"/>
  <c r="L211"/>
  <c r="M211" s="1"/>
  <c r="I212"/>
  <c r="J212"/>
  <c r="L212" s="1"/>
  <c r="M212" s="1"/>
  <c r="I213"/>
  <c r="J213"/>
  <c r="L213"/>
  <c r="M213" s="1"/>
  <c r="I214"/>
  <c r="J214"/>
  <c r="L214" s="1"/>
  <c r="M214" s="1"/>
  <c r="I215"/>
  <c r="J215"/>
  <c r="L215"/>
  <c r="M215" s="1"/>
  <c r="I216"/>
  <c r="J216"/>
  <c r="L216"/>
  <c r="M216" s="1"/>
  <c r="I217"/>
  <c r="J217"/>
  <c r="L217"/>
  <c r="M217" s="1"/>
  <c r="I218"/>
  <c r="J218"/>
  <c r="L218" s="1"/>
  <c r="M218" s="1"/>
  <c r="I219"/>
  <c r="J219"/>
  <c r="L219"/>
  <c r="M219" s="1"/>
  <c r="I220"/>
  <c r="J220"/>
  <c r="L220" s="1"/>
  <c r="M220" s="1"/>
  <c r="I221"/>
  <c r="J221"/>
  <c r="L221"/>
  <c r="M221" s="1"/>
  <c r="I222"/>
  <c r="J222"/>
  <c r="L222" s="1"/>
  <c r="M222" s="1"/>
  <c r="I223"/>
  <c r="J223"/>
  <c r="L223"/>
  <c r="M223" s="1"/>
  <c r="I224"/>
  <c r="J224"/>
  <c r="L224"/>
  <c r="M224" s="1"/>
  <c r="I225"/>
  <c r="J225"/>
  <c r="L225"/>
  <c r="M225" s="1"/>
  <c r="I226"/>
  <c r="J226"/>
  <c r="L226" s="1"/>
  <c r="M226" s="1"/>
  <c r="I227"/>
  <c r="J227"/>
  <c r="L227"/>
  <c r="M227" s="1"/>
  <c r="I228"/>
  <c r="J228"/>
  <c r="L228" s="1"/>
  <c r="M228" s="1"/>
  <c r="I229"/>
  <c r="J229"/>
  <c r="L229"/>
  <c r="M229" s="1"/>
  <c r="I230"/>
  <c r="J230"/>
  <c r="L230" s="1"/>
  <c r="M230" s="1"/>
  <c r="I231"/>
  <c r="J231"/>
  <c r="L231"/>
  <c r="M231" s="1"/>
  <c r="I232"/>
  <c r="J232"/>
  <c r="L232"/>
  <c r="M232" s="1"/>
  <c r="I233"/>
  <c r="J233"/>
  <c r="L233"/>
  <c r="M233" s="1"/>
  <c r="I234"/>
  <c r="J234"/>
  <c r="L234" s="1"/>
  <c r="M234" s="1"/>
  <c r="I235"/>
  <c r="J235"/>
  <c r="L235"/>
  <c r="M235" s="1"/>
  <c r="I236"/>
  <c r="J236"/>
  <c r="L236" s="1"/>
  <c r="M236" s="1"/>
  <c r="I237"/>
  <c r="J237"/>
  <c r="L237"/>
  <c r="M237" s="1"/>
  <c r="I238"/>
  <c r="J238"/>
  <c r="L238" s="1"/>
  <c r="M238" s="1"/>
  <c r="I239"/>
  <c r="J239"/>
  <c r="L239"/>
  <c r="M239" s="1"/>
  <c r="I240"/>
  <c r="J240"/>
  <c r="L240"/>
  <c r="M240" s="1"/>
  <c r="I241"/>
  <c r="J241"/>
  <c r="L241"/>
  <c r="M241" s="1"/>
  <c r="I242"/>
  <c r="J242"/>
  <c r="L242" s="1"/>
  <c r="M242" s="1"/>
  <c r="I243"/>
  <c r="J243"/>
  <c r="L243"/>
  <c r="M243" s="1"/>
  <c r="I244"/>
  <c r="J244"/>
  <c r="L244" s="1"/>
  <c r="M244" s="1"/>
  <c r="I245"/>
  <c r="J245"/>
  <c r="L245"/>
  <c r="M245" s="1"/>
  <c r="I246"/>
  <c r="J246"/>
  <c r="L246" s="1"/>
  <c r="M246" s="1"/>
  <c r="I247"/>
  <c r="J247"/>
  <c r="L247"/>
  <c r="M247" s="1"/>
  <c r="I248"/>
  <c r="J248"/>
  <c r="L248"/>
  <c r="M248" s="1"/>
  <c r="I249"/>
  <c r="J249"/>
  <c r="L249"/>
  <c r="M249" s="1"/>
  <c r="I250"/>
  <c r="J250"/>
  <c r="L250" s="1"/>
  <c r="M250" s="1"/>
  <c r="I251"/>
  <c r="J251"/>
  <c r="L251"/>
  <c r="M251" s="1"/>
  <c r="I252"/>
  <c r="J252"/>
  <c r="L252" s="1"/>
  <c r="M252" s="1"/>
  <c r="I253"/>
  <c r="J253"/>
  <c r="L253"/>
  <c r="M253" s="1"/>
  <c r="I254"/>
  <c r="J254"/>
  <c r="L254" s="1"/>
  <c r="M254" s="1"/>
  <c r="I255"/>
  <c r="J255"/>
  <c r="L255"/>
  <c r="M255" s="1"/>
  <c r="I256"/>
  <c r="J256"/>
  <c r="L256"/>
  <c r="M256" s="1"/>
  <c r="I257"/>
  <c r="J257"/>
  <c r="L257"/>
  <c r="M257" s="1"/>
  <c r="I258"/>
  <c r="J258"/>
  <c r="L258" s="1"/>
  <c r="M258" s="1"/>
  <c r="I259"/>
  <c r="J259"/>
  <c r="L259"/>
  <c r="M259" s="1"/>
  <c r="I260"/>
  <c r="J260"/>
  <c r="L260" s="1"/>
  <c r="M260" s="1"/>
  <c r="I261"/>
  <c r="J261"/>
  <c r="L261"/>
  <c r="M261" s="1"/>
  <c r="I262"/>
  <c r="J262"/>
  <c r="L262" s="1"/>
  <c r="M262" s="1"/>
  <c r="I263"/>
  <c r="J263"/>
  <c r="L263"/>
  <c r="M263" s="1"/>
  <c r="I264"/>
  <c r="J264"/>
  <c r="L264"/>
  <c r="M264" s="1"/>
  <c r="I265"/>
  <c r="J265"/>
  <c r="L265"/>
  <c r="M265" s="1"/>
  <c r="I266"/>
  <c r="J266"/>
  <c r="L266" s="1"/>
  <c r="M266" s="1"/>
  <c r="I267"/>
  <c r="J267"/>
  <c r="L267"/>
  <c r="M267" s="1"/>
  <c r="I268"/>
  <c r="J268"/>
  <c r="L268" s="1"/>
  <c r="M268" s="1"/>
  <c r="I269"/>
  <c r="J269"/>
  <c r="L269"/>
  <c r="M269" s="1"/>
  <c r="I270"/>
  <c r="J270"/>
  <c r="L270" s="1"/>
  <c r="M270" s="1"/>
  <c r="I271"/>
  <c r="J271"/>
  <c r="L271"/>
  <c r="M271" s="1"/>
  <c r="I272"/>
  <c r="J272"/>
  <c r="L272"/>
  <c r="M272" s="1"/>
  <c r="I273"/>
  <c r="J273"/>
  <c r="L273"/>
  <c r="M273" s="1"/>
  <c r="I274"/>
  <c r="J274"/>
  <c r="L274" s="1"/>
  <c r="M274" s="1"/>
  <c r="I275"/>
  <c r="J275"/>
  <c r="L275"/>
  <c r="M275" s="1"/>
  <c r="I276"/>
  <c r="J276"/>
  <c r="L276" s="1"/>
  <c r="M276" s="1"/>
  <c r="I277"/>
  <c r="J277"/>
  <c r="L277"/>
  <c r="M277" s="1"/>
  <c r="I278"/>
  <c r="J278"/>
  <c r="L278" s="1"/>
  <c r="M278" s="1"/>
  <c r="I279"/>
  <c r="J279"/>
  <c r="L279"/>
  <c r="M279" s="1"/>
  <c r="I280"/>
  <c r="J280"/>
  <c r="L280" s="1"/>
  <c r="M280" s="1"/>
  <c r="I281"/>
  <c r="J281"/>
  <c r="L281"/>
  <c r="M281" s="1"/>
  <c r="I282"/>
  <c r="J282"/>
  <c r="L282"/>
  <c r="M282" s="1"/>
  <c r="I283"/>
  <c r="J283"/>
  <c r="L283"/>
  <c r="M283" s="1"/>
  <c r="I284"/>
  <c r="J284"/>
  <c r="L284" s="1"/>
  <c r="M284" s="1"/>
  <c r="I285"/>
  <c r="J285"/>
  <c r="L285"/>
  <c r="M285" s="1"/>
  <c r="I286"/>
  <c r="J286"/>
  <c r="L286" s="1"/>
  <c r="M286"/>
  <c r="I287"/>
  <c r="J287"/>
  <c r="L287"/>
  <c r="M287" s="1"/>
  <c r="I288"/>
  <c r="J288"/>
  <c r="L288" s="1"/>
  <c r="M288" s="1"/>
  <c r="I289"/>
  <c r="J289"/>
  <c r="L289"/>
  <c r="M289" s="1"/>
  <c r="I290"/>
  <c r="J290"/>
  <c r="L290"/>
  <c r="M290" s="1"/>
  <c r="I291"/>
  <c r="J291"/>
  <c r="L291" s="1"/>
  <c r="M291" s="1"/>
  <c r="I292"/>
  <c r="J292"/>
  <c r="L292" s="1"/>
  <c r="M292" s="1"/>
  <c r="I293"/>
  <c r="J293"/>
  <c r="L293" s="1"/>
  <c r="M293" s="1"/>
  <c r="I294"/>
  <c r="J294"/>
  <c r="L294"/>
  <c r="M294" s="1"/>
  <c r="I295"/>
  <c r="J295"/>
  <c r="L295" s="1"/>
  <c r="M295" s="1"/>
  <c r="I296"/>
  <c r="J296"/>
  <c r="L296"/>
  <c r="M296"/>
  <c r="I297"/>
  <c r="J297"/>
  <c r="L297" s="1"/>
  <c r="M297" s="1"/>
  <c r="I298"/>
  <c r="J298"/>
  <c r="L298" s="1"/>
  <c r="M298" s="1"/>
  <c r="I299"/>
  <c r="J299"/>
  <c r="L299" s="1"/>
  <c r="M299" s="1"/>
  <c r="I300"/>
  <c r="J300"/>
  <c r="L300"/>
  <c r="M300" s="1"/>
  <c r="I301"/>
  <c r="J301"/>
  <c r="L301" s="1"/>
  <c r="M301" s="1"/>
  <c r="I302"/>
  <c r="J302"/>
  <c r="L302"/>
  <c r="M302" s="1"/>
  <c r="I303"/>
  <c r="J303"/>
  <c r="L303" s="1"/>
  <c r="M303" s="1"/>
  <c r="I304"/>
  <c r="J304"/>
  <c r="L304"/>
  <c r="M304"/>
  <c r="I305"/>
  <c r="J305"/>
  <c r="L305" s="1"/>
  <c r="M305" s="1"/>
  <c r="I306"/>
  <c r="J306"/>
  <c r="L306" s="1"/>
  <c r="M306" s="1"/>
  <c r="I307"/>
  <c r="J307"/>
  <c r="L307" s="1"/>
  <c r="M307" s="1"/>
  <c r="I308"/>
  <c r="J308"/>
  <c r="L308"/>
  <c r="M308" s="1"/>
  <c r="I309"/>
  <c r="J309"/>
  <c r="L309" s="1"/>
  <c r="M309" s="1"/>
  <c r="I310"/>
  <c r="J310"/>
  <c r="L310"/>
  <c r="M310" s="1"/>
  <c r="I311"/>
  <c r="J311"/>
  <c r="L311" s="1"/>
  <c r="M311" s="1"/>
  <c r="I312"/>
  <c r="J312"/>
  <c r="L312"/>
  <c r="M312"/>
  <c r="I313"/>
  <c r="J313"/>
  <c r="L313" s="1"/>
  <c r="M313" s="1"/>
  <c r="I314"/>
  <c r="J314"/>
  <c r="L314" s="1"/>
  <c r="M314" s="1"/>
  <c r="I315"/>
  <c r="J315"/>
  <c r="L315" s="1"/>
  <c r="M315" s="1"/>
  <c r="I316"/>
  <c r="J316"/>
  <c r="L316"/>
  <c r="M316" s="1"/>
  <c r="I317"/>
  <c r="J317"/>
  <c r="L317" s="1"/>
  <c r="M317" s="1"/>
  <c r="I318"/>
  <c r="J318"/>
  <c r="L318"/>
  <c r="M318" s="1"/>
  <c r="I319"/>
  <c r="J319"/>
  <c r="L319" s="1"/>
  <c r="M319" s="1"/>
  <c r="I320"/>
  <c r="J320"/>
  <c r="L320"/>
  <c r="M320"/>
  <c r="I321"/>
  <c r="J321"/>
  <c r="L321" s="1"/>
  <c r="M321" s="1"/>
  <c r="I322"/>
  <c r="J322"/>
  <c r="L322" s="1"/>
  <c r="M322" s="1"/>
  <c r="I323"/>
  <c r="J323"/>
  <c r="L323" s="1"/>
  <c r="M323" s="1"/>
  <c r="I324"/>
  <c r="J324"/>
  <c r="L324"/>
  <c r="M324" s="1"/>
  <c r="I325"/>
  <c r="J325"/>
  <c r="L325" s="1"/>
  <c r="M325" s="1"/>
  <c r="I326"/>
  <c r="J326"/>
  <c r="L326"/>
  <c r="M326" s="1"/>
  <c r="I327"/>
  <c r="J327"/>
  <c r="L327" s="1"/>
  <c r="M327" s="1"/>
  <c r="I328"/>
  <c r="J328"/>
  <c r="L328"/>
  <c r="M328"/>
  <c r="I329"/>
  <c r="J329"/>
  <c r="L329" s="1"/>
  <c r="M329" s="1"/>
  <c r="I330"/>
  <c r="J330"/>
  <c r="L330" s="1"/>
  <c r="M330" s="1"/>
  <c r="I331"/>
  <c r="J331"/>
  <c r="L331" s="1"/>
  <c r="M331" s="1"/>
  <c r="I332"/>
  <c r="J332"/>
  <c r="L332"/>
  <c r="M332" s="1"/>
  <c r="I333"/>
  <c r="J333"/>
  <c r="L333" s="1"/>
  <c r="M333" s="1"/>
  <c r="I334"/>
  <c r="J334"/>
  <c r="L334"/>
  <c r="M334" s="1"/>
  <c r="I335"/>
  <c r="J335"/>
  <c r="L335" s="1"/>
  <c r="M335" s="1"/>
  <c r="I336"/>
  <c r="J336"/>
  <c r="L336"/>
  <c r="M336"/>
  <c r="I337"/>
  <c r="J337"/>
  <c r="L337" s="1"/>
  <c r="M337" s="1"/>
  <c r="I338"/>
  <c r="J338"/>
  <c r="L338" s="1"/>
  <c r="M338" s="1"/>
  <c r="I339"/>
  <c r="J339"/>
  <c r="L339" s="1"/>
  <c r="M339" s="1"/>
  <c r="I340"/>
  <c r="J340"/>
  <c r="L340"/>
  <c r="M340" s="1"/>
  <c r="I341"/>
  <c r="J341"/>
  <c r="L341" s="1"/>
  <c r="M341" s="1"/>
  <c r="I342"/>
  <c r="J342"/>
  <c r="L342"/>
  <c r="M342" s="1"/>
  <c r="I343"/>
  <c r="J343"/>
  <c r="L343" s="1"/>
  <c r="M343" s="1"/>
  <c r="I344"/>
  <c r="J344"/>
  <c r="L344"/>
  <c r="M344"/>
  <c r="I345"/>
  <c r="J345"/>
  <c r="L345" s="1"/>
  <c r="M345" s="1"/>
  <c r="I346"/>
  <c r="J346"/>
  <c r="L346" s="1"/>
  <c r="M346" s="1"/>
  <c r="I347"/>
  <c r="J347"/>
  <c r="L347" s="1"/>
  <c r="M347" s="1"/>
  <c r="I348"/>
  <c r="J348"/>
  <c r="L348"/>
  <c r="M348" s="1"/>
  <c r="I349"/>
  <c r="J349"/>
  <c r="L349" s="1"/>
  <c r="M349" s="1"/>
  <c r="I350"/>
  <c r="J350"/>
  <c r="L350"/>
  <c r="M350" s="1"/>
  <c r="I351"/>
  <c r="J351"/>
  <c r="L351" s="1"/>
  <c r="M351" s="1"/>
  <c r="I352"/>
  <c r="J352"/>
  <c r="L352"/>
  <c r="M352"/>
  <c r="I353"/>
  <c r="J353"/>
  <c r="L353" s="1"/>
  <c r="M353" s="1"/>
  <c r="I354"/>
  <c r="J354"/>
  <c r="L354" s="1"/>
  <c r="M354" s="1"/>
  <c r="I355"/>
  <c r="J355"/>
  <c r="L355" s="1"/>
  <c r="M355" s="1"/>
  <c r="I356"/>
  <c r="J356"/>
  <c r="L356"/>
  <c r="M356" s="1"/>
  <c r="I357"/>
  <c r="J357"/>
  <c r="L357" s="1"/>
  <c r="M357" s="1"/>
  <c r="I358"/>
  <c r="J358"/>
  <c r="L358"/>
  <c r="M358" s="1"/>
  <c r="I359"/>
  <c r="J359"/>
  <c r="L359" s="1"/>
  <c r="M359" s="1"/>
  <c r="I360"/>
  <c r="J360"/>
  <c r="L360"/>
  <c r="M360"/>
  <c r="I361"/>
  <c r="J361"/>
  <c r="L361" s="1"/>
  <c r="M361" s="1"/>
  <c r="I362"/>
  <c r="J362"/>
  <c r="L362" s="1"/>
  <c r="M362" s="1"/>
  <c r="I184"/>
  <c r="J184"/>
  <c r="L184" s="1"/>
  <c r="M184" s="1"/>
  <c r="I185"/>
  <c r="J185"/>
  <c r="L185"/>
  <c r="M185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4"/>
  <c r="B39" i="3"/>
  <c r="C39"/>
  <c r="D39"/>
  <c r="E39"/>
  <c r="F39"/>
  <c r="G39"/>
  <c r="H39"/>
  <c r="I39"/>
  <c r="J39"/>
  <c r="K39"/>
  <c r="L39"/>
  <c r="M39"/>
  <c r="N39"/>
  <c r="O39"/>
  <c r="P39"/>
  <c r="B40"/>
  <c r="C40"/>
  <c r="D40"/>
  <c r="E40"/>
  <c r="F40"/>
  <c r="G40"/>
  <c r="H40"/>
  <c r="I40"/>
  <c r="J40"/>
  <c r="K40"/>
  <c r="L40"/>
  <c r="M40"/>
  <c r="N40"/>
  <c r="O40"/>
  <c r="P40"/>
  <c r="B41"/>
  <c r="C41"/>
  <c r="D41"/>
  <c r="E41"/>
  <c r="F41"/>
  <c r="G41"/>
  <c r="H41"/>
  <c r="I41"/>
  <c r="J41"/>
  <c r="K41"/>
  <c r="L41"/>
  <c r="M41"/>
  <c r="N41"/>
  <c r="O41"/>
  <c r="P41"/>
  <c r="B42"/>
  <c r="C42"/>
  <c r="D42"/>
  <c r="E42"/>
  <c r="F42"/>
  <c r="G42"/>
  <c r="H42"/>
  <c r="I42"/>
  <c r="J42"/>
  <c r="K42"/>
  <c r="L42"/>
  <c r="M42"/>
  <c r="N42"/>
  <c r="O42"/>
  <c r="P42"/>
  <c r="B43"/>
  <c r="C43"/>
  <c r="D43"/>
  <c r="E43"/>
  <c r="F43"/>
  <c r="G43"/>
  <c r="H43"/>
  <c r="I43"/>
  <c r="J43"/>
  <c r="K43"/>
  <c r="L43"/>
  <c r="M43"/>
  <c r="N43"/>
  <c r="O43"/>
  <c r="P43"/>
  <c r="B44"/>
  <c r="C44"/>
  <c r="D44"/>
  <c r="E44"/>
  <c r="F44"/>
  <c r="G44"/>
  <c r="H44"/>
  <c r="I44"/>
  <c r="J44"/>
  <c r="K44"/>
  <c r="L44"/>
  <c r="M44"/>
  <c r="N44"/>
  <c r="O44"/>
  <c r="P44"/>
  <c r="B45"/>
  <c r="C45"/>
  <c r="D45"/>
  <c r="E45"/>
  <c r="F45"/>
  <c r="G45"/>
  <c r="H45"/>
  <c r="I45"/>
  <c r="J45"/>
  <c r="K45"/>
  <c r="L45"/>
  <c r="M45"/>
  <c r="N45"/>
  <c r="O45"/>
  <c r="P45"/>
  <c r="B46"/>
  <c r="C46"/>
  <c r="D46"/>
  <c r="E46"/>
  <c r="F46"/>
  <c r="G46"/>
  <c r="H46"/>
  <c r="I46"/>
  <c r="J46"/>
  <c r="K46"/>
  <c r="L46"/>
  <c r="M46"/>
  <c r="N46"/>
  <c r="O46"/>
  <c r="P46"/>
  <c r="B47"/>
  <c r="C47"/>
  <c r="D47"/>
  <c r="E47"/>
  <c r="F47"/>
  <c r="G47"/>
  <c r="H47"/>
  <c r="I47"/>
  <c r="J47"/>
  <c r="K47"/>
  <c r="L47"/>
  <c r="M47"/>
  <c r="N47"/>
  <c r="O47"/>
  <c r="P47"/>
  <c r="B48"/>
  <c r="C48"/>
  <c r="D48"/>
  <c r="E48"/>
  <c r="F48"/>
  <c r="G48"/>
  <c r="H48"/>
  <c r="I48"/>
  <c r="J48"/>
  <c r="K48"/>
  <c r="L48"/>
  <c r="M48"/>
  <c r="N48"/>
  <c r="O48"/>
  <c r="P48"/>
  <c r="B49"/>
  <c r="C49"/>
  <c r="D49"/>
  <c r="E49"/>
  <c r="F49"/>
  <c r="G49"/>
  <c r="H49"/>
  <c r="I49"/>
  <c r="J49"/>
  <c r="K49"/>
  <c r="L49"/>
  <c r="M49"/>
  <c r="N49"/>
  <c r="O49"/>
  <c r="P49"/>
  <c r="C38"/>
  <c r="D38"/>
  <c r="E38"/>
  <c r="F38"/>
  <c r="G38"/>
  <c r="H38"/>
  <c r="I38"/>
  <c r="J38"/>
  <c r="K38"/>
  <c r="L38"/>
  <c r="M38"/>
  <c r="N38"/>
  <c r="O38"/>
  <c r="P38"/>
  <c r="B38"/>
  <c r="A80"/>
  <c r="C80"/>
  <c r="A79"/>
  <c r="A78"/>
  <c r="B78"/>
  <c r="A77"/>
  <c r="A76"/>
  <c r="A91" s="1"/>
  <c r="A106" s="1"/>
  <c r="C106" s="1"/>
  <c r="A75"/>
  <c r="A90" s="1"/>
  <c r="C90" s="1"/>
  <c r="C74"/>
  <c r="A74"/>
  <c r="A89" s="1"/>
  <c r="A73"/>
  <c r="A72"/>
  <c r="C72" s="1"/>
  <c r="A71"/>
  <c r="C71"/>
  <c r="A70"/>
  <c r="B70" s="1"/>
  <c r="A69"/>
  <c r="C69"/>
  <c r="A68"/>
  <c r="A83" s="1"/>
  <c r="A98" s="1"/>
  <c r="C98" s="1"/>
  <c r="A67"/>
  <c r="A82" s="1"/>
  <c r="C82" s="1"/>
  <c r="A66"/>
  <c r="C65"/>
  <c r="B65"/>
  <c r="C64"/>
  <c r="B64"/>
  <c r="C63"/>
  <c r="B63"/>
  <c r="C62"/>
  <c r="B62"/>
  <c r="C61"/>
  <c r="B61"/>
  <c r="E61"/>
  <c r="B14" i="4" s="1"/>
  <c r="C14" s="1"/>
  <c r="G194" s="1"/>
  <c r="C60" i="3"/>
  <c r="B60"/>
  <c r="C59"/>
  <c r="B59"/>
  <c r="C58"/>
  <c r="B58"/>
  <c r="C57"/>
  <c r="B57"/>
  <c r="C56"/>
  <c r="B56"/>
  <c r="C55"/>
  <c r="B55"/>
  <c r="C54"/>
  <c r="B54"/>
  <c r="C53"/>
  <c r="B53"/>
  <c r="C52"/>
  <c r="B52"/>
  <c r="C51"/>
  <c r="B51"/>
  <c r="E65"/>
  <c r="B18" i="4" s="1"/>
  <c r="C18" s="1"/>
  <c r="P34" i="3"/>
  <c r="O34"/>
  <c r="N34"/>
  <c r="M34"/>
  <c r="L34"/>
  <c r="K34"/>
  <c r="J34"/>
  <c r="I34"/>
  <c r="H34"/>
  <c r="G34"/>
  <c r="F34"/>
  <c r="E34"/>
  <c r="D34"/>
  <c r="C34"/>
  <c r="B34"/>
  <c r="P33"/>
  <c r="O33"/>
  <c r="N33"/>
  <c r="M33"/>
  <c r="L33"/>
  <c r="K33"/>
  <c r="J33"/>
  <c r="I33"/>
  <c r="H33"/>
  <c r="G33"/>
  <c r="F33"/>
  <c r="E33"/>
  <c r="D33"/>
  <c r="C33"/>
  <c r="B33"/>
  <c r="P32"/>
  <c r="O32"/>
  <c r="N32"/>
  <c r="M32"/>
  <c r="L32"/>
  <c r="K32"/>
  <c r="J32"/>
  <c r="I32"/>
  <c r="H32"/>
  <c r="G32"/>
  <c r="F32"/>
  <c r="E32"/>
  <c r="D32"/>
  <c r="C32"/>
  <c r="B32"/>
  <c r="P31"/>
  <c r="O31"/>
  <c r="N31"/>
  <c r="M31"/>
  <c r="L31"/>
  <c r="K31"/>
  <c r="J31"/>
  <c r="I31"/>
  <c r="H31"/>
  <c r="G31"/>
  <c r="F31"/>
  <c r="E31"/>
  <c r="D31"/>
  <c r="C31"/>
  <c r="B31"/>
  <c r="P30"/>
  <c r="O30"/>
  <c r="N30"/>
  <c r="M30"/>
  <c r="L30"/>
  <c r="K30"/>
  <c r="J30"/>
  <c r="I30"/>
  <c r="H30"/>
  <c r="G30"/>
  <c r="F30"/>
  <c r="E30"/>
  <c r="D30"/>
  <c r="C30"/>
  <c r="B30"/>
  <c r="P29"/>
  <c r="O29"/>
  <c r="N29"/>
  <c r="M29"/>
  <c r="L29"/>
  <c r="K29"/>
  <c r="J29"/>
  <c r="I29"/>
  <c r="H29"/>
  <c r="G29"/>
  <c r="F29"/>
  <c r="E29"/>
  <c r="D29"/>
  <c r="C29"/>
  <c r="B29"/>
  <c r="P28"/>
  <c r="O28"/>
  <c r="N28"/>
  <c r="M28"/>
  <c r="L28"/>
  <c r="K28"/>
  <c r="J28"/>
  <c r="I28"/>
  <c r="H28"/>
  <c r="G28"/>
  <c r="F28"/>
  <c r="E28"/>
  <c r="D28"/>
  <c r="C28"/>
  <c r="B28"/>
  <c r="P27"/>
  <c r="O27"/>
  <c r="N27"/>
  <c r="M27"/>
  <c r="L27"/>
  <c r="K27"/>
  <c r="J27"/>
  <c r="I27"/>
  <c r="H27"/>
  <c r="G27"/>
  <c r="F27"/>
  <c r="E27"/>
  <c r="D27"/>
  <c r="C27"/>
  <c r="B27"/>
  <c r="P26"/>
  <c r="O26"/>
  <c r="N26"/>
  <c r="M26"/>
  <c r="L26"/>
  <c r="K26"/>
  <c r="J26"/>
  <c r="I26"/>
  <c r="H26"/>
  <c r="G26"/>
  <c r="F26"/>
  <c r="E26"/>
  <c r="D26"/>
  <c r="C26"/>
  <c r="B26"/>
  <c r="P25"/>
  <c r="O25"/>
  <c r="N25"/>
  <c r="M25"/>
  <c r="L25"/>
  <c r="K25"/>
  <c r="J25"/>
  <c r="I25"/>
  <c r="H25"/>
  <c r="G25"/>
  <c r="F25"/>
  <c r="E25"/>
  <c r="D25"/>
  <c r="C25"/>
  <c r="B25"/>
  <c r="P24"/>
  <c r="O24"/>
  <c r="N24"/>
  <c r="M24"/>
  <c r="L24"/>
  <c r="K24"/>
  <c r="J24"/>
  <c r="I24"/>
  <c r="H24"/>
  <c r="G24"/>
  <c r="F24"/>
  <c r="E24"/>
  <c r="D24"/>
  <c r="C24"/>
  <c r="B24"/>
  <c r="P23"/>
  <c r="D65"/>
  <c r="O23"/>
  <c r="N23"/>
  <c r="M23"/>
  <c r="L23"/>
  <c r="K23"/>
  <c r="J23"/>
  <c r="I23"/>
  <c r="H23"/>
  <c r="G23"/>
  <c r="F23"/>
  <c r="E23"/>
  <c r="D23"/>
  <c r="C23"/>
  <c r="B23"/>
  <c r="F14" i="4"/>
  <c r="I14"/>
  <c r="F18"/>
  <c r="I18"/>
  <c r="E14"/>
  <c r="J14" s="1"/>
  <c r="L14" s="1"/>
  <c r="M14" s="1"/>
  <c r="E18"/>
  <c r="J18" s="1"/>
  <c r="L18" s="1"/>
  <c r="M18" s="1"/>
  <c r="E62" i="3"/>
  <c r="B15" i="4" s="1"/>
  <c r="E63" i="3"/>
  <c r="B16" i="4" s="1"/>
  <c r="E51" i="3"/>
  <c r="B4" i="4" s="1"/>
  <c r="E53" i="3"/>
  <c r="B6" i="4" s="1"/>
  <c r="D57" i="3"/>
  <c r="B75"/>
  <c r="C75"/>
  <c r="C83"/>
  <c r="D51"/>
  <c r="E55"/>
  <c r="B8" i="4" s="1"/>
  <c r="E59" i="3"/>
  <c r="B12" i="4" s="1"/>
  <c r="B91" i="3"/>
  <c r="C91"/>
  <c r="C70"/>
  <c r="E70" s="1"/>
  <c r="A85"/>
  <c r="C85"/>
  <c r="D63"/>
  <c r="C78"/>
  <c r="E78"/>
  <c r="A93"/>
  <c r="C93" s="1"/>
  <c r="D55"/>
  <c r="D58"/>
  <c r="A87"/>
  <c r="D53"/>
  <c r="B68"/>
  <c r="B72"/>
  <c r="D72" s="1"/>
  <c r="A105"/>
  <c r="C105"/>
  <c r="D56"/>
  <c r="D59"/>
  <c r="B90"/>
  <c r="D90"/>
  <c r="D61"/>
  <c r="E57"/>
  <c r="B10" i="4" s="1"/>
  <c r="B76" i="3"/>
  <c r="B83"/>
  <c r="D83" s="1"/>
  <c r="A121"/>
  <c r="A136"/>
  <c r="B82"/>
  <c r="D82" s="1"/>
  <c r="A97"/>
  <c r="B67"/>
  <c r="A92"/>
  <c r="B77"/>
  <c r="C77"/>
  <c r="B80"/>
  <c r="E58"/>
  <c r="B11" i="4" s="1"/>
  <c r="E11" s="1"/>
  <c r="J11" s="1"/>
  <c r="C73" i="3"/>
  <c r="B73"/>
  <c r="A95"/>
  <c r="E56"/>
  <c r="B9" i="4" s="1"/>
  <c r="D64" i="3"/>
  <c r="A94"/>
  <c r="B79"/>
  <c r="A88"/>
  <c r="A112"/>
  <c r="B97"/>
  <c r="D62"/>
  <c r="E64"/>
  <c r="B17" i="4" s="1"/>
  <c r="A84" i="3"/>
  <c r="B69"/>
  <c r="C79"/>
  <c r="E82"/>
  <c r="A100"/>
  <c r="B85"/>
  <c r="C97"/>
  <c r="B106"/>
  <c r="D60"/>
  <c r="E60"/>
  <c r="B13" i="4" s="1"/>
  <c r="A104" i="3"/>
  <c r="C89"/>
  <c r="B89"/>
  <c r="E91"/>
  <c r="D54"/>
  <c r="D52"/>
  <c r="E54"/>
  <c r="B7" i="4" s="1"/>
  <c r="A113" i="3"/>
  <c r="B98"/>
  <c r="D70"/>
  <c r="E75"/>
  <c r="A102"/>
  <c r="B87"/>
  <c r="E52"/>
  <c r="B5" i="4" s="1"/>
  <c r="A86" i="3"/>
  <c r="B71"/>
  <c r="C87"/>
  <c r="B93"/>
  <c r="C68"/>
  <c r="D68" s="1"/>
  <c r="C76"/>
  <c r="D76" s="1"/>
  <c r="G198" i="4"/>
  <c r="D75" i="3"/>
  <c r="B105"/>
  <c r="D91"/>
  <c r="D78"/>
  <c r="A120"/>
  <c r="C120" s="1"/>
  <c r="A108"/>
  <c r="B108"/>
  <c r="B121"/>
  <c r="D121" s="1"/>
  <c r="E76"/>
  <c r="E83"/>
  <c r="C121"/>
  <c r="E72"/>
  <c r="E90"/>
  <c r="E68"/>
  <c r="B86"/>
  <c r="A101"/>
  <c r="C86"/>
  <c r="C84"/>
  <c r="B84"/>
  <c r="A99"/>
  <c r="A135"/>
  <c r="E73"/>
  <c r="D73"/>
  <c r="A128"/>
  <c r="C113"/>
  <c r="B113"/>
  <c r="D85"/>
  <c r="E85"/>
  <c r="C108"/>
  <c r="A115"/>
  <c r="B100"/>
  <c r="C100"/>
  <c r="D97"/>
  <c r="E97"/>
  <c r="A110"/>
  <c r="B95"/>
  <c r="C95"/>
  <c r="E89"/>
  <c r="D89"/>
  <c r="E87"/>
  <c r="D87"/>
  <c r="C104"/>
  <c r="B104"/>
  <c r="A119"/>
  <c r="C112"/>
  <c r="B112"/>
  <c r="A127"/>
  <c r="E80"/>
  <c r="D80"/>
  <c r="D106"/>
  <c r="E106"/>
  <c r="E79"/>
  <c r="D79"/>
  <c r="D77"/>
  <c r="E77"/>
  <c r="D105"/>
  <c r="E105"/>
  <c r="E98"/>
  <c r="D98"/>
  <c r="C102"/>
  <c r="B102"/>
  <c r="A117"/>
  <c r="C88"/>
  <c r="B88"/>
  <c r="A103"/>
  <c r="E71"/>
  <c r="D71"/>
  <c r="C136"/>
  <c r="B136"/>
  <c r="A151"/>
  <c r="D69"/>
  <c r="E69"/>
  <c r="B94"/>
  <c r="A109"/>
  <c r="C94"/>
  <c r="E94" s="1"/>
  <c r="C92"/>
  <c r="E92" s="1"/>
  <c r="A107"/>
  <c r="B92"/>
  <c r="A123"/>
  <c r="A138" s="1"/>
  <c r="E121"/>
  <c r="A130"/>
  <c r="B115"/>
  <c r="C115"/>
  <c r="D113"/>
  <c r="E113"/>
  <c r="E100"/>
  <c r="D100"/>
  <c r="E95"/>
  <c r="D95"/>
  <c r="D92"/>
  <c r="B117"/>
  <c r="C117"/>
  <c r="A132"/>
  <c r="C123"/>
  <c r="D136"/>
  <c r="E136"/>
  <c r="A118"/>
  <c r="B103"/>
  <c r="C103"/>
  <c r="E112"/>
  <c r="D112"/>
  <c r="E88"/>
  <c r="D88"/>
  <c r="C119"/>
  <c r="A134"/>
  <c r="B119"/>
  <c r="C128"/>
  <c r="A143"/>
  <c r="B128"/>
  <c r="D104"/>
  <c r="E104"/>
  <c r="D84"/>
  <c r="E84"/>
  <c r="A122"/>
  <c r="B107"/>
  <c r="C107"/>
  <c r="E108"/>
  <c r="D108"/>
  <c r="B101"/>
  <c r="A116"/>
  <c r="C101"/>
  <c r="A114"/>
  <c r="B99"/>
  <c r="C99"/>
  <c r="C151"/>
  <c r="A166"/>
  <c r="B151"/>
  <c r="C110"/>
  <c r="A125"/>
  <c r="B110"/>
  <c r="E102"/>
  <c r="D102"/>
  <c r="B109"/>
  <c r="C109"/>
  <c r="A124"/>
  <c r="A142"/>
  <c r="B127"/>
  <c r="C127"/>
  <c r="A150"/>
  <c r="B135"/>
  <c r="E135" s="1"/>
  <c r="C135"/>
  <c r="E86"/>
  <c r="D86"/>
  <c r="D135"/>
  <c r="D107"/>
  <c r="E107"/>
  <c r="C166"/>
  <c r="B166"/>
  <c r="A181"/>
  <c r="E119"/>
  <c r="D119"/>
  <c r="D103"/>
  <c r="E103"/>
  <c r="D109"/>
  <c r="E109"/>
  <c r="D101"/>
  <c r="E101"/>
  <c r="C134"/>
  <c r="B134"/>
  <c r="A149"/>
  <c r="C118"/>
  <c r="A133"/>
  <c r="B118"/>
  <c r="E117"/>
  <c r="D117"/>
  <c r="E127"/>
  <c r="D127"/>
  <c r="C124"/>
  <c r="A139"/>
  <c r="B124"/>
  <c r="A147"/>
  <c r="B132"/>
  <c r="C132"/>
  <c r="C150"/>
  <c r="A165"/>
  <c r="B150"/>
  <c r="C116"/>
  <c r="B116"/>
  <c r="A131"/>
  <c r="C142"/>
  <c r="A157"/>
  <c r="B142"/>
  <c r="D99"/>
  <c r="E99"/>
  <c r="C114"/>
  <c r="A129"/>
  <c r="B114"/>
  <c r="E128"/>
  <c r="D128"/>
  <c r="D115"/>
  <c r="E115"/>
  <c r="E151"/>
  <c r="D151"/>
  <c r="C122"/>
  <c r="B122"/>
  <c r="A137"/>
  <c r="E110"/>
  <c r="D110"/>
  <c r="B125"/>
  <c r="A140"/>
  <c r="C125"/>
  <c r="C143"/>
  <c r="B143"/>
  <c r="A158"/>
  <c r="A145"/>
  <c r="B130"/>
  <c r="C130"/>
  <c r="C140"/>
  <c r="A155"/>
  <c r="B140"/>
  <c r="A152"/>
  <c r="B137"/>
  <c r="C137"/>
  <c r="E142"/>
  <c r="D142"/>
  <c r="E122"/>
  <c r="D122"/>
  <c r="B157"/>
  <c r="A172"/>
  <c r="C157"/>
  <c r="B181"/>
  <c r="C181"/>
  <c r="A196"/>
  <c r="E166"/>
  <c r="D166"/>
  <c r="E125"/>
  <c r="D125"/>
  <c r="E114"/>
  <c r="D114"/>
  <c r="A146"/>
  <c r="B131"/>
  <c r="C131"/>
  <c r="A162"/>
  <c r="B147"/>
  <c r="C147"/>
  <c r="D143"/>
  <c r="E143"/>
  <c r="A144"/>
  <c r="B129"/>
  <c r="C129"/>
  <c r="E116"/>
  <c r="D116"/>
  <c r="E124"/>
  <c r="D124"/>
  <c r="B133"/>
  <c r="A148"/>
  <c r="C133"/>
  <c r="E132"/>
  <c r="D132"/>
  <c r="C158"/>
  <c r="A173"/>
  <c r="B158"/>
  <c r="E118"/>
  <c r="D118"/>
  <c r="A154"/>
  <c r="B139"/>
  <c r="C139"/>
  <c r="E130"/>
  <c r="D130"/>
  <c r="E150"/>
  <c r="D150"/>
  <c r="B149"/>
  <c r="C149"/>
  <c r="A164"/>
  <c r="A160"/>
  <c r="C145"/>
  <c r="B145"/>
  <c r="B165"/>
  <c r="A180"/>
  <c r="C165"/>
  <c r="E134"/>
  <c r="D134"/>
  <c r="C180"/>
  <c r="B180"/>
  <c r="A195"/>
  <c r="D147"/>
  <c r="E147"/>
  <c r="E157"/>
  <c r="D157"/>
  <c r="D137"/>
  <c r="E137"/>
  <c r="D165"/>
  <c r="E165"/>
  <c r="E149"/>
  <c r="D149"/>
  <c r="A177"/>
  <c r="B162"/>
  <c r="C162"/>
  <c r="C152"/>
  <c r="B152"/>
  <c r="A167"/>
  <c r="D139"/>
  <c r="E139"/>
  <c r="C154"/>
  <c r="A169"/>
  <c r="B154"/>
  <c r="D131"/>
  <c r="E131"/>
  <c r="D133"/>
  <c r="E133"/>
  <c r="E181"/>
  <c r="D181"/>
  <c r="E140"/>
  <c r="D140"/>
  <c r="D145"/>
  <c r="E145"/>
  <c r="C148"/>
  <c r="A163"/>
  <c r="B148"/>
  <c r="C144"/>
  <c r="B144"/>
  <c r="A159"/>
  <c r="C146"/>
  <c r="B146"/>
  <c r="A161"/>
  <c r="C160"/>
  <c r="A175"/>
  <c r="B160"/>
  <c r="E158"/>
  <c r="D158"/>
  <c r="A170"/>
  <c r="B155"/>
  <c r="C155"/>
  <c r="D129"/>
  <c r="E129"/>
  <c r="A211"/>
  <c r="B196"/>
  <c r="C196"/>
  <c r="A179"/>
  <c r="B164"/>
  <c r="C164"/>
  <c r="B173"/>
  <c r="C173"/>
  <c r="A188"/>
  <c r="A203" s="1"/>
  <c r="C172"/>
  <c r="B172"/>
  <c r="A187"/>
  <c r="C188"/>
  <c r="D155"/>
  <c r="E155"/>
  <c r="E148"/>
  <c r="D148"/>
  <c r="E154"/>
  <c r="D154"/>
  <c r="E196"/>
  <c r="D196"/>
  <c r="C170"/>
  <c r="A185"/>
  <c r="B170"/>
  <c r="A178"/>
  <c r="B163"/>
  <c r="C163"/>
  <c r="A184"/>
  <c r="B169"/>
  <c r="C169"/>
  <c r="E162"/>
  <c r="D162"/>
  <c r="D173"/>
  <c r="E173"/>
  <c r="A192"/>
  <c r="C177"/>
  <c r="B177"/>
  <c r="E146"/>
  <c r="D146"/>
  <c r="E164"/>
  <c r="D164"/>
  <c r="E160"/>
  <c r="D160"/>
  <c r="A202"/>
  <c r="B187"/>
  <c r="C187"/>
  <c r="A194"/>
  <c r="B179"/>
  <c r="C179"/>
  <c r="C175"/>
  <c r="B175"/>
  <c r="A190"/>
  <c r="A174"/>
  <c r="B159"/>
  <c r="C159"/>
  <c r="A182"/>
  <c r="B167"/>
  <c r="C167"/>
  <c r="A210"/>
  <c r="B195"/>
  <c r="C195"/>
  <c r="A226"/>
  <c r="B211"/>
  <c r="C211"/>
  <c r="A176"/>
  <c r="B161"/>
  <c r="C161"/>
  <c r="E172"/>
  <c r="D172"/>
  <c r="E144"/>
  <c r="D144"/>
  <c r="E152"/>
  <c r="D152"/>
  <c r="E180"/>
  <c r="D180"/>
  <c r="D175"/>
  <c r="E175"/>
  <c r="D170"/>
  <c r="E170"/>
  <c r="D161"/>
  <c r="E161"/>
  <c r="A200"/>
  <c r="C185"/>
  <c r="B185"/>
  <c r="C210"/>
  <c r="A225"/>
  <c r="B210"/>
  <c r="D167"/>
  <c r="E167"/>
  <c r="C182"/>
  <c r="A197"/>
  <c r="B182"/>
  <c r="D211"/>
  <c r="E211"/>
  <c r="A209"/>
  <c r="B194"/>
  <c r="C194"/>
  <c r="C184"/>
  <c r="B184"/>
  <c r="A199"/>
  <c r="D179"/>
  <c r="E179"/>
  <c r="D177"/>
  <c r="E177"/>
  <c r="E159"/>
  <c r="D159"/>
  <c r="C174"/>
  <c r="A189"/>
  <c r="B174"/>
  <c r="D187"/>
  <c r="E187"/>
  <c r="D163"/>
  <c r="E163"/>
  <c r="C176"/>
  <c r="B176"/>
  <c r="A191"/>
  <c r="D169"/>
  <c r="E169"/>
  <c r="B226"/>
  <c r="C226"/>
  <c r="C192"/>
  <c r="A207"/>
  <c r="B192"/>
  <c r="D195"/>
  <c r="E195"/>
  <c r="C190"/>
  <c r="B190"/>
  <c r="A205"/>
  <c r="C202"/>
  <c r="A217"/>
  <c r="B202"/>
  <c r="D202" s="1"/>
  <c r="C178"/>
  <c r="B178"/>
  <c r="A193"/>
  <c r="E194"/>
  <c r="D194"/>
  <c r="A224"/>
  <c r="C209"/>
  <c r="B209"/>
  <c r="E210"/>
  <c r="D210"/>
  <c r="C225"/>
  <c r="B225"/>
  <c r="E202"/>
  <c r="E176"/>
  <c r="D176"/>
  <c r="C217"/>
  <c r="B217"/>
  <c r="A222"/>
  <c r="C207"/>
  <c r="B207"/>
  <c r="B189"/>
  <c r="C189"/>
  <c r="A204"/>
  <c r="A214"/>
  <c r="B199"/>
  <c r="C199"/>
  <c r="E182"/>
  <c r="D182"/>
  <c r="D185"/>
  <c r="E185"/>
  <c r="C191"/>
  <c r="A206"/>
  <c r="B191"/>
  <c r="E192"/>
  <c r="D192"/>
  <c r="E174"/>
  <c r="D174"/>
  <c r="E184"/>
  <c r="D184"/>
  <c r="B197"/>
  <c r="A212"/>
  <c r="C197"/>
  <c r="A208"/>
  <c r="C193"/>
  <c r="D193" s="1"/>
  <c r="B193"/>
  <c r="B205"/>
  <c r="C205"/>
  <c r="A220"/>
  <c r="C200"/>
  <c r="B200"/>
  <c r="A215"/>
  <c r="E178"/>
  <c r="D178"/>
  <c r="E190"/>
  <c r="D190"/>
  <c r="E226"/>
  <c r="D226"/>
  <c r="E193"/>
  <c r="C214"/>
  <c r="A229"/>
  <c r="B214"/>
  <c r="C208"/>
  <c r="B208"/>
  <c r="A223"/>
  <c r="C204"/>
  <c r="A219"/>
  <c r="B204"/>
  <c r="E199"/>
  <c r="D199"/>
  <c r="C212"/>
  <c r="B212"/>
  <c r="A227"/>
  <c r="E189"/>
  <c r="D189"/>
  <c r="C220"/>
  <c r="B220"/>
  <c r="E197"/>
  <c r="D197"/>
  <c r="D207"/>
  <c r="E207"/>
  <c r="E191"/>
  <c r="D191"/>
  <c r="C215"/>
  <c r="A230"/>
  <c r="B215"/>
  <c r="D205"/>
  <c r="E205"/>
  <c r="C206"/>
  <c r="B206"/>
  <c r="A221"/>
  <c r="C222"/>
  <c r="B222"/>
  <c r="D209"/>
  <c r="E209"/>
  <c r="D200"/>
  <c r="E200"/>
  <c r="D217"/>
  <c r="E217"/>
  <c r="C224"/>
  <c r="E224" s="1"/>
  <c r="B224"/>
  <c r="D225"/>
  <c r="E225"/>
  <c r="E206"/>
  <c r="D206"/>
  <c r="E204"/>
  <c r="D204"/>
  <c r="E214"/>
  <c r="D214"/>
  <c r="D224"/>
  <c r="E222"/>
  <c r="D222"/>
  <c r="C230"/>
  <c r="B230"/>
  <c r="D230" s="1"/>
  <c r="E220"/>
  <c r="D220"/>
  <c r="B219"/>
  <c r="C219"/>
  <c r="B229"/>
  <c r="D229" s="1"/>
  <c r="C229"/>
  <c r="B227"/>
  <c r="C227"/>
  <c r="E227" s="1"/>
  <c r="E208"/>
  <c r="D208"/>
  <c r="E212"/>
  <c r="D212"/>
  <c r="E215"/>
  <c r="D215"/>
  <c r="B221"/>
  <c r="D221" s="1"/>
  <c r="C221"/>
  <c r="C223"/>
  <c r="B223"/>
  <c r="D223" s="1"/>
  <c r="E230"/>
  <c r="E229"/>
  <c r="D227"/>
  <c r="D219"/>
  <c r="E219"/>
  <c r="A153" l="1"/>
  <c r="C138"/>
  <c r="B138"/>
  <c r="D93"/>
  <c r="E93"/>
  <c r="A218"/>
  <c r="B203"/>
  <c r="C203"/>
  <c r="E223"/>
  <c r="E221"/>
  <c r="B188"/>
  <c r="B123"/>
  <c r="F13" i="4"/>
  <c r="I13" s="1"/>
  <c r="E13"/>
  <c r="J13" s="1"/>
  <c r="C13"/>
  <c r="G193" s="1"/>
  <c r="K194"/>
  <c r="K14"/>
  <c r="K189"/>
  <c r="K9"/>
  <c r="F8"/>
  <c r="I8" s="1"/>
  <c r="C8"/>
  <c r="G188" s="1"/>
  <c r="E8"/>
  <c r="J8" s="1"/>
  <c r="L8" s="1"/>
  <c r="M8" s="1"/>
  <c r="F16"/>
  <c r="I16" s="1"/>
  <c r="E16"/>
  <c r="J16" s="1"/>
  <c r="L16" s="1"/>
  <c r="M16" s="1"/>
  <c r="C16"/>
  <c r="G196" s="1"/>
  <c r="D94" i="3"/>
  <c r="B120"/>
  <c r="F7" i="4"/>
  <c r="I7" s="1"/>
  <c r="C7"/>
  <c r="G187" s="1"/>
  <c r="E7"/>
  <c r="J7" s="1"/>
  <c r="L7" s="1"/>
  <c r="M7" s="1"/>
  <c r="K193"/>
  <c r="K13"/>
  <c r="K191"/>
  <c r="K11"/>
  <c r="K184"/>
  <c r="K4"/>
  <c r="K190"/>
  <c r="K10"/>
  <c r="F15"/>
  <c r="I15" s="1"/>
  <c r="C15"/>
  <c r="G195" s="1"/>
  <c r="E15"/>
  <c r="J15" s="1"/>
  <c r="L15" s="1"/>
  <c r="M15" s="1"/>
  <c r="F5"/>
  <c r="I5" s="1"/>
  <c r="C5"/>
  <c r="G185" s="1"/>
  <c r="E5"/>
  <c r="J5" s="1"/>
  <c r="L5" s="1"/>
  <c r="M5" s="1"/>
  <c r="K185"/>
  <c r="K5"/>
  <c r="F17"/>
  <c r="I17" s="1"/>
  <c r="C17"/>
  <c r="G197" s="1"/>
  <c r="H197" s="1"/>
  <c r="E17"/>
  <c r="J17" s="1"/>
  <c r="L17" s="1"/>
  <c r="M17" s="1"/>
  <c r="K197"/>
  <c r="K17"/>
  <c r="K188"/>
  <c r="K8"/>
  <c r="C6"/>
  <c r="G186" s="1"/>
  <c r="E6"/>
  <c r="J6" s="1"/>
  <c r="F6"/>
  <c r="I6" s="1"/>
  <c r="K187"/>
  <c r="K7"/>
  <c r="K195"/>
  <c r="K15"/>
  <c r="F9"/>
  <c r="I9" s="1"/>
  <c r="C9"/>
  <c r="G189" s="1"/>
  <c r="H189" s="1"/>
  <c r="E9"/>
  <c r="J9" s="1"/>
  <c r="C11"/>
  <c r="G191" s="1"/>
  <c r="H191" s="1"/>
  <c r="F11"/>
  <c r="I11" s="1"/>
  <c r="C10"/>
  <c r="G190" s="1"/>
  <c r="H190" s="1"/>
  <c r="F10"/>
  <c r="I10" s="1"/>
  <c r="E10"/>
  <c r="J10" s="1"/>
  <c r="L10" s="1"/>
  <c r="M10" s="1"/>
  <c r="K192"/>
  <c r="K12"/>
  <c r="K186"/>
  <c r="K6"/>
  <c r="K196"/>
  <c r="K16"/>
  <c r="F12"/>
  <c r="I12" s="1"/>
  <c r="C12"/>
  <c r="G192" s="1"/>
  <c r="H192" s="1"/>
  <c r="E12"/>
  <c r="J12" s="1"/>
  <c r="L12" s="1"/>
  <c r="M12" s="1"/>
  <c r="C4"/>
  <c r="G184" s="1"/>
  <c r="H184" s="1"/>
  <c r="E4"/>
  <c r="J4" s="1"/>
  <c r="F4"/>
  <c r="I4" s="1"/>
  <c r="H4" s="1"/>
  <c r="K198"/>
  <c r="H198" s="1"/>
  <c r="K18"/>
  <c r="H194"/>
  <c r="C67" i="3"/>
  <c r="B74"/>
  <c r="A81"/>
  <c r="B38" i="4" s="1"/>
  <c r="B24"/>
  <c r="B29"/>
  <c r="B32"/>
  <c r="B36"/>
  <c r="B41"/>
  <c r="B44"/>
  <c r="B46"/>
  <c r="H15"/>
  <c r="H11"/>
  <c r="H7"/>
  <c r="B66" i="3"/>
  <c r="B23" i="4"/>
  <c r="B26"/>
  <c r="B31"/>
  <c r="B35"/>
  <c r="B40"/>
  <c r="B43"/>
  <c r="B48"/>
  <c r="H18"/>
  <c r="H14"/>
  <c r="H10"/>
  <c r="H6"/>
  <c r="K206"/>
  <c r="K208"/>
  <c r="K216"/>
  <c r="K222"/>
  <c r="K224"/>
  <c r="K203"/>
  <c r="K211"/>
  <c r="K215"/>
  <c r="K219"/>
  <c r="K223"/>
  <c r="K227"/>
  <c r="K202"/>
  <c r="K204"/>
  <c r="K210"/>
  <c r="K212"/>
  <c r="K218"/>
  <c r="K220"/>
  <c r="K226"/>
  <c r="K228"/>
  <c r="K201"/>
  <c r="K205"/>
  <c r="K209"/>
  <c r="K213"/>
  <c r="K217"/>
  <c r="K221"/>
  <c r="K225"/>
  <c r="K22"/>
  <c r="K26"/>
  <c r="K30"/>
  <c r="K38"/>
  <c r="K42"/>
  <c r="K46"/>
  <c r="K23"/>
  <c r="K31"/>
  <c r="K35"/>
  <c r="K39"/>
  <c r="K43"/>
  <c r="K47"/>
  <c r="K24"/>
  <c r="K28"/>
  <c r="K32"/>
  <c r="K36"/>
  <c r="K40"/>
  <c r="K44"/>
  <c r="K48"/>
  <c r="K21"/>
  <c r="K25"/>
  <c r="K29"/>
  <c r="K33"/>
  <c r="K37"/>
  <c r="K41"/>
  <c r="K45"/>
  <c r="B22"/>
  <c r="B25"/>
  <c r="B28"/>
  <c r="B37"/>
  <c r="B39"/>
  <c r="B45"/>
  <c r="B47"/>
  <c r="H17"/>
  <c r="H13"/>
  <c r="H9"/>
  <c r="H5"/>
  <c r="C66" i="3"/>
  <c r="B21" i="4"/>
  <c r="B30"/>
  <c r="B33"/>
  <c r="B42"/>
  <c r="H16"/>
  <c r="H12"/>
  <c r="H8"/>
  <c r="S194" i="1"/>
  <c r="W194" s="1"/>
  <c r="V194"/>
  <c r="K755"/>
  <c r="J755"/>
  <c r="K748"/>
  <c r="J748"/>
  <c r="K742"/>
  <c r="J742"/>
  <c r="K736"/>
  <c r="J736"/>
  <c r="K704"/>
  <c r="N704" s="1"/>
  <c r="O704" s="1"/>
  <c r="J704"/>
  <c r="K691"/>
  <c r="J691"/>
  <c r="K684"/>
  <c r="J684"/>
  <c r="K678"/>
  <c r="L678" s="1"/>
  <c r="M678" s="1"/>
  <c r="P678" s="1"/>
  <c r="J678"/>
  <c r="K672"/>
  <c r="N672" s="1"/>
  <c r="O672" s="1"/>
  <c r="J672"/>
  <c r="K666"/>
  <c r="J666"/>
  <c r="K659"/>
  <c r="J659"/>
  <c r="K652"/>
  <c r="L652" s="1"/>
  <c r="M652" s="1"/>
  <c r="P652" s="1"/>
  <c r="J652"/>
  <c r="K646"/>
  <c r="J646"/>
  <c r="K640"/>
  <c r="N640" s="1"/>
  <c r="O640" s="1"/>
  <c r="J640"/>
  <c r="K634"/>
  <c r="N634" s="1"/>
  <c r="O634" s="1"/>
  <c r="J634"/>
  <c r="K618"/>
  <c r="J618"/>
  <c r="K612"/>
  <c r="L612" s="1"/>
  <c r="M612" s="1"/>
  <c r="P612" s="1"/>
  <c r="J612"/>
  <c r="K600"/>
  <c r="N600" s="1"/>
  <c r="O600" s="1"/>
  <c r="J600"/>
  <c r="K592"/>
  <c r="J592"/>
  <c r="K576"/>
  <c r="L576" s="1"/>
  <c r="M576" s="1"/>
  <c r="P576" s="1"/>
  <c r="J576"/>
  <c r="K568"/>
  <c r="L568" s="1"/>
  <c r="M568" s="1"/>
  <c r="P568" s="1"/>
  <c r="J568"/>
  <c r="K560"/>
  <c r="L560" s="1"/>
  <c r="M560" s="1"/>
  <c r="P560" s="1"/>
  <c r="J560"/>
  <c r="K552"/>
  <c r="N552" s="1"/>
  <c r="O552" s="1"/>
  <c r="J552"/>
  <c r="K544"/>
  <c r="L544" s="1"/>
  <c r="M544" s="1"/>
  <c r="P544" s="1"/>
  <c r="J544"/>
  <c r="K536"/>
  <c r="L536" s="1"/>
  <c r="M536" s="1"/>
  <c r="P536" s="1"/>
  <c r="J536"/>
  <c r="K528"/>
  <c r="L528" s="1"/>
  <c r="M528" s="1"/>
  <c r="P528" s="1"/>
  <c r="J528"/>
  <c r="K512"/>
  <c r="L512" s="1"/>
  <c r="M512" s="1"/>
  <c r="P512" s="1"/>
  <c r="J512"/>
  <c r="K504"/>
  <c r="L504" s="1"/>
  <c r="M504" s="1"/>
  <c r="P504" s="1"/>
  <c r="J504"/>
  <c r="K496"/>
  <c r="J496"/>
  <c r="K488"/>
  <c r="L488" s="1"/>
  <c r="M488" s="1"/>
  <c r="P488" s="1"/>
  <c r="J488"/>
  <c r="K480"/>
  <c r="N480" s="1"/>
  <c r="O480" s="1"/>
  <c r="J480"/>
  <c r="K472"/>
  <c r="L472" s="1"/>
  <c r="M472" s="1"/>
  <c r="P472" s="1"/>
  <c r="J472"/>
  <c r="K464"/>
  <c r="L464" s="1"/>
  <c r="M464" s="1"/>
  <c r="P464" s="1"/>
  <c r="J464"/>
  <c r="K456"/>
  <c r="L456" s="1"/>
  <c r="M456" s="1"/>
  <c r="P456" s="1"/>
  <c r="J456"/>
  <c r="K448"/>
  <c r="N448" s="1"/>
  <c r="O448" s="1"/>
  <c r="J448"/>
  <c r="K440"/>
  <c r="L440" s="1"/>
  <c r="M440" s="1"/>
  <c r="P440" s="1"/>
  <c r="J440"/>
  <c r="K432"/>
  <c r="N432" s="1"/>
  <c r="O432" s="1"/>
  <c r="J432"/>
  <c r="K424"/>
  <c r="N424" s="1"/>
  <c r="O424" s="1"/>
  <c r="J424"/>
  <c r="K416"/>
  <c r="J416"/>
  <c r="K400"/>
  <c r="J400"/>
  <c r="K392"/>
  <c r="L392" s="1"/>
  <c r="M392" s="1"/>
  <c r="P392" s="1"/>
  <c r="J392"/>
  <c r="K384"/>
  <c r="J384"/>
  <c r="K376"/>
  <c r="J376"/>
  <c r="K368"/>
  <c r="N368" s="1"/>
  <c r="O368" s="1"/>
  <c r="J368"/>
  <c r="K360"/>
  <c r="J360"/>
  <c r="K352"/>
  <c r="N352" s="1"/>
  <c r="O352" s="1"/>
  <c r="J352"/>
  <c r="K344"/>
  <c r="J344"/>
  <c r="K328"/>
  <c r="J328"/>
  <c r="K320"/>
  <c r="J320"/>
  <c r="K312"/>
  <c r="J312"/>
  <c r="K304"/>
  <c r="J304"/>
  <c r="K288"/>
  <c r="J288"/>
  <c r="K280"/>
  <c r="N280" s="1"/>
  <c r="O280" s="1"/>
  <c r="J280"/>
  <c r="K272"/>
  <c r="J272"/>
  <c r="K264"/>
  <c r="J264"/>
  <c r="K256"/>
  <c r="L256" s="1"/>
  <c r="M256" s="1"/>
  <c r="P256" s="1"/>
  <c r="J256"/>
  <c r="K248"/>
  <c r="J248"/>
  <c r="K232"/>
  <c r="J232"/>
  <c r="K224"/>
  <c r="N224" s="1"/>
  <c r="O224" s="1"/>
  <c r="J224"/>
  <c r="K216"/>
  <c r="L216" s="1"/>
  <c r="M216" s="1"/>
  <c r="P216" s="1"/>
  <c r="J216"/>
  <c r="K750"/>
  <c r="N750" s="1"/>
  <c r="O750" s="1"/>
  <c r="J750"/>
  <c r="K731"/>
  <c r="J731"/>
  <c r="K724"/>
  <c r="L724" s="1"/>
  <c r="M724" s="1"/>
  <c r="P724" s="1"/>
  <c r="J724"/>
  <c r="K718"/>
  <c r="J718"/>
  <c r="K712"/>
  <c r="J712"/>
  <c r="K706"/>
  <c r="N706" s="1"/>
  <c r="O706" s="1"/>
  <c r="J706"/>
  <c r="K699"/>
  <c r="J699"/>
  <c r="K692"/>
  <c r="L692" s="1"/>
  <c r="M692" s="1"/>
  <c r="P692" s="1"/>
  <c r="J692"/>
  <c r="K686"/>
  <c r="J686"/>
  <c r="K680"/>
  <c r="J680"/>
  <c r="K674"/>
  <c r="J674"/>
  <c r="K660"/>
  <c r="L660" s="1"/>
  <c r="M660" s="1"/>
  <c r="P660" s="1"/>
  <c r="J660"/>
  <c r="K654"/>
  <c r="N654" s="1"/>
  <c r="O654" s="1"/>
  <c r="J654"/>
  <c r="K648"/>
  <c r="J648"/>
  <c r="K642"/>
  <c r="J642"/>
  <c r="K635"/>
  <c r="N635" s="1"/>
  <c r="O635" s="1"/>
  <c r="J635"/>
  <c r="K619"/>
  <c r="L619" s="1"/>
  <c r="M619" s="1"/>
  <c r="P619" s="1"/>
  <c r="J619"/>
  <c r="K609"/>
  <c r="J609"/>
  <c r="K602"/>
  <c r="J602"/>
  <c r="K586"/>
  <c r="L586" s="1"/>
  <c r="M586" s="1"/>
  <c r="P586" s="1"/>
  <c r="J586"/>
  <c r="K578"/>
  <c r="L578" s="1"/>
  <c r="M578" s="1"/>
  <c r="P578" s="1"/>
  <c r="J578"/>
  <c r="K570"/>
  <c r="J570"/>
  <c r="K562"/>
  <c r="J562"/>
  <c r="K554"/>
  <c r="J554"/>
  <c r="K546"/>
  <c r="L546" s="1"/>
  <c r="M546" s="1"/>
  <c r="P546" s="1"/>
  <c r="J546"/>
  <c r="K538"/>
  <c r="J538"/>
  <c r="K530"/>
  <c r="N530" s="1"/>
  <c r="O530" s="1"/>
  <c r="J530"/>
  <c r="K522"/>
  <c r="L522" s="1"/>
  <c r="M522" s="1"/>
  <c r="P522" s="1"/>
  <c r="J522"/>
  <c r="K514"/>
  <c r="L514" s="1"/>
  <c r="M514" s="1"/>
  <c r="P514" s="1"/>
  <c r="J514"/>
  <c r="K490"/>
  <c r="N490" s="1"/>
  <c r="O490" s="1"/>
  <c r="J490"/>
  <c r="K482"/>
  <c r="N482" s="1"/>
  <c r="O482" s="1"/>
  <c r="J482"/>
  <c r="K466"/>
  <c r="N466" s="1"/>
  <c r="O466" s="1"/>
  <c r="J466"/>
  <c r="K458"/>
  <c r="N458" s="1"/>
  <c r="O458" s="1"/>
  <c r="J458"/>
  <c r="K450"/>
  <c r="L450" s="1"/>
  <c r="M450" s="1"/>
  <c r="P450" s="1"/>
  <c r="J450"/>
  <c r="K442"/>
  <c r="J442"/>
  <c r="K434"/>
  <c r="L434" s="1"/>
  <c r="M434" s="1"/>
  <c r="P434" s="1"/>
  <c r="J434"/>
  <c r="K426"/>
  <c r="L426" s="1"/>
  <c r="M426" s="1"/>
  <c r="P426" s="1"/>
  <c r="J426"/>
  <c r="K418"/>
  <c r="J418"/>
  <c r="K410"/>
  <c r="J410"/>
  <c r="K402"/>
  <c r="J402"/>
  <c r="K386"/>
  <c r="J386"/>
  <c r="K378"/>
  <c r="L378" s="1"/>
  <c r="M378" s="1"/>
  <c r="P378" s="1"/>
  <c r="J378"/>
  <c r="K370"/>
  <c r="L370" s="1"/>
  <c r="M370" s="1"/>
  <c r="P370" s="1"/>
  <c r="J370"/>
  <c r="K362"/>
  <c r="J362"/>
  <c r="K354"/>
  <c r="L354" s="1"/>
  <c r="M354" s="1"/>
  <c r="P354" s="1"/>
  <c r="J354"/>
  <c r="K338"/>
  <c r="J338"/>
  <c r="K322"/>
  <c r="J322"/>
  <c r="K314"/>
  <c r="N314" s="1"/>
  <c r="O314" s="1"/>
  <c r="J314"/>
  <c r="K306"/>
  <c r="J306"/>
  <c r="K298"/>
  <c r="L298" s="1"/>
  <c r="M298" s="1"/>
  <c r="P298" s="1"/>
  <c r="J298"/>
  <c r="K290"/>
  <c r="J290"/>
  <c r="K282"/>
  <c r="N282" s="1"/>
  <c r="O282" s="1"/>
  <c r="J282"/>
  <c r="K274"/>
  <c r="J274"/>
  <c r="K266"/>
  <c r="L266" s="1"/>
  <c r="M266" s="1"/>
  <c r="P266" s="1"/>
  <c r="J266"/>
  <c r="K258"/>
  <c r="N258" s="1"/>
  <c r="O258" s="1"/>
  <c r="J258"/>
  <c r="K250"/>
  <c r="J250"/>
  <c r="K242"/>
  <c r="J242"/>
  <c r="K234"/>
  <c r="L234" s="1"/>
  <c r="M234" s="1"/>
  <c r="P234" s="1"/>
  <c r="J234"/>
  <c r="K226"/>
  <c r="L226" s="1"/>
  <c r="M226" s="1"/>
  <c r="P226" s="1"/>
  <c r="J226"/>
  <c r="K218"/>
  <c r="L218" s="1"/>
  <c r="M218" s="1"/>
  <c r="P218" s="1"/>
  <c r="J218"/>
  <c r="K210"/>
  <c r="N210" s="1"/>
  <c r="O210" s="1"/>
  <c r="J210"/>
  <c r="K202"/>
  <c r="J202"/>
  <c r="K752"/>
  <c r="L752" s="1"/>
  <c r="M752" s="1"/>
  <c r="P752" s="1"/>
  <c r="J752"/>
  <c r="K746"/>
  <c r="L746" s="1"/>
  <c r="M746" s="1"/>
  <c r="P746" s="1"/>
  <c r="J746"/>
  <c r="K739"/>
  <c r="N739" s="1"/>
  <c r="O739" s="1"/>
  <c r="J739"/>
  <c r="K720"/>
  <c r="N720" s="1"/>
  <c r="O720" s="1"/>
  <c r="J720"/>
  <c r="K700"/>
  <c r="L700" s="1"/>
  <c r="M700" s="1"/>
  <c r="P700" s="1"/>
  <c r="J700"/>
  <c r="K694"/>
  <c r="N694" s="1"/>
  <c r="O694" s="1"/>
  <c r="J694"/>
  <c r="K688"/>
  <c r="N688" s="1"/>
  <c r="O688" s="1"/>
  <c r="J688"/>
  <c r="K682"/>
  <c r="L682" s="1"/>
  <c r="M682" s="1"/>
  <c r="P682" s="1"/>
  <c r="J682"/>
  <c r="K675"/>
  <c r="L675" s="1"/>
  <c r="M675" s="1"/>
  <c r="P675" s="1"/>
  <c r="J675"/>
  <c r="K668"/>
  <c r="J668"/>
  <c r="K656"/>
  <c r="N656" s="1"/>
  <c r="O656" s="1"/>
  <c r="J656"/>
  <c r="K643"/>
  <c r="J643"/>
  <c r="K620"/>
  <c r="J620"/>
  <c r="K616"/>
  <c r="N616" s="1"/>
  <c r="O616" s="1"/>
  <c r="J616"/>
  <c r="K604"/>
  <c r="J604"/>
  <c r="K596"/>
  <c r="J596"/>
  <c r="K580"/>
  <c r="L580" s="1"/>
  <c r="M580" s="1"/>
  <c r="P580" s="1"/>
  <c r="J580"/>
  <c r="K572"/>
  <c r="J572"/>
  <c r="K564"/>
  <c r="N564" s="1"/>
  <c r="O564" s="1"/>
  <c r="J564"/>
  <c r="K556"/>
  <c r="J556"/>
  <c r="K548"/>
  <c r="L548" s="1"/>
  <c r="M548" s="1"/>
  <c r="P548" s="1"/>
  <c r="J548"/>
  <c r="K532"/>
  <c r="L532" s="1"/>
  <c r="M532" s="1"/>
  <c r="P532" s="1"/>
  <c r="J532"/>
  <c r="K524"/>
  <c r="J524"/>
  <c r="K516"/>
  <c r="J516"/>
  <c r="K508"/>
  <c r="L508" s="1"/>
  <c r="M508" s="1"/>
  <c r="P508" s="1"/>
  <c r="J508"/>
  <c r="K492"/>
  <c r="N492" s="1"/>
  <c r="O492" s="1"/>
  <c r="J492"/>
  <c r="K476"/>
  <c r="L476" s="1"/>
  <c r="M476" s="1"/>
  <c r="P476" s="1"/>
  <c r="J476"/>
  <c r="K460"/>
  <c r="J460"/>
  <c r="K452"/>
  <c r="L452" s="1"/>
  <c r="M452" s="1"/>
  <c r="P452" s="1"/>
  <c r="J452"/>
  <c r="K436"/>
  <c r="N436" s="1"/>
  <c r="O436" s="1"/>
  <c r="J436"/>
  <c r="K420"/>
  <c r="J420"/>
  <c r="K412"/>
  <c r="N412" s="1"/>
  <c r="O412" s="1"/>
  <c r="J412"/>
  <c r="K404"/>
  <c r="J404"/>
  <c r="K396"/>
  <c r="J396"/>
  <c r="K388"/>
  <c r="L388" s="1"/>
  <c r="M388" s="1"/>
  <c r="P388" s="1"/>
  <c r="J388"/>
  <c r="K380"/>
  <c r="L380" s="1"/>
  <c r="M380" s="1"/>
  <c r="P380" s="1"/>
  <c r="J380"/>
  <c r="K356"/>
  <c r="L356" s="1"/>
  <c r="M356" s="1"/>
  <c r="P356" s="1"/>
  <c r="J356"/>
  <c r="K348"/>
  <c r="L348" s="1"/>
  <c r="M348" s="1"/>
  <c r="P348" s="1"/>
  <c r="J348"/>
  <c r="K340"/>
  <c r="J340"/>
  <c r="K332"/>
  <c r="L332" s="1"/>
  <c r="M332" s="1"/>
  <c r="P332" s="1"/>
  <c r="J332"/>
  <c r="K324"/>
  <c r="J324"/>
  <c r="K316"/>
  <c r="J316"/>
  <c r="K308"/>
  <c r="J308"/>
  <c r="K284"/>
  <c r="J284"/>
  <c r="K268"/>
  <c r="N268" s="1"/>
  <c r="O268" s="1"/>
  <c r="J268"/>
  <c r="K260"/>
  <c r="N260" s="1"/>
  <c r="O260" s="1"/>
  <c r="J260"/>
  <c r="K252"/>
  <c r="J252"/>
  <c r="K236"/>
  <c r="J236"/>
  <c r="K228"/>
  <c r="J228"/>
  <c r="K220"/>
  <c r="N220" s="1"/>
  <c r="O220" s="1"/>
  <c r="J220"/>
  <c r="K196"/>
  <c r="L196" s="1"/>
  <c r="M196" s="1"/>
  <c r="P196" s="1"/>
  <c r="J196"/>
  <c r="K754"/>
  <c r="J754"/>
  <c r="K740"/>
  <c r="L740" s="1"/>
  <c r="M740" s="1"/>
  <c r="P740" s="1"/>
  <c r="J740"/>
  <c r="K734"/>
  <c r="J734"/>
  <c r="K722"/>
  <c r="N722" s="1"/>
  <c r="O722" s="1"/>
  <c r="J722"/>
  <c r="K715"/>
  <c r="L715" s="1"/>
  <c r="M715" s="1"/>
  <c r="P715" s="1"/>
  <c r="J715"/>
  <c r="K708"/>
  <c r="L708" s="1"/>
  <c r="M708" s="1"/>
  <c r="P708" s="1"/>
  <c r="J708"/>
  <c r="K702"/>
  <c r="J702"/>
  <c r="K690"/>
  <c r="N690" s="1"/>
  <c r="O690" s="1"/>
  <c r="J690"/>
  <c r="K670"/>
  <c r="J670"/>
  <c r="K664"/>
  <c r="N664" s="1"/>
  <c r="O664" s="1"/>
  <c r="J664"/>
  <c r="K651"/>
  <c r="N651" s="1"/>
  <c r="O651" s="1"/>
  <c r="J651"/>
  <c r="K638"/>
  <c r="N638" s="1"/>
  <c r="O638" s="1"/>
  <c r="J638"/>
  <c r="K632"/>
  <c r="J632"/>
  <c r="K611"/>
  <c r="J611"/>
  <c r="K606"/>
  <c r="N606" s="1"/>
  <c r="O606" s="1"/>
  <c r="J606"/>
  <c r="K598"/>
  <c r="N598" s="1"/>
  <c r="O598" s="1"/>
  <c r="J598"/>
  <c r="K590"/>
  <c r="L590" s="1"/>
  <c r="M590" s="1"/>
  <c r="P590" s="1"/>
  <c r="J590"/>
  <c r="K582"/>
  <c r="L582" s="1"/>
  <c r="M582" s="1"/>
  <c r="P582" s="1"/>
  <c r="J582"/>
  <c r="K566"/>
  <c r="N566" s="1"/>
  <c r="O566" s="1"/>
  <c r="J566"/>
  <c r="K550"/>
  <c r="L550" s="1"/>
  <c r="M550" s="1"/>
  <c r="P550" s="1"/>
  <c r="J550"/>
  <c r="K542"/>
  <c r="N542" s="1"/>
  <c r="O542" s="1"/>
  <c r="J542"/>
  <c r="K534"/>
  <c r="N534" s="1"/>
  <c r="O534" s="1"/>
  <c r="J534"/>
  <c r="K526"/>
  <c r="L526" s="1"/>
  <c r="M526" s="1"/>
  <c r="P526" s="1"/>
  <c r="J526"/>
  <c r="K518"/>
  <c r="L518" s="1"/>
  <c r="M518" s="1"/>
  <c r="P518" s="1"/>
  <c r="J518"/>
  <c r="K494"/>
  <c r="J494"/>
  <c r="K486"/>
  <c r="J486"/>
  <c r="K478"/>
  <c r="L478" s="1"/>
  <c r="M478" s="1"/>
  <c r="P478" s="1"/>
  <c r="J478"/>
  <c r="K470"/>
  <c r="J470"/>
  <c r="K462"/>
  <c r="N462" s="1"/>
  <c r="O462" s="1"/>
  <c r="J462"/>
  <c r="K454"/>
  <c r="L454" s="1"/>
  <c r="M454" s="1"/>
  <c r="P454" s="1"/>
  <c r="J454"/>
  <c r="K446"/>
  <c r="L446" s="1"/>
  <c r="M446" s="1"/>
  <c r="P446" s="1"/>
  <c r="J446"/>
  <c r="K438"/>
  <c r="L438" s="1"/>
  <c r="M438" s="1"/>
  <c r="P438" s="1"/>
  <c r="J438"/>
  <c r="K430"/>
  <c r="N430" s="1"/>
  <c r="O430" s="1"/>
  <c r="J430"/>
  <c r="K414"/>
  <c r="N414" s="1"/>
  <c r="O414" s="1"/>
  <c r="J414"/>
  <c r="K406"/>
  <c r="L406" s="1"/>
  <c r="M406" s="1"/>
  <c r="P406" s="1"/>
  <c r="J406"/>
  <c r="K398"/>
  <c r="J398"/>
  <c r="K390"/>
  <c r="N390" s="1"/>
  <c r="O390" s="1"/>
  <c r="J390"/>
  <c r="K382"/>
  <c r="J382"/>
  <c r="K374"/>
  <c r="J374"/>
  <c r="K366"/>
  <c r="J366"/>
  <c r="K342"/>
  <c r="L342" s="1"/>
  <c r="M342" s="1"/>
  <c r="P342" s="1"/>
  <c r="J342"/>
  <c r="K334"/>
  <c r="J334"/>
  <c r="K326"/>
  <c r="N326" s="1"/>
  <c r="O326" s="1"/>
  <c r="J326"/>
  <c r="K318"/>
  <c r="J318"/>
  <c r="K310"/>
  <c r="N310" s="1"/>
  <c r="O310" s="1"/>
  <c r="J310"/>
  <c r="K302"/>
  <c r="J302"/>
  <c r="K294"/>
  <c r="J294"/>
  <c r="K286"/>
  <c r="J286"/>
  <c r="K278"/>
  <c r="J278"/>
  <c r="K270"/>
  <c r="J270"/>
  <c r="K246"/>
  <c r="L246" s="1"/>
  <c r="M246" s="1"/>
  <c r="P246" s="1"/>
  <c r="J246"/>
  <c r="K238"/>
  <c r="J238"/>
  <c r="K230"/>
  <c r="L230" s="1"/>
  <c r="M230" s="1"/>
  <c r="P230" s="1"/>
  <c r="J230"/>
  <c r="K222"/>
  <c r="J222"/>
  <c r="K214"/>
  <c r="J214"/>
  <c r="K206"/>
  <c r="J206"/>
  <c r="K198"/>
  <c r="N198" s="1"/>
  <c r="O198" s="1"/>
  <c r="J198"/>
  <c r="N612"/>
  <c r="O612" s="1"/>
  <c r="K614"/>
  <c r="N614" s="1"/>
  <c r="O614" s="1"/>
  <c r="K610"/>
  <c r="N610" s="1"/>
  <c r="O610" s="1"/>
  <c r="K698"/>
  <c r="K500"/>
  <c r="K474"/>
  <c r="L600"/>
  <c r="M600" s="1"/>
  <c r="P600" s="1"/>
  <c r="K738"/>
  <c r="F195"/>
  <c r="I195" s="1"/>
  <c r="J195" s="1"/>
  <c r="K662"/>
  <c r="K617"/>
  <c r="K540"/>
  <c r="K520"/>
  <c r="K484"/>
  <c r="N484" s="1"/>
  <c r="O484" s="1"/>
  <c r="K428"/>
  <c r="K372"/>
  <c r="K336"/>
  <c r="L336" s="1"/>
  <c r="M336" s="1"/>
  <c r="P336" s="1"/>
  <c r="K254"/>
  <c r="K240"/>
  <c r="K744"/>
  <c r="K732"/>
  <c r="K728"/>
  <c r="K716"/>
  <c r="K707"/>
  <c r="K683"/>
  <c r="K658"/>
  <c r="K650"/>
  <c r="K644"/>
  <c r="K594"/>
  <c r="L594" s="1"/>
  <c r="M594" s="1"/>
  <c r="P594" s="1"/>
  <c r="K588"/>
  <c r="K558"/>
  <c r="K510"/>
  <c r="K506"/>
  <c r="K468"/>
  <c r="K422"/>
  <c r="N422" s="1"/>
  <c r="O422" s="1"/>
  <c r="K408"/>
  <c r="K350"/>
  <c r="K330"/>
  <c r="K300"/>
  <c r="K292"/>
  <c r="K276"/>
  <c r="K208"/>
  <c r="K200"/>
  <c r="L200" s="1"/>
  <c r="M200" s="1"/>
  <c r="P200" s="1"/>
  <c r="K747"/>
  <c r="K710"/>
  <c r="L710" s="1"/>
  <c r="M710" s="1"/>
  <c r="P710" s="1"/>
  <c r="K667"/>
  <c r="K723"/>
  <c r="K636"/>
  <c r="K574"/>
  <c r="K502"/>
  <c r="K498"/>
  <c r="K394"/>
  <c r="K364"/>
  <c r="K346"/>
  <c r="K262"/>
  <c r="K244"/>
  <c r="K730"/>
  <c r="K714"/>
  <c r="K696"/>
  <c r="K676"/>
  <c r="K608"/>
  <c r="K584"/>
  <c r="K444"/>
  <c r="K358"/>
  <c r="K296"/>
  <c r="K212"/>
  <c r="K204"/>
  <c r="N204" s="1"/>
  <c r="O204" s="1"/>
  <c r="A195"/>
  <c r="E196"/>
  <c r="H195"/>
  <c r="V195" s="1"/>
  <c r="N472"/>
  <c r="O472" s="1"/>
  <c r="C38" i="4" l="1"/>
  <c r="G218" s="1"/>
  <c r="H218" s="1"/>
  <c r="F38"/>
  <c r="I38" s="1"/>
  <c r="H38" s="1"/>
  <c r="E38"/>
  <c r="J38" s="1"/>
  <c r="L38" s="1"/>
  <c r="M38" s="1"/>
  <c r="C45"/>
  <c r="G225" s="1"/>
  <c r="H225" s="1"/>
  <c r="F45"/>
  <c r="I45" s="1"/>
  <c r="H45" s="1"/>
  <c r="E45"/>
  <c r="J45" s="1"/>
  <c r="F28"/>
  <c r="I28" s="1"/>
  <c r="C28"/>
  <c r="G208" s="1"/>
  <c r="H208" s="1"/>
  <c r="E28"/>
  <c r="J28" s="1"/>
  <c r="L28" s="1"/>
  <c r="M28" s="1"/>
  <c r="F48"/>
  <c r="I48" s="1"/>
  <c r="H48" s="1"/>
  <c r="C48"/>
  <c r="G228" s="1"/>
  <c r="H228" s="1"/>
  <c r="E48"/>
  <c r="J48" s="1"/>
  <c r="L48" s="1"/>
  <c r="M48" s="1"/>
  <c r="C31"/>
  <c r="G211" s="1"/>
  <c r="H211" s="1"/>
  <c r="F31"/>
  <c r="I31" s="1"/>
  <c r="H31" s="1"/>
  <c r="E31"/>
  <c r="J31" s="1"/>
  <c r="L31" s="1"/>
  <c r="M31" s="1"/>
  <c r="D66" i="3"/>
  <c r="E66"/>
  <c r="B19" i="4" s="1"/>
  <c r="C41"/>
  <c r="G221" s="1"/>
  <c r="H221" s="1"/>
  <c r="F41"/>
  <c r="I41" s="1"/>
  <c r="H41" s="1"/>
  <c r="E41"/>
  <c r="J41" s="1"/>
  <c r="C29"/>
  <c r="G209" s="1"/>
  <c r="H209" s="1"/>
  <c r="F29"/>
  <c r="I29" s="1"/>
  <c r="H29" s="1"/>
  <c r="E29"/>
  <c r="J29" s="1"/>
  <c r="D74" i="3"/>
  <c r="E74"/>
  <c r="B27" i="4" s="1"/>
  <c r="H186"/>
  <c r="L13"/>
  <c r="M13" s="1"/>
  <c r="E188" i="3"/>
  <c r="D188"/>
  <c r="F42" i="4"/>
  <c r="I42" s="1"/>
  <c r="H42" s="1"/>
  <c r="C42"/>
  <c r="G222" s="1"/>
  <c r="H222" s="1"/>
  <c r="E42"/>
  <c r="J42" s="1"/>
  <c r="F21"/>
  <c r="I21" s="1"/>
  <c r="H21" s="1"/>
  <c r="C21"/>
  <c r="G201" s="1"/>
  <c r="H201" s="1"/>
  <c r="E21"/>
  <c r="J21" s="1"/>
  <c r="C39"/>
  <c r="G219" s="1"/>
  <c r="H219" s="1"/>
  <c r="F39"/>
  <c r="I39" s="1"/>
  <c r="H39" s="1"/>
  <c r="E39"/>
  <c r="J39" s="1"/>
  <c r="C25"/>
  <c r="G205" s="1"/>
  <c r="H205" s="1"/>
  <c r="F25"/>
  <c r="I25" s="1"/>
  <c r="E25"/>
  <c r="J25" s="1"/>
  <c r="L25" s="1"/>
  <c r="M25" s="1"/>
  <c r="C43"/>
  <c r="G223" s="1"/>
  <c r="H223" s="1"/>
  <c r="F43"/>
  <c r="I43" s="1"/>
  <c r="H43" s="1"/>
  <c r="E43"/>
  <c r="J43" s="1"/>
  <c r="F26"/>
  <c r="I26" s="1"/>
  <c r="H26" s="1"/>
  <c r="E26"/>
  <c r="J26" s="1"/>
  <c r="L26" s="1"/>
  <c r="M26" s="1"/>
  <c r="C26"/>
  <c r="G206" s="1"/>
  <c r="H206" s="1"/>
  <c r="F24"/>
  <c r="I24" s="1"/>
  <c r="H24" s="1"/>
  <c r="E24"/>
  <c r="J24" s="1"/>
  <c r="C24"/>
  <c r="G204" s="1"/>
  <c r="H204" s="1"/>
  <c r="E67" i="3"/>
  <c r="B20" i="4" s="1"/>
  <c r="D67" i="3"/>
  <c r="H187" i="4"/>
  <c r="H196"/>
  <c r="H188"/>
  <c r="D203" i="3"/>
  <c r="E203"/>
  <c r="E138"/>
  <c r="D138"/>
  <c r="C33" i="4"/>
  <c r="G213" s="1"/>
  <c r="H213" s="1"/>
  <c r="E33"/>
  <c r="J33" s="1"/>
  <c r="L33" s="1"/>
  <c r="M33" s="1"/>
  <c r="F33"/>
  <c r="I33" s="1"/>
  <c r="C37"/>
  <c r="G217" s="1"/>
  <c r="H217" s="1"/>
  <c r="E37"/>
  <c r="J37" s="1"/>
  <c r="L37" s="1"/>
  <c r="M37" s="1"/>
  <c r="F37"/>
  <c r="I37" s="1"/>
  <c r="F22"/>
  <c r="I22" s="1"/>
  <c r="C22"/>
  <c r="G202" s="1"/>
  <c r="H202" s="1"/>
  <c r="E22"/>
  <c r="J22" s="1"/>
  <c r="L22" s="1"/>
  <c r="M22" s="1"/>
  <c r="F40"/>
  <c r="I40" s="1"/>
  <c r="C40"/>
  <c r="G220" s="1"/>
  <c r="H220" s="1"/>
  <c r="E40"/>
  <c r="J40" s="1"/>
  <c r="L40" s="1"/>
  <c r="M40" s="1"/>
  <c r="F23"/>
  <c r="I23" s="1"/>
  <c r="H23" s="1"/>
  <c r="C23"/>
  <c r="G203" s="1"/>
  <c r="H203" s="1"/>
  <c r="E23"/>
  <c r="J23" s="1"/>
  <c r="C46"/>
  <c r="G226" s="1"/>
  <c r="H226" s="1"/>
  <c r="F46"/>
  <c r="I46" s="1"/>
  <c r="H46" s="1"/>
  <c r="E46"/>
  <c r="J46" s="1"/>
  <c r="F36"/>
  <c r="I36" s="1"/>
  <c r="C36"/>
  <c r="G216" s="1"/>
  <c r="H216" s="1"/>
  <c r="E36"/>
  <c r="J36" s="1"/>
  <c r="L36" s="1"/>
  <c r="M36" s="1"/>
  <c r="H195"/>
  <c r="C218" i="3"/>
  <c r="B218"/>
  <c r="F30" i="4"/>
  <c r="I30" s="1"/>
  <c r="H30" s="1"/>
  <c r="E30"/>
  <c r="J30" s="1"/>
  <c r="C30"/>
  <c r="G210" s="1"/>
  <c r="H210" s="1"/>
  <c r="C47"/>
  <c r="G227" s="1"/>
  <c r="H227" s="1"/>
  <c r="F47"/>
  <c r="I47" s="1"/>
  <c r="H47" s="1"/>
  <c r="E47"/>
  <c r="J47" s="1"/>
  <c r="C35"/>
  <c r="G215" s="1"/>
  <c r="H215" s="1"/>
  <c r="F35"/>
  <c r="I35" s="1"/>
  <c r="E35"/>
  <c r="J35" s="1"/>
  <c r="L35" s="1"/>
  <c r="M35" s="1"/>
  <c r="F44"/>
  <c r="I44" s="1"/>
  <c r="H44" s="1"/>
  <c r="E44"/>
  <c r="J44" s="1"/>
  <c r="C44"/>
  <c r="G224" s="1"/>
  <c r="H224" s="1"/>
  <c r="F32"/>
  <c r="I32" s="1"/>
  <c r="H32" s="1"/>
  <c r="E32"/>
  <c r="J32" s="1"/>
  <c r="C32"/>
  <c r="G212" s="1"/>
  <c r="H212" s="1"/>
  <c r="B81" i="3"/>
  <c r="A96"/>
  <c r="C81"/>
  <c r="L4" i="4"/>
  <c r="M4" s="1"/>
  <c r="L9"/>
  <c r="M9" s="1"/>
  <c r="L6"/>
  <c r="M6" s="1"/>
  <c r="H185"/>
  <c r="E120" i="3"/>
  <c r="D120"/>
  <c r="H193" i="4"/>
  <c r="D123" i="3"/>
  <c r="E123"/>
  <c r="L11" i="4"/>
  <c r="M11" s="1"/>
  <c r="C153" i="3"/>
  <c r="B153"/>
  <c r="A168"/>
  <c r="N256" i="1"/>
  <c r="O256" s="1"/>
  <c r="N456"/>
  <c r="O456" s="1"/>
  <c r="Q456" s="1"/>
  <c r="N576"/>
  <c r="O576" s="1"/>
  <c r="Q576" s="1"/>
  <c r="N586"/>
  <c r="O586" s="1"/>
  <c r="N216"/>
  <c r="O216" s="1"/>
  <c r="L635"/>
  <c r="M635" s="1"/>
  <c r="N660"/>
  <c r="O660" s="1"/>
  <c r="Q660" s="1"/>
  <c r="L706"/>
  <c r="M706" s="1"/>
  <c r="P706" s="1"/>
  <c r="N652"/>
  <c r="O652" s="1"/>
  <c r="N522"/>
  <c r="O522" s="1"/>
  <c r="L634"/>
  <c r="M634" s="1"/>
  <c r="P634" s="1"/>
  <c r="L480"/>
  <c r="M480" s="1"/>
  <c r="P480" s="1"/>
  <c r="Q480" s="1"/>
  <c r="L432"/>
  <c r="M432" s="1"/>
  <c r="L224"/>
  <c r="M224" s="1"/>
  <c r="P224" s="1"/>
  <c r="N464"/>
  <c r="O464" s="1"/>
  <c r="Q464" s="1"/>
  <c r="N392"/>
  <c r="O392" s="1"/>
  <c r="Q392" s="1"/>
  <c r="N568"/>
  <c r="O568" s="1"/>
  <c r="P635"/>
  <c r="Q635" s="1"/>
  <c r="F196"/>
  <c r="N675"/>
  <c r="O675" s="1"/>
  <c r="Q675" s="1"/>
  <c r="P432"/>
  <c r="Q432" s="1"/>
  <c r="X194"/>
  <c r="L750"/>
  <c r="M750" s="1"/>
  <c r="N514"/>
  <c r="O514" s="1"/>
  <c r="Q514" s="1"/>
  <c r="L704"/>
  <c r="M704" s="1"/>
  <c r="L448"/>
  <c r="M448" s="1"/>
  <c r="P448" s="1"/>
  <c r="N426"/>
  <c r="O426" s="1"/>
  <c r="Q426" s="1"/>
  <c r="N708"/>
  <c r="O708" s="1"/>
  <c r="Q708" s="1"/>
  <c r="N226"/>
  <c r="O226" s="1"/>
  <c r="L210"/>
  <c r="M210" s="1"/>
  <c r="P210" s="1"/>
  <c r="L722"/>
  <c r="M722" s="1"/>
  <c r="N619"/>
  <c r="O619" s="1"/>
  <c r="Q619" s="1"/>
  <c r="N546"/>
  <c r="O546" s="1"/>
  <c r="L654"/>
  <c r="M654" s="1"/>
  <c r="P654" s="1"/>
  <c r="L552"/>
  <c r="M552" s="1"/>
  <c r="N536"/>
  <c r="O536" s="1"/>
  <c r="Q536" s="1"/>
  <c r="N234"/>
  <c r="O234" s="1"/>
  <c r="L656"/>
  <c r="M656" s="1"/>
  <c r="P656" s="1"/>
  <c r="N550"/>
  <c r="O550" s="1"/>
  <c r="Q550" s="1"/>
  <c r="L564"/>
  <c r="M564" s="1"/>
  <c r="P564" s="1"/>
  <c r="N452"/>
  <c r="O452" s="1"/>
  <c r="N356"/>
  <c r="O356" s="1"/>
  <c r="N700"/>
  <c r="O700" s="1"/>
  <c r="Q700" s="1"/>
  <c r="L664"/>
  <c r="M664" s="1"/>
  <c r="P664" s="1"/>
  <c r="Q664" s="1"/>
  <c r="N378"/>
  <c r="O378" s="1"/>
  <c r="N266"/>
  <c r="O266" s="1"/>
  <c r="N380"/>
  <c r="O380" s="1"/>
  <c r="Q380" s="1"/>
  <c r="N582"/>
  <c r="O582" s="1"/>
  <c r="Q582" s="1"/>
  <c r="N508"/>
  <c r="O508" s="1"/>
  <c r="N196"/>
  <c r="O196" s="1"/>
  <c r="L268"/>
  <c r="M268" s="1"/>
  <c r="N580"/>
  <c r="O580" s="1"/>
  <c r="Q580" s="1"/>
  <c r="L258"/>
  <c r="M258" s="1"/>
  <c r="P258" s="1"/>
  <c r="L534"/>
  <c r="M534" s="1"/>
  <c r="P534" s="1"/>
  <c r="N370"/>
  <c r="O370" s="1"/>
  <c r="Q370" s="1"/>
  <c r="L280"/>
  <c r="M280" s="1"/>
  <c r="P280" s="1"/>
  <c r="Q280" s="1"/>
  <c r="L482"/>
  <c r="M482" s="1"/>
  <c r="P482" s="1"/>
  <c r="N724"/>
  <c r="O724" s="1"/>
  <c r="Q724" s="1"/>
  <c r="N476"/>
  <c r="O476" s="1"/>
  <c r="Q476" s="1"/>
  <c r="L616"/>
  <c r="M616" s="1"/>
  <c r="P616" s="1"/>
  <c r="L458"/>
  <c r="M458" s="1"/>
  <c r="P458" s="1"/>
  <c r="Q458" s="1"/>
  <c r="L694"/>
  <c r="M694" s="1"/>
  <c r="P694" s="1"/>
  <c r="L739"/>
  <c r="M739" s="1"/>
  <c r="N354"/>
  <c r="O354" s="1"/>
  <c r="Q354" s="1"/>
  <c r="N578"/>
  <c r="O578" s="1"/>
  <c r="L688"/>
  <c r="M688" s="1"/>
  <c r="P688" s="1"/>
  <c r="N434"/>
  <c r="O434" s="1"/>
  <c r="Q434" s="1"/>
  <c r="N548"/>
  <c r="O548" s="1"/>
  <c r="Q548" s="1"/>
  <c r="N388"/>
  <c r="O388" s="1"/>
  <c r="L492"/>
  <c r="M492" s="1"/>
  <c r="P492" s="1"/>
  <c r="N532"/>
  <c r="O532" s="1"/>
  <c r="Q532" s="1"/>
  <c r="L606"/>
  <c r="M606" s="1"/>
  <c r="P606" s="1"/>
  <c r="Q606" s="1"/>
  <c r="L598"/>
  <c r="M598" s="1"/>
  <c r="N752"/>
  <c r="O752" s="1"/>
  <c r="L530"/>
  <c r="M530" s="1"/>
  <c r="L672"/>
  <c r="M672" s="1"/>
  <c r="N740"/>
  <c r="O740" s="1"/>
  <c r="N512"/>
  <c r="O512" s="1"/>
  <c r="K195"/>
  <c r="N195" s="1"/>
  <c r="O195" s="1"/>
  <c r="L651"/>
  <c r="M651" s="1"/>
  <c r="P651" s="1"/>
  <c r="Q651" s="1"/>
  <c r="L614"/>
  <c r="M614" s="1"/>
  <c r="P614" s="1"/>
  <c r="N715"/>
  <c r="O715" s="1"/>
  <c r="L310"/>
  <c r="M310" s="1"/>
  <c r="N298"/>
  <c r="O298" s="1"/>
  <c r="Q298" s="1"/>
  <c r="N342"/>
  <c r="O342" s="1"/>
  <c r="L412"/>
  <c r="M412" s="1"/>
  <c r="N440"/>
  <c r="O440" s="1"/>
  <c r="Q440" s="1"/>
  <c r="L282"/>
  <c r="M282" s="1"/>
  <c r="P282" s="1"/>
  <c r="Q282" s="1"/>
  <c r="N450"/>
  <c r="O450" s="1"/>
  <c r="L424"/>
  <c r="M424" s="1"/>
  <c r="L490"/>
  <c r="M490" s="1"/>
  <c r="L436"/>
  <c r="M436" s="1"/>
  <c r="L462"/>
  <c r="M462" s="1"/>
  <c r="P462" s="1"/>
  <c r="N692"/>
  <c r="O692" s="1"/>
  <c r="Q692" s="1"/>
  <c r="L466"/>
  <c r="M466" s="1"/>
  <c r="N504"/>
  <c r="O504" s="1"/>
  <c r="Q504" s="1"/>
  <c r="N682"/>
  <c r="O682" s="1"/>
  <c r="Q682" s="1"/>
  <c r="N560"/>
  <c r="O560" s="1"/>
  <c r="Q560" s="1"/>
  <c r="L260"/>
  <c r="M260" s="1"/>
  <c r="P260" s="1"/>
  <c r="Q260" s="1"/>
  <c r="L220"/>
  <c r="M220" s="1"/>
  <c r="N348"/>
  <c r="O348" s="1"/>
  <c r="N230"/>
  <c r="O230" s="1"/>
  <c r="N336"/>
  <c r="O336" s="1"/>
  <c r="Q336" s="1"/>
  <c r="N478"/>
  <c r="O478" s="1"/>
  <c r="Q478" s="1"/>
  <c r="L720"/>
  <c r="M720" s="1"/>
  <c r="N246"/>
  <c r="O246" s="1"/>
  <c r="L314"/>
  <c r="M314" s="1"/>
  <c r="L390"/>
  <c r="M390" s="1"/>
  <c r="P390" s="1"/>
  <c r="Q390" s="1"/>
  <c r="N488"/>
  <c r="O488" s="1"/>
  <c r="L430"/>
  <c r="M430" s="1"/>
  <c r="P430" s="1"/>
  <c r="N528"/>
  <c r="O528" s="1"/>
  <c r="Q528" s="1"/>
  <c r="L566"/>
  <c r="M566" s="1"/>
  <c r="N218"/>
  <c r="O218" s="1"/>
  <c r="N678"/>
  <c r="O678" s="1"/>
  <c r="Q678" s="1"/>
  <c r="N200"/>
  <c r="O200" s="1"/>
  <c r="Q200" s="1"/>
  <c r="N332"/>
  <c r="O332" s="1"/>
  <c r="Q332" s="1"/>
  <c r="L198"/>
  <c r="M198" s="1"/>
  <c r="L352"/>
  <c r="M352" s="1"/>
  <c r="N406"/>
  <c r="O406" s="1"/>
  <c r="Q406" s="1"/>
  <c r="L368"/>
  <c r="M368" s="1"/>
  <c r="N544"/>
  <c r="O544" s="1"/>
  <c r="Q544" s="1"/>
  <c r="L422"/>
  <c r="M422" s="1"/>
  <c r="P422" s="1"/>
  <c r="N590"/>
  <c r="O590" s="1"/>
  <c r="Q590" s="1"/>
  <c r="N746"/>
  <c r="O746" s="1"/>
  <c r="Q746" s="1"/>
  <c r="L640"/>
  <c r="M640" s="1"/>
  <c r="N454"/>
  <c r="O454" s="1"/>
  <c r="Q454" s="1"/>
  <c r="N446"/>
  <c r="O446" s="1"/>
  <c r="Q446" s="1"/>
  <c r="L542"/>
  <c r="M542" s="1"/>
  <c r="L326"/>
  <c r="M326" s="1"/>
  <c r="L610"/>
  <c r="M610" s="1"/>
  <c r="L638"/>
  <c r="M638" s="1"/>
  <c r="N526"/>
  <c r="O526" s="1"/>
  <c r="Q526" s="1"/>
  <c r="Q512"/>
  <c r="Q266"/>
  <c r="L690"/>
  <c r="M690" s="1"/>
  <c r="Q752"/>
  <c r="Q612"/>
  <c r="L214"/>
  <c r="M214" s="1"/>
  <c r="P214" s="1"/>
  <c r="N214"/>
  <c r="O214" s="1"/>
  <c r="N278"/>
  <c r="O278" s="1"/>
  <c r="L278"/>
  <c r="M278" s="1"/>
  <c r="P278" s="1"/>
  <c r="N294"/>
  <c r="O294" s="1"/>
  <c r="L294"/>
  <c r="M294" s="1"/>
  <c r="P294" s="1"/>
  <c r="L374"/>
  <c r="M374" s="1"/>
  <c r="P374" s="1"/>
  <c r="N374"/>
  <c r="O374" s="1"/>
  <c r="L494"/>
  <c r="M494" s="1"/>
  <c r="P494" s="1"/>
  <c r="N494"/>
  <c r="O494" s="1"/>
  <c r="L632"/>
  <c r="M632" s="1"/>
  <c r="P632" s="1"/>
  <c r="N632"/>
  <c r="O632" s="1"/>
  <c r="L670"/>
  <c r="M670" s="1"/>
  <c r="P670" s="1"/>
  <c r="N670"/>
  <c r="O670" s="1"/>
  <c r="L702"/>
  <c r="M702" s="1"/>
  <c r="P702" s="1"/>
  <c r="N702"/>
  <c r="O702" s="1"/>
  <c r="N734"/>
  <c r="O734" s="1"/>
  <c r="L734"/>
  <c r="M734" s="1"/>
  <c r="P734" s="1"/>
  <c r="N754"/>
  <c r="O754" s="1"/>
  <c r="L754"/>
  <c r="M754" s="1"/>
  <c r="P754" s="1"/>
  <c r="L236"/>
  <c r="M236" s="1"/>
  <c r="P236" s="1"/>
  <c r="N236"/>
  <c r="O236" s="1"/>
  <c r="N284"/>
  <c r="O284" s="1"/>
  <c r="L284"/>
  <c r="M284" s="1"/>
  <c r="P284" s="1"/>
  <c r="N316"/>
  <c r="O316" s="1"/>
  <c r="L316"/>
  <c r="M316" s="1"/>
  <c r="P316" s="1"/>
  <c r="N396"/>
  <c r="O396" s="1"/>
  <c r="L396"/>
  <c r="M396" s="1"/>
  <c r="P396" s="1"/>
  <c r="N460"/>
  <c r="O460" s="1"/>
  <c r="L460"/>
  <c r="M460" s="1"/>
  <c r="P460" s="1"/>
  <c r="N516"/>
  <c r="O516" s="1"/>
  <c r="L516"/>
  <c r="M516" s="1"/>
  <c r="P516" s="1"/>
  <c r="N556"/>
  <c r="O556" s="1"/>
  <c r="L556"/>
  <c r="M556" s="1"/>
  <c r="P556" s="1"/>
  <c r="N572"/>
  <c r="O572" s="1"/>
  <c r="L572"/>
  <c r="M572" s="1"/>
  <c r="P572" s="1"/>
  <c r="L596"/>
  <c r="M596" s="1"/>
  <c r="P596" s="1"/>
  <c r="N596"/>
  <c r="O596" s="1"/>
  <c r="N643"/>
  <c r="O643" s="1"/>
  <c r="L643"/>
  <c r="M643" s="1"/>
  <c r="P643" s="1"/>
  <c r="N668"/>
  <c r="O668" s="1"/>
  <c r="L668"/>
  <c r="M668" s="1"/>
  <c r="P668" s="1"/>
  <c r="N242"/>
  <c r="O242" s="1"/>
  <c r="L242"/>
  <c r="M242" s="1"/>
  <c r="P242" s="1"/>
  <c r="L274"/>
  <c r="M274" s="1"/>
  <c r="P274" s="1"/>
  <c r="N274"/>
  <c r="O274" s="1"/>
  <c r="L290"/>
  <c r="M290" s="1"/>
  <c r="P290" s="1"/>
  <c r="N290"/>
  <c r="O290" s="1"/>
  <c r="L306"/>
  <c r="M306" s="1"/>
  <c r="P306" s="1"/>
  <c r="N306"/>
  <c r="O306" s="1"/>
  <c r="N322"/>
  <c r="O322" s="1"/>
  <c r="L322"/>
  <c r="M322" s="1"/>
  <c r="P322" s="1"/>
  <c r="L386"/>
  <c r="M386" s="1"/>
  <c r="P386" s="1"/>
  <c r="N386"/>
  <c r="O386" s="1"/>
  <c r="L410"/>
  <c r="M410" s="1"/>
  <c r="P410" s="1"/>
  <c r="N410"/>
  <c r="O410" s="1"/>
  <c r="N442"/>
  <c r="O442" s="1"/>
  <c r="L442"/>
  <c r="M442" s="1"/>
  <c r="P442" s="1"/>
  <c r="N562"/>
  <c r="O562" s="1"/>
  <c r="L562"/>
  <c r="M562" s="1"/>
  <c r="P562" s="1"/>
  <c r="L602"/>
  <c r="M602" s="1"/>
  <c r="P602" s="1"/>
  <c r="N602"/>
  <c r="O602" s="1"/>
  <c r="N642"/>
  <c r="O642" s="1"/>
  <c r="L642"/>
  <c r="M642" s="1"/>
  <c r="P642" s="1"/>
  <c r="L674"/>
  <c r="M674" s="1"/>
  <c r="P674" s="1"/>
  <c r="N674"/>
  <c r="O674" s="1"/>
  <c r="N686"/>
  <c r="O686" s="1"/>
  <c r="L686"/>
  <c r="M686" s="1"/>
  <c r="P686" s="1"/>
  <c r="N699"/>
  <c r="O699" s="1"/>
  <c r="L699"/>
  <c r="M699" s="1"/>
  <c r="P699" s="1"/>
  <c r="N712"/>
  <c r="O712" s="1"/>
  <c r="L712"/>
  <c r="M712" s="1"/>
  <c r="P712" s="1"/>
  <c r="N248"/>
  <c r="O248" s="1"/>
  <c r="L248"/>
  <c r="M248" s="1"/>
  <c r="P248" s="1"/>
  <c r="L264"/>
  <c r="M264" s="1"/>
  <c r="P264" s="1"/>
  <c r="N264"/>
  <c r="O264" s="1"/>
  <c r="L304"/>
  <c r="M304" s="1"/>
  <c r="P304" s="1"/>
  <c r="N304"/>
  <c r="O304" s="1"/>
  <c r="N320"/>
  <c r="O320" s="1"/>
  <c r="L320"/>
  <c r="M320" s="1"/>
  <c r="P320" s="1"/>
  <c r="N344"/>
  <c r="O344" s="1"/>
  <c r="L344"/>
  <c r="M344" s="1"/>
  <c r="P344" s="1"/>
  <c r="N360"/>
  <c r="O360" s="1"/>
  <c r="L360"/>
  <c r="M360" s="1"/>
  <c r="P360" s="1"/>
  <c r="L376"/>
  <c r="M376" s="1"/>
  <c r="P376" s="1"/>
  <c r="N376"/>
  <c r="O376" s="1"/>
  <c r="N416"/>
  <c r="O416" s="1"/>
  <c r="L416"/>
  <c r="M416" s="1"/>
  <c r="P416" s="1"/>
  <c r="L496"/>
  <c r="M496" s="1"/>
  <c r="P496" s="1"/>
  <c r="N496"/>
  <c r="O496" s="1"/>
  <c r="L592"/>
  <c r="M592" s="1"/>
  <c r="P592" s="1"/>
  <c r="N592"/>
  <c r="O592" s="1"/>
  <c r="N646"/>
  <c r="O646" s="1"/>
  <c r="L646"/>
  <c r="M646" s="1"/>
  <c r="P646" s="1"/>
  <c r="L659"/>
  <c r="M659" s="1"/>
  <c r="P659" s="1"/>
  <c r="N659"/>
  <c r="O659" s="1"/>
  <c r="N684"/>
  <c r="O684" s="1"/>
  <c r="L684"/>
  <c r="M684" s="1"/>
  <c r="P684" s="1"/>
  <c r="L742"/>
  <c r="M742" s="1"/>
  <c r="P742" s="1"/>
  <c r="N742"/>
  <c r="O742" s="1"/>
  <c r="L755"/>
  <c r="M755" s="1"/>
  <c r="P755" s="1"/>
  <c r="N755"/>
  <c r="O755" s="1"/>
  <c r="N438"/>
  <c r="O438" s="1"/>
  <c r="Q438" s="1"/>
  <c r="L206"/>
  <c r="M206" s="1"/>
  <c r="P206" s="1"/>
  <c r="N206"/>
  <c r="O206" s="1"/>
  <c r="L222"/>
  <c r="M222" s="1"/>
  <c r="P222" s="1"/>
  <c r="N222"/>
  <c r="O222" s="1"/>
  <c r="L238"/>
  <c r="M238" s="1"/>
  <c r="P238" s="1"/>
  <c r="N238"/>
  <c r="O238" s="1"/>
  <c r="N270"/>
  <c r="O270" s="1"/>
  <c r="L270"/>
  <c r="M270" s="1"/>
  <c r="P270" s="1"/>
  <c r="N286"/>
  <c r="O286" s="1"/>
  <c r="L286"/>
  <c r="M286" s="1"/>
  <c r="P286" s="1"/>
  <c r="N302"/>
  <c r="O302" s="1"/>
  <c r="L302"/>
  <c r="M302" s="1"/>
  <c r="P302" s="1"/>
  <c r="N318"/>
  <c r="O318" s="1"/>
  <c r="L318"/>
  <c r="M318" s="1"/>
  <c r="P318" s="1"/>
  <c r="N334"/>
  <c r="O334" s="1"/>
  <c r="L334"/>
  <c r="M334" s="1"/>
  <c r="P334" s="1"/>
  <c r="N366"/>
  <c r="O366" s="1"/>
  <c r="L366"/>
  <c r="M366" s="1"/>
  <c r="P366" s="1"/>
  <c r="N382"/>
  <c r="O382" s="1"/>
  <c r="L382"/>
  <c r="M382" s="1"/>
  <c r="P382" s="1"/>
  <c r="N398"/>
  <c r="O398" s="1"/>
  <c r="L398"/>
  <c r="M398" s="1"/>
  <c r="P398" s="1"/>
  <c r="L470"/>
  <c r="M470" s="1"/>
  <c r="P470" s="1"/>
  <c r="N470"/>
  <c r="O470" s="1"/>
  <c r="L486"/>
  <c r="M486" s="1"/>
  <c r="P486" s="1"/>
  <c r="N486"/>
  <c r="O486" s="1"/>
  <c r="L611"/>
  <c r="M611" s="1"/>
  <c r="P611" s="1"/>
  <c r="N611"/>
  <c r="O611" s="1"/>
  <c r="N228"/>
  <c r="O228" s="1"/>
  <c r="L228"/>
  <c r="M228" s="1"/>
  <c r="P228" s="1"/>
  <c r="L252"/>
  <c r="M252" s="1"/>
  <c r="P252" s="1"/>
  <c r="N252"/>
  <c r="O252" s="1"/>
  <c r="N308"/>
  <c r="O308" s="1"/>
  <c r="L308"/>
  <c r="M308" s="1"/>
  <c r="P308" s="1"/>
  <c r="N324"/>
  <c r="O324" s="1"/>
  <c r="L324"/>
  <c r="M324" s="1"/>
  <c r="P324" s="1"/>
  <c r="L340"/>
  <c r="M340" s="1"/>
  <c r="P340" s="1"/>
  <c r="N340"/>
  <c r="O340" s="1"/>
  <c r="N404"/>
  <c r="O404" s="1"/>
  <c r="L404"/>
  <c r="M404" s="1"/>
  <c r="P404" s="1"/>
  <c r="L420"/>
  <c r="M420" s="1"/>
  <c r="P420" s="1"/>
  <c r="N420"/>
  <c r="O420" s="1"/>
  <c r="N524"/>
  <c r="O524" s="1"/>
  <c r="L524"/>
  <c r="M524" s="1"/>
  <c r="P524" s="1"/>
  <c r="L604"/>
  <c r="M604" s="1"/>
  <c r="P604" s="1"/>
  <c r="N604"/>
  <c r="O604" s="1"/>
  <c r="N620"/>
  <c r="O620" s="1"/>
  <c r="L620"/>
  <c r="M620" s="1"/>
  <c r="P620" s="1"/>
  <c r="N202"/>
  <c r="O202" s="1"/>
  <c r="L202"/>
  <c r="M202" s="1"/>
  <c r="P202" s="1"/>
  <c r="N250"/>
  <c r="O250" s="1"/>
  <c r="L250"/>
  <c r="M250" s="1"/>
  <c r="P250" s="1"/>
  <c r="N338"/>
  <c r="O338" s="1"/>
  <c r="L338"/>
  <c r="M338" s="1"/>
  <c r="P338" s="1"/>
  <c r="N362"/>
  <c r="O362" s="1"/>
  <c r="L362"/>
  <c r="M362" s="1"/>
  <c r="P362" s="1"/>
  <c r="L402"/>
  <c r="M402" s="1"/>
  <c r="P402" s="1"/>
  <c r="N402"/>
  <c r="O402" s="1"/>
  <c r="N418"/>
  <c r="O418" s="1"/>
  <c r="L418"/>
  <c r="M418" s="1"/>
  <c r="P418" s="1"/>
  <c r="N538"/>
  <c r="O538" s="1"/>
  <c r="L538"/>
  <c r="M538" s="1"/>
  <c r="P538" s="1"/>
  <c r="N554"/>
  <c r="O554" s="1"/>
  <c r="L554"/>
  <c r="M554" s="1"/>
  <c r="P554" s="1"/>
  <c r="N570"/>
  <c r="O570" s="1"/>
  <c r="L570"/>
  <c r="M570" s="1"/>
  <c r="P570" s="1"/>
  <c r="L609"/>
  <c r="M609" s="1"/>
  <c r="P609" s="1"/>
  <c r="N609"/>
  <c r="O609" s="1"/>
  <c r="N648"/>
  <c r="O648" s="1"/>
  <c r="L648"/>
  <c r="M648" s="1"/>
  <c r="P648" s="1"/>
  <c r="L680"/>
  <c r="M680" s="1"/>
  <c r="P680" s="1"/>
  <c r="N680"/>
  <c r="O680" s="1"/>
  <c r="N718"/>
  <c r="O718" s="1"/>
  <c r="L718"/>
  <c r="M718" s="1"/>
  <c r="P718" s="1"/>
  <c r="N731"/>
  <c r="O731" s="1"/>
  <c r="L731"/>
  <c r="M731" s="1"/>
  <c r="P731" s="1"/>
  <c r="L232"/>
  <c r="M232" s="1"/>
  <c r="P232" s="1"/>
  <c r="N232"/>
  <c r="O232" s="1"/>
  <c r="L272"/>
  <c r="M272" s="1"/>
  <c r="P272" s="1"/>
  <c r="N272"/>
  <c r="O272" s="1"/>
  <c r="N288"/>
  <c r="O288" s="1"/>
  <c r="L288"/>
  <c r="M288" s="1"/>
  <c r="P288" s="1"/>
  <c r="N312"/>
  <c r="O312" s="1"/>
  <c r="L312"/>
  <c r="M312" s="1"/>
  <c r="P312" s="1"/>
  <c r="N328"/>
  <c r="O328" s="1"/>
  <c r="L328"/>
  <c r="M328" s="1"/>
  <c r="P328" s="1"/>
  <c r="N384"/>
  <c r="O384" s="1"/>
  <c r="L384"/>
  <c r="M384" s="1"/>
  <c r="P384" s="1"/>
  <c r="L400"/>
  <c r="M400" s="1"/>
  <c r="P400" s="1"/>
  <c r="N400"/>
  <c r="O400" s="1"/>
  <c r="N618"/>
  <c r="O618" s="1"/>
  <c r="L618"/>
  <c r="M618" s="1"/>
  <c r="P618" s="1"/>
  <c r="L666"/>
  <c r="M666" s="1"/>
  <c r="P666" s="1"/>
  <c r="N666"/>
  <c r="O666" s="1"/>
  <c r="N691"/>
  <c r="O691" s="1"/>
  <c r="L691"/>
  <c r="M691" s="1"/>
  <c r="P691" s="1"/>
  <c r="L736"/>
  <c r="M736" s="1"/>
  <c r="P736" s="1"/>
  <c r="N736"/>
  <c r="O736" s="1"/>
  <c r="N748"/>
  <c r="O748" s="1"/>
  <c r="L748"/>
  <c r="M748" s="1"/>
  <c r="P748" s="1"/>
  <c r="L414"/>
  <c r="M414" s="1"/>
  <c r="Q378"/>
  <c r="N518"/>
  <c r="O518" s="1"/>
  <c r="Q518" s="1"/>
  <c r="Q694"/>
  <c r="Q706"/>
  <c r="Q564"/>
  <c r="Q448"/>
  <c r="Q482"/>
  <c r="Q652"/>
  <c r="Q430"/>
  <c r="Q715"/>
  <c r="Q342"/>
  <c r="N594"/>
  <c r="O594" s="1"/>
  <c r="Q594" s="1"/>
  <c r="L484"/>
  <c r="M484" s="1"/>
  <c r="Q688"/>
  <c r="Q654"/>
  <c r="Q656"/>
  <c r="Q740"/>
  <c r="Q634"/>
  <c r="N710"/>
  <c r="O710" s="1"/>
  <c r="Q710" s="1"/>
  <c r="L204"/>
  <c r="M204" s="1"/>
  <c r="Q462"/>
  <c r="N500"/>
  <c r="O500" s="1"/>
  <c r="L500"/>
  <c r="M500" s="1"/>
  <c r="P500" s="1"/>
  <c r="L474"/>
  <c r="M474" s="1"/>
  <c r="P474" s="1"/>
  <c r="N474"/>
  <c r="O474" s="1"/>
  <c r="Q546"/>
  <c r="L698"/>
  <c r="M698" s="1"/>
  <c r="P698" s="1"/>
  <c r="N698"/>
  <c r="O698" s="1"/>
  <c r="Q388"/>
  <c r="L738"/>
  <c r="M738" s="1"/>
  <c r="P738" s="1"/>
  <c r="N738"/>
  <c r="O738" s="1"/>
  <c r="Q210"/>
  <c r="Q218"/>
  <c r="Q508"/>
  <c r="Q356"/>
  <c r="Q600"/>
  <c r="Q226"/>
  <c r="Q472"/>
  <c r="Q234"/>
  <c r="Q246"/>
  <c r="Q568"/>
  <c r="Q258"/>
  <c r="Q578"/>
  <c r="Q450"/>
  <c r="Q488"/>
  <c r="Q256"/>
  <c r="L358"/>
  <c r="M358" s="1"/>
  <c r="P358" s="1"/>
  <c r="N358"/>
  <c r="O358" s="1"/>
  <c r="L584"/>
  <c r="M584" s="1"/>
  <c r="P584" s="1"/>
  <c r="N584"/>
  <c r="O584" s="1"/>
  <c r="N244"/>
  <c r="O244" s="1"/>
  <c r="L244"/>
  <c r="M244" s="1"/>
  <c r="P244" s="1"/>
  <c r="L346"/>
  <c r="M346" s="1"/>
  <c r="P346" s="1"/>
  <c r="N346"/>
  <c r="O346" s="1"/>
  <c r="L394"/>
  <c r="M394" s="1"/>
  <c r="P394" s="1"/>
  <c r="N394"/>
  <c r="O394" s="1"/>
  <c r="N502"/>
  <c r="O502" s="1"/>
  <c r="L502"/>
  <c r="M502" s="1"/>
  <c r="P502" s="1"/>
  <c r="L408"/>
  <c r="M408" s="1"/>
  <c r="P408" s="1"/>
  <c r="N408"/>
  <c r="O408" s="1"/>
  <c r="L728"/>
  <c r="M728" s="1"/>
  <c r="P728" s="1"/>
  <c r="N728"/>
  <c r="O728" s="1"/>
  <c r="L254"/>
  <c r="M254" s="1"/>
  <c r="P254" s="1"/>
  <c r="N254"/>
  <c r="O254" s="1"/>
  <c r="N540"/>
  <c r="O540" s="1"/>
  <c r="L540"/>
  <c r="M540" s="1"/>
  <c r="P540" s="1"/>
  <c r="Q452"/>
  <c r="Q586"/>
  <c r="A196"/>
  <c r="H196"/>
  <c r="V196" s="1"/>
  <c r="E197"/>
  <c r="L296"/>
  <c r="M296" s="1"/>
  <c r="P296" s="1"/>
  <c r="N296"/>
  <c r="O296" s="1"/>
  <c r="N696"/>
  <c r="O696" s="1"/>
  <c r="L696"/>
  <c r="M696" s="1"/>
  <c r="P696" s="1"/>
  <c r="L730"/>
  <c r="M730" s="1"/>
  <c r="P730" s="1"/>
  <c r="N730"/>
  <c r="O730" s="1"/>
  <c r="N262"/>
  <c r="O262" s="1"/>
  <c r="L262"/>
  <c r="M262" s="1"/>
  <c r="P262" s="1"/>
  <c r="N364"/>
  <c r="O364" s="1"/>
  <c r="L364"/>
  <c r="M364" s="1"/>
  <c r="P364" s="1"/>
  <c r="L498"/>
  <c r="M498" s="1"/>
  <c r="P498" s="1"/>
  <c r="N498"/>
  <c r="O498" s="1"/>
  <c r="N574"/>
  <c r="O574" s="1"/>
  <c r="L574"/>
  <c r="M574" s="1"/>
  <c r="P574" s="1"/>
  <c r="L723"/>
  <c r="M723" s="1"/>
  <c r="P723" s="1"/>
  <c r="N723"/>
  <c r="O723" s="1"/>
  <c r="L300"/>
  <c r="M300" s="1"/>
  <c r="P300" s="1"/>
  <c r="N300"/>
  <c r="O300" s="1"/>
  <c r="N350"/>
  <c r="O350" s="1"/>
  <c r="L350"/>
  <c r="M350" s="1"/>
  <c r="P350" s="1"/>
  <c r="L506"/>
  <c r="M506" s="1"/>
  <c r="P506" s="1"/>
  <c r="N506"/>
  <c r="O506" s="1"/>
  <c r="N588"/>
  <c r="O588" s="1"/>
  <c r="L588"/>
  <c r="M588" s="1"/>
  <c r="P588" s="1"/>
  <c r="L644"/>
  <c r="M644" s="1"/>
  <c r="P644" s="1"/>
  <c r="N644"/>
  <c r="O644" s="1"/>
  <c r="N683"/>
  <c r="O683" s="1"/>
  <c r="L683"/>
  <c r="M683" s="1"/>
  <c r="P683" s="1"/>
  <c r="L716"/>
  <c r="M716" s="1"/>
  <c r="P716" s="1"/>
  <c r="N716"/>
  <c r="O716" s="1"/>
  <c r="L732"/>
  <c r="M732" s="1"/>
  <c r="P732" s="1"/>
  <c r="N732"/>
  <c r="O732" s="1"/>
  <c r="N744"/>
  <c r="O744" s="1"/>
  <c r="L744"/>
  <c r="M744" s="1"/>
  <c r="P744" s="1"/>
  <c r="L372"/>
  <c r="M372" s="1"/>
  <c r="P372" s="1"/>
  <c r="N372"/>
  <c r="O372" s="1"/>
  <c r="L520"/>
  <c r="M520" s="1"/>
  <c r="P520" s="1"/>
  <c r="N520"/>
  <c r="O520" s="1"/>
  <c r="Q216"/>
  <c r="Q616"/>
  <c r="N212"/>
  <c r="O212" s="1"/>
  <c r="L212"/>
  <c r="M212" s="1"/>
  <c r="P212" s="1"/>
  <c r="L444"/>
  <c r="M444" s="1"/>
  <c r="P444" s="1"/>
  <c r="N444"/>
  <c r="O444" s="1"/>
  <c r="L608"/>
  <c r="M608" s="1"/>
  <c r="P608" s="1"/>
  <c r="N608"/>
  <c r="O608" s="1"/>
  <c r="N676"/>
  <c r="O676" s="1"/>
  <c r="L676"/>
  <c r="M676" s="1"/>
  <c r="P676" s="1"/>
  <c r="N714"/>
  <c r="O714" s="1"/>
  <c r="L714"/>
  <c r="M714" s="1"/>
  <c r="P714" s="1"/>
  <c r="L208"/>
  <c r="M208" s="1"/>
  <c r="P208" s="1"/>
  <c r="N208"/>
  <c r="O208" s="1"/>
  <c r="N276"/>
  <c r="O276" s="1"/>
  <c r="L276"/>
  <c r="M276" s="1"/>
  <c r="P276" s="1"/>
  <c r="L617"/>
  <c r="M617" s="1"/>
  <c r="P617" s="1"/>
  <c r="N617"/>
  <c r="O617" s="1"/>
  <c r="Q196"/>
  <c r="Q522"/>
  <c r="L636"/>
  <c r="M636" s="1"/>
  <c r="P636" s="1"/>
  <c r="N636"/>
  <c r="O636" s="1"/>
  <c r="N667"/>
  <c r="O667" s="1"/>
  <c r="L667"/>
  <c r="M667" s="1"/>
  <c r="P667" s="1"/>
  <c r="L747"/>
  <c r="M747" s="1"/>
  <c r="P747" s="1"/>
  <c r="N747"/>
  <c r="O747" s="1"/>
  <c r="N292"/>
  <c r="O292" s="1"/>
  <c r="L292"/>
  <c r="M292" s="1"/>
  <c r="P292" s="1"/>
  <c r="N330"/>
  <c r="O330" s="1"/>
  <c r="L330"/>
  <c r="M330" s="1"/>
  <c r="P330" s="1"/>
  <c r="L468"/>
  <c r="M468" s="1"/>
  <c r="P468" s="1"/>
  <c r="N468"/>
  <c r="O468" s="1"/>
  <c r="N510"/>
  <c r="O510" s="1"/>
  <c r="L510"/>
  <c r="M510" s="1"/>
  <c r="P510" s="1"/>
  <c r="L558"/>
  <c r="M558" s="1"/>
  <c r="P558" s="1"/>
  <c r="N558"/>
  <c r="O558" s="1"/>
  <c r="L650"/>
  <c r="M650" s="1"/>
  <c r="P650" s="1"/>
  <c r="N650"/>
  <c r="O650" s="1"/>
  <c r="N658"/>
  <c r="O658" s="1"/>
  <c r="L658"/>
  <c r="M658" s="1"/>
  <c r="P658" s="1"/>
  <c r="N707"/>
  <c r="O707" s="1"/>
  <c r="L707"/>
  <c r="M707" s="1"/>
  <c r="P707" s="1"/>
  <c r="N240"/>
  <c r="O240" s="1"/>
  <c r="L240"/>
  <c r="M240" s="1"/>
  <c r="P240" s="1"/>
  <c r="L428"/>
  <c r="M428" s="1"/>
  <c r="P428" s="1"/>
  <c r="N428"/>
  <c r="O428" s="1"/>
  <c r="N662"/>
  <c r="O662" s="1"/>
  <c r="L662"/>
  <c r="M662" s="1"/>
  <c r="P662" s="1"/>
  <c r="Q492"/>
  <c r="Q614"/>
  <c r="Q534"/>
  <c r="Q422"/>
  <c r="Q224"/>
  <c r="Q348"/>
  <c r="Q230"/>
  <c r="C168" i="3" l="1"/>
  <c r="B168"/>
  <c r="A183"/>
  <c r="L44" i="4"/>
  <c r="M44" s="1"/>
  <c r="H36"/>
  <c r="L23"/>
  <c r="M23" s="1"/>
  <c r="H22"/>
  <c r="H33"/>
  <c r="L43"/>
  <c r="M43" s="1"/>
  <c r="H25"/>
  <c r="L42"/>
  <c r="M42" s="1"/>
  <c r="K27"/>
  <c r="K207"/>
  <c r="L41"/>
  <c r="M41" s="1"/>
  <c r="K199"/>
  <c r="K19"/>
  <c r="D153" i="3"/>
  <c r="E153"/>
  <c r="L32" i="4"/>
  <c r="M32" s="1"/>
  <c r="L47"/>
  <c r="M47" s="1"/>
  <c r="L30"/>
  <c r="M30" s="1"/>
  <c r="L46"/>
  <c r="M46" s="1"/>
  <c r="H40"/>
  <c r="H37"/>
  <c r="L24"/>
  <c r="M24" s="1"/>
  <c r="L21"/>
  <c r="M21" s="1"/>
  <c r="L29"/>
  <c r="M29" s="1"/>
  <c r="H28"/>
  <c r="B96" i="3"/>
  <c r="C96"/>
  <c r="A111"/>
  <c r="B59" i="4"/>
  <c r="B77"/>
  <c r="B53"/>
  <c r="B69"/>
  <c r="K232"/>
  <c r="K248"/>
  <c r="K235"/>
  <c r="K251"/>
  <c r="K237"/>
  <c r="K253"/>
  <c r="K62"/>
  <c r="K78"/>
  <c r="K59"/>
  <c r="K75"/>
  <c r="K56"/>
  <c r="K72"/>
  <c r="K53"/>
  <c r="K69"/>
  <c r="B73"/>
  <c r="B52"/>
  <c r="B62"/>
  <c r="B75"/>
  <c r="B55"/>
  <c r="B71"/>
  <c r="K238"/>
  <c r="K254"/>
  <c r="K239"/>
  <c r="K234"/>
  <c r="K250"/>
  <c r="K241"/>
  <c r="K257"/>
  <c r="K50"/>
  <c r="K66"/>
  <c r="K63"/>
  <c r="K60"/>
  <c r="K76"/>
  <c r="K255"/>
  <c r="K57"/>
  <c r="K73"/>
  <c r="B50"/>
  <c r="B76"/>
  <c r="B54"/>
  <c r="B65"/>
  <c r="B61"/>
  <c r="B74"/>
  <c r="K240"/>
  <c r="K256"/>
  <c r="K243"/>
  <c r="K236"/>
  <c r="K252"/>
  <c r="K245"/>
  <c r="K54"/>
  <c r="K70"/>
  <c r="K51"/>
  <c r="K67"/>
  <c r="K61"/>
  <c r="K77"/>
  <c r="B58"/>
  <c r="B78"/>
  <c r="B57"/>
  <c r="B68"/>
  <c r="B56"/>
  <c r="B72"/>
  <c r="B63"/>
  <c r="K230"/>
  <c r="K246"/>
  <c r="K231"/>
  <c r="K247"/>
  <c r="K242"/>
  <c r="K258"/>
  <c r="K233"/>
  <c r="K249"/>
  <c r="K58"/>
  <c r="K74"/>
  <c r="K55"/>
  <c r="K71"/>
  <c r="K52"/>
  <c r="K68"/>
  <c r="K65"/>
  <c r="B66"/>
  <c r="B60"/>
  <c r="B70"/>
  <c r="K200"/>
  <c r="K20"/>
  <c r="L39"/>
  <c r="M39" s="1"/>
  <c r="L45"/>
  <c r="M45" s="1"/>
  <c r="D81" i="3"/>
  <c r="E81"/>
  <c r="B34" i="4" s="1"/>
  <c r="H35"/>
  <c r="D218" i="3"/>
  <c r="E218"/>
  <c r="F20" i="4"/>
  <c r="I20" s="1"/>
  <c r="C20"/>
  <c r="G200" s="1"/>
  <c r="H200" s="1"/>
  <c r="E20"/>
  <c r="J20" s="1"/>
  <c r="L20" s="1"/>
  <c r="M20" s="1"/>
  <c r="B51"/>
  <c r="C27"/>
  <c r="G207" s="1"/>
  <c r="H207" s="1"/>
  <c r="F27"/>
  <c r="I27" s="1"/>
  <c r="H27" s="1"/>
  <c r="E27"/>
  <c r="J27" s="1"/>
  <c r="C19"/>
  <c r="G199" s="1"/>
  <c r="H199" s="1"/>
  <c r="F19"/>
  <c r="I19" s="1"/>
  <c r="E19"/>
  <c r="J19" s="1"/>
  <c r="L19" s="1"/>
  <c r="M19" s="1"/>
  <c r="H197" i="1"/>
  <c r="V197" s="1"/>
  <c r="S196"/>
  <c r="F197"/>
  <c r="I197" s="1"/>
  <c r="J197" s="1"/>
  <c r="P414"/>
  <c r="Q414" s="1"/>
  <c r="P638"/>
  <c r="Q638" s="1"/>
  <c r="P314"/>
  <c r="Q314" s="1"/>
  <c r="P466"/>
  <c r="Q466" s="1"/>
  <c r="P490"/>
  <c r="Q490" s="1"/>
  <c r="P310"/>
  <c r="Q310" s="1"/>
  <c r="P530"/>
  <c r="Q530" s="1"/>
  <c r="P739"/>
  <c r="Q739" s="1"/>
  <c r="P268"/>
  <c r="Q268" s="1"/>
  <c r="P552"/>
  <c r="Q552" s="1"/>
  <c r="P722"/>
  <c r="Q722" s="1"/>
  <c r="P750"/>
  <c r="Q750" s="1"/>
  <c r="P204"/>
  <c r="Q204" s="1"/>
  <c r="P690"/>
  <c r="Q690" s="1"/>
  <c r="P542"/>
  <c r="Q542" s="1"/>
  <c r="P368"/>
  <c r="Q368" s="1"/>
  <c r="P566"/>
  <c r="Q566" s="1"/>
  <c r="P220"/>
  <c r="Q220" s="1"/>
  <c r="P436"/>
  <c r="Q436" s="1"/>
  <c r="P672"/>
  <c r="Q672" s="1"/>
  <c r="P326"/>
  <c r="Q326" s="1"/>
  <c r="P640"/>
  <c r="Q640" s="1"/>
  <c r="P198"/>
  <c r="Q198" s="1"/>
  <c r="P720"/>
  <c r="Q720" s="1"/>
  <c r="P598"/>
  <c r="Q598" s="1"/>
  <c r="P704"/>
  <c r="Q704" s="1"/>
  <c r="P484"/>
  <c r="Q484" s="1"/>
  <c r="P610"/>
  <c r="Q610" s="1"/>
  <c r="P352"/>
  <c r="Q352" s="1"/>
  <c r="P424"/>
  <c r="Q424" s="1"/>
  <c r="P412"/>
  <c r="Q412" s="1"/>
  <c r="L195"/>
  <c r="M195" s="1"/>
  <c r="P195" s="1"/>
  <c r="Q360"/>
  <c r="Q242"/>
  <c r="Q643"/>
  <c r="Q572"/>
  <c r="Q516"/>
  <c r="Q742"/>
  <c r="Q659"/>
  <c r="Q592"/>
  <c r="Q264"/>
  <c r="Q410"/>
  <c r="Q684"/>
  <c r="Q646"/>
  <c r="Q248"/>
  <c r="Q699"/>
  <c r="Q288"/>
  <c r="Q718"/>
  <c r="Q648"/>
  <c r="Q570"/>
  <c r="Q538"/>
  <c r="Q338"/>
  <c r="Q308"/>
  <c r="Q398"/>
  <c r="Q286"/>
  <c r="Q290"/>
  <c r="Q442"/>
  <c r="Q702"/>
  <c r="Q632"/>
  <c r="Q374"/>
  <c r="Q668"/>
  <c r="Q556"/>
  <c r="Q460"/>
  <c r="Q316"/>
  <c r="Q748"/>
  <c r="Q618"/>
  <c r="Q384"/>
  <c r="Q312"/>
  <c r="Q554"/>
  <c r="Q362"/>
  <c r="Q620"/>
  <c r="Q404"/>
  <c r="Q324"/>
  <c r="Q382"/>
  <c r="Q270"/>
  <c r="Q736"/>
  <c r="Q666"/>
  <c r="Q400"/>
  <c r="Q328"/>
  <c r="Q232"/>
  <c r="Q402"/>
  <c r="Q202"/>
  <c r="Q604"/>
  <c r="Q420"/>
  <c r="Q340"/>
  <c r="Q228"/>
  <c r="Q486"/>
  <c r="Q366"/>
  <c r="Q318"/>
  <c r="Q238"/>
  <c r="Q206"/>
  <c r="Q734"/>
  <c r="Q755"/>
  <c r="Q496"/>
  <c r="Q376"/>
  <c r="Q344"/>
  <c r="Q304"/>
  <c r="Q674"/>
  <c r="Q602"/>
  <c r="Q386"/>
  <c r="Q306"/>
  <c r="Q274"/>
  <c r="Q596"/>
  <c r="Q236"/>
  <c r="Q670"/>
  <c r="Q494"/>
  <c r="Q294"/>
  <c r="Q214"/>
  <c r="Q691"/>
  <c r="Q272"/>
  <c r="Q731"/>
  <c r="Q680"/>
  <c r="Q609"/>
  <c r="Q418"/>
  <c r="Q250"/>
  <c r="Q524"/>
  <c r="Q252"/>
  <c r="Q611"/>
  <c r="Q470"/>
  <c r="Q334"/>
  <c r="Q302"/>
  <c r="Q222"/>
  <c r="Q416"/>
  <c r="Q320"/>
  <c r="Q712"/>
  <c r="Q686"/>
  <c r="Q642"/>
  <c r="Q562"/>
  <c r="Q322"/>
  <c r="Q396"/>
  <c r="Q284"/>
  <c r="Q754"/>
  <c r="Q278"/>
  <c r="Q732"/>
  <c r="Q683"/>
  <c r="Q738"/>
  <c r="Q747"/>
  <c r="Q676"/>
  <c r="Q667"/>
  <c r="Q744"/>
  <c r="Q662"/>
  <c r="Q658"/>
  <c r="Q714"/>
  <c r="Q716"/>
  <c r="Q644"/>
  <c r="Q730"/>
  <c r="Q723"/>
  <c r="Q696"/>
  <c r="Q728"/>
  <c r="Q698"/>
  <c r="Q707"/>
  <c r="Q650"/>
  <c r="Q636"/>
  <c r="Q240"/>
  <c r="Q276"/>
  <c r="Q520"/>
  <c r="Q588"/>
  <c r="Q350"/>
  <c r="Q474"/>
  <c r="Q428"/>
  <c r="Q296"/>
  <c r="Q500"/>
  <c r="Q468"/>
  <c r="Q292"/>
  <c r="Q212"/>
  <c r="Q498"/>
  <c r="Q262"/>
  <c r="Q254"/>
  <c r="Q408"/>
  <c r="Q346"/>
  <c r="Q584"/>
  <c r="Q540"/>
  <c r="Q394"/>
  <c r="E198"/>
  <c r="A197"/>
  <c r="Q244"/>
  <c r="Q358"/>
  <c r="Q558"/>
  <c r="Q617"/>
  <c r="Q208"/>
  <c r="Q608"/>
  <c r="Q372"/>
  <c r="Q506"/>
  <c r="Q300"/>
  <c r="Q502"/>
  <c r="Q510"/>
  <c r="Q330"/>
  <c r="Q444"/>
  <c r="Q574"/>
  <c r="Q364"/>
  <c r="H19" i="4" l="1"/>
  <c r="H20"/>
  <c r="F34"/>
  <c r="I34" s="1"/>
  <c r="E34"/>
  <c r="J34" s="1"/>
  <c r="L34" s="1"/>
  <c r="M34" s="1"/>
  <c r="C34"/>
  <c r="G214" s="1"/>
  <c r="C70"/>
  <c r="G250" s="1"/>
  <c r="H250" s="1"/>
  <c r="F70"/>
  <c r="I70" s="1"/>
  <c r="H70" s="1"/>
  <c r="E70"/>
  <c r="J70" s="1"/>
  <c r="L70" s="1"/>
  <c r="M70" s="1"/>
  <c r="F72"/>
  <c r="I72" s="1"/>
  <c r="C72"/>
  <c r="G252" s="1"/>
  <c r="H252" s="1"/>
  <c r="E72"/>
  <c r="J72" s="1"/>
  <c r="L72" s="1"/>
  <c r="M72" s="1"/>
  <c r="C71"/>
  <c r="G251" s="1"/>
  <c r="H251" s="1"/>
  <c r="F71"/>
  <c r="I71" s="1"/>
  <c r="E71"/>
  <c r="J71" s="1"/>
  <c r="L71" s="1"/>
  <c r="M71" s="1"/>
  <c r="C111" i="3"/>
  <c r="A126"/>
  <c r="B111"/>
  <c r="B183"/>
  <c r="C183"/>
  <c r="A198"/>
  <c r="C51" i="4"/>
  <c r="G231" s="1"/>
  <c r="H231" s="1"/>
  <c r="F51"/>
  <c r="I51" s="1"/>
  <c r="H51" s="1"/>
  <c r="E51"/>
  <c r="J51" s="1"/>
  <c r="K34"/>
  <c r="K214"/>
  <c r="F60"/>
  <c r="I60" s="1"/>
  <c r="H60" s="1"/>
  <c r="C60"/>
  <c r="G240" s="1"/>
  <c r="H240" s="1"/>
  <c r="E60"/>
  <c r="J60" s="1"/>
  <c r="F66"/>
  <c r="I66" s="1"/>
  <c r="E66"/>
  <c r="J66" s="1"/>
  <c r="L66" s="1"/>
  <c r="M66" s="1"/>
  <c r="C66"/>
  <c r="G246" s="1"/>
  <c r="H246" s="1"/>
  <c r="C63"/>
  <c r="G243" s="1"/>
  <c r="H243" s="1"/>
  <c r="F63"/>
  <c r="I63" s="1"/>
  <c r="E63"/>
  <c r="J63" s="1"/>
  <c r="L63" s="1"/>
  <c r="M63" s="1"/>
  <c r="F56"/>
  <c r="I56" s="1"/>
  <c r="H56" s="1"/>
  <c r="C56"/>
  <c r="G236" s="1"/>
  <c r="H236" s="1"/>
  <c r="E56"/>
  <c r="J56" s="1"/>
  <c r="F68"/>
  <c r="I68" s="1"/>
  <c r="H68" s="1"/>
  <c r="C68"/>
  <c r="G248" s="1"/>
  <c r="H248" s="1"/>
  <c r="E68"/>
  <c r="J68" s="1"/>
  <c r="C78"/>
  <c r="G258" s="1"/>
  <c r="H258" s="1"/>
  <c r="F78"/>
  <c r="I78" s="1"/>
  <c r="H78" s="1"/>
  <c r="E78"/>
  <c r="J78" s="1"/>
  <c r="F74"/>
  <c r="I74" s="1"/>
  <c r="C74"/>
  <c r="G254" s="1"/>
  <c r="H254" s="1"/>
  <c r="E74"/>
  <c r="J74" s="1"/>
  <c r="L74" s="1"/>
  <c r="M74" s="1"/>
  <c r="C65"/>
  <c r="G245" s="1"/>
  <c r="H245" s="1"/>
  <c r="E65"/>
  <c r="J65" s="1"/>
  <c r="F65"/>
  <c r="I65" s="1"/>
  <c r="H65" s="1"/>
  <c r="F76"/>
  <c r="I76" s="1"/>
  <c r="H76" s="1"/>
  <c r="E76"/>
  <c r="J76" s="1"/>
  <c r="C76"/>
  <c r="G256" s="1"/>
  <c r="H256" s="1"/>
  <c r="C55"/>
  <c r="G235" s="1"/>
  <c r="H235" s="1"/>
  <c r="F55"/>
  <c r="I55" s="1"/>
  <c r="H55" s="1"/>
  <c r="E55"/>
  <c r="J55" s="1"/>
  <c r="C75"/>
  <c r="G255" s="1"/>
  <c r="H255" s="1"/>
  <c r="F75"/>
  <c r="I75" s="1"/>
  <c r="E75"/>
  <c r="J75" s="1"/>
  <c r="L75" s="1"/>
  <c r="M75" s="1"/>
  <c r="E168" i="3"/>
  <c r="D168"/>
  <c r="L27" i="4"/>
  <c r="M27" s="1"/>
  <c r="C57"/>
  <c r="G237" s="1"/>
  <c r="H237" s="1"/>
  <c r="F57"/>
  <c r="I57" s="1"/>
  <c r="H57" s="1"/>
  <c r="E57"/>
  <c r="J57" s="1"/>
  <c r="F58"/>
  <c r="I58" s="1"/>
  <c r="E58"/>
  <c r="J58" s="1"/>
  <c r="L58" s="1"/>
  <c r="M58" s="1"/>
  <c r="C58"/>
  <c r="G238" s="1"/>
  <c r="H238" s="1"/>
  <c r="C61"/>
  <c r="G241" s="1"/>
  <c r="H241" s="1"/>
  <c r="E61"/>
  <c r="J61" s="1"/>
  <c r="F61"/>
  <c r="I61" s="1"/>
  <c r="H61" s="1"/>
  <c r="C54"/>
  <c r="G234" s="1"/>
  <c r="H234" s="1"/>
  <c r="F54"/>
  <c r="I54" s="1"/>
  <c r="E54"/>
  <c r="J54" s="1"/>
  <c r="L54" s="1"/>
  <c r="M54" s="1"/>
  <c r="F50"/>
  <c r="I50" s="1"/>
  <c r="H50" s="1"/>
  <c r="C50"/>
  <c r="G230" s="1"/>
  <c r="H230" s="1"/>
  <c r="E50"/>
  <c r="J50" s="1"/>
  <c r="C62"/>
  <c r="G242" s="1"/>
  <c r="H242" s="1"/>
  <c r="F62"/>
  <c r="I62" s="1"/>
  <c r="H62" s="1"/>
  <c r="E62"/>
  <c r="J62" s="1"/>
  <c r="C69"/>
  <c r="G249" s="1"/>
  <c r="H249" s="1"/>
  <c r="E69"/>
  <c r="J69" s="1"/>
  <c r="F69"/>
  <c r="I69" s="1"/>
  <c r="H69" s="1"/>
  <c r="C77"/>
  <c r="G257" s="1"/>
  <c r="H257" s="1"/>
  <c r="E77"/>
  <c r="J77" s="1"/>
  <c r="F77"/>
  <c r="I77" s="1"/>
  <c r="H77" s="1"/>
  <c r="E96" i="3"/>
  <c r="B49" i="4" s="1"/>
  <c r="D96" i="3"/>
  <c r="F52" i="4"/>
  <c r="I52" s="1"/>
  <c r="E52"/>
  <c r="J52" s="1"/>
  <c r="L52" s="1"/>
  <c r="M52" s="1"/>
  <c r="C52"/>
  <c r="G232" s="1"/>
  <c r="H232" s="1"/>
  <c r="C73"/>
  <c r="G253" s="1"/>
  <c r="H253" s="1"/>
  <c r="F73"/>
  <c r="I73" s="1"/>
  <c r="E73"/>
  <c r="J73" s="1"/>
  <c r="L73" s="1"/>
  <c r="M73" s="1"/>
  <c r="C53"/>
  <c r="G233" s="1"/>
  <c r="H233" s="1"/>
  <c r="E53"/>
  <c r="J53" s="1"/>
  <c r="L53" s="1"/>
  <c r="M53" s="1"/>
  <c r="F53"/>
  <c r="I53" s="1"/>
  <c r="C59"/>
  <c r="G239" s="1"/>
  <c r="H239" s="1"/>
  <c r="F59"/>
  <c r="I59" s="1"/>
  <c r="H59" s="1"/>
  <c r="E59"/>
  <c r="J59" s="1"/>
  <c r="B67"/>
  <c r="Q195" i="1"/>
  <c r="S195" s="1"/>
  <c r="F198"/>
  <c r="W196"/>
  <c r="X196"/>
  <c r="K197"/>
  <c r="E199"/>
  <c r="A198"/>
  <c r="H198"/>
  <c r="S198" s="1"/>
  <c r="C67" i="4" l="1"/>
  <c r="G247" s="1"/>
  <c r="H247" s="1"/>
  <c r="E67"/>
  <c r="J67" s="1"/>
  <c r="L67" s="1"/>
  <c r="M67" s="1"/>
  <c r="F67"/>
  <c r="I67" s="1"/>
  <c r="H53"/>
  <c r="H73"/>
  <c r="H52"/>
  <c r="L77"/>
  <c r="M77" s="1"/>
  <c r="L50"/>
  <c r="M50" s="1"/>
  <c r="H54"/>
  <c r="L57"/>
  <c r="M57" s="1"/>
  <c r="L65"/>
  <c r="M65" s="1"/>
  <c r="H74"/>
  <c r="L68"/>
  <c r="M68" s="1"/>
  <c r="L60"/>
  <c r="M60" s="1"/>
  <c r="C198" i="3"/>
  <c r="B198"/>
  <c r="A213"/>
  <c r="C126"/>
  <c r="B126"/>
  <c r="A141"/>
  <c r="B105" i="4"/>
  <c r="K264"/>
  <c r="K267"/>
  <c r="B98"/>
  <c r="B87"/>
  <c r="K95"/>
  <c r="K92"/>
  <c r="K105"/>
  <c r="B100"/>
  <c r="K272"/>
  <c r="K99"/>
  <c r="K96"/>
  <c r="B101"/>
  <c r="B88"/>
  <c r="B93"/>
  <c r="K100"/>
  <c r="K97"/>
  <c r="B104"/>
  <c r="B86"/>
  <c r="K280"/>
  <c r="K260"/>
  <c r="K269"/>
  <c r="K287"/>
  <c r="K85"/>
  <c r="B89"/>
  <c r="B97"/>
  <c r="K270"/>
  <c r="K281"/>
  <c r="K108"/>
  <c r="K288"/>
  <c r="K268"/>
  <c r="K261"/>
  <c r="K86"/>
  <c r="B102"/>
  <c r="K262"/>
  <c r="B103"/>
  <c r="B96"/>
  <c r="B85"/>
  <c r="K276"/>
  <c r="K91"/>
  <c r="K88"/>
  <c r="K101"/>
  <c r="B107"/>
  <c r="B108"/>
  <c r="K286"/>
  <c r="K266"/>
  <c r="K273"/>
  <c r="K82"/>
  <c r="B83"/>
  <c r="K284"/>
  <c r="K277"/>
  <c r="K102"/>
  <c r="K278"/>
  <c r="K265"/>
  <c r="K90"/>
  <c r="K87"/>
  <c r="K263"/>
  <c r="B95"/>
  <c r="K283"/>
  <c r="K107"/>
  <c r="K104"/>
  <c r="B91"/>
  <c r="K282"/>
  <c r="K98"/>
  <c r="K271"/>
  <c r="K89"/>
  <c r="B92"/>
  <c r="B80"/>
  <c r="B106"/>
  <c r="B90"/>
  <c r="K83"/>
  <c r="K80"/>
  <c r="K275"/>
  <c r="K93"/>
  <c r="B99"/>
  <c r="B84"/>
  <c r="B82"/>
  <c r="K285"/>
  <c r="K106"/>
  <c r="K103"/>
  <c r="K84"/>
  <c r="K279"/>
  <c r="K81"/>
  <c r="B81"/>
  <c r="C49"/>
  <c r="G229" s="1"/>
  <c r="H229" s="1"/>
  <c r="E49"/>
  <c r="J49" s="1"/>
  <c r="F49"/>
  <c r="I49" s="1"/>
  <c r="L59"/>
  <c r="M59" s="1"/>
  <c r="K49"/>
  <c r="K229"/>
  <c r="L62"/>
  <c r="M62" s="1"/>
  <c r="L55"/>
  <c r="M55" s="1"/>
  <c r="L76"/>
  <c r="M76" s="1"/>
  <c r="L78"/>
  <c r="M78" s="1"/>
  <c r="L51"/>
  <c r="M51" s="1"/>
  <c r="H34"/>
  <c r="E183" i="3"/>
  <c r="D183"/>
  <c r="L69" i="4"/>
  <c r="M69" s="1"/>
  <c r="L61"/>
  <c r="M61" s="1"/>
  <c r="H58"/>
  <c r="H75"/>
  <c r="L56"/>
  <c r="M56" s="1"/>
  <c r="H63"/>
  <c r="H66"/>
  <c r="E111" i="3"/>
  <c r="B64" i="4" s="1"/>
  <c r="D111" i="3"/>
  <c r="H71" i="4"/>
  <c r="H72"/>
  <c r="H214"/>
  <c r="V198" i="1"/>
  <c r="H199"/>
  <c r="V199" s="1"/>
  <c r="W195"/>
  <c r="X195"/>
  <c r="F199"/>
  <c r="I199" s="1"/>
  <c r="J199" s="1"/>
  <c r="L197"/>
  <c r="M197" s="1"/>
  <c r="P197" s="1"/>
  <c r="N197"/>
  <c r="O197" s="1"/>
  <c r="A199"/>
  <c r="E200"/>
  <c r="F64" i="4" l="1"/>
  <c r="I64" s="1"/>
  <c r="E64"/>
  <c r="J64" s="1"/>
  <c r="L64" s="1"/>
  <c r="M64" s="1"/>
  <c r="C64"/>
  <c r="G244" s="1"/>
  <c r="L49"/>
  <c r="M49" s="1"/>
  <c r="C81"/>
  <c r="G261" s="1"/>
  <c r="H261" s="1"/>
  <c r="E81"/>
  <c r="J81" s="1"/>
  <c r="L81" s="1"/>
  <c r="M81" s="1"/>
  <c r="F81"/>
  <c r="I81" s="1"/>
  <c r="F84"/>
  <c r="I84" s="1"/>
  <c r="C84"/>
  <c r="G264" s="1"/>
  <c r="H264" s="1"/>
  <c r="E84"/>
  <c r="J84" s="1"/>
  <c r="L84" s="1"/>
  <c r="M84" s="1"/>
  <c r="C85"/>
  <c r="G265" s="1"/>
  <c r="H265" s="1"/>
  <c r="F85"/>
  <c r="I85" s="1"/>
  <c r="E85"/>
  <c r="J85" s="1"/>
  <c r="L85" s="1"/>
  <c r="M85" s="1"/>
  <c r="C103"/>
  <c r="G283" s="1"/>
  <c r="H283" s="1"/>
  <c r="F103"/>
  <c r="I103" s="1"/>
  <c r="H103" s="1"/>
  <c r="E103"/>
  <c r="J103" s="1"/>
  <c r="F104"/>
  <c r="I104" s="1"/>
  <c r="E104"/>
  <c r="J104" s="1"/>
  <c r="L104" s="1"/>
  <c r="M104" s="1"/>
  <c r="C104"/>
  <c r="G284" s="1"/>
  <c r="H284" s="1"/>
  <c r="F88"/>
  <c r="I88" s="1"/>
  <c r="E88"/>
  <c r="J88" s="1"/>
  <c r="L88" s="1"/>
  <c r="M88" s="1"/>
  <c r="C88"/>
  <c r="G268" s="1"/>
  <c r="H268" s="1"/>
  <c r="F100"/>
  <c r="I100" s="1"/>
  <c r="H100" s="1"/>
  <c r="E100"/>
  <c r="J100" s="1"/>
  <c r="C100"/>
  <c r="G280" s="1"/>
  <c r="H280" s="1"/>
  <c r="B141" i="3"/>
  <c r="A156"/>
  <c r="C141"/>
  <c r="E198"/>
  <c r="D198"/>
  <c r="F82" i="4"/>
  <c r="I82" s="1"/>
  <c r="H82" s="1"/>
  <c r="C82"/>
  <c r="G262" s="1"/>
  <c r="H262" s="1"/>
  <c r="E82"/>
  <c r="J82" s="1"/>
  <c r="L82" s="1"/>
  <c r="M82" s="1"/>
  <c r="F90"/>
  <c r="I90" s="1"/>
  <c r="H90" s="1"/>
  <c r="E90"/>
  <c r="J90" s="1"/>
  <c r="C90"/>
  <c r="G270" s="1"/>
  <c r="H270" s="1"/>
  <c r="F80"/>
  <c r="I80" s="1"/>
  <c r="E80"/>
  <c r="J80" s="1"/>
  <c r="L80" s="1"/>
  <c r="M80" s="1"/>
  <c r="C80"/>
  <c r="G260" s="1"/>
  <c r="H260" s="1"/>
  <c r="E97"/>
  <c r="J97" s="1"/>
  <c r="C97"/>
  <c r="G277" s="1"/>
  <c r="H277" s="1"/>
  <c r="F97"/>
  <c r="I97" s="1"/>
  <c r="H97" s="1"/>
  <c r="C87"/>
  <c r="G267" s="1"/>
  <c r="H267" s="1"/>
  <c r="F87"/>
  <c r="I87" s="1"/>
  <c r="E87"/>
  <c r="J87" s="1"/>
  <c r="L87" s="1"/>
  <c r="M87" s="1"/>
  <c r="E126" i="3"/>
  <c r="B79" i="4" s="1"/>
  <c r="D126" i="3"/>
  <c r="H67" i="4"/>
  <c r="C99"/>
  <c r="G279" s="1"/>
  <c r="H279" s="1"/>
  <c r="E99"/>
  <c r="J99" s="1"/>
  <c r="L99" s="1"/>
  <c r="M99" s="1"/>
  <c r="F99"/>
  <c r="I99" s="1"/>
  <c r="C91"/>
  <c r="G271" s="1"/>
  <c r="H271" s="1"/>
  <c r="F91"/>
  <c r="I91" s="1"/>
  <c r="H91" s="1"/>
  <c r="E91"/>
  <c r="J91" s="1"/>
  <c r="C95"/>
  <c r="G275" s="1"/>
  <c r="H275" s="1"/>
  <c r="F95"/>
  <c r="I95" s="1"/>
  <c r="E95"/>
  <c r="J95" s="1"/>
  <c r="L95" s="1"/>
  <c r="M95" s="1"/>
  <c r="F96"/>
  <c r="I96" s="1"/>
  <c r="H96" s="1"/>
  <c r="E96"/>
  <c r="J96" s="1"/>
  <c r="C96"/>
  <c r="G276" s="1"/>
  <c r="H276" s="1"/>
  <c r="C102"/>
  <c r="G282" s="1"/>
  <c r="H282" s="1"/>
  <c r="F102"/>
  <c r="I102" s="1"/>
  <c r="H102" s="1"/>
  <c r="E102"/>
  <c r="J102" s="1"/>
  <c r="C86"/>
  <c r="G266" s="1"/>
  <c r="H266" s="1"/>
  <c r="F86"/>
  <c r="I86" s="1"/>
  <c r="H86" s="1"/>
  <c r="E86"/>
  <c r="J86" s="1"/>
  <c r="C93"/>
  <c r="G273" s="1"/>
  <c r="H273" s="1"/>
  <c r="E93"/>
  <c r="J93" s="1"/>
  <c r="F93"/>
  <c r="I93" s="1"/>
  <c r="H93" s="1"/>
  <c r="C101"/>
  <c r="G281" s="1"/>
  <c r="H281" s="1"/>
  <c r="E101"/>
  <c r="J101" s="1"/>
  <c r="F101"/>
  <c r="I101" s="1"/>
  <c r="H101" s="1"/>
  <c r="C105"/>
  <c r="G285" s="1"/>
  <c r="H285" s="1"/>
  <c r="F105"/>
  <c r="I105" s="1"/>
  <c r="H105" s="1"/>
  <c r="E105"/>
  <c r="J105" s="1"/>
  <c r="K244"/>
  <c r="K64"/>
  <c r="H49"/>
  <c r="F106"/>
  <c r="I106" s="1"/>
  <c r="C106"/>
  <c r="G286" s="1"/>
  <c r="H286" s="1"/>
  <c r="E106"/>
  <c r="J106" s="1"/>
  <c r="L106" s="1"/>
  <c r="M106" s="1"/>
  <c r="F92"/>
  <c r="I92" s="1"/>
  <c r="H92" s="1"/>
  <c r="C92"/>
  <c r="G272" s="1"/>
  <c r="H272" s="1"/>
  <c r="E92"/>
  <c r="J92" s="1"/>
  <c r="C83"/>
  <c r="G263" s="1"/>
  <c r="H263" s="1"/>
  <c r="F83"/>
  <c r="I83" s="1"/>
  <c r="H83" s="1"/>
  <c r="E83"/>
  <c r="J83" s="1"/>
  <c r="F108"/>
  <c r="I108" s="1"/>
  <c r="E108"/>
  <c r="J108" s="1"/>
  <c r="L108" s="1"/>
  <c r="M108" s="1"/>
  <c r="C108"/>
  <c r="G288" s="1"/>
  <c r="H288" s="1"/>
  <c r="C107"/>
  <c r="G287" s="1"/>
  <c r="H287" s="1"/>
  <c r="F107"/>
  <c r="I107" s="1"/>
  <c r="E107"/>
  <c r="J107" s="1"/>
  <c r="L107" s="1"/>
  <c r="M107" s="1"/>
  <c r="C89"/>
  <c r="G269" s="1"/>
  <c r="H269" s="1"/>
  <c r="F89"/>
  <c r="I89" s="1"/>
  <c r="E89"/>
  <c r="J89" s="1"/>
  <c r="L89" s="1"/>
  <c r="M89" s="1"/>
  <c r="F98"/>
  <c r="I98" s="1"/>
  <c r="H98" s="1"/>
  <c r="C98"/>
  <c r="G278" s="1"/>
  <c r="H278" s="1"/>
  <c r="E98"/>
  <c r="J98" s="1"/>
  <c r="A228" i="3"/>
  <c r="B213"/>
  <c r="C213"/>
  <c r="Q197" i="1"/>
  <c r="S197" s="1"/>
  <c r="F200"/>
  <c r="W198"/>
  <c r="X198"/>
  <c r="H200"/>
  <c r="V200" s="1"/>
  <c r="A200"/>
  <c r="E201"/>
  <c r="K199"/>
  <c r="L98" i="4" l="1"/>
  <c r="M98" s="1"/>
  <c r="H89"/>
  <c r="L83"/>
  <c r="M83" s="1"/>
  <c r="H106"/>
  <c r="L105"/>
  <c r="M105" s="1"/>
  <c r="L101"/>
  <c r="M101" s="1"/>
  <c r="L102"/>
  <c r="M102" s="1"/>
  <c r="L96"/>
  <c r="M96" s="1"/>
  <c r="H99"/>
  <c r="K259"/>
  <c r="K79"/>
  <c r="H87"/>
  <c r="L97"/>
  <c r="M97" s="1"/>
  <c r="L100"/>
  <c r="M100" s="1"/>
  <c r="H88"/>
  <c r="L103"/>
  <c r="M103" s="1"/>
  <c r="H85"/>
  <c r="H84"/>
  <c r="L86"/>
  <c r="M86" s="1"/>
  <c r="L91"/>
  <c r="M91" s="1"/>
  <c r="C79"/>
  <c r="G259" s="1"/>
  <c r="H259" s="1"/>
  <c r="E79"/>
  <c r="J79" s="1"/>
  <c r="L79" s="1"/>
  <c r="M79" s="1"/>
  <c r="F79"/>
  <c r="I79" s="1"/>
  <c r="L90"/>
  <c r="M90" s="1"/>
  <c r="C156" i="3"/>
  <c r="B156"/>
  <c r="A171"/>
  <c r="B132" i="4"/>
  <c r="K299"/>
  <c r="K133"/>
  <c r="K313"/>
  <c r="K296"/>
  <c r="K122"/>
  <c r="B120"/>
  <c r="B118"/>
  <c r="B128"/>
  <c r="B110"/>
  <c r="K312"/>
  <c r="K112"/>
  <c r="B133"/>
  <c r="K311"/>
  <c r="K113"/>
  <c r="B136"/>
  <c r="K110"/>
  <c r="K298"/>
  <c r="K310"/>
  <c r="K316"/>
  <c r="B130"/>
  <c r="K129"/>
  <c r="K126"/>
  <c r="K314"/>
  <c r="K301"/>
  <c r="K120"/>
  <c r="K114"/>
  <c r="B112"/>
  <c r="B121"/>
  <c r="K302"/>
  <c r="K111"/>
  <c r="B111"/>
  <c r="K115"/>
  <c r="B114"/>
  <c r="K138"/>
  <c r="K116"/>
  <c r="K127"/>
  <c r="K137"/>
  <c r="K131"/>
  <c r="B129"/>
  <c r="K132"/>
  <c r="B135"/>
  <c r="K117"/>
  <c r="K118"/>
  <c r="B138"/>
  <c r="K317"/>
  <c r="K119"/>
  <c r="K315"/>
  <c r="B125"/>
  <c r="K130"/>
  <c r="K300"/>
  <c r="K290"/>
  <c r="K306"/>
  <c r="K318"/>
  <c r="B119"/>
  <c r="K293"/>
  <c r="K303"/>
  <c r="B126"/>
  <c r="K307"/>
  <c r="B115"/>
  <c r="B122"/>
  <c r="K123"/>
  <c r="K134"/>
  <c r="K291"/>
  <c r="B117"/>
  <c r="K305"/>
  <c r="K295"/>
  <c r="K292"/>
  <c r="K136"/>
  <c r="K294"/>
  <c r="K121"/>
  <c r="B137"/>
  <c r="K125"/>
  <c r="B113"/>
  <c r="K135"/>
  <c r="K308"/>
  <c r="B134"/>
  <c r="B127"/>
  <c r="K128"/>
  <c r="B116"/>
  <c r="K309"/>
  <c r="B123"/>
  <c r="K297"/>
  <c r="B131"/>
  <c r="H81"/>
  <c r="H244"/>
  <c r="E141" i="3"/>
  <c r="B94" i="4" s="1"/>
  <c r="D141" i="3"/>
  <c r="D213"/>
  <c r="E213"/>
  <c r="B228"/>
  <c r="C228"/>
  <c r="H107" i="4"/>
  <c r="H108"/>
  <c r="L92"/>
  <c r="M92" s="1"/>
  <c r="L93"/>
  <c r="M93" s="1"/>
  <c r="H95"/>
  <c r="H80"/>
  <c r="H104"/>
  <c r="H64"/>
  <c r="S200" i="1"/>
  <c r="F201"/>
  <c r="I201" s="1"/>
  <c r="J201" s="1"/>
  <c r="X197"/>
  <c r="W197"/>
  <c r="A201"/>
  <c r="E202"/>
  <c r="H201"/>
  <c r="V201" s="1"/>
  <c r="L199"/>
  <c r="M199" s="1"/>
  <c r="P199" s="1"/>
  <c r="N199"/>
  <c r="O199" s="1"/>
  <c r="C134" i="4" l="1"/>
  <c r="G314" s="1"/>
  <c r="H314" s="1"/>
  <c r="F134"/>
  <c r="I134" s="1"/>
  <c r="H134" s="1"/>
  <c r="E134"/>
  <c r="J134" s="1"/>
  <c r="C129"/>
  <c r="G309" s="1"/>
  <c r="H309" s="1"/>
  <c r="E129"/>
  <c r="J129" s="1"/>
  <c r="F129"/>
  <c r="I129" s="1"/>
  <c r="H129" s="1"/>
  <c r="F114"/>
  <c r="I114" s="1"/>
  <c r="C114"/>
  <c r="G294" s="1"/>
  <c r="H294" s="1"/>
  <c r="E114"/>
  <c r="J114" s="1"/>
  <c r="L114" s="1"/>
  <c r="M114" s="1"/>
  <c r="F136"/>
  <c r="I136" s="1"/>
  <c r="H136" s="1"/>
  <c r="C136"/>
  <c r="G316" s="1"/>
  <c r="H316" s="1"/>
  <c r="E136"/>
  <c r="J136" s="1"/>
  <c r="L136" s="1"/>
  <c r="M136" s="1"/>
  <c r="C118"/>
  <c r="G298" s="1"/>
  <c r="H298" s="1"/>
  <c r="F118"/>
  <c r="I118" s="1"/>
  <c r="H118" s="1"/>
  <c r="E118"/>
  <c r="J118" s="1"/>
  <c r="F132"/>
  <c r="I132" s="1"/>
  <c r="C132"/>
  <c r="G312" s="1"/>
  <c r="H312" s="1"/>
  <c r="E132"/>
  <c r="J132" s="1"/>
  <c r="L132" s="1"/>
  <c r="M132" s="1"/>
  <c r="C127"/>
  <c r="G307" s="1"/>
  <c r="H307" s="1"/>
  <c r="E127"/>
  <c r="J127" s="1"/>
  <c r="L127" s="1"/>
  <c r="M127" s="1"/>
  <c r="F127"/>
  <c r="I127" s="1"/>
  <c r="F122"/>
  <c r="I122" s="1"/>
  <c r="H122" s="1"/>
  <c r="E122"/>
  <c r="J122" s="1"/>
  <c r="C122"/>
  <c r="G302" s="1"/>
  <c r="H302" s="1"/>
  <c r="C119"/>
  <c r="G299" s="1"/>
  <c r="H299" s="1"/>
  <c r="F119"/>
  <c r="I119" s="1"/>
  <c r="H119" s="1"/>
  <c r="E119"/>
  <c r="J119" s="1"/>
  <c r="F138"/>
  <c r="I138" s="1"/>
  <c r="C138"/>
  <c r="G318" s="1"/>
  <c r="H318" s="1"/>
  <c r="E138"/>
  <c r="J138" s="1"/>
  <c r="L138" s="1"/>
  <c r="M138" s="1"/>
  <c r="C135"/>
  <c r="G315" s="1"/>
  <c r="H315" s="1"/>
  <c r="F135"/>
  <c r="I135" s="1"/>
  <c r="H135" s="1"/>
  <c r="E135"/>
  <c r="J135" s="1"/>
  <c r="L135" s="1"/>
  <c r="M135" s="1"/>
  <c r="C111"/>
  <c r="G291" s="1"/>
  <c r="H291" s="1"/>
  <c r="E111"/>
  <c r="J111" s="1"/>
  <c r="F111"/>
  <c r="I111" s="1"/>
  <c r="H111" s="1"/>
  <c r="F130"/>
  <c r="I130" s="1"/>
  <c r="H130" s="1"/>
  <c r="C130"/>
  <c r="G310" s="1"/>
  <c r="H310" s="1"/>
  <c r="E130"/>
  <c r="J130" s="1"/>
  <c r="C110"/>
  <c r="G290" s="1"/>
  <c r="H290" s="1"/>
  <c r="F110"/>
  <c r="I110" s="1"/>
  <c r="E110"/>
  <c r="J110" s="1"/>
  <c r="L110" s="1"/>
  <c r="M110" s="1"/>
  <c r="A186" i="3"/>
  <c r="B171"/>
  <c r="C171"/>
  <c r="H79" i="4"/>
  <c r="K274"/>
  <c r="K94"/>
  <c r="F116"/>
  <c r="I116" s="1"/>
  <c r="H116" s="1"/>
  <c r="C116"/>
  <c r="G296" s="1"/>
  <c r="H296" s="1"/>
  <c r="E116"/>
  <c r="J116" s="1"/>
  <c r="C113"/>
  <c r="G293" s="1"/>
  <c r="H293" s="1"/>
  <c r="E113"/>
  <c r="J113" s="1"/>
  <c r="L113" s="1"/>
  <c r="M113" s="1"/>
  <c r="F113"/>
  <c r="I113" s="1"/>
  <c r="C137"/>
  <c r="G317" s="1"/>
  <c r="H317" s="1"/>
  <c r="F137"/>
  <c r="I137" s="1"/>
  <c r="E137"/>
  <c r="J137" s="1"/>
  <c r="L137" s="1"/>
  <c r="M137" s="1"/>
  <c r="C126"/>
  <c r="G306" s="1"/>
  <c r="H306" s="1"/>
  <c r="F126"/>
  <c r="I126" s="1"/>
  <c r="H126" s="1"/>
  <c r="E126"/>
  <c r="J126" s="1"/>
  <c r="C121"/>
  <c r="G301" s="1"/>
  <c r="H301" s="1"/>
  <c r="F121"/>
  <c r="I121" s="1"/>
  <c r="E121"/>
  <c r="J121" s="1"/>
  <c r="L121" s="1"/>
  <c r="M121" s="1"/>
  <c r="C133"/>
  <c r="G313" s="1"/>
  <c r="H313" s="1"/>
  <c r="E133"/>
  <c r="J133" s="1"/>
  <c r="L133" s="1"/>
  <c r="M133" s="1"/>
  <c r="F133"/>
  <c r="I133" s="1"/>
  <c r="F128"/>
  <c r="I128" s="1"/>
  <c r="H128" s="1"/>
  <c r="E128"/>
  <c r="J128" s="1"/>
  <c r="C128"/>
  <c r="G308" s="1"/>
  <c r="H308" s="1"/>
  <c r="F120"/>
  <c r="I120" s="1"/>
  <c r="E120"/>
  <c r="J120" s="1"/>
  <c r="L120" s="1"/>
  <c r="M120" s="1"/>
  <c r="C120"/>
  <c r="G300" s="1"/>
  <c r="H300" s="1"/>
  <c r="E156" i="3"/>
  <c r="B109" i="4" s="1"/>
  <c r="D156" i="3"/>
  <c r="E228"/>
  <c r="D228"/>
  <c r="C94" i="4"/>
  <c r="G274" s="1"/>
  <c r="H274" s="1"/>
  <c r="F94"/>
  <c r="I94" s="1"/>
  <c r="E94"/>
  <c r="J94" s="1"/>
  <c r="L94" s="1"/>
  <c r="M94" s="1"/>
  <c r="C131"/>
  <c r="G311" s="1"/>
  <c r="H311" s="1"/>
  <c r="E131"/>
  <c r="J131" s="1"/>
  <c r="L131" s="1"/>
  <c r="M131" s="1"/>
  <c r="F131"/>
  <c r="I131" s="1"/>
  <c r="C123"/>
  <c r="G303" s="1"/>
  <c r="H303" s="1"/>
  <c r="F123"/>
  <c r="I123" s="1"/>
  <c r="E123"/>
  <c r="J123" s="1"/>
  <c r="L123" s="1"/>
  <c r="M123" s="1"/>
  <c r="C117"/>
  <c r="G297" s="1"/>
  <c r="H297" s="1"/>
  <c r="E117"/>
  <c r="J117" s="1"/>
  <c r="L117" s="1"/>
  <c r="M117" s="1"/>
  <c r="F117"/>
  <c r="I117" s="1"/>
  <c r="C115"/>
  <c r="G295" s="1"/>
  <c r="H295" s="1"/>
  <c r="F115"/>
  <c r="I115" s="1"/>
  <c r="E115"/>
  <c r="J115" s="1"/>
  <c r="L115" s="1"/>
  <c r="M115" s="1"/>
  <c r="C125"/>
  <c r="G305" s="1"/>
  <c r="H305" s="1"/>
  <c r="F125"/>
  <c r="I125" s="1"/>
  <c r="H125" s="1"/>
  <c r="E125"/>
  <c r="J125" s="1"/>
  <c r="F112"/>
  <c r="I112" s="1"/>
  <c r="H112" s="1"/>
  <c r="E112"/>
  <c r="J112" s="1"/>
  <c r="C112"/>
  <c r="G292" s="1"/>
  <c r="H292" s="1"/>
  <c r="E203" i="1"/>
  <c r="W200"/>
  <c r="X200"/>
  <c r="F202"/>
  <c r="H202"/>
  <c r="V202" s="1"/>
  <c r="A202"/>
  <c r="K201"/>
  <c r="Q199"/>
  <c r="S199" s="1"/>
  <c r="L116" i="4" l="1"/>
  <c r="M116" s="1"/>
  <c r="D171" i="3"/>
  <c r="E171"/>
  <c r="B124" i="4" s="1"/>
  <c r="H138"/>
  <c r="H132"/>
  <c r="L125"/>
  <c r="M125" s="1"/>
  <c r="H115"/>
  <c r="H131"/>
  <c r="H94"/>
  <c r="K289"/>
  <c r="K109"/>
  <c r="H120"/>
  <c r="H133"/>
  <c r="H121"/>
  <c r="H113"/>
  <c r="B186" i="3"/>
  <c r="A201"/>
  <c r="C186"/>
  <c r="K325" i="4"/>
  <c r="B150"/>
  <c r="K327"/>
  <c r="B156"/>
  <c r="B151"/>
  <c r="B160"/>
  <c r="K346"/>
  <c r="K333"/>
  <c r="K331"/>
  <c r="K345"/>
  <c r="B161"/>
  <c r="B140"/>
  <c r="K164"/>
  <c r="B143"/>
  <c r="B164"/>
  <c r="K342"/>
  <c r="B142"/>
  <c r="K146"/>
  <c r="K324"/>
  <c r="K153"/>
  <c r="K339"/>
  <c r="K155"/>
  <c r="K328"/>
  <c r="K142"/>
  <c r="B165"/>
  <c r="K161"/>
  <c r="K336"/>
  <c r="K337"/>
  <c r="K330"/>
  <c r="K158"/>
  <c r="B157"/>
  <c r="K152"/>
  <c r="B149"/>
  <c r="B153"/>
  <c r="K167"/>
  <c r="B168"/>
  <c r="K320"/>
  <c r="B167"/>
  <c r="K144"/>
  <c r="K343"/>
  <c r="K159"/>
  <c r="K341"/>
  <c r="K322"/>
  <c r="K143"/>
  <c r="K335"/>
  <c r="B147"/>
  <c r="B158"/>
  <c r="B146"/>
  <c r="B163"/>
  <c r="K323"/>
  <c r="K148"/>
  <c r="K163"/>
  <c r="K150"/>
  <c r="K165"/>
  <c r="K326"/>
  <c r="B144"/>
  <c r="B159"/>
  <c r="K321"/>
  <c r="B145"/>
  <c r="K157"/>
  <c r="K340"/>
  <c r="B141"/>
  <c r="K329"/>
  <c r="B148"/>
  <c r="K347"/>
  <c r="K332"/>
  <c r="K147"/>
  <c r="K348"/>
  <c r="K160"/>
  <c r="B162"/>
  <c r="B155"/>
  <c r="K141"/>
  <c r="B152"/>
  <c r="K162"/>
  <c r="K338"/>
  <c r="K145"/>
  <c r="K149"/>
  <c r="K166"/>
  <c r="K151"/>
  <c r="K168"/>
  <c r="K140"/>
  <c r="K344"/>
  <c r="L130"/>
  <c r="M130" s="1"/>
  <c r="L111"/>
  <c r="M111" s="1"/>
  <c r="L119"/>
  <c r="M119" s="1"/>
  <c r="L122"/>
  <c r="M122" s="1"/>
  <c r="L118"/>
  <c r="M118" s="1"/>
  <c r="H114"/>
  <c r="L134"/>
  <c r="M134" s="1"/>
  <c r="C109"/>
  <c r="G289" s="1"/>
  <c r="H289" s="1"/>
  <c r="E109"/>
  <c r="J109" s="1"/>
  <c r="L109" s="1"/>
  <c r="M109" s="1"/>
  <c r="F109"/>
  <c r="I109" s="1"/>
  <c r="L112"/>
  <c r="M112" s="1"/>
  <c r="H117"/>
  <c r="H123"/>
  <c r="L128"/>
  <c r="M128" s="1"/>
  <c r="L126"/>
  <c r="M126" s="1"/>
  <c r="H137"/>
  <c r="H110"/>
  <c r="H127"/>
  <c r="L129"/>
  <c r="M129" s="1"/>
  <c r="S202" i="1"/>
  <c r="F203"/>
  <c r="I203" s="1"/>
  <c r="J203" s="1"/>
  <c r="X199"/>
  <c r="W199"/>
  <c r="A203"/>
  <c r="E204"/>
  <c r="H203"/>
  <c r="V203" s="1"/>
  <c r="N201"/>
  <c r="O201" s="1"/>
  <c r="L201"/>
  <c r="M201" s="1"/>
  <c r="P201" s="1"/>
  <c r="F162" i="4" l="1"/>
  <c r="I162" s="1"/>
  <c r="H162" s="1"/>
  <c r="E162"/>
  <c r="J162" s="1"/>
  <c r="L162" s="1"/>
  <c r="M162" s="1"/>
  <c r="C162"/>
  <c r="G342" s="1"/>
  <c r="H342" s="1"/>
  <c r="C145"/>
  <c r="G325" s="1"/>
  <c r="H325" s="1"/>
  <c r="F145"/>
  <c r="I145" s="1"/>
  <c r="H145" s="1"/>
  <c r="E145"/>
  <c r="J145" s="1"/>
  <c r="F146"/>
  <c r="I146" s="1"/>
  <c r="C146"/>
  <c r="G326" s="1"/>
  <c r="H326" s="1"/>
  <c r="E146"/>
  <c r="J146" s="1"/>
  <c r="L146" s="1"/>
  <c r="M146" s="1"/>
  <c r="C157"/>
  <c r="G337" s="1"/>
  <c r="H337" s="1"/>
  <c r="E157"/>
  <c r="J157" s="1"/>
  <c r="F157"/>
  <c r="I157" s="1"/>
  <c r="H157" s="1"/>
  <c r="F156"/>
  <c r="I156" s="1"/>
  <c r="C156"/>
  <c r="G336" s="1"/>
  <c r="H336" s="1"/>
  <c r="E156"/>
  <c r="J156" s="1"/>
  <c r="F124"/>
  <c r="I124" s="1"/>
  <c r="C124"/>
  <c r="G304" s="1"/>
  <c r="E124"/>
  <c r="J124" s="1"/>
  <c r="L124" s="1"/>
  <c r="M124" s="1"/>
  <c r="F152"/>
  <c r="I152" s="1"/>
  <c r="C152"/>
  <c r="G332" s="1"/>
  <c r="H332" s="1"/>
  <c r="E152"/>
  <c r="J152" s="1"/>
  <c r="L152" s="1"/>
  <c r="M152" s="1"/>
  <c r="C141"/>
  <c r="G321" s="1"/>
  <c r="H321" s="1"/>
  <c r="F141"/>
  <c r="I141" s="1"/>
  <c r="E141"/>
  <c r="J141" s="1"/>
  <c r="L141" s="1"/>
  <c r="M141" s="1"/>
  <c r="C159"/>
  <c r="G339" s="1"/>
  <c r="H339" s="1"/>
  <c r="F159"/>
  <c r="I159" s="1"/>
  <c r="H159" s="1"/>
  <c r="E159"/>
  <c r="J159" s="1"/>
  <c r="C153"/>
  <c r="G333" s="1"/>
  <c r="H333" s="1"/>
  <c r="F153"/>
  <c r="I153" s="1"/>
  <c r="H153" s="1"/>
  <c r="E153"/>
  <c r="J153" s="1"/>
  <c r="C142"/>
  <c r="G322" s="1"/>
  <c r="H322" s="1"/>
  <c r="F142"/>
  <c r="I142" s="1"/>
  <c r="E142"/>
  <c r="J142" s="1"/>
  <c r="L142" s="1"/>
  <c r="M142" s="1"/>
  <c r="K124"/>
  <c r="K304"/>
  <c r="F144"/>
  <c r="I144" s="1"/>
  <c r="C144"/>
  <c r="G324" s="1"/>
  <c r="H324" s="1"/>
  <c r="E144"/>
  <c r="J144" s="1"/>
  <c r="L144" s="1"/>
  <c r="M144" s="1"/>
  <c r="C158"/>
  <c r="G338" s="1"/>
  <c r="H338" s="1"/>
  <c r="F158"/>
  <c r="I158" s="1"/>
  <c r="E158"/>
  <c r="J158" s="1"/>
  <c r="L158" s="1"/>
  <c r="M158" s="1"/>
  <c r="C149"/>
  <c r="G329" s="1"/>
  <c r="H329" s="1"/>
  <c r="F149"/>
  <c r="I149" s="1"/>
  <c r="E149"/>
  <c r="J149" s="1"/>
  <c r="L149" s="1"/>
  <c r="M149" s="1"/>
  <c r="C165"/>
  <c r="G345" s="1"/>
  <c r="H345" s="1"/>
  <c r="E165"/>
  <c r="J165" s="1"/>
  <c r="L165" s="1"/>
  <c r="M165" s="1"/>
  <c r="F165"/>
  <c r="I165" s="1"/>
  <c r="C143"/>
  <c r="G323" s="1"/>
  <c r="H323" s="1"/>
  <c r="F143"/>
  <c r="I143" s="1"/>
  <c r="H143" s="1"/>
  <c r="E143"/>
  <c r="J143" s="1"/>
  <c r="F140"/>
  <c r="I140" s="1"/>
  <c r="E140"/>
  <c r="J140" s="1"/>
  <c r="L140" s="1"/>
  <c r="M140" s="1"/>
  <c r="C140"/>
  <c r="G320" s="1"/>
  <c r="H320" s="1"/>
  <c r="F160"/>
  <c r="I160" s="1"/>
  <c r="H160" s="1"/>
  <c r="E160"/>
  <c r="J160" s="1"/>
  <c r="C160"/>
  <c r="G340" s="1"/>
  <c r="H340" s="1"/>
  <c r="C150"/>
  <c r="G330" s="1"/>
  <c r="H330" s="1"/>
  <c r="F150"/>
  <c r="I150" s="1"/>
  <c r="H150" s="1"/>
  <c r="E150"/>
  <c r="J150" s="1"/>
  <c r="C201" i="3"/>
  <c r="A216"/>
  <c r="B201"/>
  <c r="H109" i="4"/>
  <c r="C155"/>
  <c r="G335" s="1"/>
  <c r="H335" s="1"/>
  <c r="F155"/>
  <c r="I155" s="1"/>
  <c r="H155" s="1"/>
  <c r="E155"/>
  <c r="J155" s="1"/>
  <c r="F148"/>
  <c r="I148" s="1"/>
  <c r="E148"/>
  <c r="J148" s="1"/>
  <c r="L148" s="1"/>
  <c r="M148" s="1"/>
  <c r="C148"/>
  <c r="G328" s="1"/>
  <c r="H328" s="1"/>
  <c r="C163"/>
  <c r="G343" s="1"/>
  <c r="H343" s="1"/>
  <c r="E163"/>
  <c r="J163" s="1"/>
  <c r="F163"/>
  <c r="I163" s="1"/>
  <c r="H163" s="1"/>
  <c r="C147"/>
  <c r="G327" s="1"/>
  <c r="H327" s="1"/>
  <c r="F147"/>
  <c r="I147" s="1"/>
  <c r="H147" s="1"/>
  <c r="E147"/>
  <c r="J147" s="1"/>
  <c r="C167"/>
  <c r="G347" s="1"/>
  <c r="H347" s="1"/>
  <c r="F167"/>
  <c r="I167" s="1"/>
  <c r="H167" s="1"/>
  <c r="E167"/>
  <c r="J167" s="1"/>
  <c r="F168"/>
  <c r="I168" s="1"/>
  <c r="C168"/>
  <c r="G348" s="1"/>
  <c r="H348" s="1"/>
  <c r="E168"/>
  <c r="J168" s="1"/>
  <c r="L168" s="1"/>
  <c r="M168" s="1"/>
  <c r="F164"/>
  <c r="I164" s="1"/>
  <c r="H164" s="1"/>
  <c r="C164"/>
  <c r="G344" s="1"/>
  <c r="H344" s="1"/>
  <c r="E164"/>
  <c r="J164" s="1"/>
  <c r="C161"/>
  <c r="G341" s="1"/>
  <c r="H341" s="1"/>
  <c r="E161"/>
  <c r="J161" s="1"/>
  <c r="L161" s="1"/>
  <c r="M161" s="1"/>
  <c r="F161"/>
  <c r="I161" s="1"/>
  <c r="C151"/>
  <c r="G331" s="1"/>
  <c r="H331" s="1"/>
  <c r="F151"/>
  <c r="I151" s="1"/>
  <c r="H151" s="1"/>
  <c r="E151"/>
  <c r="J151" s="1"/>
  <c r="L151" s="1"/>
  <c r="M151" s="1"/>
  <c r="E186" i="3"/>
  <c r="D186"/>
  <c r="K179" i="4"/>
  <c r="F204" i="1"/>
  <c r="W202"/>
  <c r="X202"/>
  <c r="Q201"/>
  <c r="S201" s="1"/>
  <c r="E205"/>
  <c r="H204"/>
  <c r="V204" s="1"/>
  <c r="A204"/>
  <c r="K203"/>
  <c r="L164" i="4" l="1"/>
  <c r="M164" s="1"/>
  <c r="H158"/>
  <c r="H144"/>
  <c r="H142"/>
  <c r="H124"/>
  <c r="H161"/>
  <c r="H168"/>
  <c r="L147"/>
  <c r="M147" s="1"/>
  <c r="L163"/>
  <c r="M163" s="1"/>
  <c r="H148"/>
  <c r="L150"/>
  <c r="M150" s="1"/>
  <c r="L160"/>
  <c r="M160" s="1"/>
  <c r="H140"/>
  <c r="H165"/>
  <c r="H149"/>
  <c r="L159"/>
  <c r="M159" s="1"/>
  <c r="H141"/>
  <c r="H152"/>
  <c r="L156"/>
  <c r="M156" s="1"/>
  <c r="L157"/>
  <c r="M157" s="1"/>
  <c r="H146"/>
  <c r="L167"/>
  <c r="M167" s="1"/>
  <c r="L155"/>
  <c r="M155" s="1"/>
  <c r="D201" i="3"/>
  <c r="E201"/>
  <c r="L143" i="4"/>
  <c r="M143" s="1"/>
  <c r="L153"/>
  <c r="M153" s="1"/>
  <c r="L145"/>
  <c r="M145" s="1"/>
  <c r="C216" i="3"/>
  <c r="B216"/>
  <c r="H304" i="4"/>
  <c r="S204" i="1"/>
  <c r="F205"/>
  <c r="I205" s="1"/>
  <c r="J205" s="1"/>
  <c r="X201"/>
  <c r="W201"/>
  <c r="L203"/>
  <c r="M203" s="1"/>
  <c r="P203" s="1"/>
  <c r="N203"/>
  <c r="O203" s="1"/>
  <c r="A205"/>
  <c r="H205"/>
  <c r="V205" s="1"/>
  <c r="E206"/>
  <c r="E216" i="3" l="1"/>
  <c r="D216"/>
  <c r="F206" i="1"/>
  <c r="W204"/>
  <c r="X204"/>
  <c r="Q203"/>
  <c r="S203" s="1"/>
  <c r="K205"/>
  <c r="A206"/>
  <c r="H206"/>
  <c r="V206" s="1"/>
  <c r="E207"/>
  <c r="K156" i="4" l="1"/>
  <c r="H156" s="1"/>
  <c r="K362"/>
  <c r="K183"/>
  <c r="K353"/>
  <c r="B171"/>
  <c r="K356"/>
  <c r="K351"/>
  <c r="K171"/>
  <c r="B183"/>
  <c r="B173"/>
  <c r="K354"/>
  <c r="B175"/>
  <c r="B179"/>
  <c r="B174"/>
  <c r="K355"/>
  <c r="B166"/>
  <c r="K361"/>
  <c r="K349"/>
  <c r="B176"/>
  <c r="K352"/>
  <c r="B154"/>
  <c r="K350"/>
  <c r="K181"/>
  <c r="K359"/>
  <c r="B170"/>
  <c r="K176"/>
  <c r="B182"/>
  <c r="K154"/>
  <c r="K174"/>
  <c r="B180"/>
  <c r="B139"/>
  <c r="K358"/>
  <c r="K334"/>
  <c r="K173"/>
  <c r="K319"/>
  <c r="K357"/>
  <c r="K169"/>
  <c r="K170"/>
  <c r="K172"/>
  <c r="K178"/>
  <c r="K180"/>
  <c r="K182"/>
  <c r="K175"/>
  <c r="K360"/>
  <c r="K177"/>
  <c r="B177"/>
  <c r="B181"/>
  <c r="B178"/>
  <c r="K139"/>
  <c r="B172"/>
  <c r="B169"/>
  <c r="S206" i="1"/>
  <c r="F207"/>
  <c r="I207" s="1"/>
  <c r="J207" s="1"/>
  <c r="X203"/>
  <c r="W203"/>
  <c r="L205"/>
  <c r="M205" s="1"/>
  <c r="P205" s="1"/>
  <c r="N205"/>
  <c r="O205" s="1"/>
  <c r="E208"/>
  <c r="A207"/>
  <c r="H207"/>
  <c r="V207" s="1"/>
  <c r="F178" i="4" l="1"/>
  <c r="I178" s="1"/>
  <c r="C178"/>
  <c r="G358" s="1"/>
  <c r="H358" s="1"/>
  <c r="E178"/>
  <c r="J178" s="1"/>
  <c r="L178" s="1"/>
  <c r="M178" s="1"/>
  <c r="C166"/>
  <c r="G346" s="1"/>
  <c r="H346" s="1"/>
  <c r="F166"/>
  <c r="I166" s="1"/>
  <c r="E166"/>
  <c r="J166" s="1"/>
  <c r="L166" s="1"/>
  <c r="M166" s="1"/>
  <c r="C175"/>
  <c r="G355" s="1"/>
  <c r="H355" s="1"/>
  <c r="E175"/>
  <c r="J175" s="1"/>
  <c r="L175" s="1"/>
  <c r="M175" s="1"/>
  <c r="F175"/>
  <c r="I175" s="1"/>
  <c r="C169"/>
  <c r="G349" s="1"/>
  <c r="H349" s="1"/>
  <c r="E169"/>
  <c r="J169" s="1"/>
  <c r="L169" s="1"/>
  <c r="M169" s="1"/>
  <c r="F169"/>
  <c r="I169" s="1"/>
  <c r="H169" s="1"/>
  <c r="C181"/>
  <c r="G361" s="1"/>
  <c r="H361" s="1"/>
  <c r="F181"/>
  <c r="I181" s="1"/>
  <c r="H181" s="1"/>
  <c r="E181"/>
  <c r="J181" s="1"/>
  <c r="C139"/>
  <c r="G319" s="1"/>
  <c r="H319" s="1"/>
  <c r="E139"/>
  <c r="J139" s="1"/>
  <c r="F139"/>
  <c r="I139" s="1"/>
  <c r="H139" s="1"/>
  <c r="F182"/>
  <c r="I182" s="1"/>
  <c r="H182" s="1"/>
  <c r="C182"/>
  <c r="G362" s="1"/>
  <c r="H362" s="1"/>
  <c r="E182"/>
  <c r="J182" s="1"/>
  <c r="L182" s="1"/>
  <c r="M182" s="1"/>
  <c r="F176"/>
  <c r="I176" s="1"/>
  <c r="H176" s="1"/>
  <c r="E176"/>
  <c r="J176" s="1"/>
  <c r="C176"/>
  <c r="G356" s="1"/>
  <c r="H356" s="1"/>
  <c r="F172"/>
  <c r="I172" s="1"/>
  <c r="E172"/>
  <c r="J172" s="1"/>
  <c r="L172" s="1"/>
  <c r="M172" s="1"/>
  <c r="C172"/>
  <c r="G352" s="1"/>
  <c r="H352" s="1"/>
  <c r="C177"/>
  <c r="G357" s="1"/>
  <c r="H357" s="1"/>
  <c r="F177"/>
  <c r="I177" s="1"/>
  <c r="E177"/>
  <c r="J177" s="1"/>
  <c r="L177" s="1"/>
  <c r="M177" s="1"/>
  <c r="F180"/>
  <c r="I180" s="1"/>
  <c r="E180"/>
  <c r="J180" s="1"/>
  <c r="L180" s="1"/>
  <c r="M180" s="1"/>
  <c r="C180"/>
  <c r="G360" s="1"/>
  <c r="H360" s="1"/>
  <c r="C174"/>
  <c r="G354" s="1"/>
  <c r="H354" s="1"/>
  <c r="F174"/>
  <c r="I174" s="1"/>
  <c r="E174"/>
  <c r="J174" s="1"/>
  <c r="L174" s="1"/>
  <c r="M174" s="1"/>
  <c r="C173"/>
  <c r="G353" s="1"/>
  <c r="H353" s="1"/>
  <c r="F173"/>
  <c r="I173" s="1"/>
  <c r="H173" s="1"/>
  <c r="E173"/>
  <c r="J173" s="1"/>
  <c r="F170"/>
  <c r="I170" s="1"/>
  <c r="H170" s="1"/>
  <c r="E170"/>
  <c r="J170" s="1"/>
  <c r="C170"/>
  <c r="G350" s="1"/>
  <c r="H350" s="1"/>
  <c r="F154"/>
  <c r="I154" s="1"/>
  <c r="E154"/>
  <c r="J154" s="1"/>
  <c r="L154" s="1"/>
  <c r="M154" s="1"/>
  <c r="C154"/>
  <c r="G334" s="1"/>
  <c r="H334" s="1"/>
  <c r="C179"/>
  <c r="G359" s="1"/>
  <c r="H359" s="1"/>
  <c r="E179"/>
  <c r="J179" s="1"/>
  <c r="F179"/>
  <c r="I179" s="1"/>
  <c r="H179" s="1"/>
  <c r="C183"/>
  <c r="E183"/>
  <c r="J183" s="1"/>
  <c r="L183" s="1"/>
  <c r="M183" s="1"/>
  <c r="F183"/>
  <c r="I183" s="1"/>
  <c r="C171"/>
  <c r="G351" s="1"/>
  <c r="H351" s="1"/>
  <c r="E171"/>
  <c r="J171" s="1"/>
  <c r="F171"/>
  <c r="I171" s="1"/>
  <c r="H171" s="1"/>
  <c r="F208" i="1"/>
  <c r="W206"/>
  <c r="X206"/>
  <c r="Q205"/>
  <c r="S205" s="1"/>
  <c r="A208"/>
  <c r="E209"/>
  <c r="H208"/>
  <c r="V208" s="1"/>
  <c r="K207"/>
  <c r="H183" i="4" l="1"/>
  <c r="L179"/>
  <c r="M179" s="1"/>
  <c r="H154"/>
  <c r="L173"/>
  <c r="M173" s="1"/>
  <c r="H174"/>
  <c r="H180"/>
  <c r="L176"/>
  <c r="M176" s="1"/>
  <c r="L181"/>
  <c r="M181" s="1"/>
  <c r="L171"/>
  <c r="M171" s="1"/>
  <c r="L170"/>
  <c r="M170" s="1"/>
  <c r="H177"/>
  <c r="H172"/>
  <c r="L139"/>
  <c r="M139" s="1"/>
  <c r="H175"/>
  <c r="H166"/>
  <c r="H178"/>
  <c r="S208" i="1"/>
  <c r="E210"/>
  <c r="X205"/>
  <c r="W205"/>
  <c r="J622"/>
  <c r="F209"/>
  <c r="I209" s="1"/>
  <c r="J209" s="1"/>
  <c r="N207"/>
  <c r="O207" s="1"/>
  <c r="L207"/>
  <c r="M207" s="1"/>
  <c r="P207" s="1"/>
  <c r="A209"/>
  <c r="H209"/>
  <c r="V209" s="1"/>
  <c r="F210" l="1"/>
  <c r="E211"/>
  <c r="W208"/>
  <c r="X208"/>
  <c r="J624"/>
  <c r="K622"/>
  <c r="K209"/>
  <c r="A210"/>
  <c r="H210"/>
  <c r="V210" s="1"/>
  <c r="Q207"/>
  <c r="S207" s="1"/>
  <c r="S210" l="1"/>
  <c r="E212"/>
  <c r="F211"/>
  <c r="I211" s="1"/>
  <c r="J211" s="1"/>
  <c r="X207"/>
  <c r="W207"/>
  <c r="J626"/>
  <c r="K624"/>
  <c r="L622"/>
  <c r="M622" s="1"/>
  <c r="P622" s="1"/>
  <c r="N622"/>
  <c r="O622" s="1"/>
  <c r="N209"/>
  <c r="O209" s="1"/>
  <c r="L209"/>
  <c r="M209" s="1"/>
  <c r="P209" s="1"/>
  <c r="H211"/>
  <c r="V211" s="1"/>
  <c r="A211"/>
  <c r="E213" l="1"/>
  <c r="F212"/>
  <c r="W210"/>
  <c r="X210"/>
  <c r="J628"/>
  <c r="K626"/>
  <c r="Q622"/>
  <c r="L624"/>
  <c r="M624" s="1"/>
  <c r="P624" s="1"/>
  <c r="N624"/>
  <c r="O624" s="1"/>
  <c r="K211"/>
  <c r="H212"/>
  <c r="S212" s="1"/>
  <c r="A212"/>
  <c r="Q209"/>
  <c r="S209" s="1"/>
  <c r="V212" l="1"/>
  <c r="F213"/>
  <c r="I213" s="1"/>
  <c r="J213" s="1"/>
  <c r="W212"/>
  <c r="E214"/>
  <c r="X212"/>
  <c r="X209"/>
  <c r="W209"/>
  <c r="K628"/>
  <c r="L626"/>
  <c r="M626" s="1"/>
  <c r="P626" s="1"/>
  <c r="N626"/>
  <c r="O626" s="1"/>
  <c r="Q624"/>
  <c r="H213"/>
  <c r="V213" s="1"/>
  <c r="A213"/>
  <c r="N211"/>
  <c r="O211" s="1"/>
  <c r="L211"/>
  <c r="M211" s="1"/>
  <c r="P211" s="1"/>
  <c r="F214" l="1"/>
  <c r="E215"/>
  <c r="Q626"/>
  <c r="J630"/>
  <c r="N628"/>
  <c r="O628" s="1"/>
  <c r="L628"/>
  <c r="M628" s="1"/>
  <c r="P628" s="1"/>
  <c r="K213"/>
  <c r="Q211"/>
  <c r="S211" s="1"/>
  <c r="A214"/>
  <c r="H214"/>
  <c r="S214" s="1"/>
  <c r="V214" l="1"/>
  <c r="X214" s="1"/>
  <c r="W214"/>
  <c r="E216"/>
  <c r="F215"/>
  <c r="I215" s="1"/>
  <c r="J215" s="1"/>
  <c r="X211"/>
  <c r="W211"/>
  <c r="Q628"/>
  <c r="K630"/>
  <c r="N213"/>
  <c r="O213" s="1"/>
  <c r="L213"/>
  <c r="M213" s="1"/>
  <c r="P213" s="1"/>
  <c r="H215"/>
  <c r="V215" s="1"/>
  <c r="A215"/>
  <c r="F216" l="1"/>
  <c r="E217"/>
  <c r="N630"/>
  <c r="O630" s="1"/>
  <c r="L630"/>
  <c r="M630" s="1"/>
  <c r="P630" s="1"/>
  <c r="A216"/>
  <c r="H216"/>
  <c r="V216" s="1"/>
  <c r="K215"/>
  <c r="Q213"/>
  <c r="S213" s="1"/>
  <c r="S216" l="1"/>
  <c r="E218"/>
  <c r="F217"/>
  <c r="I217" s="1"/>
  <c r="J217" s="1"/>
  <c r="X213"/>
  <c r="W213"/>
  <c r="Q630"/>
  <c r="N215"/>
  <c r="O215" s="1"/>
  <c r="L215"/>
  <c r="M215" s="1"/>
  <c r="P215" s="1"/>
  <c r="H217"/>
  <c r="V217" s="1"/>
  <c r="A217"/>
  <c r="E219" l="1"/>
  <c r="F218"/>
  <c r="W216"/>
  <c r="X216"/>
  <c r="A218"/>
  <c r="H218"/>
  <c r="V218" s="1"/>
  <c r="K217"/>
  <c r="Q215"/>
  <c r="S215" s="1"/>
  <c r="S218" l="1"/>
  <c r="E220"/>
  <c r="F219"/>
  <c r="I219" s="1"/>
  <c r="J219" s="1"/>
  <c r="X215"/>
  <c r="W215"/>
  <c r="L217"/>
  <c r="M217" s="1"/>
  <c r="P217" s="1"/>
  <c r="N217"/>
  <c r="O217" s="1"/>
  <c r="A219"/>
  <c r="H219"/>
  <c r="V219" s="1"/>
  <c r="E221" l="1"/>
  <c r="F220"/>
  <c r="W218"/>
  <c r="X218"/>
  <c r="Q217"/>
  <c r="S217" s="1"/>
  <c r="A220"/>
  <c r="H220"/>
  <c r="S220" s="1"/>
  <c r="K219"/>
  <c r="V220" l="1"/>
  <c r="X220" s="1"/>
  <c r="E222"/>
  <c r="F221"/>
  <c r="I221" s="1"/>
  <c r="J221" s="1"/>
  <c r="W220"/>
  <c r="X217"/>
  <c r="W217"/>
  <c r="N219"/>
  <c r="O219" s="1"/>
  <c r="L219"/>
  <c r="M219" s="1"/>
  <c r="P219" s="1"/>
  <c r="A221"/>
  <c r="H221"/>
  <c r="V221" s="1"/>
  <c r="F222" l="1"/>
  <c r="E223"/>
  <c r="K221"/>
  <c r="Q219"/>
  <c r="S219" s="1"/>
  <c r="A222"/>
  <c r="H222"/>
  <c r="V222" s="1"/>
  <c r="S222" l="1"/>
  <c r="E224"/>
  <c r="F223"/>
  <c r="I223" s="1"/>
  <c r="J223" s="1"/>
  <c r="X219"/>
  <c r="W219"/>
  <c r="L221"/>
  <c r="M221" s="1"/>
  <c r="P221" s="1"/>
  <c r="N221"/>
  <c r="O221" s="1"/>
  <c r="H223"/>
  <c r="V223" s="1"/>
  <c r="A223"/>
  <c r="F224" l="1"/>
  <c r="E225"/>
  <c r="W222"/>
  <c r="X222"/>
  <c r="Q221"/>
  <c r="S221" s="1"/>
  <c r="H224"/>
  <c r="S224" s="1"/>
  <c r="A224"/>
  <c r="K223"/>
  <c r="V224" l="1"/>
  <c r="X224" s="1"/>
  <c r="E226"/>
  <c r="F225"/>
  <c r="I225" s="1"/>
  <c r="J225" s="1"/>
  <c r="W224"/>
  <c r="X221"/>
  <c r="W221"/>
  <c r="H225"/>
  <c r="V225" s="1"/>
  <c r="A225"/>
  <c r="N223"/>
  <c r="O223" s="1"/>
  <c r="L223"/>
  <c r="M223" s="1"/>
  <c r="P223" s="1"/>
  <c r="F226" l="1"/>
  <c r="E227"/>
  <c r="K225"/>
  <c r="A226"/>
  <c r="H226"/>
  <c r="V226" s="1"/>
  <c r="Q223"/>
  <c r="S223" s="1"/>
  <c r="S226" l="1"/>
  <c r="E228"/>
  <c r="F227"/>
  <c r="I227" s="1"/>
  <c r="J227" s="1"/>
  <c r="X223"/>
  <c r="W223"/>
  <c r="L225"/>
  <c r="M225" s="1"/>
  <c r="P225" s="1"/>
  <c r="N225"/>
  <c r="O225" s="1"/>
  <c r="H227"/>
  <c r="V227" s="1"/>
  <c r="A227"/>
  <c r="E229" l="1"/>
  <c r="F229" s="1"/>
  <c r="I229" s="1"/>
  <c r="F228"/>
  <c r="W226"/>
  <c r="X226"/>
  <c r="K227"/>
  <c r="Q225"/>
  <c r="S225" s="1"/>
  <c r="H228"/>
  <c r="V228" s="1"/>
  <c r="A228"/>
  <c r="S228" l="1"/>
  <c r="E230"/>
  <c r="X225"/>
  <c r="W225"/>
  <c r="L227"/>
  <c r="M227" s="1"/>
  <c r="P227" s="1"/>
  <c r="N227"/>
  <c r="O227" s="1"/>
  <c r="A229"/>
  <c r="J229"/>
  <c r="H229"/>
  <c r="V229" s="1"/>
  <c r="F230" l="1"/>
  <c r="E231"/>
  <c r="W228"/>
  <c r="X228"/>
  <c r="Q227"/>
  <c r="S227" s="1"/>
  <c r="K229"/>
  <c r="A230"/>
  <c r="H230"/>
  <c r="S230" s="1"/>
  <c r="V230" l="1"/>
  <c r="X230" s="1"/>
  <c r="E232"/>
  <c r="F231"/>
  <c r="I231" s="1"/>
  <c r="J231" s="1"/>
  <c r="W230"/>
  <c r="X227"/>
  <c r="W227"/>
  <c r="A231"/>
  <c r="H231"/>
  <c r="V231" s="1"/>
  <c r="N229"/>
  <c r="O229" s="1"/>
  <c r="L229"/>
  <c r="M229" s="1"/>
  <c r="P229" s="1"/>
  <c r="F232" l="1"/>
  <c r="E233"/>
  <c r="K231"/>
  <c r="Q229"/>
  <c r="S229" s="1"/>
  <c r="H232"/>
  <c r="V232" s="1"/>
  <c r="A232"/>
  <c r="S232" l="1"/>
  <c r="E234"/>
  <c r="F233"/>
  <c r="I233" s="1"/>
  <c r="J233" s="1"/>
  <c r="X229"/>
  <c r="W229"/>
  <c r="L231"/>
  <c r="M231" s="1"/>
  <c r="P231" s="1"/>
  <c r="N231"/>
  <c r="O231" s="1"/>
  <c r="A233"/>
  <c r="H233"/>
  <c r="V233" s="1"/>
  <c r="F234"/>
  <c r="E235" l="1"/>
  <c r="W232"/>
  <c r="X232"/>
  <c r="K233"/>
  <c r="Q231"/>
  <c r="S231" s="1"/>
  <c r="H234"/>
  <c r="V234" s="1"/>
  <c r="A234"/>
  <c r="S234" l="1"/>
  <c r="E236"/>
  <c r="F235"/>
  <c r="I235" s="1"/>
  <c r="J235" s="1"/>
  <c r="X231"/>
  <c r="W231"/>
  <c r="N233"/>
  <c r="O233" s="1"/>
  <c r="L233"/>
  <c r="M233" s="1"/>
  <c r="P233" s="1"/>
  <c r="H235"/>
  <c r="V235" s="1"/>
  <c r="A235"/>
  <c r="F236" l="1"/>
  <c r="E237"/>
  <c r="W234"/>
  <c r="X234"/>
  <c r="Q233"/>
  <c r="S233" s="1"/>
  <c r="K235"/>
  <c r="H236"/>
  <c r="S236" s="1"/>
  <c r="A236"/>
  <c r="V236" l="1"/>
  <c r="F237"/>
  <c r="I237" s="1"/>
  <c r="J237" s="1"/>
  <c r="E238"/>
  <c r="X233"/>
  <c r="W233"/>
  <c r="N235"/>
  <c r="O235" s="1"/>
  <c r="L235"/>
  <c r="M235" s="1"/>
  <c r="P235" s="1"/>
  <c r="A237"/>
  <c r="H237"/>
  <c r="V237" s="1"/>
  <c r="E239" l="1"/>
  <c r="F238"/>
  <c r="W236"/>
  <c r="X236"/>
  <c r="H238"/>
  <c r="S238" s="1"/>
  <c r="A238"/>
  <c r="K237"/>
  <c r="Q235"/>
  <c r="S235" s="1"/>
  <c r="V238" l="1"/>
  <c r="X238" s="1"/>
  <c r="F239"/>
  <c r="I239" s="1"/>
  <c r="J239" s="1"/>
  <c r="E240"/>
  <c r="X235"/>
  <c r="W235"/>
  <c r="W238"/>
  <c r="A239"/>
  <c r="H239"/>
  <c r="V239" s="1"/>
  <c r="L237"/>
  <c r="M237" s="1"/>
  <c r="P237" s="1"/>
  <c r="N237"/>
  <c r="O237" s="1"/>
  <c r="E241" l="1"/>
  <c r="F240"/>
  <c r="K239"/>
  <c r="Q237"/>
  <c r="S237" s="1"/>
  <c r="H240"/>
  <c r="V240" s="1"/>
  <c r="A240"/>
  <c r="S240" l="1"/>
  <c r="E242"/>
  <c r="F241"/>
  <c r="I241" s="1"/>
  <c r="J241" s="1"/>
  <c r="X237"/>
  <c r="W237"/>
  <c r="L239"/>
  <c r="M239" s="1"/>
  <c r="P239" s="1"/>
  <c r="N239"/>
  <c r="O239" s="1"/>
  <c r="H241"/>
  <c r="V241" s="1"/>
  <c r="A241"/>
  <c r="E243" l="1"/>
  <c r="F242"/>
  <c r="W240"/>
  <c r="X240"/>
  <c r="A242"/>
  <c r="H242"/>
  <c r="V242" s="1"/>
  <c r="Q239"/>
  <c r="S239" s="1"/>
  <c r="K241"/>
  <c r="F243" l="1"/>
  <c r="I243" s="1"/>
  <c r="J243" s="1"/>
  <c r="S242"/>
  <c r="E244"/>
  <c r="X239"/>
  <c r="W239"/>
  <c r="A243"/>
  <c r="H243"/>
  <c r="V243" s="1"/>
  <c r="L241"/>
  <c r="M241" s="1"/>
  <c r="P241" s="1"/>
  <c r="N241"/>
  <c r="O241" s="1"/>
  <c r="E245" l="1"/>
  <c r="F244"/>
  <c r="W242"/>
  <c r="X242"/>
  <c r="A244"/>
  <c r="H244"/>
  <c r="S244" s="1"/>
  <c r="K243"/>
  <c r="Q241"/>
  <c r="S241" s="1"/>
  <c r="V244" l="1"/>
  <c r="X244" s="1"/>
  <c r="E246"/>
  <c r="F245"/>
  <c r="I245" s="1"/>
  <c r="J245" s="1"/>
  <c r="W244"/>
  <c r="X241"/>
  <c r="W241"/>
  <c r="H245"/>
  <c r="V245" s="1"/>
  <c r="A245"/>
  <c r="N243"/>
  <c r="O243" s="1"/>
  <c r="L243"/>
  <c r="M243" s="1"/>
  <c r="P243" s="1"/>
  <c r="E247" l="1"/>
  <c r="F246"/>
  <c r="A246"/>
  <c r="H246"/>
  <c r="V246" s="1"/>
  <c r="K245"/>
  <c r="Q243"/>
  <c r="S243" s="1"/>
  <c r="F247" l="1"/>
  <c r="I247" s="1"/>
  <c r="J247" s="1"/>
  <c r="S246"/>
  <c r="E248"/>
  <c r="X243"/>
  <c r="W243"/>
  <c r="N245"/>
  <c r="O245" s="1"/>
  <c r="L245"/>
  <c r="M245" s="1"/>
  <c r="P245" s="1"/>
  <c r="A247"/>
  <c r="H247"/>
  <c r="V247" s="1"/>
  <c r="F248" l="1"/>
  <c r="E249"/>
  <c r="W246"/>
  <c r="X246"/>
  <c r="K247"/>
  <c r="H248"/>
  <c r="S248" s="1"/>
  <c r="A248"/>
  <c r="Q245"/>
  <c r="S245" s="1"/>
  <c r="V248" l="1"/>
  <c r="X248" s="1"/>
  <c r="E250"/>
  <c r="F249"/>
  <c r="I249" s="1"/>
  <c r="J249" s="1"/>
  <c r="W248"/>
  <c r="X245"/>
  <c r="W245"/>
  <c r="N247"/>
  <c r="O247" s="1"/>
  <c r="L247"/>
  <c r="M247" s="1"/>
  <c r="P247" s="1"/>
  <c r="H249"/>
  <c r="V249" s="1"/>
  <c r="A249"/>
  <c r="F250" l="1"/>
  <c r="S250"/>
  <c r="E251"/>
  <c r="A250"/>
  <c r="H250"/>
  <c r="V250" s="1"/>
  <c r="K249"/>
  <c r="Q247"/>
  <c r="S247" s="1"/>
  <c r="E252" l="1"/>
  <c r="F251"/>
  <c r="I251" s="1"/>
  <c r="J251" s="1"/>
  <c r="X247"/>
  <c r="W247"/>
  <c r="L249"/>
  <c r="M249" s="1"/>
  <c r="P249" s="1"/>
  <c r="N249"/>
  <c r="O249" s="1"/>
  <c r="A251"/>
  <c r="H251"/>
  <c r="V251" s="1"/>
  <c r="F252" l="1"/>
  <c r="E253"/>
  <c r="W250"/>
  <c r="X250"/>
  <c r="A252"/>
  <c r="H252"/>
  <c r="V252" s="1"/>
  <c r="K251"/>
  <c r="Q249"/>
  <c r="S249" s="1"/>
  <c r="S252" l="1"/>
  <c r="E254"/>
  <c r="F253"/>
  <c r="I253" s="1"/>
  <c r="J253" s="1"/>
  <c r="X249"/>
  <c r="W249"/>
  <c r="L251"/>
  <c r="M251" s="1"/>
  <c r="P251" s="1"/>
  <c r="N251"/>
  <c r="O251" s="1"/>
  <c r="H253"/>
  <c r="V253" s="1"/>
  <c r="A253"/>
  <c r="F254" l="1"/>
  <c r="E255"/>
  <c r="W252"/>
  <c r="X252"/>
  <c r="A254"/>
  <c r="H254"/>
  <c r="V254" s="1"/>
  <c r="Q251"/>
  <c r="S251" s="1"/>
  <c r="K253"/>
  <c r="S254" l="1"/>
  <c r="E256"/>
  <c r="F255"/>
  <c r="I255" s="1"/>
  <c r="J255" s="1"/>
  <c r="X251"/>
  <c r="W251"/>
  <c r="N253"/>
  <c r="O253" s="1"/>
  <c r="L253"/>
  <c r="M253" s="1"/>
  <c r="P253" s="1"/>
  <c r="A255"/>
  <c r="H255"/>
  <c r="V255" s="1"/>
  <c r="F256" l="1"/>
  <c r="E257"/>
  <c r="W254"/>
  <c r="X254"/>
  <c r="Q253"/>
  <c r="S253" s="1"/>
  <c r="A256"/>
  <c r="H256"/>
  <c r="S256" s="1"/>
  <c r="K255"/>
  <c r="V256" l="1"/>
  <c r="X256" s="1"/>
  <c r="E258"/>
  <c r="F257"/>
  <c r="I257" s="1"/>
  <c r="J257" s="1"/>
  <c r="W256"/>
  <c r="X253"/>
  <c r="W253"/>
  <c r="L255"/>
  <c r="M255" s="1"/>
  <c r="P255" s="1"/>
  <c r="N255"/>
  <c r="O255" s="1"/>
  <c r="H257"/>
  <c r="V257" s="1"/>
  <c r="A257"/>
  <c r="F258"/>
  <c r="E259" l="1"/>
  <c r="K257"/>
  <c r="A258"/>
  <c r="H258"/>
  <c r="V258" s="1"/>
  <c r="Q255"/>
  <c r="S255" s="1"/>
  <c r="F259" l="1"/>
  <c r="I259" s="1"/>
  <c r="J259" s="1"/>
  <c r="S258"/>
  <c r="E260"/>
  <c r="X255"/>
  <c r="W255"/>
  <c r="L257"/>
  <c r="M257" s="1"/>
  <c r="P257" s="1"/>
  <c r="N257"/>
  <c r="O257" s="1"/>
  <c r="H259"/>
  <c r="V259" s="1"/>
  <c r="A259"/>
  <c r="E261" l="1"/>
  <c r="F260"/>
  <c r="W258"/>
  <c r="X258"/>
  <c r="K259"/>
  <c r="Q257"/>
  <c r="S257" s="1"/>
  <c r="A260"/>
  <c r="H260"/>
  <c r="V260" s="1"/>
  <c r="F261" l="1"/>
  <c r="I261" s="1"/>
  <c r="J261" s="1"/>
  <c r="S260"/>
  <c r="E262"/>
  <c r="X257"/>
  <c r="W257"/>
  <c r="N259"/>
  <c r="O259" s="1"/>
  <c r="L259"/>
  <c r="M259" s="1"/>
  <c r="P259" s="1"/>
  <c r="H261"/>
  <c r="V261" s="1"/>
  <c r="A261"/>
  <c r="F262" l="1"/>
  <c r="E263"/>
  <c r="W260"/>
  <c r="X260"/>
  <c r="A262"/>
  <c r="H262"/>
  <c r="S262" s="1"/>
  <c r="Q259"/>
  <c r="S259" s="1"/>
  <c r="K261"/>
  <c r="V262" l="1"/>
  <c r="X262" s="1"/>
  <c r="E264"/>
  <c r="F263"/>
  <c r="I263" s="1"/>
  <c r="J263" s="1"/>
  <c r="W262"/>
  <c r="X259"/>
  <c r="W259"/>
  <c r="H263"/>
  <c r="V263" s="1"/>
  <c r="A263"/>
  <c r="N261"/>
  <c r="O261" s="1"/>
  <c r="L261"/>
  <c r="M261" s="1"/>
  <c r="P261" s="1"/>
  <c r="E265" l="1"/>
  <c r="F264"/>
  <c r="H264"/>
  <c r="S264" s="1"/>
  <c r="A264"/>
  <c r="K263"/>
  <c r="Q261"/>
  <c r="S261" s="1"/>
  <c r="V264" l="1"/>
  <c r="E266"/>
  <c r="F265"/>
  <c r="I265" s="1"/>
  <c r="J265" s="1"/>
  <c r="X261"/>
  <c r="W261"/>
  <c r="N263"/>
  <c r="O263" s="1"/>
  <c r="L263"/>
  <c r="M263" s="1"/>
  <c r="P263" s="1"/>
  <c r="H265"/>
  <c r="V265" s="1"/>
  <c r="A265"/>
  <c r="S266" l="1"/>
  <c r="F266"/>
  <c r="E267"/>
  <c r="W264"/>
  <c r="X264"/>
  <c r="H266"/>
  <c r="V266" s="1"/>
  <c r="A266"/>
  <c r="Q263"/>
  <c r="S263" s="1"/>
  <c r="K265"/>
  <c r="N265" s="1"/>
  <c r="E268" l="1"/>
  <c r="F267"/>
  <c r="I267" s="1"/>
  <c r="J267" s="1"/>
  <c r="X263"/>
  <c r="W263"/>
  <c r="A267"/>
  <c r="H267"/>
  <c r="V267" s="1"/>
  <c r="L265"/>
  <c r="M265" s="1"/>
  <c r="P265" s="1"/>
  <c r="O265"/>
  <c r="F268" l="1"/>
  <c r="E269"/>
  <c r="W266"/>
  <c r="X266"/>
  <c r="H268"/>
  <c r="V268" s="1"/>
  <c r="A268"/>
  <c r="K267"/>
  <c r="Q265"/>
  <c r="S265" s="1"/>
  <c r="S268" l="1"/>
  <c r="E270"/>
  <c r="F269"/>
  <c r="I269" s="1"/>
  <c r="J269" s="1"/>
  <c r="X265"/>
  <c r="W265"/>
  <c r="H269"/>
  <c r="V269" s="1"/>
  <c r="A269"/>
  <c r="L267"/>
  <c r="M267" s="1"/>
  <c r="P267" s="1"/>
  <c r="N267"/>
  <c r="O267" s="1"/>
  <c r="F270" l="1"/>
  <c r="E271"/>
  <c r="W268"/>
  <c r="X268"/>
  <c r="K269"/>
  <c r="A270"/>
  <c r="H270"/>
  <c r="S270" s="1"/>
  <c r="Q267"/>
  <c r="S267" s="1"/>
  <c r="V270" l="1"/>
  <c r="X270" s="1"/>
  <c r="E272"/>
  <c r="F271"/>
  <c r="I271" s="1"/>
  <c r="J271" s="1"/>
  <c r="W270"/>
  <c r="X267"/>
  <c r="W267"/>
  <c r="N269"/>
  <c r="O269" s="1"/>
  <c r="L269"/>
  <c r="M269" s="1"/>
  <c r="P269" s="1"/>
  <c r="H271"/>
  <c r="V271" s="1"/>
  <c r="A271"/>
  <c r="F272" l="1"/>
  <c r="E273"/>
  <c r="A272"/>
  <c r="H272"/>
  <c r="S272" s="1"/>
  <c r="K271"/>
  <c r="Q269"/>
  <c r="S269" s="1"/>
  <c r="F273" l="1"/>
  <c r="I273" s="1"/>
  <c r="J273" s="1"/>
  <c r="V272"/>
  <c r="X272" s="1"/>
  <c r="E274"/>
  <c r="X269"/>
  <c r="W269"/>
  <c r="W272"/>
  <c r="N271"/>
  <c r="O271" s="1"/>
  <c r="L271"/>
  <c r="M271" s="1"/>
  <c r="P271" s="1"/>
  <c r="H273"/>
  <c r="V273" s="1"/>
  <c r="A273"/>
  <c r="E275" l="1"/>
  <c r="F274"/>
  <c r="A274"/>
  <c r="H274"/>
  <c r="V274" s="1"/>
  <c r="Q271"/>
  <c r="S271" s="1"/>
  <c r="K273"/>
  <c r="S274" l="1"/>
  <c r="E276"/>
  <c r="F275"/>
  <c r="I275" s="1"/>
  <c r="J275" s="1"/>
  <c r="X271"/>
  <c r="W271"/>
  <c r="H275"/>
  <c r="V275" s="1"/>
  <c r="A275"/>
  <c r="N273"/>
  <c r="O273" s="1"/>
  <c r="L273"/>
  <c r="M273" s="1"/>
  <c r="P273" s="1"/>
  <c r="S276" l="1"/>
  <c r="E277"/>
  <c r="F276"/>
  <c r="X274"/>
  <c r="W274"/>
  <c r="K275"/>
  <c r="Q273"/>
  <c r="S273" s="1"/>
  <c r="H276"/>
  <c r="V276" s="1"/>
  <c r="A276"/>
  <c r="F277" l="1"/>
  <c r="I277" s="1"/>
  <c r="J277" s="1"/>
  <c r="E278"/>
  <c r="X276"/>
  <c r="W273"/>
  <c r="X273"/>
  <c r="W276"/>
  <c r="L275"/>
  <c r="M275" s="1"/>
  <c r="P275" s="1"/>
  <c r="N275"/>
  <c r="O275" s="1"/>
  <c r="A277"/>
  <c r="H277"/>
  <c r="V277" s="1"/>
  <c r="F278" l="1"/>
  <c r="S278"/>
  <c r="E279"/>
  <c r="A278"/>
  <c r="H278"/>
  <c r="V278" s="1"/>
  <c r="Q275"/>
  <c r="S275" s="1"/>
  <c r="K277"/>
  <c r="E280" l="1"/>
  <c r="F279"/>
  <c r="I279" s="1"/>
  <c r="J279" s="1"/>
  <c r="W275"/>
  <c r="X275"/>
  <c r="H279"/>
  <c r="V279" s="1"/>
  <c r="A279"/>
  <c r="L277"/>
  <c r="M277" s="1"/>
  <c r="P277" s="1"/>
  <c r="N277"/>
  <c r="O277" s="1"/>
  <c r="F280" l="1"/>
  <c r="E281"/>
  <c r="X278"/>
  <c r="W278"/>
  <c r="A280"/>
  <c r="H280"/>
  <c r="V280" s="1"/>
  <c r="K279"/>
  <c r="Q277"/>
  <c r="S277" s="1"/>
  <c r="F281" l="1"/>
  <c r="I281" s="1"/>
  <c r="J281" s="1"/>
  <c r="S280"/>
  <c r="W280" s="1"/>
  <c r="E282"/>
  <c r="W277"/>
  <c r="X277"/>
  <c r="A281"/>
  <c r="H281"/>
  <c r="V281" s="1"/>
  <c r="N279"/>
  <c r="O279" s="1"/>
  <c r="L279"/>
  <c r="M279" s="1"/>
  <c r="P279" s="1"/>
  <c r="F282" l="1"/>
  <c r="X280"/>
  <c r="E283"/>
  <c r="K281"/>
  <c r="A282"/>
  <c r="H282"/>
  <c r="V282" s="1"/>
  <c r="Q279"/>
  <c r="S279" s="1"/>
  <c r="S282" l="1"/>
  <c r="E284"/>
  <c r="F283"/>
  <c r="I283" s="1"/>
  <c r="J283" s="1"/>
  <c r="W279"/>
  <c r="X279"/>
  <c r="N281"/>
  <c r="O281" s="1"/>
  <c r="L281"/>
  <c r="M281" s="1"/>
  <c r="P281" s="1"/>
  <c r="H283"/>
  <c r="V283" s="1"/>
  <c r="A283"/>
  <c r="F284" l="1"/>
  <c r="E285"/>
  <c r="X282"/>
  <c r="W282"/>
  <c r="Q281"/>
  <c r="S281" s="1"/>
  <c r="A284"/>
  <c r="H284"/>
  <c r="S284" s="1"/>
  <c r="K283"/>
  <c r="V284" l="1"/>
  <c r="X284" s="1"/>
  <c r="E286"/>
  <c r="F285"/>
  <c r="I285" s="1"/>
  <c r="J285" s="1"/>
  <c r="W281"/>
  <c r="X281"/>
  <c r="N283"/>
  <c r="O283" s="1"/>
  <c r="L283"/>
  <c r="M283" s="1"/>
  <c r="P283" s="1"/>
  <c r="H285"/>
  <c r="V285" s="1"/>
  <c r="A285"/>
  <c r="F286" l="1"/>
  <c r="W284"/>
  <c r="E287"/>
  <c r="Q283"/>
  <c r="S283" s="1"/>
  <c r="H286"/>
  <c r="V286" s="1"/>
  <c r="A286"/>
  <c r="K285"/>
  <c r="S286" l="1"/>
  <c r="E288"/>
  <c r="F287"/>
  <c r="I287" s="1"/>
  <c r="J287" s="1"/>
  <c r="W283"/>
  <c r="X283"/>
  <c r="A287"/>
  <c r="H287"/>
  <c r="V287" s="1"/>
  <c r="N285"/>
  <c r="O285" s="1"/>
  <c r="L285"/>
  <c r="M285" s="1"/>
  <c r="P285" s="1"/>
  <c r="F288" l="1"/>
  <c r="E289"/>
  <c r="X286"/>
  <c r="W286"/>
  <c r="K287"/>
  <c r="A288"/>
  <c r="H288"/>
  <c r="S288" s="1"/>
  <c r="Q285"/>
  <c r="S285" s="1"/>
  <c r="V288" l="1"/>
  <c r="E290"/>
  <c r="F289"/>
  <c r="I289" s="1"/>
  <c r="J289" s="1"/>
  <c r="W285"/>
  <c r="X285"/>
  <c r="L287"/>
  <c r="M287" s="1"/>
  <c r="P287" s="1"/>
  <c r="N287"/>
  <c r="O287" s="1"/>
  <c r="H289"/>
  <c r="V289" s="1"/>
  <c r="A289"/>
  <c r="F290" l="1"/>
  <c r="S290"/>
  <c r="E291"/>
  <c r="X288"/>
  <c r="W288"/>
  <c r="K289"/>
  <c r="A290"/>
  <c r="H290"/>
  <c r="V290" s="1"/>
  <c r="Q287"/>
  <c r="S287" s="1"/>
  <c r="E292" l="1"/>
  <c r="F291"/>
  <c r="I291" s="1"/>
  <c r="J291" s="1"/>
  <c r="W287"/>
  <c r="X287"/>
  <c r="N289"/>
  <c r="O289" s="1"/>
  <c r="L289"/>
  <c r="M289" s="1"/>
  <c r="P289" s="1"/>
  <c r="A291"/>
  <c r="H291"/>
  <c r="V291" s="1"/>
  <c r="F292" l="1"/>
  <c r="E293"/>
  <c r="X290"/>
  <c r="W290"/>
  <c r="A292"/>
  <c r="H292"/>
  <c r="S292" s="1"/>
  <c r="Q289"/>
  <c r="S289" s="1"/>
  <c r="K291"/>
  <c r="V292" l="1"/>
  <c r="X292" s="1"/>
  <c r="E294"/>
  <c r="F293"/>
  <c r="I293" s="1"/>
  <c r="J293" s="1"/>
  <c r="W292"/>
  <c r="W289"/>
  <c r="X289"/>
  <c r="H293"/>
  <c r="V293" s="1"/>
  <c r="A293"/>
  <c r="N291"/>
  <c r="O291" s="1"/>
  <c r="L291"/>
  <c r="M291" s="1"/>
  <c r="P291" s="1"/>
  <c r="E295" l="1"/>
  <c r="F294"/>
  <c r="H294"/>
  <c r="S294" s="1"/>
  <c r="A294"/>
  <c r="K293"/>
  <c r="Q291"/>
  <c r="S291" s="1"/>
  <c r="V294" l="1"/>
  <c r="X294" s="1"/>
  <c r="E296"/>
  <c r="F295"/>
  <c r="I295" s="1"/>
  <c r="J295" s="1"/>
  <c r="W291"/>
  <c r="X291"/>
  <c r="W294"/>
  <c r="H295"/>
  <c r="V295" s="1"/>
  <c r="A295"/>
  <c r="L293"/>
  <c r="M293" s="1"/>
  <c r="P293" s="1"/>
  <c r="N293"/>
  <c r="O293" s="1"/>
  <c r="F296" l="1"/>
  <c r="S296"/>
  <c r="E297"/>
  <c r="A296"/>
  <c r="H296"/>
  <c r="V296" s="1"/>
  <c r="K295"/>
  <c r="Q293"/>
  <c r="S293" s="1"/>
  <c r="E298" l="1"/>
  <c r="F297"/>
  <c r="I297" s="1"/>
  <c r="J297" s="1"/>
  <c r="W293"/>
  <c r="X293"/>
  <c r="A297"/>
  <c r="H297"/>
  <c r="V297" s="1"/>
  <c r="L295"/>
  <c r="M295" s="1"/>
  <c r="P295" s="1"/>
  <c r="N295"/>
  <c r="O295" s="1"/>
  <c r="F298" l="1"/>
  <c r="E299"/>
  <c r="W296"/>
  <c r="X296"/>
  <c r="A298"/>
  <c r="H298"/>
  <c r="S298" s="1"/>
  <c r="K297"/>
  <c r="Q295"/>
  <c r="S295" s="1"/>
  <c r="V298" l="1"/>
  <c r="X298" s="1"/>
  <c r="E300"/>
  <c r="F299"/>
  <c r="I299" s="1"/>
  <c r="J299" s="1"/>
  <c r="W298"/>
  <c r="W295"/>
  <c r="X295"/>
  <c r="A299"/>
  <c r="H299"/>
  <c r="V299" s="1"/>
  <c r="L297"/>
  <c r="M297" s="1"/>
  <c r="P297" s="1"/>
  <c r="N297"/>
  <c r="O297" s="1"/>
  <c r="F300" l="1"/>
  <c r="E301"/>
  <c r="K299"/>
  <c r="Q297"/>
  <c r="S297" s="1"/>
  <c r="H300"/>
  <c r="S300" s="1"/>
  <c r="A300"/>
  <c r="V300" l="1"/>
  <c r="E302"/>
  <c r="F301"/>
  <c r="I301" s="1"/>
  <c r="J301" s="1"/>
  <c r="W297"/>
  <c r="X297"/>
  <c r="L299"/>
  <c r="M299" s="1"/>
  <c r="P299" s="1"/>
  <c r="N299"/>
  <c r="O299" s="1"/>
  <c r="H301"/>
  <c r="V301" s="1"/>
  <c r="A301"/>
  <c r="F302" l="1"/>
  <c r="E303"/>
  <c r="W300"/>
  <c r="X300"/>
  <c r="H302"/>
  <c r="V302" s="1"/>
  <c r="A302"/>
  <c r="Q299"/>
  <c r="S299" s="1"/>
  <c r="K301"/>
  <c r="S302" l="1"/>
  <c r="E304"/>
  <c r="F303"/>
  <c r="I303" s="1"/>
  <c r="W299"/>
  <c r="X299"/>
  <c r="N301"/>
  <c r="O301" s="1"/>
  <c r="L301"/>
  <c r="M301" s="1"/>
  <c r="P301" s="1"/>
  <c r="H303"/>
  <c r="V303" s="1"/>
  <c r="J303"/>
  <c r="A303"/>
  <c r="F304" l="1"/>
  <c r="E305"/>
  <c r="W302"/>
  <c r="X302"/>
  <c r="K303"/>
  <c r="H304"/>
  <c r="S304" s="1"/>
  <c r="A304"/>
  <c r="Q301"/>
  <c r="S301" s="1"/>
  <c r="V304" l="1"/>
  <c r="W304"/>
  <c r="E306"/>
  <c r="F305"/>
  <c r="I305" s="1"/>
  <c r="J305" s="1"/>
  <c r="W301"/>
  <c r="X301"/>
  <c r="L303"/>
  <c r="M303" s="1"/>
  <c r="P303" s="1"/>
  <c r="N303"/>
  <c r="O303" s="1"/>
  <c r="A305"/>
  <c r="H305"/>
  <c r="V305" s="1"/>
  <c r="X304" l="1"/>
  <c r="E307"/>
  <c r="F306"/>
  <c r="Q303"/>
  <c r="S303" s="1"/>
  <c r="K305"/>
  <c r="H306"/>
  <c r="S306" s="1"/>
  <c r="A306"/>
  <c r="V306" l="1"/>
  <c r="X306" s="1"/>
  <c r="E308"/>
  <c r="F307"/>
  <c r="I307" s="1"/>
  <c r="J307" s="1"/>
  <c r="W306"/>
  <c r="W303"/>
  <c r="X303"/>
  <c r="H307"/>
  <c r="V307" s="1"/>
  <c r="A307"/>
  <c r="N305"/>
  <c r="O305" s="1"/>
  <c r="L305"/>
  <c r="M305" s="1"/>
  <c r="P305" s="1"/>
  <c r="F308" l="1"/>
  <c r="S308"/>
  <c r="E309"/>
  <c r="A308"/>
  <c r="H308"/>
  <c r="V308" s="1"/>
  <c r="Q305"/>
  <c r="S305" s="1"/>
  <c r="K307"/>
  <c r="F309" l="1"/>
  <c r="I309" s="1"/>
  <c r="J309" s="1"/>
  <c r="E310"/>
  <c r="W308"/>
  <c r="X308"/>
  <c r="W305"/>
  <c r="X305"/>
  <c r="L307"/>
  <c r="M307" s="1"/>
  <c r="P307" s="1"/>
  <c r="N307"/>
  <c r="O307" s="1"/>
  <c r="H309"/>
  <c r="V309" s="1"/>
  <c r="A309"/>
  <c r="E311" l="1"/>
  <c r="F310"/>
  <c r="K309"/>
  <c r="Q307"/>
  <c r="S307" s="1"/>
  <c r="H310"/>
  <c r="S310" s="1"/>
  <c r="A310"/>
  <c r="V310" l="1"/>
  <c r="E312"/>
  <c r="F311"/>
  <c r="I311" s="1"/>
  <c r="J311" s="1"/>
  <c r="W307"/>
  <c r="X307"/>
  <c r="L309"/>
  <c r="M309" s="1"/>
  <c r="P309" s="1"/>
  <c r="N309"/>
  <c r="O309" s="1"/>
  <c r="A311"/>
  <c r="H311"/>
  <c r="V311" s="1"/>
  <c r="E313" l="1"/>
  <c r="F312"/>
  <c r="W310"/>
  <c r="X310"/>
  <c r="Q309"/>
  <c r="S309" s="1"/>
  <c r="K311"/>
  <c r="H312"/>
  <c r="V312" s="1"/>
  <c r="A312"/>
  <c r="F313" l="1"/>
  <c r="I313" s="1"/>
  <c r="J313" s="1"/>
  <c r="S312"/>
  <c r="E314"/>
  <c r="W309"/>
  <c r="X309"/>
  <c r="N311"/>
  <c r="O311" s="1"/>
  <c r="L311"/>
  <c r="M311" s="1"/>
  <c r="P311" s="1"/>
  <c r="A313"/>
  <c r="H313"/>
  <c r="V313" s="1"/>
  <c r="F314" l="1"/>
  <c r="S314"/>
  <c r="E315"/>
  <c r="W312"/>
  <c r="X312"/>
  <c r="K313"/>
  <c r="H314"/>
  <c r="V314" s="1"/>
  <c r="A314"/>
  <c r="Q311"/>
  <c r="S311" s="1"/>
  <c r="E316" l="1"/>
  <c r="F315"/>
  <c r="I315" s="1"/>
  <c r="J315" s="1"/>
  <c r="W311"/>
  <c r="X311"/>
  <c r="N313"/>
  <c r="O313" s="1"/>
  <c r="L313"/>
  <c r="M313" s="1"/>
  <c r="P313" s="1"/>
  <c r="A315"/>
  <c r="H315"/>
  <c r="V315" s="1"/>
  <c r="F316" l="1"/>
  <c r="E317"/>
  <c r="W314"/>
  <c r="X314"/>
  <c r="H316"/>
  <c r="V316" s="1"/>
  <c r="A316"/>
  <c r="K315"/>
  <c r="Q313"/>
  <c r="S313" s="1"/>
  <c r="S316" l="1"/>
  <c r="E318"/>
  <c r="F317"/>
  <c r="I317" s="1"/>
  <c r="J317" s="1"/>
  <c r="W313"/>
  <c r="X313"/>
  <c r="N315"/>
  <c r="O315" s="1"/>
  <c r="L315"/>
  <c r="M315" s="1"/>
  <c r="P315" s="1"/>
  <c r="A317"/>
  <c r="F318"/>
  <c r="H317"/>
  <c r="V317" s="1"/>
  <c r="E319" l="1"/>
  <c r="W316"/>
  <c r="X316"/>
  <c r="H318"/>
  <c r="V318" s="1"/>
  <c r="A318"/>
  <c r="Q315"/>
  <c r="S315" s="1"/>
  <c r="K317"/>
  <c r="F319" l="1"/>
  <c r="I319" s="1"/>
  <c r="J319" s="1"/>
  <c r="S318"/>
  <c r="E320"/>
  <c r="W315"/>
  <c r="X315"/>
  <c r="H319"/>
  <c r="V319" s="1"/>
  <c r="A319"/>
  <c r="L317"/>
  <c r="M317" s="1"/>
  <c r="P317" s="1"/>
  <c r="N317"/>
  <c r="O317" s="1"/>
  <c r="F320" l="1"/>
  <c r="S320"/>
  <c r="E321"/>
  <c r="W318"/>
  <c r="X318"/>
  <c r="K319"/>
  <c r="Q317"/>
  <c r="S317" s="1"/>
  <c r="A320"/>
  <c r="H320"/>
  <c r="V320" s="1"/>
  <c r="E322" l="1"/>
  <c r="F321"/>
  <c r="I321" s="1"/>
  <c r="J321" s="1"/>
  <c r="W317"/>
  <c r="X317"/>
  <c r="L319"/>
  <c r="M319" s="1"/>
  <c r="P319" s="1"/>
  <c r="N319"/>
  <c r="O319" s="1"/>
  <c r="H321"/>
  <c r="V321" s="1"/>
  <c r="A321"/>
  <c r="S322" l="1"/>
  <c r="E323"/>
  <c r="F322"/>
  <c r="W320"/>
  <c r="X320"/>
  <c r="Q319"/>
  <c r="S319" s="1"/>
  <c r="H322"/>
  <c r="V322" s="1"/>
  <c r="A322"/>
  <c r="K321"/>
  <c r="F323" l="1"/>
  <c r="I323" s="1"/>
  <c r="J323" s="1"/>
  <c r="E324"/>
  <c r="W319"/>
  <c r="X319"/>
  <c r="L321"/>
  <c r="M321" s="1"/>
  <c r="P321" s="1"/>
  <c r="N321"/>
  <c r="O321" s="1"/>
  <c r="A323"/>
  <c r="H323"/>
  <c r="V323" s="1"/>
  <c r="F324" l="1"/>
  <c r="E325"/>
  <c r="W322"/>
  <c r="X322"/>
  <c r="A324"/>
  <c r="H324"/>
  <c r="V324" s="1"/>
  <c r="K323"/>
  <c r="Q321"/>
  <c r="S321" s="1"/>
  <c r="S324" l="1"/>
  <c r="E326"/>
  <c r="F325"/>
  <c r="I325" s="1"/>
  <c r="J325" s="1"/>
  <c r="W321"/>
  <c r="X321"/>
  <c r="H325"/>
  <c r="V325" s="1"/>
  <c r="A325"/>
  <c r="N323"/>
  <c r="O323" s="1"/>
  <c r="L323"/>
  <c r="M323" s="1"/>
  <c r="P323" s="1"/>
  <c r="F326" l="1"/>
  <c r="S326"/>
  <c r="E327"/>
  <c r="W324"/>
  <c r="X324"/>
  <c r="K325"/>
  <c r="Q323"/>
  <c r="S323" s="1"/>
  <c r="H326"/>
  <c r="V326" s="1"/>
  <c r="A326"/>
  <c r="F327" l="1"/>
  <c r="I327" s="1"/>
  <c r="J327" s="1"/>
  <c r="E328"/>
  <c r="W323"/>
  <c r="X323"/>
  <c r="L325"/>
  <c r="M325" s="1"/>
  <c r="P325" s="1"/>
  <c r="N325"/>
  <c r="O325" s="1"/>
  <c r="A327"/>
  <c r="H327"/>
  <c r="V327" s="1"/>
  <c r="F328" l="1"/>
  <c r="E329"/>
  <c r="W326"/>
  <c r="X326"/>
  <c r="A328"/>
  <c r="H328"/>
  <c r="S328" s="1"/>
  <c r="Q325"/>
  <c r="S325" s="1"/>
  <c r="K327"/>
  <c r="V328" l="1"/>
  <c r="E330"/>
  <c r="F329"/>
  <c r="I329" s="1"/>
  <c r="J329" s="1"/>
  <c r="W325"/>
  <c r="X325"/>
  <c r="A329"/>
  <c r="H329"/>
  <c r="V329" s="1"/>
  <c r="L327"/>
  <c r="M327" s="1"/>
  <c r="P327" s="1"/>
  <c r="N327"/>
  <c r="O327" s="1"/>
  <c r="S330" l="1"/>
  <c r="E331"/>
  <c r="F330"/>
  <c r="W328"/>
  <c r="X328"/>
  <c r="K329"/>
  <c r="Q327"/>
  <c r="S327" s="1"/>
  <c r="H330"/>
  <c r="V330" s="1"/>
  <c r="A330"/>
  <c r="F331"/>
  <c r="I331" s="1"/>
  <c r="E332" l="1"/>
  <c r="W327"/>
  <c r="X327"/>
  <c r="N329"/>
  <c r="O329" s="1"/>
  <c r="L329"/>
  <c r="M329" s="1"/>
  <c r="P329" s="1"/>
  <c r="H331"/>
  <c r="V331" s="1"/>
  <c r="J331"/>
  <c r="A331"/>
  <c r="F332" l="1"/>
  <c r="E333"/>
  <c r="W330"/>
  <c r="X330"/>
  <c r="Q329"/>
  <c r="S329" s="1"/>
  <c r="K331"/>
  <c r="A332"/>
  <c r="H332"/>
  <c r="V332" s="1"/>
  <c r="S332" l="1"/>
  <c r="E334"/>
  <c r="F333"/>
  <c r="I333" s="1"/>
  <c r="J333" s="1"/>
  <c r="W329"/>
  <c r="X329"/>
  <c r="L331"/>
  <c r="M331" s="1"/>
  <c r="P331" s="1"/>
  <c r="N331"/>
  <c r="O331" s="1"/>
  <c r="H333"/>
  <c r="V333" s="1"/>
  <c r="A333"/>
  <c r="F334" l="1"/>
  <c r="S334"/>
  <c r="E335"/>
  <c r="W332"/>
  <c r="X332"/>
  <c r="Q331"/>
  <c r="S331" s="1"/>
  <c r="A334"/>
  <c r="H334"/>
  <c r="V334" s="1"/>
  <c r="K333"/>
  <c r="F335" l="1"/>
  <c r="I335" s="1"/>
  <c r="J335" s="1"/>
  <c r="E336"/>
  <c r="W331"/>
  <c r="X331"/>
  <c r="L333"/>
  <c r="M333" s="1"/>
  <c r="P333" s="1"/>
  <c r="N333"/>
  <c r="O333" s="1"/>
  <c r="H335"/>
  <c r="V335" s="1"/>
  <c r="A335"/>
  <c r="F336" l="1"/>
  <c r="S336"/>
  <c r="E337"/>
  <c r="W334"/>
  <c r="X334"/>
  <c r="K335"/>
  <c r="A336"/>
  <c r="H336"/>
  <c r="V336" s="1"/>
  <c r="Q333"/>
  <c r="S333" s="1"/>
  <c r="F337" l="1"/>
  <c r="I337" s="1"/>
  <c r="J337" s="1"/>
  <c r="E338"/>
  <c r="W333"/>
  <c r="X333"/>
  <c r="N335"/>
  <c r="O335" s="1"/>
  <c r="L335"/>
  <c r="M335" s="1"/>
  <c r="P335" s="1"/>
  <c r="H337"/>
  <c r="V337" s="1"/>
  <c r="A337"/>
  <c r="F338" l="1"/>
  <c r="S338"/>
  <c r="E339"/>
  <c r="W336"/>
  <c r="X336"/>
  <c r="Q335"/>
  <c r="S335" s="1"/>
  <c r="K337"/>
  <c r="H338"/>
  <c r="V338" s="1"/>
  <c r="A338"/>
  <c r="F339" l="1"/>
  <c r="I339" s="1"/>
  <c r="J339" s="1"/>
  <c r="E340"/>
  <c r="W335"/>
  <c r="X335"/>
  <c r="L337"/>
  <c r="M337" s="1"/>
  <c r="P337" s="1"/>
  <c r="N337"/>
  <c r="O337" s="1"/>
  <c r="H339"/>
  <c r="V339" s="1"/>
  <c r="A339"/>
  <c r="F340" l="1"/>
  <c r="S340"/>
  <c r="E341"/>
  <c r="W338"/>
  <c r="X338"/>
  <c r="K339"/>
  <c r="H340"/>
  <c r="V340" s="1"/>
  <c r="A340"/>
  <c r="Q337"/>
  <c r="S337" s="1"/>
  <c r="F341" l="1"/>
  <c r="I341" s="1"/>
  <c r="J341" s="1"/>
  <c r="W340"/>
  <c r="E342"/>
  <c r="W337"/>
  <c r="X337"/>
  <c r="L339"/>
  <c r="M339" s="1"/>
  <c r="P339" s="1"/>
  <c r="N339"/>
  <c r="O339" s="1"/>
  <c r="A341"/>
  <c r="H341"/>
  <c r="V341" s="1"/>
  <c r="X340" l="1"/>
  <c r="E343"/>
  <c r="F342"/>
  <c r="K341"/>
  <c r="Q339"/>
  <c r="S339" s="1"/>
  <c r="H342"/>
  <c r="S342" s="1"/>
  <c r="A342"/>
  <c r="V342" l="1"/>
  <c r="E344"/>
  <c r="F343"/>
  <c r="I343" s="1"/>
  <c r="J343" s="1"/>
  <c r="W339"/>
  <c r="X339"/>
  <c r="N341"/>
  <c r="O341" s="1"/>
  <c r="L341"/>
  <c r="M341" s="1"/>
  <c r="P341" s="1"/>
  <c r="A343"/>
  <c r="H343"/>
  <c r="V343" s="1"/>
  <c r="S344" l="1"/>
  <c r="E345"/>
  <c r="F344"/>
  <c r="W342"/>
  <c r="X342"/>
  <c r="Q341"/>
  <c r="S341" s="1"/>
  <c r="A344"/>
  <c r="H344"/>
  <c r="V344" s="1"/>
  <c r="K343"/>
  <c r="E346" l="1"/>
  <c r="F345"/>
  <c r="I345" s="1"/>
  <c r="J345" s="1"/>
  <c r="W341"/>
  <c r="X341"/>
  <c r="W344"/>
  <c r="X344"/>
  <c r="N343"/>
  <c r="O343" s="1"/>
  <c r="L343"/>
  <c r="M343" s="1"/>
  <c r="P343" s="1"/>
  <c r="H345"/>
  <c r="V345" s="1"/>
  <c r="A345"/>
  <c r="F346" l="1"/>
  <c r="S346"/>
  <c r="E347"/>
  <c r="H346"/>
  <c r="V346" s="1"/>
  <c r="A346"/>
  <c r="K345"/>
  <c r="Q343"/>
  <c r="S343" s="1"/>
  <c r="E348" l="1"/>
  <c r="F347"/>
  <c r="I347" s="1"/>
  <c r="J347" s="1"/>
  <c r="W346"/>
  <c r="X346"/>
  <c r="W343"/>
  <c r="X343"/>
  <c r="A347"/>
  <c r="H347"/>
  <c r="V347" s="1"/>
  <c r="L345"/>
  <c r="M345" s="1"/>
  <c r="P345" s="1"/>
  <c r="N345"/>
  <c r="O345" s="1"/>
  <c r="E349" l="1"/>
  <c r="F348"/>
  <c r="Q345"/>
  <c r="S345" s="1"/>
  <c r="H348"/>
  <c r="V348" s="1"/>
  <c r="A348"/>
  <c r="K347"/>
  <c r="F349" l="1"/>
  <c r="I349" s="1"/>
  <c r="J349" s="1"/>
  <c r="S348"/>
  <c r="X348" s="1"/>
  <c r="E350"/>
  <c r="W345"/>
  <c r="X345"/>
  <c r="H349"/>
  <c r="V349" s="1"/>
  <c r="A349"/>
  <c r="N347"/>
  <c r="O347" s="1"/>
  <c r="L347"/>
  <c r="M347" s="1"/>
  <c r="P347" s="1"/>
  <c r="S350" l="1"/>
  <c r="W348"/>
  <c r="E351"/>
  <c r="F350"/>
  <c r="K349"/>
  <c r="Q347"/>
  <c r="S347" s="1"/>
  <c r="A350"/>
  <c r="H350"/>
  <c r="V350" s="1"/>
  <c r="E352" l="1"/>
  <c r="F351"/>
  <c r="I351" s="1"/>
  <c r="J351" s="1"/>
  <c r="W347"/>
  <c r="X347"/>
  <c r="N349"/>
  <c r="O349" s="1"/>
  <c r="L349"/>
  <c r="M349" s="1"/>
  <c r="P349" s="1"/>
  <c r="A351"/>
  <c r="H351"/>
  <c r="V351" s="1"/>
  <c r="S352" l="1"/>
  <c r="E353"/>
  <c r="F352"/>
  <c r="W350"/>
  <c r="X350"/>
  <c r="Q349"/>
  <c r="S349" s="1"/>
  <c r="K351"/>
  <c r="H352"/>
  <c r="V352" s="1"/>
  <c r="A352"/>
  <c r="E354" l="1"/>
  <c r="F353"/>
  <c r="I353" s="1"/>
  <c r="J353" s="1"/>
  <c r="W349"/>
  <c r="X349"/>
  <c r="N351"/>
  <c r="O351" s="1"/>
  <c r="L351"/>
  <c r="M351" s="1"/>
  <c r="P351" s="1"/>
  <c r="A353"/>
  <c r="H353"/>
  <c r="V353" s="1"/>
  <c r="F354" l="1"/>
  <c r="E355"/>
  <c r="W352"/>
  <c r="X352"/>
  <c r="A354"/>
  <c r="H354"/>
  <c r="V354" s="1"/>
  <c r="K353"/>
  <c r="Q351"/>
  <c r="S351" s="1"/>
  <c r="F355" l="1"/>
  <c r="I355" s="1"/>
  <c r="J355" s="1"/>
  <c r="S354"/>
  <c r="E356"/>
  <c r="W351"/>
  <c r="X351"/>
  <c r="A355"/>
  <c r="H355"/>
  <c r="V355" s="1"/>
  <c r="L353"/>
  <c r="M353" s="1"/>
  <c r="P353" s="1"/>
  <c r="N353"/>
  <c r="O353" s="1"/>
  <c r="F356" l="1"/>
  <c r="E357"/>
  <c r="W354"/>
  <c r="X354"/>
  <c r="H356"/>
  <c r="V356" s="1"/>
  <c r="A356"/>
  <c r="K355"/>
  <c r="Q353"/>
  <c r="S353" s="1"/>
  <c r="S356" l="1"/>
  <c r="E358"/>
  <c r="F357"/>
  <c r="I357" s="1"/>
  <c r="J357" s="1"/>
  <c r="W353"/>
  <c r="X353"/>
  <c r="N355"/>
  <c r="O355" s="1"/>
  <c r="L355"/>
  <c r="M355" s="1"/>
  <c r="P355" s="1"/>
  <c r="H357"/>
  <c r="V357" s="1"/>
  <c r="A357"/>
  <c r="F358" l="1"/>
  <c r="E359"/>
  <c r="W356"/>
  <c r="X356"/>
  <c r="Q355"/>
  <c r="S355" s="1"/>
  <c r="H358"/>
  <c r="S358" s="1"/>
  <c r="A358"/>
  <c r="K357"/>
  <c r="V358" l="1"/>
  <c r="X358" s="1"/>
  <c r="E360"/>
  <c r="F359"/>
  <c r="I359" s="1"/>
  <c r="J359" s="1"/>
  <c r="W358"/>
  <c r="W355"/>
  <c r="X355"/>
  <c r="A359"/>
  <c r="H359"/>
  <c r="V359" s="1"/>
  <c r="L357"/>
  <c r="M357" s="1"/>
  <c r="P357" s="1"/>
  <c r="N357"/>
  <c r="O357" s="1"/>
  <c r="F360" l="1"/>
  <c r="E361"/>
  <c r="K359"/>
  <c r="Q357"/>
  <c r="S357" s="1"/>
  <c r="A360"/>
  <c r="H360"/>
  <c r="S360" s="1"/>
  <c r="V360" l="1"/>
  <c r="X360" s="1"/>
  <c r="F361"/>
  <c r="I361" s="1"/>
  <c r="J361" s="1"/>
  <c r="E362"/>
  <c r="W357"/>
  <c r="X357"/>
  <c r="W360"/>
  <c r="L359"/>
  <c r="M359" s="1"/>
  <c r="P359" s="1"/>
  <c r="N359"/>
  <c r="O359" s="1"/>
  <c r="H361"/>
  <c r="V361" s="1"/>
  <c r="A361"/>
  <c r="F362" l="1"/>
  <c r="S362"/>
  <c r="E363"/>
  <c r="H362"/>
  <c r="V362" s="1"/>
  <c r="A362"/>
  <c r="K361"/>
  <c r="Q359"/>
  <c r="S359" s="1"/>
  <c r="F363" l="1"/>
  <c r="I363" s="1"/>
  <c r="J363" s="1"/>
  <c r="X362"/>
  <c r="E364"/>
  <c r="W362"/>
  <c r="W359"/>
  <c r="X359"/>
  <c r="L361"/>
  <c r="M361" s="1"/>
  <c r="P361" s="1"/>
  <c r="N361"/>
  <c r="O361" s="1"/>
  <c r="A363"/>
  <c r="H363"/>
  <c r="V363" s="1"/>
  <c r="F364" l="1"/>
  <c r="S364"/>
  <c r="E365"/>
  <c r="Q361"/>
  <c r="S361" s="1"/>
  <c r="H364"/>
  <c r="V364" s="1"/>
  <c r="A364"/>
  <c r="K363"/>
  <c r="F365" l="1"/>
  <c r="I365" s="1"/>
  <c r="E366"/>
  <c r="W361"/>
  <c r="X361"/>
  <c r="W364"/>
  <c r="X364"/>
  <c r="L363"/>
  <c r="M363" s="1"/>
  <c r="P363" s="1"/>
  <c r="N363"/>
  <c r="O363" s="1"/>
  <c r="H365"/>
  <c r="V365" s="1"/>
  <c r="A365"/>
  <c r="J365"/>
  <c r="F366" l="1"/>
  <c r="S366"/>
  <c r="E367"/>
  <c r="K365"/>
  <c r="H366"/>
  <c r="V366" s="1"/>
  <c r="A366"/>
  <c r="Q363"/>
  <c r="S363" s="1"/>
  <c r="F367" l="1"/>
  <c r="I367" s="1"/>
  <c r="J367" s="1"/>
  <c r="E368"/>
  <c r="W363"/>
  <c r="X363"/>
  <c r="N365"/>
  <c r="O365" s="1"/>
  <c r="L365"/>
  <c r="M365" s="1"/>
  <c r="P365" s="1"/>
  <c r="H367"/>
  <c r="V367" s="1"/>
  <c r="A367"/>
  <c r="F368" l="1"/>
  <c r="E369"/>
  <c r="W366"/>
  <c r="X366"/>
  <c r="A368"/>
  <c r="H368"/>
  <c r="S368" s="1"/>
  <c r="K367"/>
  <c r="Q365"/>
  <c r="S365" s="1"/>
  <c r="V368" l="1"/>
  <c r="X368" s="1"/>
  <c r="E370"/>
  <c r="F369"/>
  <c r="I369" s="1"/>
  <c r="J369" s="1"/>
  <c r="W365"/>
  <c r="X365"/>
  <c r="L367"/>
  <c r="M367" s="1"/>
  <c r="P367" s="1"/>
  <c r="N367"/>
  <c r="O367" s="1"/>
  <c r="A369"/>
  <c r="H369"/>
  <c r="V369" s="1"/>
  <c r="F370" l="1"/>
  <c r="S370"/>
  <c r="W368"/>
  <c r="E371"/>
  <c r="A370"/>
  <c r="H370"/>
  <c r="V370" s="1"/>
  <c r="K369"/>
  <c r="Q367"/>
  <c r="S367" s="1"/>
  <c r="E372" l="1"/>
  <c r="F371"/>
  <c r="I371" s="1"/>
  <c r="J371" s="1"/>
  <c r="W367"/>
  <c r="X367"/>
  <c r="W370"/>
  <c r="X370"/>
  <c r="H371"/>
  <c r="V371" s="1"/>
  <c r="A371"/>
  <c r="N369"/>
  <c r="O369" s="1"/>
  <c r="L369"/>
  <c r="M369" s="1"/>
  <c r="P369" s="1"/>
  <c r="F372" l="1"/>
  <c r="S372"/>
  <c r="E373"/>
  <c r="H372"/>
  <c r="V372" s="1"/>
  <c r="A372"/>
  <c r="Q369"/>
  <c r="S369" s="1"/>
  <c r="K371"/>
  <c r="E374" l="1"/>
  <c r="F373"/>
  <c r="I373" s="1"/>
  <c r="J373" s="1"/>
  <c r="W372"/>
  <c r="X372"/>
  <c r="W369"/>
  <c r="X369"/>
  <c r="A373"/>
  <c r="H373"/>
  <c r="V373" s="1"/>
  <c r="L371"/>
  <c r="M371" s="1"/>
  <c r="P371" s="1"/>
  <c r="N371"/>
  <c r="O371" s="1"/>
  <c r="S374" l="1"/>
  <c r="E375"/>
  <c r="F374"/>
  <c r="H374"/>
  <c r="V374" s="1"/>
  <c r="A374"/>
  <c r="Q371"/>
  <c r="S371" s="1"/>
  <c r="K373"/>
  <c r="E376" l="1"/>
  <c r="F375"/>
  <c r="I375" s="1"/>
  <c r="J375" s="1"/>
  <c r="W371"/>
  <c r="X371"/>
  <c r="W374"/>
  <c r="X374"/>
  <c r="H375"/>
  <c r="V375" s="1"/>
  <c r="A375"/>
  <c r="L373"/>
  <c r="M373" s="1"/>
  <c r="P373" s="1"/>
  <c r="N373"/>
  <c r="O373" s="1"/>
  <c r="E377" l="1"/>
  <c r="F376"/>
  <c r="A376"/>
  <c r="H376"/>
  <c r="V376" s="1"/>
  <c r="K375"/>
  <c r="Q373"/>
  <c r="S373" s="1"/>
  <c r="F377" l="1"/>
  <c r="I377" s="1"/>
  <c r="J377" s="1"/>
  <c r="S376"/>
  <c r="E378"/>
  <c r="W373"/>
  <c r="X373"/>
  <c r="L375"/>
  <c r="M375" s="1"/>
  <c r="P375" s="1"/>
  <c r="N375"/>
  <c r="O375" s="1"/>
  <c r="H377"/>
  <c r="V377" s="1"/>
  <c r="A377"/>
  <c r="F378" l="1"/>
  <c r="E379"/>
  <c r="W376"/>
  <c r="X376"/>
  <c r="H378"/>
  <c r="V378" s="1"/>
  <c r="A378"/>
  <c r="Q375"/>
  <c r="S375" s="1"/>
  <c r="K377"/>
  <c r="F379" l="1"/>
  <c r="I379" s="1"/>
  <c r="J379" s="1"/>
  <c r="S378"/>
  <c r="X378" s="1"/>
  <c r="E380"/>
  <c r="W375"/>
  <c r="X375"/>
  <c r="L377"/>
  <c r="M377" s="1"/>
  <c r="P377" s="1"/>
  <c r="N377"/>
  <c r="O377" s="1"/>
  <c r="A379"/>
  <c r="H379"/>
  <c r="V379" s="1"/>
  <c r="S380" l="1"/>
  <c r="W378"/>
  <c r="E381"/>
  <c r="F380"/>
  <c r="A380"/>
  <c r="H380"/>
  <c r="V380" s="1"/>
  <c r="K379"/>
  <c r="Q377"/>
  <c r="S377" s="1"/>
  <c r="F381" l="1"/>
  <c r="I381" s="1"/>
  <c r="J381" s="1"/>
  <c r="E382"/>
  <c r="W377"/>
  <c r="X377"/>
  <c r="W380"/>
  <c r="X380"/>
  <c r="N379"/>
  <c r="O379" s="1"/>
  <c r="L379"/>
  <c r="M379" s="1"/>
  <c r="P379" s="1"/>
  <c r="A381"/>
  <c r="H381"/>
  <c r="V381" s="1"/>
  <c r="F382" l="1"/>
  <c r="S382"/>
  <c r="E383"/>
  <c r="Q379"/>
  <c r="S379" s="1"/>
  <c r="H382"/>
  <c r="V382" s="1"/>
  <c r="A382"/>
  <c r="K381"/>
  <c r="E384" l="1"/>
  <c r="F383"/>
  <c r="I383" s="1"/>
  <c r="J383" s="1"/>
  <c r="W379"/>
  <c r="X379"/>
  <c r="W382"/>
  <c r="X382"/>
  <c r="A383"/>
  <c r="H383"/>
  <c r="V383" s="1"/>
  <c r="L381"/>
  <c r="M381" s="1"/>
  <c r="P381" s="1"/>
  <c r="N381"/>
  <c r="O381" s="1"/>
  <c r="F384" l="1"/>
  <c r="S384"/>
  <c r="E385"/>
  <c r="A384"/>
  <c r="H384"/>
  <c r="V384" s="1"/>
  <c r="Q381"/>
  <c r="S381" s="1"/>
  <c r="K383"/>
  <c r="F385" l="1"/>
  <c r="I385" s="1"/>
  <c r="J385" s="1"/>
  <c r="E386"/>
  <c r="W381"/>
  <c r="X381"/>
  <c r="W384"/>
  <c r="X384"/>
  <c r="H385"/>
  <c r="V385" s="1"/>
  <c r="A385"/>
  <c r="N383"/>
  <c r="O383" s="1"/>
  <c r="L383"/>
  <c r="M383" s="1"/>
  <c r="P383" s="1"/>
  <c r="F386" l="1"/>
  <c r="E387"/>
  <c r="K385"/>
  <c r="H386"/>
  <c r="V386" s="1"/>
  <c r="A386"/>
  <c r="Q383"/>
  <c r="S383" s="1"/>
  <c r="S386" l="1"/>
  <c r="W386" s="1"/>
  <c r="E388"/>
  <c r="F387"/>
  <c r="I387" s="1"/>
  <c r="J387" s="1"/>
  <c r="W383"/>
  <c r="X383"/>
  <c r="A387"/>
  <c r="H387"/>
  <c r="V387" s="1"/>
  <c r="L385"/>
  <c r="M385" s="1"/>
  <c r="P385" s="1"/>
  <c r="N385"/>
  <c r="O385" s="1"/>
  <c r="X386" l="1"/>
  <c r="E389"/>
  <c r="F388"/>
  <c r="H388"/>
  <c r="S388" s="1"/>
  <c r="A388"/>
  <c r="K387"/>
  <c r="Q385"/>
  <c r="S385" s="1"/>
  <c r="V388" l="1"/>
  <c r="F389"/>
  <c r="I389" s="1"/>
  <c r="J389" s="1"/>
  <c r="E390"/>
  <c r="W385"/>
  <c r="X385"/>
  <c r="A389"/>
  <c r="H389"/>
  <c r="V389" s="1"/>
  <c r="L387"/>
  <c r="M387" s="1"/>
  <c r="P387" s="1"/>
  <c r="N387"/>
  <c r="O387" s="1"/>
  <c r="S390" l="1"/>
  <c r="E391"/>
  <c r="F390"/>
  <c r="W388"/>
  <c r="X388"/>
  <c r="Q387"/>
  <c r="S387" s="1"/>
  <c r="H390"/>
  <c r="V390" s="1"/>
  <c r="A390"/>
  <c r="K389"/>
  <c r="E392" l="1"/>
  <c r="F391"/>
  <c r="I391" s="1"/>
  <c r="J391" s="1"/>
  <c r="W387"/>
  <c r="X387"/>
  <c r="L389"/>
  <c r="M389" s="1"/>
  <c r="P389" s="1"/>
  <c r="N389"/>
  <c r="O389" s="1"/>
  <c r="H391"/>
  <c r="V391" s="1"/>
  <c r="A391"/>
  <c r="F392" l="1"/>
  <c r="E393"/>
  <c r="W390"/>
  <c r="X390"/>
  <c r="H392"/>
  <c r="S392" s="1"/>
  <c r="A392"/>
  <c r="Q389"/>
  <c r="S389" s="1"/>
  <c r="K391"/>
  <c r="V392" l="1"/>
  <c r="X392" s="1"/>
  <c r="E394"/>
  <c r="F393"/>
  <c r="I393" s="1"/>
  <c r="J393" s="1"/>
  <c r="W389"/>
  <c r="X389"/>
  <c r="W392"/>
  <c r="A393"/>
  <c r="H393"/>
  <c r="V393" s="1"/>
  <c r="N391"/>
  <c r="O391" s="1"/>
  <c r="L391"/>
  <c r="M391" s="1"/>
  <c r="P391" s="1"/>
  <c r="F394" l="1"/>
  <c r="S394"/>
  <c r="E395"/>
  <c r="Q391"/>
  <c r="S391" s="1"/>
  <c r="K393"/>
  <c r="H394"/>
  <c r="V394" s="1"/>
  <c r="A394"/>
  <c r="E396" l="1"/>
  <c r="F395"/>
  <c r="I395" s="1"/>
  <c r="J395" s="1"/>
  <c r="W391"/>
  <c r="X391"/>
  <c r="H395"/>
  <c r="V395" s="1"/>
  <c r="A395"/>
  <c r="N393"/>
  <c r="O393" s="1"/>
  <c r="L393"/>
  <c r="M393" s="1"/>
  <c r="P393" s="1"/>
  <c r="F396" l="1"/>
  <c r="S396"/>
  <c r="E397"/>
  <c r="W394"/>
  <c r="X394"/>
  <c r="Q393"/>
  <c r="S393" s="1"/>
  <c r="A396"/>
  <c r="H396"/>
  <c r="V396" s="1"/>
  <c r="K395"/>
  <c r="E398" l="1"/>
  <c r="F397"/>
  <c r="I397" s="1"/>
  <c r="J397" s="1"/>
  <c r="W393"/>
  <c r="X393"/>
  <c r="L395"/>
  <c r="M395" s="1"/>
  <c r="P395" s="1"/>
  <c r="N395"/>
  <c r="O395" s="1"/>
  <c r="A397"/>
  <c r="H397"/>
  <c r="V397" s="1"/>
  <c r="F398" l="1"/>
  <c r="E399"/>
  <c r="W396"/>
  <c r="X396"/>
  <c r="Q395"/>
  <c r="S395" s="1"/>
  <c r="A398"/>
  <c r="H398"/>
  <c r="V398" s="1"/>
  <c r="K397"/>
  <c r="S398" l="1"/>
  <c r="E400"/>
  <c r="F399"/>
  <c r="I399" s="1"/>
  <c r="J399" s="1"/>
  <c r="W395"/>
  <c r="X395"/>
  <c r="N397"/>
  <c r="O397" s="1"/>
  <c r="L397"/>
  <c r="M397" s="1"/>
  <c r="P397" s="1"/>
  <c r="A399"/>
  <c r="H399"/>
  <c r="V399" s="1"/>
  <c r="F400" l="1"/>
  <c r="S400"/>
  <c r="E401"/>
  <c r="W398"/>
  <c r="X398"/>
  <c r="A400"/>
  <c r="H400"/>
  <c r="V400" s="1"/>
  <c r="K399"/>
  <c r="Q397"/>
  <c r="S397" s="1"/>
  <c r="E402" l="1"/>
  <c r="F401"/>
  <c r="I401" s="1"/>
  <c r="J401" s="1"/>
  <c r="W397"/>
  <c r="X397"/>
  <c r="H401"/>
  <c r="V401" s="1"/>
  <c r="A401"/>
  <c r="L399"/>
  <c r="M399" s="1"/>
  <c r="P399" s="1"/>
  <c r="N399"/>
  <c r="O399" s="1"/>
  <c r="E403" l="1"/>
  <c r="F402"/>
  <c r="W400"/>
  <c r="X400"/>
  <c r="H402"/>
  <c r="V402" s="1"/>
  <c r="A402"/>
  <c r="Q399"/>
  <c r="S399" s="1"/>
  <c r="K401"/>
  <c r="S402" l="1"/>
  <c r="E404"/>
  <c r="F403"/>
  <c r="I403" s="1"/>
  <c r="J403" s="1"/>
  <c r="W399"/>
  <c r="X399"/>
  <c r="L401"/>
  <c r="M401" s="1"/>
  <c r="P401" s="1"/>
  <c r="N401"/>
  <c r="O401" s="1"/>
  <c r="A403"/>
  <c r="H403"/>
  <c r="V403" s="1"/>
  <c r="S404" l="1"/>
  <c r="E405"/>
  <c r="F404"/>
  <c r="W402"/>
  <c r="X402"/>
  <c r="H404"/>
  <c r="V404" s="1"/>
  <c r="A404"/>
  <c r="Q401"/>
  <c r="S401" s="1"/>
  <c r="K403"/>
  <c r="W404" l="1"/>
  <c r="E406"/>
  <c r="F405"/>
  <c r="I405" s="1"/>
  <c r="J405" s="1"/>
  <c r="W401"/>
  <c r="X401"/>
  <c r="N403"/>
  <c r="O403" s="1"/>
  <c r="L403"/>
  <c r="M403" s="1"/>
  <c r="P403" s="1"/>
  <c r="H405"/>
  <c r="V405" s="1"/>
  <c r="A405"/>
  <c r="X404" l="1"/>
  <c r="E407"/>
  <c r="F406"/>
  <c r="K405"/>
  <c r="A406"/>
  <c r="H406"/>
  <c r="V406" s="1"/>
  <c r="Q403"/>
  <c r="S403" s="1"/>
  <c r="F407" l="1"/>
  <c r="I407" s="1"/>
  <c r="J407" s="1"/>
  <c r="S406"/>
  <c r="X406" s="1"/>
  <c r="E408"/>
  <c r="W403"/>
  <c r="X403"/>
  <c r="L405"/>
  <c r="M405" s="1"/>
  <c r="P405" s="1"/>
  <c r="N405"/>
  <c r="O405" s="1"/>
  <c r="H407"/>
  <c r="V407" s="1"/>
  <c r="A407"/>
  <c r="F408" l="1"/>
  <c r="S408"/>
  <c r="W406"/>
  <c r="E409"/>
  <c r="Q405"/>
  <c r="S405" s="1"/>
  <c r="A408"/>
  <c r="H408"/>
  <c r="V408" s="1"/>
  <c r="K407"/>
  <c r="F409" l="1"/>
  <c r="I409" s="1"/>
  <c r="J409" s="1"/>
  <c r="E410"/>
  <c r="W408"/>
  <c r="X408"/>
  <c r="W405"/>
  <c r="X405"/>
  <c r="H409"/>
  <c r="V409" s="1"/>
  <c r="A409"/>
  <c r="N407"/>
  <c r="O407" s="1"/>
  <c r="L407"/>
  <c r="M407" s="1"/>
  <c r="P407" s="1"/>
  <c r="E411" l="1"/>
  <c r="F410"/>
  <c r="H410"/>
  <c r="V410" s="1"/>
  <c r="A410"/>
  <c r="K409"/>
  <c r="Q407"/>
  <c r="S407" s="1"/>
  <c r="F411" l="1"/>
  <c r="I411" s="1"/>
  <c r="J411" s="1"/>
  <c r="S410"/>
  <c r="E412"/>
  <c r="W407"/>
  <c r="X407"/>
  <c r="A411"/>
  <c r="H411"/>
  <c r="V411" s="1"/>
  <c r="L409"/>
  <c r="M409" s="1"/>
  <c r="P409" s="1"/>
  <c r="N409"/>
  <c r="O409" s="1"/>
  <c r="E413" l="1"/>
  <c r="F412"/>
  <c r="W410"/>
  <c r="X410"/>
  <c r="Q409"/>
  <c r="S409" s="1"/>
  <c r="K411"/>
  <c r="A412"/>
  <c r="H412"/>
  <c r="V412" s="1"/>
  <c r="F413" l="1"/>
  <c r="I413" s="1"/>
  <c r="J413" s="1"/>
  <c r="S412"/>
  <c r="X412" s="1"/>
  <c r="E414"/>
  <c r="W409"/>
  <c r="X409"/>
  <c r="A413"/>
  <c r="H413"/>
  <c r="V413" s="1"/>
  <c r="N411"/>
  <c r="O411" s="1"/>
  <c r="L411"/>
  <c r="M411" s="1"/>
  <c r="P411" s="1"/>
  <c r="W412" l="1"/>
  <c r="F414"/>
  <c r="S414"/>
  <c r="E415"/>
  <c r="H414"/>
  <c r="V414" s="1"/>
  <c r="A414"/>
  <c r="K413"/>
  <c r="Q411"/>
  <c r="S411" s="1"/>
  <c r="E416" l="1"/>
  <c r="F415"/>
  <c r="I415" s="1"/>
  <c r="J415" s="1"/>
  <c r="W411"/>
  <c r="X411"/>
  <c r="W414"/>
  <c r="X414"/>
  <c r="L413"/>
  <c r="M413" s="1"/>
  <c r="P413" s="1"/>
  <c r="N413"/>
  <c r="O413" s="1"/>
  <c r="H415"/>
  <c r="V415" s="1"/>
  <c r="A415"/>
  <c r="F416" l="1"/>
  <c r="E417"/>
  <c r="A416"/>
  <c r="H416"/>
  <c r="V416" s="1"/>
  <c r="K415"/>
  <c r="Q413"/>
  <c r="S413" s="1"/>
  <c r="S416" l="1"/>
  <c r="X416" s="1"/>
  <c r="E418"/>
  <c r="F417"/>
  <c r="I417" s="1"/>
  <c r="J417" s="1"/>
  <c r="W413"/>
  <c r="X413"/>
  <c r="N415"/>
  <c r="O415" s="1"/>
  <c r="L415"/>
  <c r="M415" s="1"/>
  <c r="P415" s="1"/>
  <c r="H417"/>
  <c r="V417" s="1"/>
  <c r="A417"/>
  <c r="W416" l="1"/>
  <c r="E419"/>
  <c r="F418"/>
  <c r="K417"/>
  <c r="A418"/>
  <c r="H418"/>
  <c r="S418" s="1"/>
  <c r="Q415"/>
  <c r="S415" s="1"/>
  <c r="V418" l="1"/>
  <c r="E420"/>
  <c r="F419"/>
  <c r="I419" s="1"/>
  <c r="J419" s="1"/>
  <c r="W415"/>
  <c r="X415"/>
  <c r="N417"/>
  <c r="O417" s="1"/>
  <c r="L417"/>
  <c r="M417" s="1"/>
  <c r="P417" s="1"/>
  <c r="A419"/>
  <c r="H419"/>
  <c r="V419" s="1"/>
  <c r="F420" l="1"/>
  <c r="E421"/>
  <c r="W418"/>
  <c r="X418"/>
  <c r="Q417"/>
  <c r="S417" s="1"/>
  <c r="K419"/>
  <c r="A420"/>
  <c r="H420"/>
  <c r="V420" s="1"/>
  <c r="S420" l="1"/>
  <c r="W420" s="1"/>
  <c r="E422"/>
  <c r="F421"/>
  <c r="I421" s="1"/>
  <c r="J421" s="1"/>
  <c r="W417"/>
  <c r="X417"/>
  <c r="H421"/>
  <c r="V421" s="1"/>
  <c r="A421"/>
  <c r="L419"/>
  <c r="M419" s="1"/>
  <c r="P419" s="1"/>
  <c r="N419"/>
  <c r="O419" s="1"/>
  <c r="F422" l="1"/>
  <c r="S422"/>
  <c r="X420"/>
  <c r="E423"/>
  <c r="Q419"/>
  <c r="S419" s="1"/>
  <c r="A422"/>
  <c r="H422"/>
  <c r="V422" s="1"/>
  <c r="K421"/>
  <c r="F423" l="1"/>
  <c r="I423" s="1"/>
  <c r="J423" s="1"/>
  <c r="E424"/>
  <c r="W419"/>
  <c r="X419"/>
  <c r="L421"/>
  <c r="M421" s="1"/>
  <c r="P421" s="1"/>
  <c r="N421"/>
  <c r="O421" s="1"/>
  <c r="H423"/>
  <c r="V423" s="1"/>
  <c r="A423"/>
  <c r="S424" l="1"/>
  <c r="E425"/>
  <c r="F424"/>
  <c r="W422"/>
  <c r="X422"/>
  <c r="H424"/>
  <c r="V424" s="1"/>
  <c r="A424"/>
  <c r="K423"/>
  <c r="Q421"/>
  <c r="S421" s="1"/>
  <c r="W424" l="1"/>
  <c r="E426"/>
  <c r="F425"/>
  <c r="I425" s="1"/>
  <c r="J425" s="1"/>
  <c r="W421"/>
  <c r="X421"/>
  <c r="A425"/>
  <c r="H425"/>
  <c r="V425" s="1"/>
  <c r="L423"/>
  <c r="M423" s="1"/>
  <c r="P423" s="1"/>
  <c r="N423"/>
  <c r="O423" s="1"/>
  <c r="F426" l="1"/>
  <c r="X424"/>
  <c r="E427"/>
  <c r="A426"/>
  <c r="H426"/>
  <c r="V426" s="1"/>
  <c r="K425"/>
  <c r="Q423"/>
  <c r="S423" s="1"/>
  <c r="S426" l="1"/>
  <c r="X426" s="1"/>
  <c r="E428"/>
  <c r="F427"/>
  <c r="I427" s="1"/>
  <c r="J427" s="1"/>
  <c r="W423"/>
  <c r="X423"/>
  <c r="W426"/>
  <c r="A427"/>
  <c r="H427"/>
  <c r="V427" s="1"/>
  <c r="L425"/>
  <c r="M425" s="1"/>
  <c r="P425" s="1"/>
  <c r="N425"/>
  <c r="O425" s="1"/>
  <c r="F428" l="1"/>
  <c r="S428"/>
  <c r="E429"/>
  <c r="H428"/>
  <c r="V428" s="1"/>
  <c r="A428"/>
  <c r="K427"/>
  <c r="Q425"/>
  <c r="S425" s="1"/>
  <c r="F429" l="1"/>
  <c r="I429" s="1"/>
  <c r="J429" s="1"/>
  <c r="E430"/>
  <c r="W428"/>
  <c r="X428"/>
  <c r="W425"/>
  <c r="X425"/>
  <c r="N427"/>
  <c r="O427" s="1"/>
  <c r="L427"/>
  <c r="M427" s="1"/>
  <c r="P427" s="1"/>
  <c r="A429"/>
  <c r="H429"/>
  <c r="V429" s="1"/>
  <c r="F430" l="1"/>
  <c r="E431"/>
  <c r="K429"/>
  <c r="A430"/>
  <c r="H430"/>
  <c r="V430" s="1"/>
  <c r="Q427"/>
  <c r="S427" s="1"/>
  <c r="F431" l="1"/>
  <c r="I431" s="1"/>
  <c r="S430"/>
  <c r="E432"/>
  <c r="W427"/>
  <c r="X427"/>
  <c r="N429"/>
  <c r="O429" s="1"/>
  <c r="L429"/>
  <c r="M429" s="1"/>
  <c r="P429" s="1"/>
  <c r="A431"/>
  <c r="H431"/>
  <c r="V431" s="1"/>
  <c r="J431"/>
  <c r="F432" l="1"/>
  <c r="E433"/>
  <c r="W430"/>
  <c r="X430"/>
  <c r="H432"/>
  <c r="V432" s="1"/>
  <c r="A432"/>
  <c r="K431"/>
  <c r="Q429"/>
  <c r="S429" s="1"/>
  <c r="S432" l="1"/>
  <c r="X432" s="1"/>
  <c r="E434"/>
  <c r="F433"/>
  <c r="I433" s="1"/>
  <c r="J433" s="1"/>
  <c r="W429"/>
  <c r="X429"/>
  <c r="H433"/>
  <c r="V433" s="1"/>
  <c r="A433"/>
  <c r="L431"/>
  <c r="M431" s="1"/>
  <c r="P431" s="1"/>
  <c r="N431"/>
  <c r="O431" s="1"/>
  <c r="W432" l="1"/>
  <c r="E435"/>
  <c r="F434"/>
  <c r="A434"/>
  <c r="H434"/>
  <c r="S434" s="1"/>
  <c r="K433"/>
  <c r="Q431"/>
  <c r="S431" s="1"/>
  <c r="V434" l="1"/>
  <c r="X434" s="1"/>
  <c r="E436"/>
  <c r="F435"/>
  <c r="I435" s="1"/>
  <c r="J435" s="1"/>
  <c r="W434"/>
  <c r="W431"/>
  <c r="X431"/>
  <c r="N433"/>
  <c r="O433" s="1"/>
  <c r="L433"/>
  <c r="M433" s="1"/>
  <c r="P433" s="1"/>
  <c r="A435"/>
  <c r="H435"/>
  <c r="V435" s="1"/>
  <c r="F436" l="1"/>
  <c r="E437"/>
  <c r="K435"/>
  <c r="A436"/>
  <c r="H436"/>
  <c r="V436" s="1"/>
  <c r="Q433"/>
  <c r="S433" s="1"/>
  <c r="S436" l="1"/>
  <c r="E438"/>
  <c r="F437"/>
  <c r="I437" s="1"/>
  <c r="J437" s="1"/>
  <c r="W433"/>
  <c r="X433"/>
  <c r="L435"/>
  <c r="M435" s="1"/>
  <c r="P435" s="1"/>
  <c r="N435"/>
  <c r="O435" s="1"/>
  <c r="A437"/>
  <c r="H437"/>
  <c r="V437" s="1"/>
  <c r="F438" l="1"/>
  <c r="E439"/>
  <c r="W436"/>
  <c r="X436"/>
  <c r="K437"/>
  <c r="H438"/>
  <c r="S438" s="1"/>
  <c r="A438"/>
  <c r="Q435"/>
  <c r="S435" s="1"/>
  <c r="V438" l="1"/>
  <c r="W438"/>
  <c r="E440"/>
  <c r="F439"/>
  <c r="I439" s="1"/>
  <c r="J439" s="1"/>
  <c r="W435"/>
  <c r="X435"/>
  <c r="L437"/>
  <c r="M437" s="1"/>
  <c r="P437" s="1"/>
  <c r="N437"/>
  <c r="O437" s="1"/>
  <c r="A439"/>
  <c r="H439"/>
  <c r="V439" s="1"/>
  <c r="F440" l="1"/>
  <c r="S440"/>
  <c r="X438"/>
  <c r="E441"/>
  <c r="Q437"/>
  <c r="S437" s="1"/>
  <c r="A440"/>
  <c r="H440"/>
  <c r="V440" s="1"/>
  <c r="K439"/>
  <c r="E442" l="1"/>
  <c r="F441"/>
  <c r="I441" s="1"/>
  <c r="J441" s="1"/>
  <c r="W440"/>
  <c r="X440"/>
  <c r="W437"/>
  <c r="X437"/>
  <c r="N439"/>
  <c r="O439" s="1"/>
  <c r="L439"/>
  <c r="M439" s="1"/>
  <c r="P439" s="1"/>
  <c r="A441"/>
  <c r="H441"/>
  <c r="V441" s="1"/>
  <c r="F442" l="1"/>
  <c r="E443"/>
  <c r="K441"/>
  <c r="A442"/>
  <c r="H442"/>
  <c r="V442" s="1"/>
  <c r="Q439"/>
  <c r="S439" s="1"/>
  <c r="S442" l="1"/>
  <c r="W442" s="1"/>
  <c r="E444"/>
  <c r="F443"/>
  <c r="I443" s="1"/>
  <c r="J443" s="1"/>
  <c r="W439"/>
  <c r="X439"/>
  <c r="L441"/>
  <c r="M441" s="1"/>
  <c r="P441" s="1"/>
  <c r="N441"/>
  <c r="O441" s="1"/>
  <c r="H443"/>
  <c r="V443" s="1"/>
  <c r="A443"/>
  <c r="X442" l="1"/>
  <c r="E445"/>
  <c r="F444"/>
  <c r="K443"/>
  <c r="Q441"/>
  <c r="S441" s="1"/>
  <c r="A444"/>
  <c r="H444"/>
  <c r="S444" s="1"/>
  <c r="V444" l="1"/>
  <c r="X444" s="1"/>
  <c r="F445"/>
  <c r="I445" s="1"/>
  <c r="J445" s="1"/>
  <c r="E446"/>
  <c r="W444"/>
  <c r="W441"/>
  <c r="X441"/>
  <c r="L443"/>
  <c r="M443" s="1"/>
  <c r="P443" s="1"/>
  <c r="N443"/>
  <c r="O443" s="1"/>
  <c r="A445"/>
  <c r="H445"/>
  <c r="V445" s="1"/>
  <c r="S446" l="1"/>
  <c r="E447"/>
  <c r="F446"/>
  <c r="H446"/>
  <c r="V446" s="1"/>
  <c r="A446"/>
  <c r="Q443"/>
  <c r="S443" s="1"/>
  <c r="K445"/>
  <c r="E448" l="1"/>
  <c r="F447"/>
  <c r="I447" s="1"/>
  <c r="J447" s="1"/>
  <c r="W443"/>
  <c r="X443"/>
  <c r="W446"/>
  <c r="X446"/>
  <c r="H447"/>
  <c r="V447" s="1"/>
  <c r="A447"/>
  <c r="L445"/>
  <c r="M445" s="1"/>
  <c r="P445" s="1"/>
  <c r="N445"/>
  <c r="O445" s="1"/>
  <c r="F448" l="1"/>
  <c r="E449"/>
  <c r="A448"/>
  <c r="H448"/>
  <c r="S448" s="1"/>
  <c r="K447"/>
  <c r="Q445"/>
  <c r="S445" s="1"/>
  <c r="V448" l="1"/>
  <c r="X448" s="1"/>
  <c r="E450"/>
  <c r="F449"/>
  <c r="I449" s="1"/>
  <c r="J449" s="1"/>
  <c r="W445"/>
  <c r="X445"/>
  <c r="W448"/>
  <c r="H449"/>
  <c r="V449" s="1"/>
  <c r="A449"/>
  <c r="L447"/>
  <c r="M447" s="1"/>
  <c r="P447" s="1"/>
  <c r="N447"/>
  <c r="O447" s="1"/>
  <c r="S450" l="1"/>
  <c r="E451"/>
  <c r="F450"/>
  <c r="K449"/>
  <c r="Q447"/>
  <c r="S447" s="1"/>
  <c r="A450"/>
  <c r="H450"/>
  <c r="V450" s="1"/>
  <c r="F451" l="1"/>
  <c r="I451" s="1"/>
  <c r="J451" s="1"/>
  <c r="E452"/>
  <c r="W447"/>
  <c r="X447"/>
  <c r="L449"/>
  <c r="M449" s="1"/>
  <c r="P449" s="1"/>
  <c r="N449"/>
  <c r="O449" s="1"/>
  <c r="H451"/>
  <c r="V451" s="1"/>
  <c r="A451"/>
  <c r="S452" l="1"/>
  <c r="E453"/>
  <c r="F452"/>
  <c r="W450"/>
  <c r="X450"/>
  <c r="H452"/>
  <c r="V452" s="1"/>
  <c r="A452"/>
  <c r="K451"/>
  <c r="Q449"/>
  <c r="S449" s="1"/>
  <c r="E454" l="1"/>
  <c r="F453"/>
  <c r="I453" s="1"/>
  <c r="J453" s="1"/>
  <c r="W452"/>
  <c r="X452"/>
  <c r="W449"/>
  <c r="X449"/>
  <c r="N451"/>
  <c r="O451" s="1"/>
  <c r="L451"/>
  <c r="M451" s="1"/>
  <c r="P451" s="1"/>
  <c r="H453"/>
  <c r="V453" s="1"/>
  <c r="A453"/>
  <c r="F454" l="1"/>
  <c r="E455"/>
  <c r="K453"/>
  <c r="A454"/>
  <c r="H454"/>
  <c r="V454" s="1"/>
  <c r="Q451"/>
  <c r="S451" s="1"/>
  <c r="F455" l="1"/>
  <c r="I455" s="1"/>
  <c r="S454"/>
  <c r="X454" s="1"/>
  <c r="E456"/>
  <c r="W451"/>
  <c r="X451"/>
  <c r="J455"/>
  <c r="A455"/>
  <c r="H455"/>
  <c r="V455" s="1"/>
  <c r="L453"/>
  <c r="M453" s="1"/>
  <c r="P453" s="1"/>
  <c r="N453"/>
  <c r="O453" s="1"/>
  <c r="W454" l="1"/>
  <c r="E457"/>
  <c r="F456"/>
  <c r="Q453"/>
  <c r="S453" s="1"/>
  <c r="K455"/>
  <c r="H456"/>
  <c r="V456" s="1"/>
  <c r="A456"/>
  <c r="S456" l="1"/>
  <c r="F457"/>
  <c r="I457" s="1"/>
  <c r="J457" s="1"/>
  <c r="E458"/>
  <c r="W453"/>
  <c r="X453"/>
  <c r="L455"/>
  <c r="M455" s="1"/>
  <c r="P455" s="1"/>
  <c r="N455"/>
  <c r="O455" s="1"/>
  <c r="A457"/>
  <c r="H457"/>
  <c r="V457" s="1"/>
  <c r="F458" l="1"/>
  <c r="S458"/>
  <c r="E459"/>
  <c r="W456"/>
  <c r="X456"/>
  <c r="K457"/>
  <c r="Q455"/>
  <c r="S455" s="1"/>
  <c r="H458"/>
  <c r="V458" s="1"/>
  <c r="A458"/>
  <c r="F459" l="1"/>
  <c r="I459" s="1"/>
  <c r="J459" s="1"/>
  <c r="E460"/>
  <c r="W455"/>
  <c r="X455"/>
  <c r="N457"/>
  <c r="O457" s="1"/>
  <c r="L457"/>
  <c r="M457" s="1"/>
  <c r="P457" s="1"/>
  <c r="A459"/>
  <c r="H459"/>
  <c r="V459" s="1"/>
  <c r="F460" l="1"/>
  <c r="E461"/>
  <c r="W458"/>
  <c r="X458"/>
  <c r="H460"/>
  <c r="V460" s="1"/>
  <c r="A460"/>
  <c r="Q457"/>
  <c r="S457" s="1"/>
  <c r="K459"/>
  <c r="F461" l="1"/>
  <c r="I461" s="1"/>
  <c r="J461" s="1"/>
  <c r="S460"/>
  <c r="X460" s="1"/>
  <c r="E462"/>
  <c r="W457"/>
  <c r="X457"/>
  <c r="L459"/>
  <c r="M459" s="1"/>
  <c r="P459" s="1"/>
  <c r="N459"/>
  <c r="O459" s="1"/>
  <c r="H461"/>
  <c r="V461" s="1"/>
  <c r="A461"/>
  <c r="W460" l="1"/>
  <c r="E463"/>
  <c r="F462"/>
  <c r="A462"/>
  <c r="H462"/>
  <c r="S462" s="1"/>
  <c r="Q459"/>
  <c r="S459" s="1"/>
  <c r="K461"/>
  <c r="V462" l="1"/>
  <c r="X462" s="1"/>
  <c r="E464"/>
  <c r="F463"/>
  <c r="I463" s="1"/>
  <c r="J463" s="1"/>
  <c r="W459"/>
  <c r="X459"/>
  <c r="L461"/>
  <c r="M461" s="1"/>
  <c r="P461" s="1"/>
  <c r="N461"/>
  <c r="O461" s="1"/>
  <c r="A463"/>
  <c r="H463"/>
  <c r="V463" s="1"/>
  <c r="F464" l="1"/>
  <c r="S464"/>
  <c r="W462"/>
  <c r="E465"/>
  <c r="A464"/>
  <c r="H464"/>
  <c r="V464" s="1"/>
  <c r="K463"/>
  <c r="Q461"/>
  <c r="S461" s="1"/>
  <c r="F465" l="1"/>
  <c r="I465" s="1"/>
  <c r="J465" s="1"/>
  <c r="X464"/>
  <c r="E466"/>
  <c r="W461"/>
  <c r="X461"/>
  <c r="L463"/>
  <c r="M463" s="1"/>
  <c r="P463" s="1"/>
  <c r="N463"/>
  <c r="O463" s="1"/>
  <c r="A465"/>
  <c r="H465"/>
  <c r="V465" s="1"/>
  <c r="F466" l="1"/>
  <c r="W464"/>
  <c r="E467"/>
  <c r="H466"/>
  <c r="V466" s="1"/>
  <c r="A466"/>
  <c r="K465"/>
  <c r="Q463"/>
  <c r="S463" s="1"/>
  <c r="S466" l="1"/>
  <c r="E468"/>
  <c r="F467"/>
  <c r="I467" s="1"/>
  <c r="J467" s="1"/>
  <c r="W463"/>
  <c r="X463"/>
  <c r="L465"/>
  <c r="M465" s="1"/>
  <c r="P465" s="1"/>
  <c r="N465"/>
  <c r="O465" s="1"/>
  <c r="A467"/>
  <c r="H467"/>
  <c r="V467" s="1"/>
  <c r="F468" l="1"/>
  <c r="E469"/>
  <c r="W466"/>
  <c r="X466"/>
  <c r="A468"/>
  <c r="H468"/>
  <c r="V468" s="1"/>
  <c r="Q465"/>
  <c r="S465" s="1"/>
  <c r="K467"/>
  <c r="F469" l="1"/>
  <c r="I469" s="1"/>
  <c r="J469" s="1"/>
  <c r="S468"/>
  <c r="E470"/>
  <c r="W465"/>
  <c r="X465"/>
  <c r="L467"/>
  <c r="M467" s="1"/>
  <c r="P467" s="1"/>
  <c r="N467"/>
  <c r="O467" s="1"/>
  <c r="A469"/>
  <c r="H469"/>
  <c r="V469" s="1"/>
  <c r="F470" l="1"/>
  <c r="E471"/>
  <c r="W468"/>
  <c r="X468"/>
  <c r="H470"/>
  <c r="V470" s="1"/>
  <c r="A470"/>
  <c r="K469"/>
  <c r="Q467"/>
  <c r="S467" s="1"/>
  <c r="S470" l="1"/>
  <c r="W470" s="1"/>
  <c r="E472"/>
  <c r="F471"/>
  <c r="I471" s="1"/>
  <c r="J471" s="1"/>
  <c r="W467"/>
  <c r="X467"/>
  <c r="N469"/>
  <c r="O469" s="1"/>
  <c r="L469"/>
  <c r="M469" s="1"/>
  <c r="P469" s="1"/>
  <c r="H471"/>
  <c r="V471" s="1"/>
  <c r="A471"/>
  <c r="X470" l="1"/>
  <c r="E473"/>
  <c r="F472"/>
  <c r="Q469"/>
  <c r="S469" s="1"/>
  <c r="K471"/>
  <c r="A472"/>
  <c r="H472"/>
  <c r="S472" s="1"/>
  <c r="V472" l="1"/>
  <c r="E474"/>
  <c r="F473"/>
  <c r="I473" s="1"/>
  <c r="J473" s="1"/>
  <c r="W469"/>
  <c r="X469"/>
  <c r="W472"/>
  <c r="X472"/>
  <c r="L471"/>
  <c r="M471" s="1"/>
  <c r="P471" s="1"/>
  <c r="N471"/>
  <c r="O471" s="1"/>
  <c r="A473"/>
  <c r="H473"/>
  <c r="V473" s="1"/>
  <c r="F474" l="1"/>
  <c r="E475"/>
  <c r="H474"/>
  <c r="S474" s="1"/>
  <c r="A474"/>
  <c r="Q471"/>
  <c r="S471" s="1"/>
  <c r="K473"/>
  <c r="V474" l="1"/>
  <c r="E476"/>
  <c r="F475"/>
  <c r="I475" s="1"/>
  <c r="J475" s="1"/>
  <c r="W471"/>
  <c r="X471"/>
  <c r="L473"/>
  <c r="M473" s="1"/>
  <c r="P473" s="1"/>
  <c r="N473"/>
  <c r="O473" s="1"/>
  <c r="A475"/>
  <c r="H475"/>
  <c r="V475" s="1"/>
  <c r="F476" l="1"/>
  <c r="E477"/>
  <c r="W474"/>
  <c r="X474"/>
  <c r="Q473"/>
  <c r="S473" s="1"/>
  <c r="H476"/>
  <c r="V476" s="1"/>
  <c r="A476"/>
  <c r="K475"/>
  <c r="S476" l="1"/>
  <c r="W476" s="1"/>
  <c r="F477"/>
  <c r="I477" s="1"/>
  <c r="J477" s="1"/>
  <c r="E478"/>
  <c r="W473"/>
  <c r="X473"/>
  <c r="H477"/>
  <c r="V477" s="1"/>
  <c r="A477"/>
  <c r="L475"/>
  <c r="M475" s="1"/>
  <c r="P475" s="1"/>
  <c r="N475"/>
  <c r="O475" s="1"/>
  <c r="X476" l="1"/>
  <c r="E479"/>
  <c r="F478"/>
  <c r="K477"/>
  <c r="A478"/>
  <c r="H478"/>
  <c r="S478" s="1"/>
  <c r="Q475"/>
  <c r="S475" s="1"/>
  <c r="V478" l="1"/>
  <c r="X478" s="1"/>
  <c r="E480"/>
  <c r="F479"/>
  <c r="I479" s="1"/>
  <c r="J479" s="1"/>
  <c r="W475"/>
  <c r="X475"/>
  <c r="W478"/>
  <c r="H479"/>
  <c r="V479" s="1"/>
  <c r="A479"/>
  <c r="N477"/>
  <c r="O477" s="1"/>
  <c r="L477"/>
  <c r="M477" s="1"/>
  <c r="P477" s="1"/>
  <c r="S480" l="1"/>
  <c r="E481"/>
  <c r="F480"/>
  <c r="K479"/>
  <c r="Q477"/>
  <c r="S477" s="1"/>
  <c r="A480"/>
  <c r="H480"/>
  <c r="V480" s="1"/>
  <c r="E482" l="1"/>
  <c r="X480"/>
  <c r="F481"/>
  <c r="I481" s="1"/>
  <c r="J481" s="1"/>
  <c r="W480"/>
  <c r="W477"/>
  <c r="X477"/>
  <c r="L479"/>
  <c r="M479" s="1"/>
  <c r="P479" s="1"/>
  <c r="N479"/>
  <c r="O479" s="1"/>
  <c r="H481"/>
  <c r="V481" s="1"/>
  <c r="A481"/>
  <c r="E483" l="1"/>
  <c r="F482"/>
  <c r="Q479"/>
  <c r="S479" s="1"/>
  <c r="A482"/>
  <c r="H482"/>
  <c r="V482" s="1"/>
  <c r="K481"/>
  <c r="F483" l="1"/>
  <c r="I483" s="1"/>
  <c r="J483" s="1"/>
  <c r="S482"/>
  <c r="E484"/>
  <c r="W479"/>
  <c r="X479"/>
  <c r="A483"/>
  <c r="H483"/>
  <c r="V483" s="1"/>
  <c r="L481"/>
  <c r="M481" s="1"/>
  <c r="P481" s="1"/>
  <c r="N481"/>
  <c r="O481" s="1"/>
  <c r="F484" l="1"/>
  <c r="E485"/>
  <c r="W482"/>
  <c r="X482"/>
  <c r="K483"/>
  <c r="Q481"/>
  <c r="S481" s="1"/>
  <c r="A484"/>
  <c r="H484"/>
  <c r="S484" s="1"/>
  <c r="V484" l="1"/>
  <c r="X484" s="1"/>
  <c r="F485"/>
  <c r="I485" s="1"/>
  <c r="J485" s="1"/>
  <c r="E486"/>
  <c r="W484"/>
  <c r="W481"/>
  <c r="X481"/>
  <c r="L483"/>
  <c r="M483" s="1"/>
  <c r="P483" s="1"/>
  <c r="N483"/>
  <c r="O483" s="1"/>
  <c r="A485"/>
  <c r="H485"/>
  <c r="V485" s="1"/>
  <c r="E487" l="1"/>
  <c r="F486"/>
  <c r="H486"/>
  <c r="S486" s="1"/>
  <c r="A486"/>
  <c r="K485"/>
  <c r="Q483"/>
  <c r="S483" s="1"/>
  <c r="V486" l="1"/>
  <c r="X486" s="1"/>
  <c r="E488"/>
  <c r="F487"/>
  <c r="I487" s="1"/>
  <c r="J487" s="1"/>
  <c r="W483"/>
  <c r="X483"/>
  <c r="H487"/>
  <c r="V487" s="1"/>
  <c r="A487"/>
  <c r="L485"/>
  <c r="M485" s="1"/>
  <c r="P485" s="1"/>
  <c r="N485"/>
  <c r="O485" s="1"/>
  <c r="W486" l="1"/>
  <c r="E489"/>
  <c r="F488"/>
  <c r="A488"/>
  <c r="H488"/>
  <c r="V488" s="1"/>
  <c r="K487"/>
  <c r="Q485"/>
  <c r="S485" s="1"/>
  <c r="S488" l="1"/>
  <c r="X488" s="1"/>
  <c r="E490"/>
  <c r="F489"/>
  <c r="I489" s="1"/>
  <c r="J489" s="1"/>
  <c r="W485"/>
  <c r="X485"/>
  <c r="H489"/>
  <c r="V489" s="1"/>
  <c r="A489"/>
  <c r="L487"/>
  <c r="M487" s="1"/>
  <c r="P487" s="1"/>
  <c r="N487"/>
  <c r="O487" s="1"/>
  <c r="F490" l="1"/>
  <c r="W488"/>
  <c r="E491"/>
  <c r="A490"/>
  <c r="H490"/>
  <c r="S490" s="1"/>
  <c r="K489"/>
  <c r="Q487"/>
  <c r="S487" s="1"/>
  <c r="V490" l="1"/>
  <c r="X490" s="1"/>
  <c r="E492"/>
  <c r="F491"/>
  <c r="I491" s="1"/>
  <c r="J491" s="1"/>
  <c r="W487"/>
  <c r="X487"/>
  <c r="W490"/>
  <c r="A491"/>
  <c r="H491"/>
  <c r="V491" s="1"/>
  <c r="L489"/>
  <c r="M489" s="1"/>
  <c r="P489" s="1"/>
  <c r="N489"/>
  <c r="O489" s="1"/>
  <c r="E493" l="1"/>
  <c r="F492"/>
  <c r="Q489"/>
  <c r="S489" s="1"/>
  <c r="H492"/>
  <c r="V492" s="1"/>
  <c r="A492"/>
  <c r="K491"/>
  <c r="S492" l="1"/>
  <c r="E494"/>
  <c r="F493"/>
  <c r="I493" s="1"/>
  <c r="J493" s="1"/>
  <c r="W489"/>
  <c r="X489"/>
  <c r="N491"/>
  <c r="O491" s="1"/>
  <c r="L491"/>
  <c r="M491" s="1"/>
  <c r="P491" s="1"/>
  <c r="A493"/>
  <c r="H493"/>
  <c r="V493" s="1"/>
  <c r="S494" l="1"/>
  <c r="E495"/>
  <c r="F494"/>
  <c r="W492"/>
  <c r="X492"/>
  <c r="K493"/>
  <c r="H494"/>
  <c r="V494" s="1"/>
  <c r="A494"/>
  <c r="Q491"/>
  <c r="S491" s="1"/>
  <c r="F495" l="1"/>
  <c r="I495" s="1"/>
  <c r="J495" s="1"/>
  <c r="E496"/>
  <c r="W491"/>
  <c r="X491"/>
  <c r="W494"/>
  <c r="X494"/>
  <c r="L493"/>
  <c r="M493" s="1"/>
  <c r="P493" s="1"/>
  <c r="N493"/>
  <c r="O493" s="1"/>
  <c r="H495"/>
  <c r="V495" s="1"/>
  <c r="A495"/>
  <c r="F496" l="1"/>
  <c r="E497"/>
  <c r="Q493"/>
  <c r="S493" s="1"/>
  <c r="K495"/>
  <c r="H496"/>
  <c r="V496" s="1"/>
  <c r="A496"/>
  <c r="S496" l="1"/>
  <c r="X496" s="1"/>
  <c r="E498"/>
  <c r="F497"/>
  <c r="I497" s="1"/>
  <c r="J497" s="1"/>
  <c r="W493"/>
  <c r="X493"/>
  <c r="A497"/>
  <c r="H497"/>
  <c r="V497" s="1"/>
  <c r="N495"/>
  <c r="O495" s="1"/>
  <c r="L495"/>
  <c r="M495" s="1"/>
  <c r="P495" s="1"/>
  <c r="W496" l="1"/>
  <c r="F498"/>
  <c r="E499"/>
  <c r="Q495"/>
  <c r="S495" s="1"/>
  <c r="A498"/>
  <c r="H498"/>
  <c r="S498" s="1"/>
  <c r="K497"/>
  <c r="V498" l="1"/>
  <c r="X498" s="1"/>
  <c r="E500"/>
  <c r="F499"/>
  <c r="I499" s="1"/>
  <c r="J499" s="1"/>
  <c r="W498"/>
  <c r="W495"/>
  <c r="X495"/>
  <c r="H499"/>
  <c r="V499" s="1"/>
  <c r="A499"/>
  <c r="L497"/>
  <c r="M497" s="1"/>
  <c r="P497" s="1"/>
  <c r="N497"/>
  <c r="O497" s="1"/>
  <c r="S500" l="1"/>
  <c r="E501"/>
  <c r="F500"/>
  <c r="K499"/>
  <c r="Q497"/>
  <c r="S497" s="1"/>
  <c r="A500"/>
  <c r="H500"/>
  <c r="V500" s="1"/>
  <c r="F501" l="1"/>
  <c r="I501" s="1"/>
  <c r="J501" s="1"/>
  <c r="E502"/>
  <c r="X500"/>
  <c r="W500"/>
  <c r="W497"/>
  <c r="X497"/>
  <c r="L499"/>
  <c r="M499" s="1"/>
  <c r="P499" s="1"/>
  <c r="N499"/>
  <c r="O499" s="1"/>
  <c r="H501"/>
  <c r="V501" s="1"/>
  <c r="A501"/>
  <c r="S502" l="1"/>
  <c r="E503"/>
  <c r="F502"/>
  <c r="H502"/>
  <c r="V502" s="1"/>
  <c r="A502"/>
  <c r="K501"/>
  <c r="Q499"/>
  <c r="S499" s="1"/>
  <c r="F503" l="1"/>
  <c r="I503" s="1"/>
  <c r="J503" s="1"/>
  <c r="E504"/>
  <c r="W499"/>
  <c r="X499"/>
  <c r="N501"/>
  <c r="O501" s="1"/>
  <c r="L501"/>
  <c r="M501" s="1"/>
  <c r="P501" s="1"/>
  <c r="A503"/>
  <c r="H503"/>
  <c r="V503" s="1"/>
  <c r="F504" l="1"/>
  <c r="E505"/>
  <c r="W502"/>
  <c r="X502"/>
  <c r="H504"/>
  <c r="S504" s="1"/>
  <c r="A504"/>
  <c r="K503"/>
  <c r="Q501"/>
  <c r="S501" s="1"/>
  <c r="V504" l="1"/>
  <c r="W504"/>
  <c r="E506"/>
  <c r="F505"/>
  <c r="I505" s="1"/>
  <c r="J505" s="1"/>
  <c r="W501"/>
  <c r="X501"/>
  <c r="N503"/>
  <c r="O503" s="1"/>
  <c r="L503"/>
  <c r="M503" s="1"/>
  <c r="P503" s="1"/>
  <c r="A505"/>
  <c r="H505"/>
  <c r="V505" s="1"/>
  <c r="F506" l="1"/>
  <c r="S506"/>
  <c r="X504"/>
  <c r="E507"/>
  <c r="H506"/>
  <c r="V506" s="1"/>
  <c r="A506"/>
  <c r="K505"/>
  <c r="Q503"/>
  <c r="S503" s="1"/>
  <c r="F507" l="1"/>
  <c r="I507" s="1"/>
  <c r="J507" s="1"/>
  <c r="E508"/>
  <c r="W506"/>
  <c r="X506"/>
  <c r="W503"/>
  <c r="X503"/>
  <c r="N505"/>
  <c r="O505" s="1"/>
  <c r="L505"/>
  <c r="M505" s="1"/>
  <c r="P505" s="1"/>
  <c r="H507"/>
  <c r="V507" s="1"/>
  <c r="A507"/>
  <c r="F508" l="1"/>
  <c r="E509"/>
  <c r="K507"/>
  <c r="H508"/>
  <c r="S508" s="1"/>
  <c r="A508"/>
  <c r="Q505"/>
  <c r="S505" s="1"/>
  <c r="V508" l="1"/>
  <c r="X508" s="1"/>
  <c r="E510"/>
  <c r="F509"/>
  <c r="I509" s="1"/>
  <c r="J509" s="1"/>
  <c r="W508"/>
  <c r="W505"/>
  <c r="X505"/>
  <c r="L507"/>
  <c r="M507" s="1"/>
  <c r="P507" s="1"/>
  <c r="N507"/>
  <c r="O507" s="1"/>
  <c r="A509"/>
  <c r="H509"/>
  <c r="V509" s="1"/>
  <c r="F510" l="1"/>
  <c r="S510"/>
  <c r="E511"/>
  <c r="Q507"/>
  <c r="S507" s="1"/>
  <c r="H510"/>
  <c r="V510" s="1"/>
  <c r="A510"/>
  <c r="K509"/>
  <c r="E512" l="1"/>
  <c r="F511"/>
  <c r="I511" s="1"/>
  <c r="J511" s="1"/>
  <c r="W507"/>
  <c r="X507"/>
  <c r="W510"/>
  <c r="X510"/>
  <c r="A511"/>
  <c r="H511"/>
  <c r="V511" s="1"/>
  <c r="L509"/>
  <c r="M509" s="1"/>
  <c r="P509" s="1"/>
  <c r="N509"/>
  <c r="O509" s="1"/>
  <c r="F512" l="1"/>
  <c r="S512"/>
  <c r="E513"/>
  <c r="Q509"/>
  <c r="S509" s="1"/>
  <c r="H512"/>
  <c r="V512" s="1"/>
  <c r="A512"/>
  <c r="K511"/>
  <c r="F513" l="1"/>
  <c r="I513" s="1"/>
  <c r="J513" s="1"/>
  <c r="E514"/>
  <c r="W509"/>
  <c r="X509"/>
  <c r="W512"/>
  <c r="X512"/>
  <c r="H513"/>
  <c r="V513" s="1"/>
  <c r="A513"/>
  <c r="N511"/>
  <c r="O511" s="1"/>
  <c r="L511"/>
  <c r="M511" s="1"/>
  <c r="P511" s="1"/>
  <c r="F514" l="1"/>
  <c r="E515"/>
  <c r="Q511"/>
  <c r="S511" s="1"/>
  <c r="K513"/>
  <c r="A514"/>
  <c r="H514"/>
  <c r="V514" s="1"/>
  <c r="S514" l="1"/>
  <c r="E516"/>
  <c r="F515"/>
  <c r="I515" s="1"/>
  <c r="J515" s="1"/>
  <c r="W511"/>
  <c r="X511"/>
  <c r="L513"/>
  <c r="M513" s="1"/>
  <c r="P513" s="1"/>
  <c r="N513"/>
  <c r="O513" s="1"/>
  <c r="H515"/>
  <c r="V515" s="1"/>
  <c r="A515"/>
  <c r="S516" l="1"/>
  <c r="E517"/>
  <c r="F516"/>
  <c r="W514"/>
  <c r="X514"/>
  <c r="K515"/>
  <c r="Q513"/>
  <c r="S513" s="1"/>
  <c r="H516"/>
  <c r="V516" s="1"/>
  <c r="A516"/>
  <c r="E518" l="1"/>
  <c r="F517"/>
  <c r="I517" s="1"/>
  <c r="J517" s="1"/>
  <c r="W516"/>
  <c r="X516"/>
  <c r="W513"/>
  <c r="X513"/>
  <c r="L515"/>
  <c r="M515" s="1"/>
  <c r="P515" s="1"/>
  <c r="N515"/>
  <c r="O515" s="1"/>
  <c r="H517"/>
  <c r="V517" s="1"/>
  <c r="A517"/>
  <c r="F518" l="1"/>
  <c r="E519"/>
  <c r="K517"/>
  <c r="Q515"/>
  <c r="S515" s="1"/>
  <c r="H518"/>
  <c r="S518" s="1"/>
  <c r="A518"/>
  <c r="V518" l="1"/>
  <c r="X518" s="1"/>
  <c r="F519"/>
  <c r="I519" s="1"/>
  <c r="E520"/>
  <c r="W515"/>
  <c r="X515"/>
  <c r="W518"/>
  <c r="N517"/>
  <c r="O517" s="1"/>
  <c r="L517"/>
  <c r="M517" s="1"/>
  <c r="P517" s="1"/>
  <c r="A519"/>
  <c r="J519"/>
  <c r="H519"/>
  <c r="V519" s="1"/>
  <c r="F520" l="1"/>
  <c r="S520"/>
  <c r="E521"/>
  <c r="K519"/>
  <c r="H520"/>
  <c r="V520" s="1"/>
  <c r="A520"/>
  <c r="Q517"/>
  <c r="S517" s="1"/>
  <c r="F521" l="1"/>
  <c r="I521" s="1"/>
  <c r="J521" s="1"/>
  <c r="E522"/>
  <c r="W520"/>
  <c r="X520"/>
  <c r="W517"/>
  <c r="X517"/>
  <c r="H521"/>
  <c r="V521" s="1"/>
  <c r="A521"/>
  <c r="L519"/>
  <c r="M519" s="1"/>
  <c r="P519" s="1"/>
  <c r="N519"/>
  <c r="O519" s="1"/>
  <c r="F522" l="1"/>
  <c r="E523"/>
  <c r="K521"/>
  <c r="A522"/>
  <c r="H522"/>
  <c r="S522" s="1"/>
  <c r="Q519"/>
  <c r="S519" s="1"/>
  <c r="V522" l="1"/>
  <c r="X522" s="1"/>
  <c r="E524"/>
  <c r="F523"/>
  <c r="I523" s="1"/>
  <c r="J523" s="1"/>
  <c r="W522"/>
  <c r="W519"/>
  <c r="X519"/>
  <c r="N521"/>
  <c r="O521" s="1"/>
  <c r="L521"/>
  <c r="M521" s="1"/>
  <c r="P521" s="1"/>
  <c r="H523"/>
  <c r="V523" s="1"/>
  <c r="A523"/>
  <c r="E525" l="1"/>
  <c r="F524"/>
  <c r="Q521"/>
  <c r="S521" s="1"/>
  <c r="H524"/>
  <c r="S524" s="1"/>
  <c r="A524"/>
  <c r="K523"/>
  <c r="V524" l="1"/>
  <c r="E526"/>
  <c r="F525"/>
  <c r="I525" s="1"/>
  <c r="J525" s="1"/>
  <c r="W521"/>
  <c r="X521"/>
  <c r="N523"/>
  <c r="O523" s="1"/>
  <c r="L523"/>
  <c r="M523" s="1"/>
  <c r="P523" s="1"/>
  <c r="H525"/>
  <c r="V525" s="1"/>
  <c r="A525"/>
  <c r="F526" l="1"/>
  <c r="S526"/>
  <c r="E527"/>
  <c r="W524"/>
  <c r="X524"/>
  <c r="Q523"/>
  <c r="S523" s="1"/>
  <c r="K525"/>
  <c r="H526"/>
  <c r="V526" s="1"/>
  <c r="A526"/>
  <c r="F527" l="1"/>
  <c r="I527" s="1"/>
  <c r="E528"/>
  <c r="W523"/>
  <c r="X523"/>
  <c r="J527"/>
  <c r="H527"/>
  <c r="V527" s="1"/>
  <c r="A527"/>
  <c r="L525"/>
  <c r="M525" s="1"/>
  <c r="P525" s="1"/>
  <c r="N525"/>
  <c r="O525" s="1"/>
  <c r="S528" l="1"/>
  <c r="E529"/>
  <c r="F528"/>
  <c r="W526"/>
  <c r="X526"/>
  <c r="H528"/>
  <c r="V528" s="1"/>
  <c r="A528"/>
  <c r="K527"/>
  <c r="Q525"/>
  <c r="S525" s="1"/>
  <c r="W528" l="1"/>
  <c r="E530"/>
  <c r="F529"/>
  <c r="I529" s="1"/>
  <c r="J529" s="1"/>
  <c r="W525"/>
  <c r="X525"/>
  <c r="N527"/>
  <c r="O527" s="1"/>
  <c r="L527"/>
  <c r="M527" s="1"/>
  <c r="P527" s="1"/>
  <c r="A529"/>
  <c r="H529"/>
  <c r="V529" s="1"/>
  <c r="F530" l="1"/>
  <c r="S530"/>
  <c r="X528"/>
  <c r="E531"/>
  <c r="Q527"/>
  <c r="S527" s="1"/>
  <c r="A530"/>
  <c r="H530"/>
  <c r="V530" s="1"/>
  <c r="K529"/>
  <c r="F531" l="1"/>
  <c r="I531" s="1"/>
  <c r="E532"/>
  <c r="W527"/>
  <c r="X527"/>
  <c r="W530"/>
  <c r="X530"/>
  <c r="L529"/>
  <c r="M529" s="1"/>
  <c r="P529" s="1"/>
  <c r="N529"/>
  <c r="O529" s="1"/>
  <c r="H531"/>
  <c r="V531" s="1"/>
  <c r="J531"/>
  <c r="A531"/>
  <c r="E533" l="1"/>
  <c r="F532"/>
  <c r="A532"/>
  <c r="H532"/>
  <c r="S532" s="1"/>
  <c r="Q529"/>
  <c r="S529" s="1"/>
  <c r="K531"/>
  <c r="V532" l="1"/>
  <c r="X532" s="1"/>
  <c r="E534"/>
  <c r="F533"/>
  <c r="I533" s="1"/>
  <c r="J533" s="1"/>
  <c r="W529"/>
  <c r="X529"/>
  <c r="N531"/>
  <c r="O531" s="1"/>
  <c r="L531"/>
  <c r="M531" s="1"/>
  <c r="P531" s="1"/>
  <c r="H533"/>
  <c r="V533" s="1"/>
  <c r="A533"/>
  <c r="F534" l="1"/>
  <c r="S534"/>
  <c r="W532"/>
  <c r="E535"/>
  <c r="K533"/>
  <c r="Q531"/>
  <c r="S531" s="1"/>
  <c r="A534"/>
  <c r="H534"/>
  <c r="V534" s="1"/>
  <c r="W534" l="1"/>
  <c r="E536"/>
  <c r="F535"/>
  <c r="I535" s="1"/>
  <c r="J535" s="1"/>
  <c r="W531"/>
  <c r="X531"/>
  <c r="L533"/>
  <c r="M533" s="1"/>
  <c r="P533" s="1"/>
  <c r="N533"/>
  <c r="O533" s="1"/>
  <c r="A535"/>
  <c r="H535"/>
  <c r="V535" s="1"/>
  <c r="F536" l="1"/>
  <c r="X534"/>
  <c r="E537"/>
  <c r="Q533"/>
  <c r="S533" s="1"/>
  <c r="H536"/>
  <c r="S536" s="1"/>
  <c r="A536"/>
  <c r="K535"/>
  <c r="V536" l="1"/>
  <c r="E538"/>
  <c r="F537"/>
  <c r="I537" s="1"/>
  <c r="J537" s="1"/>
  <c r="W533"/>
  <c r="X533"/>
  <c r="A537"/>
  <c r="H537"/>
  <c r="V537" s="1"/>
  <c r="L535"/>
  <c r="M535" s="1"/>
  <c r="P535" s="1"/>
  <c r="N535"/>
  <c r="O535" s="1"/>
  <c r="F538" l="1"/>
  <c r="S538"/>
  <c r="E539"/>
  <c r="W536"/>
  <c r="X536"/>
  <c r="Q535"/>
  <c r="S535" s="1"/>
  <c r="A538"/>
  <c r="H538"/>
  <c r="V538" s="1"/>
  <c r="K537"/>
  <c r="X538" l="1"/>
  <c r="E540"/>
  <c r="F539"/>
  <c r="I539" s="1"/>
  <c r="J539" s="1"/>
  <c r="W538"/>
  <c r="W535"/>
  <c r="X535"/>
  <c r="H539"/>
  <c r="V539" s="1"/>
  <c r="A539"/>
  <c r="N537"/>
  <c r="O537" s="1"/>
  <c r="L537"/>
  <c r="M537" s="1"/>
  <c r="P537" s="1"/>
  <c r="F540" l="1"/>
  <c r="E541"/>
  <c r="K539"/>
  <c r="Q537"/>
  <c r="S537" s="1"/>
  <c r="A540"/>
  <c r="H540"/>
  <c r="V540" s="1"/>
  <c r="S540" l="1"/>
  <c r="F541"/>
  <c r="I541" s="1"/>
  <c r="J541" s="1"/>
  <c r="E542"/>
  <c r="W537"/>
  <c r="X537"/>
  <c r="L539"/>
  <c r="M539" s="1"/>
  <c r="P539" s="1"/>
  <c r="N539"/>
  <c r="O539" s="1"/>
  <c r="H541"/>
  <c r="V541" s="1"/>
  <c r="A541"/>
  <c r="F542" l="1"/>
  <c r="E543"/>
  <c r="W540"/>
  <c r="X540"/>
  <c r="H542"/>
  <c r="V542" s="1"/>
  <c r="A542"/>
  <c r="Q539"/>
  <c r="S539" s="1"/>
  <c r="K541"/>
  <c r="S542" l="1"/>
  <c r="X542" s="1"/>
  <c r="E544"/>
  <c r="F543"/>
  <c r="I543" s="1"/>
  <c r="J543" s="1"/>
  <c r="W539"/>
  <c r="X539"/>
  <c r="L541"/>
  <c r="M541" s="1"/>
  <c r="P541" s="1"/>
  <c r="N541"/>
  <c r="O541" s="1"/>
  <c r="H543"/>
  <c r="V543" s="1"/>
  <c r="A543"/>
  <c r="F544" l="1"/>
  <c r="W542"/>
  <c r="E545"/>
  <c r="K543"/>
  <c r="H544"/>
  <c r="V544" s="1"/>
  <c r="A544"/>
  <c r="Q541"/>
  <c r="S541" s="1"/>
  <c r="S544" l="1"/>
  <c r="X544" s="1"/>
  <c r="F545"/>
  <c r="I545" s="1"/>
  <c r="J545" s="1"/>
  <c r="E546"/>
  <c r="W541"/>
  <c r="X541"/>
  <c r="N543"/>
  <c r="O543" s="1"/>
  <c r="L543"/>
  <c r="M543" s="1"/>
  <c r="P543" s="1"/>
  <c r="A545"/>
  <c r="H545"/>
  <c r="V545" s="1"/>
  <c r="W544" l="1"/>
  <c r="E547"/>
  <c r="F546"/>
  <c r="H546"/>
  <c r="V546" s="1"/>
  <c r="A546"/>
  <c r="Q543"/>
  <c r="S543" s="1"/>
  <c r="K545"/>
  <c r="S546" l="1"/>
  <c r="X546" s="1"/>
  <c r="F547"/>
  <c r="I547" s="1"/>
  <c r="J547" s="1"/>
  <c r="E548"/>
  <c r="W543"/>
  <c r="X543"/>
  <c r="H547"/>
  <c r="V547" s="1"/>
  <c r="A547"/>
  <c r="L545"/>
  <c r="M545" s="1"/>
  <c r="P545" s="1"/>
  <c r="N545"/>
  <c r="O545" s="1"/>
  <c r="W546" l="1"/>
  <c r="S548"/>
  <c r="E549"/>
  <c r="F548"/>
  <c r="Q545"/>
  <c r="S545" s="1"/>
  <c r="K547"/>
  <c r="A548"/>
  <c r="H548"/>
  <c r="V548" s="1"/>
  <c r="F549" l="1"/>
  <c r="I549" s="1"/>
  <c r="J549" s="1"/>
  <c r="E550"/>
  <c r="X548"/>
  <c r="W545"/>
  <c r="X545"/>
  <c r="W548"/>
  <c r="L547"/>
  <c r="M547" s="1"/>
  <c r="P547" s="1"/>
  <c r="N547"/>
  <c r="O547" s="1"/>
  <c r="H549"/>
  <c r="V549" s="1"/>
  <c r="A549"/>
  <c r="F550" l="1"/>
  <c r="S550"/>
  <c r="E551"/>
  <c r="H550"/>
  <c r="V550" s="1"/>
  <c r="A550"/>
  <c r="K549"/>
  <c r="Q547"/>
  <c r="S547" s="1"/>
  <c r="E552" l="1"/>
  <c r="F551"/>
  <c r="I551" s="1"/>
  <c r="J551" s="1"/>
  <c r="W547"/>
  <c r="X547"/>
  <c r="L549"/>
  <c r="M549" s="1"/>
  <c r="P549" s="1"/>
  <c r="N549"/>
  <c r="O549" s="1"/>
  <c r="H551"/>
  <c r="V551" s="1"/>
  <c r="A551"/>
  <c r="E553" l="1"/>
  <c r="F552"/>
  <c r="W550"/>
  <c r="X550"/>
  <c r="Q549"/>
  <c r="S549" s="1"/>
  <c r="K551"/>
  <c r="H552"/>
  <c r="V552" s="1"/>
  <c r="A552"/>
  <c r="S552" l="1"/>
  <c r="F553"/>
  <c r="I553" s="1"/>
  <c r="J553" s="1"/>
  <c r="E554"/>
  <c r="W549"/>
  <c r="X549"/>
  <c r="A553"/>
  <c r="H553"/>
  <c r="V553" s="1"/>
  <c r="L551"/>
  <c r="M551" s="1"/>
  <c r="P551" s="1"/>
  <c r="N551"/>
  <c r="O551" s="1"/>
  <c r="F554" l="1"/>
  <c r="E555"/>
  <c r="W552"/>
  <c r="X552"/>
  <c r="H554"/>
  <c r="S554" s="1"/>
  <c r="A554"/>
  <c r="K553"/>
  <c r="Q551"/>
  <c r="S551" s="1"/>
  <c r="V554" l="1"/>
  <c r="X554" s="1"/>
  <c r="E556"/>
  <c r="F555"/>
  <c r="I555" s="1"/>
  <c r="J555" s="1"/>
  <c r="W554"/>
  <c r="W551"/>
  <c r="X551"/>
  <c r="L553"/>
  <c r="M553" s="1"/>
  <c r="P553" s="1"/>
  <c r="N553"/>
  <c r="O553" s="1"/>
  <c r="A555"/>
  <c r="H555"/>
  <c r="V555" s="1"/>
  <c r="F556" l="1"/>
  <c r="E557"/>
  <c r="K555"/>
  <c r="H556"/>
  <c r="V556" s="1"/>
  <c r="A556"/>
  <c r="Q553"/>
  <c r="S553" s="1"/>
  <c r="F557" l="1"/>
  <c r="I557" s="1"/>
  <c r="S556"/>
  <c r="X556" s="1"/>
  <c r="E558"/>
  <c r="W553"/>
  <c r="X553"/>
  <c r="J557"/>
  <c r="A557"/>
  <c r="H557"/>
  <c r="V557" s="1"/>
  <c r="N555"/>
  <c r="O555" s="1"/>
  <c r="L555"/>
  <c r="M555" s="1"/>
  <c r="P555" s="1"/>
  <c r="W556" l="1"/>
  <c r="E559"/>
  <c r="F558"/>
  <c r="K557"/>
  <c r="H558"/>
  <c r="V558" s="1"/>
  <c r="A558"/>
  <c r="Q555"/>
  <c r="S555" s="1"/>
  <c r="S558" l="1"/>
  <c r="W558" s="1"/>
  <c r="F559"/>
  <c r="I559" s="1"/>
  <c r="J559" s="1"/>
  <c r="E560"/>
  <c r="W555"/>
  <c r="X555"/>
  <c r="L557"/>
  <c r="M557" s="1"/>
  <c r="P557" s="1"/>
  <c r="N557"/>
  <c r="O557" s="1"/>
  <c r="H559"/>
  <c r="V559" s="1"/>
  <c r="A559"/>
  <c r="F560" l="1"/>
  <c r="S560"/>
  <c r="X558"/>
  <c r="E561"/>
  <c r="K559"/>
  <c r="A560"/>
  <c r="H560"/>
  <c r="V560" s="1"/>
  <c r="Q557"/>
  <c r="S557" s="1"/>
  <c r="E562" l="1"/>
  <c r="F561"/>
  <c r="I561" s="1"/>
  <c r="J561" s="1"/>
  <c r="W560"/>
  <c r="X560"/>
  <c r="W557"/>
  <c r="X557"/>
  <c r="H561"/>
  <c r="V561" s="1"/>
  <c r="A561"/>
  <c r="L559"/>
  <c r="M559" s="1"/>
  <c r="P559" s="1"/>
  <c r="N559"/>
  <c r="O559" s="1"/>
  <c r="E563" l="1"/>
  <c r="F562"/>
  <c r="A562"/>
  <c r="H562"/>
  <c r="S562" s="1"/>
  <c r="K561"/>
  <c r="Q559"/>
  <c r="S559" s="1"/>
  <c r="V562" l="1"/>
  <c r="W562"/>
  <c r="E564"/>
  <c r="F563"/>
  <c r="I563" s="1"/>
  <c r="J563" s="1"/>
  <c r="W559"/>
  <c r="X559"/>
  <c r="N561"/>
  <c r="O561" s="1"/>
  <c r="L561"/>
  <c r="M561" s="1"/>
  <c r="P561" s="1"/>
  <c r="A563"/>
  <c r="H563"/>
  <c r="V563" s="1"/>
  <c r="X562" l="1"/>
  <c r="E565"/>
  <c r="F564"/>
  <c r="A564"/>
  <c r="H564"/>
  <c r="V564" s="1"/>
  <c r="K563"/>
  <c r="Q561"/>
  <c r="S561" s="1"/>
  <c r="S564" l="1"/>
  <c r="X564" s="1"/>
  <c r="E566"/>
  <c r="F565"/>
  <c r="I565" s="1"/>
  <c r="J565" s="1"/>
  <c r="W561"/>
  <c r="X561"/>
  <c r="H565"/>
  <c r="V565" s="1"/>
  <c r="A565"/>
  <c r="L563"/>
  <c r="M563" s="1"/>
  <c r="P563" s="1"/>
  <c r="N563"/>
  <c r="O563" s="1"/>
  <c r="W564" l="1"/>
  <c r="F566"/>
  <c r="S566"/>
  <c r="E567"/>
  <c r="Q563"/>
  <c r="S563" s="1"/>
  <c r="K565"/>
  <c r="A566"/>
  <c r="H566"/>
  <c r="V566" s="1"/>
  <c r="E568" l="1"/>
  <c r="F567"/>
  <c r="I567" s="1"/>
  <c r="J567" s="1"/>
  <c r="W566"/>
  <c r="X566"/>
  <c r="W563"/>
  <c r="X563"/>
  <c r="H567"/>
  <c r="V567" s="1"/>
  <c r="A567"/>
  <c r="N565"/>
  <c r="O565" s="1"/>
  <c r="L565"/>
  <c r="M565" s="1"/>
  <c r="P565" s="1"/>
  <c r="E569" l="1"/>
  <c r="F568"/>
  <c r="K567"/>
  <c r="Q565"/>
  <c r="S565" s="1"/>
  <c r="A568"/>
  <c r="H568"/>
  <c r="V568" s="1"/>
  <c r="S568" l="1"/>
  <c r="X568" s="1"/>
  <c r="E570"/>
  <c r="F569"/>
  <c r="I569" s="1"/>
  <c r="J569" s="1"/>
  <c r="W565"/>
  <c r="X565"/>
  <c r="N567"/>
  <c r="O567" s="1"/>
  <c r="L567"/>
  <c r="M567" s="1"/>
  <c r="P567" s="1"/>
  <c r="A569"/>
  <c r="H569"/>
  <c r="V569" s="1"/>
  <c r="W568" l="1"/>
  <c r="E571"/>
  <c r="F570"/>
  <c r="Q567"/>
  <c r="S567" s="1"/>
  <c r="A570"/>
  <c r="H570"/>
  <c r="V570" s="1"/>
  <c r="K569"/>
  <c r="S570" l="1"/>
  <c r="W570" s="1"/>
  <c r="E572"/>
  <c r="F571"/>
  <c r="I571" s="1"/>
  <c r="J571" s="1"/>
  <c r="W567"/>
  <c r="X567"/>
  <c r="H571"/>
  <c r="V571" s="1"/>
  <c r="A571"/>
  <c r="L569"/>
  <c r="M569" s="1"/>
  <c r="P569" s="1"/>
  <c r="N569"/>
  <c r="O569" s="1"/>
  <c r="X570" l="1"/>
  <c r="E573"/>
  <c r="F572"/>
  <c r="Q569"/>
  <c r="S569" s="1"/>
  <c r="H572"/>
  <c r="V572" s="1"/>
  <c r="A572"/>
  <c r="K571"/>
  <c r="S572" l="1"/>
  <c r="X572" s="1"/>
  <c r="F573"/>
  <c r="I573" s="1"/>
  <c r="J573" s="1"/>
  <c r="E574"/>
  <c r="W569"/>
  <c r="X569"/>
  <c r="A573"/>
  <c r="H573"/>
  <c r="V573" s="1"/>
  <c r="N571"/>
  <c r="O571" s="1"/>
  <c r="L571"/>
  <c r="M571" s="1"/>
  <c r="P571" s="1"/>
  <c r="W572" l="1"/>
  <c r="S574"/>
  <c r="E575"/>
  <c r="F574"/>
  <c r="K573"/>
  <c r="Q571"/>
  <c r="S571" s="1"/>
  <c r="H574"/>
  <c r="V574" s="1"/>
  <c r="A574"/>
  <c r="F575" l="1"/>
  <c r="I575" s="1"/>
  <c r="J575" s="1"/>
  <c r="E576"/>
  <c r="W574"/>
  <c r="X574"/>
  <c r="W571"/>
  <c r="X571"/>
  <c r="L573"/>
  <c r="M573" s="1"/>
  <c r="P573" s="1"/>
  <c r="N573"/>
  <c r="O573" s="1"/>
  <c r="H575"/>
  <c r="V575" s="1"/>
  <c r="A575"/>
  <c r="S576" l="1"/>
  <c r="E577"/>
  <c r="F576"/>
  <c r="K575"/>
  <c r="Q573"/>
  <c r="S573" s="1"/>
  <c r="A576"/>
  <c r="H576"/>
  <c r="V576" s="1"/>
  <c r="W576" l="1"/>
  <c r="E578"/>
  <c r="F577"/>
  <c r="I577" s="1"/>
  <c r="J577" s="1"/>
  <c r="W573"/>
  <c r="X573"/>
  <c r="L575"/>
  <c r="M575" s="1"/>
  <c r="P575" s="1"/>
  <c r="N575"/>
  <c r="O575" s="1"/>
  <c r="A577"/>
  <c r="H577"/>
  <c r="V577" s="1"/>
  <c r="S578" l="1"/>
  <c r="X576"/>
  <c r="E579"/>
  <c r="F578"/>
  <c r="K577"/>
  <c r="Q575"/>
  <c r="S575" s="1"/>
  <c r="A578"/>
  <c r="H578"/>
  <c r="V578" s="1"/>
  <c r="F579" l="1"/>
  <c r="I579" s="1"/>
  <c r="J579" s="1"/>
  <c r="E580"/>
  <c r="W578"/>
  <c r="X578"/>
  <c r="W575"/>
  <c r="X575"/>
  <c r="L577"/>
  <c r="M577" s="1"/>
  <c r="P577" s="1"/>
  <c r="N577"/>
  <c r="O577" s="1"/>
  <c r="A579"/>
  <c r="H579"/>
  <c r="V579" s="1"/>
  <c r="E581" l="1"/>
  <c r="F580"/>
  <c r="Q577"/>
  <c r="S577" s="1"/>
  <c r="H580"/>
  <c r="V580" s="1"/>
  <c r="A580"/>
  <c r="K579"/>
  <c r="F581" l="1"/>
  <c r="I581" s="1"/>
  <c r="S580"/>
  <c r="X580" s="1"/>
  <c r="E582"/>
  <c r="W577"/>
  <c r="X577"/>
  <c r="J581"/>
  <c r="A581"/>
  <c r="H581"/>
  <c r="V581" s="1"/>
  <c r="L579"/>
  <c r="M579" s="1"/>
  <c r="P579" s="1"/>
  <c r="N579"/>
  <c r="O579" s="1"/>
  <c r="F582" l="1"/>
  <c r="S582"/>
  <c r="W580"/>
  <c r="E583"/>
  <c r="K581"/>
  <c r="Q579"/>
  <c r="S579" s="1"/>
  <c r="H582"/>
  <c r="V582" s="1"/>
  <c r="A582"/>
  <c r="F583" l="1"/>
  <c r="I583" s="1"/>
  <c r="J583" s="1"/>
  <c r="E584"/>
  <c r="W579"/>
  <c r="X579"/>
  <c r="N581"/>
  <c r="O581" s="1"/>
  <c r="L581"/>
  <c r="M581" s="1"/>
  <c r="P581" s="1"/>
  <c r="H583"/>
  <c r="V583" s="1"/>
  <c r="A583"/>
  <c r="F584" l="1"/>
  <c r="S584"/>
  <c r="E585"/>
  <c r="W582"/>
  <c r="X582"/>
  <c r="Q581"/>
  <c r="S581" s="1"/>
  <c r="K583"/>
  <c r="H584"/>
  <c r="V584" s="1"/>
  <c r="A584"/>
  <c r="E586" l="1"/>
  <c r="F585"/>
  <c r="I585" s="1"/>
  <c r="J585" s="1"/>
  <c r="W581"/>
  <c r="X581"/>
  <c r="A585"/>
  <c r="H585"/>
  <c r="V585" s="1"/>
  <c r="N583"/>
  <c r="O583" s="1"/>
  <c r="L583"/>
  <c r="M583" s="1"/>
  <c r="P583" s="1"/>
  <c r="S586" l="1"/>
  <c r="E587"/>
  <c r="F586"/>
  <c r="W584"/>
  <c r="X584"/>
  <c r="K585"/>
  <c r="A586"/>
  <c r="H586"/>
  <c r="V586" s="1"/>
  <c r="Q583"/>
  <c r="S583" s="1"/>
  <c r="E588" l="1"/>
  <c r="X586"/>
  <c r="F587"/>
  <c r="I587" s="1"/>
  <c r="J587" s="1"/>
  <c r="W586"/>
  <c r="W583"/>
  <c r="X583"/>
  <c r="H587"/>
  <c r="V587" s="1"/>
  <c r="A587"/>
  <c r="L585"/>
  <c r="M585" s="1"/>
  <c r="P585" s="1"/>
  <c r="N585"/>
  <c r="O585" s="1"/>
  <c r="F588" l="1"/>
  <c r="E589"/>
  <c r="K587"/>
  <c r="H588"/>
  <c r="V588" s="1"/>
  <c r="A588"/>
  <c r="Q585"/>
  <c r="S585" s="1"/>
  <c r="S588" l="1"/>
  <c r="W588" s="1"/>
  <c r="E590"/>
  <c r="F589"/>
  <c r="I589" s="1"/>
  <c r="J589" s="1"/>
  <c r="W585"/>
  <c r="X585"/>
  <c r="A589"/>
  <c r="H589"/>
  <c r="V589" s="1"/>
  <c r="L587"/>
  <c r="M587" s="1"/>
  <c r="P587" s="1"/>
  <c r="N587"/>
  <c r="O587" s="1"/>
  <c r="F590" l="1"/>
  <c r="S590"/>
  <c r="X588"/>
  <c r="E591"/>
  <c r="K589"/>
  <c r="Q587"/>
  <c r="S587" s="1"/>
  <c r="H590"/>
  <c r="V590" s="1"/>
  <c r="A590"/>
  <c r="E592" l="1"/>
  <c r="F591"/>
  <c r="I591" s="1"/>
  <c r="J591" s="1"/>
  <c r="W590"/>
  <c r="X590"/>
  <c r="W587"/>
  <c r="X587"/>
  <c r="L589"/>
  <c r="M589" s="1"/>
  <c r="P589" s="1"/>
  <c r="N589"/>
  <c r="O589" s="1"/>
  <c r="H591"/>
  <c r="V591" s="1"/>
  <c r="A591"/>
  <c r="E593" l="1"/>
  <c r="F592"/>
  <c r="H592"/>
  <c r="S592" s="1"/>
  <c r="A592"/>
  <c r="K591"/>
  <c r="Q589"/>
  <c r="S589" s="1"/>
  <c r="V592" l="1"/>
  <c r="X592" s="1"/>
  <c r="E594"/>
  <c r="F593"/>
  <c r="I593" s="1"/>
  <c r="J593" s="1"/>
  <c r="W589"/>
  <c r="X589"/>
  <c r="W592"/>
  <c r="H593"/>
  <c r="V593" s="1"/>
  <c r="A593"/>
  <c r="N591"/>
  <c r="O591" s="1"/>
  <c r="L591"/>
  <c r="M591" s="1"/>
  <c r="P591" s="1"/>
  <c r="F594" l="1"/>
  <c r="E595"/>
  <c r="Q591"/>
  <c r="S591" s="1"/>
  <c r="K593"/>
  <c r="A594"/>
  <c r="H594"/>
  <c r="V594" s="1"/>
  <c r="S594" l="1"/>
  <c r="W594" s="1"/>
  <c r="F595"/>
  <c r="I595" s="1"/>
  <c r="J595" s="1"/>
  <c r="E596"/>
  <c r="W591"/>
  <c r="X591"/>
  <c r="L593"/>
  <c r="M593" s="1"/>
  <c r="P593" s="1"/>
  <c r="N593"/>
  <c r="O593" s="1"/>
  <c r="A595"/>
  <c r="H595"/>
  <c r="V595" s="1"/>
  <c r="X594" l="1"/>
  <c r="E597"/>
  <c r="F596"/>
  <c r="Q593"/>
  <c r="S593" s="1"/>
  <c r="K595"/>
  <c r="H596"/>
  <c r="V596" s="1"/>
  <c r="A596"/>
  <c r="S596" l="1"/>
  <c r="X596" s="1"/>
  <c r="F597"/>
  <c r="I597" s="1"/>
  <c r="J597" s="1"/>
  <c r="E598"/>
  <c r="W593"/>
  <c r="X593"/>
  <c r="L595"/>
  <c r="M595" s="1"/>
  <c r="P595" s="1"/>
  <c r="N595"/>
  <c r="O595" s="1"/>
  <c r="H597"/>
  <c r="V597" s="1"/>
  <c r="A597"/>
  <c r="S598" l="1"/>
  <c r="W596"/>
  <c r="E599"/>
  <c r="F598"/>
  <c r="A598"/>
  <c r="H598"/>
  <c r="V598" s="1"/>
  <c r="K597"/>
  <c r="Q595"/>
  <c r="S595" s="1"/>
  <c r="X598" l="1"/>
  <c r="E600"/>
  <c r="F599"/>
  <c r="I599" s="1"/>
  <c r="J599" s="1"/>
  <c r="W595"/>
  <c r="X595"/>
  <c r="A599"/>
  <c r="H599"/>
  <c r="V599" s="1"/>
  <c r="L597"/>
  <c r="M597" s="1"/>
  <c r="P597" s="1"/>
  <c r="N597"/>
  <c r="O597" s="1"/>
  <c r="S600" l="1"/>
  <c r="W598"/>
  <c r="E601"/>
  <c r="F600"/>
  <c r="Q597"/>
  <c r="S597" s="1"/>
  <c r="A600"/>
  <c r="H600"/>
  <c r="V600" s="1"/>
  <c r="K599"/>
  <c r="F601" l="1"/>
  <c r="I601" s="1"/>
  <c r="J601" s="1"/>
  <c r="E602"/>
  <c r="W597"/>
  <c r="X597"/>
  <c r="L599"/>
  <c r="M599" s="1"/>
  <c r="P599" s="1"/>
  <c r="N599"/>
  <c r="O599" s="1"/>
  <c r="A601"/>
  <c r="H601"/>
  <c r="V601" s="1"/>
  <c r="S602" l="1"/>
  <c r="E603"/>
  <c r="F602"/>
  <c r="W600"/>
  <c r="X600"/>
  <c r="A602"/>
  <c r="H602"/>
  <c r="V602" s="1"/>
  <c r="K601"/>
  <c r="Q599"/>
  <c r="S599" s="1"/>
  <c r="F603" l="1"/>
  <c r="I603" s="1"/>
  <c r="J603" s="1"/>
  <c r="E604"/>
  <c r="W602"/>
  <c r="X602"/>
  <c r="W599"/>
  <c r="X599"/>
  <c r="A603"/>
  <c r="H603"/>
  <c r="V603" s="1"/>
  <c r="L601"/>
  <c r="M601" s="1"/>
  <c r="P601" s="1"/>
  <c r="N601"/>
  <c r="O601" s="1"/>
  <c r="E605" l="1"/>
  <c r="F604"/>
  <c r="A604"/>
  <c r="H604"/>
  <c r="V604" s="1"/>
  <c r="K603"/>
  <c r="Q601"/>
  <c r="S601" s="1"/>
  <c r="F605" l="1"/>
  <c r="I605" s="1"/>
  <c r="S604"/>
  <c r="X604" s="1"/>
  <c r="E606"/>
  <c r="W601"/>
  <c r="X601"/>
  <c r="N603"/>
  <c r="O603" s="1"/>
  <c r="L603"/>
  <c r="M603" s="1"/>
  <c r="P603" s="1"/>
  <c r="H605"/>
  <c r="V605" s="1"/>
  <c r="A605"/>
  <c r="J605"/>
  <c r="F606" l="1"/>
  <c r="W604"/>
  <c r="E607"/>
  <c r="H606"/>
  <c r="V606" s="1"/>
  <c r="A606"/>
  <c r="K605"/>
  <c r="Q603"/>
  <c r="S603" s="1"/>
  <c r="F607" l="1"/>
  <c r="I607" s="1"/>
  <c r="S606"/>
  <c r="X606" s="1"/>
  <c r="E608"/>
  <c r="W603"/>
  <c r="X603"/>
  <c r="L605"/>
  <c r="M605" s="1"/>
  <c r="P605" s="1"/>
  <c r="N605"/>
  <c r="O605" s="1"/>
  <c r="A607"/>
  <c r="H607"/>
  <c r="V607" s="1"/>
  <c r="J607"/>
  <c r="W606" l="1"/>
  <c r="F608"/>
  <c r="S608"/>
  <c r="E609"/>
  <c r="H608"/>
  <c r="V608" s="1"/>
  <c r="A608"/>
  <c r="K607"/>
  <c r="Q605"/>
  <c r="S605" s="1"/>
  <c r="E610" l="1"/>
  <c r="F609"/>
  <c r="W608"/>
  <c r="X608"/>
  <c r="W605"/>
  <c r="X605"/>
  <c r="H609"/>
  <c r="S609" s="1"/>
  <c r="A609"/>
  <c r="L607"/>
  <c r="M607" s="1"/>
  <c r="P607" s="1"/>
  <c r="N607"/>
  <c r="O607" s="1"/>
  <c r="V609" l="1"/>
  <c r="S610"/>
  <c r="E611"/>
  <c r="F610"/>
  <c r="W609"/>
  <c r="X609"/>
  <c r="Q607"/>
  <c r="S607" s="1"/>
  <c r="H610"/>
  <c r="V610" s="1"/>
  <c r="A610"/>
  <c r="S611" l="1"/>
  <c r="E612"/>
  <c r="F611"/>
  <c r="W610"/>
  <c r="X610"/>
  <c r="W607"/>
  <c r="X607"/>
  <c r="A611"/>
  <c r="H611"/>
  <c r="V611" s="1"/>
  <c r="S612" l="1"/>
  <c r="E613"/>
  <c r="F612"/>
  <c r="W611"/>
  <c r="X611"/>
  <c r="H612"/>
  <c r="V612" s="1"/>
  <c r="A612"/>
  <c r="E614" l="1"/>
  <c r="F613"/>
  <c r="I613" s="1"/>
  <c r="J613" s="1"/>
  <c r="W612"/>
  <c r="X612"/>
  <c r="A613"/>
  <c r="H613"/>
  <c r="V613" s="1"/>
  <c r="F614" l="1"/>
  <c r="S614"/>
  <c r="E615"/>
  <c r="A614"/>
  <c r="H614"/>
  <c r="V614" s="1"/>
  <c r="K613"/>
  <c r="F615" l="1"/>
  <c r="I615" s="1"/>
  <c r="J615" s="1"/>
  <c r="E616"/>
  <c r="W614"/>
  <c r="X614"/>
  <c r="L613"/>
  <c r="M613" s="1"/>
  <c r="P613" s="1"/>
  <c r="N613"/>
  <c r="O613" s="1"/>
  <c r="A615"/>
  <c r="H615"/>
  <c r="V615" s="1"/>
  <c r="F616" l="1"/>
  <c r="E617"/>
  <c r="A616"/>
  <c r="H616"/>
  <c r="V616" s="1"/>
  <c r="K615"/>
  <c r="Q613"/>
  <c r="S613" s="1"/>
  <c r="S616" l="1"/>
  <c r="W616" s="1"/>
  <c r="E618"/>
  <c r="F617"/>
  <c r="W613"/>
  <c r="X613"/>
  <c r="L615"/>
  <c r="M615" s="1"/>
  <c r="P615" s="1"/>
  <c r="N615"/>
  <c r="O615" s="1"/>
  <c r="A617"/>
  <c r="H617"/>
  <c r="S617" s="1"/>
  <c r="V617" l="1"/>
  <c r="X617" s="1"/>
  <c r="X616"/>
  <c r="E619"/>
  <c r="F618"/>
  <c r="W617"/>
  <c r="Q615"/>
  <c r="S615" s="1"/>
  <c r="A618"/>
  <c r="H618"/>
  <c r="S618" s="1"/>
  <c r="V618" l="1"/>
  <c r="X618" s="1"/>
  <c r="E620"/>
  <c r="F619"/>
  <c r="W615"/>
  <c r="X615"/>
  <c r="W618"/>
  <c r="H619"/>
  <c r="S619" s="1"/>
  <c r="A619"/>
  <c r="V619" l="1"/>
  <c r="X619" s="1"/>
  <c r="S620"/>
  <c r="E621"/>
  <c r="F620"/>
  <c r="W619"/>
  <c r="H620"/>
  <c r="V620" s="1"/>
  <c r="A620"/>
  <c r="F621" l="1"/>
  <c r="I621" s="1"/>
  <c r="J621" s="1"/>
  <c r="X620"/>
  <c r="E622"/>
  <c r="H621"/>
  <c r="V621" s="1"/>
  <c r="A621"/>
  <c r="W620" l="1"/>
  <c r="E623"/>
  <c r="F622"/>
  <c r="K621"/>
  <c r="A622"/>
  <c r="H622"/>
  <c r="S622" s="1"/>
  <c r="V622" l="1"/>
  <c r="X622" s="1"/>
  <c r="E624"/>
  <c r="F623"/>
  <c r="I623" s="1"/>
  <c r="J623" s="1"/>
  <c r="W622"/>
  <c r="N621"/>
  <c r="O621" s="1"/>
  <c r="L621"/>
  <c r="M621" s="1"/>
  <c r="P621" s="1"/>
  <c r="A623"/>
  <c r="H623"/>
  <c r="V623" s="1"/>
  <c r="F624" l="1"/>
  <c r="E625"/>
  <c r="H624"/>
  <c r="S624" s="1"/>
  <c r="A624"/>
  <c r="Q621"/>
  <c r="S621" s="1"/>
  <c r="K623"/>
  <c r="V624" l="1"/>
  <c r="X624" s="1"/>
  <c r="E626"/>
  <c r="F625"/>
  <c r="I625" s="1"/>
  <c r="K625" s="1"/>
  <c r="W621"/>
  <c r="X621"/>
  <c r="W624"/>
  <c r="A625"/>
  <c r="H625"/>
  <c r="V625" s="1"/>
  <c r="L623"/>
  <c r="M623" s="1"/>
  <c r="P623" s="1"/>
  <c r="N623"/>
  <c r="O623" s="1"/>
  <c r="F626" l="1"/>
  <c r="J625"/>
  <c r="E627"/>
  <c r="L625"/>
  <c r="M625" s="1"/>
  <c r="N625"/>
  <c r="O625" s="1"/>
  <c r="A626"/>
  <c r="H626"/>
  <c r="V626" s="1"/>
  <c r="Q623"/>
  <c r="S623" s="1"/>
  <c r="S626" l="1"/>
  <c r="X626" s="1"/>
  <c r="P625"/>
  <c r="Q625" s="1"/>
  <c r="S625" s="1"/>
  <c r="E628"/>
  <c r="F627"/>
  <c r="I627" s="1"/>
  <c r="J627" s="1"/>
  <c r="W623"/>
  <c r="X623"/>
  <c r="A627"/>
  <c r="H627"/>
  <c r="V627" s="1"/>
  <c r="W626" l="1"/>
  <c r="F628"/>
  <c r="K627"/>
  <c r="N627" s="1"/>
  <c r="O627" s="1"/>
  <c r="E629"/>
  <c r="W625"/>
  <c r="X625"/>
  <c r="H628"/>
  <c r="S628" s="1"/>
  <c r="A628"/>
  <c r="F629" l="1"/>
  <c r="I629" s="1"/>
  <c r="V628"/>
  <c r="X628" s="1"/>
  <c r="L627"/>
  <c r="M627" s="1"/>
  <c r="P627" s="1"/>
  <c r="Q627" s="1"/>
  <c r="S627" s="1"/>
  <c r="E630"/>
  <c r="A629"/>
  <c r="H629"/>
  <c r="V629" s="1"/>
  <c r="J629"/>
  <c r="S630" l="1"/>
  <c r="W628"/>
  <c r="E631"/>
  <c r="F630"/>
  <c r="W627"/>
  <c r="X627"/>
  <c r="A630"/>
  <c r="H630"/>
  <c r="V630" s="1"/>
  <c r="K629"/>
  <c r="E632" l="1"/>
  <c r="F631"/>
  <c r="I631" s="1"/>
  <c r="J631" s="1"/>
  <c r="W630"/>
  <c r="X630"/>
  <c r="H631"/>
  <c r="V631" s="1"/>
  <c r="A631"/>
  <c r="N629"/>
  <c r="O629" s="1"/>
  <c r="L629"/>
  <c r="M629" s="1"/>
  <c r="E633" l="1"/>
  <c r="F632"/>
  <c r="P629"/>
  <c r="Q629" s="1"/>
  <c r="S629" s="1"/>
  <c r="H632"/>
  <c r="S632" s="1"/>
  <c r="A632"/>
  <c r="K631"/>
  <c r="V632" l="1"/>
  <c r="X632" s="1"/>
  <c r="E634"/>
  <c r="F633"/>
  <c r="I633" s="1"/>
  <c r="J633" s="1"/>
  <c r="W632"/>
  <c r="W629"/>
  <c r="X629"/>
  <c r="L631"/>
  <c r="M631" s="1"/>
  <c r="N631"/>
  <c r="O631" s="1"/>
  <c r="A633"/>
  <c r="H633"/>
  <c r="V633" s="1"/>
  <c r="S634" l="1"/>
  <c r="K633"/>
  <c r="L633" s="1"/>
  <c r="M633" s="1"/>
  <c r="P633" s="1"/>
  <c r="E635"/>
  <c r="F634"/>
  <c r="P631"/>
  <c r="Q631" s="1"/>
  <c r="S631" s="1"/>
  <c r="A634"/>
  <c r="H634"/>
  <c r="V634" s="1"/>
  <c r="F635" l="1"/>
  <c r="X634"/>
  <c r="N633"/>
  <c r="O633" s="1"/>
  <c r="Q633" s="1"/>
  <c r="S633" s="1"/>
  <c r="E636"/>
  <c r="W631"/>
  <c r="X631"/>
  <c r="H635"/>
  <c r="V635" s="1"/>
  <c r="A635"/>
  <c r="S635" l="1"/>
  <c r="W635" s="1"/>
  <c r="S636"/>
  <c r="W634"/>
  <c r="E637"/>
  <c r="F636"/>
  <c r="W633"/>
  <c r="X633"/>
  <c r="A636"/>
  <c r="H636"/>
  <c r="V636" s="1"/>
  <c r="X636" l="1"/>
  <c r="X635"/>
  <c r="E638"/>
  <c r="F637"/>
  <c r="H637"/>
  <c r="V637" s="1"/>
  <c r="J637"/>
  <c r="A637"/>
  <c r="S638" l="1"/>
  <c r="W636"/>
  <c r="E639"/>
  <c r="F638"/>
  <c r="A638"/>
  <c r="H638"/>
  <c r="V638" s="1"/>
  <c r="K637"/>
  <c r="E640" l="1"/>
  <c r="F639"/>
  <c r="I639" s="1"/>
  <c r="J639" s="1"/>
  <c r="W638"/>
  <c r="X638"/>
  <c r="N637"/>
  <c r="O637" s="1"/>
  <c r="L637"/>
  <c r="M637" s="1"/>
  <c r="P637" s="1"/>
  <c r="A639"/>
  <c r="H639"/>
  <c r="V639" s="1"/>
  <c r="E641" l="1"/>
  <c r="F640"/>
  <c r="Q637"/>
  <c r="S637" s="1"/>
  <c r="K639"/>
  <c r="H640"/>
  <c r="V640" s="1"/>
  <c r="A640"/>
  <c r="S640" l="1"/>
  <c r="F641"/>
  <c r="I641" s="1"/>
  <c r="K641" s="1"/>
  <c r="E642"/>
  <c r="W637"/>
  <c r="X637"/>
  <c r="L639"/>
  <c r="M639" s="1"/>
  <c r="P639" s="1"/>
  <c r="N639"/>
  <c r="O639" s="1"/>
  <c r="A641"/>
  <c r="H641"/>
  <c r="V641" s="1"/>
  <c r="J641" l="1"/>
  <c r="E643"/>
  <c r="F642"/>
  <c r="W640"/>
  <c r="X640"/>
  <c r="L641"/>
  <c r="M641" s="1"/>
  <c r="N641"/>
  <c r="O641" s="1"/>
  <c r="Q639"/>
  <c r="S639" s="1"/>
  <c r="H642"/>
  <c r="V642" s="1"/>
  <c r="A642"/>
  <c r="P641" l="1"/>
  <c r="S642"/>
  <c r="X642" s="1"/>
  <c r="F643"/>
  <c r="S643"/>
  <c r="E644"/>
  <c r="W639"/>
  <c r="X639"/>
  <c r="Q641"/>
  <c r="S641" s="1"/>
  <c r="H643"/>
  <c r="V643" s="1"/>
  <c r="A643"/>
  <c r="W642" l="1"/>
  <c r="S644"/>
  <c r="E645"/>
  <c r="F644"/>
  <c r="W641"/>
  <c r="X641"/>
  <c r="W643"/>
  <c r="X643"/>
  <c r="H644"/>
  <c r="V644" s="1"/>
  <c r="A644"/>
  <c r="E646" l="1"/>
  <c r="F645"/>
  <c r="W644"/>
  <c r="X644"/>
  <c r="A645"/>
  <c r="J645"/>
  <c r="H645"/>
  <c r="V645" s="1"/>
  <c r="E647" l="1"/>
  <c r="F646"/>
  <c r="A646"/>
  <c r="H646"/>
  <c r="S646" s="1"/>
  <c r="K645"/>
  <c r="V646" l="1"/>
  <c r="X646" s="1"/>
  <c r="E648"/>
  <c r="F647"/>
  <c r="I647" s="1"/>
  <c r="J647" s="1"/>
  <c r="W646"/>
  <c r="N645"/>
  <c r="O645" s="1"/>
  <c r="L645"/>
  <c r="M645" s="1"/>
  <c r="P645" s="1"/>
  <c r="H647"/>
  <c r="V647" s="1"/>
  <c r="A647"/>
  <c r="E649" l="1"/>
  <c r="F648"/>
  <c r="Q645"/>
  <c r="S645" s="1"/>
  <c r="A648"/>
  <c r="H648"/>
  <c r="S648" s="1"/>
  <c r="K647"/>
  <c r="V648" l="1"/>
  <c r="E650"/>
  <c r="F649"/>
  <c r="I649" s="1"/>
  <c r="K649" s="1"/>
  <c r="W645"/>
  <c r="X645"/>
  <c r="A649"/>
  <c r="H649"/>
  <c r="V649" s="1"/>
  <c r="L647"/>
  <c r="M647" s="1"/>
  <c r="P647" s="1"/>
  <c r="N647"/>
  <c r="O647" s="1"/>
  <c r="F650" l="1"/>
  <c r="J649"/>
  <c r="E651"/>
  <c r="W648"/>
  <c r="X648"/>
  <c r="L649"/>
  <c r="M649" s="1"/>
  <c r="N649"/>
  <c r="O649" s="1"/>
  <c r="Q647"/>
  <c r="S647" s="1"/>
  <c r="H650"/>
  <c r="V650" s="1"/>
  <c r="A650"/>
  <c r="S650" l="1"/>
  <c r="P649"/>
  <c r="Q649" s="1"/>
  <c r="S649" s="1"/>
  <c r="E652"/>
  <c r="F651"/>
  <c r="W647"/>
  <c r="X647"/>
  <c r="H651"/>
  <c r="V651" s="1"/>
  <c r="A651"/>
  <c r="S651" l="1"/>
  <c r="E653"/>
  <c r="F652"/>
  <c r="W650"/>
  <c r="X650"/>
  <c r="W649"/>
  <c r="X649"/>
  <c r="H652"/>
  <c r="S652" s="1"/>
  <c r="A652"/>
  <c r="V652" l="1"/>
  <c r="X652" s="1"/>
  <c r="E654"/>
  <c r="F653"/>
  <c r="W652"/>
  <c r="W651"/>
  <c r="X651"/>
  <c r="H653"/>
  <c r="V653" s="1"/>
  <c r="A653"/>
  <c r="J653"/>
  <c r="S654" l="1"/>
  <c r="E655"/>
  <c r="F654"/>
  <c r="A654"/>
  <c r="H654"/>
  <c r="V654" s="1"/>
  <c r="K653"/>
  <c r="E656" l="1"/>
  <c r="F655"/>
  <c r="I655" s="1"/>
  <c r="J655" s="1"/>
  <c r="W654"/>
  <c r="X654"/>
  <c r="H655"/>
  <c r="V655" s="1"/>
  <c r="A655"/>
  <c r="L653"/>
  <c r="M653" s="1"/>
  <c r="P653" s="1"/>
  <c r="N653"/>
  <c r="O653" s="1"/>
  <c r="E657" l="1"/>
  <c r="F656"/>
  <c r="Q653"/>
  <c r="S653" s="1"/>
  <c r="H656"/>
  <c r="V656" s="1"/>
  <c r="A656"/>
  <c r="K655"/>
  <c r="S656" l="1"/>
  <c r="X656" s="1"/>
  <c r="E658"/>
  <c r="F657"/>
  <c r="I657" s="1"/>
  <c r="J657" s="1"/>
  <c r="W653"/>
  <c r="X653"/>
  <c r="H657"/>
  <c r="V657" s="1"/>
  <c r="A657"/>
  <c r="N655"/>
  <c r="O655" s="1"/>
  <c r="L655"/>
  <c r="M655" s="1"/>
  <c r="P655" s="1"/>
  <c r="W656" l="1"/>
  <c r="K657"/>
  <c r="L657" s="1"/>
  <c r="M657" s="1"/>
  <c r="P657" s="1"/>
  <c r="E659"/>
  <c r="F658"/>
  <c r="Q655"/>
  <c r="S655" s="1"/>
  <c r="H658"/>
  <c r="V658" s="1"/>
  <c r="A658"/>
  <c r="S658" l="1"/>
  <c r="X658" s="1"/>
  <c r="F659"/>
  <c r="N657"/>
  <c r="O657" s="1"/>
  <c r="Q657" s="1"/>
  <c r="S657" s="1"/>
  <c r="E660"/>
  <c r="W655"/>
  <c r="X655"/>
  <c r="H659"/>
  <c r="V659" s="1"/>
  <c r="A659"/>
  <c r="S659" l="1"/>
  <c r="W659" s="1"/>
  <c r="S660"/>
  <c r="W658"/>
  <c r="E661"/>
  <c r="F660"/>
  <c r="W657"/>
  <c r="X657"/>
  <c r="H660"/>
  <c r="V660" s="1"/>
  <c r="A660"/>
  <c r="X659" l="1"/>
  <c r="E662"/>
  <c r="F661"/>
  <c r="W660"/>
  <c r="X660"/>
  <c r="A661"/>
  <c r="J661"/>
  <c r="H661"/>
  <c r="V661" s="1"/>
  <c r="S662" l="1"/>
  <c r="E663"/>
  <c r="F662"/>
  <c r="A662"/>
  <c r="H662"/>
  <c r="V662" s="1"/>
  <c r="K661"/>
  <c r="E664" l="1"/>
  <c r="F663"/>
  <c r="I663" s="1"/>
  <c r="J663" s="1"/>
  <c r="W662"/>
  <c r="X662"/>
  <c r="A663"/>
  <c r="H663"/>
  <c r="V663" s="1"/>
  <c r="N661"/>
  <c r="O661" s="1"/>
  <c r="L661"/>
  <c r="M661" s="1"/>
  <c r="P661" s="1"/>
  <c r="E665" l="1"/>
  <c r="F664"/>
  <c r="Q661"/>
  <c r="S661" s="1"/>
  <c r="A664"/>
  <c r="H664"/>
  <c r="S664" s="1"/>
  <c r="K663"/>
  <c r="V664" l="1"/>
  <c r="E666"/>
  <c r="F665"/>
  <c r="I665" s="1"/>
  <c r="K665" s="1"/>
  <c r="W661"/>
  <c r="X661"/>
  <c r="J665"/>
  <c r="L663"/>
  <c r="M663" s="1"/>
  <c r="P663" s="1"/>
  <c r="N663"/>
  <c r="O663" s="1"/>
  <c r="H665"/>
  <c r="V665" s="1"/>
  <c r="A665"/>
  <c r="F666" l="1"/>
  <c r="E667"/>
  <c r="W664"/>
  <c r="X664"/>
  <c r="N665"/>
  <c r="O665" s="1"/>
  <c r="L665"/>
  <c r="M665" s="1"/>
  <c r="P665" s="1"/>
  <c r="Q663"/>
  <c r="S663" s="1"/>
  <c r="A666"/>
  <c r="H666"/>
  <c r="S666" s="1"/>
  <c r="V666" l="1"/>
  <c r="X666" s="1"/>
  <c r="F667"/>
  <c r="E668"/>
  <c r="W663"/>
  <c r="X663"/>
  <c r="W666"/>
  <c r="Q665"/>
  <c r="S665" s="1"/>
  <c r="H667"/>
  <c r="V667" s="1"/>
  <c r="A667"/>
  <c r="S667" l="1"/>
  <c r="X667" s="1"/>
  <c r="F668"/>
  <c r="S668"/>
  <c r="E669"/>
  <c r="W665"/>
  <c r="X665"/>
  <c r="H668"/>
  <c r="V668" s="1"/>
  <c r="A668"/>
  <c r="W667" l="1"/>
  <c r="E670"/>
  <c r="F669"/>
  <c r="W668"/>
  <c r="X668"/>
  <c r="J669"/>
  <c r="A669"/>
  <c r="H669"/>
  <c r="V669" s="1"/>
  <c r="S670" l="1"/>
  <c r="E671"/>
  <c r="F670"/>
  <c r="A670"/>
  <c r="H670"/>
  <c r="V670" s="1"/>
  <c r="K669"/>
  <c r="E672" l="1"/>
  <c r="F671"/>
  <c r="I671" s="1"/>
  <c r="J671" s="1"/>
  <c r="W670"/>
  <c r="X670"/>
  <c r="H671"/>
  <c r="V671" s="1"/>
  <c r="A671"/>
  <c r="N669"/>
  <c r="O669" s="1"/>
  <c r="L669"/>
  <c r="M669" s="1"/>
  <c r="P669" s="1"/>
  <c r="E673" l="1"/>
  <c r="F672"/>
  <c r="Q669"/>
  <c r="S669" s="1"/>
  <c r="K671"/>
  <c r="H672"/>
  <c r="V672" s="1"/>
  <c r="A672"/>
  <c r="S672" l="1"/>
  <c r="X672" s="1"/>
  <c r="F673"/>
  <c r="I673" s="1"/>
  <c r="J673" s="1"/>
  <c r="E674"/>
  <c r="W669"/>
  <c r="X669"/>
  <c r="N671"/>
  <c r="O671" s="1"/>
  <c r="L671"/>
  <c r="M671" s="1"/>
  <c r="P671" s="1"/>
  <c r="H673"/>
  <c r="V673" s="1"/>
  <c r="A673"/>
  <c r="W672" l="1"/>
  <c r="K673"/>
  <c r="N673" s="1"/>
  <c r="O673" s="1"/>
  <c r="F674"/>
  <c r="S674"/>
  <c r="E675"/>
  <c r="Q671"/>
  <c r="S671" s="1"/>
  <c r="H674"/>
  <c r="V674" s="1"/>
  <c r="A674"/>
  <c r="L673" l="1"/>
  <c r="M673" s="1"/>
  <c r="P673" s="1"/>
  <c r="Q673" s="1"/>
  <c r="S673" s="1"/>
  <c r="F675"/>
  <c r="X674"/>
  <c r="E676"/>
  <c r="W671"/>
  <c r="X671"/>
  <c r="W674"/>
  <c r="H675"/>
  <c r="V675" s="1"/>
  <c r="A675"/>
  <c r="S675" l="1"/>
  <c r="W675" s="1"/>
  <c r="V676"/>
  <c r="F676"/>
  <c r="E677"/>
  <c r="W673"/>
  <c r="X673"/>
  <c r="H676"/>
  <c r="S676" s="1"/>
  <c r="A676"/>
  <c r="X675" l="1"/>
  <c r="E678"/>
  <c r="F677"/>
  <c r="W676"/>
  <c r="X676"/>
  <c r="A677"/>
  <c r="J677"/>
  <c r="H677"/>
  <c r="V677" s="1"/>
  <c r="S678" l="1"/>
  <c r="E679"/>
  <c r="F678"/>
  <c r="H678"/>
  <c r="V678" s="1"/>
  <c r="A678"/>
  <c r="K677"/>
  <c r="E680" l="1"/>
  <c r="F679"/>
  <c r="I679" s="1"/>
  <c r="J679" s="1"/>
  <c r="W678"/>
  <c r="X678"/>
  <c r="H679"/>
  <c r="V679" s="1"/>
  <c r="A679"/>
  <c r="L677"/>
  <c r="M677" s="1"/>
  <c r="P677" s="1"/>
  <c r="N677"/>
  <c r="O677" s="1"/>
  <c r="S680" l="1"/>
  <c r="E681"/>
  <c r="F680"/>
  <c r="Q677"/>
  <c r="S677" s="1"/>
  <c r="K679"/>
  <c r="A680"/>
  <c r="H680"/>
  <c r="V680" s="1"/>
  <c r="F681" l="1"/>
  <c r="I681" s="1"/>
  <c r="J681" s="1"/>
  <c r="E682"/>
  <c r="X680"/>
  <c r="W677"/>
  <c r="X677"/>
  <c r="W680"/>
  <c r="L679"/>
  <c r="M679" s="1"/>
  <c r="N679"/>
  <c r="O679" s="1"/>
  <c r="A681"/>
  <c r="H681"/>
  <c r="V681" s="1"/>
  <c r="K681" l="1"/>
  <c r="N681" s="1"/>
  <c r="O681" s="1"/>
  <c r="F682"/>
  <c r="E683"/>
  <c r="P679"/>
  <c r="Q679" s="1"/>
  <c r="S679" s="1"/>
  <c r="H682"/>
  <c r="S682" s="1"/>
  <c r="A682"/>
  <c r="L681" l="1"/>
  <c r="M681" s="1"/>
  <c r="P681" s="1"/>
  <c r="Q681" s="1"/>
  <c r="S681" s="1"/>
  <c r="V682"/>
  <c r="X682" s="1"/>
  <c r="E684"/>
  <c r="F683"/>
  <c r="W679"/>
  <c r="X679"/>
  <c r="A683"/>
  <c r="H683"/>
  <c r="S683" s="1"/>
  <c r="V683" l="1"/>
  <c r="X683" s="1"/>
  <c r="S684"/>
  <c r="W682"/>
  <c r="W681"/>
  <c r="X681"/>
  <c r="E685"/>
  <c r="F684"/>
  <c r="H684"/>
  <c r="V684" s="1"/>
  <c r="A684"/>
  <c r="F685" l="1"/>
  <c r="W683"/>
  <c r="E686"/>
  <c r="W684"/>
  <c r="X684"/>
  <c r="H685"/>
  <c r="V685" s="1"/>
  <c r="J685"/>
  <c r="A685"/>
  <c r="S686" l="1"/>
  <c r="E687"/>
  <c r="F686"/>
  <c r="K685"/>
  <c r="H686"/>
  <c r="V686" s="1"/>
  <c r="A686"/>
  <c r="X686" l="1"/>
  <c r="E688"/>
  <c r="F687"/>
  <c r="I687" s="1"/>
  <c r="J687" s="1"/>
  <c r="W686"/>
  <c r="L685"/>
  <c r="M685" s="1"/>
  <c r="P685" s="1"/>
  <c r="N685"/>
  <c r="O685" s="1"/>
  <c r="H687"/>
  <c r="V687" s="1"/>
  <c r="A687"/>
  <c r="S688" l="1"/>
  <c r="E689"/>
  <c r="F688"/>
  <c r="Q685"/>
  <c r="S685" s="1"/>
  <c r="K687"/>
  <c r="H688"/>
  <c r="V688" s="1"/>
  <c r="A688"/>
  <c r="F689" l="1"/>
  <c r="I689" s="1"/>
  <c r="J689" s="1"/>
  <c r="E690"/>
  <c r="W685"/>
  <c r="X685"/>
  <c r="W688"/>
  <c r="X688"/>
  <c r="L687"/>
  <c r="M687" s="1"/>
  <c r="N687"/>
  <c r="O687" s="1"/>
  <c r="H689"/>
  <c r="V689" s="1"/>
  <c r="A689"/>
  <c r="K689" l="1"/>
  <c r="N689" s="1"/>
  <c r="O689" s="1"/>
  <c r="F690"/>
  <c r="P687"/>
  <c r="Q687" s="1"/>
  <c r="S687" s="1"/>
  <c r="E691"/>
  <c r="H690"/>
  <c r="V690" s="1"/>
  <c r="A690"/>
  <c r="L689" l="1"/>
  <c r="M689" s="1"/>
  <c r="P689" s="1"/>
  <c r="Q689" s="1"/>
  <c r="S690"/>
  <c r="F691"/>
  <c r="S691"/>
  <c r="E692"/>
  <c r="W687"/>
  <c r="X687"/>
  <c r="H691"/>
  <c r="V691" s="1"/>
  <c r="A691"/>
  <c r="S689" l="1"/>
  <c r="X689" s="1"/>
  <c r="E693"/>
  <c r="F692"/>
  <c r="W691"/>
  <c r="X691"/>
  <c r="W690"/>
  <c r="X690"/>
  <c r="A692"/>
  <c r="H692"/>
  <c r="V692" s="1"/>
  <c r="S692" l="1"/>
  <c r="W692" s="1"/>
  <c r="W689"/>
  <c r="E694"/>
  <c r="F693"/>
  <c r="H693"/>
  <c r="V693" s="1"/>
  <c r="J693"/>
  <c r="A693"/>
  <c r="X692" l="1"/>
  <c r="S694"/>
  <c r="E695"/>
  <c r="F694"/>
  <c r="K693"/>
  <c r="A694"/>
  <c r="H694"/>
  <c r="V694" s="1"/>
  <c r="E696" l="1"/>
  <c r="F695"/>
  <c r="I695" s="1"/>
  <c r="J695" s="1"/>
  <c r="W694"/>
  <c r="X694"/>
  <c r="L693"/>
  <c r="M693" s="1"/>
  <c r="P693" s="1"/>
  <c r="N693"/>
  <c r="O693" s="1"/>
  <c r="A695"/>
  <c r="H695"/>
  <c r="V695" s="1"/>
  <c r="S696" l="1"/>
  <c r="E697"/>
  <c r="F696"/>
  <c r="Q693"/>
  <c r="S693" s="1"/>
  <c r="K695"/>
  <c r="A696"/>
  <c r="H696"/>
  <c r="V696" s="1"/>
  <c r="W696" l="1"/>
  <c r="E698"/>
  <c r="F697"/>
  <c r="I697" s="1"/>
  <c r="J697" s="1"/>
  <c r="W693"/>
  <c r="X693"/>
  <c r="N695"/>
  <c r="O695" s="1"/>
  <c r="L695"/>
  <c r="M695" s="1"/>
  <c r="H697"/>
  <c r="V697" s="1"/>
  <c r="A697"/>
  <c r="X696" l="1"/>
  <c r="K697"/>
  <c r="L697" s="1"/>
  <c r="M697" s="1"/>
  <c r="E699"/>
  <c r="P695"/>
  <c r="Q695" s="1"/>
  <c r="S695" s="1"/>
  <c r="F698"/>
  <c r="A698"/>
  <c r="H698"/>
  <c r="V698" s="1"/>
  <c r="S698" l="1"/>
  <c r="X698" s="1"/>
  <c r="S699"/>
  <c r="N697"/>
  <c r="O697" s="1"/>
  <c r="E700"/>
  <c r="P697"/>
  <c r="F699"/>
  <c r="W695"/>
  <c r="X695"/>
  <c r="H699"/>
  <c r="V699" s="1"/>
  <c r="A699"/>
  <c r="W698" l="1"/>
  <c r="F700"/>
  <c r="S700"/>
  <c r="Q697"/>
  <c r="E701"/>
  <c r="W699"/>
  <c r="X699"/>
  <c r="H700"/>
  <c r="V700" s="1"/>
  <c r="A700"/>
  <c r="S697" l="1"/>
  <c r="X697" s="1"/>
  <c r="E702"/>
  <c r="F701"/>
  <c r="W700"/>
  <c r="X700"/>
  <c r="A701"/>
  <c r="J701"/>
  <c r="H701"/>
  <c r="V701" s="1"/>
  <c r="W697" l="1"/>
  <c r="S702"/>
  <c r="E703"/>
  <c r="F702"/>
  <c r="A702"/>
  <c r="H702"/>
  <c r="V702" s="1"/>
  <c r="K701"/>
  <c r="E704" l="1"/>
  <c r="F703"/>
  <c r="I703" s="1"/>
  <c r="J703" s="1"/>
  <c r="W702"/>
  <c r="X702"/>
  <c r="N701"/>
  <c r="O701" s="1"/>
  <c r="L701"/>
  <c r="M701" s="1"/>
  <c r="P701" s="1"/>
  <c r="A703"/>
  <c r="H703"/>
  <c r="V703" s="1"/>
  <c r="E705" l="1"/>
  <c r="F704"/>
  <c r="Q701"/>
  <c r="S701" s="1"/>
  <c r="H704"/>
  <c r="S704" s="1"/>
  <c r="A704"/>
  <c r="K703"/>
  <c r="V704" l="1"/>
  <c r="X704" s="1"/>
  <c r="E706"/>
  <c r="F705"/>
  <c r="I705" s="1"/>
  <c r="J705" s="1"/>
  <c r="W704"/>
  <c r="W701"/>
  <c r="X701"/>
  <c r="T701"/>
  <c r="A705"/>
  <c r="H705"/>
  <c r="V705" s="1"/>
  <c r="N703"/>
  <c r="O703" s="1"/>
  <c r="L703"/>
  <c r="M703" s="1"/>
  <c r="P703" s="1"/>
  <c r="K705" l="1"/>
  <c r="L705" s="1"/>
  <c r="M705" s="1"/>
  <c r="P705" s="1"/>
  <c r="E707"/>
  <c r="F706"/>
  <c r="Q703"/>
  <c r="S703" s="1"/>
  <c r="H706"/>
  <c r="S706" s="1"/>
  <c r="A706"/>
  <c r="V706" l="1"/>
  <c r="X706" s="1"/>
  <c r="F707"/>
  <c r="S707"/>
  <c r="N705"/>
  <c r="O705" s="1"/>
  <c r="Q705" s="1"/>
  <c r="S705" s="1"/>
  <c r="E708"/>
  <c r="W706"/>
  <c r="W703"/>
  <c r="X703"/>
  <c r="A707"/>
  <c r="H707"/>
  <c r="V707" s="1"/>
  <c r="F708" l="1"/>
  <c r="S708"/>
  <c r="E709"/>
  <c r="W705"/>
  <c r="X705"/>
  <c r="W707"/>
  <c r="X707"/>
  <c r="H708"/>
  <c r="V708" s="1"/>
  <c r="A708"/>
  <c r="E710" l="1"/>
  <c r="F709"/>
  <c r="W708"/>
  <c r="X708"/>
  <c r="A709"/>
  <c r="H709"/>
  <c r="V709" s="1"/>
  <c r="J709"/>
  <c r="S710" l="1"/>
  <c r="E711"/>
  <c r="F710"/>
  <c r="A710"/>
  <c r="H710"/>
  <c r="V710" s="1"/>
  <c r="K709"/>
  <c r="E712" l="1"/>
  <c r="F711"/>
  <c r="I711" s="1"/>
  <c r="J711" s="1"/>
  <c r="W710"/>
  <c r="X710"/>
  <c r="N709"/>
  <c r="O709" s="1"/>
  <c r="L709"/>
  <c r="M709" s="1"/>
  <c r="P709" s="1"/>
  <c r="A711"/>
  <c r="H711"/>
  <c r="V711" s="1"/>
  <c r="S712" l="1"/>
  <c r="E713"/>
  <c r="F712"/>
  <c r="Q709"/>
  <c r="S709" s="1"/>
  <c r="K711"/>
  <c r="A712"/>
  <c r="H712"/>
  <c r="V712" s="1"/>
  <c r="E714" l="1"/>
  <c r="F713"/>
  <c r="I713" s="1"/>
  <c r="K713" s="1"/>
  <c r="W709"/>
  <c r="X709"/>
  <c r="L711"/>
  <c r="M711" s="1"/>
  <c r="N711"/>
  <c r="O711" s="1"/>
  <c r="H713"/>
  <c r="V713" s="1"/>
  <c r="A713"/>
  <c r="J713" l="1"/>
  <c r="F714"/>
  <c r="P711"/>
  <c r="Q711" s="1"/>
  <c r="S711" s="1"/>
  <c r="E715"/>
  <c r="W712"/>
  <c r="X712"/>
  <c r="L713"/>
  <c r="M713" s="1"/>
  <c r="P713" s="1"/>
  <c r="N713"/>
  <c r="O713" s="1"/>
  <c r="A714"/>
  <c r="H714"/>
  <c r="S714" s="1"/>
  <c r="V714" l="1"/>
  <c r="F715"/>
  <c r="W714"/>
  <c r="E716"/>
  <c r="W711"/>
  <c r="X711"/>
  <c r="Q713"/>
  <c r="S713" s="1"/>
  <c r="H715"/>
  <c r="V715" s="1"/>
  <c r="A715"/>
  <c r="S715" l="1"/>
  <c r="X715" s="1"/>
  <c r="F716"/>
  <c r="X714"/>
  <c r="E717"/>
  <c r="W713"/>
  <c r="X713"/>
  <c r="A716"/>
  <c r="H716"/>
  <c r="S716" s="1"/>
  <c r="V716" l="1"/>
  <c r="X716" s="1"/>
  <c r="W715"/>
  <c r="E718"/>
  <c r="F717"/>
  <c r="W716"/>
  <c r="J717"/>
  <c r="H717"/>
  <c r="V717" s="1"/>
  <c r="A717"/>
  <c r="S718" l="1"/>
  <c r="E719"/>
  <c r="F718"/>
  <c r="H718"/>
  <c r="V718" s="1"/>
  <c r="A718"/>
  <c r="K717"/>
  <c r="E720" l="1"/>
  <c r="F719"/>
  <c r="I719" s="1"/>
  <c r="J719" s="1"/>
  <c r="W718"/>
  <c r="X718"/>
  <c r="A719"/>
  <c r="H719"/>
  <c r="V719" s="1"/>
  <c r="N717"/>
  <c r="O717" s="1"/>
  <c r="L717"/>
  <c r="M717" s="1"/>
  <c r="P717" s="1"/>
  <c r="E721" l="1"/>
  <c r="F720"/>
  <c r="Q717"/>
  <c r="S717" s="1"/>
  <c r="K719"/>
  <c r="A720"/>
  <c r="H720"/>
  <c r="V720" s="1"/>
  <c r="S720" l="1"/>
  <c r="F721"/>
  <c r="I721" s="1"/>
  <c r="K721" s="1"/>
  <c r="E722"/>
  <c r="W717"/>
  <c r="X717"/>
  <c r="N719"/>
  <c r="O719" s="1"/>
  <c r="L719"/>
  <c r="M719" s="1"/>
  <c r="A721"/>
  <c r="H721"/>
  <c r="V721" s="1"/>
  <c r="J721" l="1"/>
  <c r="E723"/>
  <c r="F722"/>
  <c r="P719"/>
  <c r="Q719" s="1"/>
  <c r="S719" s="1"/>
  <c r="W720"/>
  <c r="X720"/>
  <c r="N721"/>
  <c r="O721" s="1"/>
  <c r="L721"/>
  <c r="M721" s="1"/>
  <c r="H722"/>
  <c r="S722" s="1"/>
  <c r="A722"/>
  <c r="P721" l="1"/>
  <c r="V722"/>
  <c r="S723"/>
  <c r="W722"/>
  <c r="E724"/>
  <c r="F723"/>
  <c r="W719"/>
  <c r="X719"/>
  <c r="Q721"/>
  <c r="S721" s="1"/>
  <c r="H723"/>
  <c r="V723" s="1"/>
  <c r="A723"/>
  <c r="F724" l="1"/>
  <c r="S724"/>
  <c r="X722"/>
  <c r="X723"/>
  <c r="E725"/>
  <c r="W721"/>
  <c r="X721"/>
  <c r="H724"/>
  <c r="V724" s="1"/>
  <c r="A724"/>
  <c r="W723" l="1"/>
  <c r="E726"/>
  <c r="F725"/>
  <c r="W724"/>
  <c r="X724"/>
  <c r="A725"/>
  <c r="J725"/>
  <c r="H725"/>
  <c r="V725" s="1"/>
  <c r="E727" l="1"/>
  <c r="F726"/>
  <c r="J726"/>
  <c r="K726"/>
  <c r="A726"/>
  <c r="H726"/>
  <c r="V726" s="1"/>
  <c r="K725"/>
  <c r="E728" l="1"/>
  <c r="F727"/>
  <c r="I727" s="1"/>
  <c r="J727" s="1"/>
  <c r="L726"/>
  <c r="M726" s="1"/>
  <c r="P726" s="1"/>
  <c r="N726"/>
  <c r="O726" s="1"/>
  <c r="L725"/>
  <c r="M725" s="1"/>
  <c r="P725" s="1"/>
  <c r="N725"/>
  <c r="O725" s="1"/>
  <c r="H727"/>
  <c r="V727" s="1"/>
  <c r="A727"/>
  <c r="F728" l="1"/>
  <c r="E729"/>
  <c r="Q726"/>
  <c r="S726" s="1"/>
  <c r="Q725"/>
  <c r="S725" s="1"/>
  <c r="K727"/>
  <c r="H728"/>
  <c r="V728" s="1"/>
  <c r="A728"/>
  <c r="F729" l="1"/>
  <c r="I729" s="1"/>
  <c r="J729" s="1"/>
  <c r="S728"/>
  <c r="X728" s="1"/>
  <c r="E730"/>
  <c r="W726"/>
  <c r="X726"/>
  <c r="W725"/>
  <c r="X725"/>
  <c r="L727"/>
  <c r="M727" s="1"/>
  <c r="P727" s="1"/>
  <c r="N727"/>
  <c r="O727" s="1"/>
  <c r="A729"/>
  <c r="H729"/>
  <c r="V729" s="1"/>
  <c r="K729" l="1"/>
  <c r="L729" s="1"/>
  <c r="M729" s="1"/>
  <c r="P729" s="1"/>
  <c r="F730"/>
  <c r="W728"/>
  <c r="E731"/>
  <c r="Q727"/>
  <c r="S727" s="1"/>
  <c r="A730"/>
  <c r="H730"/>
  <c r="S730" s="1"/>
  <c r="V730" l="1"/>
  <c r="N729"/>
  <c r="O729" s="1"/>
  <c r="F731"/>
  <c r="S731"/>
  <c r="E732"/>
  <c r="W727"/>
  <c r="X727"/>
  <c r="Q729"/>
  <c r="S729" s="1"/>
  <c r="A731"/>
  <c r="H731"/>
  <c r="V731" s="1"/>
  <c r="S732" l="1"/>
  <c r="E733"/>
  <c r="F732"/>
  <c r="W730"/>
  <c r="X730"/>
  <c r="W729"/>
  <c r="X729"/>
  <c r="H732"/>
  <c r="V732" s="1"/>
  <c r="A732"/>
  <c r="F733" l="1"/>
  <c r="X732"/>
  <c r="E734"/>
  <c r="W731"/>
  <c r="X731"/>
  <c r="J733"/>
  <c r="A733"/>
  <c r="H733"/>
  <c r="V733" s="1"/>
  <c r="S734" l="1"/>
  <c r="W732"/>
  <c r="E735"/>
  <c r="F734"/>
  <c r="H734"/>
  <c r="V734" s="1"/>
  <c r="A734"/>
  <c r="K733"/>
  <c r="E736" l="1"/>
  <c r="F735"/>
  <c r="I735" s="1"/>
  <c r="J735" s="1"/>
  <c r="W734"/>
  <c r="X734"/>
  <c r="L733"/>
  <c r="M733" s="1"/>
  <c r="P733" s="1"/>
  <c r="N733"/>
  <c r="O733" s="1"/>
  <c r="H735"/>
  <c r="V735" s="1"/>
  <c r="A735"/>
  <c r="E737" l="1"/>
  <c r="F736"/>
  <c r="Q733"/>
  <c r="S733" s="1"/>
  <c r="A736"/>
  <c r="H736"/>
  <c r="V736" s="1"/>
  <c r="K735"/>
  <c r="F737" l="1"/>
  <c r="I737" s="1"/>
  <c r="K737" s="1"/>
  <c r="S736"/>
  <c r="W736" s="1"/>
  <c r="E738"/>
  <c r="W733"/>
  <c r="X733"/>
  <c r="H737"/>
  <c r="V737" s="1"/>
  <c r="A737"/>
  <c r="L735"/>
  <c r="M735" s="1"/>
  <c r="P735" s="1"/>
  <c r="N735"/>
  <c r="O735" s="1"/>
  <c r="J737" l="1"/>
  <c r="X736"/>
  <c r="F738"/>
  <c r="E739"/>
  <c r="N737"/>
  <c r="O737" s="1"/>
  <c r="L737"/>
  <c r="M737" s="1"/>
  <c r="Q735"/>
  <c r="S735" s="1"/>
  <c r="H738"/>
  <c r="V738" s="1"/>
  <c r="A738"/>
  <c r="S738" l="1"/>
  <c r="X738" s="1"/>
  <c r="P737"/>
  <c r="Q737" s="1"/>
  <c r="S737" s="1"/>
  <c r="F739"/>
  <c r="E740"/>
  <c r="W735"/>
  <c r="X735"/>
  <c r="H739"/>
  <c r="V739" s="1"/>
  <c r="A739"/>
  <c r="S739" l="1"/>
  <c r="W739" s="1"/>
  <c r="W738"/>
  <c r="F740"/>
  <c r="E741"/>
  <c r="W737"/>
  <c r="X737"/>
  <c r="H740"/>
  <c r="S740" s="1"/>
  <c r="A740"/>
  <c r="X739" l="1"/>
  <c r="V740"/>
  <c r="X740" s="1"/>
  <c r="E742"/>
  <c r="F741"/>
  <c r="W740"/>
  <c r="J741"/>
  <c r="H741"/>
  <c r="V741" s="1"/>
  <c r="A741"/>
  <c r="S742" l="1"/>
  <c r="E743"/>
  <c r="F742"/>
  <c r="K741"/>
  <c r="H742"/>
  <c r="V742" s="1"/>
  <c r="A742"/>
  <c r="E744" l="1"/>
  <c r="F743"/>
  <c r="I743" s="1"/>
  <c r="J743" s="1"/>
  <c r="W742"/>
  <c r="X742"/>
  <c r="L741"/>
  <c r="M741" s="1"/>
  <c r="P741" s="1"/>
  <c r="N741"/>
  <c r="O741" s="1"/>
  <c r="H743"/>
  <c r="V743" s="1"/>
  <c r="A743"/>
  <c r="S744" l="1"/>
  <c r="E745"/>
  <c r="F744"/>
  <c r="Q741"/>
  <c r="S741" s="1"/>
  <c r="K743"/>
  <c r="H744"/>
  <c r="V744" s="1"/>
  <c r="A744"/>
  <c r="F745" l="1"/>
  <c r="I745" s="1"/>
  <c r="K745" s="1"/>
  <c r="E746"/>
  <c r="W741"/>
  <c r="X741"/>
  <c r="L743"/>
  <c r="M743" s="1"/>
  <c r="P743" s="1"/>
  <c r="N743"/>
  <c r="O743" s="1"/>
  <c r="H745"/>
  <c r="V745" s="1"/>
  <c r="A745"/>
  <c r="J745" l="1"/>
  <c r="E747"/>
  <c r="F746"/>
  <c r="W744"/>
  <c r="X744"/>
  <c r="N745"/>
  <c r="O745" s="1"/>
  <c r="L745"/>
  <c r="M745" s="1"/>
  <c r="Q743"/>
  <c r="S743" s="1"/>
  <c r="H746"/>
  <c r="S746" s="1"/>
  <c r="A746"/>
  <c r="V746" l="1"/>
  <c r="P745"/>
  <c r="Q745" s="1"/>
  <c r="S745" s="1"/>
  <c r="F747"/>
  <c r="E748"/>
  <c r="W743"/>
  <c r="X743"/>
  <c r="H747"/>
  <c r="S747" s="1"/>
  <c r="A747"/>
  <c r="V747" l="1"/>
  <c r="X747" s="1"/>
  <c r="S748"/>
  <c r="E749"/>
  <c r="F748"/>
  <c r="W747"/>
  <c r="W745"/>
  <c r="X745"/>
  <c r="W746"/>
  <c r="X746"/>
  <c r="A748"/>
  <c r="H748"/>
  <c r="V748" s="1"/>
  <c r="E750" l="1"/>
  <c r="F749"/>
  <c r="W748"/>
  <c r="X748"/>
  <c r="J749"/>
  <c r="H749"/>
  <c r="V749" s="1"/>
  <c r="A749"/>
  <c r="S750" l="1"/>
  <c r="E751"/>
  <c r="F750"/>
  <c r="K749"/>
  <c r="A750"/>
  <c r="H750"/>
  <c r="V750" s="1"/>
  <c r="E752" l="1"/>
  <c r="F751"/>
  <c r="I751" s="1"/>
  <c r="J751" s="1"/>
  <c r="N749"/>
  <c r="O749" s="1"/>
  <c r="L749"/>
  <c r="M749" s="1"/>
  <c r="P749" s="1"/>
  <c r="H751"/>
  <c r="V751" s="1"/>
  <c r="A751"/>
  <c r="S752" l="1"/>
  <c r="E753"/>
  <c r="F752"/>
  <c r="W750"/>
  <c r="X750"/>
  <c r="Q749"/>
  <c r="S749" s="1"/>
  <c r="K751"/>
  <c r="H752"/>
  <c r="V752" s="1"/>
  <c r="A752"/>
  <c r="X752" l="1"/>
  <c r="E754"/>
  <c r="F753"/>
  <c r="I753" s="1"/>
  <c r="J753" s="1"/>
  <c r="W749"/>
  <c r="X749"/>
  <c r="W752"/>
  <c r="L751"/>
  <c r="M751" s="1"/>
  <c r="P751" s="1"/>
  <c r="N751"/>
  <c r="O751" s="1"/>
  <c r="H753"/>
  <c r="V753" s="1"/>
  <c r="A753"/>
  <c r="K753" l="1"/>
  <c r="N753" s="1"/>
  <c r="O753" s="1"/>
  <c r="E755"/>
  <c r="F754"/>
  <c r="Q751"/>
  <c r="S751" s="1"/>
  <c r="A754"/>
  <c r="H754"/>
  <c r="S754" s="1"/>
  <c r="V754" l="1"/>
  <c r="F755"/>
  <c r="L753"/>
  <c r="M753" s="1"/>
  <c r="P753" s="1"/>
  <c r="Q753" s="1"/>
  <c r="S753" s="1"/>
  <c r="E756"/>
  <c r="W751"/>
  <c r="X751"/>
  <c r="H755"/>
  <c r="S755" s="1"/>
  <c r="A755"/>
  <c r="V755" l="1"/>
  <c r="S756"/>
  <c r="H756"/>
  <c r="V756" s="1"/>
  <c r="E757"/>
  <c r="A756"/>
  <c r="F756"/>
  <c r="W753"/>
  <c r="X753"/>
  <c r="W754"/>
  <c r="X754"/>
  <c r="S757" l="1"/>
  <c r="X756"/>
  <c r="W756"/>
  <c r="F757"/>
  <c r="H757"/>
  <c r="V757" s="1"/>
  <c r="A757"/>
  <c r="W755"/>
  <c r="X755"/>
  <c r="X757" l="1"/>
  <c r="W757"/>
</calcChain>
</file>

<file path=xl/sharedStrings.xml><?xml version="1.0" encoding="utf-8"?>
<sst xmlns="http://schemas.openxmlformats.org/spreadsheetml/2006/main" count="5178" uniqueCount="2103">
  <si>
    <t>天赋描述
[字符串]</t>
  </si>
  <si>
    <r>
      <t xml:space="preserve">进阶解锁技能                           
[字符串]                                </t>
    </r>
    <r>
      <rPr>
        <sz val="10"/>
        <color rgb="FFFF0000"/>
        <rFont val="微软雅黑"/>
        <family val="2"/>
        <charset val="134"/>
      </rPr>
      <t>暂未用到，之后功能做预留</t>
    </r>
    <phoneticPr fontId="4" type="noConversion"/>
  </si>
  <si>
    <t>[]</t>
  </si>
  <si>
    <t>天赋ID
[字符串]</t>
    <phoneticPr fontId="4" type="noConversion"/>
  </si>
  <si>
    <r>
      <t xml:space="preserve">进阶效果                                             </t>
    </r>
    <r>
      <rPr>
        <sz val="10"/>
        <color rgb="FFFF0000"/>
        <rFont val="微软雅黑"/>
        <family val="2"/>
        <charset val="134"/>
      </rPr>
      <t>调用hero_effect里面的id</t>
    </r>
    <r>
      <rPr>
        <sz val="10"/>
        <color indexed="8"/>
        <rFont val="微软雅黑"/>
        <family val="2"/>
        <charset val="134"/>
      </rPr>
      <t xml:space="preserve">
[字符串]</t>
    </r>
    <phoneticPr fontId="4" type="noConversion"/>
  </si>
  <si>
    <t>tianfu_id</t>
    <phoneticPr fontId="4" type="noConversion"/>
  </si>
  <si>
    <t>tianfu_description</t>
    <phoneticPr fontId="4" type="noConversion"/>
  </si>
  <si>
    <t>hero_eff</t>
    <phoneticPr fontId="4" type="noConversion"/>
  </si>
  <si>
    <t>hero_skill_unlock</t>
    <phoneticPr fontId="4" type="noConversion"/>
  </si>
  <si>
    <t>s</t>
    <phoneticPr fontId="4" type="noConversion"/>
  </si>
  <si>
    <t>s</t>
    <phoneticPr fontId="4" type="noConversion"/>
  </si>
  <si>
    <t>40001</t>
  </si>
  <si>
    <t>40002</t>
  </si>
  <si>
    <t>40003</t>
  </si>
  <si>
    <t>40004,41004</t>
  </si>
  <si>
    <t>40005</t>
  </si>
  <si>
    <t>40006</t>
  </si>
  <si>
    <t>40007,41007</t>
  </si>
  <si>
    <t>40008</t>
  </si>
  <si>
    <t>40009</t>
  </si>
  <si>
    <t>40010</t>
  </si>
  <si>
    <t>40011</t>
  </si>
  <si>
    <t>40012</t>
  </si>
  <si>
    <t>进阶+1：生命值提高3780点</t>
  </si>
  <si>
    <t>进阶+2：抗暴率提高8%</t>
  </si>
  <si>
    <t>进阶+3：攻击力提高450点</t>
  </si>
  <si>
    <t>进阶+4：防御力提高15%</t>
  </si>
  <si>
    <t>进阶+5：全体友方伤害减免提高8%</t>
  </si>
  <si>
    <t>进阶+6：闪避率提高20%</t>
  </si>
  <si>
    <t>进阶+7：全体友方防御力提高300点</t>
  </si>
  <si>
    <t>进阶+8：全体友方生命值提高12%</t>
  </si>
  <si>
    <t>进阶+9：抗暴率提高25%</t>
  </si>
  <si>
    <t>进阶+10：攻击力提高1350点</t>
  </si>
  <si>
    <t>进阶+11：全体友方生命值提高28350点</t>
  </si>
  <si>
    <t>进阶+12：生命值提高75600点</t>
  </si>
  <si>
    <t>生命</t>
  </si>
  <si>
    <t>防御型-偏闪避型</t>
  </si>
  <si>
    <t>防御型-偏抗暴型</t>
  </si>
  <si>
    <t>防御型-偏减伤型</t>
  </si>
  <si>
    <t>攻击型-偏命中型</t>
  </si>
  <si>
    <t>攻击型-偏暴击型</t>
  </si>
  <si>
    <t>攻击型-伤害加成型</t>
  </si>
  <si>
    <t>辅助型-偏闪避型</t>
  </si>
  <si>
    <t>辅助型-偏抗暴型</t>
  </si>
  <si>
    <t>辅助型-偏减伤型</t>
  </si>
  <si>
    <t>辅助型-偏命中型</t>
  </si>
  <si>
    <t>辅助型-偏暴击型</t>
  </si>
  <si>
    <t>辅助型-偏加伤型</t>
  </si>
  <si>
    <t>天赋等级</t>
  </si>
  <si>
    <t>防御型</t>
  </si>
  <si>
    <t>属性类型</t>
  </si>
  <si>
    <t>属性值</t>
  </si>
  <si>
    <t>攻击型</t>
  </si>
  <si>
    <t>辅助型</t>
  </si>
  <si>
    <t>数值</t>
  </si>
  <si>
    <t>攻击</t>
  </si>
  <si>
    <t>防御</t>
  </si>
  <si>
    <t>抗暴率</t>
  </si>
  <si>
    <t>百分比</t>
  </si>
  <si>
    <t>闪避率</t>
  </si>
  <si>
    <t>暴击率</t>
  </si>
  <si>
    <t>命中率</t>
  </si>
  <si>
    <t>伤害减免</t>
  </si>
  <si>
    <t>伤害加成</t>
  </si>
  <si>
    <t>光环百分比</t>
  </si>
  <si>
    <t>光环数值</t>
  </si>
  <si>
    <t>类型</t>
    <phoneticPr fontId="4" type="noConversion"/>
  </si>
  <si>
    <t>[]</t>
    <phoneticPr fontId="3" type="noConversion"/>
  </si>
  <si>
    <t>是否给全队增加效果
1=自身
2=全队</t>
  </si>
  <si>
    <t>属性数值</t>
  </si>
  <si>
    <t xml:space="preserve">是否为百分比：
0=固定数值，
1=百分比
</t>
  </si>
  <si>
    <t xml:space="preserve">数值效果ID
1001~2000=套装属性2001~3000=涅槃属性3001~4000=羁绊属性4001~5000=法宝属性5001~9000=大师属性
9001~血战属性加成
11001~13001精炼属性
14001~16001法宝升级属性
20000-29999天赋属性
30000-39999法宝精炼属性
40000-49999天赋属性（新）
</t>
    <phoneticPr fontId="4" type="noConversion"/>
  </si>
  <si>
    <t>描述
不解析
5001-5080 装备强化大师界面
5501-5550 装备精炼大师界面
6001-6516 法宝强化大师界面
6517-6536 法宝精炼大师界面</t>
    <phoneticPr fontId="4" type="noConversion"/>
  </si>
  <si>
    <t>属性类型：
Hp=1,
Mp=2,
Attack=3,DefenseP=4,
DefenseM=5,
HitProp=6,//命中
DodgeProp=7,//闪避
CritProp=8,//暴击
UnCritProp=9,//抗暴击
DamageR=10,//伤害减免
DamageB=11,//伤害加成
MoveSpeed=12,//移动速度
AttackSpeed=13,
AttackRange=14,
WarningRange=15,
HpMax=16,
MpMax=17,
MpRestore=18,</t>
    <phoneticPr fontId="4" type="noConversion"/>
  </si>
  <si>
    <t>数值类型：
1.角色属性模块
2.装备属性模块
3.灵饰属性模块
4.法宝属性模块
5.总模块</t>
    <phoneticPr fontId="4" type="noConversion"/>
  </si>
  <si>
    <t>40103,45103</t>
  </si>
  <si>
    <t>40107,45107</t>
  </si>
  <si>
    <t>40108,45108</t>
  </si>
  <si>
    <t>40113,45113</t>
  </si>
  <si>
    <t>40203,45203</t>
  </si>
  <si>
    <t>40207,45207</t>
  </si>
  <si>
    <t>40208,45208</t>
  </si>
  <si>
    <t>40213,45213</t>
  </si>
  <si>
    <t>40303,45303</t>
  </si>
  <si>
    <t>40307,45307</t>
  </si>
  <si>
    <t>40308,45308</t>
  </si>
  <si>
    <t>40313,45313</t>
  </si>
  <si>
    <t>40407,45407</t>
  </si>
  <si>
    <t>40413,45413</t>
  </si>
  <si>
    <t>40507,45507</t>
  </si>
  <si>
    <t>40513,45513</t>
  </si>
  <si>
    <t>40607,45607</t>
  </si>
  <si>
    <t>40613,45613</t>
  </si>
  <si>
    <t>40701,45701</t>
  </si>
  <si>
    <t>40707,45707</t>
  </si>
  <si>
    <t>40708,45708</t>
  </si>
  <si>
    <t>40713,45713</t>
  </si>
  <si>
    <t>40801,45801</t>
  </si>
  <si>
    <t>40807,45807</t>
  </si>
  <si>
    <t>40808,45808</t>
  </si>
  <si>
    <t>40813,45813</t>
  </si>
  <si>
    <t>40901,45901</t>
  </si>
  <si>
    <t>40907,45907</t>
  </si>
  <si>
    <t>40908,45908</t>
  </si>
  <si>
    <t>40913,45913</t>
  </si>
  <si>
    <t>41001,46001</t>
  </si>
  <si>
    <t>41007,46007</t>
  </si>
  <si>
    <t>41008,46008</t>
  </si>
  <si>
    <t>41013,46013</t>
  </si>
  <si>
    <t>41101,46101</t>
  </si>
  <si>
    <t>41107,46107</t>
  </si>
  <si>
    <t>41108,46108</t>
  </si>
  <si>
    <t>41113,46113</t>
  </si>
  <si>
    <t>41201,46201</t>
  </si>
  <si>
    <t>41207,46207</t>
  </si>
  <si>
    <t>41208,46208</t>
  </si>
  <si>
    <t>41213,46213</t>
  </si>
  <si>
    <t>攻击提高10%</t>
    <phoneticPr fontId="3" type="noConversion"/>
  </si>
  <si>
    <t>命中提高10%</t>
    <phoneticPr fontId="3" type="noConversion"/>
  </si>
  <si>
    <t>伤害加成提高10%</t>
    <phoneticPr fontId="3" type="noConversion"/>
  </si>
  <si>
    <t>暴击提高20%</t>
    <phoneticPr fontId="3" type="noConversion"/>
  </si>
  <si>
    <t>攻击提高15%</t>
    <phoneticPr fontId="3" type="noConversion"/>
  </si>
  <si>
    <t>命中提高15%</t>
  </si>
  <si>
    <t>命中提高15%</t>
    <phoneticPr fontId="3" type="noConversion"/>
  </si>
  <si>
    <t>伤害加成提高15%</t>
    <phoneticPr fontId="3" type="noConversion"/>
  </si>
  <si>
    <t>生命，攻击，防御提高15%</t>
    <phoneticPr fontId="3" type="noConversion"/>
  </si>
  <si>
    <t>[]</t>
    <phoneticPr fontId="3" type="noConversion"/>
  </si>
  <si>
    <t>11050</t>
  </si>
  <si>
    <t>生命+10%</t>
    <phoneticPr fontId="3" type="noConversion"/>
  </si>
  <si>
    <t>生命+15%</t>
    <phoneticPr fontId="3" type="noConversion"/>
  </si>
  <si>
    <t>攻击+10%</t>
    <phoneticPr fontId="3" type="noConversion"/>
  </si>
  <si>
    <t>攻击+15%</t>
    <phoneticPr fontId="3" type="noConversion"/>
  </si>
  <si>
    <t>攻击+20%</t>
    <phoneticPr fontId="3" type="noConversion"/>
  </si>
  <si>
    <t>生命+20%</t>
    <phoneticPr fontId="3" type="noConversion"/>
  </si>
  <si>
    <t>物防+10%</t>
    <phoneticPr fontId="3" type="noConversion"/>
  </si>
  <si>
    <t>物防+15%</t>
    <phoneticPr fontId="3" type="noConversion"/>
  </si>
  <si>
    <t>物防+20%</t>
  </si>
  <si>
    <t>法防+10%</t>
  </si>
  <si>
    <t>法防+15%</t>
  </si>
  <si>
    <t>法防+20%</t>
  </si>
  <si>
    <t>11090,6502,6512</t>
  </si>
  <si>
    <t>11090,6502,6512</t>
    <phoneticPr fontId="3" type="noConversion"/>
  </si>
  <si>
    <t>暴击+20%</t>
    <phoneticPr fontId="3" type="noConversion"/>
  </si>
  <si>
    <t>暴击+15%</t>
    <phoneticPr fontId="3" type="noConversion"/>
  </si>
  <si>
    <t>暴击+10%</t>
  </si>
  <si>
    <t>命中+10%</t>
  </si>
  <si>
    <t>命中+15%</t>
  </si>
  <si>
    <t>命中+20%</t>
  </si>
  <si>
    <t>暴击+30%</t>
    <phoneticPr fontId="3" type="noConversion"/>
  </si>
  <si>
    <t>伤害加成+10%</t>
  </si>
  <si>
    <t>伤害加成+15%</t>
  </si>
  <si>
    <t>伤害加成+20%</t>
  </si>
  <si>
    <t>伤害加成+25%</t>
  </si>
  <si>
    <t>11035</t>
  </si>
  <si>
    <t>11095,11055,6503,6513</t>
    <phoneticPr fontId="3" type="noConversion"/>
  </si>
  <si>
    <t>5515</t>
  </si>
  <si>
    <t>哪吒</t>
  </si>
  <si>
    <t>斗战胜佛</t>
    <phoneticPr fontId="4" type="noConversion"/>
  </si>
  <si>
    <t>二郎神</t>
  </si>
  <si>
    <t>托塔天王</t>
    <phoneticPr fontId="4" type="noConversion"/>
  </si>
  <si>
    <t>虎力大仙</t>
  </si>
  <si>
    <t>猪八戒</t>
  </si>
  <si>
    <t>弥勒佛</t>
  </si>
  <si>
    <t>金蝉子</t>
  </si>
  <si>
    <t>黑无常</t>
  </si>
  <si>
    <t>牛魔王</t>
    <phoneticPr fontId="4" type="noConversion"/>
  </si>
  <si>
    <t>孙悟空</t>
    <phoneticPr fontId="4" type="noConversion"/>
  </si>
  <si>
    <t>王母娘娘</t>
  </si>
  <si>
    <t>白无常</t>
  </si>
  <si>
    <t>沙和尚</t>
    <phoneticPr fontId="4" type="noConversion"/>
  </si>
  <si>
    <t>文殊菩萨</t>
  </si>
  <si>
    <t>龙帝</t>
  </si>
  <si>
    <t>八部天龙</t>
    <phoneticPr fontId="4" type="noConversion"/>
  </si>
  <si>
    <t>嫦娥</t>
  </si>
  <si>
    <t>九天玄女</t>
  </si>
  <si>
    <t>铁扇公主</t>
  </si>
  <si>
    <t>白骨夫人</t>
  </si>
  <si>
    <t>紫霞仙子</t>
  </si>
  <si>
    <t>观世音</t>
    <phoneticPr fontId="4" type="noConversion"/>
  </si>
  <si>
    <t>鹿力大仙</t>
    <phoneticPr fontId="4" type="noConversion"/>
  </si>
  <si>
    <t>红孩儿</t>
  </si>
  <si>
    <t>玉皇大帝</t>
  </si>
  <si>
    <t>东海龙王</t>
  </si>
  <si>
    <t>混世魔王</t>
  </si>
  <si>
    <t>迦叶</t>
  </si>
  <si>
    <t>人参娃</t>
    <phoneticPr fontId="4" type="noConversion"/>
  </si>
  <si>
    <t>小白龙</t>
  </si>
  <si>
    <t>六耳猕猴</t>
  </si>
  <si>
    <t>阎罗王</t>
  </si>
  <si>
    <t>蝎子精</t>
  </si>
  <si>
    <t>蜘蛛精</t>
  </si>
  <si>
    <t>女儿国国王</t>
  </si>
  <si>
    <t>太白金星</t>
  </si>
  <si>
    <t>羊力大仙</t>
  </si>
  <si>
    <t>彩蝶仙童</t>
    <phoneticPr fontId="4" type="noConversion"/>
  </si>
  <si>
    <t>唐三藏</t>
  </si>
  <si>
    <t>引魂仙子</t>
  </si>
  <si>
    <t>金钱豹王</t>
  </si>
  <si>
    <t>墨鱼精</t>
  </si>
  <si>
    <t>赤脚大仙</t>
  </si>
  <si>
    <t>泾河龙王</t>
    <phoneticPr fontId="4" type="noConversion"/>
  </si>
  <si>
    <t>牛头</t>
  </si>
  <si>
    <t>地藏王</t>
  </si>
  <si>
    <t>鬼使黑</t>
    <phoneticPr fontId="4" type="noConversion"/>
  </si>
  <si>
    <t>马面</t>
  </si>
  <si>
    <t>雷公</t>
  </si>
  <si>
    <t>鬼使白</t>
    <phoneticPr fontId="4" type="noConversion"/>
  </si>
  <si>
    <t>赛太岁</t>
  </si>
  <si>
    <t>混沌</t>
  </si>
  <si>
    <t>白龙公主</t>
  </si>
  <si>
    <t>玉兔</t>
    <phoneticPr fontId="4" type="noConversion"/>
  </si>
  <si>
    <t>玉面夫人</t>
  </si>
  <si>
    <t>黑熊精</t>
  </si>
  <si>
    <t>琴仙</t>
  </si>
  <si>
    <t>蟹将</t>
    <phoneticPr fontId="4" type="noConversion"/>
  </si>
  <si>
    <t>扇子精</t>
    <phoneticPr fontId="4" type="noConversion"/>
  </si>
  <si>
    <t>_skill03</t>
  </si>
  <si>
    <t>_skill04</t>
    <phoneticPr fontId="3" type="noConversion"/>
  </si>
  <si>
    <t>_skill011</t>
  </si>
  <si>
    <t>_skill021</t>
    <phoneticPr fontId="3" type="noConversion"/>
  </si>
  <si>
    <t>_skill041</t>
    <phoneticPr fontId="3" type="noConversion"/>
  </si>
  <si>
    <t>辅助</t>
  </si>
  <si>
    <t>法师</t>
  </si>
  <si>
    <t>战士</t>
  </si>
  <si>
    <t>刺客</t>
  </si>
  <si>
    <t>激活被动技能</t>
    <phoneticPr fontId="3" type="noConversion"/>
  </si>
  <si>
    <t>激活AI2技能</t>
    <phoneticPr fontId="3" type="noConversion"/>
  </si>
  <si>
    <t>增强AI1技能</t>
    <phoneticPr fontId="3" type="noConversion"/>
  </si>
  <si>
    <t>增强AI2技能</t>
    <phoneticPr fontId="3" type="noConversion"/>
  </si>
  <si>
    <t>DPS</t>
  </si>
  <si>
    <t>DPS</t>
    <phoneticPr fontId="3" type="noConversion"/>
  </si>
  <si>
    <t>生命提高10%</t>
    <phoneticPr fontId="3" type="noConversion"/>
  </si>
  <si>
    <t>生命，防御提高10%</t>
    <phoneticPr fontId="3" type="noConversion"/>
  </si>
  <si>
    <t>抗暴提高20%</t>
    <phoneticPr fontId="3" type="noConversion"/>
  </si>
  <si>
    <t>闪避提高15%</t>
    <phoneticPr fontId="3" type="noConversion"/>
  </si>
  <si>
    <t>防御</t>
    <phoneticPr fontId="3" type="noConversion"/>
  </si>
  <si>
    <t>辅助</t>
    <phoneticPr fontId="3" type="noConversion"/>
  </si>
  <si>
    <t>11050</t>
    <phoneticPr fontId="3" type="noConversion"/>
  </si>
  <si>
    <t>11090</t>
    <phoneticPr fontId="3" type="noConversion"/>
  </si>
  <si>
    <t>11055</t>
  </si>
  <si>
    <t>11090,6502,6512</t>
    <phoneticPr fontId="3" type="noConversion"/>
  </si>
  <si>
    <t>11080</t>
  </si>
  <si>
    <t>抗暴+10%</t>
    <phoneticPr fontId="3" type="noConversion"/>
  </si>
  <si>
    <t>抗暴+15%</t>
    <phoneticPr fontId="3" type="noConversion"/>
  </si>
  <si>
    <t>抗暴+20%</t>
  </si>
  <si>
    <t>抗暴+30%</t>
    <phoneticPr fontId="3" type="noConversion"/>
  </si>
  <si>
    <t>闪避+10%</t>
    <phoneticPr fontId="3" type="noConversion"/>
  </si>
  <si>
    <t>闪避+15%</t>
    <phoneticPr fontId="3" type="noConversion"/>
  </si>
  <si>
    <t>闪避+20%</t>
  </si>
  <si>
    <t>伤害减免+10%</t>
    <phoneticPr fontId="3" type="noConversion"/>
  </si>
  <si>
    <t>伤害减免+15%</t>
    <phoneticPr fontId="3" type="noConversion"/>
  </si>
  <si>
    <t>伤害减免+20%</t>
  </si>
  <si>
    <t>伤害减免+25%</t>
  </si>
  <si>
    <t>闪避提高15%</t>
    <phoneticPr fontId="3" type="noConversion"/>
  </si>
  <si>
    <t>11115</t>
  </si>
  <si>
    <t>11160</t>
  </si>
  <si>
    <t>tianfu_description</t>
  </si>
  <si>
    <t>s</t>
  </si>
  <si>
    <t>进阶+1：生命提高1500</t>
  </si>
  <si>
    <t>进阶+2：抗暴率提高10%</t>
  </si>
  <si>
    <t>进阶+3：防御提高150</t>
  </si>
  <si>
    <t>进阶+4：伤害减免提高10%</t>
  </si>
  <si>
    <t>进阶+5：攻击提高300</t>
  </si>
  <si>
    <t>进阶+6：闪避率提高15%</t>
  </si>
  <si>
    <t>进阶+7：防御提高850</t>
  </si>
  <si>
    <t>进阶+8：防御提高15%</t>
  </si>
  <si>
    <t>进阶+9：生命提高36000</t>
  </si>
  <si>
    <t>进阶+10：生命提高20%</t>
  </si>
  <si>
    <t>进阶+11：攻击提高1200</t>
  </si>
  <si>
    <t>进阶+12：攻击提高10%</t>
  </si>
  <si>
    <t>进阶+13：防御提高25%</t>
  </si>
  <si>
    <t>进阶+14：攻击提高20%</t>
  </si>
  <si>
    <t>进阶+15：生命提高30%</t>
  </si>
  <si>
    <t>进阶+2：闪避率提高5%</t>
  </si>
  <si>
    <t>进阶+6：抗暴率提高30%</t>
  </si>
  <si>
    <t>进阶+4：抗暴率提高20%</t>
  </si>
  <si>
    <t>进阶+6：伤害减免提高15%</t>
  </si>
  <si>
    <t>进阶+1：攻击提高100</t>
  </si>
  <si>
    <t>进阶+2：暴击率提高10%</t>
  </si>
  <si>
    <t>进阶+3：攻击提高250</t>
  </si>
  <si>
    <t>进阶+4：伤害加成提高10%</t>
  </si>
  <si>
    <t>进阶+5：攻击提高400</t>
  </si>
  <si>
    <t>进阶+6：命中率提高15%</t>
  </si>
  <si>
    <t>进阶+7：防御提高500</t>
  </si>
  <si>
    <t>进阶+8：攻击提高10%</t>
  </si>
  <si>
    <t>进阶+9：生命提高22500</t>
  </si>
  <si>
    <t>进阶+10：生命提高10%</t>
  </si>
  <si>
    <t>进阶+11：攻击提高1750</t>
  </si>
  <si>
    <t>进阶+12：攻击提高15%</t>
  </si>
  <si>
    <t>进阶+13：防御提高20%</t>
  </si>
  <si>
    <t>进阶+14：生命提高20%</t>
  </si>
  <si>
    <t>进阶+15：攻击提高25%</t>
  </si>
  <si>
    <t>进阶+2：命中率提高5%</t>
  </si>
  <si>
    <t>进阶+6：暴击率提高30%</t>
  </si>
  <si>
    <t>进阶+4：暴击率提高20%</t>
  </si>
  <si>
    <t>进阶+6：伤害加成提高15%</t>
  </si>
  <si>
    <t>进阶+1：防御提高100</t>
  </si>
  <si>
    <t>进阶+3：生命提高7500</t>
  </si>
  <si>
    <t>进阶+6：全体闪避率提高8%</t>
  </si>
  <si>
    <t>进阶+7：全体防御提高400</t>
  </si>
  <si>
    <t>进阶+8：防御提高10%</t>
  </si>
  <si>
    <t>进阶+9：全体生命提高15000</t>
  </si>
  <si>
    <t>进阶+10：生命提高15%</t>
  </si>
  <si>
    <t>进阶+11：全体攻击提高600</t>
  </si>
  <si>
    <t>进阶+14：生命提高25%</t>
  </si>
  <si>
    <t>进阶+6：全体抗暴率提高16%</t>
  </si>
  <si>
    <t>进阶+6：全体伤害减免提高8%</t>
  </si>
  <si>
    <t>进阶+6：全体命中率提高8%</t>
  </si>
  <si>
    <t>进阶+6：全体暴击率提高16%</t>
  </si>
  <si>
    <t>进阶+6：全体伤害加成提高8%</t>
  </si>
  <si>
    <t>进阶+1：攻击提高10%</t>
  </si>
  <si>
    <t>进阶+2：命中提高10%</t>
  </si>
  <si>
    <t>进阶+3：攻击提高10%</t>
  </si>
  <si>
    <t>进阶+5：生命,防御提高10%</t>
  </si>
  <si>
    <t>进阶+6：暴击提高20%</t>
  </si>
  <si>
    <t>进阶+7：攻击提高15%</t>
  </si>
  <si>
    <t>进阶+8：命中提高15%</t>
  </si>
  <si>
    <t>进阶+9：生命,攻击,防御提高15%</t>
  </si>
  <si>
    <t>进阶+10：伤害加成提高15%</t>
  </si>
  <si>
    <t>进阶+1：生命提高10%</t>
  </si>
  <si>
    <t>进阶+5：攻击提高15%</t>
  </si>
  <si>
    <t>进阶+6：抗暴提高20%</t>
  </si>
  <si>
    <t>进阶+8：闪避提高15%</t>
  </si>
  <si>
    <t>进阶+5：生命，防御提高10%</t>
  </si>
  <si>
    <t>进阶+3：生命，防御提高10%</t>
  </si>
  <si>
    <t>进阶+2：激活被动技能（进入战斗场景时，增加全队10%的闪避）</t>
  </si>
  <si>
    <t>hero_skill_unlock</t>
    <phoneticPr fontId="3" type="noConversion"/>
  </si>
  <si>
    <t>s</t>
    <phoneticPr fontId="3" type="noConversion"/>
  </si>
  <si>
    <t>进阶解锁技能
[]-未解锁
其他内容-解锁技能，天赋中显示技能标签</t>
    <phoneticPr fontId="3" type="noConversion"/>
  </si>
  <si>
    <t>进阶+2：激活被动技能（进入战斗场景时，提升自身造成的伤害20%）</t>
  </si>
  <si>
    <t>进阶+2：激活被动技能（进入战斗场景时，降低自身受到伤害20%）</t>
  </si>
  <si>
    <t>进阶+2：激活被动技能（进入战斗场景时，提升自身生命值上限20%）</t>
  </si>
  <si>
    <t>进阶+2：激活被动技能（进入战斗场景时，降低自身受到的伤害20%）</t>
  </si>
  <si>
    <t>进阶+2：激活被动技能（进入战斗场景时，提升全体友军造成的伤害10%）</t>
  </si>
  <si>
    <t>进阶+2：激活被动技能（进入战斗场景时，提升自身造成的伤害10%）</t>
  </si>
  <si>
    <t>进阶+2：激活被动技能（进入战斗场景时，提升全体友军闪避率10%）</t>
  </si>
  <si>
    <t>进阶+2：激活被动技能（进入战斗场景时，降低全体友军受到的伤害10%）</t>
  </si>
  <si>
    <t>进阶+2：激活被动技能（进入战斗场景时，提升自身攻速15%）</t>
  </si>
  <si>
    <t>进阶+2：激活被动技能（进入战斗场景时，提升自身暴击率20%）</t>
  </si>
  <si>
    <t>进阶+2：激活被动技能（进入战斗场景时，降低自身受到的伤害15%）</t>
  </si>
  <si>
    <t>进阶+2：激活被动技能（进入战斗场景后，降低自身受到伤害20%）</t>
  </si>
  <si>
    <t>进阶+2：激活被动技能（进入战斗场景时，提高自身闪避20%）</t>
  </si>
  <si>
    <t>进阶+2：激活被动技能（进入战斗场景时，提升自身闪避率20%）</t>
  </si>
  <si>
    <t>进阶+2：激活被动技能（进入战斗场景时，提升自身暴击率15%）</t>
  </si>
  <si>
    <t>进阶+2：激活被动技能（进入战斗场景时，提升自身对敌人造成的伤害15%）</t>
  </si>
  <si>
    <t>进阶+2：激活被动技能（进入战斗场景时，对流血效果的敌人伤害提升20%）</t>
  </si>
  <si>
    <t>进阶+2：激活被动技能（进入战斗场景时，提升自身生命值20%）</t>
  </si>
  <si>
    <t>进阶+4：激活AI2技能（对目标造成自身攻击力135%的伤害）</t>
  </si>
  <si>
    <t>增强主角技能</t>
  </si>
  <si>
    <t>全队攻击提高10%</t>
    <phoneticPr fontId="3" type="noConversion"/>
  </si>
  <si>
    <t>全队生命，防御提高10%</t>
    <phoneticPr fontId="3" type="noConversion"/>
  </si>
  <si>
    <t>全队攻击提高15%</t>
    <phoneticPr fontId="3" type="noConversion"/>
  </si>
  <si>
    <t>全队生命，防御提高15%</t>
    <phoneticPr fontId="3" type="noConversion"/>
  </si>
  <si>
    <t>58010</t>
  </si>
  <si>
    <t>57010,59010,60010</t>
  </si>
  <si>
    <t>57010,59010,60010</t>
    <phoneticPr fontId="3" type="noConversion"/>
  </si>
  <si>
    <t>58015</t>
    <phoneticPr fontId="3" type="noConversion"/>
  </si>
  <si>
    <t>57015,59015,60015</t>
  </si>
  <si>
    <t>57015,59015,60015</t>
    <phoneticPr fontId="3" type="noConversion"/>
  </si>
  <si>
    <t>进阶+7：全队攻击提高10%</t>
  </si>
  <si>
    <t>进阶+7：全队生命，防御提高10%</t>
  </si>
  <si>
    <t>进阶+2：激活被动技能（进入战斗场景时，增加自身20%的暴击率）</t>
  </si>
  <si>
    <t>进阶+2：激活被动技能（进入战斗场景时，增加自身10%的命中率）</t>
  </si>
  <si>
    <t>进阶+2：激活被动技能（进入战斗场景时，增加全体10%生命上限）</t>
  </si>
  <si>
    <t>进阶+2：激活被动技能（进入战斗场景时，增加自身20%的闪避率）</t>
  </si>
  <si>
    <t>进阶+2：激活被动技能（进入战斗场景时，提高全队10%的生命上限）</t>
  </si>
  <si>
    <t>进阶+2：激活被动技能（进入战斗场景时，增加自身15%的闪避率）</t>
  </si>
  <si>
    <t>进阶+2：激活被动技能（进入战斗场景时，增加自身20%的攻击速度）</t>
  </si>
  <si>
    <t>进阶+2：激活被动技能（进入战斗场景时，攻击有10%的几率将目标眩晕1秒）</t>
  </si>
  <si>
    <t>进阶+2：激活被动技能（进入战斗场景时，增加自身10%的闪避率）</t>
  </si>
  <si>
    <t>进阶+2：激活被动技能（进入战斗场景时，提高全队10%生命上限）</t>
  </si>
  <si>
    <t>nanzhujue_attack</t>
  </si>
  <si>
    <t>nvzhujue_attack</t>
  </si>
  <si>
    <t>erlangshen_skill02</t>
  </si>
  <si>
    <t>erlangshen_skill03</t>
  </si>
  <si>
    <t>纵横天下</t>
  </si>
  <si>
    <t>nezha_attack</t>
  </si>
  <si>
    <t>哪吒普攻</t>
  </si>
  <si>
    <t>nezha_skill03</t>
  </si>
  <si>
    <t>进入战斗场景时，提升自身造成的伤害@s</t>
  </si>
  <si>
    <t>nezha_skill04</t>
  </si>
  <si>
    <t>烈焰冲击</t>
  </si>
  <si>
    <t>change_attack</t>
  </si>
  <si>
    <t>change_skill01</t>
  </si>
  <si>
    <t>流星坠月</t>
  </si>
  <si>
    <t>change_skill02</t>
  </si>
  <si>
    <t>月光祝福</t>
  </si>
  <si>
    <t>change_skill03</t>
  </si>
  <si>
    <t>进入战斗场景时，降低全体友军受到的伤害@s</t>
  </si>
  <si>
    <t>change_skill04</t>
  </si>
  <si>
    <t>niumowang_skill01</t>
  </si>
  <si>
    <t>niumowang_skill02</t>
  </si>
  <si>
    <t>地裂击</t>
  </si>
  <si>
    <t>niumowang_skill03</t>
  </si>
  <si>
    <t>honghaier_skill03</t>
  </si>
  <si>
    <t>进入战斗场景时，提升自身暴击率@s</t>
  </si>
  <si>
    <t>honghaier_skill04</t>
  </si>
  <si>
    <t>tieshangongzhu_attack</t>
  </si>
  <si>
    <t>铁扇公主普攻</t>
  </si>
  <si>
    <t>tieshangongzhu_skill02</t>
  </si>
  <si>
    <t>tieshangongzhu_skill03</t>
  </si>
  <si>
    <t>tieshangongzhu_skill04</t>
  </si>
  <si>
    <t>呼啸之风</t>
  </si>
  <si>
    <t>zhubajie_attack</t>
  </si>
  <si>
    <t>zhubajie_skill01</t>
  </si>
  <si>
    <t>zhubajie_skill02</t>
  </si>
  <si>
    <t>zhubajie_skill03</t>
  </si>
  <si>
    <t>zhubajie_skill04</t>
  </si>
  <si>
    <t>sunwukong_attack</t>
  </si>
  <si>
    <t>孙悟空普攻</t>
  </si>
  <si>
    <t>sunwukong_skill02</t>
  </si>
  <si>
    <t>sunwukong_skill04</t>
  </si>
  <si>
    <t>zixiaxianzi_attack</t>
  </si>
  <si>
    <t>紫霞仙子普攻</t>
  </si>
  <si>
    <t>zixiaxianzi_skill01</t>
  </si>
  <si>
    <t>进入战斗场景时，提升全体友军造成的伤害@s</t>
  </si>
  <si>
    <t>zixiaxianzi_skill04</t>
  </si>
  <si>
    <t>douzhanshengfo_skill02</t>
  </si>
  <si>
    <t>douzhanshengfo_skill03</t>
  </si>
  <si>
    <t>douzhanshengfo_skill04</t>
  </si>
  <si>
    <t>yuhuangdadi_attack</t>
  </si>
  <si>
    <t>普攻</t>
  </si>
  <si>
    <t>yuhuangdadi_skill03</t>
  </si>
  <si>
    <t>yuhuangdadi_skill04</t>
  </si>
  <si>
    <t>神圣大地</t>
  </si>
  <si>
    <t>wangmuniangniang_attack</t>
  </si>
  <si>
    <t>wangmuniangniang_skill01</t>
  </si>
  <si>
    <t>地狱冥焰</t>
  </si>
  <si>
    <t>wangmuniangniang_skill02</t>
  </si>
  <si>
    <t>圣洁烈焰</t>
  </si>
  <si>
    <t>wangmuniangniang_skill03</t>
  </si>
  <si>
    <t>力量激发</t>
  </si>
  <si>
    <t>wangmuniangniang_skill04</t>
  </si>
  <si>
    <t>提升范围内友军@s的伤害和攻击速度，持续3秒</t>
  </si>
  <si>
    <t>taibaijinxing_skill02</t>
  </si>
  <si>
    <t>进入战斗场景时，对流血效果的敌人伤害提升@s</t>
  </si>
  <si>
    <t>taibaijinxing_skill04</t>
  </si>
  <si>
    <t>进入战斗场景时，提升自身生命值@s</t>
  </si>
  <si>
    <t>tuotatianwang_attack</t>
  </si>
  <si>
    <t>tuotatianwang_skill03</t>
  </si>
  <si>
    <t>tuotatianwang_skill04</t>
  </si>
  <si>
    <t>进入战斗场景时，提升全体友军闪避率@s</t>
  </si>
  <si>
    <t>hulidaxian_attack</t>
  </si>
  <si>
    <t>虎力大仙普攻</t>
  </si>
  <si>
    <t>hulidaxian_skill01</t>
  </si>
  <si>
    <t>hulidaxian_skill02</t>
  </si>
  <si>
    <t>hulidaxian_skill03</t>
  </si>
  <si>
    <t>进入战斗场景时，提升自身生命值上限@s</t>
  </si>
  <si>
    <t>hulidaxian_skill04</t>
  </si>
  <si>
    <t>lulidaxian_attack</t>
  </si>
  <si>
    <t>进入战斗场景时，提升自身攻速@s</t>
  </si>
  <si>
    <t>lulidaxian_skill04</t>
  </si>
  <si>
    <t>璀璨星光</t>
  </si>
  <si>
    <t>yanglidaxian_attack</t>
  </si>
  <si>
    <t>羊力大仙普攻</t>
  </si>
  <si>
    <t>yanglidaxian_skill02</t>
  </si>
  <si>
    <t>治愈之光</t>
  </si>
  <si>
    <t>liuermihou_attack</t>
  </si>
  <si>
    <t>六耳猕猴普攻</t>
  </si>
  <si>
    <t>liuermihou_skill02</t>
  </si>
  <si>
    <t>灵猴重击</t>
  </si>
  <si>
    <t>liuermihou_skill03</t>
  </si>
  <si>
    <t>进入战斗场景时，提升自身闪避率@s</t>
  </si>
  <si>
    <t>liuermihou_skill04</t>
  </si>
  <si>
    <t>baigufuren_attack</t>
  </si>
  <si>
    <t>白骨夫人普攻</t>
  </si>
  <si>
    <t>baigufuren_skill02</t>
  </si>
  <si>
    <t>baigufuren_skill03</t>
  </si>
  <si>
    <t>xiaobailong_attack</t>
  </si>
  <si>
    <t>xiaobailong_skill01</t>
  </si>
  <si>
    <t>蛟龙出海</t>
  </si>
  <si>
    <t>xiaobailong_skill02</t>
  </si>
  <si>
    <t>神龙摆尾</t>
  </si>
  <si>
    <t>xiaobailong_skill03</t>
  </si>
  <si>
    <t>进入战斗场景时，提高自身闪避@s</t>
  </si>
  <si>
    <t>xiaobailong_skill04</t>
  </si>
  <si>
    <t>shaheshang_attack</t>
  </si>
  <si>
    <t>沙和尚</t>
  </si>
  <si>
    <t>shaheshang_skill02</t>
  </si>
  <si>
    <t>shaheshang_skill03</t>
  </si>
  <si>
    <t>shaheshang_skill04</t>
  </si>
  <si>
    <t>tangsanzang_attack</t>
  </si>
  <si>
    <t>tangsanzang_skill01</t>
  </si>
  <si>
    <t>tangsanzang_skill02</t>
  </si>
  <si>
    <t>tangsanzang_skill03</t>
  </si>
  <si>
    <t>进入战斗场景时，降低自身受到的伤害@s</t>
  </si>
  <si>
    <t>紧箍咒</t>
  </si>
  <si>
    <t>jiaye_attack</t>
  </si>
  <si>
    <t>jiaye_skill01</t>
  </si>
  <si>
    <t>天罡正气</t>
  </si>
  <si>
    <t>jiaye_skill02</t>
  </si>
  <si>
    <t>贯日神拳</t>
  </si>
  <si>
    <t>jiaye_skill03</t>
  </si>
  <si>
    <t>jiaye_skill04</t>
  </si>
  <si>
    <t>milefo_attack</t>
  </si>
  <si>
    <t>milefo_skill02</t>
  </si>
  <si>
    <t>佛光普照</t>
  </si>
  <si>
    <t>milefo_skill03</t>
  </si>
  <si>
    <t>milefo_skill04</t>
  </si>
  <si>
    <t>donghailongwang_attack</t>
  </si>
  <si>
    <t>东海龙王普攻</t>
  </si>
  <si>
    <t>donghailongwang_skill01</t>
  </si>
  <si>
    <t>千年龙鳞</t>
  </si>
  <si>
    <t>donghailongwang_skill02</t>
  </si>
  <si>
    <t>donghailongwang_skill04</t>
  </si>
  <si>
    <t>深海问候</t>
  </si>
  <si>
    <t>zhizhujing_attack</t>
  </si>
  <si>
    <t>zhizhujing_skill01</t>
  </si>
  <si>
    <t>天罗地网</t>
  </si>
  <si>
    <t>zhizhujing_skill02</t>
  </si>
  <si>
    <t>蛛后附身</t>
  </si>
  <si>
    <t>zhizhujing_skill03</t>
  </si>
  <si>
    <t>hunshimowang_attack</t>
  </si>
  <si>
    <t>hunshimowang_skill01</t>
  </si>
  <si>
    <t>飞沙走石</t>
  </si>
  <si>
    <t>hunshimowang_skill02</t>
  </si>
  <si>
    <t>狼牙重击</t>
  </si>
  <si>
    <t>hunshimowang_skill03</t>
  </si>
  <si>
    <t>进入战斗场景后，降低自身受到伤害@s</t>
  </si>
  <si>
    <t>hunshimowang_skill04</t>
  </si>
  <si>
    <t>野蛮冲撞</t>
  </si>
  <si>
    <t>xiezijing_attack</t>
  </si>
  <si>
    <t>xiezijing_skill02</t>
  </si>
  <si>
    <t>彩云流风</t>
  </si>
  <si>
    <t>xiezijing_skill03</t>
  </si>
  <si>
    <t>xiezijing_skill04</t>
  </si>
  <si>
    <t>魔蝎毒刺</t>
  </si>
  <si>
    <t>yanluowang_attack</t>
  </si>
  <si>
    <t>yanluowang_skill01</t>
  </si>
  <si>
    <t>冥域鬼火</t>
  </si>
  <si>
    <t>yanluowang_skill02</t>
  </si>
  <si>
    <t>判官笔</t>
  </si>
  <si>
    <t>yanluowang_skill03</t>
  </si>
  <si>
    <t>yanluowang_skill04</t>
  </si>
  <si>
    <t>yinhunxianzi_attack</t>
  </si>
  <si>
    <t>yinhunxianzi_skill01</t>
  </si>
  <si>
    <t>灯引百魂</t>
  </si>
  <si>
    <t>yinhunxianzi_skill02</t>
  </si>
  <si>
    <t>狂暴木桩</t>
  </si>
  <si>
    <t>yinhunxianzi_skill03</t>
  </si>
  <si>
    <t>yinhunxianzi_skill04</t>
  </si>
  <si>
    <t>咒魂召唤</t>
  </si>
  <si>
    <t>baiwuchang_attack</t>
  </si>
  <si>
    <t>白无常普攻</t>
  </si>
  <si>
    <t>baiwuchang_skill01</t>
  </si>
  <si>
    <t>魂飞魄散</t>
  </si>
  <si>
    <t>baiwuchang_skill02</t>
  </si>
  <si>
    <t>baiwuchang_skill03</t>
  </si>
  <si>
    <t>baiwuchang_skill04</t>
  </si>
  <si>
    <t>镇魂</t>
  </si>
  <si>
    <t>heiwuchang_attack</t>
  </si>
  <si>
    <t>heiwuchang_skill01</t>
  </si>
  <si>
    <t>离魂</t>
  </si>
  <si>
    <t>heiwuchang_skill03</t>
  </si>
  <si>
    <t>nverguoguowang_attack</t>
  </si>
  <si>
    <t>女儿国国王普攻</t>
  </si>
  <si>
    <t>nverguoguowang_skill01</t>
  </si>
  <si>
    <t>nverguoguowang_skill02</t>
  </si>
  <si>
    <t>魅舞倾城</t>
  </si>
  <si>
    <t>nverguoguowang_skill03</t>
  </si>
  <si>
    <t>进入战斗场景时，提升自身对敌人造成的伤害@s</t>
  </si>
  <si>
    <t>caidiexiantong_attack</t>
  </si>
  <si>
    <t>caidiexiantong_skill01</t>
  </si>
  <si>
    <t>妖蝶迷雾</t>
  </si>
  <si>
    <t>caidiexiantong_skill02</t>
  </si>
  <si>
    <t>灵碟冲击</t>
  </si>
  <si>
    <t>caidiexiantong_skill03</t>
  </si>
  <si>
    <t>caidiexiantong_skill04</t>
  </si>
  <si>
    <t>蝶舞蹁跹</t>
  </si>
  <si>
    <t>jinchanzi_attack</t>
  </si>
  <si>
    <t>金蝉子普攻</t>
  </si>
  <si>
    <t>jinchanzi_skill01</t>
  </si>
  <si>
    <t>圣诫天咒</t>
  </si>
  <si>
    <t>jinchanzi_skill02</t>
  </si>
  <si>
    <t>御法经</t>
  </si>
  <si>
    <t>jinchanzi_skill03</t>
  </si>
  <si>
    <t>jinchanzi_skill04</t>
  </si>
  <si>
    <t>longdi_skill03</t>
  </si>
  <si>
    <t>babutianlong_attack</t>
  </si>
  <si>
    <t>babutianlong_skill01</t>
  </si>
  <si>
    <t>babutianlong_skill02</t>
  </si>
  <si>
    <t>babutianlong_skill03</t>
  </si>
  <si>
    <t>babutianlong_skill04</t>
  </si>
  <si>
    <t>guanshiyin_attack</t>
  </si>
  <si>
    <t>guanshiyin_skill01</t>
  </si>
  <si>
    <t>guanshiyin_skill02</t>
  </si>
  <si>
    <t>guanshiyin_skill03</t>
  </si>
  <si>
    <t>天道庇护</t>
  </si>
  <si>
    <t>moyujing_attack</t>
  </si>
  <si>
    <t>挥动双匕首连续两次攻击目标</t>
  </si>
  <si>
    <t>moyujing_skill01</t>
  </si>
  <si>
    <t>水雾侵蚀</t>
  </si>
  <si>
    <t>moyujing_skill02</t>
  </si>
  <si>
    <t>moyujing_skill03</t>
  </si>
  <si>
    <t>命中提升</t>
  </si>
  <si>
    <t>进入战斗场景时，增加自身@s的命中率</t>
  </si>
  <si>
    <t>moyujing_skill04</t>
  </si>
  <si>
    <t>致命连击</t>
  </si>
  <si>
    <t>对目标造成4次自身攻击力@s的伤害</t>
  </si>
  <si>
    <t>jinqianbaowang_attack</t>
  </si>
  <si>
    <t>挥动爪刺攻击目标</t>
  </si>
  <si>
    <t>jinqianbaowang_skill01</t>
  </si>
  <si>
    <t>砺剑血刃</t>
  </si>
  <si>
    <t>jinqianbaowang_skill02</t>
  </si>
  <si>
    <t>旋风杀</t>
  </si>
  <si>
    <t>jinqianbaowang_skill03</t>
  </si>
  <si>
    <t>暴击提升</t>
  </si>
  <si>
    <t>进入战斗场景时，增加自身@s的暴击率</t>
  </si>
  <si>
    <t>jinqianbaowang_skill04</t>
  </si>
  <si>
    <t>滞空连斩</t>
  </si>
  <si>
    <t>对目标造成7次自身攻击力@s的伤害</t>
  </si>
  <si>
    <t>yumianfuren_attack</t>
  </si>
  <si>
    <t>玉面夫人普攻</t>
  </si>
  <si>
    <t>拉弓射出弓箭攻击目标</t>
  </si>
  <si>
    <t>yumianfuren_skill01</t>
  </si>
  <si>
    <t>急速飞箭</t>
  </si>
  <si>
    <t>对范围内目标造成6次主角攻击力@s的伤害</t>
  </si>
  <si>
    <t>yumianfuren_skill02</t>
  </si>
  <si>
    <t>震裂箭</t>
  </si>
  <si>
    <t>yumianfuren_skill03</t>
  </si>
  <si>
    <t>闪避光环</t>
  </si>
  <si>
    <t>进入战斗场景时，增加自身@s的闪避率</t>
  </si>
  <si>
    <t>yumianfuren_skill04</t>
  </si>
  <si>
    <t>聚能一击</t>
  </si>
  <si>
    <t>dizangwang_skill01</t>
  </si>
  <si>
    <t>金刚之盾</t>
  </si>
  <si>
    <t>dizangwang_skill02</t>
  </si>
  <si>
    <t>地涌金莲</t>
  </si>
  <si>
    <t>dizangwang_skill03</t>
  </si>
  <si>
    <t>生命光环</t>
  </si>
  <si>
    <t>进入战斗场景时，提高全队@s的生命上限</t>
  </si>
  <si>
    <t>dizangwang_skill04</t>
  </si>
  <si>
    <t>梵音咒</t>
  </si>
  <si>
    <t>jinghelongwang_attack</t>
  </si>
  <si>
    <t>挥动刀挥砍目标</t>
  </si>
  <si>
    <t>jinghelongwang_skill01</t>
  </si>
  <si>
    <t>冰封万里</t>
  </si>
  <si>
    <t>jinghelongwang_skill02</t>
  </si>
  <si>
    <t>jinghelongwang_skill03</t>
  </si>
  <si>
    <t>yutu_attack</t>
  </si>
  <si>
    <t>yutu_skill01</t>
  </si>
  <si>
    <t>仙灵祝福</t>
  </si>
  <si>
    <t>yutu_skill02</t>
  </si>
  <si>
    <t>樱花扇舞</t>
  </si>
  <si>
    <t>yutu_skill03</t>
  </si>
  <si>
    <t>yutu_skill04</t>
  </si>
  <si>
    <t>迷幻旋风</t>
  </si>
  <si>
    <t>shancaitongzi_skill01</t>
  </si>
  <si>
    <t>水月神舞</t>
  </si>
  <si>
    <t>对范围内目标造成5次主角攻击力@s的伤害</t>
  </si>
  <si>
    <t>shancaitongzi_skill02</t>
  </si>
  <si>
    <t>shancaitongzi_skill03</t>
  </si>
  <si>
    <t>shancaitongzi_skill04</t>
  </si>
  <si>
    <t>枪影重重</t>
  </si>
  <si>
    <t>saitaisui_skill02</t>
  </si>
  <si>
    <t>saitaisui_skill03</t>
  </si>
  <si>
    <t>saitaisui_skill04</t>
  </si>
  <si>
    <t>guishibai_attack</t>
  </si>
  <si>
    <t>鬼使白</t>
  </si>
  <si>
    <t>攻击目标</t>
  </si>
  <si>
    <t>guishibai_skill01</t>
  </si>
  <si>
    <t>摄魂令</t>
  </si>
  <si>
    <t>guishibai_skill02</t>
  </si>
  <si>
    <t>阎罗令</t>
  </si>
  <si>
    <t>guishibai_skill03</t>
  </si>
  <si>
    <t>guishibai_skill04</t>
  </si>
  <si>
    <t>拘魂令</t>
  </si>
  <si>
    <t>niutou_attack</t>
  </si>
  <si>
    <t>niutou_skill01</t>
  </si>
  <si>
    <t>巨力飞斧</t>
  </si>
  <si>
    <t>niutou_skill02</t>
  </si>
  <si>
    <t>蛮牛怒吼</t>
  </si>
  <si>
    <t>niutou_skill03</t>
  </si>
  <si>
    <t>niutou_skill04</t>
  </si>
  <si>
    <t>组合神拳</t>
  </si>
  <si>
    <t>leigong_attack</t>
  </si>
  <si>
    <t>leigong_skill01</t>
  </si>
  <si>
    <t>雷击</t>
  </si>
  <si>
    <t>leigong_skill02</t>
  </si>
  <si>
    <t>雷暴</t>
  </si>
  <si>
    <t>对范围内目标造成自身攻击力@s的伤害</t>
  </si>
  <si>
    <t>leigong_skill03</t>
  </si>
  <si>
    <t>leigong_skill04</t>
  </si>
  <si>
    <t>天雷斩</t>
  </si>
  <si>
    <t>hundun_attack</t>
  </si>
  <si>
    <t>混沌普攻</t>
  </si>
  <si>
    <t>hundun_skill01</t>
  </si>
  <si>
    <t>hundun_skill04</t>
  </si>
  <si>
    <t>夺命地刺</t>
  </si>
  <si>
    <t>bailonggongzhu_attack</t>
  </si>
  <si>
    <t>挥动宝珠，产生能量球攻击目标</t>
  </si>
  <si>
    <t>bailonggongzhu_skill02</t>
  </si>
  <si>
    <t>冰甲护体</t>
  </si>
  <si>
    <t>bailonggongzhu_skill03</t>
  </si>
  <si>
    <t>bailonggongzhu_skill04</t>
  </si>
  <si>
    <t>玄冰突刺</t>
  </si>
  <si>
    <t>guishihei_attack</t>
  </si>
  <si>
    <t>鬼使黑</t>
  </si>
  <si>
    <t>guishihei_skill01</t>
  </si>
  <si>
    <t>灵魂盛宴</t>
  </si>
  <si>
    <t>召唤紫炎，增加全体@s攻击速度，@s暴击率，持续4秒</t>
  </si>
  <si>
    <t>guishihei_skill02</t>
  </si>
  <si>
    <t>勾魂</t>
  </si>
  <si>
    <t>对目标造成自身攻击力@s的伤害</t>
  </si>
  <si>
    <t>guishihei_skill03</t>
  </si>
  <si>
    <t>guishihei_skill04</t>
  </si>
  <si>
    <t>索命</t>
  </si>
  <si>
    <t>kuloubing_attack</t>
  </si>
  <si>
    <t>shanzei_attack</t>
  </si>
  <si>
    <t>shiren_attack</t>
  </si>
  <si>
    <t>tianbing_attack</t>
  </si>
  <si>
    <t>tianjiang_attack</t>
  </si>
  <si>
    <t>heixiongjing_attack</t>
  </si>
  <si>
    <t>shitouren_attack</t>
  </si>
  <si>
    <t>damangjing_attack</t>
  </si>
  <si>
    <t>humeiren_attack</t>
  </si>
  <si>
    <t>jiaoren_attack</t>
  </si>
  <si>
    <t>金鲛人</t>
  </si>
  <si>
    <t>nvgui_attack</t>
  </si>
  <si>
    <t>zhizhu_attack</t>
  </si>
  <si>
    <t>huo_shiren_skill02</t>
  </si>
  <si>
    <t>横扫</t>
  </si>
  <si>
    <t>tu_shiren_skill02</t>
  </si>
  <si>
    <t>heixiongjing_skill02</t>
  </si>
  <si>
    <t>连环击</t>
  </si>
  <si>
    <t>jin_shitouren_skill02</t>
  </si>
  <si>
    <t>撼地重拳</t>
  </si>
  <si>
    <t>对范围内目标造成3次自身攻击力@s的伤害，并晕眩0.5秒</t>
  </si>
  <si>
    <t>mu_shitouren_skill02</t>
  </si>
  <si>
    <t>tu_shitouren_skill02</t>
  </si>
  <si>
    <t>jin_damangjing_skill02</t>
  </si>
  <si>
    <t>穿透箭</t>
  </si>
  <si>
    <t>mu_damangjing_skill02</t>
  </si>
  <si>
    <t>huo_humeiren_skill02</t>
  </si>
  <si>
    <t>旋转攻击</t>
  </si>
  <si>
    <t>对范围内目标造成3次自身攻击力@s的伤害</t>
  </si>
  <si>
    <t>mu_humeiren_skill02</t>
  </si>
  <si>
    <t>shui_humeiren_skill02</t>
  </si>
  <si>
    <t>jin_jiaoren_skill02</t>
  </si>
  <si>
    <t>自然守护</t>
  </si>
  <si>
    <t>提高自身@s闪避率，持续10秒</t>
  </si>
  <si>
    <t>shui_jiaoren_skill02</t>
  </si>
  <si>
    <t>tianjiang_skill02</t>
  </si>
  <si>
    <t>mamian_attack</t>
  </si>
  <si>
    <t>mamian_skill01</t>
  </si>
  <si>
    <t>激增灵魂</t>
  </si>
  <si>
    <t>提高全体队友@s的攻击速度，持续5秒</t>
  </si>
  <si>
    <t>mamian_skill02</t>
  </si>
  <si>
    <t>流星拳</t>
  </si>
  <si>
    <t>mamian_skill03</t>
  </si>
  <si>
    <t>mamian_skill04</t>
  </si>
  <si>
    <t>驱魂神令</t>
  </si>
  <si>
    <t>sunwukong_skill06</t>
  </si>
  <si>
    <t>攻击提升</t>
  </si>
  <si>
    <t>新手引导孙悟空技能</t>
  </si>
  <si>
    <t>sunwukong_skill07</t>
  </si>
  <si>
    <t>火云之轮</t>
  </si>
  <si>
    <t>zixiaxianzi_skill05</t>
  </si>
  <si>
    <t>满月光华</t>
  </si>
  <si>
    <t>新手引导紫霞仙子技能</t>
  </si>
  <si>
    <t>zixiaxianzi_skill06</t>
  </si>
  <si>
    <t>全属性增加</t>
  </si>
  <si>
    <t>zixiaxianzi_skill07</t>
  </si>
  <si>
    <t>弦月之舞</t>
  </si>
  <si>
    <t>yuhuangdadi_skill05</t>
  </si>
  <si>
    <t>天下我心</t>
  </si>
  <si>
    <t>yuhuangdadi_skill06</t>
  </si>
  <si>
    <t>闪避提升</t>
  </si>
  <si>
    <t>新手引导玉皇大帝boss技能</t>
  </si>
  <si>
    <t>yuhuangdadi_skill07</t>
  </si>
  <si>
    <t>新手引导玉皇大帝boss技能万伤终结技能</t>
  </si>
  <si>
    <t>boss_miankong</t>
  </si>
  <si>
    <t>boss免疫控制</t>
  </si>
  <si>
    <t>boss不受到任何负面buff</t>
  </si>
  <si>
    <t>boss_spawn_monster</t>
  </si>
  <si>
    <t>boss召出小怪</t>
  </si>
  <si>
    <t>hulidaxian_skill02_boss</t>
  </si>
  <si>
    <t>震裂怒吼</t>
  </si>
  <si>
    <t>虎力大仙蓄力怒吼，对范围内目标造成自身攻击力@s的伤害，并触发1秒眩晕</t>
  </si>
  <si>
    <t>common_fangyu</t>
  </si>
  <si>
    <t>双手举剑插入地面，使自身附近敌人造成自身攻击力@s的伤害，持续3秒</t>
  </si>
  <si>
    <t>common_chaofeng</t>
  </si>
  <si>
    <t>wudidong_skill01</t>
  </si>
  <si>
    <t>乾-天-伤害</t>
  </si>
  <si>
    <t>wudidong_skill02</t>
  </si>
  <si>
    <t>坤-地-暴击</t>
  </si>
  <si>
    <t>wudidong_skill03</t>
  </si>
  <si>
    <t>震-雷-命中</t>
  </si>
  <si>
    <t>wudidong_skill04</t>
  </si>
  <si>
    <t>巽-风-攻速</t>
  </si>
  <si>
    <t>wudidong_skill05</t>
  </si>
  <si>
    <t xml:space="preserve">坎-水-减cd </t>
  </si>
  <si>
    <t>wudidong_skill06</t>
  </si>
  <si>
    <t>离-火-攻击</t>
  </si>
  <si>
    <t>wudidong_skill07</t>
  </si>
  <si>
    <t>艮-山-防御</t>
  </si>
  <si>
    <t>wudidong_skill08</t>
  </si>
  <si>
    <t>兑-泽-吸血</t>
  </si>
  <si>
    <t>boss_erlangshen_skill02</t>
  </si>
  <si>
    <t>boss_erlangshen_skill04</t>
  </si>
  <si>
    <t>erlangshen_skill04</t>
  </si>
  <si>
    <t>boss_nezha_skill01</t>
  </si>
  <si>
    <t>boss_nezha_skill02</t>
  </si>
  <si>
    <t>boss_nezha_skill04</t>
  </si>
  <si>
    <t>boss_change_skill01</t>
  </si>
  <si>
    <t>boss_change_skill02</t>
  </si>
  <si>
    <t>boss_change_skill04</t>
  </si>
  <si>
    <t>boss_niumowang_skill01</t>
  </si>
  <si>
    <t>boss_niumowang_skill02</t>
  </si>
  <si>
    <t>boss_niumowang_skill04</t>
  </si>
  <si>
    <t>boss_honghaier_skill01</t>
  </si>
  <si>
    <t>boss_honghaier_skill02</t>
  </si>
  <si>
    <t>boss_honghaier_skill04</t>
  </si>
  <si>
    <t>boss_tieshangongzhu_skill01</t>
  </si>
  <si>
    <t>boss_tieshangongzhu_skill02</t>
  </si>
  <si>
    <t>boss_tieshangongzhu_skill04</t>
  </si>
  <si>
    <t>boss_zhubajie_skill01</t>
  </si>
  <si>
    <t>boss_zhubajie_skill02</t>
  </si>
  <si>
    <t>boss_zhubajie_skill04</t>
  </si>
  <si>
    <t>boss_sunwukong_skill01</t>
  </si>
  <si>
    <t>boss_sunwukong_skill02</t>
  </si>
  <si>
    <t>boss_sunwukong_skill04</t>
  </si>
  <si>
    <t>boss_zixiaxianzi_skill01</t>
  </si>
  <si>
    <t>boss_zixiaxianzi_skill02</t>
  </si>
  <si>
    <t>boss_zixiaxianzi_skill04</t>
  </si>
  <si>
    <t>boss_douzhanshengfo_skill01</t>
  </si>
  <si>
    <t>boss_douzhanshengfo_skill02</t>
  </si>
  <si>
    <t>boss_douzhanshengfo_skill04</t>
  </si>
  <si>
    <t>boss_yuhuangdadi_skill01</t>
  </si>
  <si>
    <t>boss_yuhuangdadi_skill02</t>
  </si>
  <si>
    <t>boss_yuhuangdadi_skill04</t>
  </si>
  <si>
    <t>boss_wangmuniangniang_skill01</t>
  </si>
  <si>
    <t>boss_wangmuniangniang_skill02</t>
  </si>
  <si>
    <t>boss_wangmuniangniang_skill04</t>
  </si>
  <si>
    <t>boss_taibaijinxing_skill01</t>
  </si>
  <si>
    <t>boss_taibaijinxing_skill02</t>
  </si>
  <si>
    <t>boss_taibaijinxing_skill04</t>
  </si>
  <si>
    <t>boss_chijiaodaxian_skill01</t>
  </si>
  <si>
    <t>boss_chijiaodaxian_skill02</t>
  </si>
  <si>
    <t>boss_chijiaodaxian_skill04</t>
  </si>
  <si>
    <t>boss_tuotatianwang_skill01</t>
  </si>
  <si>
    <t>boss_tuotatianwang_skill02</t>
  </si>
  <si>
    <t>boss_tuotatianwang_skill04</t>
  </si>
  <si>
    <t>boss_jiutianxuannv_skill01</t>
  </si>
  <si>
    <t>boss_jiutianxuannv_skill02</t>
  </si>
  <si>
    <t>boss_jiutianxuannv_skill04</t>
  </si>
  <si>
    <t>boss_hulidaxian_skill01</t>
  </si>
  <si>
    <t>boss_hulidaxian_skill02</t>
  </si>
  <si>
    <t>boss_hulidaxian_skill04</t>
  </si>
  <si>
    <t>boss_lulidaxian_skill01</t>
  </si>
  <si>
    <t>boss_lulidaxian_skill02</t>
  </si>
  <si>
    <t>boss_lulidaxian_skill04</t>
  </si>
  <si>
    <t>boss_yanglidaxian_skill01</t>
  </si>
  <si>
    <t>boss_yanglidaxian_skill02</t>
  </si>
  <si>
    <t>boss_yanglidaxian_skill04</t>
  </si>
  <si>
    <t>boss_liuermihou_skill01</t>
  </si>
  <si>
    <t>boss_liuermihou_skill02</t>
  </si>
  <si>
    <t>boss_liuermihou_skill04</t>
  </si>
  <si>
    <t>boss_baigufuren_skill01</t>
  </si>
  <si>
    <t>boss_baigufuren_skill02</t>
  </si>
  <si>
    <t>boss_baigufuren_skill04</t>
  </si>
  <si>
    <t>boss_hundun_skill01</t>
  </si>
  <si>
    <t>boss_hundun_skill02</t>
  </si>
  <si>
    <t>boss_hundun_skill04</t>
  </si>
  <si>
    <t>boss_xiaobailong_skill01</t>
  </si>
  <si>
    <t>boss_xiaobailong_skill02</t>
  </si>
  <si>
    <t>boss_xiaobailong_skill04</t>
  </si>
  <si>
    <t>boss_shaheshang_skill01</t>
  </si>
  <si>
    <t>boss_shaheshang_skill02</t>
  </si>
  <si>
    <t>boss_shaheshang_skill04</t>
  </si>
  <si>
    <t>boss_tangsanzang_skill01</t>
  </si>
  <si>
    <t>boss_tangsanzang_skill02</t>
  </si>
  <si>
    <t>boss_tangsanzang_skill04</t>
  </si>
  <si>
    <t>tangsanzang_skill04</t>
  </si>
  <si>
    <t>boss_jiaye_skill01</t>
  </si>
  <si>
    <t>boss_jiaye_skill02</t>
  </si>
  <si>
    <t>boss_jiaye_skill04</t>
  </si>
  <si>
    <t>boss_wenshupusa_skill01</t>
  </si>
  <si>
    <t>boss_wenshupusa_skill02</t>
  </si>
  <si>
    <t>boss_wenshupusa_skill04</t>
  </si>
  <si>
    <t>boss_milefo_skill01</t>
  </si>
  <si>
    <t>boss_milefo_skill02</t>
  </si>
  <si>
    <t>boss_milefo_skill04</t>
  </si>
  <si>
    <t>boss_guishibai_skill01</t>
  </si>
  <si>
    <t>boss_guishibai_skill02</t>
  </si>
  <si>
    <t>boss_guishibai_skill04</t>
  </si>
  <si>
    <t>boss_niutou_skill01</t>
  </si>
  <si>
    <t>boss_niutou_skill02</t>
  </si>
  <si>
    <t>boss_niutou_skill04</t>
  </si>
  <si>
    <t>boss_leigong_skill01</t>
  </si>
  <si>
    <t>boss_leigong_skill02</t>
  </si>
  <si>
    <t>boss_leigong_skill04</t>
  </si>
  <si>
    <t>boss_donghailongwang_skill01</t>
  </si>
  <si>
    <t>boss_donghailongwang_skill02</t>
  </si>
  <si>
    <t>boss_donghailongwang_skill04</t>
  </si>
  <si>
    <t>boss_jinghelongwang_skill01</t>
  </si>
  <si>
    <t>boss_jinghelongwang_skill02</t>
  </si>
  <si>
    <t>boss_jinghelongwang_skill04</t>
  </si>
  <si>
    <t>boss_yutu_skill01</t>
  </si>
  <si>
    <t>boss_yutu_skill02</t>
  </si>
  <si>
    <t>boss_yutu_skill04</t>
  </si>
  <si>
    <t>boss_zhizhujing_skill01</t>
  </si>
  <si>
    <t>boss_zhizhujing_skill02</t>
  </si>
  <si>
    <t>boss_zhizhujing_skill04</t>
  </si>
  <si>
    <t>boss_hunshimowang_skill01</t>
  </si>
  <si>
    <t>boss_hunshimowang_skill02</t>
  </si>
  <si>
    <t>boss_hunshimowang_skill04</t>
  </si>
  <si>
    <t>boss_moyujing_skill01</t>
  </si>
  <si>
    <t>boss_moyujing_skill02</t>
  </si>
  <si>
    <t>boss_moyujing_skill04</t>
  </si>
  <si>
    <t>boss_jinqianbaowang_skill01</t>
  </si>
  <si>
    <t>boss_jinqianbaowang_skill02</t>
  </si>
  <si>
    <t>boss_jinqianbaowang_skill04</t>
  </si>
  <si>
    <t>boss_yumianfuren_skill01</t>
  </si>
  <si>
    <t>boss_yumianfuren_skill02</t>
  </si>
  <si>
    <t>boss_yumianfuren_skill04</t>
  </si>
  <si>
    <t>boss_dizangwang_skill01</t>
  </si>
  <si>
    <t>boss_dizangwang_skill02</t>
  </si>
  <si>
    <t>boss_dizangwang_skill04</t>
  </si>
  <si>
    <t>boss_xiezijing_skill01</t>
  </si>
  <si>
    <t>boss_xiezijing_skill02</t>
  </si>
  <si>
    <t>boss_xiezijing_skill04</t>
  </si>
  <si>
    <t>boss_bailonggongzhu_skill01</t>
  </si>
  <si>
    <t>boss_bailonggongzhu_skill02</t>
  </si>
  <si>
    <t>boss_bailonggongzhu_skill04</t>
  </si>
  <si>
    <t>boss_guishihei_skill01</t>
  </si>
  <si>
    <t>boss_guishihei_skill02</t>
  </si>
  <si>
    <t>boss_guishihei_skill04</t>
  </si>
  <si>
    <t>boss_huo_shiren_skill02</t>
  </si>
  <si>
    <t>boss_tu_shiren_skill02</t>
  </si>
  <si>
    <t>boss_heixiongjing_skill02</t>
  </si>
  <si>
    <t>boss_jin_shitouren_skill02</t>
  </si>
  <si>
    <t>boss_mu_shitouren_skill02</t>
  </si>
  <si>
    <t>boss_tu_shitouren_skill02</t>
  </si>
  <si>
    <t>boss_jin_damangjing_skill02</t>
  </si>
  <si>
    <t>boss_mu_damangjing_skill02</t>
  </si>
  <si>
    <t>boss_huo_humeiren_skill02</t>
  </si>
  <si>
    <t>boss_mu_humeiren_skill02</t>
  </si>
  <si>
    <t>boss_shui_humeiren_skill02</t>
  </si>
  <si>
    <t>boss_jin_jiaoren_skill02</t>
  </si>
  <si>
    <t>boss_shui_jiaoren_skill02</t>
  </si>
  <si>
    <t>boss_tianjiang_skill02</t>
  </si>
  <si>
    <t>boss_jisufeijian_skill01</t>
  </si>
  <si>
    <t>boss_jianqi_skill01</t>
  </si>
  <si>
    <t>boss_lijianxueren_skill01</t>
  </si>
  <si>
    <t>boss_zhongchui_skill01</t>
  </si>
  <si>
    <t>boss_jinganghuti_skill01</t>
  </si>
  <si>
    <t>boss_dujianyu_skill01</t>
  </si>
  <si>
    <t>boss_xianlingzhufu_skill01</t>
  </si>
  <si>
    <t>boss_zhangqidutan_skill01</t>
  </si>
  <si>
    <t>boss_yingyan_skill01</t>
  </si>
  <si>
    <t>boss_duchi_skill01</t>
  </si>
  <si>
    <t>boss_baofengxue_skill01</t>
  </si>
  <si>
    <t>boss_bingbao_skill01</t>
  </si>
  <si>
    <t>boss_huoguangqusan_skill01</t>
  </si>
  <si>
    <t>boss_shengguangshuiyu_skill01</t>
  </si>
  <si>
    <t>boss_shuiwuqinshi_skill01</t>
  </si>
  <si>
    <t>boss_huoniao_skill01</t>
  </si>
  <si>
    <t>boss_huoqiuzhadan_skill01</t>
  </si>
  <si>
    <t>boss_rexuebaofa_skill01</t>
  </si>
  <si>
    <t>boss_diyuhuohai_skill01</t>
  </si>
  <si>
    <t>boss_dicituxi_skill01</t>
  </si>
  <si>
    <t>boss_feishazoushi_skill01</t>
  </si>
  <si>
    <t>boss_taishanyading_skill01</t>
  </si>
  <si>
    <t>boss_tuqiangfanghu_skill01</t>
  </si>
  <si>
    <t>boss_leiji_skill01</t>
  </si>
  <si>
    <t>boss_mamian_skill01</t>
  </si>
  <si>
    <t>boss_mamian_skill02</t>
  </si>
  <si>
    <t>boss_mamian_skill04</t>
  </si>
  <si>
    <t>boss_yanluowang_skill01</t>
  </si>
  <si>
    <t>boss_yanluowang_skill02</t>
  </si>
  <si>
    <t>boss_yanluowang_skill04</t>
  </si>
  <si>
    <t>boss_yinhunxianzi_skill01</t>
  </si>
  <si>
    <t>boss_yinhunxianzi_skill02</t>
  </si>
  <si>
    <t>boss_yinhunxianzi_skill04</t>
  </si>
  <si>
    <t>boss_baiwuchang_skill01</t>
  </si>
  <si>
    <t>boss_baiwuchang_skill02</t>
  </si>
  <si>
    <t>boss_baiwuchang_skill04</t>
  </si>
  <si>
    <t>boss_heiwuchang_skill01</t>
  </si>
  <si>
    <t>boss_heiwuchang_skill02</t>
  </si>
  <si>
    <t>heiwuchang_skill02</t>
  </si>
  <si>
    <t>boss_heiwuchang_skill04</t>
  </si>
  <si>
    <t>boss_renshenwa_skill01</t>
  </si>
  <si>
    <t>boss_renshenwa_skill02</t>
  </si>
  <si>
    <t>boss_renshenwa_skill04</t>
  </si>
  <si>
    <t>boss_nverguoguowang_skill01</t>
  </si>
  <si>
    <t>嗜血玫瑰</t>
  </si>
  <si>
    <t>boss_nverguoguowang_skill02</t>
  </si>
  <si>
    <t>boss_nverguoguowang_skill04</t>
  </si>
  <si>
    <t>boss_caidiexiantong_skill01</t>
  </si>
  <si>
    <t>boss_caidiexiantong_skill02</t>
  </si>
  <si>
    <t>boss_caidiexiantong_skill04</t>
  </si>
  <si>
    <t>boss_jinchanzi_skill01</t>
  </si>
  <si>
    <t>boss_jinchanzi_skill02</t>
  </si>
  <si>
    <t>boss_jinchanzi_skill04</t>
  </si>
  <si>
    <t>boss_longdi_skill01</t>
  </si>
  <si>
    <t>boss_longdi_skill02</t>
  </si>
  <si>
    <t>boss_longdi_skill04</t>
  </si>
  <si>
    <t>boss_shancaitongzi_skill01</t>
  </si>
  <si>
    <t>boss_shancaitongzi_skill02</t>
  </si>
  <si>
    <t>boss_shancaitongzi_skill04</t>
  </si>
  <si>
    <t>boss_saitaisui_skill01</t>
  </si>
  <si>
    <t>boss_saitaisui_skill02</t>
  </si>
  <si>
    <t>boss_saitaisui_skill04</t>
  </si>
  <si>
    <t>boss_babutianlong_skill01</t>
  </si>
  <si>
    <t>boss_babutianlong_skill02</t>
  </si>
  <si>
    <t>boss_babutianlong_skill04</t>
  </si>
  <si>
    <t>boss_shanzijing_skill01</t>
  </si>
  <si>
    <t>boss_shanzijing_skill02</t>
  </si>
  <si>
    <t>boss_shanzijing_skill04</t>
  </si>
  <si>
    <t>boss_guanshiyin_skill01</t>
  </si>
  <si>
    <t>boss_guanshiyin_skill02</t>
  </si>
  <si>
    <t>boss_guanshiyin_skill04</t>
  </si>
  <si>
    <t>技能id
[字符串]</t>
  </si>
  <si>
    <t>技能名称
[字符串]</t>
  </si>
  <si>
    <t>技能说明
（显示）
[字符串]</t>
  </si>
  <si>
    <t>男主角</t>
  </si>
  <si>
    <t>nanzhujue_attack02</t>
  </si>
  <si>
    <t>nanzhujue_attack03</t>
  </si>
  <si>
    <t>女主角</t>
  </si>
  <si>
    <t>nvzhujue_attack02</t>
  </si>
  <si>
    <t>nvzhujue_attack03</t>
  </si>
  <si>
    <t>erlangshen_attack</t>
  </si>
  <si>
    <t>二郎神普攻</t>
  </si>
  <si>
    <t>erlangshen_attack02</t>
  </si>
  <si>
    <t>erlangshen_attack03</t>
  </si>
  <si>
    <t>erlangshen_skill01</t>
  </si>
  <si>
    <t>仙君领域</t>
  </si>
  <si>
    <t>仙君附体</t>
  </si>
  <si>
    <t>erlangshen_skill011</t>
  </si>
  <si>
    <t>erlangshen_skill021</t>
  </si>
  <si>
    <t>奥义·仙君附体</t>
  </si>
  <si>
    <t>erlangshen_skill041</t>
  </si>
  <si>
    <t>奥义·纵横天下</t>
  </si>
  <si>
    <t>nezha_attack02</t>
  </si>
  <si>
    <t>nezha_attack03</t>
  </si>
  <si>
    <t>nezha_skill01</t>
  </si>
  <si>
    <t>仙怒火莲</t>
  </si>
  <si>
    <t>nezha_skill02</t>
  </si>
  <si>
    <t>聚能长枪</t>
  </si>
  <si>
    <t>弱点追击</t>
  </si>
  <si>
    <t>nezha_skill011</t>
  </si>
  <si>
    <t>奥义·仙怒火莲</t>
  </si>
  <si>
    <t>nezha_skill021</t>
  </si>
  <si>
    <t>奥义·聚能长枪</t>
  </si>
  <si>
    <t>nezha_skill041</t>
  </si>
  <si>
    <t>奥义·烈焰冲击</t>
  </si>
  <si>
    <t>冷月风高</t>
  </si>
  <si>
    <t>月刃之舞</t>
  </si>
  <si>
    <t>change_skill011</t>
  </si>
  <si>
    <t>奥义·流星坠月</t>
  </si>
  <si>
    <t>change_skill021</t>
  </si>
  <si>
    <t>奥义·月光祝福</t>
  </si>
  <si>
    <t>change_skill041</t>
  </si>
  <si>
    <t>奥义·月刃之舞</t>
  </si>
  <si>
    <t>niumowang_attack</t>
  </si>
  <si>
    <t>扭转乾坤</t>
  </si>
  <si>
    <t>niumowang_skill04</t>
  </si>
  <si>
    <t>反击螺旋</t>
  </si>
  <si>
    <t>niumowang_skill011</t>
  </si>
  <si>
    <t>奥义·扭转乾坤</t>
  </si>
  <si>
    <t>niumowang_skill021</t>
  </si>
  <si>
    <t>奥义·地裂击</t>
  </si>
  <si>
    <t>niumowang_skill041</t>
  </si>
  <si>
    <t>奥义·反击螺旋</t>
  </si>
  <si>
    <t>honghaier_attack</t>
  </si>
  <si>
    <t>honghaier_skill01</t>
  </si>
  <si>
    <t>天降正义</t>
  </si>
  <si>
    <t>honghaier_skill02</t>
  </si>
  <si>
    <t>三昧真火</t>
  </si>
  <si>
    <t>火暴脾气</t>
  </si>
  <si>
    <t>烈火九连爆</t>
  </si>
  <si>
    <t>honghaier_skill011</t>
  </si>
  <si>
    <t>奥义·天降正义</t>
  </si>
  <si>
    <t>honghaier_skill021</t>
  </si>
  <si>
    <t>奥义·三昧真火</t>
  </si>
  <si>
    <t>honghaier_skill041</t>
  </si>
  <si>
    <t>奥义·烈火九连爆</t>
  </si>
  <si>
    <t>tieshangongzhu_skill01</t>
  </si>
  <si>
    <t>暴风掠音</t>
  </si>
  <si>
    <t>风雷涌动</t>
  </si>
  <si>
    <t>风之班璇</t>
  </si>
  <si>
    <t>tieshangongzhu_skill011</t>
  </si>
  <si>
    <t>奥义·暴风掠音</t>
  </si>
  <si>
    <t>tieshangongzhu_skill021</t>
  </si>
  <si>
    <t>奥义·风雷涌动</t>
  </si>
  <si>
    <t>tieshangongzhu_skill041</t>
  </si>
  <si>
    <t>奥义·呼啸之风</t>
  </si>
  <si>
    <t>zhubajie_attack02</t>
  </si>
  <si>
    <t>zhubajie_attack03</t>
  </si>
  <si>
    <t>天蓬神威</t>
  </si>
  <si>
    <t>天神护体</t>
  </si>
  <si>
    <t>气御山河</t>
  </si>
  <si>
    <t>天神震慑</t>
  </si>
  <si>
    <t>zhubajie_skill011</t>
  </si>
  <si>
    <t>奥义·天蓬神威</t>
  </si>
  <si>
    <t>zhubajie_skill021</t>
  </si>
  <si>
    <t>奥义·天神护体</t>
  </si>
  <si>
    <t>zhubajie_skill041</t>
  </si>
  <si>
    <t>奥义·天神震慑</t>
  </si>
  <si>
    <t>sunwukong_attack02</t>
  </si>
  <si>
    <t>sunwukong_attack03</t>
  </si>
  <si>
    <t>sunwukong_skill01</t>
  </si>
  <si>
    <t>大圣降临</t>
  </si>
  <si>
    <t>无双一击</t>
  </si>
  <si>
    <t>sunwukong_skill03</t>
  </si>
  <si>
    <t>破天猛击</t>
  </si>
  <si>
    <t>无双乱舞</t>
  </si>
  <si>
    <t>sunwukong_skill011</t>
  </si>
  <si>
    <t>奥义·大圣降临</t>
  </si>
  <si>
    <t>sunwukong_skill021</t>
  </si>
  <si>
    <t>奥义·无双一击</t>
  </si>
  <si>
    <t>sunwukong_skill041</t>
  </si>
  <si>
    <t>奥义·无双乱舞</t>
  </si>
  <si>
    <t>zixiaxianzi_attack02</t>
  </si>
  <si>
    <t>紫霞仙子普攻2</t>
  </si>
  <si>
    <t>zixiaxianzi_attack03</t>
  </si>
  <si>
    <t>紫霞仙子普攻3</t>
  </si>
  <si>
    <t>盖世英雄</t>
  </si>
  <si>
    <t>zixiaxianzi_skill02</t>
  </si>
  <si>
    <t>紫霄之芒</t>
  </si>
  <si>
    <t>zixiaxianzi_skill03</t>
  </si>
  <si>
    <t>心间一泪</t>
  </si>
  <si>
    <t>惊鸿掠影</t>
  </si>
  <si>
    <t>zixiaxianzi_skill011</t>
  </si>
  <si>
    <t>奥义·盖世英雄</t>
  </si>
  <si>
    <t>zixiaxianzi_skill021</t>
  </si>
  <si>
    <t>奥义·紫霄之芒</t>
  </si>
  <si>
    <t>zixiaxianzi_skill041</t>
  </si>
  <si>
    <t>奥义·惊鸿掠影</t>
  </si>
  <si>
    <t>douzhanshengfo_attack</t>
  </si>
  <si>
    <t>douzhanshengfo_attack02</t>
  </si>
  <si>
    <t>douzhanshengfo_attack03</t>
  </si>
  <si>
    <t>douzhanshengfo_skill01</t>
  </si>
  <si>
    <t>如意金箍棒</t>
  </si>
  <si>
    <t>破碎虚空</t>
  </si>
  <si>
    <t>乘胜追击</t>
  </si>
  <si>
    <t>一往无前</t>
  </si>
  <si>
    <t>douzhanshengfo_skill011</t>
  </si>
  <si>
    <t>奥义·如意金箍棒</t>
  </si>
  <si>
    <t>douzhanshengfo_skill021</t>
  </si>
  <si>
    <t>奥义·破碎虚空</t>
  </si>
  <si>
    <t>douzhanshengfo_skill041</t>
  </si>
  <si>
    <t>奥义·一往无前</t>
  </si>
  <si>
    <t>yuhuangdadi_attack02</t>
  </si>
  <si>
    <t>yuhuangdadi_attack03</t>
  </si>
  <si>
    <t>yuhuangdadi_skill01</t>
  </si>
  <si>
    <t>驱散神光</t>
  </si>
  <si>
    <t>yuhuangdadi_skill02</t>
  </si>
  <si>
    <t>玉帝威压</t>
  </si>
  <si>
    <t>yuhuangdadi_skill011</t>
  </si>
  <si>
    <t>奥义·驱散神光</t>
  </si>
  <si>
    <t>yuhuangdadi_skill021</t>
  </si>
  <si>
    <t>奥义·天下我心</t>
  </si>
  <si>
    <t>yuhuangdadi_skill041</t>
  </si>
  <si>
    <t>奥义·神圣大地</t>
  </si>
  <si>
    <t>凤凰焚焰</t>
  </si>
  <si>
    <t>wangmuniangniang_skill011</t>
  </si>
  <si>
    <t>奥义·地狱冥焰</t>
  </si>
  <si>
    <t>wangmuniangniang_skill021</t>
  </si>
  <si>
    <t>奥义·圣洁烈焰</t>
  </si>
  <si>
    <t>wangmuniangniang_skill041</t>
  </si>
  <si>
    <t>奥义·凤凰焚焰</t>
  </si>
  <si>
    <t>taibaijinxing_attack</t>
  </si>
  <si>
    <t>taibaijinxing_skill01</t>
  </si>
  <si>
    <t>紫薇仙法</t>
  </si>
  <si>
    <t>天师符法</t>
  </si>
  <si>
    <t>taibaijinxing_skill03</t>
  </si>
  <si>
    <t>伤上加伤</t>
  </si>
  <si>
    <t>星辰回击</t>
  </si>
  <si>
    <t>taibaijinxing_skill011</t>
  </si>
  <si>
    <t>奥义·紫薇仙法</t>
  </si>
  <si>
    <t>taibaijinxing_skill021</t>
  </si>
  <si>
    <t>奥义·天师符法</t>
  </si>
  <si>
    <t>taibaijinxing_skill041</t>
  </si>
  <si>
    <t>奥义·星辰回击</t>
  </si>
  <si>
    <t>chijiaodaxian_attack</t>
  </si>
  <si>
    <t>chijiaodaxian_skill01</t>
  </si>
  <si>
    <t>爆裂双斧</t>
  </si>
  <si>
    <t>chijiaodaxian_skill02</t>
  </si>
  <si>
    <t>真元爆发</t>
  </si>
  <si>
    <t>chijiaodaxian_skill03</t>
  </si>
  <si>
    <t>满身大汉</t>
  </si>
  <si>
    <t>chijiaodaxian_skill04</t>
  </si>
  <si>
    <t>天崩地裂</t>
  </si>
  <si>
    <t>chijiaodaxian_skill011</t>
  </si>
  <si>
    <t>奥义·爆裂双斧</t>
  </si>
  <si>
    <t>chijiaodaxian_skill021</t>
  </si>
  <si>
    <t>奥义·真元爆发</t>
  </si>
  <si>
    <t>chijiaodaxian_skill041</t>
  </si>
  <si>
    <t>奥义·天崩地裂</t>
  </si>
  <si>
    <t>托塔天王</t>
  </si>
  <si>
    <t>tuotatianwang_attack02</t>
  </si>
  <si>
    <t>tuotatianwang_attack03</t>
  </si>
  <si>
    <t>tuotatianwang_skill01</t>
  </si>
  <si>
    <t>玲珑宝塔</t>
  </si>
  <si>
    <t>tuotatianwang_skill02</t>
  </si>
  <si>
    <t>天王护法</t>
  </si>
  <si>
    <t>万象塔</t>
  </si>
  <si>
    <t>进入战斗场景时，降低自身受到伤害@s</t>
  </si>
  <si>
    <t>宝塔镇压</t>
  </si>
  <si>
    <t>tuotatianwang_skill011</t>
  </si>
  <si>
    <t>奥义·玲珑宝塔</t>
  </si>
  <si>
    <t>tuotatianwang_skill021</t>
  </si>
  <si>
    <t>奥义·天王护法</t>
  </si>
  <si>
    <t>tuotatianwang_skill041</t>
  </si>
  <si>
    <t>奥义·宝塔镇压</t>
  </si>
  <si>
    <t>jiutianxuannv_attack</t>
  </si>
  <si>
    <t>九天玄女普攻</t>
  </si>
  <si>
    <t>jiutianxuannv_skill01</t>
  </si>
  <si>
    <t>沐浴晨光</t>
  </si>
  <si>
    <t>jiutianxuannv_skill02</t>
  </si>
  <si>
    <t>九蕴灵光</t>
  </si>
  <si>
    <t>jiutianxuannv_skill03</t>
  </si>
  <si>
    <t>缥缈无常</t>
  </si>
  <si>
    <t>jiutianxuannv_skill04</t>
  </si>
  <si>
    <t>天女神佑</t>
  </si>
  <si>
    <t>jiutianxuannv_skill011</t>
  </si>
  <si>
    <t>奥义·沐浴晨光</t>
  </si>
  <si>
    <t>jiutianxuannv_skill021</t>
  </si>
  <si>
    <t>奥义·九蕴灵光</t>
  </si>
  <si>
    <t>jiutianxuannv_skill041</t>
  </si>
  <si>
    <t>奥义·天女神佑</t>
  </si>
  <si>
    <t>hulidaxian_attack02</t>
  </si>
  <si>
    <t>hulidaxian_attack03</t>
  </si>
  <si>
    <t>野性护盾</t>
  </si>
  <si>
    <t>虎啸山林</t>
  </si>
  <si>
    <t>虎口脱险</t>
  </si>
  <si>
    <t>内丹回元</t>
  </si>
  <si>
    <t>hulidaxian_skill011</t>
  </si>
  <si>
    <t>奥义·野性护盾</t>
  </si>
  <si>
    <t>hulidaxian_skill021</t>
  </si>
  <si>
    <t>奥义·虎啸山林</t>
  </si>
  <si>
    <t>hulidaxian_skill041</t>
  </si>
  <si>
    <t>奥义·内丹回元</t>
  </si>
  <si>
    <t>鹿力大仙普攻</t>
  </si>
  <si>
    <t>lulidaxian_skill01</t>
  </si>
  <si>
    <t>灵鹿赐福</t>
  </si>
  <si>
    <t>lulidaxian_skill02</t>
  </si>
  <si>
    <t>反向刃杀</t>
  </si>
  <si>
    <t>lulidaxian_skill03</t>
  </si>
  <si>
    <t>灵动迅捷</t>
  </si>
  <si>
    <t>lulidaxian_skill011</t>
  </si>
  <si>
    <t>奥义·灵鹿赐福</t>
  </si>
  <si>
    <t>lulidaxian_skill021</t>
  </si>
  <si>
    <t>奥义·反向刃杀</t>
  </si>
  <si>
    <t>lulidaxian_skill041</t>
  </si>
  <si>
    <t>奥义·璀璨星光</t>
  </si>
  <si>
    <t>yanglidaxian_skill01</t>
  </si>
  <si>
    <t>万物复苏</t>
  </si>
  <si>
    <t>yanglidaxian_skill03</t>
  </si>
  <si>
    <t>春风化物</t>
  </si>
  <si>
    <t>yanglidaxian_skill04</t>
  </si>
  <si>
    <t>灵能法球</t>
  </si>
  <si>
    <t>yanglidaxian_skill011</t>
  </si>
  <si>
    <t>奥义·万物复苏</t>
  </si>
  <si>
    <t>yanglidaxian_skill021</t>
  </si>
  <si>
    <t>奥义·治愈之光</t>
  </si>
  <si>
    <t>yanglidaxian_skill041</t>
  </si>
  <si>
    <t>奥义·灵能法球</t>
  </si>
  <si>
    <t>liuermihou_skill01</t>
  </si>
  <si>
    <t>玄光伏魔阵</t>
  </si>
  <si>
    <t>神行百变</t>
  </si>
  <si>
    <t>剑刃风暴</t>
  </si>
  <si>
    <t>liuermihou_skill011</t>
  </si>
  <si>
    <t>奥义·玄光伏魔阵</t>
  </si>
  <si>
    <t>liuermihou_skill021</t>
  </si>
  <si>
    <t>奥义·灵猴重击</t>
  </si>
  <si>
    <t>liuermihou_skill041</t>
  </si>
  <si>
    <t>奥义·剑刃风暴</t>
  </si>
  <si>
    <t>baigufuren_skill01</t>
  </si>
  <si>
    <t>枯骨逢春</t>
  </si>
  <si>
    <t>嗜血充饥</t>
  </si>
  <si>
    <t>血界</t>
  </si>
  <si>
    <t>baigufuren_skill04</t>
  </si>
  <si>
    <t>痛苦之灵</t>
  </si>
  <si>
    <t>baigufuren_skill011</t>
  </si>
  <si>
    <t>奥义·枯骨逢春</t>
  </si>
  <si>
    <t>baigufuren_skill021</t>
  </si>
  <si>
    <t>奥义·嗜血充饥</t>
  </si>
  <si>
    <t>baigufuren_skill041</t>
  </si>
  <si>
    <t>奥义·痛苦之灵</t>
  </si>
  <si>
    <t>小白龙普攻</t>
  </si>
  <si>
    <t>xiaobailong_attack02</t>
  </si>
  <si>
    <t>xiaobailong_attack03</t>
  </si>
  <si>
    <t>士气高涨</t>
  </si>
  <si>
    <t>豪龙胆</t>
  </si>
  <si>
    <t>xiaobailong_skill011</t>
  </si>
  <si>
    <t>奥义·蛟龙出海</t>
  </si>
  <si>
    <t>xiaobailong_skill021</t>
  </si>
  <si>
    <t>奥义·神龙摆尾</t>
  </si>
  <si>
    <t>xiaobailong_skill041</t>
  </si>
  <si>
    <t>奥义·豪龙胆</t>
  </si>
  <si>
    <t>shaheshang_skill01</t>
  </si>
  <si>
    <t>河神怒</t>
  </si>
  <si>
    <t>破浪流沙</t>
  </si>
  <si>
    <t>如鱼得水</t>
  </si>
  <si>
    <t>飞流击水</t>
  </si>
  <si>
    <t>shaheshang_skill011</t>
  </si>
  <si>
    <t>奥义·河神怒</t>
  </si>
  <si>
    <t>shaheshang_skill021</t>
  </si>
  <si>
    <t>奥义·破浪流沙</t>
  </si>
  <si>
    <t>shaheshang_skill041</t>
  </si>
  <si>
    <t>奥义·飞流击水</t>
  </si>
  <si>
    <t>我佛慈悲</t>
  </si>
  <si>
    <t>佛光守护</t>
  </si>
  <si>
    <t>肉身成佛</t>
  </si>
  <si>
    <t>tangsanzang_skill011</t>
  </si>
  <si>
    <t>奥义·我佛慈悲</t>
  </si>
  <si>
    <t>tangsanzang_skill021</t>
  </si>
  <si>
    <t>奥义·佛光守护</t>
  </si>
  <si>
    <t>tangsanzang_skill041</t>
  </si>
  <si>
    <t>奥义·欧理悠</t>
  </si>
  <si>
    <t>根骨超群</t>
  </si>
  <si>
    <t>佛祖保佑</t>
  </si>
  <si>
    <t>jiaye_skill011</t>
  </si>
  <si>
    <t>奥义·天罡正气</t>
  </si>
  <si>
    <t>jiaye_skill021</t>
  </si>
  <si>
    <t>奥义·贯日神拳</t>
  </si>
  <si>
    <t>jiaye_skill041</t>
  </si>
  <si>
    <t>奥义·佛祖保佑</t>
  </si>
  <si>
    <t>wenshupusa_attack</t>
  </si>
  <si>
    <t>wenshupusa_skill01</t>
  </si>
  <si>
    <t>大治疗波</t>
  </si>
  <si>
    <t>wenshupusa_skill02</t>
  </si>
  <si>
    <t>大治疗阵</t>
  </si>
  <si>
    <t>wenshupusa_skill03</t>
  </si>
  <si>
    <t>普度众生</t>
  </si>
  <si>
    <t>wenshupusa_skill04</t>
  </si>
  <si>
    <t>梵音领域</t>
  </si>
  <si>
    <t>wenshupusa_skill011</t>
  </si>
  <si>
    <t>奥义·大治疗波</t>
  </si>
  <si>
    <t>wenshupusa_skill021</t>
  </si>
  <si>
    <t>奥义·大治疗阵</t>
  </si>
  <si>
    <t>wenshupusa_skill041</t>
  </si>
  <si>
    <t>奥义·梵音领域</t>
  </si>
  <si>
    <t>milefo_attack02</t>
  </si>
  <si>
    <t>milefo_attack03</t>
  </si>
  <si>
    <t>milefo_skill01</t>
  </si>
  <si>
    <t>慈心三昧</t>
  </si>
  <si>
    <t>强身健体</t>
  </si>
  <si>
    <t>和乐善生</t>
  </si>
  <si>
    <t>milefo_skill011</t>
  </si>
  <si>
    <t>奥义·慈心三昧</t>
  </si>
  <si>
    <t>milefo_skill021</t>
  </si>
  <si>
    <t>奥义·佛光普照</t>
  </si>
  <si>
    <t>milefo_skill041</t>
  </si>
  <si>
    <t>奥义·和乐善生</t>
  </si>
  <si>
    <t>海龙咆哮</t>
  </si>
  <si>
    <t>donghailongwang_skill03</t>
  </si>
  <si>
    <t>深海护盾</t>
  </si>
  <si>
    <t>donghailongwang_skill011</t>
  </si>
  <si>
    <t>奥义·千年龙鳞</t>
  </si>
  <si>
    <t>donghailongwang_skill021</t>
  </si>
  <si>
    <t>奥义·海龙咆哮</t>
  </si>
  <si>
    <t>donghailongwang_skill041</t>
  </si>
  <si>
    <t>奥义·深海问候</t>
  </si>
  <si>
    <t>剧毒无比</t>
  </si>
  <si>
    <t>zhizhujing_skill04</t>
  </si>
  <si>
    <t>魔蛛绝杀</t>
  </si>
  <si>
    <t>zhizhujing_skill011</t>
  </si>
  <si>
    <t>zhizhujing_skill021</t>
  </si>
  <si>
    <t>zhizhujing_skill041</t>
  </si>
  <si>
    <t>筋肉</t>
  </si>
  <si>
    <t>hunshimowang_skill011</t>
  </si>
  <si>
    <t>奥义·飞沙走石</t>
  </si>
  <si>
    <t>hunshimowang_skill021</t>
  </si>
  <si>
    <t>奥义·狼牙重击</t>
  </si>
  <si>
    <t>hunshimowang_skill041</t>
  </si>
  <si>
    <t>奥义·野蛮冲撞</t>
  </si>
  <si>
    <t>xiezijing_skill01</t>
  </si>
  <si>
    <t>魔音灌耳</t>
  </si>
  <si>
    <t>蝎尾</t>
  </si>
  <si>
    <t>xiezijing_skill011</t>
  </si>
  <si>
    <t>奥义·魔音灌耳</t>
  </si>
  <si>
    <t>xiezijing_skill021</t>
  </si>
  <si>
    <t>奥义·彩云流风</t>
  </si>
  <si>
    <t>xiezijing_skill041</t>
  </si>
  <si>
    <t>奥义·魔蝎毒刺</t>
  </si>
  <si>
    <t>掌控生死</t>
  </si>
  <si>
    <t>生死令</t>
  </si>
  <si>
    <t>yanluowang_skill011</t>
  </si>
  <si>
    <t>奥义·冥域鬼火</t>
  </si>
  <si>
    <t>yanluowang_skill021</t>
  </si>
  <si>
    <t>奥义·判官笔</t>
  </si>
  <si>
    <t>yanluowang_skill041</t>
  </si>
  <si>
    <t>奥义·生死令</t>
  </si>
  <si>
    <t>越陷越深</t>
  </si>
  <si>
    <t>yinhunxianzi_skill011</t>
  </si>
  <si>
    <t>奥义·灯引百魂</t>
  </si>
  <si>
    <t>yinhunxianzi_skill021</t>
  </si>
  <si>
    <t>奥义·狂暴木桩</t>
  </si>
  <si>
    <t>yinhunxianzi_skill041</t>
  </si>
  <si>
    <t>奥义·咒魂召唤</t>
  </si>
  <si>
    <t>baiwuchang_attack02</t>
  </si>
  <si>
    <t>baiwuchang_attack03</t>
  </si>
  <si>
    <t>夺魄</t>
  </si>
  <si>
    <t>鬼噬</t>
  </si>
  <si>
    <t>baiwuchang_skill011</t>
  </si>
  <si>
    <t>奥义·魂飞魄散</t>
  </si>
  <si>
    <t>baiwuchang_skill021</t>
  </si>
  <si>
    <t>奥义·夺魄</t>
  </si>
  <si>
    <t>baiwuchang_skill041</t>
  </si>
  <si>
    <t>奥义·镇魂</t>
  </si>
  <si>
    <t>heiwuchang_attack02</t>
  </si>
  <si>
    <t>heiwuchang_attack03</t>
  </si>
  <si>
    <t>鬼影无踪</t>
  </si>
  <si>
    <t>凌波身法</t>
  </si>
  <si>
    <t>heiwuchang_skill04</t>
  </si>
  <si>
    <t>heiwuchang_skill011</t>
  </si>
  <si>
    <t>奥义·鬼影无踪</t>
  </si>
  <si>
    <t>heiwuchang_skill021</t>
  </si>
  <si>
    <t>奥义·离魂</t>
  </si>
  <si>
    <t>heiwuchang_skill041</t>
  </si>
  <si>
    <t>奥义·索命</t>
  </si>
  <si>
    <t>renshenwa_attack</t>
  </si>
  <si>
    <t>renshenwa_skill01</t>
  </si>
  <si>
    <t>表面人参果</t>
  </si>
  <si>
    <t>renshenwa_skill02</t>
  </si>
  <si>
    <t>波浪战鼓</t>
  </si>
  <si>
    <t>renshenwa_skill03</t>
  </si>
  <si>
    <t>抓不到我</t>
  </si>
  <si>
    <t>renshenwa_skill04</t>
  </si>
  <si>
    <t>波浪重锤</t>
  </si>
  <si>
    <t>renshenwa_skill011</t>
  </si>
  <si>
    <t>奥义·表面人参果</t>
  </si>
  <si>
    <t>renshenwa_skill021</t>
  </si>
  <si>
    <t>奥义·波浪战鼓</t>
  </si>
  <si>
    <t>renshenwa_skill041</t>
  </si>
  <si>
    <t>奥义·波浪重锤</t>
  </si>
  <si>
    <t>nverguoguowang_attack02</t>
  </si>
  <si>
    <t>女儿国国王普攻2</t>
  </si>
  <si>
    <t>nverguoguowang_attack03</t>
  </si>
  <si>
    <t>女儿国国王普攻3</t>
  </si>
  <si>
    <t>凡间剑法</t>
  </si>
  <si>
    <t>nverguoguowang_skill04</t>
  </si>
  <si>
    <t>无双剑舞</t>
  </si>
  <si>
    <t>nverguoguowang_skill011</t>
  </si>
  <si>
    <t>奥义·嗜血玫瑰</t>
  </si>
  <si>
    <t>nverguoguowang_skill021</t>
  </si>
  <si>
    <t>奥义·魅舞倾城</t>
  </si>
  <si>
    <t>nverguoguowang_skill041</t>
  </si>
  <si>
    <t>奥义·无双剑舞</t>
  </si>
  <si>
    <t>彩蝶仙童</t>
  </si>
  <si>
    <t>快速飞舞</t>
  </si>
  <si>
    <t>caidiexiantong_skill011</t>
  </si>
  <si>
    <t>caidiexiantong_skill021</t>
  </si>
  <si>
    <t>caidiexiantong_skill041</t>
  </si>
  <si>
    <t>佛法护生</t>
  </si>
  <si>
    <t>天罡咒印</t>
  </si>
  <si>
    <t>jinchanzi_skill011</t>
  </si>
  <si>
    <t>奥义·圣诫天咒</t>
  </si>
  <si>
    <t>jinchanzi_skill021</t>
  </si>
  <si>
    <t>奥义·御法经</t>
  </si>
  <si>
    <t>jinchanzi_skill041</t>
  </si>
  <si>
    <t>奥义·天罡咒印</t>
  </si>
  <si>
    <t>longdi_attack</t>
  </si>
  <si>
    <t>龙帝普攻</t>
  </si>
  <si>
    <t>longdi_attack02</t>
  </si>
  <si>
    <t>longdi_attack03</t>
  </si>
  <si>
    <t>longdi_skill01</t>
  </si>
  <si>
    <t>钻石星辰</t>
  </si>
  <si>
    <t>longdi_skill02</t>
  </si>
  <si>
    <t>极寒冰狱</t>
  </si>
  <si>
    <t>冰霜领域</t>
  </si>
  <si>
    <t>longdi_skill04</t>
  </si>
  <si>
    <t>寒陨爆裂</t>
  </si>
  <si>
    <t>longdi_skill011</t>
  </si>
  <si>
    <t>奥义·钻石星辰</t>
  </si>
  <si>
    <t>longdi_skill021</t>
  </si>
  <si>
    <t>奥义·极寒冰狱</t>
  </si>
  <si>
    <t>longdi_skill041</t>
  </si>
  <si>
    <t>奥义·寒陨爆裂</t>
  </si>
  <si>
    <t>八部天龙</t>
  </si>
  <si>
    <t>babutianlong_attack02</t>
  </si>
  <si>
    <t>babutianlong_attack03</t>
  </si>
  <si>
    <t>翻天覆海</t>
  </si>
  <si>
    <t>苍龙有悔</t>
  </si>
  <si>
    <t>怒波狂涛</t>
  </si>
  <si>
    <t>babutianlong_skill011</t>
  </si>
  <si>
    <t>奥义·翻天覆海</t>
  </si>
  <si>
    <t>babutianlong_skill021</t>
  </si>
  <si>
    <t>奥义·苍龙有悔</t>
  </si>
  <si>
    <t>babutianlong_skill041</t>
  </si>
  <si>
    <t>奥义·怒波狂涛</t>
  </si>
  <si>
    <t>八门无双</t>
  </si>
  <si>
    <t>众生平等</t>
  </si>
  <si>
    <t>guanshiyin_skill04</t>
  </si>
  <si>
    <t>guanshiyin_skill011</t>
  </si>
  <si>
    <t>奥义·八门无双</t>
  </si>
  <si>
    <t>guanshiyin_skill021</t>
  </si>
  <si>
    <t>奥义·众生平等</t>
  </si>
  <si>
    <t>guanshiyin_skill041</t>
  </si>
  <si>
    <t>奥义·普度众生</t>
  </si>
  <si>
    <t>重击</t>
  </si>
  <si>
    <t>提高全体队友@s的命中率，@s的攻击力，持续3秒</t>
  </si>
  <si>
    <t>dizangwang_attack</t>
  </si>
  <si>
    <t>水之契约</t>
  </si>
  <si>
    <t>生命提升</t>
  </si>
  <si>
    <t>进入战斗场景时，增加全体@s生命上限</t>
  </si>
  <si>
    <t>jinghelongwang_skill04</t>
  </si>
  <si>
    <t>龙王叹息</t>
  </si>
  <si>
    <t>玉兔精</t>
  </si>
  <si>
    <t>法球攻击目标</t>
  </si>
  <si>
    <t>shancaitongzi_attack</t>
  </si>
  <si>
    <t>善财童子</t>
  </si>
  <si>
    <t>般若莲心</t>
  </si>
  <si>
    <t>为队友施加护盾，吸收自身生命上限@s的伤害</t>
  </si>
  <si>
    <t>进入战斗场景时，提高自身@s的生命上限</t>
  </si>
  <si>
    <t>对身前的目标造成自身攻击力@s的伤害，并降低目标@s的防御</t>
  </si>
  <si>
    <t>saitaisui_attack</t>
  </si>
  <si>
    <t>saitaisui_skill01</t>
  </si>
  <si>
    <t>地狱火海</t>
  </si>
  <si>
    <t>音波摄魂</t>
  </si>
  <si>
    <t>熔岩之路</t>
  </si>
  <si>
    <t>shanzijing_attack</t>
  </si>
  <si>
    <t>挥动芭蕉扇，产生能量攻击目标</t>
  </si>
  <si>
    <t>shanzijing_attack02</t>
  </si>
  <si>
    <t>shanzijing_attack03</t>
  </si>
  <si>
    <t>shanzijing_skill01</t>
  </si>
  <si>
    <t>龙卷风暴</t>
  </si>
  <si>
    <t>shanzijing_skill02</t>
  </si>
  <si>
    <t>百花笑</t>
  </si>
  <si>
    <t>shanzijing_skill03</t>
  </si>
  <si>
    <t>进入战斗场景时，提高全队@s生命上限</t>
  </si>
  <si>
    <t>shanzijing_skill04</t>
  </si>
  <si>
    <t>风团</t>
  </si>
  <si>
    <t>普攻眩晕</t>
  </si>
  <si>
    <t>进入战斗场景时，攻击有@s的几率将目标眩晕1秒</t>
  </si>
  <si>
    <t>混沌阵</t>
  </si>
  <si>
    <t>对范围内目标造成9次主角攻击力@s的伤害</t>
  </si>
  <si>
    <t>hundun_skill02</t>
  </si>
  <si>
    <t>死亡飞鸟</t>
  </si>
  <si>
    <t>hundun_skill03</t>
  </si>
  <si>
    <t>遁入虚空</t>
  </si>
  <si>
    <t>进入战斗场景时，增加全队@s的闪避</t>
  </si>
  <si>
    <t>bailonggongzhu_skill01</t>
  </si>
  <si>
    <t>圣光水域</t>
  </si>
  <si>
    <t>对队友治疗，恢复3次主角攻击力@s的生命值</t>
  </si>
  <si>
    <t>guishihei_attack2</t>
  </si>
  <si>
    <t>huwei_attack</t>
  </si>
  <si>
    <t>护卫普攻</t>
  </si>
  <si>
    <t>kuangbao_attack</t>
  </si>
  <si>
    <t>狂豹普攻</t>
  </si>
  <si>
    <t>骷髅兵</t>
  </si>
  <si>
    <t>挥动武器攻击目标</t>
  </si>
  <si>
    <t>langren_attack</t>
  </si>
  <si>
    <t>金狼人</t>
  </si>
  <si>
    <t>挥动金箍棒攻击目标</t>
  </si>
  <si>
    <t>qiangdao_attack</t>
  </si>
  <si>
    <t>山贼</t>
  </si>
  <si>
    <t>挥动飞镖攻击目标</t>
  </si>
  <si>
    <t>shinv_attack</t>
  </si>
  <si>
    <t>狮人</t>
  </si>
  <si>
    <t>挥动叉子攻击目标</t>
  </si>
  <si>
    <t>taozi_attack</t>
  </si>
  <si>
    <t>桃子</t>
  </si>
  <si>
    <t>用武器攻击</t>
  </si>
  <si>
    <t>天兵</t>
  </si>
  <si>
    <t>挥动长枪直刺目标</t>
  </si>
  <si>
    <t>天将普攻</t>
  </si>
  <si>
    <t>xiabing_attack</t>
  </si>
  <si>
    <t>虾兵</t>
  </si>
  <si>
    <t>xiejiang_attack_L</t>
  </si>
  <si>
    <t>蟹将</t>
  </si>
  <si>
    <t>蟹将普通攻击左手</t>
  </si>
  <si>
    <t>xiejiang_attack_R</t>
  </si>
  <si>
    <t>蟹将普通攻击右手</t>
  </si>
  <si>
    <t>yanmo_attack</t>
  </si>
  <si>
    <t>炎魔普攻</t>
  </si>
  <si>
    <t>yecha_attack</t>
  </si>
  <si>
    <t>夜叉</t>
  </si>
  <si>
    <t>yezhuguai_attack</t>
  </si>
  <si>
    <t>石头人</t>
  </si>
  <si>
    <t>挥动双拳连续两次攻击目标</t>
  </si>
  <si>
    <t>大蟒精</t>
  </si>
  <si>
    <t>houbing_attack</t>
  </si>
  <si>
    <t>猴兵</t>
  </si>
  <si>
    <t>狐美人</t>
  </si>
  <si>
    <t>挥动圆环攻击目标</t>
  </si>
  <si>
    <t>女鬼</t>
  </si>
  <si>
    <t>挥舞利爪攻击目标</t>
  </si>
  <si>
    <t>qinxian_attack</t>
  </si>
  <si>
    <t>shanzei2_attack</t>
  </si>
  <si>
    <t>蜘蛛</t>
  </si>
  <si>
    <t>挥动蛛丝攻击目标</t>
  </si>
  <si>
    <t>guichengxiang_attack</t>
  </si>
  <si>
    <t>龟丞相</t>
  </si>
  <si>
    <t>qinxian_skill02</t>
  </si>
  <si>
    <t>琴音缭绕</t>
  </si>
  <si>
    <t>瓮金锤</t>
  </si>
  <si>
    <t>jisufeijian_skill01</t>
  </si>
  <si>
    <t>jianqi_skill01</t>
  </si>
  <si>
    <t>剑气</t>
  </si>
  <si>
    <t>对范围内目标造成主角攻击力@s的伤害</t>
  </si>
  <si>
    <t>lijianxueren_skill01</t>
  </si>
  <si>
    <t>提高全体队友@s的命中率，@s的攻击力，持续5秒</t>
  </si>
  <si>
    <t>zhongchui_skill01</t>
  </si>
  <si>
    <t>重锤</t>
  </si>
  <si>
    <t>jinganghuti_skill01</t>
  </si>
  <si>
    <t>金刚护体</t>
  </si>
  <si>
    <t>提高范围内队友@s的防御力，持续5秒</t>
  </si>
  <si>
    <t>dujianyu_skill01</t>
  </si>
  <si>
    <t>毒箭雨</t>
  </si>
  <si>
    <t>xianlingzhufu_skill01</t>
  </si>
  <si>
    <t>治疗单个队友，每秒恢复@s的生命值，持续5秒</t>
  </si>
  <si>
    <t>zhangqidutan_skill01</t>
  </si>
  <si>
    <t>瘴气毒潭</t>
  </si>
  <si>
    <t>对范围内目标造成4次主角攻击力@s的伤害</t>
  </si>
  <si>
    <t>yingyan_skill01</t>
  </si>
  <si>
    <t>鹰眼</t>
  </si>
  <si>
    <t>提高全体队友@s的命中率，持续5秒</t>
  </si>
  <si>
    <t>duchi_skill01</t>
  </si>
  <si>
    <t>毒池</t>
  </si>
  <si>
    <t>baofengxue_skill01</t>
  </si>
  <si>
    <t>暴风雪</t>
  </si>
  <si>
    <t>bingbao_skill01</t>
  </si>
  <si>
    <t>冰爆</t>
  </si>
  <si>
    <t>huoguangqusan_skill01</t>
  </si>
  <si>
    <t>火光驱散</t>
  </si>
  <si>
    <t>对目标造成主角攻击力@s的伤害</t>
  </si>
  <si>
    <t>shengguangshuiyu_skill01</t>
  </si>
  <si>
    <t>shuiwuqinshi_skill01</t>
  </si>
  <si>
    <t>降低范围内目标@s的命中率，@s的防御，持续5秒</t>
  </si>
  <si>
    <t>huoniao_skill01</t>
  </si>
  <si>
    <t>火鸟</t>
  </si>
  <si>
    <t>huoqiuzhadan_skill01</t>
  </si>
  <si>
    <t>火球炸弹</t>
  </si>
  <si>
    <t>rexuebaofa_skill01</t>
  </si>
  <si>
    <t>热血爆发</t>
  </si>
  <si>
    <t>diyuhuohai_skill01</t>
  </si>
  <si>
    <t>dicituxi_skill01</t>
  </si>
  <si>
    <t>地刺突袭</t>
  </si>
  <si>
    <t>feishazoushi_skill01</t>
  </si>
  <si>
    <t>taishanyading_skill01</t>
  </si>
  <si>
    <t>泰山压顶</t>
  </si>
  <si>
    <t>tuqiangfanghu_skill01</t>
  </si>
  <si>
    <t>土墙防护</t>
  </si>
  <si>
    <t>减少全体队友@s所受伤害，持续5秒</t>
  </si>
  <si>
    <t>leiji_skill01</t>
  </si>
  <si>
    <t>对范围内目标造成2次主角攻击力@s的伤害</t>
  </si>
  <si>
    <t>攻速提升</t>
  </si>
  <si>
    <t>进入战斗场景时，增加自身@s的攻击速度</t>
  </si>
  <si>
    <t>hundun_skill05</t>
  </si>
  <si>
    <t>zhubajie_skill05</t>
  </si>
  <si>
    <t>雷霆天罚</t>
  </si>
  <si>
    <t>新手引导猪八戒技能</t>
  </si>
  <si>
    <t>zhubajie_skill06</t>
  </si>
  <si>
    <t>zhubajie_skill07</t>
  </si>
  <si>
    <t>九齿钉耙</t>
  </si>
  <si>
    <t>sunwukong_skill051</t>
  </si>
  <si>
    <t>sunwukong_skill05</t>
  </si>
  <si>
    <t>新手引导孙悟空技能（@s血以下释放，万伤高血技能）</t>
  </si>
  <si>
    <t>boss_erlangshen_skill01</t>
  </si>
  <si>
    <t>烈火三连</t>
  </si>
  <si>
    <t>封石棍</t>
  </si>
  <si>
    <t>缩地成寸</t>
  </si>
  <si>
    <t>幻灭仙光</t>
  </si>
  <si>
    <t>反伤甲</t>
  </si>
  <si>
    <t>回旋刀刃</t>
  </si>
  <si>
    <t>boss_qinxian_skill02</t>
  </si>
  <si>
    <t>bingbao_skill01</t>
    <phoneticPr fontId="3" type="noConversion"/>
  </si>
  <si>
    <t>shengguangshuiyu_skill01</t>
    <phoneticPr fontId="3" type="noConversion"/>
  </si>
  <si>
    <t>leigong_skill03</t>
    <phoneticPr fontId="3" type="noConversion"/>
  </si>
  <si>
    <t>蟹将</t>
    <phoneticPr fontId="3" type="noConversion"/>
  </si>
  <si>
    <t>琴仙</t>
    <phoneticPr fontId="3" type="noConversion"/>
  </si>
  <si>
    <t>黑熊精</t>
    <phoneticPr fontId="3" type="noConversion"/>
  </si>
  <si>
    <t>蟹将_skill01</t>
  </si>
  <si>
    <t>蟹将_skill02</t>
  </si>
  <si>
    <t>蟹将_skill03</t>
  </si>
  <si>
    <t>蟹将_skill04</t>
  </si>
  <si>
    <t>琴仙_skill01</t>
  </si>
  <si>
    <t>琴仙_skill02</t>
  </si>
  <si>
    <t>琴仙_skill03</t>
  </si>
  <si>
    <t>琴仙_skill04</t>
  </si>
  <si>
    <t>黑熊精_skill01</t>
  </si>
  <si>
    <t>黑熊精_skill02</t>
  </si>
  <si>
    <t>黑熊精_skill03</t>
  </si>
  <si>
    <t>黑熊精_skill04</t>
  </si>
  <si>
    <t>用天眼发射激光对范围内敌军进行2次攻击，造成自身攻击力@s的物伤，并提升敌军所受伤害@s，持续3秒</t>
  </si>
  <si>
    <t>二郎神用天眼发射激光对范围内敌军进行2次攻击，造成自身攻击力@s的物伤，并提升敌军所受伤害@s，持续3秒</t>
  </si>
  <si>
    <t>二郎神舞动长枪对范围内敌人造成自身攻击力@s的物伤，必定暴击，并造成6秒高级流血效果</t>
  </si>
  <si>
    <t>哪吒于枪尖凝聚能量并引爆，对范围内敌人造成4次自身攻击力@s的物伤，并使敌人受到伤害提升@s，持续3秒，</t>
  </si>
  <si>
    <t>哪吒舞枪直刺，对范围内敌人造成4次自身攻击力@s的物伤，使目标进入灼烧状态</t>
  </si>
  <si>
    <t>召唤哪吒本命火莲花对范围内敌人进行2次攻击，造成主角攻击力@s的物伤，对流血状态目标提示20%伤害</t>
  </si>
  <si>
    <t>哪吒于枪尖凝聚能量并引爆，对范围内敌人造成4次自身攻击力@s的物伤，并使敌人受到伤害提升@s，持续3秒</t>
  </si>
  <si>
    <t>释放辉月之力，治疗全体友军，每0.5秒恢复主角攻击力@s的生命值，持续3秒</t>
  </si>
  <si>
    <t>嫦娥为治疗生命值百分比最低的友军施加月光祝福，恢复自身攻击力@s的生命值，并清除一个不利状态</t>
  </si>
  <si>
    <t>嫦娥跳起月刃之舞释放月光之力，治疗全体友军，每0.5秒恢复自身攻击力@s的生命值，持续3秒</t>
  </si>
  <si>
    <t>嫦娥为治疗生命值百分比最低的友军施加月光祝福，恢复自身攻击力@s的生命值，并清除全部不利状态</t>
  </si>
  <si>
    <t>牛魔王抡起巨斧旋转，对范围内敌人进行6次攻击，造成自身攻击力@s的物伤，并使敌人受到伤害提升@s，持续3秒</t>
  </si>
  <si>
    <t>召唤巨大的陨石，对范围内敌人造成主角攻击力@s的物伤，被陨石砸中有30%的几率昏迷</t>
  </si>
  <si>
    <t>红孩儿对前方敌人持续喷射火焰，对敌人造成4次自身攻击力@s的物伤，并造成灼烧效果，持续6秒</t>
  </si>
  <si>
    <t>红孩儿舞枪对对范围内敌人发动连续9次攻击，造成自身攻击力@s的物伤，对灼烧中的目标提升20%伤害</t>
  </si>
  <si>
    <t>召唤巨大的陨石，对范围内敌人造成主角攻击力@s的物伤，被陨石砸中有60%的几率昏迷</t>
  </si>
  <si>
    <t>红孩儿舞枪对对范围内敌人发动连续9次攻击，造成自身攻击力@s的物伤，对灼烧中的目标提升30%伤害</t>
  </si>
  <si>
    <t>召唤暴风对范围内敌人进行7次攻击，造成造成主角攻击力@s的法伤，降低目标20%的闪避</t>
  </si>
  <si>
    <t>铁扇公主召唤风雷领域，对范围内敌人进行2次攻击，造成自身攻击力@s的法伤，提升自身暴击@s,持续3秒</t>
  </si>
  <si>
    <t>猪八戒以天神仙力护体，提升自身防御力@s，持续6秒，自身40%的概率进入无敌状态，持续2秒</t>
  </si>
  <si>
    <t>猪八戒释放自身神力，对范围内敌人造成自身攻击力@s的法伤，30%的概率击飞对手2秒</t>
  </si>
  <si>
    <t>猪八戒以天神仙力护体，提升自身防御力@s，持续6秒，自身60%的概率进入无敌状态，持续2秒</t>
  </si>
  <si>
    <t>猪八戒释放自身神力，对范围内敌人造成自身攻击力@s的法伤，60%的概率击飞对手2秒</t>
  </si>
  <si>
    <t>孙悟空舞棒砸地，对范围内敌人进行2次攻击，造成自身攻击力@s的物伤，并使敌人受到的伤害增加@s，持续3秒</t>
  </si>
  <si>
    <t>孙悟空抡起金箍棒旋转，对范围内敌人进行4次攻击，造成自身攻击力@s的物伤，必定暴击，并造成灼烧效果，持续6秒</t>
  </si>
  <si>
    <t>召唤大圣之前世，对范围内敌人进行7次攻击，造成主角攻击力@s的法伤,同时提升自身@s的法伤，持续3秒，对处于灼烧状态的目标增加10%的伤害</t>
  </si>
  <si>
    <t>剑出飞鸾，对范围内敌人进行3次攻击，造成自身攻击力@s的法伤，并增加敌人受到的伤害@s，持续3秒</t>
  </si>
  <si>
    <t>剑快留痕，对范围内敌人进行5次攻击，造成自身攻击力@s的法伤,并造成流血效果，持续6秒</t>
  </si>
  <si>
    <t>剑快留痕，对范围内敌人进行5次攻击，造成自身攻击力@s的法伤,并造成高级流血效果，持续6秒</t>
  </si>
  <si>
    <t>玉皇大帝将仙力注入大地，对范围内的敌人造成自身攻击力@s的物伤</t>
  </si>
  <si>
    <t>玉皇大帝召唤圣光领域，对范围内敌人造成自身攻击力@s的物伤，并降低敌人闪避率@s，持续3秒</t>
  </si>
  <si>
    <t>于敌军上空释放地狱冥焰，对范围内敌人进行6次攻击，造成主角攻击力@s的法伤，并提升自身法伤@s，持续3秒，目标处于灼烧状态无视10%的法防</t>
  </si>
  <si>
    <t>王母召唤火球释放圣洁烈焰对范围内敌人进行3次攻击，造成自身攻击力@s的法伤，并使敌人受到的伤害增加@s，持续3秒</t>
  </si>
  <si>
    <t>王母于地面释放凤凰焚焰，对范围内敌人造成自身攻击力@s的法伤，并造成灼烧效果，持续3秒</t>
  </si>
  <si>
    <t>于敌军上空释放地狱冥焰，对范围内敌人进行6次攻击，造成主角攻击力@s的法伤，并提升自身法伤@s，持续3秒，目标处于灼烧状态无视20%的法防</t>
  </si>
  <si>
    <t>王母于地面释放凤凰焚焰，对范围内敌人造成自身攻击力@s的法伤，并造成灼烧效果，持续6秒</t>
  </si>
  <si>
    <t>召唤赤脚大仙神兵，对范围内敌人进行2次攻击,造成主角攻击力@s的法伤，并降低命中率@s，持续3秒</t>
  </si>
  <si>
    <t>赤脚大仙爆发自身真元之力，治疗自身，每0.5秒恢复自身生命值上限2%的生命值，持续2秒</t>
  </si>
  <si>
    <t>托塔天王释放自身天王之力形成护盾，提升自身防御力@s，并进入霸体状态，持续3秒</t>
  </si>
  <si>
    <t>托塔天王用宝塔镇压敌军，对范围内敌人造成自身攻击力@s的伤害，30%概率眩晕对手2秒</t>
  </si>
  <si>
    <t>托塔天王释放自身天王之力形成护盾，提升自身防御力@s，进入霸体状态，持续3秒</t>
  </si>
  <si>
    <t>托塔天王用宝塔镇压敌军，对范围内敌人造成自身攻击力@s的伤害，60%概率眩晕对手2秒</t>
  </si>
  <si>
    <t>释放大范围治疗法术，治疗全体友军，每0.5秒恢复主角攻击力@s的生命值，持续3秒</t>
  </si>
  <si>
    <t>九天玄女用九蕴灵光治疗生命值百分比最低的友军，恢复自身攻击力@s的生命值</t>
  </si>
  <si>
    <t>九天玄女释放自身神光，对范围内敌人造成2次攻击力@s的法伤，每次攻击清除敌人1个增益状态</t>
  </si>
  <si>
    <t>九天玄女释放自身神光，对范围内敌人造成2次攻击力@s的法伤，清除敌人所有增益状态</t>
  </si>
  <si>
    <t>释放虎力大仙野性护盾，为全体友军吸收伤害，最多为友军自身生命值上限@s，持续3秒</t>
  </si>
  <si>
    <t>虎力大仙利用自身内丹治疗自身，每0.5秒恢复自身生命值上限@s的生命值，持续3秒，并清除自身一个不利状态</t>
  </si>
  <si>
    <t>虎力大仙利用自身内丹治疗自身，每0.5秒恢复自身生命值上限@s的生命值，持续3秒，并清除自身所有不利状态</t>
  </si>
  <si>
    <t>将鹿力大仙灵力赋予全队，提升全体友军@s的攻击速度和@s的命中率，持续3秒</t>
  </si>
  <si>
    <t>鹿力大仙掷出双环，对范围内敌人造成3次自身攻击力@s的物伤</t>
  </si>
  <si>
    <t>鹿力大仙快速舞动双环，对范围内敌人进行7次攻击，造成自身攻击力@s的物伤，并提升自身@s攻速，持续3秒</t>
  </si>
  <si>
    <t>施展万物复苏之法，治疗全体友军，每0.5秒恢复主角攻击力@s的生命值，持续3秒</t>
  </si>
  <si>
    <t>羊力大仙为生命值百分比最低的友军释放治愈之光，恢复自身攻击力@s的生命值，并清除一个不利状态</t>
  </si>
  <si>
    <t>羊力大仙释放灵能，对全体友军每0.5秒产生相当于自身攻击力@s的治疗效果，持续3秒</t>
  </si>
  <si>
    <t>羊力大仙为生命值百分比最低的友军释放治愈之光，恢复自身攻击力@s的生命值，并清除所有不利状态</t>
  </si>
  <si>
    <t>召唤玄光伏魔阵，对范围内敌人进行5次攻击，造成主角攻击力@s的法伤，并降低敌人命中率@s，持续3秒</t>
  </si>
  <si>
    <t>六耳猕猴舞剑对范围内敌人造成自身攻击力@s的法伤，同时提升自身@s闪避率，持续3秒</t>
  </si>
  <si>
    <t>六耳猕猴轮舞巨剑形成龙卷风，对范围内敌人进行6次攻击，造成自身攻击力@s的法伤</t>
  </si>
  <si>
    <t>释放枯骨逢春秘法，治疗全体友军，每0.5秒恢复主角攻击力@s的生命值，持续3秒</t>
  </si>
  <si>
    <t>白骨夫人治疗生命值百分比最低的友军，恢复自身攻击力@s的生命值</t>
  </si>
  <si>
    <t>白骨夫人将痛苦之灵附身在敌军身上，对范围内的敌人造成4次攻击力@s的法伤，每次攻击清除敌人1个增益状态</t>
  </si>
  <si>
    <t>白骨夫人将痛苦之灵附身在敌军身上，对范围内的敌人造成4次攻击力@s的法伤，清除敌人所有增益状态</t>
  </si>
  <si>
    <t>召唤大型水龙卷，对范围内敌人进行3次攻击，造成主角攻击力@s的物伤</t>
  </si>
  <si>
    <t>小白龙舞枪直刺，对范围内敌人造成自身攻击力@s的物伤，同时提升自身暴击@s，持续3秒</t>
  </si>
  <si>
    <t>释放大范围水法，对范围内敌人造成主角攻击力@s的法伤,同时提升自身法伤@s，持续3秒，对处于流血状态的目标降低10%的物理防御</t>
  </si>
  <si>
    <t>沙和尚召唤巨浪，对范围内敌人进行2次攻击，造成自身攻击力@s的法伤，并使敌人受到的伤害增加@s，持续3秒</t>
  </si>
  <si>
    <t>沙和尚引爆水流，对范围内敌人进行3次攻击，使敌人受到自身攻击力@s的法伤,并造成流血效果，持续6秒</t>
  </si>
  <si>
    <t>释放大范围水法，对范围内敌人造成主角攻击力@s的法伤,同时提升自身法伤@s，持续3秒，对处于流血状态的目标降低20%的物理防御</t>
  </si>
  <si>
    <t>释放佛法为全体友军吸收伤害，最多为友军自身生命值上限@s，持续3秒</t>
  </si>
  <si>
    <t>唐三藏召唤佛光攻击目标，对范围内敌人造成自身攻击力@s的伤害，同时降低自身受到伤害@s，持续3秒</t>
  </si>
  <si>
    <t>唐三藏念起紧箍咒，对所有敌人造成自身攻击力@s的法伤，并有40%几率令目标昏迷2秒</t>
  </si>
  <si>
    <t>释放天罡正气护盾，降低全体友军受到的伤害@s，持续3秒</t>
  </si>
  <si>
    <t>迦叶用佛光治疗自身，每0.5秒恢复自身生命值上限2%的生命值，持续2秒</t>
  </si>
  <si>
    <t>释放天罡正气护盾，降低全体友军受到的伤害@s，持续6秒</t>
  </si>
  <si>
    <t>释放大范围佛光治疗全体友军，每0.5秒恢复主角攻击力@s的生命值，持续3秒</t>
  </si>
  <si>
    <t>文殊菩萨召唤佛光治疗阵，治疗生命值百分比最低的友军，恢复自身攻击力@s的生命值</t>
  </si>
  <si>
    <t>文殊菩萨召唤无数经文，对范围内敌人进行3次攻击，造成攻击力@s的法伤，每次攻击清除敌人1个增益状态</t>
  </si>
  <si>
    <t>文殊菩萨召唤无数经文，对范围内敌人进行3次攻击，造成攻击力@s的法伤，并清除敌人所有增益状态</t>
  </si>
  <si>
    <t>为全体友军召唤护体光球吸收伤害，最多为友军自身生命值上限@s，持续3秒</t>
  </si>
  <si>
    <t>弥勒佛用佛法治疗自身，每0.5秒恢复自身生命值上限@s的生命值，持续2秒，并清除自身一个不利状态</t>
  </si>
  <si>
    <t>弥勒佛用佛法治疗自身，每0.5秒恢复自身生命值上限@s的生命值，持续2秒，并清除自身所有不利状态</t>
  </si>
  <si>
    <t>召唤龙王千年龙鳞护体，降低全体友军受到的伤害@s，并进入霸体状态，持续3秒</t>
  </si>
  <si>
    <t>东海龙王向前方发射水炮，对范围内敌人造成自身攻击力@s的物伤，20%几率冰冻目标2秒</t>
  </si>
  <si>
    <t>东海龙王操控海水，对范围内敌人造成自身攻击力@s的物伤</t>
  </si>
  <si>
    <t>东海龙王向前方发射水炮，对范围内敌人造成自身攻击力@s的物伤，40%几率冰冻目标2秒</t>
  </si>
  <si>
    <t>召唤蛛群结网向敌军推进攻击敌军，对范围内敌人造成主角攻击力@s的物伤</t>
  </si>
  <si>
    <t>蜘蛛精将自身蛛后魔力赋予友军，提升全体友军攻速@s，持续3秒</t>
  </si>
  <si>
    <t>蜘蛛精用自身剧毒对范围内敌人造成自身攻击力@s的物伤，并使敌人中毒，持续6秒</t>
  </si>
  <si>
    <t>召唤沙石漩涡，对范围内敌人造成主角攻击力@s的物伤，并降低敌人@s命中率，持续3秒</t>
  </si>
  <si>
    <t>混世魔王挥舞狼牙棒对单体敌人造成自身攻击力@s的物伤</t>
  </si>
  <si>
    <t>释放蝎子精弹奏的魔音，对全体敌人造成主角攻击力@s的法伤</t>
  </si>
  <si>
    <t>蝎子精发射自身毒刺，对范围内敌人造成自身攻击力@s的法伤，并使敌人中毒，持续6秒</t>
  </si>
  <si>
    <t>召唤冥域鬼火灼烧敌军，对范围内敌人造成主角攻击力@s的法伤，并造成灼烧效果，持续6秒</t>
  </si>
  <si>
    <t>阎罗王用判官笔为敌军写下死亡宣告，对范围内敌人造成攻击力@s的法伤</t>
  </si>
  <si>
    <t>阎罗王用生死令召唤地狱火，对范围内敌人造成自身攻击力@s的法伤，并使敌人所受伤害提升@s，持续3秒</t>
  </si>
  <si>
    <t>用魂灯召唤百魂，对范围内敌人进行3次攻击，造成主角攻击@s的法伤</t>
  </si>
  <si>
    <t>引魂仙子引爆咒魂，对范围内敌人造成自身攻击力@s的法伤，并击飞敌人</t>
  </si>
  <si>
    <t>引魂仙子召唤咒魂诅咒敌军，对范围内敌军造成2次自身攻击力@s的法伤，并降低敌人攻速@s，持续3秒</t>
  </si>
  <si>
    <t>白无常用噬魂幡召唤咒法夺取敌军魂魄，对范围内敌人造成自身攻击力@s的法伤，同时提升自身暴击@s,持续3秒，20%概率盅惑目标</t>
  </si>
  <si>
    <t>白无常将噬魂幡插入地面释放咒法，对范围内敌人进行7次攻击,造成自身攻击力@s的法伤，同时提升自身暴击@s,持续3秒</t>
  </si>
  <si>
    <t>白无常用噬魂幡召唤咒法夺取敌军魂魄，对范围内敌人造成自身攻击力@s的法伤，同时提升自身暴击@s,持续3秒，40%概率盅惑目标</t>
  </si>
  <si>
    <t>释放地府鬼法，为全体友军吸收伤害，最多为友军自身生命值上限@s，持续3秒</t>
  </si>
  <si>
    <t>黑无常挥舞一道剑气斩向敌军，对范围内敌人进行4次攻击,造成自身攻击力@s的物伤，自身进入极速状态，攻速闪避提升20%，并降低敌人攻击力@s，持续3秒</t>
  </si>
  <si>
    <t>黑无常用地府秘法治疗自身，每0.5秒恢复自身生命值上限@s的生命值，持续2秒，清除自身一个不利状态</t>
  </si>
  <si>
    <t>黑无常用地府秘法治疗自身，每0.5秒恢复自身生命值上限@s的生命值，持续2秒，清除自身所有不利状态</t>
  </si>
  <si>
    <t>召唤巨大的人生果砸向敌军，对范围内敌人造成主角攻击力@s的物伤，使目标进入中毒状态</t>
  </si>
  <si>
    <t>人参娃摇动拨浪鼓，对范围内敌人造成自身攻击力@s的物伤</t>
  </si>
  <si>
    <t>人参娃举起拨浪鼓狠狠敲击敌军，对范围内敌人造成自身攻击力@s的物伤，胡来的重锤有40%的概率敲晕目标</t>
  </si>
  <si>
    <t>召唤巨大的人生果砸向敌军，对范围内敌人造成主角攻击力@s的物伤，，使目标进入高级中毒状态</t>
  </si>
  <si>
    <t>人参娃举起拨浪鼓狠狠敲击敌军，对范围内敌人造成自身攻击力@s的物伤，胡来的重锤有60%的概率敲晕目标</t>
  </si>
  <si>
    <t>召唤嗜血玫瑰攻击敌军，对范围内敌人造成主角攻击力@s的法伤</t>
  </si>
  <si>
    <t>女儿国国王跳起剑舞，对范围内敌人造成自身攻击力@s的法伤，20%概率魅惑2秒</t>
  </si>
  <si>
    <t>女儿国国王于敌阵中召唤神剑，对范围内敌人进行3次攻击，造成自身攻击力@s的法伤，对昏迷、冰冻的目标伤害提升15%</t>
  </si>
  <si>
    <t>女儿国国王跳起剑舞，对范围内敌人造成自身攻击力@s的法伤，60%概率魅惑2秒</t>
  </si>
  <si>
    <t>召唤妖蝶迷境，对范围内敌人进行3次攻击，造成主角攻击力@s的法伤，并使敌人中毒，持续6秒</t>
  </si>
  <si>
    <t>彩蝶仙童召唤巨大的蝴蝶飞向敌方，对范围内敌人造成自身攻击力@s的法伤，30%的概率沉默对手2秒</t>
  </si>
  <si>
    <t>彩蝶仙童召唤三只灵蝶，对范围内敌人造成自身攻击力@s的法伤</t>
  </si>
  <si>
    <t>念动圣诫天咒为友军施加护盾，降低全体友军受到伤害@s，持续6秒</t>
  </si>
  <si>
    <t>金蝉子用御法经给自身增加一个生命上限15%的生命护盾</t>
  </si>
  <si>
    <t>自身生命低于30%后，受到伤害减少20%，同时反弹伤害的20%给攻击者</t>
  </si>
  <si>
    <t>金蝉子发动天罡咒印，对范围内敌人进行7次攻击，造成自身攻击力@s的法伤，并降低敌人造成的伤害@s，持续3秒</t>
  </si>
  <si>
    <t>金蝉子给自身增加一个生命上限20%的生命护盾</t>
  </si>
  <si>
    <t>召唤巨大的冰球砸向敌军，对范围内敌人造成主角攻击力@s的法伤，20%的概率冰冻目标2秒</t>
  </si>
  <si>
    <t>龙帝召唤冰球砸向敌军并爆炸，对范围内敌人进行2次攻击，造成自身攻击力@s的法伤，同时提升自身暴击@s,持续3秒</t>
  </si>
  <si>
    <t>召唤巨大的冰球砸向敌军，对范围内敌人造成主角攻击力@s的法伤，40%的概率冰冻目标2秒</t>
  </si>
  <si>
    <t>八部天龙凝聚自身灵能并发射，对范围内敌人造成自身攻击力@s的物伤，嘲讽目标同时提升自身20%的防御，持续2秒</t>
  </si>
  <si>
    <t>将八门护法之力赋予友军，每0.5秒恢复主角攻击力@s的生命值，持续3秒</t>
  </si>
  <si>
    <t>观世音治疗生命值百分比最低的友军，恢复自身攻击力@s的生命值，并清除一个不利状态</t>
  </si>
  <si>
    <t>观世音普渡全体友军，每0.5秒恢复自身攻击力@s的生命值，持续3秒</t>
  </si>
  <si>
    <t>观世音治疗生命值百分比最低的友军，恢复自身攻击力@s的生命值，并清除所有不利状态</t>
  </si>
  <si>
    <t>召唤水雾侵蚀敌军，降低范围内目标@s的命中率，@s的防御，持续3秒</t>
  </si>
  <si>
    <t>墨鱼精挥舞匕首，对范围内目标造成3次自身攻击力@s的伤害</t>
  </si>
  <si>
    <t>墨鱼精对单个敌军发动刺杀，连续对目标造成4次自身攻击力@s的伤害</t>
  </si>
  <si>
    <t>金钱豹王快速旋转形成旋风，对附近目标造成6次自身攻击力@s的伤害</t>
  </si>
  <si>
    <t>金钱豹王跳向目标并发动连环攻击，对目标造成7次自身攻击力@s的伤害</t>
  </si>
  <si>
    <t>快速向扇形范围召唤密集飞箭，对范围内目标造成6次主角攻击力@s的伤害</t>
  </si>
  <si>
    <t>玉面夫人蓄力对目标发射震裂箭对命中目标造成自身攻击力@s的伤害,并击退对手</t>
  </si>
  <si>
    <t>玉面夫人蓄力拉满弓，对目标发动致命一箭对命中目标造成自身攻击力@s的伤害,并击退对手</t>
  </si>
  <si>
    <t>释放金刚之盾，提高范围内队友@s的防御力，持续3秒</t>
  </si>
  <si>
    <t>地藏王召唤金莲，治疗单个队友，恢复自身攻击力@s的生命值</t>
  </si>
  <si>
    <t>地藏王念起梵音咒，对命中目标造成自身攻击力@s的伤害，并降低@s攻击力</t>
  </si>
  <si>
    <t>召唤大范围冰刺，对范围的目标造成主角攻击力@s的伤害，并减少@s对方防御</t>
  </si>
  <si>
    <t>泾河龙王利用水法为自己施加生命护盾，3秒内最多吸收生命上限@s的伤害</t>
  </si>
  <si>
    <t>泾河龙王对附近目标造成自身攻击力@s的伤害，并击退目标</t>
  </si>
  <si>
    <t>用仙灵祝福治疗单个队友，每秒恢复自身攻击力@s的生命值，持续3秒</t>
  </si>
  <si>
    <t>玉兔精将扇子扔向敌军并收回，对命中的目标最多造成2次自身攻击力@s的伤害</t>
  </si>
  <si>
    <t>玉兔精召唤小旋风对目标造成5次自身攻击力@s的伤害</t>
  </si>
  <si>
    <t>召唤地狱火，对范围内目标造成6次主角攻击力@s的伤害</t>
  </si>
  <si>
    <t>赛太岁摇动铃铛，对范围内目标造成自身攻击力@s的伤害，并降低@s防御，持续3秒</t>
  </si>
  <si>
    <t>赛太岁释放火法，对前方目标造成自身攻击力@s的伤害</t>
  </si>
  <si>
    <t>召唤龙卷风，对范围内目标造成5次自身攻击力@s的伤害</t>
  </si>
  <si>
    <t>扇子精对敌方发射魅惑之心，对命中目标造成自身攻击力@s的伤害，并减少@s防御</t>
  </si>
  <si>
    <t>扇子精用扇子发射风团对命中的敌人造成自身攻击力@s的伤害</t>
  </si>
  <si>
    <t>向敌方发射5枚摄魂令，对命中的目标造成主角攻击力@s的伤害，并降低@s的闪避</t>
  </si>
  <si>
    <t>鬼使白对目标发射阎罗令对命中目标造成自身攻击力@s的伤害，并使降低目标@s防御</t>
  </si>
  <si>
    <t>鬼使白对目标发射拘魂令对命中目标造成自身攻击力@s的伤害，并使目标无法行动</t>
  </si>
  <si>
    <t>召唤飞斧对命中的目标造成主角攻击力@s的伤害，并附加流血效果</t>
  </si>
  <si>
    <t>牛头对前方敌军怒吼，对前方目标造成自身攻击力@s的伤害</t>
  </si>
  <si>
    <t>牛头挥舞拳头连续攻击目标，对命中目标造成自身攻击力@s的伤害，并击飞</t>
  </si>
  <si>
    <t>召唤雷电，对范围内目标造成3次主角攻击力@s的伤害，并令目标昏迷1秒</t>
  </si>
  <si>
    <t>雷公以自身为中心，释放雷暴法术对范围内目标造成自身攻击力@s的伤害</t>
  </si>
  <si>
    <t>雷公举起神锤凝聚雷电之力后砸向敌军，对范围内目标造成自身攻击力@s的伤害</t>
  </si>
  <si>
    <t>释放混沌法阵对敌军进行连环轰炸，对范围内目标造成9次主角攻击力@s的伤害</t>
  </si>
  <si>
    <t>混沌召唤死亡飞鸟攻击目标，对命中目标造成自身攻击力@s的伤害</t>
  </si>
  <si>
    <t>混沌召唤巨大的地刺，对范围内目标造成自身攻击力@s的伤害</t>
  </si>
  <si>
    <t>召唤圣光水域对队友治疗，恢复3次主角攻击力@s的生命值</t>
  </si>
  <si>
    <t>白龙公主为己方血量最少的队友施加冰甲，提高@s闪避，持续5秒</t>
  </si>
  <si>
    <t>白龙公主召唤冰刺，对范围内目标造成自身攻击力@s的伤害</t>
  </si>
  <si>
    <t>鬼使黑对目标施展勾魂秘法，对目标造成自身攻击力@s的伤害</t>
  </si>
  <si>
    <t>鬼使黑凝聚法力冲向目标，对路径上的目标造成自身攻击力@s的伤害</t>
  </si>
  <si>
    <t>仙火三尖刃</t>
  </si>
  <si>
    <t>不屈意志</t>
  </si>
  <si>
    <t>二郎神舞动长枪对范围内敌人造成自身攻击力@s的物伤，必定暴击，并造成6秒流血效果</t>
  </si>
  <si>
    <t>奥义·仙火三尖刃</t>
  </si>
  <si>
    <t>进阶+4：激活AI2技能（哪吒舞枪直刺，对范围内敌人造成4次自身攻击力38%的物伤，使目标进入灼烧状态）</t>
  </si>
  <si>
    <t>进阶+4：激活AI2技能（二郎神舞动长枪对范围内敌人造成自身攻击力165%的物伤，必定暴击，并造成6秒流血效果）</t>
  </si>
  <si>
    <t>进阶+4：激活AI2技能（托塔天王用宝塔镇压敌军，对范围内敌人造成自身攻击力150%的伤害，30%概率眩晕对手2秒）</t>
  </si>
  <si>
    <t>进阶+4：激活AI2技能（虎力大仙利用自身内丹治疗自身，每0.5秒恢复自身生命值上限2%的生命值，持续3秒，并清除自身一个不利状态）</t>
  </si>
  <si>
    <t>进阶+4：激活AI2技能（猪八戒释放自身神力，对范围内敌人造成自身攻击力150%的法伤，30%的概率击飞对手2秒）</t>
  </si>
  <si>
    <t>进阶+4：激活AI2技能（弥勒佛用佛法治疗自身，每0.5秒恢复自身生命值上限2%的生命值，持续2秒，并清除自身一个不利状态）</t>
  </si>
  <si>
    <t>进阶+4：激活AI2技能（金蝉子发动天罡咒印，对范围内敌人进行7次攻击，造成自身攻击力21%的法伤，并降低敌人造成的伤害10%，持续3秒）</t>
  </si>
  <si>
    <t>进阶+4：激活AI2技能（牛魔王抡起巨斧旋转，对范围内敌人进行6次攻击，造成自身攻击力25%的物伤，并使敌人受到伤害提升10%，持续3秒）</t>
  </si>
  <si>
    <t>进阶+4：激活AI2技能（孙悟空抡起金箍棒旋转，对范围内敌人进行4次攻击，造成自身攻击力41%的物伤，必定暴击，并造成灼烧效果，持续6秒）</t>
  </si>
  <si>
    <t>进阶+4：激活AI2技能（白无常将噬魂幡插入地面释放咒法，对范围内敌人进行7次攻击,造成自身攻击力21%的法伤，同时提升自身暴击10%,持续3秒）</t>
  </si>
  <si>
    <t>进阶+4：激活AI2技能（沙和尚引爆水流，对范围内敌人进行3次攻击，使敌人受到自身攻击力55%的法伤,并造成流血效果，持续6秒）</t>
  </si>
  <si>
    <t>进阶+4：激活AI2技能（文殊菩萨召唤无数经文，对范围内敌人进行3次攻击，造成攻击力95%的法伤，每次攻击清除敌人1个增益状态）</t>
  </si>
  <si>
    <t>进阶+4：激活AI2技能（龙帝召唤冰球砸向敌军并爆炸，对范围内敌人进行2次攻击，造成自身攻击力75%的法伤，同时提升自身暴击10%,持续3秒）</t>
  </si>
  <si>
    <t>进阶+4：激活AI2技能（嫦娥跳起月刃之舞释放月光之力，治疗全体友军，每0.5秒恢复自身攻击力25%的生命值，持续3秒）</t>
  </si>
  <si>
    <t>进阶+4：激活AI2技能（九天玄女释放自身神光，对范围内敌人造成2次攻击力143%的法伤，每次攻击清除敌人1个增益状态）</t>
  </si>
  <si>
    <t>进阶+4：激活AI2技能（白骨夫人将痛苦之灵附身在敌军身上，对范围内的敌人造成4次攻击力71%的法伤，每次攻击清除敌人1个增益状态）</t>
  </si>
  <si>
    <t>进阶+4：激活AI2技能（观世音普渡全体友军，每0.5秒恢复自身攻击力25%的生命值，持续3秒）</t>
  </si>
  <si>
    <t>进阶+4：激活AI2技能（鹿力大仙快速舞动双环，对范围内敌人进行7次攻击，造成自身攻击力20%的物伤，并提升自身15%攻速，持续3秒）</t>
  </si>
  <si>
    <t>进阶+4：激活AI2技能（红孩儿舞枪对对范围内敌人发动连续9次攻击，造成自身攻击力16%的物伤，对灼烧中的目标提升20%伤害）</t>
  </si>
  <si>
    <t>进阶+4：激活AI2技能（玉皇大帝召唤圣光领域，对范围内敌人造成自身攻击力143%的物伤，并降低敌人闪避率10%，持续3秒）</t>
  </si>
  <si>
    <t>进阶+4：激活AI2技能（东海龙王操控海水，对范围内敌人造成自身攻击力143%的物伤）</t>
  </si>
  <si>
    <t>进阶+4：激活AI2技能（人参娃举起拨浪鼓狠狠敲击敌军，对范围内敌人造成自身攻击力285%的物伤，胡来的重锤有40%的概率敲晕目标）</t>
  </si>
  <si>
    <t>进阶+4：激活AI2技能（六耳猕猴轮舞巨剑形成龙卷风，对范围内敌人进行6次攻击，造成自身攻击力48%的法伤）</t>
  </si>
  <si>
    <t>进阶+4：激活AI2技能（阎罗王用生死令召唤地狱火，对范围内敌人造成自身攻击力143%的法伤，并使敌人所受伤害提升10%，持续3秒）</t>
  </si>
  <si>
    <t>进阶+4：激活AI2技能（蝎子精发射自身毒刺，对范围内敌人造成自身攻击力143%的法伤，并使敌人中毒，持续6秒）</t>
  </si>
  <si>
    <t>进阶+4：激活AI2技能（蜘蛛精用自身剧毒对范围内敌人造成自身攻击力143%的物伤，并使敌人中毒，持续6秒）</t>
  </si>
  <si>
    <t>进阶+4：激活AI2技能（女儿国国王于敌阵中召唤神剑，对范围内敌人进行3次攻击，造成自身攻击力95%的法伤，对昏迷、冰冻的目标伤害提升15%）</t>
  </si>
  <si>
    <t>进阶+4：激活AI2技能（羊力大仙释放灵能，对全体友军每0.5秒产生相当于自身攻击力25%的治疗效果，持续3秒）</t>
  </si>
  <si>
    <t>进阶+4：激活AI2技能（彩蝶仙童召唤三只灵蝶，对范围内敌人造成自身攻击力285%的法伤）</t>
  </si>
  <si>
    <t>进阶+4：激活AI2技能（唐三藏念起紧箍咒，对所有敌人造成自身攻击力285%的法伤，并有40%几率令目标昏迷2秒）</t>
  </si>
  <si>
    <t>进阶+4：激活AI2技能（引魂仙子召唤咒魂诅咒敌军，对范围内敌军造成2次自身攻击力71%的法伤，并降低敌人攻速20%，持续3秒）</t>
  </si>
  <si>
    <t>进阶+4：激活AI2技能（金钱豹王跳向目标并发动连环攻击，对目标造成7次自身攻击力39%的伤害）</t>
  </si>
  <si>
    <t>进阶+4：激活AI2技能（墨鱼精对单个敌军发动刺杀，连续对目标造成4次自身攻击力34%的伤害）</t>
  </si>
  <si>
    <t>进阶+4：激活AI2技能（泾河龙王对附近目标造成自身攻击力135%的伤害，并击退目标）</t>
  </si>
  <si>
    <t>进阶+4：激活AI2技能（牛头挥舞拳头连续攻击目标，对命中目标造成自身攻击力45%的伤害，并击飞）</t>
  </si>
  <si>
    <t>进阶+4：激活AI2技能（地藏王念起梵音咒，对命中目标造成自身攻击力135%的伤害，并降低10%攻击力）</t>
  </si>
  <si>
    <t>进阶+4：激活AI2技能（鬼使黑凝聚法力冲向目标，对路径上的目标造成自身攻击力135%的伤害）</t>
  </si>
  <si>
    <t>进阶+4：激活AI2技能（雷公举起神锤凝聚雷电之力后砸向敌军，对范围内目标造成自身攻击力135%的伤害）</t>
  </si>
  <si>
    <t>进阶+4：激活AI2技能（鬼使白对目标发射拘魂令对命中目标造成自身攻击力135%的伤害，并使目标无法行动）</t>
  </si>
  <si>
    <t>进阶+4：激活AI2技能（赛太岁释放火法，对前方目标造成自身攻击力45%的伤害）</t>
  </si>
  <si>
    <t>进阶+4：激活AI2技能（混沌召唤巨大的地刺，对范围内目标造成自身攻击力135%的伤害）</t>
  </si>
  <si>
    <t>进阶+4：激活AI2技能（白龙公主召唤冰刺，对范围内目标造成自身攻击力135%的伤害）</t>
  </si>
  <si>
    <t>进阶+4：激活AI2技能（玉兔精召唤小旋风对目标造成5次自身攻击力54%的伤害）</t>
  </si>
  <si>
    <t>进阶+4：激活AI2技能（玉面夫人蓄力拉满弓，对目标发动致命一箭对命中目标造成自身攻击力135%的伤害,并击退对手）</t>
  </si>
  <si>
    <t>进阶+4：激活AI2技能（扇子精用扇子发射风团对命中的敌人造成自身攻击力135%的伤害）</t>
  </si>
  <si>
    <t>进阶+9：全队攻击提高15%</t>
  </si>
  <si>
    <t>进阶+10：增强AI2技能（哪吒舞枪直刺，对范围内敌人造成4次自身攻击力53%的物伤，使目标进入灼烧状态）</t>
  </si>
  <si>
    <t>进阶+10：增强AI2技能（二郎神舞动长枪对范围内敌人造成自身攻击力231%的物伤，必定暴击，并造成6秒高级流血效果）</t>
  </si>
  <si>
    <t>进阶+9：全队生命，防御提高15%</t>
  </si>
  <si>
    <t>进阶+10：增强AI2技能（托塔天王用宝塔镇压敌军，对范围内敌人造成自身攻击力210%的伤害，60%概率眩晕对手2秒）</t>
  </si>
  <si>
    <t>进阶+10：增强AI2技能（虎力大仙利用自身内丹治疗自身，每0.5秒恢复自身生命值上限3%的生命值，持续3秒，并清除自身所有不利状态）</t>
  </si>
  <si>
    <t>进阶+10：增强AI2技能（猪八戒释放自身神力，对范围内敌人造成自身攻击力210%的法伤，60%的概率击飞对手2秒）</t>
  </si>
  <si>
    <t>进阶+10：增强AI2技能（弥勒佛用佛法治疗自身，每0.5秒恢复自身生命值上限3%的生命值，持续2秒，并清除自身所有不利状态）</t>
  </si>
  <si>
    <t>进阶+10：增强AI2技能（金蝉子发动天罡咒印，对范围内敌人进行7次攻击，造成自身攻击力30%的法伤，并降低敌人造成的伤害15%，持续3秒）</t>
  </si>
  <si>
    <t>进阶+10：增强AI2技能（牛魔王抡起巨斧旋转，对范围内敌人进行6次攻击，造成自身攻击力35%的物伤，并使敌人受到伤害提升15%，持续3秒）</t>
  </si>
  <si>
    <t>进阶+10：增强AI2技能（孙悟空抡起金箍棒旋转，对范围内敌人进行4次攻击，造成自身攻击力58%的物伤，必定暴击，并造成灼烧效果，持续6秒）</t>
  </si>
  <si>
    <t>进阶+10：增强AI2技能（王母于地面释放凤凰焚焰，对范围内敌人造成自身攻击力231%的法伤，并造成灼烧效果，持续6秒）</t>
  </si>
  <si>
    <t>进阶+10：增强AI2技能（白无常将噬魂幡插入地面释放咒法，对范围内敌人进行7次攻击,造成自身攻击力30%的法伤，同时提升自身暴击15%,持续3秒）</t>
  </si>
  <si>
    <t>进阶+10：增强AI2技能（沙和尚引爆水流，对范围内敌人进行3次攻击，使敌人受到自身攻击力77%的法伤,并造成流血效果，持续6秒）</t>
  </si>
  <si>
    <t>进阶+10：增强AI2技能（文殊菩萨召唤无数经文，对范围内敌人进行3次攻击，造成攻击力107%的法伤，并清除敌人所有增益状态）</t>
  </si>
  <si>
    <t>进阶+10：增强AI2技能（龙帝召唤冰球砸向敌军并爆炸，对范围内敌人进行2次攻击，造成自身攻击力70%的法伤，同时提升自身暴击15%,持续3秒）</t>
  </si>
  <si>
    <t>进阶+10：增强AI2技能（九天玄女释放自身神光，对范围内敌人造成2次攻击力160%的法伤，清除敌人所有增益状态）</t>
  </si>
  <si>
    <t>进阶+10：增强AI2技能（白骨夫人将痛苦之灵附身在敌军身上，对范围内的敌人造成4次攻击力80%的法伤，清除敌人所有增益状态）</t>
  </si>
  <si>
    <t>进阶+10：增强AI2技能（鹿力大仙快速舞动双环，对范围内敌人进行7次攻击，造成自身攻击力29%的物伤，并提升自身15%攻速，持续3秒）</t>
  </si>
  <si>
    <t>进阶+10：增强AI2技能（红孩儿舞枪对对范围内敌人发动连续9次攻击，造成自身攻击力22%的物伤，对灼烧中的目标提升30%伤害）</t>
  </si>
  <si>
    <t>进阶+10：增强AI2技能（玉皇大帝召唤圣光领域，对范围内敌人造成自身攻击力200%的物伤，并降低敌人闪避率20%，持续3秒）</t>
  </si>
  <si>
    <t>进阶+10：增强AI2技能（东海龙王操控海水，对范围内敌人造成自身攻击力200%的物伤）</t>
  </si>
  <si>
    <t>进阶+10：增强AI2技能（人参娃举起拨浪鼓狠狠敲击敌军，对范围内敌人造成自身攻击力342%的物伤，胡来的重锤有60%的概率敲晕目标）</t>
  </si>
  <si>
    <t>进阶+10：增强AI2技能（六耳猕猴轮舞巨剑形成龙卷风，对范围内敌人进行6次攻击，造成自身攻击力57%的法伤）</t>
  </si>
  <si>
    <t>进阶+10：增强AI2技能（阎罗王用生死令召唤地狱火，对范围内敌人造成自身攻击力200%的法伤，并使敌人所受伤害提升15%，持续3秒）</t>
  </si>
  <si>
    <t>进阶+10：增强AI2技能（蝎子精发射自身毒刺，对范围内敌人造成自身攻击力200%的法伤，并使敌人中毒，持续6秒）</t>
  </si>
  <si>
    <t>进阶+10：增强AI2技能（蜘蛛精用自身剧毒对范围内敌人造成自身攻击力200%的物伤，并使敌人中毒，持续6秒）</t>
  </si>
  <si>
    <t>进阶+10：增强AI2技能（女儿国国王于敌阵中召唤神剑，对范围内敌人进行3次攻击，造成自身攻击力114%的法伤，对昏迷、冰冻的目标伤害提升15%）</t>
  </si>
  <si>
    <t>进阶+10：增强AI2技能（彩蝶仙童召唤三只灵蝶，对范围内敌人造成自身攻击力171%的法伤）</t>
  </si>
  <si>
    <t>进阶+10：增强AI2技能（引魂仙子召唤咒魂诅咒敌军，对范围内敌军造成2次自身攻击力50%的法伤，并降低敌人攻速20%，持续3秒）</t>
  </si>
  <si>
    <t>进阶+4：激活AI2技能（迦叶用佛光治疗自身，每0.5秒恢复自身生命值上限2%的生命值，持续2秒）</t>
  </si>
  <si>
    <t>进阶+10：增强AI2技能（迦叶用佛光治疗自身，每0.5秒恢复自身生命值上限2%的生命值，持续2秒）</t>
  </si>
  <si>
    <t>棍出如龙，对敌人进行3次攻击，造成自身攻击力@s的物伤，并使敌人受到的伤害增加@s，持续3秒</t>
  </si>
  <si>
    <t>神挡杀神，对范围内敌人进行7次攻击，造成自身攻击力@s的物伤，必定暴击，造成6秒流血效果</t>
  </si>
  <si>
    <t>棍出如龙，对范围内敌人进行3次攻击，造成自身攻击力@s的物伤，并增加敌人受到的伤害@s，持续3秒</t>
  </si>
  <si>
    <t>神挡杀神，对范围内敌人进行7次攻击，造成自身攻击力@s的物伤，必定暴击，造成6秒高级流血效果</t>
  </si>
  <si>
    <t>对范围内的敌人造成自身攻击力@s的法伤，并造成流血效果，持续6秒</t>
  </si>
  <si>
    <t>对范围内的敌人造成自身攻击力@s的法伤，寒力爆开40%的概率冰封目标2秒</t>
  </si>
  <si>
    <t>对范围内的敌人造成自身攻击力@s的法伤</t>
  </si>
  <si>
    <t>对范围内的敌人造成自身攻击力@s的法伤，寒力爆开60%的概率冰封目标2秒</t>
  </si>
  <si>
    <t>对范围内敌人造成4次主角攻击力@s的物伤，并昏迷敌人2秒</t>
  </si>
  <si>
    <t>释放二郎真君领域，对敌军造成3次主角攻击力@s的物伤，每次21%的概率昏迷敌人2秒，对流血状态目标暴击率提高20%</t>
  </si>
  <si>
    <t>召唤哪吒本命火莲花对范围内敌人进行2次攻击，造成主角攻击力@s的物伤，对流血状态目标提升10%伤害</t>
  </si>
  <si>
    <t>牛魔王举斧砸向前方，对范围内敌人造成3次自身攻击力@s的物伤，每次有20%的几率敲晕目标2秒</t>
  </si>
  <si>
    <t>牛魔王举斧砸向前方，对范围内敌人造成3次自身攻击力@s的物伤，每次27%的几率敲晕目标3秒</t>
  </si>
  <si>
    <t>释放天蓬元帅之力，以神威护体，所有目标有30%的概率进入无敌状态，持续2秒</t>
  </si>
  <si>
    <t>释放天蓬元帅之力，以神威护体，所有目标有50%的概率进入无敌状态，持续2秒</t>
  </si>
  <si>
    <t>召唤齐天大圣之魂，对范围内敌人造成4次主角攻击力@s的物伤，每次有16%的概率昏迷敌人2秒，对灼烧目标攻击伤害提升10%</t>
  </si>
  <si>
    <t>召唤齐天大圣之魂，对范围内敌人造成4次主角攻击力@s的物伤，每次有21%的概率昏迷敌人3秒，对灼烧状态目标攻击伤害提升20%，对减防状态目标无视其20%闪避</t>
  </si>
  <si>
    <t>召唤五道神光，对全屏范围内敌人进行3次攻击，造成主角攻击力@s的物伤，每次有11%的概率沉默敌方2秒</t>
  </si>
  <si>
    <t>召唤玲珑宝塔笼罩所有友军，降低全体友军受到伤害@s，有30%概率给目标增加5层格挡，持续3秒</t>
  </si>
  <si>
    <t>召唤玲珑宝塔笼罩所有友军，降低全体友军受到伤害@s，有50%概率给目标增加5层格挡，持续3秒</t>
  </si>
  <si>
    <t>虎力大仙蓄力咆哮，对范围内敌人造成自身攻击力@s的物伤，嘲讽对手普攻击自己并使敌人造成的伤害降低@s，持续3秒</t>
  </si>
  <si>
    <t>小白龙舞枪对范围内敌人进行2次攻击，造成自身攻击力@s的物伤，每次有11%的概率震晕目标</t>
  </si>
  <si>
    <t>小白龙舞枪对范围内敌人进行2次攻击，造成自身攻击力@s的物伤，每次有23%的概率震晕目标</t>
  </si>
  <si>
    <t>唐三藏念起紧箍咒，对所有敌人造成3次自身攻击力@s的法伤，每次有20%几率令目标昏迷2秒</t>
  </si>
  <si>
    <t>迦叶蓄力挥拳，对范围内敌人进行3次攻击，每次有11%的概率击晕对手</t>
  </si>
  <si>
    <t>迦叶蓄力挥拳，对范围内敌人进行3次攻击，造成自身攻击力@s的物伤，每次有27%的概率击晕对手</t>
  </si>
  <si>
    <t>弥勒佛用佛光普照大地，对范围内敌人造成自身攻击力@s的物伤，嘲讽普攻自己并降低敌人造成的伤害@s，持续3秒</t>
  </si>
  <si>
    <t>弥勒佛用佛光普照大地，对范围内敌人造成自身攻击力@s的物伤，嘲讽普攻自己敌人并降低敌人造成的伤害@s，持续3秒</t>
  </si>
  <si>
    <t>混世魔王发动短距离重逢，对范围内敌人造成自身攻击力@s的物伤，40%的概率撞晕对手</t>
  </si>
  <si>
    <t>混世魔王发动短距离重逢，对范围内敌人造成自身攻击力@s的物伤，60%的概率撞晕对手</t>
  </si>
  <si>
    <t>蝎子精拨弦产生一道旋风，对范围内敌人造成自身攻击力@s的法伤，20%的概率魅惑目标2秒</t>
  </si>
  <si>
    <t>蝎子精拨弦产生一道旋风，对范围内敌人造成自身攻击力@s的法伤，40%的概率魅惑目标2秒</t>
  </si>
  <si>
    <t>龙帝召唤极寒冰域，对范围内敌人进行2次攻击，造成自身攻击力@s的法伤，每次有20%的概率冰冻目标2秒</t>
  </si>
  <si>
    <t>龙帝召唤极寒冰域，对范围内敌人进行2次攻击，造成自身攻击力@s的法伤，每次有23%的概率冰冻目标2秒</t>
  </si>
  <si>
    <t>凝聚神龙之力，发动大范围水爆，对范围内敌人进行3次攻击，造成主角攻击力@s的物伤，每次有11%的概率沉默敌方2秒</t>
  </si>
  <si>
    <t>八部天龙凝聚自身灵能并发射，对范围内敌人造成自身攻击力@s的物伤，嘲讽目标攻击自己同时提升自身10%的防御，持续2秒</t>
  </si>
  <si>
    <t>进入战斗全体增加10%的防御</t>
  </si>
  <si>
    <t>进阶+4：激活AI2技能（神挡杀神，对范围内敌人进行7次攻击，造成自身攻击力24%的物伤，必定暴击，造成6秒流血效果）</t>
  </si>
  <si>
    <t>进阶+10：增强AI2技能（神挡杀神，对范围内敌人进行7次攻击，造成自身攻击力33%的物伤，必定暴击，造成6秒高级流血效果）</t>
  </si>
  <si>
    <t>进阶+2：激活被动技能（进入战斗全体增加10%的防御）</t>
  </si>
  <si>
    <t>进阶+4：激活AI2技能（混世魔王发动短距离重逢，对范围内敌人造成自身攻击力285%的物伤，40%的概率撞晕对手）</t>
  </si>
  <si>
    <t>进阶+10：增强AI2技能（混世魔王发动短距离重逢，对范围内敌人造成自身攻击力342%的物伤，60%的概率撞晕对手）</t>
  </si>
  <si>
    <t>进阶+4：激活AI2技能（对范围内的敌人造成自身攻击力143%的法伤，寒力爆开40%的概率冰封目标2秒）</t>
  </si>
  <si>
    <t>进阶+10：增强AI2技能（对范围内的敌人造成自身攻击力200%的法伤，寒力爆开60%的概率冰封目标2秒）</t>
  </si>
  <si>
    <t>进阶+10：增强AI2技能（唐三藏念起紧箍咒，对所有敌人造成3次自身攻击力114%的法伤，每次有20%几率令目标昏迷2秒）</t>
  </si>
  <si>
    <t>释放牛魔王扭转乾坤之法，对范围内敌人进行3次攻击，造成主角攻击力@s的物伤,造成目标灼烧效果，持续6秒</t>
  </si>
  <si>
    <t>释放牛魔王扭转乾坤之法，对范围内敌人进行3次攻击，造成主角攻击力@s的物伤，造成目标高级灼烧效果，持续6秒</t>
  </si>
  <si>
    <t>铁扇公主召唤龙卷风，对范围内敌人造成自身攻击力@s的法伤，同时提升自身暴击@s,持续3秒,有30%概率吹飞对手</t>
  </si>
  <si>
    <t>铁扇公主召唤龙卷风，对范围内敌人造成自身攻击力@s的法伤，同时提升自身暴击@s,持续3秒,有60%概率吹飞对手</t>
  </si>
  <si>
    <t>召唤大圣之前世，对范围内敌人进行7次攻击，造成3次主角攻击力@s的法伤,同时提升自身@s的法伤，持续3秒，对处于灼烧状态的目标增加20%的伤害</t>
  </si>
  <si>
    <t>释放噬魂幡咒法攻击敌军，对范围内敌人造成主角攻击力@s的法伤,造成流血状态6秒</t>
  </si>
  <si>
    <t>释放噬魂幡咒法攻击敌军，对范围内敌人造成主角攻击力@s的法伤,造成高级流血状态6秒</t>
  </si>
  <si>
    <t>进入战斗场景时，闪避上升@s</t>
  </si>
  <si>
    <t>进阶+6：增强主角技能（召唤哪吒本命火莲花对范围内敌人进行2次攻击，造成主角攻击力300%的物伤，对流血状态目标提示20%伤害）</t>
  </si>
  <si>
    <t>进阶+8：增强AI1技能（哪吒于枪尖凝聚能量并引爆，对范围内敌人造成4次自身攻击力53%的物伤，并使敌人受到伤害提升15%，持续3秒）</t>
  </si>
  <si>
    <t>进阶+8：增强AI1技能（棍出如龙，对范围内敌人进行3次攻击，造成自身攻击力77%的物伤，并增加敌人受到的伤害15%，持续3秒）</t>
  </si>
  <si>
    <t>进阶+8：增强AI1技能（二郎神用天眼发射激光对范围内敌军进行2次攻击，造成自身攻击力116%的物伤，并提升敌军所受伤害15%，持续3秒）</t>
  </si>
  <si>
    <t>进阶+6：增强主角技能（召唤玲珑宝塔笼罩所有友军，降低全体友军受到伤害40%，有50%概率给目标增加5层格挡，持续3秒）</t>
  </si>
  <si>
    <t>进阶+8：增强AI1技能（托塔天王释放自身天王之力形成护盾，提升自身防御力40%，进入霸体状态，持续3秒）</t>
  </si>
  <si>
    <t>进阶+6：增强主角技能（释放虎力大仙野性护盾，为全体友军吸收伤害，最多为友军自身生命值上限40%，持续3秒）</t>
  </si>
  <si>
    <t>进阶+8：增强AI1技能（虎力大仙蓄力咆哮，对范围内敌人造成自身攻击力210%的物伤，嘲讽对手普攻击自己并使敌人造成的伤害降低15%，持续3秒）</t>
  </si>
  <si>
    <t>进阶+6：增强主角技能（释放天蓬元帅之力，以神威护体，所有目标有50%的概率进入无敌状态，持续2秒）</t>
  </si>
  <si>
    <t>进阶+8：增强AI1技能（猪八戒以天神仙力护体，提升自身防御力40%，持续6秒，自身60%的概率进入无敌状态，持续2秒）</t>
  </si>
  <si>
    <t>进阶+6：增强主角技能（为全体友军召唤护体光球吸收伤害，最多为友军自身生命值上限40%，持续3秒）</t>
  </si>
  <si>
    <t>进阶+8：增强AI1技能（弥勒佛用佛光普照大地，对范围内敌人造成自身攻击力210%的物伤，嘲讽普攻自己敌人并降低敌人造成的伤害15%，持续3秒）</t>
  </si>
  <si>
    <t>进阶+6：增强主角技能（念动圣诫天咒为友军施加护盾，降低全体友军受到伤害40%，持续6秒）</t>
  </si>
  <si>
    <t>进阶+8：增强AI1技能（金蝉子给自身增加一个生命上限20%的生命护盾）</t>
  </si>
  <si>
    <t>进阶+2：激活被动技能（进入战斗场景时，闪避上升20%）</t>
  </si>
  <si>
    <t>进阶+8：增强AI1技能（黑无常挥舞一道剑气斩向敌军，对范围内敌人进行4次攻击,造成自身攻击力70%的物伤，自身进入极速状态，攻速闪避提升20%，并降低敌人攻击力15%，持续3秒）</t>
  </si>
  <si>
    <t>进阶+6：增强主角技能（释放牛魔王扭转乾坤之法，对范围内敌人进行3次攻击，造成主角攻击力200%的物伤，造成目标高级灼烧效果，持续6秒）</t>
  </si>
  <si>
    <t>进阶+8：增强AI1技能（牛魔王举斧砸向前方，对范围内敌人造成3次自身攻击力70%的物伤，每次27%的几率敲晕目标3秒）</t>
  </si>
  <si>
    <t>进阶+6：增强主角技能（召唤齐天大圣之魂，对范围内敌人造成4次主角攻击力99%的物伤，每次有21%的概率昏迷敌人3秒，对灼烧状态目标攻击伤害提升20%，对减防状态目标无视其20%闪避）</t>
  </si>
  <si>
    <t>进阶+8：增强AI1技能（孙悟空舞棒砸地，对范围内敌人进行2次攻击，造成自身攻击力116%的物伤，并使敌人受到的伤害增加15%，持续3秒）</t>
  </si>
  <si>
    <t>进阶+6：增强主角技能（于敌军上空释放地狱冥焰，对范围内敌人进行6次攻击，造成主角攻击力66%的法伤，并提升自身法伤20%，持续3秒，目标处于灼烧状态无视20%的法防）</t>
  </si>
  <si>
    <t>进阶+8：增强AI1技能（王母召唤火球释放圣洁烈焰对范围内敌人进行3次攻击，造成自身攻击力77%的法伤，并使敌人受到的伤害增加15%，持续3秒）</t>
  </si>
  <si>
    <t>进阶+6：增强主角技能（释放噬魂幡咒法攻击敌军，对范围内敌人造成主角攻击力600%的法伤,造成高级流血状态6秒）</t>
  </si>
  <si>
    <t>进阶+8：增强AI1技能（白无常用噬魂幡召唤咒法夺取敌军魂魄，对范围内敌人造成自身攻击力210%的法伤，同时提升自身暴击15%,持续3秒，40%概率盅惑目标）</t>
  </si>
  <si>
    <t>进阶+6：增强主角技能（释放大范围水法，对范围内敌人造成主角攻击力396%的法伤,同时提升自身法伤20%，持续3秒，对处于流血状态的目标降低20%的物理防御）</t>
  </si>
  <si>
    <t>进阶+8：增强AI1技能（沙和尚召唤巨浪，对范围内敌人进行2次攻击，造成自身攻击力116%的法伤，并使敌人受到的伤害增加15%，持续3秒）</t>
  </si>
  <si>
    <t>进阶+6：增强主角技能（释放大范围佛光治疗全体友军，每0.5秒恢复主角攻击力50%的生命值，持续3秒）</t>
  </si>
  <si>
    <t>进阶+8：增强AI1技能（文殊菩萨召唤佛光治疗阵，治疗生命值百分比最低的友军，恢复自身攻击力342%的生命值）</t>
  </si>
  <si>
    <t>进阶+6：增强主角技能（召唤巨大的冰球砸向敌军，对范围内敌人造成主角攻击力600%的法伤，40%的概率冰冻目标2秒）</t>
  </si>
  <si>
    <t>进阶+8：增强AI1技能（龙帝召唤极寒冰域，对范围内敌人进行2次攻击，造成自身攻击力105%的法伤，每次有23%的概率冰冻目标2秒）</t>
  </si>
  <si>
    <t>进阶+6：增强主角技能（凝聚神龙之力，发动大范围水爆，对范围内敌人进行3次攻击，造成主角攻击力200%的物伤，每次有11%的概率沉默敌方2秒）</t>
  </si>
  <si>
    <t>进阶+8：增强AI1技能（八部天龙凝聚自身灵能并发射，对范围内敌人造成自身攻击力210%的物伤，嘲讽目标同时提升自身20%的防御，持续2秒）</t>
  </si>
  <si>
    <t>进阶+6：增强主角技能（释放辉月之力，治疗全体友军，每0.5秒恢复主角攻击力50%的生命值，持续3秒）</t>
  </si>
  <si>
    <t>进阶+8：增强AI1技能（嫦娥为治疗生命值百分比最低的友军施加月光祝福，恢复自身攻击力360%的生命值，并清除全部不利状态）</t>
  </si>
  <si>
    <t>进阶+10：增强AI2技能（嫦娥跳起月刃之舞释放月光之力，治疗全体友军，每0.5秒恢复自身攻击力10%的生命值，持续3秒）</t>
  </si>
  <si>
    <t>进阶+6：增强主角技能（释放大范围治疗法术，治疗全体友军，每0.5秒恢复主角攻击力50%的生命值，持续3秒）</t>
  </si>
  <si>
    <t>进阶+8：增强AI1技能（九天玄女用九蕴灵光治疗生命值百分比最低的友军，恢复自身攻击力342%的生命值）</t>
  </si>
  <si>
    <t>进阶+4：激活AI2技能（铁扇公主召唤龙卷风，对范围内敌人造成自身攻击力150%的法伤，同时提升自身暴击10%,持续3秒,有30%概率吹飞对手）</t>
  </si>
  <si>
    <t>进阶+6：增强主角技能（召唤暴风对范围内敌人进行7次攻击，造成造成主角攻击力86%的法伤，降低目标20%的闪避）</t>
  </si>
  <si>
    <t>进阶+8：增强AI1技能（铁扇公主召唤风雷领域，对范围内敌人进行2次攻击，造成自身攻击力105%的法伤，提升自身暴击15%,持续3秒）</t>
  </si>
  <si>
    <t>进阶+10：增强AI2技能（铁扇公主召唤龙卷风，对范围内敌人造成自身攻击力210%的法伤，同时提升自身暴击15%,持续3秒,有60%概率吹飞对手）</t>
  </si>
  <si>
    <t>进阶+6：增强主角技能（释放枯骨逢春秘法，治疗全体友军，每0.5秒恢复主角攻击力50%的生命值，持续3秒）</t>
  </si>
  <si>
    <t>进阶+8：增强AI1技能（白骨夫人治疗生命值百分比最低的友军，恢复自身攻击力342%的生命值）</t>
  </si>
  <si>
    <t>进阶+8：增强AI1技能（剑出飞鸾，对范围内敌人进行3次攻击，造成自身攻击力77%的法伤，并增加敌人受到的伤害15%，持续3秒）</t>
  </si>
  <si>
    <t>进阶+6：增强主角技能（将八门护法之力赋予友军，每0.5秒恢复主角攻击力50%的生命值，持续3秒）</t>
  </si>
  <si>
    <t>进阶+8：增强AI1技能（观世音治疗生命值百分比最低的友军，恢复自身攻击力360%的生命值，并清除所有不利状态）</t>
  </si>
  <si>
    <t>进阶+10：增强AI2技能（观世音普渡全体友军，每0.5秒恢复自身攻击力10%的生命值，持续3秒）</t>
  </si>
  <si>
    <t>进阶+6：增强主角技能（将鹿力大仙灵力赋予全队，提升全体友军10%的攻击速度和10%的命中率，持续3秒）</t>
  </si>
  <si>
    <t>进阶+8：增强AI1技能（鹿力大仙掷出双环，对范围内敌人造成3次自身攻击力114%的物伤）</t>
  </si>
  <si>
    <t>进阶+6：增强主角技能（召唤巨大的陨石，对范围内敌人造成主角攻击力342%的物伤，被陨石砸中有60%的几率昏迷）</t>
  </si>
  <si>
    <t>进阶+8：增强AI1技能（红孩儿对前方敌人持续喷射火焰，对敌人造成4次自身攻击力50%的物伤，并造成灼烧效果，持续6秒）</t>
  </si>
  <si>
    <t>进阶+6：增强主角技能（召唤五道神光，对全屏范围内敌人进行3次攻击，造成主角攻击力190%的物伤，每次有11%的概率沉默敌方2秒）</t>
  </si>
  <si>
    <t>进阶+8：增强AI1技能（玉皇大帝将仙力注入大地，对范围内的敌人造成自身攻击力200%的物伤）</t>
  </si>
  <si>
    <t>进阶+6：增强主角技能（召唤龙王千年龙鳞护体，降低全体友军受到的伤害10%，并进入霸体状态，持续3秒）</t>
  </si>
  <si>
    <t>进阶+8：增强AI1技能（东海龙王向前方发射水炮，对范围内敌人造成自身攻击力342%的物伤，40%几率冰冻目标2秒）</t>
  </si>
  <si>
    <t>进阶+6：增强主角技能（召唤沙石漩涡，对范围内敌人造成主角攻击力342%的物伤，并降低敌人20%命中率，持续3秒）</t>
  </si>
  <si>
    <t>进阶+8：增强AI1技能（混世魔王挥舞狼牙棒对单体敌人造成自身攻击力200%的物伤）</t>
  </si>
  <si>
    <t>进阶+6：增强主角技能（释放天罡正气护盾，降低全体友军受到的伤害20%，持续6秒）</t>
  </si>
  <si>
    <t>进阶+8：增强AI1技能（迦叶蓄力挥拳，对范围内敌人进行3次攻击，造成自身攻击力114%的物伤，每次有27%的概率击晕对手）</t>
  </si>
  <si>
    <t>进阶+6：增强主角技能（召唤巨大的人生果砸向敌军，对范围内敌人造成主角攻击力570%的物伤，，使目标进入高级中毒状态）</t>
  </si>
  <si>
    <t>进阶+8：增强AI1技能（人参娃摇动拨浪鼓，对范围内敌人造成自身攻击力114%的物伤）</t>
  </si>
  <si>
    <t>进阶+4：激活AI2技能（小白龙舞枪直刺，对范围内敌人造成自身攻击力143%的物伤，同时提升自身暴击10%，持续3秒）</t>
  </si>
  <si>
    <t>进阶+6：增强主角技能（召唤大型水龙卷，对范围内敌人进行3次攻击，造成主角攻击力190%的物伤）</t>
  </si>
  <si>
    <t>进阶+8：增强AI1技能（小白龙舞枪对范围内敌人进行2次攻击，造成自身攻击力100%的物伤，每次有23%的概率震晕目标）</t>
  </si>
  <si>
    <t>进阶+10：增强AI2技能（小白龙舞枪直刺，对范围内敌人造成自身攻击力200%的物伤，同时提升自身暴击10%，持续3秒）</t>
  </si>
  <si>
    <t>进阶+6：增强主角技能（召唤玄光伏魔阵，对范围内敌人进行5次攻击，造成主角攻击力68%的法伤，并降低敌人命中率10%，持续3秒）</t>
  </si>
  <si>
    <t>进阶+8：增强AI1技能（六耳猕猴舞剑对范围内敌人造成自身攻击力200%的法伤，同时提升自身10%闪避率，持续3秒）</t>
  </si>
  <si>
    <t>进阶+6：增强主角技能（召唤冥域鬼火灼烧敌军，对范围内敌人造成主角攻击力342%的法伤，并造成灼烧效果，持续6秒）</t>
  </si>
  <si>
    <t>进阶+8：增强AI1技能（阎罗王用判官笔为敌军写下死亡宣告，对范围内敌人造成攻击力200%的法伤）</t>
  </si>
  <si>
    <t>进阶+6：增强主角技能（释放蝎子精弹奏的魔音，对全体敌人造成主角攻击力570%的法伤）</t>
  </si>
  <si>
    <t>进阶+8：增强AI1技能（蝎子精拨弦产生一道旋风，对范围内敌人造成自身攻击力342%的法伤，40%的概率魅惑目标2秒）</t>
  </si>
  <si>
    <t>进阶+6：增强主角技能（召唤蛛群结网向敌军推进攻击敌军，对范围内敌人造成主角攻击力570%的物伤）</t>
  </si>
  <si>
    <t>进阶+8：增强AI1技能（蜘蛛精将自身蛛后魔力赋予友军，提升全体友军攻速15%，持续3秒）</t>
  </si>
  <si>
    <t>进阶+6：增强主角技能（召唤嗜血玫瑰攻击敌军，对范围内敌人造成主角攻击力570%的法伤）</t>
  </si>
  <si>
    <t>进阶+8：增强AI1技能（女儿国国王跳起剑舞，对范围内敌人造成自身攻击力342%的法伤，60%概率魅惑2秒）</t>
  </si>
  <si>
    <t>进阶+6：增强主角技能（提升范围内友军10%的伤害和攻击速度，持续3秒）</t>
  </si>
  <si>
    <t>进阶+8：增强AI1技能（对范围内的敌人造成自身攻击力200%的法伤）</t>
  </si>
  <si>
    <t>进阶+6：增强主角技能（施展万物复苏之法，治疗全体友军，每0.5秒恢复主角攻击力50%的生命值，持续3秒）</t>
  </si>
  <si>
    <t>进阶+8：增强AI1技能（羊力大仙为生命值百分比最低的友军释放治愈之光，恢复自身攻击力360%的生命值，并清除所有不利状态）</t>
  </si>
  <si>
    <t>进阶+10：增强AI2技能（羊力大仙释放灵能，对全体友军每0.5秒产生相当于自身攻击力10%的治疗效果，持续3秒）</t>
  </si>
  <si>
    <t>进阶+6：增强主角技能（召唤妖蝶迷境，对范围内敌人进行3次攻击，造成主角攻击力114%的法伤，并使敌人中毒，持续6秒）</t>
  </si>
  <si>
    <t>进阶+8：增强AI1技能（彩蝶仙童召唤巨大的蝴蝶飞向敌方，对范围内敌人造成自身攻击力342%的法伤，30%的概率沉默对手2秒）</t>
  </si>
  <si>
    <t>进阶+6：增强主角技能（释放佛法为全体友军吸收伤害，最多为友军自身生命值上限10%，持续3秒）</t>
  </si>
  <si>
    <t>进阶+8：增强AI1技能（唐三藏召唤佛光攻击目标，对范围内敌人造成自身攻击力200%的伤害，同时降低自身受到伤害20%，持续3秒）</t>
  </si>
  <si>
    <t>进阶+6：增强主角技能（用魂灯召唤百魂，对范围内敌人进行3次攻击，造成主角攻击143%的法伤）</t>
  </si>
  <si>
    <t>进阶+8：增强AI1技能（引魂仙子引爆咒魂，对范围内敌人造成自身攻击力200%的法伤，并击飞敌人）</t>
  </si>
  <si>
    <t>进阶+6：增强主角技能（召唤赤脚大仙神兵，对范围内敌人进行2次攻击,造成主角攻击力171%的法伤，并降低命中率10%，持续3秒）</t>
  </si>
  <si>
    <t>进阶+8：增强AI1技能（赤脚大仙爆发自身真元之力，治疗自身，每0.5秒恢复自身生命值上限2%的生命值，持续2秒）</t>
  </si>
  <si>
    <t>刃甲</t>
  </si>
  <si>
    <t>被攻击有20%概率反弹20%受到的伤害</t>
  </si>
  <si>
    <t>一棍定乾坤，对范围内敌人造成主角攻击力@s的物伤，50%概率昏迷敌人2秒，若对方处于被控制状态，无视对方10%的物理防御</t>
  </si>
  <si>
    <t>一棍定乾坤，对范围内敌人造成主角攻击力@s的物伤，60%概率昏迷敌人3秒，若对方被控制状态，若对方处于眩晕状态,无视对方20%的物理防御和抗暴</t>
  </si>
  <si>
    <t>赤脚大仙，跳向目标发动连续攻击，对范围内敌人进行3次攻击,造成自身攻击力@s的法伤</t>
  </si>
  <si>
    <t>八部天龙怒吼并引爆自身灵能，对范围内敌人造成自身攻击力@s的物伤，有20%的概率冰冻目标两秒</t>
  </si>
  <si>
    <t>八部天龙怒吼并引爆自身灵能，对范围内敌人造成自身攻击力@s的物伤，有40%的概率冰冻目标两秒</t>
  </si>
  <si>
    <t>进阶+6：增强主角技能（一棍定乾坤，对范围内敌人造成主角攻击力396%的物伤，60%概率昏迷敌人3秒，若对方被控制状态，若对方处于眩晕状态,无视对方20%的物理防御和抗暴）</t>
  </si>
  <si>
    <t>进阶+2：激活被动技能（被攻击有20%概率反弹20%受到的伤害）</t>
  </si>
  <si>
    <t>进阶+4：激活AI2技能（八部天龙怒吼并引爆自身灵能，对范围内敌人造成自身攻击力150%的物伤，有20%的概率冰冻目标两秒）</t>
  </si>
  <si>
    <t>进阶+10：增强AI2技能（八部天龙怒吼并引爆自身灵能，对范围内敌人造成自身攻击力210%的物伤，有40%的概率冰冻目标两秒）</t>
  </si>
  <si>
    <t>进阶+4：激活AI2技能（赤脚大仙，跳向目标发动连续攻击，对范围内敌人进行3次攻击,造成自身攻击力95%的法伤）</t>
  </si>
  <si>
    <t>进阶+10：增强AI2技能（赤脚大仙，跳向目标发动连续攻击，对范围内敌人进行3次攻击,造成自身攻击力114%的法伤）</t>
  </si>
  <si>
    <t>58015</t>
  </si>
  <si>
    <t>11090</t>
  </si>
  <si>
    <t>提升自身@s的真实暴击率，且被攻击有概率净化自身不良状态</t>
  </si>
  <si>
    <t>释放二郎真君领域，对敌人进行3次攻击，造成主角攻击力@s的物伤，每次攻击27%的概率昏迷敌人3秒，对流血状态目标暴击率提高20%，对灼烧状态目标无视20%防御</t>
  </si>
  <si>
    <t>提升自身@s的真实暴击率，普攻有概率击晕对手1秒</t>
  </si>
  <si>
    <t>提升自身@s的真实暴击率，发动技能时有概率进入霸体状态1秒</t>
  </si>
  <si>
    <t>进阶+2：激活被动技能（提升自身10%的真实暴击率，发动技能时有概率进入霸体状态1秒）</t>
  </si>
  <si>
    <t>进阶+2：激活被动技能（提升自身10%的真实暴击率，且被攻击有概率净化自身不良状态）</t>
  </si>
  <si>
    <t>进阶+6：增强主角技能（释放二郎真君领域，对敌人进行3次攻击，造成主角攻击力132%的物伤，每次攻击27%的概率昏迷敌人3秒，对流血状态目标暴击率提高20%，对灼烧状态目标无视20%防御）</t>
  </si>
  <si>
    <t>进阶+2：激活被动技能（提升自身10%的真实暴击率，普攻有概率击晕对手1秒）</t>
  </si>
  <si>
    <t>进阶+4：激活AI2技能（王母于地面释放凤凰焚焰，对范围内敌人造成自身攻击力165%的法伤，并造成灼烧效果，持续6秒）</t>
    <phoneticPr fontId="3" type="noConversion"/>
  </si>
  <si>
    <t>进阶+4：激活AI2技能（剑快留痕，对范围内敌人进行5次攻击，造成自身攻击力33%的法伤,并造成灼烧效果，持续6秒）</t>
    <phoneticPr fontId="3" type="noConversion"/>
  </si>
  <si>
    <t>进阶+6：增强主角技能（召唤大圣之前世，对范围内敌人进行7次攻击，造成3次主角攻击力57%的法伤,同时提升自身20%的法伤，持续3秒，对处于流血状态的目标增加20%的伤害）</t>
    <phoneticPr fontId="3" type="noConversion"/>
  </si>
  <si>
    <t>进阶+10：增强AI2技能（剑快留痕，对范围内敌人进行5次攻击，造成自身攻击力46%的法伤,并造成高级灼烧效果，持续6秒）</t>
    <phoneticPr fontId="3" type="noConversion"/>
  </si>
  <si>
    <t>进阶+2：激活被动技能（自身生命低于50%后，受到伤害减少20%，同时反弹伤害的20%给攻击者）</t>
    <phoneticPr fontId="3" type="noConversion"/>
  </si>
  <si>
    <t>进阶+4：激活AI2技能（黑无常用地府秘法治疗自身，每0.5秒恢复自身生命值上限2%的生命值，持续2秒，清除自身一个不利状态）</t>
    <phoneticPr fontId="3" type="noConversion"/>
  </si>
  <si>
    <t>进阶+10：增强AI2技能（黑无常用地府秘法治疗自身，每0.5秒恢复自身生命值上限3%的生命值，持续2秒，清除自身所有不利状态）</t>
    <phoneticPr fontId="3" type="noConversion"/>
  </si>
  <si>
    <t>进阶+6：增强主角技能（释放地府鬼法，进入灵体状态，每2秒增加20%闪避，持续6秒）</t>
    <phoneticPr fontId="3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</si>
</sst>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rgb="FFFF00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rgb="FF006100"/>
      <name val="宋体"/>
      <family val="2"/>
      <charset val="134"/>
      <scheme val="minor"/>
    </font>
    <font>
      <u/>
      <sz val="11"/>
      <color theme="10"/>
      <name val="宋体"/>
      <family val="3"/>
      <charset val="134"/>
    </font>
    <font>
      <sz val="11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5">
    <xf numFmtId="0" fontId="0" fillId="0" borderId="0"/>
    <xf numFmtId="0" fontId="13" fillId="0" borderId="0"/>
    <xf numFmtId="0" fontId="14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11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vertical="center"/>
    </xf>
    <xf numFmtId="49" fontId="2" fillId="3" borderId="1" xfId="0" applyNumberFormat="1" applyFont="1" applyFill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1" fillId="0" borderId="1" xfId="0" applyFont="1" applyBorder="1" applyAlignment="1">
      <alignment vertical="center"/>
    </xf>
    <xf numFmtId="0" fontId="0" fillId="0" borderId="1" xfId="0" applyBorder="1" applyAlignment="1"/>
    <xf numFmtId="0" fontId="6" fillId="0" borderId="1" xfId="0" applyFont="1" applyBorder="1" applyAlignment="1">
      <alignment vertical="center"/>
    </xf>
    <xf numFmtId="0" fontId="0" fillId="0" borderId="0" xfId="0" applyAlignment="1"/>
    <xf numFmtId="0" fontId="6" fillId="4" borderId="1" xfId="0" applyFont="1" applyFill="1" applyBorder="1" applyAlignment="1">
      <alignment vertical="center"/>
    </xf>
    <xf numFmtId="0" fontId="6" fillId="0" borderId="1" xfId="0" applyNumberFormat="1" applyFont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0" borderId="0" xfId="0" applyNumberFormat="1" applyFont="1" applyFill="1" applyBorder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2" fillId="2" borderId="3" xfId="0" applyFont="1" applyFill="1" applyBorder="1" applyAlignment="1">
      <alignment vertical="center" wrapText="1"/>
    </xf>
    <xf numFmtId="49" fontId="2" fillId="2" borderId="3" xfId="0" applyNumberFormat="1" applyFont="1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2" xfId="0" applyNumberFormat="1" applyFont="1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49" fontId="1" fillId="10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 wrapText="1"/>
    </xf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49" fontId="1" fillId="0" borderId="8" xfId="0" applyNumberFormat="1" applyFont="1" applyBorder="1" applyAlignment="1">
      <alignment vertical="center"/>
    </xf>
    <xf numFmtId="49" fontId="2" fillId="0" borderId="8" xfId="0" applyNumberFormat="1" applyFont="1" applyBorder="1" applyAlignment="1">
      <alignment vertical="center" wrapText="1"/>
    </xf>
    <xf numFmtId="49" fontId="2" fillId="0" borderId="10" xfId="0" applyNumberFormat="1" applyFont="1" applyBorder="1" applyAlignment="1">
      <alignment vertical="center" wrapText="1"/>
    </xf>
    <xf numFmtId="49" fontId="1" fillId="0" borderId="11" xfId="0" applyNumberFormat="1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" fillId="2" borderId="1" xfId="1" applyFont="1" applyFill="1" applyBorder="1" applyAlignment="1">
      <alignment horizontal="left" vertical="center" wrapText="1"/>
    </xf>
    <xf numFmtId="0" fontId="2" fillId="3" borderId="1" xfId="1" applyFont="1" applyFill="1" applyBorder="1" applyAlignment="1">
      <alignment horizontal="left" vertical="center"/>
    </xf>
    <xf numFmtId="0" fontId="2" fillId="3" borderId="1" xfId="1" applyFont="1" applyFill="1" applyBorder="1" applyAlignment="1">
      <alignment vertical="center"/>
    </xf>
    <xf numFmtId="0" fontId="1" fillId="0" borderId="1" xfId="1" applyFont="1" applyBorder="1" applyAlignment="1">
      <alignment horizontal="left" vertical="center"/>
    </xf>
    <xf numFmtId="0" fontId="1" fillId="10" borderId="1" xfId="1" applyFont="1" applyFill="1" applyBorder="1" applyAlignment="1">
      <alignment horizontal="left" vertical="center"/>
    </xf>
    <xf numFmtId="0" fontId="2" fillId="0" borderId="1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 wrapText="1"/>
    </xf>
    <xf numFmtId="0" fontId="12" fillId="0" borderId="1" xfId="1" applyFont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left" vertical="center"/>
    </xf>
    <xf numFmtId="0" fontId="9" fillId="7" borderId="1" xfId="0" applyFont="1" applyFill="1" applyBorder="1" applyAlignment="1">
      <alignment horizontal="left" vertical="center"/>
    </xf>
    <xf numFmtId="0" fontId="10" fillId="11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49" fontId="1" fillId="0" borderId="9" xfId="0" applyNumberFormat="1" applyFont="1" applyBorder="1" applyAlignment="1">
      <alignment horizontal="left" vertical="center"/>
    </xf>
    <xf numFmtId="49" fontId="1" fillId="0" borderId="12" xfId="0" applyNumberFormat="1" applyFont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top" wrapText="1"/>
    </xf>
    <xf numFmtId="0" fontId="8" fillId="3" borderId="1" xfId="0" applyFont="1" applyFill="1" applyBorder="1" applyAlignment="1">
      <alignment horizontal="left" vertical="top"/>
    </xf>
    <xf numFmtId="0" fontId="8" fillId="0" borderId="1" xfId="0" applyFont="1" applyFill="1" applyBorder="1" applyAlignment="1">
      <alignment horizontal="left" vertical="top"/>
    </xf>
    <xf numFmtId="0" fontId="8" fillId="13" borderId="1" xfId="0" applyFont="1" applyFill="1" applyBorder="1" applyAlignment="1">
      <alignment horizontal="left" vertical="top"/>
    </xf>
    <xf numFmtId="49" fontId="8" fillId="13" borderId="1" xfId="0" applyNumberFormat="1" applyFont="1" applyFill="1" applyBorder="1" applyAlignment="1">
      <alignment horizontal="left" vertical="top"/>
    </xf>
    <xf numFmtId="0" fontId="15" fillId="13" borderId="1" xfId="3" applyFill="1" applyBorder="1" applyAlignment="1">
      <alignment horizontal="left" vertical="top"/>
    </xf>
    <xf numFmtId="0" fontId="8" fillId="9" borderId="1" xfId="0" applyFont="1" applyFill="1" applyBorder="1" applyAlignment="1">
      <alignment horizontal="left" vertical="top"/>
    </xf>
    <xf numFmtId="0" fontId="8" fillId="6" borderId="1" xfId="0" applyFont="1" applyFill="1" applyBorder="1" applyAlignment="1">
      <alignment horizontal="left" vertical="top"/>
    </xf>
    <xf numFmtId="0" fontId="8" fillId="9" borderId="1" xfId="2" applyFont="1" applyFill="1" applyBorder="1" applyAlignment="1">
      <alignment horizontal="left" vertical="top"/>
    </xf>
    <xf numFmtId="0" fontId="8" fillId="6" borderId="1" xfId="2" applyFont="1" applyFill="1" applyBorder="1" applyAlignment="1">
      <alignment horizontal="left" vertical="top"/>
    </xf>
    <xf numFmtId="0" fontId="16" fillId="9" borderId="1" xfId="0" applyFont="1" applyFill="1" applyBorder="1" applyAlignment="1">
      <alignment horizontal="left" vertical="top"/>
    </xf>
    <xf numFmtId="0" fontId="8" fillId="13" borderId="1" xfId="0" applyFont="1" applyFill="1" applyBorder="1" applyAlignment="1">
      <alignment vertical="top"/>
    </xf>
    <xf numFmtId="0" fontId="8" fillId="13" borderId="1" xfId="2" applyFont="1" applyFill="1" applyBorder="1" applyAlignment="1">
      <alignment horizontal="left" vertical="top"/>
    </xf>
    <xf numFmtId="0" fontId="8" fillId="5" borderId="1" xfId="0" applyFont="1" applyFill="1" applyBorder="1" applyAlignment="1">
      <alignment horizontal="left" vertical="top"/>
    </xf>
    <xf numFmtId="0" fontId="8" fillId="14" borderId="1" xfId="0" applyFont="1" applyFill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11" borderId="1" xfId="0" applyFont="1" applyFill="1" applyBorder="1" applyAlignment="1">
      <alignment horizontal="left" vertical="top"/>
    </xf>
    <xf numFmtId="0" fontId="8" fillId="15" borderId="1" xfId="0" applyFont="1" applyFill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16" borderId="1" xfId="0" applyFont="1" applyFill="1" applyBorder="1" applyAlignment="1">
      <alignment horizontal="left" vertical="top"/>
    </xf>
    <xf numFmtId="0" fontId="15" fillId="9" borderId="1" xfId="3" applyFill="1" applyBorder="1" applyAlignment="1">
      <alignment horizontal="left" vertical="top"/>
    </xf>
    <xf numFmtId="0" fontId="15" fillId="13" borderId="1" xfId="3" applyFont="1" applyFill="1" applyBorder="1" applyAlignment="1">
      <alignment horizontal="left" vertical="top"/>
    </xf>
    <xf numFmtId="0" fontId="15" fillId="13" borderId="1" xfId="4" applyFill="1" applyBorder="1" applyAlignment="1">
      <alignment horizontal="left" vertical="top"/>
    </xf>
    <xf numFmtId="0" fontId="5" fillId="9" borderId="1" xfId="0" applyFont="1" applyFill="1" applyBorder="1" applyAlignment="1">
      <alignment horizontal="left" vertical="top"/>
    </xf>
    <xf numFmtId="0" fontId="15" fillId="5" borderId="1" xfId="4" applyFill="1" applyBorder="1" applyAlignment="1">
      <alignment horizontal="left" vertical="top"/>
    </xf>
    <xf numFmtId="0" fontId="15" fillId="14" borderId="1" xfId="4" applyFill="1" applyBorder="1" applyAlignment="1">
      <alignment horizontal="left" vertical="top"/>
    </xf>
  </cellXfs>
  <cellStyles count="5">
    <cellStyle name="常规" xfId="0" builtinId="0"/>
    <cellStyle name="常规 2" xfId="1"/>
    <cellStyle name="超链接" xfId="3" builtinId="8"/>
    <cellStyle name="超链接 2" xfId="4"/>
    <cellStyle name="好" xfId="2" builtinId="2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ma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_ma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_damag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Sheet2"/>
      <sheetName val="Sheet4"/>
      <sheetName val="Sheet5"/>
    </sheetNames>
    <sheetDataSet>
      <sheetData sheetId="0">
        <row r="1">
          <cell r="A1" t="str">
            <v>英雄ID
[字符串]
调用角色的唯一ID
1101-1500伙伴
1500-2000特殊伙伴（助战或者新手引导）
2000以上临时伙伴</v>
          </cell>
          <cell r="B1" t="str">
            <v>英雄名称
[字符串]</v>
          </cell>
          <cell r="C1" t="str">
            <v>英雄描述|英雄语录
[字符串]</v>
          </cell>
          <cell r="D1" t="str">
            <v>英雄是否在祭坛显示
[整型]
1=开放
2=隐藏无用</v>
          </cell>
          <cell r="E1" t="str">
            <v>英雄类型
1=仙
2=妖
3=佛
4=不显示
6=主角
可控制聚仙的显示，对应聚仙预览里面的标签</v>
          </cell>
          <cell r="F1" t="str">
            <v>战斗定位
1=辅助
2=远程
3=近战
4=防御
5=主角</v>
          </cell>
          <cell r="G1" t="str">
            <v>英雄职业描述(直接调用game_jobs表格里面的id)
1=辅助型
2=法攻型
3=物攻型
4=防御型</v>
          </cell>
          <cell r="H1" t="str">
            <v>职业介绍
直接填文字</v>
          </cell>
          <cell r="I1" t="str">
            <v>角色最大等级</v>
          </cell>
          <cell r="J1" t="str">
            <v>普通攻击
调用skill_main里面的id</v>
          </cell>
          <cell r="K1" t="str">
            <v>技能最大等级</v>
          </cell>
          <cell r="L1" t="str">
            <v>技能ID
[字符串数组]
调用skill_main里面的id</v>
          </cell>
          <cell r="M1" t="str">
            <v>公共技能ID
[字符串数组]
调用skill_main里面的id</v>
          </cell>
          <cell r="N1" t="str">
            <v>头像图片ID
[字符串数组]
调用game_res里面的id</v>
          </cell>
          <cell r="O1" t="str">
            <v>边框资源ID
[字符串]
调用game_res里面的id
此字段未用到，伙伴边框由伙伴品质决定。</v>
          </cell>
          <cell r="P1" t="str">
            <v>资源ID
调用game_res里面的id</v>
          </cell>
          <cell r="Q1" t="str">
            <v>在UI界面上模型缩放比例
默认大小=1（不缩放）
&lt;1--缩小
&gt;1--放大</v>
          </cell>
          <cell r="R1" t="str">
            <v>特效触发时机|特效ID[字符串数组]0=不触发1=出生时|表现包ID2=死亡时|表现包ID5=英雄面板独有7=英雄自带特效（永不删除）</v>
          </cell>
          <cell r="S1" t="str">
            <v xml:space="preserve">皮肤包ID(多个皮肤逗号隔开，根据填写顺序排列)
[字符串]
</v>
          </cell>
          <cell r="T1" t="str">
            <v>音效包ID
[字符串]</v>
          </cell>
          <cell r="U1" t="str">
            <v>初始品质
0=无品质
1=绿色
2=蓝色
3=紫色
4=橙13
5=橙16
6=红色</v>
          </cell>
          <cell r="V1" t="str">
            <v>初始资质（不参与数值计算，仅用于显示）
[整型]</v>
          </cell>
          <cell r="W1" t="str">
            <v>攻击范围[浮点型]</v>
          </cell>
          <cell r="X1" t="str">
            <v>视野范围[浮点型]</v>
          </cell>
          <cell r="Y1" t="str">
            <v>移动速度初始值
[浮点]</v>
          </cell>
          <cell r="Z1" t="str">
            <v>攻击速度初始值
[浮点]</v>
          </cell>
          <cell r="AA1" t="str">
            <v>魔法初始值
[整型]</v>
          </cell>
          <cell r="AB1" t="str">
            <v>魔法回复初始值（仅针对主角）
[整型]</v>
          </cell>
          <cell r="AC1" t="str">
            <v>生命初始值
[整型]</v>
          </cell>
          <cell r="AD1" t="str">
            <v>攻击力初始值[整型]</v>
          </cell>
          <cell r="AE1" t="str">
            <v>物理防御初始值
[整型]</v>
          </cell>
          <cell r="AF1" t="str">
            <v>魔法防御初始值
[整型]</v>
          </cell>
          <cell r="AG1" t="str">
            <v>命中初始值
（百分比）</v>
          </cell>
          <cell r="AH1" t="str">
            <v>闪避初始值
（百分比）</v>
          </cell>
          <cell r="AI1" t="str">
            <v>暴击初始值
（百分比）</v>
          </cell>
          <cell r="AJ1" t="str">
            <v>抗暴击初始值（百分比）</v>
          </cell>
          <cell r="AK1" t="str">
            <v>伤害减免初始值（百分比）</v>
          </cell>
          <cell r="AL1" t="str">
            <v xml:space="preserve">伤害加成初始值（百分比）
</v>
          </cell>
          <cell r="AM1" t="str">
            <v>技能cd时长
默认为1</v>
          </cell>
          <cell r="AN1" t="str">
            <v>魔法成长
[浮点型]</v>
          </cell>
          <cell r="AO1" t="str">
            <v>魔法回复成长（仅针对主角）
[浮点型]</v>
          </cell>
          <cell r="AP1" t="str">
            <v>生命成长[浮点型]</v>
          </cell>
          <cell r="AQ1" t="str">
            <v>攻击成长[浮点型]</v>
          </cell>
          <cell r="AR1" t="str">
            <v>物理防御成长[浮点型]</v>
          </cell>
          <cell r="AS1" t="str">
            <v>魔法防御成长[浮点型]</v>
          </cell>
          <cell r="AT1" t="str">
            <v>闪避成长[浮点型]</v>
          </cell>
          <cell r="AU1" t="str">
            <v>命中成长[浮点型]</v>
          </cell>
          <cell r="AV1" t="str">
            <v>暴击成长[浮点型]</v>
          </cell>
          <cell r="AW1" t="str">
            <v>抗暴成长[浮点型]</v>
          </cell>
          <cell r="AX1" t="str">
            <v>进阶组
(读取一组连续ID)
起始ID|长度
蓝色，绿色只有一种，不跟职业走
调用hero_jinjie的id</v>
          </cell>
          <cell r="AY1" t="str">
            <v>进阶上限
[整形]</v>
          </cell>
          <cell r="AZ1" t="str">
            <v>进阶附加的效果组(读取jinjie_effect)</v>
          </cell>
          <cell r="BA1" t="str">
            <v>觉醒组起点(读取一组连续数据）调用hero_juexing表里的id</v>
          </cell>
          <cell r="BB1" t="str">
            <v>觉醒最大等级</v>
          </cell>
          <cell r="BC1" t="str">
            <v>羁绊角色组
[字符串]
调用hero_jiban的id</v>
          </cell>
          <cell r="BD1" t="str">
            <v>羁绊装备组
[字符串数组]
调用hero_jiban的id</v>
          </cell>
          <cell r="BE1" t="str">
            <v>羁绊法宝组
[字符串数组]
调用hero_jiban的id</v>
          </cell>
          <cell r="BF1" t="str">
            <v xml:space="preserve">分解可获得的货币精魄数量
</v>
          </cell>
          <cell r="BG1" t="str">
            <v>伙伴被吞噬提供基础经验[整数]
=0时不可吞噬</v>
          </cell>
          <cell r="BH1" t="str">
            <v xml:space="preserve">吞噬时消耗的金币
</v>
          </cell>
          <cell r="BI1" t="str">
            <v>角色合成所需碎片ID
调用game_items的id</v>
          </cell>
          <cell r="BJ1" t="str">
            <v>角色半身像资源调用game_res的id</v>
          </cell>
          <cell r="BK1" t="str">
            <v>对变身积分的贡献值
（玩家获取该hero后，会增加对应的变身积分）</v>
          </cell>
          <cell r="BL1" t="str">
            <v>角色初始仇恨值
（用于角色进入怪物警戒范围后，怪物初始目标的选择）
数值为整形</v>
          </cell>
          <cell r="BM1" t="str">
            <v>仇恨值系数
（用于仇恨值计算）
数值为浮点型</v>
          </cell>
          <cell r="BN1" t="str">
            <v>角色培养
填写xilian_jihe表格ID</v>
          </cell>
          <cell r="BO1" t="str">
            <v>神兵
填写对应的神兵id
相关配置game_shenbing
[]-无神兵</v>
          </cell>
          <cell r="BP1" t="str">
            <v>人物自身
特效</v>
          </cell>
          <cell r="BQ1" t="str">
            <v>角色展示配音
支持配置数组
无配音填写[]</v>
          </cell>
          <cell r="BR1" t="str">
            <v>战斗核心技能配音
支持配置数组
无配音填写[]</v>
          </cell>
          <cell r="BT1" t="str">
            <v>人物模型</v>
          </cell>
          <cell r="BU1" t="str">
            <v>武器模型</v>
          </cell>
          <cell r="BV1" t="str">
            <v>武器特效</v>
          </cell>
        </row>
        <row r="2">
          <cell r="A2" t="str">
            <v>npc_id</v>
          </cell>
          <cell r="B2" t="str">
            <v>name</v>
          </cell>
          <cell r="C2" t="str">
            <v>description</v>
          </cell>
          <cell r="D2" t="str">
            <v>hidden</v>
          </cell>
          <cell r="E2" t="str">
            <v>character_type</v>
          </cell>
          <cell r="F2" t="str">
            <v>combat_positioning</v>
          </cell>
          <cell r="G2" t="str">
            <v>hero_jobs</v>
          </cell>
          <cell r="H2" t="str">
            <v>job_desc</v>
          </cell>
          <cell r="I2" t="str">
            <v>lvl_max</v>
          </cell>
          <cell r="J2" t="str">
            <v>attack_id</v>
          </cell>
          <cell r="K2" t="str">
            <v>skill_max</v>
          </cell>
          <cell r="L2" t="str">
            <v>skill_id</v>
          </cell>
          <cell r="M2" t="str">
            <v>common_skill_id</v>
          </cell>
          <cell r="N2" t="str">
            <v>avatar_icon</v>
          </cell>
          <cell r="O2" t="str">
            <v>hero_biankuang</v>
          </cell>
          <cell r="P2" t="str">
            <v>model_id</v>
          </cell>
          <cell r="Q2" t="str">
            <v>ui_model_scale</v>
          </cell>
          <cell r="R2" t="str">
            <v>effect_id</v>
          </cell>
          <cell r="S2" t="str">
            <v>skin_id</v>
          </cell>
          <cell r="T2" t="str">
            <v>music_id</v>
          </cell>
          <cell r="U2" t="str">
            <v>pinzhi</v>
          </cell>
          <cell r="V2" t="str">
            <v>zizhi</v>
          </cell>
          <cell r="W2" t="str">
            <v>atk_range</v>
          </cell>
          <cell r="X2" t="str">
            <v>warning_range</v>
          </cell>
          <cell r="Y2" t="str">
            <v>move_speed</v>
          </cell>
          <cell r="Z2" t="str">
            <v>atk_speed</v>
          </cell>
          <cell r="AA2" t="str">
            <v>mp</v>
          </cell>
          <cell r="AB2" t="str">
            <v>mp_r</v>
          </cell>
          <cell r="AC2" t="str">
            <v>hp</v>
          </cell>
          <cell r="AD2" t="str">
            <v>attack</v>
          </cell>
          <cell r="AE2" t="str">
            <v>defense_p</v>
          </cell>
          <cell r="AF2" t="str">
            <v>defense_m</v>
          </cell>
          <cell r="AG2" t="str">
            <v>hit_prop</v>
          </cell>
          <cell r="AH2" t="str">
            <v>dodge_prop</v>
          </cell>
          <cell r="AI2" t="str">
            <v>crit_prop</v>
          </cell>
          <cell r="AJ2" t="str">
            <v>uncrit_prop</v>
          </cell>
          <cell r="AK2" t="str">
            <v>damage_r</v>
          </cell>
          <cell r="AL2" t="str">
            <v>damage_b</v>
          </cell>
          <cell r="AM2" t="str">
            <v>cd_reduce</v>
          </cell>
          <cell r="AN2" t="str">
            <v>mp_lvl</v>
          </cell>
          <cell r="AO2" t="str">
            <v>mp_r_lvl</v>
          </cell>
          <cell r="AP2" t="str">
            <v>hp_lvl</v>
          </cell>
          <cell r="AQ2" t="str">
            <v>attack_lvl</v>
          </cell>
          <cell r="AR2" t="str">
            <v>defense_p_lvl</v>
          </cell>
          <cell r="AS2" t="str">
            <v>defense_m_lvl</v>
          </cell>
          <cell r="AT2" t="str">
            <v>hit_prop_lvl</v>
          </cell>
          <cell r="AU2" t="str">
            <v>dodge_prop_lvl</v>
          </cell>
          <cell r="AV2" t="str">
            <v>crit_prop_lvl</v>
          </cell>
          <cell r="AW2" t="str">
            <v>uncrit_prop_lvl</v>
          </cell>
          <cell r="AX2" t="str">
            <v>jinjie_id</v>
          </cell>
          <cell r="AY2" t="str">
            <v>jinjie_max</v>
          </cell>
          <cell r="AZ2" t="str">
            <v>jinjie_effect</v>
          </cell>
          <cell r="BA2" t="str">
            <v>juexing_id</v>
          </cell>
          <cell r="BB2" t="str">
            <v>juexing_max</v>
          </cell>
          <cell r="BC2" t="str">
            <v>jiban_npc</v>
          </cell>
          <cell r="BD2" t="str">
            <v>jiban_equip</v>
          </cell>
          <cell r="BE2" t="str">
            <v>jiban_fabao</v>
          </cell>
          <cell r="BF2" t="str">
            <v>npc_fenjie</v>
          </cell>
          <cell r="BG2" t="str">
            <v>npc_baseexp</v>
          </cell>
          <cell r="BH2" t="str">
            <v>npc_costjinbi</v>
          </cell>
          <cell r="BI2" t="str">
            <v>hero_find</v>
          </cell>
          <cell r="BJ2" t="str">
            <v>hero_banshen</v>
          </cell>
          <cell r="BK2" t="str">
            <v>avatar_point_add</v>
          </cell>
          <cell r="BL2" t="str">
            <v>hero_hatepoint</v>
          </cell>
          <cell r="BM2" t="str">
            <v>hate_coefficient</v>
          </cell>
          <cell r="BN2" t="str">
            <v>peiyang</v>
          </cell>
          <cell r="BO2" t="str">
            <v>shenbing</v>
          </cell>
          <cell r="BP2" t="str">
            <v>perform_eff_id</v>
          </cell>
          <cell r="BQ2" t="str">
            <v>hero_dubbing</v>
          </cell>
          <cell r="BR2" t="str">
            <v>battle_dubbing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i</v>
          </cell>
          <cell r="E3" t="str">
            <v>i</v>
          </cell>
          <cell r="F3" t="str">
            <v>i</v>
          </cell>
          <cell r="G3" t="str">
            <v>s</v>
          </cell>
          <cell r="H3" t="str">
            <v>s</v>
          </cell>
          <cell r="I3" t="str">
            <v>i</v>
          </cell>
          <cell r="J3" t="str">
            <v>s</v>
          </cell>
          <cell r="K3" t="str">
            <v>i</v>
          </cell>
          <cell r="L3" t="str">
            <v>s</v>
          </cell>
          <cell r="M3" t="str">
            <v>s</v>
          </cell>
          <cell r="N3" t="str">
            <v>s</v>
          </cell>
          <cell r="O3" t="str">
            <v>s</v>
          </cell>
          <cell r="P3" t="str">
            <v>s</v>
          </cell>
          <cell r="Q3" t="str">
            <v>n</v>
          </cell>
          <cell r="R3" t="str">
            <v>s</v>
          </cell>
          <cell r="S3" t="str">
            <v>s</v>
          </cell>
          <cell r="T3" t="str">
            <v>s</v>
          </cell>
          <cell r="U3" t="str">
            <v>i</v>
          </cell>
          <cell r="V3" t="str">
            <v>i</v>
          </cell>
          <cell r="W3" t="str">
            <v>i</v>
          </cell>
          <cell r="X3" t="str">
            <v>i</v>
          </cell>
          <cell r="Y3" t="str">
            <v>n</v>
          </cell>
          <cell r="Z3" t="str">
            <v>n</v>
          </cell>
          <cell r="AA3" t="str">
            <v>i</v>
          </cell>
          <cell r="AB3" t="str">
            <v>i</v>
          </cell>
          <cell r="AC3" t="str">
            <v>i</v>
          </cell>
          <cell r="AD3" t="str">
            <v>i</v>
          </cell>
          <cell r="AE3" t="str">
            <v>i</v>
          </cell>
          <cell r="AF3" t="str">
            <v>i</v>
          </cell>
          <cell r="AG3" t="str">
            <v>n</v>
          </cell>
          <cell r="AH3" t="str">
            <v>n</v>
          </cell>
          <cell r="AI3" t="str">
            <v>n</v>
          </cell>
          <cell r="AJ3" t="str">
            <v>n</v>
          </cell>
          <cell r="AK3" t="str">
            <v>n</v>
          </cell>
          <cell r="AL3" t="str">
            <v>n</v>
          </cell>
          <cell r="AM3" t="str">
            <v>n</v>
          </cell>
          <cell r="AN3" t="str">
            <v>n</v>
          </cell>
          <cell r="AO3" t="str">
            <v>n</v>
          </cell>
          <cell r="AP3" t="str">
            <v>n</v>
          </cell>
          <cell r="AQ3" t="str">
            <v>n</v>
          </cell>
          <cell r="AR3" t="str">
            <v>n</v>
          </cell>
          <cell r="AS3" t="str">
            <v>n</v>
          </cell>
          <cell r="AT3" t="str">
            <v>n</v>
          </cell>
          <cell r="AU3" t="str">
            <v>n</v>
          </cell>
          <cell r="AV3" t="str">
            <v>n</v>
          </cell>
          <cell r="AW3" t="str">
            <v>n</v>
          </cell>
          <cell r="AX3" t="str">
            <v>s</v>
          </cell>
          <cell r="AY3" t="str">
            <v>i</v>
          </cell>
          <cell r="AZ3" t="str">
            <v>s</v>
          </cell>
          <cell r="BA3" t="str">
            <v>s</v>
          </cell>
          <cell r="BB3" t="str">
            <v>i</v>
          </cell>
          <cell r="BC3" t="str">
            <v>s</v>
          </cell>
          <cell r="BD3" t="str">
            <v>s</v>
          </cell>
          <cell r="BE3" t="str">
            <v>s</v>
          </cell>
          <cell r="BF3" t="str">
            <v>i</v>
          </cell>
          <cell r="BG3" t="str">
            <v>i</v>
          </cell>
          <cell r="BH3" t="str">
            <v>i</v>
          </cell>
          <cell r="BI3" t="str">
            <v>s</v>
          </cell>
          <cell r="BJ3" t="str">
            <v>s</v>
          </cell>
          <cell r="BK3" t="str">
            <v>i</v>
          </cell>
          <cell r="BL3" t="str">
            <v>i</v>
          </cell>
          <cell r="BM3" t="str">
            <v>n</v>
          </cell>
          <cell r="BN3" t="str">
            <v>s</v>
          </cell>
          <cell r="BO3" t="str">
            <v>s</v>
          </cell>
          <cell r="BP3" t="str">
            <v>s</v>
          </cell>
          <cell r="BQ3" t="str">
            <v>s</v>
          </cell>
          <cell r="BR3" t="str">
            <v>s</v>
          </cell>
        </row>
        <row r="4">
          <cell r="A4" t="str">
            <v>player</v>
          </cell>
          <cell r="B4" t="str">
            <v>女主角</v>
          </cell>
          <cell r="C4" t="str">
            <v>待我元灵重生，方可逆转未来</v>
          </cell>
          <cell r="D4">
            <v>1</v>
          </cell>
          <cell r="E4">
            <v>6</v>
          </cell>
          <cell r="F4">
            <v>5</v>
          </cell>
          <cell r="G4">
            <v>2</v>
          </cell>
          <cell r="H4" t="str">
            <v>主角，使用上阵伙伴赋予的专属技能战斗</v>
          </cell>
          <cell r="I4">
            <v>150</v>
          </cell>
          <cell r="J4" t="str">
            <v>nvzhujue_attack</v>
          </cell>
          <cell r="K4">
            <v>10</v>
          </cell>
          <cell r="L4" t="str">
            <v>[]</v>
          </cell>
          <cell r="M4" t="str">
            <v>common_fangyu,common_chaofeng</v>
          </cell>
          <cell r="N4" t="str">
            <v>head_nvzhujue</v>
          </cell>
          <cell r="O4" t="str">
            <v>lvsebiankuang</v>
          </cell>
          <cell r="P4" t="str">
            <v>nvzhujue_actor</v>
          </cell>
          <cell r="Q4">
            <v>1</v>
          </cell>
          <cell r="R4" t="str">
            <v>[]</v>
          </cell>
          <cell r="S4" t="str">
            <v>[]</v>
          </cell>
          <cell r="T4" t="str">
            <v>[]</v>
          </cell>
          <cell r="U4">
            <v>4</v>
          </cell>
          <cell r="V4">
            <v>13</v>
          </cell>
          <cell r="W4">
            <v>12</v>
          </cell>
          <cell r="X4">
            <v>15</v>
          </cell>
          <cell r="Y4">
            <v>8</v>
          </cell>
          <cell r="Z4">
            <v>0.8</v>
          </cell>
          <cell r="AA4">
            <v>0</v>
          </cell>
          <cell r="AB4">
            <v>0</v>
          </cell>
          <cell r="AC4">
            <v>7500</v>
          </cell>
          <cell r="AD4">
            <v>300</v>
          </cell>
          <cell r="AE4">
            <v>150</v>
          </cell>
          <cell r="AF4">
            <v>150</v>
          </cell>
          <cell r="AG4">
            <v>1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1</v>
          </cell>
          <cell r="AN4">
            <v>0</v>
          </cell>
          <cell r="AO4">
            <v>0</v>
          </cell>
          <cell r="AP4">
            <v>625</v>
          </cell>
          <cell r="AQ4">
            <v>25</v>
          </cell>
          <cell r="AR4">
            <v>13</v>
          </cell>
          <cell r="AS4">
            <v>13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 t="str">
            <v>101|10</v>
          </cell>
          <cell r="AY4">
            <v>10</v>
          </cell>
          <cell r="AZ4" t="str">
            <v>100001,100002,100003,100004,100005,100006,100007,100008,100009,100010</v>
          </cell>
          <cell r="BA4" t="str">
            <v>3001|50</v>
          </cell>
          <cell r="BB4">
            <v>50</v>
          </cell>
          <cell r="BC4" t="str">
            <v>[]</v>
          </cell>
          <cell r="BD4" t="str">
            <v>20012,20011,20010,20009,20005,20006,20007,20008</v>
          </cell>
          <cell r="BE4" t="str">
            <v>20101,20102,20103,20104</v>
          </cell>
          <cell r="BF4" t="str">
            <v>0</v>
          </cell>
          <cell r="BG4" t="str">
            <v>0</v>
          </cell>
          <cell r="BH4" t="str">
            <v>0</v>
          </cell>
          <cell r="BI4" t="str">
            <v>[]</v>
          </cell>
          <cell r="BJ4" t="str">
            <v>[]</v>
          </cell>
          <cell r="BK4">
            <v>0</v>
          </cell>
          <cell r="BL4">
            <v>1000</v>
          </cell>
          <cell r="BM4">
            <v>0</v>
          </cell>
          <cell r="BN4">
            <v>100</v>
          </cell>
          <cell r="BO4">
            <v>1001</v>
          </cell>
          <cell r="BP4">
            <v>1001</v>
          </cell>
          <cell r="BQ4" t="str">
            <v>nvzhujue_a_01,nvzhujue_a_02,nvzhujue_b_01,nvzhujue_b_02,nvzhujue_b_03,nvzhujue_b_04,nvzhujue_b_05,nvzhujue_b_06,nvzhujue_b_07,nvzhujue_b_08,nvzhujue_b_09,nvzhujue_b_10</v>
          </cell>
          <cell r="BR4" t="str">
            <v>nvzhujue_a_01,nvzhujue_a_02,nvzhujue_b_01,nvzhujue_b_02,nvzhujue_b_03,nvzhujue_b_04,nvzhujue_b_05,nvzhujue_b_06,nvzhujue_b_07,nvzhujue_b_08,nvzhujue_b_09,nvzhujue_b_10</v>
          </cell>
          <cell r="BS4" t="e">
            <v>#VALUE!</v>
          </cell>
          <cell r="BT4" t="str">
            <v>nvzhujue</v>
          </cell>
          <cell r="BU4" t="e">
            <v>#VALUE!</v>
          </cell>
          <cell r="BV4" t="str">
            <v>[]</v>
          </cell>
          <cell r="BW4" t="str">
            <v>2-13</v>
          </cell>
        </row>
        <row r="5">
          <cell r="A5" t="str">
            <v>player2</v>
          </cell>
          <cell r="B5" t="str">
            <v>男主角</v>
          </cell>
          <cell r="C5" t="str">
            <v>我要逆天改命，重写西游真经</v>
          </cell>
          <cell r="D5">
            <v>1</v>
          </cell>
          <cell r="E5">
            <v>6</v>
          </cell>
          <cell r="F5">
            <v>5</v>
          </cell>
          <cell r="G5">
            <v>2</v>
          </cell>
          <cell r="H5" t="str">
            <v>主角，使用上阵伙伴赋予的专属技能战斗</v>
          </cell>
          <cell r="I5">
            <v>150</v>
          </cell>
          <cell r="J5" t="str">
            <v>nanzhujue_attack</v>
          </cell>
          <cell r="K5">
            <v>10</v>
          </cell>
          <cell r="L5" t="str">
            <v>[]</v>
          </cell>
          <cell r="M5" t="str">
            <v>common_fangyu,common_chaofeng</v>
          </cell>
          <cell r="N5" t="str">
            <v>head_nanzhujue</v>
          </cell>
          <cell r="O5" t="str">
            <v>lvsebiankuang</v>
          </cell>
          <cell r="P5" t="str">
            <v>nanzhujue_actor</v>
          </cell>
          <cell r="Q5">
            <v>0.9</v>
          </cell>
          <cell r="R5" t="str">
            <v>[]</v>
          </cell>
          <cell r="S5" t="str">
            <v>[]</v>
          </cell>
          <cell r="T5" t="str">
            <v>[]</v>
          </cell>
          <cell r="U5">
            <v>4</v>
          </cell>
          <cell r="V5">
            <v>13</v>
          </cell>
          <cell r="W5">
            <v>12</v>
          </cell>
          <cell r="X5">
            <v>15</v>
          </cell>
          <cell r="Y5">
            <v>8</v>
          </cell>
          <cell r="Z5">
            <v>0.8</v>
          </cell>
          <cell r="AA5">
            <v>0</v>
          </cell>
          <cell r="AB5">
            <v>0</v>
          </cell>
          <cell r="AC5">
            <v>7500</v>
          </cell>
          <cell r="AD5">
            <v>300</v>
          </cell>
          <cell r="AE5">
            <v>150</v>
          </cell>
          <cell r="AF5">
            <v>150</v>
          </cell>
          <cell r="AG5">
            <v>1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1</v>
          </cell>
          <cell r="AN5">
            <v>0</v>
          </cell>
          <cell r="AO5">
            <v>0</v>
          </cell>
          <cell r="AP5">
            <v>625</v>
          </cell>
          <cell r="AQ5">
            <v>25</v>
          </cell>
          <cell r="AR5">
            <v>13</v>
          </cell>
          <cell r="AS5">
            <v>13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 t="str">
            <v>101|10</v>
          </cell>
          <cell r="AY5">
            <v>10</v>
          </cell>
          <cell r="AZ5" t="str">
            <v>100001,100002,100003,100004,100005,100006,100007,100008,100009,100010</v>
          </cell>
          <cell r="BA5" t="str">
            <v>3001|50</v>
          </cell>
          <cell r="BB5">
            <v>50</v>
          </cell>
          <cell r="BC5" t="str">
            <v>[]</v>
          </cell>
          <cell r="BD5" t="str">
            <v>20012,20011,20010,20009,20005,20006,20007,20008</v>
          </cell>
          <cell r="BE5" t="str">
            <v>20101,20102,20103,20104</v>
          </cell>
          <cell r="BF5" t="str">
            <v>0</v>
          </cell>
          <cell r="BG5">
            <v>0</v>
          </cell>
          <cell r="BH5" t="str">
            <v>0</v>
          </cell>
          <cell r="BI5" t="str">
            <v>[]</v>
          </cell>
          <cell r="BJ5" t="str">
            <v>[]</v>
          </cell>
          <cell r="BK5">
            <v>0</v>
          </cell>
          <cell r="BL5">
            <v>1000</v>
          </cell>
          <cell r="BM5">
            <v>0</v>
          </cell>
          <cell r="BN5">
            <v>100</v>
          </cell>
          <cell r="BO5">
            <v>1002</v>
          </cell>
          <cell r="BP5">
            <v>1002</v>
          </cell>
          <cell r="BQ5" t="str">
            <v>nanzhujue_a_01_01,nanzhujue_a_01_02,nanzhujue_a_02_01,nanzhujue_b_01_01,nanzhujue_b_02_01,nanzhujue_b_02_02,nanzhujue_b_02_03,nanzhujue_b_03_01,nanzhujue_b_04_01,nanzhujue_b_05_01,nanzhujue_b_06_01,nanzhujue_b_07_01,nanzhujue_b_08_01,nanzhujue_b_09_01,nanzhujue_b_10_01</v>
          </cell>
          <cell r="BR5" t="str">
            <v>nanzhujue_a_01_01,nanzhujue_a_01_02,nanzhujue_a_02_01,nanzhujue_b_01_01,nanzhujue_b_02_01,nanzhujue_b_02_02,nanzhujue_b_02_03,nanzhujue_b_03_01,nanzhujue_b_04_01,nanzhujue_b_05_01,nanzhujue_b_06_01,nanzhujue_b_07_01,nanzhujue_b_08_01,nanzhujue_b_09_01,nanzhujue_b_10_01</v>
          </cell>
          <cell r="BS5" t="e">
            <v>#VALUE!</v>
          </cell>
          <cell r="BT5" t="str">
            <v>nanzhujue</v>
          </cell>
          <cell r="BU5" t="e">
            <v>#VALUE!</v>
          </cell>
          <cell r="BV5" t="str">
            <v>[]</v>
          </cell>
          <cell r="BW5" t="str">
            <v>2-13</v>
          </cell>
        </row>
        <row r="6">
          <cell r="A6">
            <v>1102</v>
          </cell>
          <cell r="B6" t="str">
            <v>哪吒</v>
          </cell>
          <cell r="C6" t="str">
            <v>有两个不争气的哥哥，是我人生最大的败笔！</v>
          </cell>
          <cell r="D6">
            <v>1</v>
          </cell>
          <cell r="E6">
            <v>1</v>
          </cell>
          <cell r="F6">
            <v>3</v>
          </cell>
          <cell r="G6">
            <v>3</v>
          </cell>
          <cell r="H6" t="str">
            <v>物攻型，负责物理输出</v>
          </cell>
          <cell r="I6">
            <v>150</v>
          </cell>
          <cell r="J6" t="str">
            <v>nezha_attack</v>
          </cell>
          <cell r="K6">
            <v>10</v>
          </cell>
          <cell r="L6" t="str">
            <v>nezha_skill01,nezha_skill02,nezha_skill03,nezha_skill04</v>
          </cell>
          <cell r="M6" t="str">
            <v>common_fangyu,common_chaofeng</v>
          </cell>
          <cell r="N6" t="str">
            <v>head_nezha</v>
          </cell>
          <cell r="O6" t="str">
            <v>chengsebiankuang</v>
          </cell>
          <cell r="P6" t="str">
            <v>nezha_actor</v>
          </cell>
          <cell r="Q6">
            <v>1</v>
          </cell>
          <cell r="R6" t="str">
            <v>[]</v>
          </cell>
          <cell r="S6" t="str">
            <v>[]</v>
          </cell>
          <cell r="T6" t="str">
            <v>[]</v>
          </cell>
          <cell r="U6">
            <v>5</v>
          </cell>
          <cell r="V6">
            <v>16</v>
          </cell>
          <cell r="W6">
            <v>5</v>
          </cell>
          <cell r="X6">
            <v>15</v>
          </cell>
          <cell r="Y6">
            <v>8</v>
          </cell>
          <cell r="Z6">
            <v>1.25</v>
          </cell>
          <cell r="AA6">
            <v>0</v>
          </cell>
          <cell r="AB6">
            <v>0</v>
          </cell>
          <cell r="AC6">
            <v>12500</v>
          </cell>
          <cell r="AD6">
            <v>500</v>
          </cell>
          <cell r="AE6">
            <v>250</v>
          </cell>
          <cell r="AF6">
            <v>250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1</v>
          </cell>
          <cell r="AN6">
            <v>0</v>
          </cell>
          <cell r="AO6">
            <v>0</v>
          </cell>
          <cell r="AP6">
            <v>750</v>
          </cell>
          <cell r="AQ6">
            <v>30</v>
          </cell>
          <cell r="AR6">
            <v>15</v>
          </cell>
          <cell r="AS6">
            <v>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 t="str">
            <v>5301|10</v>
          </cell>
          <cell r="AY6">
            <v>10</v>
          </cell>
          <cell r="AZ6" t="str">
            <v>110201,110202,110203,110204,110205,110206,110207,110208,110209,110210</v>
          </cell>
          <cell r="BA6" t="str">
            <v>5001|50</v>
          </cell>
          <cell r="BB6">
            <v>50</v>
          </cell>
          <cell r="BC6" t="str">
            <v>11112,11114,11123,11131,11135,11140</v>
          </cell>
          <cell r="BD6" t="str">
            <v>[]</v>
          </cell>
          <cell r="BE6" t="str">
            <v>12017,12019,12021,12023</v>
          </cell>
          <cell r="BF6">
            <v>2000</v>
          </cell>
          <cell r="BG6">
            <v>20000</v>
          </cell>
          <cell r="BH6">
            <v>4000</v>
          </cell>
          <cell r="BI6">
            <v>10002</v>
          </cell>
          <cell r="BJ6" t="str">
            <v>[]</v>
          </cell>
          <cell r="BK6">
            <v>0</v>
          </cell>
          <cell r="BL6">
            <v>50000</v>
          </cell>
          <cell r="BM6">
            <v>1.5</v>
          </cell>
          <cell r="BN6">
            <v>101</v>
          </cell>
          <cell r="BO6">
            <v>1102</v>
          </cell>
          <cell r="BP6">
            <v>1102</v>
          </cell>
          <cell r="BQ6" t="str">
            <v>nezha_a_01,nezha_a_02</v>
          </cell>
          <cell r="BR6" t="str">
            <v>[]</v>
          </cell>
          <cell r="BS6" t="e">
            <v>#VALUE!</v>
          </cell>
          <cell r="BT6" t="str">
            <v>nezha</v>
          </cell>
          <cell r="BU6" t="e">
            <v>#VALUE!</v>
          </cell>
          <cell r="BV6" t="str">
            <v>[]</v>
          </cell>
          <cell r="BW6" t="str">
            <v>3-16</v>
          </cell>
        </row>
        <row r="7">
          <cell r="A7">
            <v>1211</v>
          </cell>
          <cell r="B7" t="str">
            <v>斗战胜佛</v>
          </cell>
          <cell r="C7" t="str">
            <v>天若赐我辉煌，我定比天猖狂</v>
          </cell>
          <cell r="D7">
            <v>1</v>
          </cell>
          <cell r="E7">
            <v>3</v>
          </cell>
          <cell r="F7">
            <v>3</v>
          </cell>
          <cell r="G7">
            <v>3</v>
          </cell>
          <cell r="H7" t="str">
            <v>物攻型，负责物理输出</v>
          </cell>
          <cell r="I7">
            <v>150</v>
          </cell>
          <cell r="J7" t="str">
            <v>douzhanshengfo_attack</v>
          </cell>
          <cell r="K7">
            <v>10</v>
          </cell>
          <cell r="L7" t="str">
            <v>douzhanshengfo_skill01,douzhanshengfo_skill02,douzhanshengfo_skill03,douzhanshengfo_skill04</v>
          </cell>
          <cell r="M7" t="str">
            <v>common_fangyu,common_chaofeng</v>
          </cell>
          <cell r="N7" t="str">
            <v>head_douzhanshengfo</v>
          </cell>
          <cell r="O7" t="str">
            <v>chengsebiankuang</v>
          </cell>
          <cell r="P7" t="str">
            <v>douzhanshengfo_actor</v>
          </cell>
          <cell r="Q7">
            <v>1</v>
          </cell>
          <cell r="R7" t="str">
            <v>[]</v>
          </cell>
          <cell r="S7" t="str">
            <v>[]</v>
          </cell>
          <cell r="T7" t="str">
            <v>[]</v>
          </cell>
          <cell r="U7">
            <v>6</v>
          </cell>
          <cell r="V7">
            <v>20</v>
          </cell>
          <cell r="W7">
            <v>5</v>
          </cell>
          <cell r="X7">
            <v>15</v>
          </cell>
          <cell r="Y7">
            <v>8</v>
          </cell>
          <cell r="Z7">
            <v>1.25</v>
          </cell>
          <cell r="AA7">
            <v>0</v>
          </cell>
          <cell r="AB7">
            <v>0</v>
          </cell>
          <cell r="AC7">
            <v>20000</v>
          </cell>
          <cell r="AD7">
            <v>800</v>
          </cell>
          <cell r="AE7">
            <v>400</v>
          </cell>
          <cell r="AF7">
            <v>400</v>
          </cell>
          <cell r="AG7">
            <v>1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1</v>
          </cell>
          <cell r="AN7">
            <v>0</v>
          </cell>
          <cell r="AO7">
            <v>0</v>
          </cell>
          <cell r="AP7">
            <v>1500</v>
          </cell>
          <cell r="AQ7">
            <v>60</v>
          </cell>
          <cell r="AR7">
            <v>30</v>
          </cell>
          <cell r="AS7">
            <v>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 t="str">
            <v>6301|10</v>
          </cell>
          <cell r="AY7">
            <v>10</v>
          </cell>
          <cell r="AZ7" t="str">
            <v>121101,121102,121103,121104,121105,121106,121107,121108,121109,121110</v>
          </cell>
          <cell r="BA7" t="str">
            <v>4001|50</v>
          </cell>
          <cell r="BB7">
            <v>50</v>
          </cell>
          <cell r="BC7" t="str">
            <v>11211,11213,11221,11230,11234,11238</v>
          </cell>
          <cell r="BD7" t="str">
            <v>[]</v>
          </cell>
          <cell r="BE7" t="str">
            <v>12017,12019,12021,12023</v>
          </cell>
          <cell r="BF7">
            <v>3000</v>
          </cell>
          <cell r="BG7">
            <v>20000</v>
          </cell>
          <cell r="BH7">
            <v>4000</v>
          </cell>
          <cell r="BI7">
            <v>10111</v>
          </cell>
          <cell r="BJ7" t="str">
            <v>[]</v>
          </cell>
          <cell r="BK7">
            <v>0</v>
          </cell>
          <cell r="BL7">
            <v>50000</v>
          </cell>
          <cell r="BM7">
            <v>1.5</v>
          </cell>
          <cell r="BN7">
            <v>102</v>
          </cell>
          <cell r="BO7">
            <v>1211</v>
          </cell>
          <cell r="BP7">
            <v>1211</v>
          </cell>
          <cell r="BQ7" t="str">
            <v>douzhanshengfuo_a_01,douzhanshengfuo_a_02</v>
          </cell>
          <cell r="BR7" t="str">
            <v>[]</v>
          </cell>
          <cell r="BS7" t="e">
            <v>#VALUE!</v>
          </cell>
          <cell r="BT7" t="str">
            <v>douzhanshengfo</v>
          </cell>
          <cell r="BU7" t="e">
            <v>#VALUE!</v>
          </cell>
          <cell r="BV7" t="str">
            <v>[]</v>
          </cell>
          <cell r="BW7" t="str">
            <v>3-20</v>
          </cell>
        </row>
        <row r="8">
          <cell r="A8">
            <v>1101</v>
          </cell>
          <cell r="B8" t="str">
            <v>二郎神</v>
          </cell>
          <cell r="C8" t="str">
            <v>二郎神在此，妖孽休得猖狂！</v>
          </cell>
          <cell r="D8">
            <v>1</v>
          </cell>
          <cell r="E8">
            <v>1</v>
          </cell>
          <cell r="F8">
            <v>3</v>
          </cell>
          <cell r="G8">
            <v>3</v>
          </cell>
          <cell r="H8" t="str">
            <v>物攻型，负责物理输出</v>
          </cell>
          <cell r="I8">
            <v>150</v>
          </cell>
          <cell r="J8" t="str">
            <v>erlangshen_attack</v>
          </cell>
          <cell r="K8">
            <v>10</v>
          </cell>
          <cell r="L8" t="str">
            <v>erlangshen_skill01,erlangshen_skill02,erlangshen_skill03,erlangshen_skill04</v>
          </cell>
          <cell r="M8" t="str">
            <v>common_fangyu,common_chaofeng</v>
          </cell>
          <cell r="N8" t="str">
            <v>head_erlangshen</v>
          </cell>
          <cell r="O8" t="str">
            <v>chengsebiankuang</v>
          </cell>
          <cell r="P8" t="str">
            <v>erlangshen_actor</v>
          </cell>
          <cell r="Q8">
            <v>1</v>
          </cell>
          <cell r="R8" t="str">
            <v>[]</v>
          </cell>
          <cell r="S8" t="str">
            <v>[]</v>
          </cell>
          <cell r="T8" t="str">
            <v>[]</v>
          </cell>
          <cell r="U8">
            <v>6</v>
          </cell>
          <cell r="V8">
            <v>20</v>
          </cell>
          <cell r="W8">
            <v>5</v>
          </cell>
          <cell r="X8">
            <v>15</v>
          </cell>
          <cell r="Y8">
            <v>8</v>
          </cell>
          <cell r="Z8">
            <v>1</v>
          </cell>
          <cell r="AA8">
            <v>0</v>
          </cell>
          <cell r="AB8">
            <v>0</v>
          </cell>
          <cell r="AC8">
            <v>20000</v>
          </cell>
          <cell r="AD8">
            <v>800</v>
          </cell>
          <cell r="AE8">
            <v>400</v>
          </cell>
          <cell r="AF8">
            <v>400</v>
          </cell>
          <cell r="AG8">
            <v>1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1</v>
          </cell>
          <cell r="AN8">
            <v>0</v>
          </cell>
          <cell r="AO8">
            <v>0</v>
          </cell>
          <cell r="AP8">
            <v>1500</v>
          </cell>
          <cell r="AQ8">
            <v>60</v>
          </cell>
          <cell r="AR8">
            <v>30</v>
          </cell>
          <cell r="AS8">
            <v>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 t="str">
            <v>6301|10</v>
          </cell>
          <cell r="AY8">
            <v>10</v>
          </cell>
          <cell r="AZ8" t="str">
            <v>110101,110102,110103,110104,110105,110106,110107,110108,110109,110110</v>
          </cell>
          <cell r="BA8" t="str">
            <v>5001|50</v>
          </cell>
          <cell r="BB8">
            <v>50</v>
          </cell>
          <cell r="BC8" t="str">
            <v>11111,11113,11121,11130,11134,11138</v>
          </cell>
          <cell r="BD8" t="str">
            <v>[]</v>
          </cell>
          <cell r="BE8" t="str">
            <v>12017,12019,12021,12023</v>
          </cell>
          <cell r="BF8">
            <v>3000</v>
          </cell>
          <cell r="BG8">
            <v>20000</v>
          </cell>
          <cell r="BH8">
            <v>4000</v>
          </cell>
          <cell r="BI8">
            <v>10001</v>
          </cell>
          <cell r="BJ8" t="str">
            <v>[]</v>
          </cell>
          <cell r="BK8">
            <v>0</v>
          </cell>
          <cell r="BL8">
            <v>50000</v>
          </cell>
          <cell r="BM8">
            <v>1.5</v>
          </cell>
          <cell r="BN8">
            <v>102</v>
          </cell>
          <cell r="BO8">
            <v>1101</v>
          </cell>
          <cell r="BP8">
            <v>1101</v>
          </cell>
          <cell r="BQ8" t="str">
            <v>erlangshen_a_01,erlangshen_a_02</v>
          </cell>
          <cell r="BR8" t="str">
            <v>[]</v>
          </cell>
          <cell r="BS8" t="e">
            <v>#VALUE!</v>
          </cell>
          <cell r="BT8" t="str">
            <v>erlangshen</v>
          </cell>
          <cell r="BU8" t="e">
            <v>#VALUE!</v>
          </cell>
          <cell r="BV8" t="str">
            <v>[]</v>
          </cell>
          <cell r="BW8" t="str">
            <v>3-20</v>
          </cell>
        </row>
        <row r="9">
          <cell r="A9">
            <v>1108</v>
          </cell>
          <cell r="B9" t="str">
            <v>托塔天王</v>
          </cell>
          <cell r="C9" t="str">
            <v>百分百空手接白刃。我不会。</v>
          </cell>
          <cell r="D9">
            <v>1</v>
          </cell>
          <cell r="E9">
            <v>1</v>
          </cell>
          <cell r="F9">
            <v>4</v>
          </cell>
          <cell r="G9">
            <v>4</v>
          </cell>
          <cell r="H9" t="str">
            <v>防御型，俗称肉盾，生命值高，防御力强</v>
          </cell>
          <cell r="I9">
            <v>150</v>
          </cell>
          <cell r="J9" t="str">
            <v>tuotatianwang_attack</v>
          </cell>
          <cell r="K9">
            <v>10</v>
          </cell>
          <cell r="L9" t="str">
            <v>tuotatianwang_skill01,tuotatianwang_skill02,tuotatianwang_skill03,tuotatianwang_skill04</v>
          </cell>
          <cell r="M9" t="str">
            <v>common_fangyu,common_chaofeng</v>
          </cell>
          <cell r="N9" t="str">
            <v>head_tuotatianwang</v>
          </cell>
          <cell r="O9" t="str">
            <v>chengsebiankuang</v>
          </cell>
          <cell r="P9" t="str">
            <v>tuotatianwang_actor</v>
          </cell>
          <cell r="Q9">
            <v>1</v>
          </cell>
          <cell r="R9" t="str">
            <v>[]</v>
          </cell>
          <cell r="S9" t="str">
            <v>[]</v>
          </cell>
          <cell r="T9" t="str">
            <v>[]</v>
          </cell>
          <cell r="U9">
            <v>5</v>
          </cell>
          <cell r="V9">
            <v>16</v>
          </cell>
          <cell r="W9">
            <v>3</v>
          </cell>
          <cell r="X9">
            <v>15</v>
          </cell>
          <cell r="Y9">
            <v>8</v>
          </cell>
          <cell r="Z9">
            <v>1</v>
          </cell>
          <cell r="AA9">
            <v>0</v>
          </cell>
          <cell r="AB9">
            <v>0</v>
          </cell>
          <cell r="AC9">
            <v>12500</v>
          </cell>
          <cell r="AD9">
            <v>500</v>
          </cell>
          <cell r="AE9">
            <v>250</v>
          </cell>
          <cell r="AF9">
            <v>250</v>
          </cell>
          <cell r="AG9">
            <v>1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1</v>
          </cell>
          <cell r="AN9">
            <v>0</v>
          </cell>
          <cell r="AO9">
            <v>0</v>
          </cell>
          <cell r="AP9">
            <v>750</v>
          </cell>
          <cell r="AQ9">
            <v>30</v>
          </cell>
          <cell r="AR9">
            <v>15</v>
          </cell>
          <cell r="AS9">
            <v>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 t="str">
            <v>5401|10</v>
          </cell>
          <cell r="AY9">
            <v>10</v>
          </cell>
          <cell r="AZ9" t="str">
            <v>110801,110802,110803,110804,110805,110806,110807,110808,110809,110810</v>
          </cell>
          <cell r="BA9" t="str">
            <v>4001|50</v>
          </cell>
          <cell r="BB9">
            <v>50</v>
          </cell>
          <cell r="BC9" t="str">
            <v>11112,11113,11115,11125,11127,11129</v>
          </cell>
          <cell r="BD9" t="str">
            <v>[]</v>
          </cell>
          <cell r="BE9" t="str">
            <v>12020,12018,12022,12024</v>
          </cell>
          <cell r="BF9">
            <v>2000</v>
          </cell>
          <cell r="BG9">
            <v>20000</v>
          </cell>
          <cell r="BH9">
            <v>4000</v>
          </cell>
          <cell r="BI9">
            <v>10008</v>
          </cell>
          <cell r="BJ9" t="str">
            <v>[]</v>
          </cell>
          <cell r="BK9">
            <v>0</v>
          </cell>
          <cell r="BL9">
            <v>100000</v>
          </cell>
          <cell r="BM9">
            <v>10</v>
          </cell>
          <cell r="BN9">
            <v>101</v>
          </cell>
          <cell r="BO9">
            <v>1108</v>
          </cell>
          <cell r="BP9">
            <v>1108</v>
          </cell>
          <cell r="BQ9" t="str">
            <v>tuotatianwang_a_01,tuotatianwang_a_02</v>
          </cell>
          <cell r="BR9" t="str">
            <v>[]</v>
          </cell>
          <cell r="BS9" t="e">
            <v>#VALUE!</v>
          </cell>
          <cell r="BT9" t="str">
            <v>tuotatianwang</v>
          </cell>
          <cell r="BU9" t="e">
            <v>#VALUE!</v>
          </cell>
          <cell r="BV9" t="str">
            <v>[]</v>
          </cell>
          <cell r="BW9" t="str">
            <v>4-16</v>
          </cell>
          <cell r="BX9">
            <v>20</v>
          </cell>
          <cell r="BY9">
            <v>3000</v>
          </cell>
          <cell r="BZ9">
            <v>6</v>
          </cell>
          <cell r="CA9">
            <v>102</v>
          </cell>
          <cell r="CC9">
            <v>1</v>
          </cell>
          <cell r="CD9" t="str">
            <v>辅助型</v>
          </cell>
          <cell r="CE9">
            <v>3000</v>
          </cell>
          <cell r="CF9">
            <v>1</v>
          </cell>
        </row>
        <row r="10">
          <cell r="A10">
            <v>1113</v>
          </cell>
          <cell r="B10" t="str">
            <v>虎力大仙</v>
          </cell>
          <cell r="C10" t="str">
            <v>买鞋的钱，都拿来强化拳套了。</v>
          </cell>
          <cell r="D10">
            <v>1</v>
          </cell>
          <cell r="E10">
            <v>2</v>
          </cell>
          <cell r="F10">
            <v>4</v>
          </cell>
          <cell r="G10">
            <v>4</v>
          </cell>
          <cell r="H10" t="str">
            <v>防御型，俗称肉盾，生命值高，防御力强</v>
          </cell>
          <cell r="I10">
            <v>150</v>
          </cell>
          <cell r="J10" t="str">
            <v>hulidaxian_attack</v>
          </cell>
          <cell r="K10">
            <v>10</v>
          </cell>
          <cell r="L10" t="str">
            <v>hulidaxian_skill01,hulidaxian_skill02,hulidaxian_skill03,hulidaxian_skill04</v>
          </cell>
          <cell r="M10" t="str">
            <v>common_fangyu,common_chaofeng</v>
          </cell>
          <cell r="N10" t="str">
            <v>head_hulidaxian</v>
          </cell>
          <cell r="O10" t="str">
            <v>chengsebiankuang</v>
          </cell>
          <cell r="P10" t="str">
            <v>hulidaxian_actor</v>
          </cell>
          <cell r="Q10">
            <v>1</v>
          </cell>
          <cell r="R10" t="str">
            <v>[]</v>
          </cell>
          <cell r="S10" t="str">
            <v>[]</v>
          </cell>
          <cell r="T10" t="str">
            <v>[]</v>
          </cell>
          <cell r="U10">
            <v>5</v>
          </cell>
          <cell r="V10">
            <v>16</v>
          </cell>
          <cell r="W10">
            <v>3</v>
          </cell>
          <cell r="X10">
            <v>15</v>
          </cell>
          <cell r="Y10">
            <v>8</v>
          </cell>
          <cell r="Z10">
            <v>1</v>
          </cell>
          <cell r="AA10">
            <v>0</v>
          </cell>
          <cell r="AB10">
            <v>0</v>
          </cell>
          <cell r="AC10">
            <v>12500</v>
          </cell>
          <cell r="AD10">
            <v>500</v>
          </cell>
          <cell r="AE10">
            <v>250</v>
          </cell>
          <cell r="AF10">
            <v>250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1</v>
          </cell>
          <cell r="AN10">
            <v>0</v>
          </cell>
          <cell r="AO10">
            <v>0</v>
          </cell>
          <cell r="AP10">
            <v>750</v>
          </cell>
          <cell r="AQ10">
            <v>30</v>
          </cell>
          <cell r="AR10">
            <v>15</v>
          </cell>
          <cell r="AS10">
            <v>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 t="str">
            <v>5401|10</v>
          </cell>
          <cell r="AY10">
            <v>10</v>
          </cell>
          <cell r="AZ10" t="str">
            <v>111301,111302,111303,111304,111305,111306,111307,111308,111309,111310</v>
          </cell>
          <cell r="BA10" t="str">
            <v>4001|50</v>
          </cell>
          <cell r="BB10">
            <v>50</v>
          </cell>
          <cell r="BC10" t="str">
            <v>11011,11014,11016,11026,11028,11029</v>
          </cell>
          <cell r="BD10" t="str">
            <v>[]</v>
          </cell>
          <cell r="BE10" t="str">
            <v>12020,12018,12022,12024</v>
          </cell>
          <cell r="BF10">
            <v>2000</v>
          </cell>
          <cell r="BG10">
            <v>20000</v>
          </cell>
          <cell r="BH10">
            <v>4000</v>
          </cell>
          <cell r="BI10">
            <v>10013</v>
          </cell>
          <cell r="BJ10" t="str">
            <v>[]</v>
          </cell>
          <cell r="BK10">
            <v>0</v>
          </cell>
          <cell r="BL10">
            <v>100000</v>
          </cell>
          <cell r="BM10">
            <v>10</v>
          </cell>
          <cell r="BN10">
            <v>101</v>
          </cell>
          <cell r="BO10">
            <v>1113</v>
          </cell>
          <cell r="BP10">
            <v>1113</v>
          </cell>
          <cell r="BQ10" t="str">
            <v>hulidaxian_a_01,hulidaxian_a_02</v>
          </cell>
          <cell r="BR10" t="str">
            <v>[]</v>
          </cell>
          <cell r="BS10" t="e">
            <v>#VALUE!</v>
          </cell>
          <cell r="BT10" t="str">
            <v>hulidaxian</v>
          </cell>
          <cell r="BU10" t="e">
            <v>#VALUE!</v>
          </cell>
          <cell r="BV10" t="str">
            <v>[]</v>
          </cell>
          <cell r="BW10" t="str">
            <v>4-16</v>
          </cell>
          <cell r="BX10">
            <v>16</v>
          </cell>
          <cell r="BY10">
            <v>2000</v>
          </cell>
          <cell r="BZ10">
            <v>5</v>
          </cell>
          <cell r="CA10">
            <v>101</v>
          </cell>
          <cell r="CC10">
            <v>2</v>
          </cell>
          <cell r="CD10" t="str">
            <v>远程</v>
          </cell>
          <cell r="CE10">
            <v>6000</v>
          </cell>
          <cell r="CF10">
            <v>1</v>
          </cell>
        </row>
        <row r="11">
          <cell r="A11">
            <v>1120</v>
          </cell>
          <cell r="B11" t="str">
            <v>猪八戒</v>
          </cell>
          <cell r="C11" t="str">
            <v>想当年，我可是大名鼎鼎天蓬元帅！</v>
          </cell>
          <cell r="D11">
            <v>1</v>
          </cell>
          <cell r="E11">
            <v>2</v>
          </cell>
          <cell r="F11">
            <v>4</v>
          </cell>
          <cell r="G11">
            <v>4</v>
          </cell>
          <cell r="H11" t="str">
            <v>防御型，俗称肉盾，生命值高，防御力强</v>
          </cell>
          <cell r="I11">
            <v>150</v>
          </cell>
          <cell r="J11" t="str">
            <v>zhubajie_attack</v>
          </cell>
          <cell r="K11">
            <v>10</v>
          </cell>
          <cell r="L11" t="str">
            <v>zhubajie_skill01,zhubajie_skill02,zhubajie_skill03,zhubajie_skill04</v>
          </cell>
          <cell r="M11" t="str">
            <v>common_fangyu,common_chaofeng</v>
          </cell>
          <cell r="N11" t="str">
            <v>head_zhubajie</v>
          </cell>
          <cell r="O11" t="str">
            <v>chengsebiankuang</v>
          </cell>
          <cell r="P11" t="str">
            <v>zhubajie_actor</v>
          </cell>
          <cell r="Q11">
            <v>1</v>
          </cell>
          <cell r="R11" t="str">
            <v>[]</v>
          </cell>
          <cell r="S11" t="str">
            <v>[]</v>
          </cell>
          <cell r="T11" t="str">
            <v>[]</v>
          </cell>
          <cell r="U11">
            <v>5</v>
          </cell>
          <cell r="V11">
            <v>16</v>
          </cell>
          <cell r="W11">
            <v>3</v>
          </cell>
          <cell r="X11">
            <v>15</v>
          </cell>
          <cell r="Y11">
            <v>8</v>
          </cell>
          <cell r="Z11">
            <v>1</v>
          </cell>
          <cell r="AA11">
            <v>0</v>
          </cell>
          <cell r="AB11">
            <v>0</v>
          </cell>
          <cell r="AC11">
            <v>12500</v>
          </cell>
          <cell r="AD11">
            <v>500</v>
          </cell>
          <cell r="AE11">
            <v>250</v>
          </cell>
          <cell r="AF11">
            <v>250</v>
          </cell>
          <cell r="AG11">
            <v>1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1</v>
          </cell>
          <cell r="AN11">
            <v>0</v>
          </cell>
          <cell r="AO11">
            <v>0</v>
          </cell>
          <cell r="AP11">
            <v>750</v>
          </cell>
          <cell r="AQ11">
            <v>30</v>
          </cell>
          <cell r="AR11">
            <v>15</v>
          </cell>
          <cell r="AS11">
            <v>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 t="str">
            <v>5401|10</v>
          </cell>
          <cell r="AY11">
            <v>10</v>
          </cell>
          <cell r="AZ11" t="str">
            <v>112001,112002,112003,112004,112005,112006,112007,112008,112009,112010</v>
          </cell>
          <cell r="BA11" t="str">
            <v>5001|50</v>
          </cell>
          <cell r="BB11">
            <v>50</v>
          </cell>
          <cell r="BC11" t="str">
            <v>11012,11013,11015,11025,11027,11029</v>
          </cell>
          <cell r="BD11" t="str">
            <v>[]</v>
          </cell>
          <cell r="BE11" t="str">
            <v>12020,12018,12022,12024</v>
          </cell>
          <cell r="BF11">
            <v>2000</v>
          </cell>
          <cell r="BG11">
            <v>20000</v>
          </cell>
          <cell r="BH11">
            <v>4000</v>
          </cell>
          <cell r="BI11">
            <v>10020</v>
          </cell>
          <cell r="BJ11" t="str">
            <v>[]</v>
          </cell>
          <cell r="BK11">
            <v>0</v>
          </cell>
          <cell r="BL11">
            <v>100000</v>
          </cell>
          <cell r="BM11">
            <v>10</v>
          </cell>
          <cell r="BN11">
            <v>101</v>
          </cell>
          <cell r="BO11">
            <v>1120</v>
          </cell>
          <cell r="BP11">
            <v>1120</v>
          </cell>
          <cell r="BQ11" t="str">
            <v>zhubajie_a_01,zhubajie_a_02</v>
          </cell>
          <cell r="BR11" t="str">
            <v>[]</v>
          </cell>
          <cell r="BS11" t="e">
            <v>#VALUE!</v>
          </cell>
          <cell r="BT11" t="str">
            <v>zhubajie</v>
          </cell>
          <cell r="BU11" t="e">
            <v>#VALUE!</v>
          </cell>
          <cell r="BV11" t="str">
            <v>[]</v>
          </cell>
          <cell r="BW11" t="str">
            <v>4-16</v>
          </cell>
          <cell r="BX11">
            <v>13</v>
          </cell>
          <cell r="BY11">
            <v>1400</v>
          </cell>
          <cell r="BZ11">
            <v>4</v>
          </cell>
          <cell r="CA11">
            <v>100</v>
          </cell>
          <cell r="CC11">
            <v>3</v>
          </cell>
          <cell r="CD11" t="str">
            <v>近战</v>
          </cell>
          <cell r="CE11">
            <v>10000</v>
          </cell>
          <cell r="CF11">
            <v>1.5</v>
          </cell>
        </row>
        <row r="12">
          <cell r="A12">
            <v>1127</v>
          </cell>
          <cell r="B12" t="str">
            <v>弥勒佛</v>
          </cell>
          <cell r="C12" t="str">
            <v>做人呢，既要有肚，也要有量！</v>
          </cell>
          <cell r="D12">
            <v>1</v>
          </cell>
          <cell r="E12">
            <v>3</v>
          </cell>
          <cell r="F12">
            <v>4</v>
          </cell>
          <cell r="G12">
            <v>4</v>
          </cell>
          <cell r="H12" t="str">
            <v>防御型，俗称肉盾，生命值高，防御力强</v>
          </cell>
          <cell r="I12">
            <v>150</v>
          </cell>
          <cell r="J12" t="str">
            <v>milefo_attack</v>
          </cell>
          <cell r="K12">
            <v>10</v>
          </cell>
          <cell r="L12" t="str">
            <v>milefo_skill01,milefo_skill02,milefo_skill03,milefo_skill04</v>
          </cell>
          <cell r="M12" t="str">
            <v>common_fangyu,common_chaofeng</v>
          </cell>
          <cell r="N12" t="str">
            <v>head_milefo</v>
          </cell>
          <cell r="O12" t="str">
            <v>chengsebiankuang</v>
          </cell>
          <cell r="P12" t="str">
            <v>milefo_actor</v>
          </cell>
          <cell r="Q12">
            <v>1</v>
          </cell>
          <cell r="R12" t="str">
            <v>[]</v>
          </cell>
          <cell r="S12" t="str">
            <v>[]</v>
          </cell>
          <cell r="T12" t="str">
            <v>[]</v>
          </cell>
          <cell r="U12">
            <v>5</v>
          </cell>
          <cell r="V12">
            <v>16</v>
          </cell>
          <cell r="W12">
            <v>3</v>
          </cell>
          <cell r="X12">
            <v>15</v>
          </cell>
          <cell r="Y12">
            <v>8</v>
          </cell>
          <cell r="Z12">
            <v>1</v>
          </cell>
          <cell r="AA12">
            <v>0</v>
          </cell>
          <cell r="AB12">
            <v>0</v>
          </cell>
          <cell r="AC12">
            <v>12500</v>
          </cell>
          <cell r="AD12">
            <v>500</v>
          </cell>
          <cell r="AE12">
            <v>250</v>
          </cell>
          <cell r="AF12">
            <v>250</v>
          </cell>
          <cell r="AG12">
            <v>1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1</v>
          </cell>
          <cell r="AN12">
            <v>0</v>
          </cell>
          <cell r="AO12">
            <v>0</v>
          </cell>
          <cell r="AP12">
            <v>750</v>
          </cell>
          <cell r="AQ12">
            <v>30</v>
          </cell>
          <cell r="AR12">
            <v>15</v>
          </cell>
          <cell r="AS12">
            <v>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 t="str">
            <v>5401|10</v>
          </cell>
          <cell r="AY12">
            <v>10</v>
          </cell>
          <cell r="AZ12" t="str">
            <v>112701,112702,112703,112704,112705,112706,112707,112708,112709,112710</v>
          </cell>
          <cell r="BA12" t="str">
            <v>4001|50</v>
          </cell>
          <cell r="BB12">
            <v>50</v>
          </cell>
          <cell r="BC12" t="str">
            <v>11211,11214,11216,11226,11228,11229</v>
          </cell>
          <cell r="BD12" t="str">
            <v>[]</v>
          </cell>
          <cell r="BE12" t="str">
            <v>12020,12018,12022,12024</v>
          </cell>
          <cell r="BF12">
            <v>2000</v>
          </cell>
          <cell r="BG12">
            <v>20000</v>
          </cell>
          <cell r="BH12">
            <v>4000</v>
          </cell>
          <cell r="BI12">
            <v>10027</v>
          </cell>
          <cell r="BJ12" t="str">
            <v>[]</v>
          </cell>
          <cell r="BK12">
            <v>0</v>
          </cell>
          <cell r="BL12">
            <v>100000</v>
          </cell>
          <cell r="BM12">
            <v>10</v>
          </cell>
          <cell r="BN12">
            <v>101</v>
          </cell>
          <cell r="BO12">
            <v>1127</v>
          </cell>
          <cell r="BP12">
            <v>1127</v>
          </cell>
          <cell r="BQ12" t="str">
            <v>milefuo_a_01,milefuo_a_02</v>
          </cell>
          <cell r="BR12" t="str">
            <v>[]</v>
          </cell>
          <cell r="BS12" t="e">
            <v>#VALUE!</v>
          </cell>
          <cell r="BT12" t="str">
            <v>milefo</v>
          </cell>
          <cell r="BU12" t="e">
            <v>#VALUE!</v>
          </cell>
          <cell r="BV12" t="str">
            <v>[]</v>
          </cell>
          <cell r="BW12" t="str">
            <v>4-16</v>
          </cell>
          <cell r="BX12">
            <v>11</v>
          </cell>
          <cell r="BY12">
            <v>400</v>
          </cell>
          <cell r="BZ12">
            <v>3</v>
          </cell>
          <cell r="CA12">
            <v>100</v>
          </cell>
          <cell r="CC12">
            <v>4</v>
          </cell>
          <cell r="CD12" t="str">
            <v>防御型</v>
          </cell>
          <cell r="CE12">
            <v>30000</v>
          </cell>
          <cell r="CF12">
            <v>10</v>
          </cell>
        </row>
        <row r="13">
          <cell r="A13">
            <v>1212</v>
          </cell>
          <cell r="B13" t="str">
            <v>金蝉子</v>
          </cell>
          <cell r="C13" t="str">
            <v>想见如来？先得过我这关！</v>
          </cell>
          <cell r="D13">
            <v>1</v>
          </cell>
          <cell r="E13">
            <v>3</v>
          </cell>
          <cell r="F13">
            <v>4</v>
          </cell>
          <cell r="G13">
            <v>4</v>
          </cell>
          <cell r="H13" t="str">
            <v>防御型，俗称肉盾，生命值高，防御力强</v>
          </cell>
          <cell r="I13">
            <v>150</v>
          </cell>
          <cell r="J13" t="str">
            <v>jinchanzi_attack</v>
          </cell>
          <cell r="K13">
            <v>10</v>
          </cell>
          <cell r="L13" t="str">
            <v>jinchanzi_skill01,jinchanzi_skill02,jinchanzi_skill03,jinchanzi_skill04</v>
          </cell>
          <cell r="M13" t="str">
            <v>common_fangyu,common_chaofeng</v>
          </cell>
          <cell r="N13" t="str">
            <v>head_jinchanzi</v>
          </cell>
          <cell r="O13" t="str">
            <v>chengsebiankuang</v>
          </cell>
          <cell r="P13" t="str">
            <v>jinchanzi_actor</v>
          </cell>
          <cell r="Q13">
            <v>1</v>
          </cell>
          <cell r="R13" t="str">
            <v>[]</v>
          </cell>
          <cell r="S13" t="str">
            <v>[]</v>
          </cell>
          <cell r="T13" t="str">
            <v>[]</v>
          </cell>
          <cell r="U13">
            <v>5</v>
          </cell>
          <cell r="V13">
            <v>16</v>
          </cell>
          <cell r="W13">
            <v>3</v>
          </cell>
          <cell r="X13">
            <v>15</v>
          </cell>
          <cell r="Y13">
            <v>8</v>
          </cell>
          <cell r="Z13">
            <v>1</v>
          </cell>
          <cell r="AA13">
            <v>0</v>
          </cell>
          <cell r="AB13">
            <v>0</v>
          </cell>
          <cell r="AC13">
            <v>12500</v>
          </cell>
          <cell r="AD13">
            <v>500</v>
          </cell>
          <cell r="AE13">
            <v>250</v>
          </cell>
          <cell r="AF13">
            <v>250</v>
          </cell>
          <cell r="AG13">
            <v>1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1</v>
          </cell>
          <cell r="AN13">
            <v>0</v>
          </cell>
          <cell r="AO13">
            <v>0</v>
          </cell>
          <cell r="AP13">
            <v>750</v>
          </cell>
          <cell r="AQ13">
            <v>30</v>
          </cell>
          <cell r="AR13">
            <v>15</v>
          </cell>
          <cell r="AS13">
            <v>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 t="str">
            <v>5401|10</v>
          </cell>
          <cell r="AY13">
            <v>10</v>
          </cell>
          <cell r="AZ13" t="str">
            <v>121201,121202,121203,121204,121205,121206,121207,121208,121209,121210</v>
          </cell>
          <cell r="BA13" t="str">
            <v>4001|50</v>
          </cell>
          <cell r="BB13">
            <v>50</v>
          </cell>
          <cell r="BC13" t="str">
            <v>11212,11213,11215,11225,11227,11229</v>
          </cell>
          <cell r="BD13" t="str">
            <v>[]</v>
          </cell>
          <cell r="BE13" t="str">
            <v>12020,12018,12022,12024</v>
          </cell>
          <cell r="BF13">
            <v>2000</v>
          </cell>
          <cell r="BG13">
            <v>20000</v>
          </cell>
          <cell r="BH13">
            <v>4000</v>
          </cell>
          <cell r="BI13">
            <v>10112</v>
          </cell>
          <cell r="BJ13" t="str">
            <v>[]</v>
          </cell>
          <cell r="BK13">
            <v>0</v>
          </cell>
          <cell r="BL13">
            <v>100000</v>
          </cell>
          <cell r="BM13">
            <v>10</v>
          </cell>
          <cell r="BN13">
            <v>101</v>
          </cell>
          <cell r="BO13">
            <v>1212</v>
          </cell>
          <cell r="BP13">
            <v>1212</v>
          </cell>
          <cell r="BQ13" t="str">
            <v>jinchanzi_a_01_01,jinchanzi_a_01_03,jinchanzi_a_02_01,jinchanzi_a_02_02</v>
          </cell>
          <cell r="BR13" t="str">
            <v>[]</v>
          </cell>
          <cell r="BS13" t="e">
            <v>#VALUE!</v>
          </cell>
          <cell r="BT13" t="str">
            <v>jinchanzi</v>
          </cell>
          <cell r="BU13" t="e">
            <v>#VALUE!</v>
          </cell>
          <cell r="BV13" t="str">
            <v>[]</v>
          </cell>
          <cell r="BW13" t="str">
            <v>4-16</v>
          </cell>
          <cell r="BX13">
            <v>6</v>
          </cell>
          <cell r="BY13">
            <v>40</v>
          </cell>
          <cell r="BZ13">
            <v>2</v>
          </cell>
          <cell r="CA13">
            <v>100</v>
          </cell>
          <cell r="CC13">
            <v>5</v>
          </cell>
          <cell r="CD13" t="str">
            <v>主角</v>
          </cell>
          <cell r="CE13">
            <v>1000</v>
          </cell>
          <cell r="CF13">
            <v>0</v>
          </cell>
        </row>
        <row r="14">
          <cell r="A14">
            <v>1219</v>
          </cell>
          <cell r="B14" t="str">
            <v>黑无常</v>
          </cell>
          <cell r="C14" t="str">
            <v>妖刀村雨，有死无生！</v>
          </cell>
          <cell r="D14">
            <v>1</v>
          </cell>
          <cell r="E14">
            <v>1</v>
          </cell>
          <cell r="F14">
            <v>4</v>
          </cell>
          <cell r="G14">
            <v>4</v>
          </cell>
          <cell r="H14" t="str">
            <v>防御型，俗称肉盾，生命值高，防御力强</v>
          </cell>
          <cell r="I14">
            <v>150</v>
          </cell>
          <cell r="J14" t="str">
            <v>heiwuchang_attack</v>
          </cell>
          <cell r="K14">
            <v>10</v>
          </cell>
          <cell r="L14" t="str">
            <v>heiwuchang_skill01,heiwuchang_skill02,heiwuchang_skill03,heiwuchang_skill04</v>
          </cell>
          <cell r="M14" t="str">
            <v>common_fangyu,common_chaofeng</v>
          </cell>
          <cell r="N14" t="str">
            <v>head_heiwuchang</v>
          </cell>
          <cell r="O14" t="str">
            <v>chengsebiankuang</v>
          </cell>
          <cell r="P14" t="str">
            <v>heiwuchang_actor</v>
          </cell>
          <cell r="Q14">
            <v>1</v>
          </cell>
          <cell r="R14" t="str">
            <v>[]</v>
          </cell>
          <cell r="S14" t="str">
            <v>[]</v>
          </cell>
          <cell r="T14" t="str">
            <v>[]</v>
          </cell>
          <cell r="U14">
            <v>5</v>
          </cell>
          <cell r="V14">
            <v>16</v>
          </cell>
          <cell r="W14">
            <v>3</v>
          </cell>
          <cell r="X14">
            <v>15</v>
          </cell>
          <cell r="Y14">
            <v>8</v>
          </cell>
          <cell r="Z14">
            <v>1</v>
          </cell>
          <cell r="AA14">
            <v>0</v>
          </cell>
          <cell r="AB14">
            <v>0</v>
          </cell>
          <cell r="AC14">
            <v>12500</v>
          </cell>
          <cell r="AD14">
            <v>500</v>
          </cell>
          <cell r="AE14">
            <v>250</v>
          </cell>
          <cell r="AF14">
            <v>250</v>
          </cell>
          <cell r="AG14">
            <v>1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1</v>
          </cell>
          <cell r="AN14">
            <v>0</v>
          </cell>
          <cell r="AO14">
            <v>0</v>
          </cell>
          <cell r="AP14">
            <v>750</v>
          </cell>
          <cell r="AQ14">
            <v>30</v>
          </cell>
          <cell r="AR14">
            <v>15</v>
          </cell>
          <cell r="AS14">
            <v>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 t="str">
            <v>5401|10</v>
          </cell>
          <cell r="AY14">
            <v>10</v>
          </cell>
          <cell r="AZ14" t="str">
            <v>121901,121902,121903,121904,121905,121906,121907,121908,121909,121910</v>
          </cell>
          <cell r="BA14" t="str">
            <v>4001|50</v>
          </cell>
          <cell r="BB14">
            <v>50</v>
          </cell>
          <cell r="BC14" t="str">
            <v>11111,11114,11116,11126,11128,11129</v>
          </cell>
          <cell r="BD14" t="str">
            <v>[]</v>
          </cell>
          <cell r="BE14" t="str">
            <v>12020,12018,12022,12024</v>
          </cell>
          <cell r="BF14">
            <v>2000</v>
          </cell>
          <cell r="BG14">
            <v>20000</v>
          </cell>
          <cell r="BH14">
            <v>4000</v>
          </cell>
          <cell r="BI14">
            <v>10119</v>
          </cell>
          <cell r="BJ14" t="str">
            <v>[]</v>
          </cell>
          <cell r="BK14">
            <v>0</v>
          </cell>
          <cell r="BL14">
            <v>100000</v>
          </cell>
          <cell r="BM14">
            <v>10</v>
          </cell>
          <cell r="BN14">
            <v>101</v>
          </cell>
          <cell r="BO14">
            <v>1219</v>
          </cell>
          <cell r="BP14">
            <v>1219</v>
          </cell>
          <cell r="BQ14" t="str">
            <v>heiwuchang_a_01,heiwuchang_a_02</v>
          </cell>
          <cell r="BR14" t="str">
            <v>[]</v>
          </cell>
          <cell r="BS14" t="e">
            <v>#VALUE!</v>
          </cell>
          <cell r="BT14" t="str">
            <v>heiwuchang</v>
          </cell>
          <cell r="BU14" t="e">
            <v>#VALUE!</v>
          </cell>
          <cell r="BV14" t="str">
            <v>[]</v>
          </cell>
          <cell r="BW14" t="str">
            <v>4-16</v>
          </cell>
          <cell r="BX14">
            <v>2</v>
          </cell>
          <cell r="BY14">
            <v>20</v>
          </cell>
          <cell r="BZ14">
            <v>1</v>
          </cell>
          <cell r="CA14">
            <v>100</v>
          </cell>
        </row>
        <row r="15">
          <cell r="A15">
            <v>1112</v>
          </cell>
          <cell r="B15" t="str">
            <v>牛魔王</v>
          </cell>
          <cell r="C15" t="str">
            <v>死猴子，竟敢勾引我老婆！</v>
          </cell>
          <cell r="D15">
            <v>1</v>
          </cell>
          <cell r="E15">
            <v>2</v>
          </cell>
          <cell r="F15">
            <v>3</v>
          </cell>
          <cell r="G15">
            <v>3</v>
          </cell>
          <cell r="H15" t="str">
            <v>物攻型，负责物理输出</v>
          </cell>
          <cell r="I15">
            <v>150</v>
          </cell>
          <cell r="J15" t="str">
            <v>niumowang_attack</v>
          </cell>
          <cell r="K15">
            <v>10</v>
          </cell>
          <cell r="L15" t="str">
            <v>niumowang_skill01,niumowang_skill02,niumowang_skill03,niumowang_skill04</v>
          </cell>
          <cell r="M15" t="str">
            <v>common_fangyu,common_chaofeng</v>
          </cell>
          <cell r="N15" t="str">
            <v>head_niumowang</v>
          </cell>
          <cell r="O15" t="str">
            <v>chengsebiankuang</v>
          </cell>
          <cell r="P15" t="str">
            <v>niumowang_actor</v>
          </cell>
          <cell r="Q15">
            <v>1</v>
          </cell>
          <cell r="R15" t="str">
            <v>[]</v>
          </cell>
          <cell r="S15" t="str">
            <v>[]</v>
          </cell>
          <cell r="T15" t="str">
            <v>[]</v>
          </cell>
          <cell r="U15">
            <v>5</v>
          </cell>
          <cell r="V15">
            <v>16</v>
          </cell>
          <cell r="W15">
            <v>5</v>
          </cell>
          <cell r="X15">
            <v>15</v>
          </cell>
          <cell r="Y15">
            <v>8</v>
          </cell>
          <cell r="Z15">
            <v>1</v>
          </cell>
          <cell r="AA15">
            <v>0</v>
          </cell>
          <cell r="AB15">
            <v>0</v>
          </cell>
          <cell r="AC15">
            <v>12500</v>
          </cell>
          <cell r="AD15">
            <v>500</v>
          </cell>
          <cell r="AE15">
            <v>250</v>
          </cell>
          <cell r="AF15">
            <v>250</v>
          </cell>
          <cell r="AG15">
            <v>1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1</v>
          </cell>
          <cell r="AN15">
            <v>0</v>
          </cell>
          <cell r="AO15">
            <v>0</v>
          </cell>
          <cell r="AP15">
            <v>750</v>
          </cell>
          <cell r="AQ15">
            <v>30</v>
          </cell>
          <cell r="AR15">
            <v>15</v>
          </cell>
          <cell r="AS15">
            <v>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 t="str">
            <v>5301|10</v>
          </cell>
          <cell r="AY15">
            <v>10</v>
          </cell>
          <cell r="AZ15" t="str">
            <v>111201,111202,111203,111204,111205,111206,111207,111208,111209,111210</v>
          </cell>
          <cell r="BA15" t="str">
            <v>5001|50</v>
          </cell>
          <cell r="BB15">
            <v>50</v>
          </cell>
          <cell r="BC15" t="str">
            <v>11012,11014,11023,11031,11035,11040</v>
          </cell>
          <cell r="BD15" t="str">
            <v>[]</v>
          </cell>
          <cell r="BE15" t="str">
            <v>12017,12019,12021,12023</v>
          </cell>
          <cell r="BF15">
            <v>2000</v>
          </cell>
          <cell r="BG15">
            <v>20000</v>
          </cell>
          <cell r="BH15">
            <v>4000</v>
          </cell>
          <cell r="BI15">
            <v>10012</v>
          </cell>
          <cell r="BJ15" t="str">
            <v>[]</v>
          </cell>
          <cell r="BK15">
            <v>0</v>
          </cell>
          <cell r="BL15">
            <v>50000</v>
          </cell>
          <cell r="BM15">
            <v>1.5</v>
          </cell>
          <cell r="BN15">
            <v>101</v>
          </cell>
          <cell r="BO15">
            <v>1112</v>
          </cell>
          <cell r="BP15">
            <v>1112</v>
          </cell>
          <cell r="BQ15" t="str">
            <v>niumowang_a_01,niumowang_a_01_01,niumowang_a_01_02</v>
          </cell>
          <cell r="BR15" t="str">
            <v>[]</v>
          </cell>
          <cell r="BS15" t="e">
            <v>#VALUE!</v>
          </cell>
          <cell r="BT15" t="str">
            <v>niumowang</v>
          </cell>
          <cell r="BU15" t="e">
            <v>#VALUE!</v>
          </cell>
          <cell r="BV15" t="str">
            <v>[]</v>
          </cell>
          <cell r="BW15" t="str">
            <v>3-16</v>
          </cell>
        </row>
        <row r="16">
          <cell r="A16">
            <v>1119</v>
          </cell>
          <cell r="B16" t="str">
            <v>孙悟空</v>
          </cell>
          <cell r="C16" t="str">
            <v>俺老孙要去拯救世界，取经这种事，别找俺！</v>
          </cell>
          <cell r="D16">
            <v>1</v>
          </cell>
          <cell r="E16">
            <v>2</v>
          </cell>
          <cell r="F16">
            <v>3</v>
          </cell>
          <cell r="G16">
            <v>3</v>
          </cell>
          <cell r="H16" t="str">
            <v>物攻型，负责物理输出</v>
          </cell>
          <cell r="I16">
            <v>150</v>
          </cell>
          <cell r="J16" t="str">
            <v>sunwukong_attack</v>
          </cell>
          <cell r="K16">
            <v>10</v>
          </cell>
          <cell r="L16" t="str">
            <v>sunwukong_skill01,sunwukong_skill02,sunwukong_skill03,sunwukong_skill04</v>
          </cell>
          <cell r="M16" t="str">
            <v>common_fangyu,common_chaofeng</v>
          </cell>
          <cell r="N16" t="str">
            <v>head_sunwukong</v>
          </cell>
          <cell r="O16" t="str">
            <v>chengsebiankuang</v>
          </cell>
          <cell r="P16" t="str">
            <v>sunwukong_actor</v>
          </cell>
          <cell r="Q16">
            <v>1</v>
          </cell>
          <cell r="R16" t="str">
            <v>[]</v>
          </cell>
          <cell r="S16" t="str">
            <v>[]</v>
          </cell>
          <cell r="T16" t="str">
            <v>[]</v>
          </cell>
          <cell r="U16">
            <v>6</v>
          </cell>
          <cell r="V16">
            <v>20</v>
          </cell>
          <cell r="W16">
            <v>5</v>
          </cell>
          <cell r="X16">
            <v>15</v>
          </cell>
          <cell r="Y16">
            <v>8</v>
          </cell>
          <cell r="Z16">
            <v>1.25</v>
          </cell>
          <cell r="AA16">
            <v>0</v>
          </cell>
          <cell r="AB16">
            <v>0</v>
          </cell>
          <cell r="AC16">
            <v>20000</v>
          </cell>
          <cell r="AD16">
            <v>800</v>
          </cell>
          <cell r="AE16">
            <v>400</v>
          </cell>
          <cell r="AF16">
            <v>400</v>
          </cell>
          <cell r="AG16">
            <v>1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1</v>
          </cell>
          <cell r="AN16">
            <v>0</v>
          </cell>
          <cell r="AO16">
            <v>0</v>
          </cell>
          <cell r="AP16">
            <v>1500</v>
          </cell>
          <cell r="AQ16">
            <v>60</v>
          </cell>
          <cell r="AR16">
            <v>30</v>
          </cell>
          <cell r="AS16">
            <v>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 t="str">
            <v>6301|10</v>
          </cell>
          <cell r="AY16">
            <v>10</v>
          </cell>
          <cell r="AZ16" t="str">
            <v>111901,111902,111903,111904,111905,111906,111907,111908,111909,111910</v>
          </cell>
          <cell r="BA16" t="str">
            <v>5001|50</v>
          </cell>
          <cell r="BB16">
            <v>50</v>
          </cell>
          <cell r="BC16" t="str">
            <v>11011,11013,11021,11030,11034,11038</v>
          </cell>
          <cell r="BD16" t="str">
            <v>[]</v>
          </cell>
          <cell r="BE16" t="str">
            <v>12017,12019,12021,12023</v>
          </cell>
          <cell r="BF16">
            <v>3000</v>
          </cell>
          <cell r="BG16">
            <v>20000</v>
          </cell>
          <cell r="BH16">
            <v>4000</v>
          </cell>
          <cell r="BI16">
            <v>10019</v>
          </cell>
          <cell r="BJ16" t="str">
            <v>[]</v>
          </cell>
          <cell r="BK16">
            <v>0</v>
          </cell>
          <cell r="BL16">
            <v>50000</v>
          </cell>
          <cell r="BM16">
            <v>1.5</v>
          </cell>
          <cell r="BN16">
            <v>102</v>
          </cell>
          <cell r="BO16">
            <v>1119</v>
          </cell>
          <cell r="BP16">
            <v>1119</v>
          </cell>
          <cell r="BQ16" t="str">
            <v>sunwukong_a_01,sunwukong_a_02</v>
          </cell>
          <cell r="BR16" t="str">
            <v>[]</v>
          </cell>
          <cell r="BS16" t="e">
            <v>#VALUE!</v>
          </cell>
          <cell r="BT16" t="str">
            <v>sunwukong</v>
          </cell>
          <cell r="BU16" t="e">
            <v>#VALUE!</v>
          </cell>
          <cell r="BV16" t="str">
            <v>[]</v>
          </cell>
          <cell r="BW16" t="str">
            <v>3-20</v>
          </cell>
        </row>
        <row r="17">
          <cell r="A17">
            <v>1105</v>
          </cell>
          <cell r="B17" t="str">
            <v>王母娘娘</v>
          </cell>
          <cell r="C17" t="str">
            <v>没有什么地方可以跟我的瑶池相比。</v>
          </cell>
          <cell r="D17">
            <v>1</v>
          </cell>
          <cell r="E17">
            <v>1</v>
          </cell>
          <cell r="F17">
            <v>2</v>
          </cell>
          <cell r="G17">
            <v>2</v>
          </cell>
          <cell r="H17" t="str">
            <v>法攻型，负责法术输出</v>
          </cell>
          <cell r="I17">
            <v>150</v>
          </cell>
          <cell r="J17" t="str">
            <v>wangmuniangniang_attack</v>
          </cell>
          <cell r="K17">
            <v>10</v>
          </cell>
          <cell r="L17" t="str">
            <v>wangmuniangniang_skill01,wangmuniangniang_skill02,wangmuniangniang_skill03,wangmuniangniang_skill04</v>
          </cell>
          <cell r="M17" t="str">
            <v>common_fangyu,common_chaofeng</v>
          </cell>
          <cell r="N17" t="str">
            <v>head_wangmuniangniang</v>
          </cell>
          <cell r="O17" t="str">
            <v>chengsebiankuang</v>
          </cell>
          <cell r="P17" t="str">
            <v>wangmuniangniang_actor</v>
          </cell>
          <cell r="Q17">
            <v>1</v>
          </cell>
          <cell r="R17" t="str">
            <v>[]</v>
          </cell>
          <cell r="S17" t="str">
            <v>[]</v>
          </cell>
          <cell r="T17" t="str">
            <v>[]</v>
          </cell>
          <cell r="U17">
            <v>6</v>
          </cell>
          <cell r="V17">
            <v>20</v>
          </cell>
          <cell r="W17">
            <v>9</v>
          </cell>
          <cell r="X17">
            <v>15</v>
          </cell>
          <cell r="Y17">
            <v>8</v>
          </cell>
          <cell r="Z17">
            <v>0.8</v>
          </cell>
          <cell r="AA17">
            <v>0</v>
          </cell>
          <cell r="AB17">
            <v>0</v>
          </cell>
          <cell r="AC17">
            <v>20000</v>
          </cell>
          <cell r="AD17">
            <v>800</v>
          </cell>
          <cell r="AE17">
            <v>400</v>
          </cell>
          <cell r="AF17">
            <v>400</v>
          </cell>
          <cell r="AG17">
            <v>1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1</v>
          </cell>
          <cell r="AN17">
            <v>0</v>
          </cell>
          <cell r="AO17">
            <v>0</v>
          </cell>
          <cell r="AP17">
            <v>1500</v>
          </cell>
          <cell r="AQ17">
            <v>60</v>
          </cell>
          <cell r="AR17">
            <v>30</v>
          </cell>
          <cell r="AS17">
            <v>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 t="str">
            <v>6201|10</v>
          </cell>
          <cell r="AY17">
            <v>10</v>
          </cell>
          <cell r="AZ17" t="str">
            <v>110501,110502,110503,110504,110505,110506,110507,110508,110509,110510</v>
          </cell>
          <cell r="BA17" t="str">
            <v>4001|50</v>
          </cell>
          <cell r="BB17">
            <v>50</v>
          </cell>
          <cell r="BC17" t="str">
            <v>11111,11113,11122,11132,11136,11139</v>
          </cell>
          <cell r="BD17" t="str">
            <v>[]</v>
          </cell>
          <cell r="BE17" t="str">
            <v>12017,12019,12021,12023</v>
          </cell>
          <cell r="BF17">
            <v>3000</v>
          </cell>
          <cell r="BG17">
            <v>20000</v>
          </cell>
          <cell r="BH17">
            <v>4000</v>
          </cell>
          <cell r="BI17">
            <v>10005</v>
          </cell>
          <cell r="BJ17" t="str">
            <v>[]</v>
          </cell>
          <cell r="BK17">
            <v>0</v>
          </cell>
          <cell r="BL17">
            <v>10000</v>
          </cell>
          <cell r="BM17">
            <v>1</v>
          </cell>
          <cell r="BN17">
            <v>102</v>
          </cell>
          <cell r="BO17">
            <v>1105</v>
          </cell>
          <cell r="BP17">
            <v>1105</v>
          </cell>
          <cell r="BQ17" t="str">
            <v>wangmuniangniang_a_01,wangmuniangniang_a_02</v>
          </cell>
          <cell r="BR17" t="str">
            <v>[]</v>
          </cell>
          <cell r="BS17" t="e">
            <v>#VALUE!</v>
          </cell>
          <cell r="BT17" t="str">
            <v>wangmuniangniang</v>
          </cell>
          <cell r="BU17" t="e">
            <v>#VALUE!</v>
          </cell>
          <cell r="BV17" t="str">
            <v>[]</v>
          </cell>
          <cell r="BW17" t="str">
            <v>2-20</v>
          </cell>
        </row>
        <row r="18">
          <cell r="A18">
            <v>1218</v>
          </cell>
          <cell r="B18" t="str">
            <v>白无常</v>
          </cell>
          <cell r="C18" t="str">
            <v>灵魂就是要被禁锢的。</v>
          </cell>
          <cell r="D18">
            <v>1</v>
          </cell>
          <cell r="E18">
            <v>1</v>
          </cell>
          <cell r="F18">
            <v>2</v>
          </cell>
          <cell r="G18">
            <v>2</v>
          </cell>
          <cell r="H18" t="str">
            <v>法攻型，负责法术输出</v>
          </cell>
          <cell r="I18">
            <v>150</v>
          </cell>
          <cell r="J18" t="str">
            <v>baiwuchang_attack</v>
          </cell>
          <cell r="K18">
            <v>10</v>
          </cell>
          <cell r="L18" t="str">
            <v>baiwuchang_skill01,baiwuchang_skill02,baiwuchang_skill03,baiwuchang_skill04</v>
          </cell>
          <cell r="M18" t="str">
            <v>common_fangyu,common_chaofeng</v>
          </cell>
          <cell r="N18" t="str">
            <v>head_baiwuchang</v>
          </cell>
          <cell r="O18" t="str">
            <v>chengsebiankuang</v>
          </cell>
          <cell r="P18" t="str">
            <v>baiwuchang_actor</v>
          </cell>
          <cell r="Q18">
            <v>1</v>
          </cell>
          <cell r="R18" t="str">
            <v>[]</v>
          </cell>
          <cell r="S18" t="str">
            <v>[]</v>
          </cell>
          <cell r="T18" t="str">
            <v>[]</v>
          </cell>
          <cell r="U18">
            <v>5</v>
          </cell>
          <cell r="V18">
            <v>16</v>
          </cell>
          <cell r="W18">
            <v>9</v>
          </cell>
          <cell r="X18">
            <v>15</v>
          </cell>
          <cell r="Y18">
            <v>8</v>
          </cell>
          <cell r="Z18">
            <v>0.8</v>
          </cell>
          <cell r="AA18">
            <v>0</v>
          </cell>
          <cell r="AB18">
            <v>0</v>
          </cell>
          <cell r="AC18">
            <v>12500</v>
          </cell>
          <cell r="AD18">
            <v>500</v>
          </cell>
          <cell r="AE18">
            <v>250</v>
          </cell>
          <cell r="AF18">
            <v>250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1</v>
          </cell>
          <cell r="AN18">
            <v>0</v>
          </cell>
          <cell r="AO18">
            <v>0</v>
          </cell>
          <cell r="AP18">
            <v>750</v>
          </cell>
          <cell r="AQ18">
            <v>30</v>
          </cell>
          <cell r="AR18">
            <v>15</v>
          </cell>
          <cell r="AS18">
            <v>15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 t="str">
            <v>5201|10</v>
          </cell>
          <cell r="AY18">
            <v>10</v>
          </cell>
          <cell r="AZ18" t="str">
            <v>121801,121802,121803,121804,121805,121806,121807,121808,121809,121810</v>
          </cell>
          <cell r="BA18" t="str">
            <v>4001|50</v>
          </cell>
          <cell r="BB18">
            <v>50</v>
          </cell>
          <cell r="BC18" t="str">
            <v>11112,11114,11124,11133,11137,11141</v>
          </cell>
          <cell r="BD18" t="str">
            <v>[]</v>
          </cell>
          <cell r="BE18" t="str">
            <v>12017,12019,12021,12023</v>
          </cell>
          <cell r="BF18">
            <v>2000</v>
          </cell>
          <cell r="BG18">
            <v>20000</v>
          </cell>
          <cell r="BH18">
            <v>4000</v>
          </cell>
          <cell r="BI18">
            <v>10118</v>
          </cell>
          <cell r="BJ18" t="str">
            <v>[]</v>
          </cell>
          <cell r="BK18">
            <v>0</v>
          </cell>
          <cell r="BL18">
            <v>10000</v>
          </cell>
          <cell r="BM18">
            <v>1</v>
          </cell>
          <cell r="BN18">
            <v>101</v>
          </cell>
          <cell r="BO18">
            <v>1218</v>
          </cell>
          <cell r="BP18">
            <v>1218</v>
          </cell>
          <cell r="BQ18" t="str">
            <v>baiwuchang_a_01,baiwuchang_a_02</v>
          </cell>
          <cell r="BR18" t="str">
            <v>[]</v>
          </cell>
          <cell r="BS18" t="e">
            <v>#VALUE!</v>
          </cell>
          <cell r="BT18" t="str">
            <v>baiwuchang</v>
          </cell>
          <cell r="BU18" t="e">
            <v>#VALUE!</v>
          </cell>
          <cell r="BV18" t="str">
            <v>[]</v>
          </cell>
          <cell r="BW18" t="str">
            <v>2-16</v>
          </cell>
        </row>
        <row r="19">
          <cell r="A19">
            <v>1124</v>
          </cell>
          <cell r="B19" t="str">
            <v>沙和尚</v>
          </cell>
          <cell r="C19" t="str">
            <v>大师兄，妖怪被师傅捉走啦~</v>
          </cell>
          <cell r="D19">
            <v>1</v>
          </cell>
          <cell r="E19">
            <v>2</v>
          </cell>
          <cell r="F19">
            <v>2</v>
          </cell>
          <cell r="G19">
            <v>2</v>
          </cell>
          <cell r="H19" t="str">
            <v>法攻型，负责法术输出</v>
          </cell>
          <cell r="I19">
            <v>150</v>
          </cell>
          <cell r="J19" t="str">
            <v>shaheshang_attack</v>
          </cell>
          <cell r="K19">
            <v>10</v>
          </cell>
          <cell r="L19" t="str">
            <v>shaheshang_skill01,shaheshang_skill02,shaheshang_skill03,shaheshang_skill04</v>
          </cell>
          <cell r="M19" t="str">
            <v>common_fangyu,common_chaofeng</v>
          </cell>
          <cell r="N19" t="str">
            <v>head_shaheshang</v>
          </cell>
          <cell r="O19" t="str">
            <v>chengsebiankuang</v>
          </cell>
          <cell r="P19" t="str">
            <v>shaheshang_actor</v>
          </cell>
          <cell r="Q19">
            <v>1</v>
          </cell>
          <cell r="R19" t="str">
            <v>[]</v>
          </cell>
          <cell r="S19" t="str">
            <v>[]</v>
          </cell>
          <cell r="T19" t="str">
            <v>[]</v>
          </cell>
          <cell r="U19">
            <v>6</v>
          </cell>
          <cell r="V19">
            <v>20</v>
          </cell>
          <cell r="W19">
            <v>9</v>
          </cell>
          <cell r="X19">
            <v>15</v>
          </cell>
          <cell r="Y19">
            <v>8</v>
          </cell>
          <cell r="Z19">
            <v>0.8</v>
          </cell>
          <cell r="AA19">
            <v>0</v>
          </cell>
          <cell r="AB19">
            <v>0</v>
          </cell>
          <cell r="AC19">
            <v>20000</v>
          </cell>
          <cell r="AD19">
            <v>800</v>
          </cell>
          <cell r="AE19">
            <v>400</v>
          </cell>
          <cell r="AF19">
            <v>400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1</v>
          </cell>
          <cell r="AN19">
            <v>0</v>
          </cell>
          <cell r="AO19">
            <v>0</v>
          </cell>
          <cell r="AP19">
            <v>1500</v>
          </cell>
          <cell r="AQ19">
            <v>60</v>
          </cell>
          <cell r="AR19">
            <v>30</v>
          </cell>
          <cell r="AS19">
            <v>30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 t="str">
            <v>6201|10</v>
          </cell>
          <cell r="AY19">
            <v>10</v>
          </cell>
          <cell r="AZ19" t="str">
            <v>112401,112402,112403,112404,112405,112406,112407,112408,112409,112410</v>
          </cell>
          <cell r="BA19" t="str">
            <v>4001|50</v>
          </cell>
          <cell r="BB19">
            <v>50</v>
          </cell>
          <cell r="BC19" t="str">
            <v>11011,11013,11022,11032,11036,11039</v>
          </cell>
          <cell r="BD19" t="str">
            <v>[]</v>
          </cell>
          <cell r="BE19" t="str">
            <v>12017,12019,12021,12023</v>
          </cell>
          <cell r="BF19">
            <v>3000</v>
          </cell>
          <cell r="BG19">
            <v>20000</v>
          </cell>
          <cell r="BH19">
            <v>4000</v>
          </cell>
          <cell r="BI19">
            <v>10024</v>
          </cell>
          <cell r="BJ19" t="str">
            <v>[]</v>
          </cell>
          <cell r="BK19">
            <v>0</v>
          </cell>
          <cell r="BL19">
            <v>10000</v>
          </cell>
          <cell r="BM19">
            <v>1</v>
          </cell>
          <cell r="BN19">
            <v>102</v>
          </cell>
          <cell r="BO19">
            <v>1124</v>
          </cell>
          <cell r="BP19">
            <v>1124</v>
          </cell>
          <cell r="BQ19" t="str">
            <v>shaheshang_a_01_01,shaheshang_a_01_02,shaheshang_a_01_03</v>
          </cell>
          <cell r="BR19" t="str">
            <v>[]</v>
          </cell>
          <cell r="BS19" t="e">
            <v>#VALUE!</v>
          </cell>
          <cell r="BT19" t="str">
            <v>shaheshang</v>
          </cell>
          <cell r="BU19" t="e">
            <v>#VALUE!</v>
          </cell>
          <cell r="BV19" t="str">
            <v>[]</v>
          </cell>
          <cell r="BW19" t="str">
            <v>2-20</v>
          </cell>
        </row>
        <row r="20">
          <cell r="A20">
            <v>1126</v>
          </cell>
          <cell r="B20" t="str">
            <v>文殊菩萨</v>
          </cell>
          <cell r="C20" t="str">
            <v>紫霞，你区区一根灯芯，也配拥有幸福？</v>
          </cell>
          <cell r="D20">
            <v>1</v>
          </cell>
          <cell r="E20">
            <v>3</v>
          </cell>
          <cell r="F20">
            <v>1</v>
          </cell>
          <cell r="G20">
            <v>1</v>
          </cell>
          <cell r="H20" t="str">
            <v>辅助型，提供支援或给受伤的队友疗伤</v>
          </cell>
          <cell r="I20">
            <v>150</v>
          </cell>
          <cell r="J20" t="str">
            <v>wenshupusa_attack</v>
          </cell>
          <cell r="K20">
            <v>10</v>
          </cell>
          <cell r="L20" t="str">
            <v>wenshupusa_skill01,wenshupusa_skill02,wenshupusa_skill03,wenshupusa_skill04</v>
          </cell>
          <cell r="M20" t="str">
            <v>common_fangyu,common_chaofeng</v>
          </cell>
          <cell r="N20" t="str">
            <v>head_wenshupusa</v>
          </cell>
          <cell r="O20" t="str">
            <v>chengsebiankuang</v>
          </cell>
          <cell r="P20" t="str">
            <v>wenshupusa_actor</v>
          </cell>
          <cell r="Q20">
            <v>1</v>
          </cell>
          <cell r="R20" t="str">
            <v>[]</v>
          </cell>
          <cell r="S20" t="str">
            <v>[]</v>
          </cell>
          <cell r="T20" t="str">
            <v>[]</v>
          </cell>
          <cell r="U20">
            <v>4</v>
          </cell>
          <cell r="V20">
            <v>13</v>
          </cell>
          <cell r="W20">
            <v>9</v>
          </cell>
          <cell r="X20">
            <v>15</v>
          </cell>
          <cell r="Y20">
            <v>8</v>
          </cell>
          <cell r="Z20">
            <v>1</v>
          </cell>
          <cell r="AA20">
            <v>0</v>
          </cell>
          <cell r="AB20">
            <v>0</v>
          </cell>
          <cell r="AC20">
            <v>7500</v>
          </cell>
          <cell r="AD20">
            <v>300</v>
          </cell>
          <cell r="AE20">
            <v>150</v>
          </cell>
          <cell r="AF20">
            <v>150</v>
          </cell>
          <cell r="AG20">
            <v>1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1</v>
          </cell>
          <cell r="AN20">
            <v>0</v>
          </cell>
          <cell r="AO20">
            <v>0</v>
          </cell>
          <cell r="AP20">
            <v>625</v>
          </cell>
          <cell r="AQ20">
            <v>25</v>
          </cell>
          <cell r="AR20">
            <v>13</v>
          </cell>
          <cell r="AS20">
            <v>13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 t="str">
            <v>4101|10</v>
          </cell>
          <cell r="AY20">
            <v>10</v>
          </cell>
          <cell r="AZ20" t="str">
            <v>112601,112602,112603,112604,112605,112606,112607,112608,112609,112610</v>
          </cell>
          <cell r="BA20" t="str">
            <v>4001|50</v>
          </cell>
          <cell r="BB20">
            <v>50</v>
          </cell>
          <cell r="BC20" t="str">
            <v>11211,11215,11216,11221,11222,11243</v>
          </cell>
          <cell r="BD20" t="str">
            <v>[]</v>
          </cell>
          <cell r="BE20" t="str">
            <v>12020,12018,12022,12024</v>
          </cell>
          <cell r="BF20">
            <v>1400</v>
          </cell>
          <cell r="BG20">
            <v>20000</v>
          </cell>
          <cell r="BH20">
            <v>4000</v>
          </cell>
          <cell r="BI20">
            <v>10026</v>
          </cell>
          <cell r="BJ20" t="str">
            <v>[]</v>
          </cell>
          <cell r="BK20">
            <v>0</v>
          </cell>
          <cell r="BL20">
            <v>3000</v>
          </cell>
          <cell r="BM20">
            <v>1</v>
          </cell>
          <cell r="BN20">
            <v>100</v>
          </cell>
          <cell r="BO20">
            <v>1126</v>
          </cell>
          <cell r="BP20">
            <v>1126</v>
          </cell>
          <cell r="BQ20" t="str">
            <v>wenshupusa_a_01,wenshupusa_a_02</v>
          </cell>
          <cell r="BR20" t="str">
            <v>[]</v>
          </cell>
          <cell r="BS20" t="e">
            <v>#VALUE!</v>
          </cell>
          <cell r="BT20" t="str">
            <v>wenshupusa</v>
          </cell>
          <cell r="BU20" t="e">
            <v>#VALUE!</v>
          </cell>
          <cell r="BV20" t="str">
            <v>[]</v>
          </cell>
          <cell r="BW20" t="str">
            <v>1-13</v>
          </cell>
        </row>
        <row r="21">
          <cell r="A21">
            <v>1213</v>
          </cell>
          <cell r="B21" t="str">
            <v>龙帝</v>
          </cell>
          <cell r="C21" t="str">
            <v>颤抖吧凡人，本大爷天生就浪！</v>
          </cell>
          <cell r="D21">
            <v>1</v>
          </cell>
          <cell r="E21">
            <v>3</v>
          </cell>
          <cell r="F21">
            <v>2</v>
          </cell>
          <cell r="G21">
            <v>2</v>
          </cell>
          <cell r="H21" t="str">
            <v>法攻型，负责法术输出</v>
          </cell>
          <cell r="I21">
            <v>150</v>
          </cell>
          <cell r="J21" t="str">
            <v>longdi_attack</v>
          </cell>
          <cell r="K21">
            <v>10</v>
          </cell>
          <cell r="L21" t="str">
            <v>longdi_skill01,longdi_skill02,longdi_skill03,longdi_skill04</v>
          </cell>
          <cell r="M21" t="str">
            <v>common_fangyu,common_chaofeng</v>
          </cell>
          <cell r="N21" t="str">
            <v>head_longdi</v>
          </cell>
          <cell r="O21" t="str">
            <v>chengsebiankuang</v>
          </cell>
          <cell r="P21" t="str">
            <v>longdi_actor</v>
          </cell>
          <cell r="Q21">
            <v>1</v>
          </cell>
          <cell r="R21" t="str">
            <v>[]</v>
          </cell>
          <cell r="S21" t="str">
            <v>[]</v>
          </cell>
          <cell r="T21" t="str">
            <v>[]</v>
          </cell>
          <cell r="U21">
            <v>5</v>
          </cell>
          <cell r="V21">
            <v>16</v>
          </cell>
          <cell r="W21">
            <v>9</v>
          </cell>
          <cell r="X21">
            <v>15</v>
          </cell>
          <cell r="Y21">
            <v>8</v>
          </cell>
          <cell r="Z21">
            <v>0.8</v>
          </cell>
          <cell r="AA21">
            <v>0</v>
          </cell>
          <cell r="AB21">
            <v>0</v>
          </cell>
          <cell r="AC21">
            <v>12500</v>
          </cell>
          <cell r="AD21">
            <v>500</v>
          </cell>
          <cell r="AE21">
            <v>250</v>
          </cell>
          <cell r="AF21">
            <v>250</v>
          </cell>
          <cell r="AG21">
            <v>1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1</v>
          </cell>
          <cell r="AN21">
            <v>0</v>
          </cell>
          <cell r="AO21">
            <v>0</v>
          </cell>
          <cell r="AP21">
            <v>750</v>
          </cell>
          <cell r="AQ21">
            <v>30</v>
          </cell>
          <cell r="AR21">
            <v>15</v>
          </cell>
          <cell r="AS21">
            <v>15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 t="str">
            <v>5201|10</v>
          </cell>
          <cell r="AY21">
            <v>10</v>
          </cell>
          <cell r="AZ21" t="str">
            <v>121301,121302,121303,121304,121305,121306,121307,121308,121309,121310</v>
          </cell>
          <cell r="BA21" t="str">
            <v>4001|50</v>
          </cell>
          <cell r="BB21">
            <v>50</v>
          </cell>
          <cell r="BC21" t="str">
            <v>11212,11214,11224,11233,11237,11241</v>
          </cell>
          <cell r="BD21" t="str">
            <v>[]</v>
          </cell>
          <cell r="BE21" t="str">
            <v>12017,12019,12021,12023</v>
          </cell>
          <cell r="BF21">
            <v>2000</v>
          </cell>
          <cell r="BG21">
            <v>20000</v>
          </cell>
          <cell r="BH21">
            <v>4000</v>
          </cell>
          <cell r="BI21">
            <v>10113</v>
          </cell>
          <cell r="BJ21" t="str">
            <v>[]</v>
          </cell>
          <cell r="BK21">
            <v>0</v>
          </cell>
          <cell r="BL21">
            <v>10000</v>
          </cell>
          <cell r="BM21">
            <v>1</v>
          </cell>
          <cell r="BN21">
            <v>101</v>
          </cell>
          <cell r="BO21">
            <v>1213</v>
          </cell>
          <cell r="BP21">
            <v>1213</v>
          </cell>
          <cell r="BQ21" t="str">
            <v>longdi_a_01,longdi_a_02</v>
          </cell>
          <cell r="BR21" t="str">
            <v>[]</v>
          </cell>
          <cell r="BS21" t="e">
            <v>#VALUE!</v>
          </cell>
          <cell r="BT21" t="str">
            <v>longdi</v>
          </cell>
          <cell r="BU21" t="e">
            <v>#VALUE!</v>
          </cell>
          <cell r="BV21" t="str">
            <v>[]</v>
          </cell>
          <cell r="BW21" t="str">
            <v>2-16</v>
          </cell>
        </row>
        <row r="22">
          <cell r="A22">
            <v>1214</v>
          </cell>
          <cell r="B22" t="str">
            <v>八部天龙</v>
          </cell>
          <cell r="C22" t="str">
            <v>纵行山河万里，肆意九州五岳</v>
          </cell>
          <cell r="D22">
            <v>1</v>
          </cell>
          <cell r="E22">
            <v>3</v>
          </cell>
          <cell r="F22">
            <v>3</v>
          </cell>
          <cell r="G22">
            <v>3</v>
          </cell>
          <cell r="H22" t="str">
            <v>物攻型，负责物理输出</v>
          </cell>
          <cell r="I22">
            <v>150</v>
          </cell>
          <cell r="J22" t="str">
            <v>babutianlong_attack</v>
          </cell>
          <cell r="K22">
            <v>10</v>
          </cell>
          <cell r="L22" t="str">
            <v>babutianlong_skill01,babutianlong_skill02,babutianlong_skill03,babutianlong_skill04</v>
          </cell>
          <cell r="M22" t="str">
            <v>common_fangyu,common_chaofeng</v>
          </cell>
          <cell r="N22" t="str">
            <v>head_babutianlong</v>
          </cell>
          <cell r="O22" t="str">
            <v>chengsebiankuang</v>
          </cell>
          <cell r="P22" t="str">
            <v>babutianlong_actor</v>
          </cell>
          <cell r="Q22">
            <v>1</v>
          </cell>
          <cell r="R22" t="str">
            <v>[]</v>
          </cell>
          <cell r="S22" t="str">
            <v>[]</v>
          </cell>
          <cell r="T22" t="str">
            <v>[]</v>
          </cell>
          <cell r="U22">
            <v>5</v>
          </cell>
          <cell r="V22">
            <v>16</v>
          </cell>
          <cell r="W22">
            <v>5</v>
          </cell>
          <cell r="X22">
            <v>15</v>
          </cell>
          <cell r="Y22">
            <v>8</v>
          </cell>
          <cell r="Z22">
            <v>1</v>
          </cell>
          <cell r="AA22">
            <v>0</v>
          </cell>
          <cell r="AB22">
            <v>0</v>
          </cell>
          <cell r="AC22">
            <v>12500</v>
          </cell>
          <cell r="AD22">
            <v>500</v>
          </cell>
          <cell r="AE22">
            <v>250</v>
          </cell>
          <cell r="AF22">
            <v>250</v>
          </cell>
          <cell r="AG22">
            <v>1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1</v>
          </cell>
          <cell r="AN22">
            <v>0</v>
          </cell>
          <cell r="AO22">
            <v>0</v>
          </cell>
          <cell r="AP22">
            <v>750</v>
          </cell>
          <cell r="AQ22">
            <v>30</v>
          </cell>
          <cell r="AR22">
            <v>15</v>
          </cell>
          <cell r="AS22">
            <v>15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 t="str">
            <v>5301|10</v>
          </cell>
          <cell r="AY22">
            <v>10</v>
          </cell>
          <cell r="AZ22" t="str">
            <v>121401,121402,121403,121404,121405,121406,121407,121408,121409,121410</v>
          </cell>
          <cell r="BA22" t="str">
            <v>4001|50</v>
          </cell>
          <cell r="BB22">
            <v>50</v>
          </cell>
          <cell r="BC22" t="str">
            <v>11212,11214,11223,11231,11235,11240</v>
          </cell>
          <cell r="BD22" t="str">
            <v>[]</v>
          </cell>
          <cell r="BE22" t="str">
            <v>12017,12019,12021,12023</v>
          </cell>
          <cell r="BF22">
            <v>2000</v>
          </cell>
          <cell r="BG22">
            <v>20000</v>
          </cell>
          <cell r="BH22">
            <v>4000</v>
          </cell>
          <cell r="BI22">
            <v>10114</v>
          </cell>
          <cell r="BJ22" t="str">
            <v>[]</v>
          </cell>
          <cell r="BK22">
            <v>0</v>
          </cell>
          <cell r="BL22">
            <v>50000</v>
          </cell>
          <cell r="BM22">
            <v>1.5</v>
          </cell>
          <cell r="BN22">
            <v>101</v>
          </cell>
          <cell r="BO22">
            <v>1214</v>
          </cell>
          <cell r="BP22">
            <v>1214</v>
          </cell>
          <cell r="BQ22" t="str">
            <v>babutianlong_a_01,babutianlong_a_02</v>
          </cell>
          <cell r="BR22" t="str">
            <v>[]</v>
          </cell>
          <cell r="BS22" t="e">
            <v>#VALUE!</v>
          </cell>
          <cell r="BT22" t="str">
            <v>babutianlong</v>
          </cell>
          <cell r="BU22" t="e">
            <v>#VALUE!</v>
          </cell>
          <cell r="BV22" t="str">
            <v>[]</v>
          </cell>
          <cell r="BW22" t="str">
            <v>3-16</v>
          </cell>
        </row>
        <row r="23">
          <cell r="A23">
            <v>1103</v>
          </cell>
          <cell r="B23" t="str">
            <v>嫦娥</v>
          </cell>
          <cell r="C23" t="str">
            <v>后羿又被拉去打排位了，好寂寞啊~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 t="str">
            <v>辅助型，提供支援或给受伤的队友疗伤</v>
          </cell>
          <cell r="I23">
            <v>150</v>
          </cell>
          <cell r="J23" t="str">
            <v>change_attack</v>
          </cell>
          <cell r="K23">
            <v>10</v>
          </cell>
          <cell r="L23" t="str">
            <v>change_skill01,change_skill02,change_skill03,change_skill04</v>
          </cell>
          <cell r="M23" t="str">
            <v>common_fangyu,common_chaofeng</v>
          </cell>
          <cell r="N23" t="str">
            <v>head_change</v>
          </cell>
          <cell r="O23" t="str">
            <v>chengsebiankuang</v>
          </cell>
          <cell r="P23" t="str">
            <v>change_actor</v>
          </cell>
          <cell r="Q23">
            <v>1</v>
          </cell>
          <cell r="R23" t="str">
            <v>[]</v>
          </cell>
          <cell r="S23" t="str">
            <v>[]</v>
          </cell>
          <cell r="T23" t="str">
            <v>[]</v>
          </cell>
          <cell r="U23">
            <v>5</v>
          </cell>
          <cell r="V23">
            <v>16</v>
          </cell>
          <cell r="W23">
            <v>9</v>
          </cell>
          <cell r="X23">
            <v>15</v>
          </cell>
          <cell r="Y23">
            <v>8</v>
          </cell>
          <cell r="Z23">
            <v>1</v>
          </cell>
          <cell r="AA23">
            <v>0</v>
          </cell>
          <cell r="AB23">
            <v>0</v>
          </cell>
          <cell r="AC23">
            <v>12500</v>
          </cell>
          <cell r="AD23">
            <v>500</v>
          </cell>
          <cell r="AE23">
            <v>250</v>
          </cell>
          <cell r="AF23">
            <v>250</v>
          </cell>
          <cell r="AG23">
            <v>1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1</v>
          </cell>
          <cell r="AN23">
            <v>0</v>
          </cell>
          <cell r="AO23">
            <v>0</v>
          </cell>
          <cell r="AP23">
            <v>750</v>
          </cell>
          <cell r="AQ23">
            <v>30</v>
          </cell>
          <cell r="AR23">
            <v>15</v>
          </cell>
          <cell r="AS23">
            <v>15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 t="str">
            <v>5101|10</v>
          </cell>
          <cell r="AY23">
            <v>10</v>
          </cell>
          <cell r="AZ23" t="str">
            <v>110301,110302,110303,110304,110305,110306,110307,110308,110309,110310</v>
          </cell>
          <cell r="BA23" t="str">
            <v>5001|50</v>
          </cell>
          <cell r="BB23">
            <v>50</v>
          </cell>
          <cell r="BC23" t="str">
            <v>11112,11115,11116,11123,11124,11143</v>
          </cell>
          <cell r="BD23" t="str">
            <v>[]</v>
          </cell>
          <cell r="BE23" t="str">
            <v>12020,12018,12022,12024</v>
          </cell>
          <cell r="BF23">
            <v>2000</v>
          </cell>
          <cell r="BG23">
            <v>20000</v>
          </cell>
          <cell r="BH23">
            <v>4000</v>
          </cell>
          <cell r="BI23">
            <v>10003</v>
          </cell>
          <cell r="BJ23" t="str">
            <v>[]</v>
          </cell>
          <cell r="BK23">
            <v>0</v>
          </cell>
          <cell r="BL23">
            <v>3000</v>
          </cell>
          <cell r="BM23">
            <v>1</v>
          </cell>
          <cell r="BN23">
            <v>101</v>
          </cell>
          <cell r="BO23">
            <v>1103</v>
          </cell>
          <cell r="BP23">
            <v>1103</v>
          </cell>
          <cell r="BQ23" t="str">
            <v>change_a_01,change_a_02</v>
          </cell>
          <cell r="BR23" t="str">
            <v>[]</v>
          </cell>
          <cell r="BS23" t="e">
            <v>#VALUE!</v>
          </cell>
          <cell r="BT23" t="str">
            <v>change</v>
          </cell>
          <cell r="BU23" t="e">
            <v>#VALUE!</v>
          </cell>
          <cell r="BV23" t="str">
            <v>[]</v>
          </cell>
          <cell r="BW23" t="str">
            <v>1-16</v>
          </cell>
        </row>
        <row r="24">
          <cell r="A24">
            <v>1109</v>
          </cell>
          <cell r="B24" t="str">
            <v>九天玄女</v>
          </cell>
          <cell r="C24" t="str">
            <v xml:space="preserve">我的美貌，岂是嫦娥所能比的！ 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 t="str">
            <v>辅助型，提供支援或给受伤的队友疗伤</v>
          </cell>
          <cell r="I24">
            <v>150</v>
          </cell>
          <cell r="J24" t="str">
            <v>jiutianxuannv_attack</v>
          </cell>
          <cell r="K24">
            <v>10</v>
          </cell>
          <cell r="L24" t="str">
            <v>jiutianxuannv_skill01,jiutianxuannv_skill02,jiutianxuannv_skill03,jiutianxuannv_skill04</v>
          </cell>
          <cell r="M24" t="str">
            <v>common_fangyu,common_chaofeng</v>
          </cell>
          <cell r="N24" t="str">
            <v>head_jiutianxuannv</v>
          </cell>
          <cell r="O24" t="str">
            <v>chengsebiankuang</v>
          </cell>
          <cell r="P24" t="str">
            <v>jiutianxuannv_actor</v>
          </cell>
          <cell r="Q24">
            <v>1</v>
          </cell>
          <cell r="R24" t="str">
            <v>[]</v>
          </cell>
          <cell r="S24" t="str">
            <v>[]</v>
          </cell>
          <cell r="T24" t="str">
            <v>[]</v>
          </cell>
          <cell r="U24">
            <v>4</v>
          </cell>
          <cell r="V24">
            <v>13</v>
          </cell>
          <cell r="W24">
            <v>9</v>
          </cell>
          <cell r="X24">
            <v>15</v>
          </cell>
          <cell r="Y24">
            <v>8</v>
          </cell>
          <cell r="Z24">
            <v>1</v>
          </cell>
          <cell r="AA24">
            <v>0</v>
          </cell>
          <cell r="AB24">
            <v>0</v>
          </cell>
          <cell r="AC24">
            <v>7500</v>
          </cell>
          <cell r="AD24">
            <v>300</v>
          </cell>
          <cell r="AE24">
            <v>150</v>
          </cell>
          <cell r="AF24">
            <v>150</v>
          </cell>
          <cell r="AG24">
            <v>1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1</v>
          </cell>
          <cell r="AN24">
            <v>0</v>
          </cell>
          <cell r="AO24">
            <v>0</v>
          </cell>
          <cell r="AP24">
            <v>625</v>
          </cell>
          <cell r="AQ24">
            <v>25</v>
          </cell>
          <cell r="AR24">
            <v>13</v>
          </cell>
          <cell r="AS24">
            <v>13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 t="str">
            <v>4101|10</v>
          </cell>
          <cell r="AY24">
            <v>10</v>
          </cell>
          <cell r="AZ24" t="str">
            <v>110901,110902,110903,110904,110905,110906,110907,110908,110909,110910</v>
          </cell>
          <cell r="BA24" t="str">
            <v>4001|50</v>
          </cell>
          <cell r="BB24">
            <v>50</v>
          </cell>
          <cell r="BC24" t="str">
            <v>11111,11115,11116,11121,11122,11143</v>
          </cell>
          <cell r="BD24" t="str">
            <v>[]</v>
          </cell>
          <cell r="BE24" t="str">
            <v>12020,12018,12022,12024</v>
          </cell>
          <cell r="BF24">
            <v>1400</v>
          </cell>
          <cell r="BG24">
            <v>20000</v>
          </cell>
          <cell r="BH24">
            <v>4000</v>
          </cell>
          <cell r="BI24">
            <v>10009</v>
          </cell>
          <cell r="BJ24" t="str">
            <v>[]</v>
          </cell>
          <cell r="BK24">
            <v>0</v>
          </cell>
          <cell r="BL24">
            <v>3000</v>
          </cell>
          <cell r="BM24">
            <v>1</v>
          </cell>
          <cell r="BN24">
            <v>100</v>
          </cell>
          <cell r="BO24">
            <v>1109</v>
          </cell>
          <cell r="BP24">
            <v>1109</v>
          </cell>
          <cell r="BQ24" t="str">
            <v>jiutianxuannv_a_01,jiutianxuannv_a_02</v>
          </cell>
          <cell r="BR24" t="str">
            <v>[]</v>
          </cell>
          <cell r="BS24" t="e">
            <v>#VALUE!</v>
          </cell>
          <cell r="BT24" t="str">
            <v>jiutianxuannv</v>
          </cell>
          <cell r="BU24" t="e">
            <v>#VALUE!</v>
          </cell>
          <cell r="BV24" t="str">
            <v>[]</v>
          </cell>
          <cell r="BW24" t="str">
            <v>1-13</v>
          </cell>
        </row>
        <row r="25">
          <cell r="A25">
            <v>1111</v>
          </cell>
          <cell r="B25" t="str">
            <v>铁扇公主</v>
          </cell>
          <cell r="C25" t="str">
            <v>之前还喊人家小甜甜，现在怎的喊我牛夫人了？</v>
          </cell>
          <cell r="D25">
            <v>1</v>
          </cell>
          <cell r="E25">
            <v>2</v>
          </cell>
          <cell r="F25">
            <v>2</v>
          </cell>
          <cell r="G25">
            <v>2</v>
          </cell>
          <cell r="H25" t="str">
            <v>法攻型，负责法术输出</v>
          </cell>
          <cell r="I25">
            <v>150</v>
          </cell>
          <cell r="J25" t="str">
            <v>tieshangongzhu_attack</v>
          </cell>
          <cell r="K25">
            <v>10</v>
          </cell>
          <cell r="L25" t="str">
            <v>tieshangongzhu_skill01,tieshangongzhu_skill02,tieshangongzhu_skill03,tieshangongzhu_skill04</v>
          </cell>
          <cell r="M25" t="str">
            <v>common_fangyu,common_chaofeng</v>
          </cell>
          <cell r="N25" t="str">
            <v>head_tieshangongzhu</v>
          </cell>
          <cell r="O25" t="str">
            <v>chengsebiankuang</v>
          </cell>
          <cell r="P25" t="str">
            <v>tieshangongzhu_actor</v>
          </cell>
          <cell r="Q25">
            <v>1</v>
          </cell>
          <cell r="R25" t="str">
            <v>[]</v>
          </cell>
          <cell r="S25" t="str">
            <v>[]</v>
          </cell>
          <cell r="T25" t="str">
            <v>[]</v>
          </cell>
          <cell r="U25">
            <v>5</v>
          </cell>
          <cell r="V25">
            <v>16</v>
          </cell>
          <cell r="W25">
            <v>9</v>
          </cell>
          <cell r="X25">
            <v>15</v>
          </cell>
          <cell r="Y25">
            <v>8</v>
          </cell>
          <cell r="Z25">
            <v>0.8</v>
          </cell>
          <cell r="AA25">
            <v>0</v>
          </cell>
          <cell r="AB25">
            <v>0</v>
          </cell>
          <cell r="AC25">
            <v>12500</v>
          </cell>
          <cell r="AD25">
            <v>500</v>
          </cell>
          <cell r="AE25">
            <v>250</v>
          </cell>
          <cell r="AF25">
            <v>250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1</v>
          </cell>
          <cell r="AN25">
            <v>0</v>
          </cell>
          <cell r="AO25">
            <v>0</v>
          </cell>
          <cell r="AP25">
            <v>750</v>
          </cell>
          <cell r="AQ25">
            <v>30</v>
          </cell>
          <cell r="AR25">
            <v>15</v>
          </cell>
          <cell r="AS25">
            <v>15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 t="str">
            <v>5201|10</v>
          </cell>
          <cell r="AY25">
            <v>10</v>
          </cell>
          <cell r="AZ25" t="str">
            <v>111101,111102,111103,111104,111105,111106,111107,111108,111109,111110</v>
          </cell>
          <cell r="BA25" t="str">
            <v>5001|50</v>
          </cell>
          <cell r="BB25">
            <v>50</v>
          </cell>
          <cell r="BC25" t="str">
            <v>11012,11014,11024,11033,11037,11041</v>
          </cell>
          <cell r="BD25" t="str">
            <v>[]</v>
          </cell>
          <cell r="BE25" t="str">
            <v>12017,12019,12021,12023</v>
          </cell>
          <cell r="BF25">
            <v>2000</v>
          </cell>
          <cell r="BG25">
            <v>20000</v>
          </cell>
          <cell r="BH25">
            <v>4000</v>
          </cell>
          <cell r="BI25">
            <v>10011</v>
          </cell>
          <cell r="BJ25" t="str">
            <v>[]</v>
          </cell>
          <cell r="BK25">
            <v>0</v>
          </cell>
          <cell r="BL25">
            <v>10000</v>
          </cell>
          <cell r="BM25">
            <v>1</v>
          </cell>
          <cell r="BN25">
            <v>101</v>
          </cell>
          <cell r="BO25">
            <v>1111</v>
          </cell>
          <cell r="BP25">
            <v>1111</v>
          </cell>
          <cell r="BQ25" t="str">
            <v>tieshangongzhu_a_01,tieshangongzhu_a_02</v>
          </cell>
          <cell r="BR25" t="str">
            <v>[]</v>
          </cell>
          <cell r="BS25" t="e">
            <v>#VALUE!</v>
          </cell>
          <cell r="BT25" t="str">
            <v>tieshangongzhu</v>
          </cell>
          <cell r="BU25" t="e">
            <v>#VALUE!</v>
          </cell>
          <cell r="BV25" t="str">
            <v>[]</v>
          </cell>
          <cell r="BW25" t="str">
            <v>2-16</v>
          </cell>
        </row>
        <row r="26">
          <cell r="A26">
            <v>1116</v>
          </cell>
          <cell r="B26" t="str">
            <v>白骨夫人</v>
          </cell>
          <cell r="C26" t="str">
            <v>唐僧肉，我吃定了！</v>
          </cell>
          <cell r="D26">
            <v>1</v>
          </cell>
          <cell r="E26">
            <v>2</v>
          </cell>
          <cell r="F26">
            <v>1</v>
          </cell>
          <cell r="G26">
            <v>1</v>
          </cell>
          <cell r="H26" t="str">
            <v>辅助型，提供支援或给受伤的队友疗伤</v>
          </cell>
          <cell r="I26">
            <v>150</v>
          </cell>
          <cell r="J26" t="str">
            <v>baigufuren_attack</v>
          </cell>
          <cell r="K26">
            <v>10</v>
          </cell>
          <cell r="L26" t="str">
            <v>baigufuren_skill01,baigufuren_skill02,baigufuren_skill03,baigufuren_skill04</v>
          </cell>
          <cell r="M26" t="str">
            <v>common_fangyu,common_chaofeng</v>
          </cell>
          <cell r="N26" t="str">
            <v>head_baigufuren</v>
          </cell>
          <cell r="O26" t="str">
            <v>chengsebiankuang</v>
          </cell>
          <cell r="P26" t="str">
            <v>baigufuren_actor</v>
          </cell>
          <cell r="Q26">
            <v>1</v>
          </cell>
          <cell r="R26" t="str">
            <v>[]</v>
          </cell>
          <cell r="S26" t="str">
            <v>[]</v>
          </cell>
          <cell r="T26" t="str">
            <v>[]</v>
          </cell>
          <cell r="U26">
            <v>4</v>
          </cell>
          <cell r="V26">
            <v>13</v>
          </cell>
          <cell r="W26">
            <v>9</v>
          </cell>
          <cell r="X26">
            <v>15</v>
          </cell>
          <cell r="Y26">
            <v>8</v>
          </cell>
          <cell r="Z26">
            <v>1</v>
          </cell>
          <cell r="AA26">
            <v>0</v>
          </cell>
          <cell r="AB26">
            <v>0</v>
          </cell>
          <cell r="AC26">
            <v>7500</v>
          </cell>
          <cell r="AD26">
            <v>300</v>
          </cell>
          <cell r="AE26">
            <v>150</v>
          </cell>
          <cell r="AF26">
            <v>150</v>
          </cell>
          <cell r="AG26">
            <v>1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1</v>
          </cell>
          <cell r="AN26">
            <v>0</v>
          </cell>
          <cell r="AO26">
            <v>0</v>
          </cell>
          <cell r="AP26">
            <v>625</v>
          </cell>
          <cell r="AQ26">
            <v>25</v>
          </cell>
          <cell r="AR26">
            <v>13</v>
          </cell>
          <cell r="AS26">
            <v>13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 t="str">
            <v>4101|10</v>
          </cell>
          <cell r="AY26">
            <v>10</v>
          </cell>
          <cell r="AZ26" t="str">
            <v>111601,111602,111603,111604,111605,111606,111607,111608,111609,111610</v>
          </cell>
          <cell r="BA26" t="str">
            <v>4001|50</v>
          </cell>
          <cell r="BB26">
            <v>50</v>
          </cell>
          <cell r="BC26" t="str">
            <v>11011,11015,11016,11021,11022,11043</v>
          </cell>
          <cell r="BD26" t="str">
            <v>[]</v>
          </cell>
          <cell r="BE26" t="str">
            <v>12020,12018,12022,12024</v>
          </cell>
          <cell r="BF26">
            <v>1400</v>
          </cell>
          <cell r="BG26">
            <v>20000</v>
          </cell>
          <cell r="BH26">
            <v>4000</v>
          </cell>
          <cell r="BI26">
            <v>10016</v>
          </cell>
          <cell r="BJ26" t="str">
            <v>[]</v>
          </cell>
          <cell r="BK26">
            <v>0</v>
          </cell>
          <cell r="BL26">
            <v>3000</v>
          </cell>
          <cell r="BM26">
            <v>1</v>
          </cell>
          <cell r="BN26">
            <v>100</v>
          </cell>
          <cell r="BO26">
            <v>1116</v>
          </cell>
          <cell r="BP26">
            <v>1116</v>
          </cell>
          <cell r="BQ26" t="str">
            <v>baigufuren_a_01</v>
          </cell>
          <cell r="BR26" t="str">
            <v>[]</v>
          </cell>
          <cell r="BS26" t="e">
            <v>#VALUE!</v>
          </cell>
          <cell r="BT26" t="str">
            <v>baigufuren</v>
          </cell>
          <cell r="BU26" t="e">
            <v>#VALUE!</v>
          </cell>
          <cell r="BV26" t="str">
            <v>[]</v>
          </cell>
          <cell r="BW26" t="str">
            <v>1-13</v>
          </cell>
        </row>
        <row r="27">
          <cell r="A27">
            <v>1121</v>
          </cell>
          <cell r="B27" t="str">
            <v>紫霞仙子</v>
          </cell>
          <cell r="C27" t="str">
            <v>我的意中人是一个盖世英雄！</v>
          </cell>
          <cell r="D27">
            <v>1</v>
          </cell>
          <cell r="E27">
            <v>3</v>
          </cell>
          <cell r="F27">
            <v>2</v>
          </cell>
          <cell r="G27">
            <v>2</v>
          </cell>
          <cell r="H27" t="str">
            <v>法攻型，负责法术输出</v>
          </cell>
          <cell r="I27">
            <v>150</v>
          </cell>
          <cell r="J27" t="str">
            <v>zixiaxianzi_attack</v>
          </cell>
          <cell r="K27">
            <v>10</v>
          </cell>
          <cell r="L27" t="str">
            <v>zixiaxianzi_skill01,zixiaxianzi_skill02,zixiaxianzi_skill03,zixiaxianzi_skill04</v>
          </cell>
          <cell r="M27" t="str">
            <v>common_fangyu,common_chaofeng</v>
          </cell>
          <cell r="N27" t="str">
            <v>head_zixiaxianzi</v>
          </cell>
          <cell r="O27" t="str">
            <v>chengsebiankuang</v>
          </cell>
          <cell r="P27" t="str">
            <v>zixiaxianzi_actor</v>
          </cell>
          <cell r="Q27">
            <v>1.1000000000000001</v>
          </cell>
          <cell r="R27" t="str">
            <v>[]</v>
          </cell>
          <cell r="S27" t="str">
            <v>[]</v>
          </cell>
          <cell r="T27" t="str">
            <v>[]</v>
          </cell>
          <cell r="U27">
            <v>6</v>
          </cell>
          <cell r="V27">
            <v>20</v>
          </cell>
          <cell r="W27">
            <v>9</v>
          </cell>
          <cell r="X27">
            <v>15</v>
          </cell>
          <cell r="Y27">
            <v>8</v>
          </cell>
          <cell r="Z27">
            <v>0.8</v>
          </cell>
          <cell r="AA27">
            <v>0</v>
          </cell>
          <cell r="AB27">
            <v>0</v>
          </cell>
          <cell r="AC27">
            <v>20000</v>
          </cell>
          <cell r="AD27">
            <v>800</v>
          </cell>
          <cell r="AE27">
            <v>400</v>
          </cell>
          <cell r="AF27">
            <v>400</v>
          </cell>
          <cell r="AG27">
            <v>1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1</v>
          </cell>
          <cell r="AN27">
            <v>0</v>
          </cell>
          <cell r="AO27">
            <v>0</v>
          </cell>
          <cell r="AP27">
            <v>1500</v>
          </cell>
          <cell r="AQ27">
            <v>60</v>
          </cell>
          <cell r="AR27">
            <v>30</v>
          </cell>
          <cell r="AS27">
            <v>30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 t="str">
            <v>6201|10</v>
          </cell>
          <cell r="AY27">
            <v>10</v>
          </cell>
          <cell r="AZ27" t="str">
            <v>112101,112102,112103,112104,112105,112106,112107,112108,112109,112110</v>
          </cell>
          <cell r="BA27" t="str">
            <v>5001|50</v>
          </cell>
          <cell r="BB27">
            <v>50</v>
          </cell>
          <cell r="BC27" t="str">
            <v>11211,11213,11222,11232,11236,11239</v>
          </cell>
          <cell r="BD27" t="str">
            <v>[]</v>
          </cell>
          <cell r="BE27" t="str">
            <v>12017,12019,12021,12023</v>
          </cell>
          <cell r="BF27">
            <v>3000</v>
          </cell>
          <cell r="BG27">
            <v>20000</v>
          </cell>
          <cell r="BH27">
            <v>4000</v>
          </cell>
          <cell r="BI27">
            <v>10021</v>
          </cell>
          <cell r="BJ27" t="str">
            <v>[]</v>
          </cell>
          <cell r="BK27">
            <v>0</v>
          </cell>
          <cell r="BL27">
            <v>10000</v>
          </cell>
          <cell r="BM27">
            <v>1</v>
          </cell>
          <cell r="BN27">
            <v>102</v>
          </cell>
          <cell r="BO27">
            <v>1121</v>
          </cell>
          <cell r="BP27">
            <v>1121</v>
          </cell>
          <cell r="BQ27" t="str">
            <v>zixia_a_01,zixia_a_02_01,zixia_a_02_02</v>
          </cell>
          <cell r="BR27" t="str">
            <v>[]</v>
          </cell>
          <cell r="BS27" t="e">
            <v>#VALUE!</v>
          </cell>
          <cell r="BT27" t="str">
            <v>zixiaxianzi</v>
          </cell>
          <cell r="BU27" t="e">
            <v>#VALUE!</v>
          </cell>
          <cell r="BV27" t="str">
            <v>[]</v>
          </cell>
          <cell r="BW27" t="str">
            <v>2-20</v>
          </cell>
        </row>
        <row r="28">
          <cell r="A28">
            <v>1215</v>
          </cell>
          <cell r="B28" t="str">
            <v>观世音</v>
          </cell>
          <cell r="C28" t="str">
            <v>拯救世界，那是悟空的事，我只要看着就好。</v>
          </cell>
          <cell r="D28">
            <v>1</v>
          </cell>
          <cell r="E28">
            <v>3</v>
          </cell>
          <cell r="F28">
            <v>1</v>
          </cell>
          <cell r="G28">
            <v>1</v>
          </cell>
          <cell r="H28" t="str">
            <v>辅助型，提供支援或给受伤的队友疗伤</v>
          </cell>
          <cell r="I28">
            <v>150</v>
          </cell>
          <cell r="J28" t="str">
            <v>guanshiyin_attack</v>
          </cell>
          <cell r="K28">
            <v>10</v>
          </cell>
          <cell r="L28" t="str">
            <v>guanshiyin_skill01,guanshiyin_skill02,guanshiyin_skill03,guanshiyin_skill04</v>
          </cell>
          <cell r="M28" t="str">
            <v>common_fangyu,common_chaofeng</v>
          </cell>
          <cell r="N28" t="str">
            <v>head_guanshiyin</v>
          </cell>
          <cell r="O28" t="str">
            <v>chengsebiankuang</v>
          </cell>
          <cell r="P28" t="str">
            <v>guanshiyin_actor</v>
          </cell>
          <cell r="Q28">
            <v>1</v>
          </cell>
          <cell r="R28" t="str">
            <v>[]</v>
          </cell>
          <cell r="S28" t="str">
            <v>[]</v>
          </cell>
          <cell r="T28" t="str">
            <v>[]</v>
          </cell>
          <cell r="U28">
            <v>5</v>
          </cell>
          <cell r="V28">
            <v>16</v>
          </cell>
          <cell r="W28">
            <v>9</v>
          </cell>
          <cell r="X28">
            <v>15</v>
          </cell>
          <cell r="Y28">
            <v>8</v>
          </cell>
          <cell r="Z28">
            <v>1</v>
          </cell>
          <cell r="AA28">
            <v>0</v>
          </cell>
          <cell r="AB28">
            <v>0</v>
          </cell>
          <cell r="AC28">
            <v>12500</v>
          </cell>
          <cell r="AD28">
            <v>500</v>
          </cell>
          <cell r="AE28">
            <v>250</v>
          </cell>
          <cell r="AF28">
            <v>250</v>
          </cell>
          <cell r="AG28">
            <v>1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1</v>
          </cell>
          <cell r="AN28">
            <v>0</v>
          </cell>
          <cell r="AO28">
            <v>0</v>
          </cell>
          <cell r="AP28">
            <v>750</v>
          </cell>
          <cell r="AQ28">
            <v>30</v>
          </cell>
          <cell r="AR28">
            <v>15</v>
          </cell>
          <cell r="AS28">
            <v>15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 t="str">
            <v>5101|10</v>
          </cell>
          <cell r="AY28">
            <v>10</v>
          </cell>
          <cell r="AZ28" t="str">
            <v>121501,121502,121503,121504,121505,121506,121507,121508,121509,121510</v>
          </cell>
          <cell r="BA28" t="str">
            <v>4001|50</v>
          </cell>
          <cell r="BB28">
            <v>50</v>
          </cell>
          <cell r="BC28" t="str">
            <v>11212,11215,11216,11223,11224,11243</v>
          </cell>
          <cell r="BD28" t="str">
            <v>[]</v>
          </cell>
          <cell r="BE28" t="str">
            <v>12020,12018,12022,12024</v>
          </cell>
          <cell r="BF28">
            <v>2000</v>
          </cell>
          <cell r="BG28">
            <v>20000</v>
          </cell>
          <cell r="BH28">
            <v>4000</v>
          </cell>
          <cell r="BI28">
            <v>10115</v>
          </cell>
          <cell r="BJ28" t="str">
            <v>[]</v>
          </cell>
          <cell r="BK28">
            <v>0</v>
          </cell>
          <cell r="BL28">
            <v>3000</v>
          </cell>
          <cell r="BM28">
            <v>1</v>
          </cell>
          <cell r="BN28">
            <v>101</v>
          </cell>
          <cell r="BO28">
            <v>1215</v>
          </cell>
          <cell r="BP28">
            <v>1215</v>
          </cell>
          <cell r="BQ28" t="str">
            <v>guanyin_a_01,guanyin_a_02</v>
          </cell>
          <cell r="BR28" t="str">
            <v>[]</v>
          </cell>
          <cell r="BS28" t="e">
            <v>#VALUE!</v>
          </cell>
          <cell r="BT28" t="str">
            <v>guanshiyin</v>
          </cell>
          <cell r="BU28" t="e">
            <v>#VALUE!</v>
          </cell>
          <cell r="BV28" t="str">
            <v>[]</v>
          </cell>
          <cell r="BW28" t="str">
            <v>1-16</v>
          </cell>
        </row>
        <row r="29">
          <cell r="A29">
            <v>1114</v>
          </cell>
          <cell r="B29" t="str">
            <v>鹿力大仙</v>
          </cell>
          <cell r="C29" t="str">
            <v>我家那笨兄长不知道又去哪里装神仙了！</v>
          </cell>
          <cell r="D29">
            <v>1</v>
          </cell>
          <cell r="E29">
            <v>2</v>
          </cell>
          <cell r="F29">
            <v>3</v>
          </cell>
          <cell r="G29">
            <v>3</v>
          </cell>
          <cell r="H29" t="str">
            <v>物攻型，负责物理输出</v>
          </cell>
          <cell r="I29">
            <v>150</v>
          </cell>
          <cell r="J29" t="str">
            <v>lulidaxian_attack</v>
          </cell>
          <cell r="K29">
            <v>10</v>
          </cell>
          <cell r="L29" t="str">
            <v>lulidaxian_skill01,lulidaxian_skill02,lulidaxian_skill03,lulidaxian_skill04</v>
          </cell>
          <cell r="M29" t="str">
            <v>common_fangyu,common_chaofeng</v>
          </cell>
          <cell r="N29" t="str">
            <v>head_lulidaxian</v>
          </cell>
          <cell r="O29" t="str">
            <v>chengsebiankuang</v>
          </cell>
          <cell r="P29" t="str">
            <v>lulidaxian_actor</v>
          </cell>
          <cell r="Q29">
            <v>1</v>
          </cell>
          <cell r="R29" t="str">
            <v>[]</v>
          </cell>
          <cell r="S29" t="str">
            <v>[]</v>
          </cell>
          <cell r="T29" t="str">
            <v>[]</v>
          </cell>
          <cell r="U29">
            <v>4</v>
          </cell>
          <cell r="V29">
            <v>13</v>
          </cell>
          <cell r="W29">
            <v>5</v>
          </cell>
          <cell r="X29">
            <v>15</v>
          </cell>
          <cell r="Y29">
            <v>8</v>
          </cell>
          <cell r="Z29">
            <v>1.25</v>
          </cell>
          <cell r="AA29">
            <v>0</v>
          </cell>
          <cell r="AB29">
            <v>0</v>
          </cell>
          <cell r="AC29">
            <v>7500</v>
          </cell>
          <cell r="AD29">
            <v>300</v>
          </cell>
          <cell r="AE29">
            <v>150</v>
          </cell>
          <cell r="AF29">
            <v>150</v>
          </cell>
          <cell r="AG29">
            <v>1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1</v>
          </cell>
          <cell r="AN29">
            <v>0</v>
          </cell>
          <cell r="AO29">
            <v>0</v>
          </cell>
          <cell r="AP29">
            <v>625</v>
          </cell>
          <cell r="AQ29">
            <v>25</v>
          </cell>
          <cell r="AR29">
            <v>13</v>
          </cell>
          <cell r="AS29">
            <v>13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 t="str">
            <v>4301|10</v>
          </cell>
          <cell r="AY29">
            <v>10</v>
          </cell>
          <cell r="AZ29" t="str">
            <v>111401,111402,111403,111404,111405,111406,111407,111408,111409,111410</v>
          </cell>
          <cell r="BA29" t="str">
            <v>4001|50</v>
          </cell>
          <cell r="BB29">
            <v>50</v>
          </cell>
          <cell r="BC29" t="str">
            <v>11018,11019,11030,11031,11041</v>
          </cell>
          <cell r="BD29" t="str">
            <v>[]</v>
          </cell>
          <cell r="BE29" t="str">
            <v>12017,12019,12021,12023</v>
          </cell>
          <cell r="BF29">
            <v>1400</v>
          </cell>
          <cell r="BG29">
            <v>20000</v>
          </cell>
          <cell r="BH29">
            <v>4000</v>
          </cell>
          <cell r="BI29">
            <v>10014</v>
          </cell>
          <cell r="BJ29" t="str">
            <v>[]</v>
          </cell>
          <cell r="BK29">
            <v>0</v>
          </cell>
          <cell r="BL29">
            <v>50000</v>
          </cell>
          <cell r="BM29">
            <v>1.5</v>
          </cell>
          <cell r="BN29">
            <v>100</v>
          </cell>
          <cell r="BO29">
            <v>1114</v>
          </cell>
          <cell r="BP29">
            <v>1114</v>
          </cell>
          <cell r="BQ29" t="str">
            <v>lulidaxian_a_01</v>
          </cell>
          <cell r="BR29" t="str">
            <v>[]</v>
          </cell>
          <cell r="BS29" t="e">
            <v>#VALUE!</v>
          </cell>
          <cell r="BT29" t="str">
            <v>lulidaxian</v>
          </cell>
          <cell r="BU29" t="e">
            <v>#VALUE!</v>
          </cell>
          <cell r="BV29" t="str">
            <v>[]</v>
          </cell>
          <cell r="BW29" t="str">
            <v>3-13</v>
          </cell>
        </row>
        <row r="30">
          <cell r="A30">
            <v>1110</v>
          </cell>
          <cell r="B30" t="str">
            <v>红孩儿</v>
          </cell>
          <cell r="C30" t="str">
            <v>你是猴子请来搞笑的么？</v>
          </cell>
          <cell r="D30">
            <v>1</v>
          </cell>
          <cell r="E30">
            <v>3</v>
          </cell>
          <cell r="F30">
            <v>3</v>
          </cell>
          <cell r="G30">
            <v>3</v>
          </cell>
          <cell r="H30" t="str">
            <v>物攻型，负责物理输出</v>
          </cell>
          <cell r="I30">
            <v>150</v>
          </cell>
          <cell r="J30" t="str">
            <v>honghaier_attack</v>
          </cell>
          <cell r="K30">
            <v>10</v>
          </cell>
          <cell r="L30" t="str">
            <v>honghaier_skill01,honghaier_skill02,honghaier_skill03,honghaier_skill04</v>
          </cell>
          <cell r="M30" t="str">
            <v>common_fangyu,common_chaofeng</v>
          </cell>
          <cell r="N30" t="str">
            <v>head_honghaier</v>
          </cell>
          <cell r="O30" t="str">
            <v>chengsebiankuang</v>
          </cell>
          <cell r="P30" t="str">
            <v>honghaier_actor</v>
          </cell>
          <cell r="Q30">
            <v>1</v>
          </cell>
          <cell r="R30" t="str">
            <v>[]</v>
          </cell>
          <cell r="S30" t="str">
            <v>[]</v>
          </cell>
          <cell r="T30" t="str">
            <v>[]</v>
          </cell>
          <cell r="U30">
            <v>4</v>
          </cell>
          <cell r="V30">
            <v>13</v>
          </cell>
          <cell r="W30">
            <v>5</v>
          </cell>
          <cell r="X30">
            <v>15</v>
          </cell>
          <cell r="Y30">
            <v>8</v>
          </cell>
          <cell r="Z30">
            <v>1.25</v>
          </cell>
          <cell r="AA30">
            <v>0</v>
          </cell>
          <cell r="AB30">
            <v>0</v>
          </cell>
          <cell r="AC30">
            <v>7500</v>
          </cell>
          <cell r="AD30">
            <v>300</v>
          </cell>
          <cell r="AE30">
            <v>150</v>
          </cell>
          <cell r="AF30">
            <v>150</v>
          </cell>
          <cell r="AG30">
            <v>1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1</v>
          </cell>
          <cell r="AN30">
            <v>0</v>
          </cell>
          <cell r="AO30">
            <v>0</v>
          </cell>
          <cell r="AP30">
            <v>625</v>
          </cell>
          <cell r="AQ30">
            <v>25</v>
          </cell>
          <cell r="AR30">
            <v>13</v>
          </cell>
          <cell r="AS30">
            <v>13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 t="str">
            <v>4301|10</v>
          </cell>
          <cell r="AY30">
            <v>10</v>
          </cell>
          <cell r="AZ30" t="str">
            <v>111001,111002,111003,111004,111005,111006,111007,111008,111009,111010</v>
          </cell>
          <cell r="BA30" t="str">
            <v>5001|50</v>
          </cell>
          <cell r="BB30">
            <v>50</v>
          </cell>
          <cell r="BC30" t="str">
            <v>11218,11219,11230,11231,11241</v>
          </cell>
          <cell r="BD30" t="str">
            <v>[]</v>
          </cell>
          <cell r="BE30" t="str">
            <v>12020,12018,12021,12023</v>
          </cell>
          <cell r="BF30">
            <v>1400</v>
          </cell>
          <cell r="BG30">
            <v>20000</v>
          </cell>
          <cell r="BH30">
            <v>4000</v>
          </cell>
          <cell r="BI30">
            <v>10010</v>
          </cell>
          <cell r="BJ30" t="str">
            <v>[]</v>
          </cell>
          <cell r="BK30">
            <v>0</v>
          </cell>
          <cell r="BL30">
            <v>50000</v>
          </cell>
          <cell r="BM30">
            <v>1.5</v>
          </cell>
          <cell r="BN30">
            <v>100</v>
          </cell>
          <cell r="BO30">
            <v>1110</v>
          </cell>
          <cell r="BP30">
            <v>1110</v>
          </cell>
          <cell r="BQ30" t="str">
            <v>honghaier_a_01</v>
          </cell>
          <cell r="BR30" t="str">
            <v>[]</v>
          </cell>
          <cell r="BS30" t="e">
            <v>#VALUE!</v>
          </cell>
          <cell r="BT30" t="str">
            <v>honghaier</v>
          </cell>
          <cell r="BU30" t="e">
            <v>#VALUE!</v>
          </cell>
          <cell r="BV30" t="str">
            <v>[]</v>
          </cell>
          <cell r="BW30" t="str">
            <v>3-13</v>
          </cell>
        </row>
        <row r="31">
          <cell r="A31">
            <v>1104</v>
          </cell>
          <cell r="B31" t="str">
            <v>玉皇大帝</v>
          </cell>
          <cell r="C31" t="str">
            <v>如来，早晚我会取代你！</v>
          </cell>
          <cell r="D31">
            <v>1</v>
          </cell>
          <cell r="E31">
            <v>1</v>
          </cell>
          <cell r="F31">
            <v>3</v>
          </cell>
          <cell r="G31">
            <v>3</v>
          </cell>
          <cell r="H31" t="str">
            <v>物攻型，负责物理输出</v>
          </cell>
          <cell r="I31">
            <v>150</v>
          </cell>
          <cell r="J31" t="str">
            <v>yuhuangdadi_attack</v>
          </cell>
          <cell r="K31">
            <v>10</v>
          </cell>
          <cell r="L31" t="str">
            <v>yuhuangdadi_skill01,yuhuangdadi_skill02,yuhuangdadi_skill03,yuhuangdadi_skill04</v>
          </cell>
          <cell r="M31" t="str">
            <v>common_fangyu,common_chaofeng</v>
          </cell>
          <cell r="N31" t="str">
            <v>head_yuhuangdadi</v>
          </cell>
          <cell r="O31" t="str">
            <v>chengsebiankuang</v>
          </cell>
          <cell r="P31" t="str">
            <v>yuhuangdadi_actor</v>
          </cell>
          <cell r="Q31">
            <v>1</v>
          </cell>
          <cell r="R31" t="str">
            <v>[]</v>
          </cell>
          <cell r="S31" t="str">
            <v>[]</v>
          </cell>
          <cell r="T31" t="str">
            <v>[]</v>
          </cell>
          <cell r="U31">
            <v>4</v>
          </cell>
          <cell r="V31">
            <v>13</v>
          </cell>
          <cell r="W31">
            <v>5</v>
          </cell>
          <cell r="X31">
            <v>15</v>
          </cell>
          <cell r="Y31">
            <v>8</v>
          </cell>
          <cell r="Z31">
            <v>0.8</v>
          </cell>
          <cell r="AA31">
            <v>0</v>
          </cell>
          <cell r="AB31">
            <v>0</v>
          </cell>
          <cell r="AC31">
            <v>7500</v>
          </cell>
          <cell r="AD31">
            <v>300</v>
          </cell>
          <cell r="AE31">
            <v>150</v>
          </cell>
          <cell r="AF31">
            <v>150</v>
          </cell>
          <cell r="AG31">
            <v>1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1</v>
          </cell>
          <cell r="AN31">
            <v>0</v>
          </cell>
          <cell r="AO31">
            <v>0</v>
          </cell>
          <cell r="AP31">
            <v>625</v>
          </cell>
          <cell r="AQ31">
            <v>25</v>
          </cell>
          <cell r="AR31">
            <v>13</v>
          </cell>
          <cell r="AS31">
            <v>13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 t="str">
            <v>4201|10</v>
          </cell>
          <cell r="AY31">
            <v>10</v>
          </cell>
          <cell r="AZ31" t="str">
            <v>110401,110402,110403,110404,110405,110406,110407,110408,110409,110410</v>
          </cell>
          <cell r="BA31" t="str">
            <v>4001|50</v>
          </cell>
          <cell r="BB31">
            <v>50</v>
          </cell>
          <cell r="BC31" t="str">
            <v>11118,11119,11130,11131,11141</v>
          </cell>
          <cell r="BD31" t="str">
            <v>[]</v>
          </cell>
          <cell r="BE31" t="str">
            <v>12017,12019,12022,12024</v>
          </cell>
          <cell r="BF31">
            <v>1400</v>
          </cell>
          <cell r="BG31">
            <v>20000</v>
          </cell>
          <cell r="BH31">
            <v>4000</v>
          </cell>
          <cell r="BI31">
            <v>10004</v>
          </cell>
          <cell r="BJ31" t="str">
            <v>[]</v>
          </cell>
          <cell r="BK31">
            <v>0</v>
          </cell>
          <cell r="BL31">
            <v>50000</v>
          </cell>
          <cell r="BM31">
            <v>1.5</v>
          </cell>
          <cell r="BN31">
            <v>100</v>
          </cell>
          <cell r="BO31">
            <v>1104</v>
          </cell>
          <cell r="BP31">
            <v>1104</v>
          </cell>
          <cell r="BQ31" t="str">
            <v>yuhuangdadi_a_01,yuhuangdadi_a_02</v>
          </cell>
          <cell r="BR31" t="str">
            <v>[]</v>
          </cell>
          <cell r="BS31" t="e">
            <v>#VALUE!</v>
          </cell>
          <cell r="BT31" t="str">
            <v>yuhuangdadi</v>
          </cell>
          <cell r="BU31" t="e">
            <v>#VALUE!</v>
          </cell>
          <cell r="BV31" t="str">
            <v>[]</v>
          </cell>
          <cell r="BW31" t="str">
            <v>3-13</v>
          </cell>
        </row>
        <row r="32">
          <cell r="A32">
            <v>1135</v>
          </cell>
          <cell r="B32" t="str">
            <v>东海龙王</v>
          </cell>
          <cell r="C32" t="str">
            <v>哪吒！孙猴子！你们究竟和我东海有什么仇！</v>
          </cell>
          <cell r="D32">
            <v>1</v>
          </cell>
          <cell r="E32">
            <v>1</v>
          </cell>
          <cell r="F32">
            <v>4</v>
          </cell>
          <cell r="G32">
            <v>4</v>
          </cell>
          <cell r="H32" t="str">
            <v>防御型，俗称肉盾，生命值高，防御力强</v>
          </cell>
          <cell r="I32">
            <v>150</v>
          </cell>
          <cell r="J32" t="str">
            <v>donghailongwang_attack</v>
          </cell>
          <cell r="K32">
            <v>10</v>
          </cell>
          <cell r="L32" t="str">
            <v>donghailongwang_skill01,donghailongwang_skill02,donghailongwang_skill03,donghailongwang_skill04</v>
          </cell>
          <cell r="M32" t="str">
            <v>common_fangyu,common_chaofeng</v>
          </cell>
          <cell r="N32" t="str">
            <v>head_donghailongwang</v>
          </cell>
          <cell r="O32" t="str">
            <v>chengsebiankuang</v>
          </cell>
          <cell r="P32" t="str">
            <v>donghailongwang_actor</v>
          </cell>
          <cell r="Q32">
            <v>1</v>
          </cell>
          <cell r="R32" t="str">
            <v>[]</v>
          </cell>
          <cell r="S32" t="str">
            <v>[]</v>
          </cell>
          <cell r="T32" t="str">
            <v>[]</v>
          </cell>
          <cell r="U32">
            <v>4</v>
          </cell>
          <cell r="V32">
            <v>13</v>
          </cell>
          <cell r="W32">
            <v>3</v>
          </cell>
          <cell r="X32">
            <v>15</v>
          </cell>
          <cell r="Y32">
            <v>8</v>
          </cell>
          <cell r="Z32">
            <v>1</v>
          </cell>
          <cell r="AA32">
            <v>0</v>
          </cell>
          <cell r="AB32">
            <v>0</v>
          </cell>
          <cell r="AC32">
            <v>7500</v>
          </cell>
          <cell r="AD32">
            <v>300</v>
          </cell>
          <cell r="AE32">
            <v>150</v>
          </cell>
          <cell r="AF32">
            <v>150</v>
          </cell>
          <cell r="AG32">
            <v>1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1</v>
          </cell>
          <cell r="AN32">
            <v>0</v>
          </cell>
          <cell r="AO32">
            <v>0</v>
          </cell>
          <cell r="AP32">
            <v>625</v>
          </cell>
          <cell r="AQ32">
            <v>25</v>
          </cell>
          <cell r="AR32">
            <v>13</v>
          </cell>
          <cell r="AS32">
            <v>13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 t="str">
            <v>4401|10</v>
          </cell>
          <cell r="AY32">
            <v>10</v>
          </cell>
          <cell r="AZ32" t="str">
            <v>113501,113502,113503,113504,113505,113506,113507,113508,113509,113510</v>
          </cell>
          <cell r="BA32" t="str">
            <v>4001|50</v>
          </cell>
          <cell r="BB32">
            <v>50</v>
          </cell>
          <cell r="BC32" t="str">
            <v>11117,11118,11127,11128,11139</v>
          </cell>
          <cell r="BD32" t="str">
            <v>[]</v>
          </cell>
          <cell r="BE32" t="str">
            <v>12020,12018,12022,12024</v>
          </cell>
          <cell r="BF32">
            <v>1400</v>
          </cell>
          <cell r="BG32">
            <v>5000</v>
          </cell>
          <cell r="BH32">
            <v>1000</v>
          </cell>
          <cell r="BI32">
            <v>10035</v>
          </cell>
          <cell r="BJ32" t="str">
            <v>[]</v>
          </cell>
          <cell r="BK32">
            <v>0</v>
          </cell>
          <cell r="BL32">
            <v>100000</v>
          </cell>
          <cell r="BM32">
            <v>10</v>
          </cell>
          <cell r="BN32">
            <v>100</v>
          </cell>
          <cell r="BO32">
            <v>1135</v>
          </cell>
          <cell r="BP32">
            <v>1135</v>
          </cell>
          <cell r="BQ32" t="str">
            <v>donghailongwang_a_01</v>
          </cell>
          <cell r="BR32" t="str">
            <v>[]</v>
          </cell>
          <cell r="BS32" t="e">
            <v>#VALUE!</v>
          </cell>
          <cell r="BT32" t="str">
            <v>donghailongwang</v>
          </cell>
          <cell r="BU32" t="e">
            <v>#VALUE!</v>
          </cell>
          <cell r="BV32" t="str">
            <v>[]</v>
          </cell>
          <cell r="BW32" t="str">
            <v>4-13</v>
          </cell>
        </row>
        <row r="33">
          <cell r="A33">
            <v>1132</v>
          </cell>
          <cell r="B33" t="str">
            <v>混世魔王</v>
          </cell>
          <cell r="C33" t="str">
            <v>终于轮到本大爷上场了！</v>
          </cell>
          <cell r="D33">
            <v>1</v>
          </cell>
          <cell r="E33">
            <v>2</v>
          </cell>
          <cell r="F33">
            <v>4</v>
          </cell>
          <cell r="G33">
            <v>4</v>
          </cell>
          <cell r="H33" t="str">
            <v>防御型，俗称肉盾，生命值高，防御力强</v>
          </cell>
          <cell r="I33">
            <v>150</v>
          </cell>
          <cell r="J33" t="str">
            <v>hunshimowang_attack</v>
          </cell>
          <cell r="K33">
            <v>10</v>
          </cell>
          <cell r="L33" t="str">
            <v>hunshimowang_skill01,hunshimowang_skill02,hunshimowang_skill03,hunshimowang_skill04</v>
          </cell>
          <cell r="M33" t="str">
            <v>common_fangyu,common_chaofeng</v>
          </cell>
          <cell r="N33" t="str">
            <v>head_hunshimowang</v>
          </cell>
          <cell r="O33" t="str">
            <v>chengsebiankuang</v>
          </cell>
          <cell r="P33" t="str">
            <v>hunshimowang_actor</v>
          </cell>
          <cell r="Q33">
            <v>1</v>
          </cell>
          <cell r="R33" t="str">
            <v>[]</v>
          </cell>
          <cell r="S33" t="str">
            <v>[]</v>
          </cell>
          <cell r="T33" t="str">
            <v>[]</v>
          </cell>
          <cell r="U33">
            <v>4</v>
          </cell>
          <cell r="V33">
            <v>13</v>
          </cell>
          <cell r="W33">
            <v>3</v>
          </cell>
          <cell r="X33">
            <v>15</v>
          </cell>
          <cell r="Y33">
            <v>8</v>
          </cell>
          <cell r="Z33">
            <v>1</v>
          </cell>
          <cell r="AA33">
            <v>0</v>
          </cell>
          <cell r="AB33">
            <v>0</v>
          </cell>
          <cell r="AC33">
            <v>7500</v>
          </cell>
          <cell r="AD33">
            <v>300</v>
          </cell>
          <cell r="AE33">
            <v>150</v>
          </cell>
          <cell r="AF33">
            <v>150</v>
          </cell>
          <cell r="AG33">
            <v>1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1</v>
          </cell>
          <cell r="AN33">
            <v>0</v>
          </cell>
          <cell r="AO33">
            <v>0</v>
          </cell>
          <cell r="AP33">
            <v>625</v>
          </cell>
          <cell r="AQ33">
            <v>25</v>
          </cell>
          <cell r="AR33">
            <v>13</v>
          </cell>
          <cell r="AS33">
            <v>13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 t="str">
            <v>4401|10</v>
          </cell>
          <cell r="AY33">
            <v>10</v>
          </cell>
          <cell r="AZ33" t="str">
            <v>113201,113202,113203,113204,113205,113206,113207,113208,113209,113210</v>
          </cell>
          <cell r="BA33" t="str">
            <v>4001|50</v>
          </cell>
          <cell r="BB33">
            <v>50</v>
          </cell>
          <cell r="BC33" t="str">
            <v>11017,11018,11027,11028,11039</v>
          </cell>
          <cell r="BD33" t="str">
            <v>[]</v>
          </cell>
          <cell r="BE33" t="str">
            <v>12020,12018,12022,12024</v>
          </cell>
          <cell r="BF33">
            <v>1400</v>
          </cell>
          <cell r="BG33">
            <v>5000</v>
          </cell>
          <cell r="BH33">
            <v>1000</v>
          </cell>
          <cell r="BI33">
            <v>10032</v>
          </cell>
          <cell r="BJ33" t="str">
            <v>[]</v>
          </cell>
          <cell r="BK33">
            <v>0</v>
          </cell>
          <cell r="BL33">
            <v>100000</v>
          </cell>
          <cell r="BM33">
            <v>10</v>
          </cell>
          <cell r="BN33">
            <v>100</v>
          </cell>
          <cell r="BO33">
            <v>1132</v>
          </cell>
          <cell r="BP33">
            <v>1132</v>
          </cell>
          <cell r="BQ33" t="str">
            <v>hunshimowang_a_01</v>
          </cell>
          <cell r="BR33" t="str">
            <v>[]</v>
          </cell>
          <cell r="BS33" t="e">
            <v>#VALUE!</v>
          </cell>
          <cell r="BT33" t="str">
            <v>hunshimowang</v>
          </cell>
          <cell r="BU33" t="e">
            <v>#VALUE!</v>
          </cell>
          <cell r="BV33" t="str">
            <v>[]</v>
          </cell>
          <cell r="BW33" t="str">
            <v>4-13</v>
          </cell>
        </row>
        <row r="34">
          <cell r="A34">
            <v>1125</v>
          </cell>
          <cell r="B34" t="str">
            <v>迦叶</v>
          </cell>
          <cell r="C34" t="str">
            <v>论拳法，那老虎头怎么能和我比！</v>
          </cell>
          <cell r="D34">
            <v>1</v>
          </cell>
          <cell r="E34">
            <v>3</v>
          </cell>
          <cell r="F34">
            <v>4</v>
          </cell>
          <cell r="G34">
            <v>4</v>
          </cell>
          <cell r="H34" t="str">
            <v>防御型，俗称肉盾，生命值高，防御力强</v>
          </cell>
          <cell r="I34">
            <v>150</v>
          </cell>
          <cell r="J34" t="str">
            <v>jiaye_attack</v>
          </cell>
          <cell r="K34">
            <v>10</v>
          </cell>
          <cell r="L34" t="str">
            <v>jiaye_skill01,jiaye_skill02,jiaye_skill03,jiaye_skill04</v>
          </cell>
          <cell r="M34" t="str">
            <v>common_fangyu,common_chaofeng</v>
          </cell>
          <cell r="N34" t="str">
            <v>head_jiaye</v>
          </cell>
          <cell r="O34" t="str">
            <v>chengsebiankuang</v>
          </cell>
          <cell r="P34" t="str">
            <v>jiaye_actor</v>
          </cell>
          <cell r="Q34">
            <v>1</v>
          </cell>
          <cell r="R34" t="str">
            <v>[]</v>
          </cell>
          <cell r="S34" t="str">
            <v>[]</v>
          </cell>
          <cell r="T34" t="str">
            <v>[]</v>
          </cell>
          <cell r="U34">
            <v>4</v>
          </cell>
          <cell r="V34">
            <v>13</v>
          </cell>
          <cell r="W34">
            <v>3</v>
          </cell>
          <cell r="X34">
            <v>15</v>
          </cell>
          <cell r="Y34">
            <v>8</v>
          </cell>
          <cell r="Z34">
            <v>1</v>
          </cell>
          <cell r="AA34">
            <v>0</v>
          </cell>
          <cell r="AB34">
            <v>0</v>
          </cell>
          <cell r="AC34">
            <v>7500</v>
          </cell>
          <cell r="AD34">
            <v>300</v>
          </cell>
          <cell r="AE34">
            <v>150</v>
          </cell>
          <cell r="AF34">
            <v>150</v>
          </cell>
          <cell r="AG34">
            <v>1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0</v>
          </cell>
          <cell r="AO34">
            <v>0</v>
          </cell>
          <cell r="AP34">
            <v>625</v>
          </cell>
          <cell r="AQ34">
            <v>25</v>
          </cell>
          <cell r="AR34">
            <v>13</v>
          </cell>
          <cell r="AS34">
            <v>13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 t="str">
            <v>4401|10</v>
          </cell>
          <cell r="AY34">
            <v>10</v>
          </cell>
          <cell r="AZ34" t="str">
            <v>112501,112502,112503,112504,112505,112506,112507,112508,112509,112510</v>
          </cell>
          <cell r="BA34" t="str">
            <v>4001|50</v>
          </cell>
          <cell r="BB34">
            <v>50</v>
          </cell>
          <cell r="BC34" t="str">
            <v>11217,11218,11227,11228,11239</v>
          </cell>
          <cell r="BD34" t="str">
            <v>[]</v>
          </cell>
          <cell r="BE34" t="str">
            <v>12017,12019,12022,12024</v>
          </cell>
          <cell r="BF34">
            <v>1400</v>
          </cell>
          <cell r="BG34">
            <v>20000</v>
          </cell>
          <cell r="BH34">
            <v>4000</v>
          </cell>
          <cell r="BI34">
            <v>10025</v>
          </cell>
          <cell r="BJ34" t="str">
            <v>[]</v>
          </cell>
          <cell r="BK34">
            <v>0</v>
          </cell>
          <cell r="BL34">
            <v>100000</v>
          </cell>
          <cell r="BM34">
            <v>10</v>
          </cell>
          <cell r="BN34">
            <v>100</v>
          </cell>
          <cell r="BO34">
            <v>1125</v>
          </cell>
          <cell r="BP34">
            <v>1125</v>
          </cell>
          <cell r="BQ34" t="str">
            <v>dizangwang_a_01</v>
          </cell>
          <cell r="BR34" t="str">
            <v>[]</v>
          </cell>
          <cell r="BS34" t="e">
            <v>#VALUE!</v>
          </cell>
          <cell r="BT34" t="str">
            <v>jiaye</v>
          </cell>
          <cell r="BU34" t="e">
            <v>#VALUE!</v>
          </cell>
          <cell r="BV34" t="str">
            <v>[]</v>
          </cell>
          <cell r="BW34" t="str">
            <v>4-13</v>
          </cell>
        </row>
        <row r="35">
          <cell r="A35">
            <v>1202</v>
          </cell>
          <cell r="B35" t="str">
            <v>人参娃</v>
          </cell>
          <cell r="C35" t="str">
            <v>别看人家个子小，我厉害着呢！</v>
          </cell>
          <cell r="D35">
            <v>1</v>
          </cell>
          <cell r="E35">
            <v>3</v>
          </cell>
          <cell r="F35">
            <v>3</v>
          </cell>
          <cell r="G35">
            <v>3</v>
          </cell>
          <cell r="H35" t="str">
            <v>物攻型，负责物理输出</v>
          </cell>
          <cell r="I35">
            <v>150</v>
          </cell>
          <cell r="J35" t="str">
            <v>renshenwa_attack</v>
          </cell>
          <cell r="K35">
            <v>10</v>
          </cell>
          <cell r="L35" t="str">
            <v>renshenwa_skill01,renshenwa_skill02,renshenwa_skill03,renshenwa_skill04</v>
          </cell>
          <cell r="M35" t="str">
            <v>common_fangyu,common_chaofeng</v>
          </cell>
          <cell r="N35" t="str">
            <v>head_renshenwa</v>
          </cell>
          <cell r="O35" t="str">
            <v>chengsebiankuang</v>
          </cell>
          <cell r="P35" t="str">
            <v>renshenwa_actor</v>
          </cell>
          <cell r="Q35">
            <v>1</v>
          </cell>
          <cell r="R35" t="str">
            <v>[]</v>
          </cell>
          <cell r="S35" t="str">
            <v>[]</v>
          </cell>
          <cell r="T35" t="str">
            <v>[]</v>
          </cell>
          <cell r="U35">
            <v>4</v>
          </cell>
          <cell r="V35">
            <v>13</v>
          </cell>
          <cell r="W35">
            <v>5</v>
          </cell>
          <cell r="X35">
            <v>15</v>
          </cell>
          <cell r="Y35">
            <v>8</v>
          </cell>
          <cell r="Z35">
            <v>1</v>
          </cell>
          <cell r="AA35">
            <v>0</v>
          </cell>
          <cell r="AB35">
            <v>0</v>
          </cell>
          <cell r="AC35">
            <v>7500</v>
          </cell>
          <cell r="AD35">
            <v>300</v>
          </cell>
          <cell r="AE35">
            <v>150</v>
          </cell>
          <cell r="AF35">
            <v>150</v>
          </cell>
          <cell r="AG35">
            <v>1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1</v>
          </cell>
          <cell r="AN35">
            <v>0</v>
          </cell>
          <cell r="AO35">
            <v>0</v>
          </cell>
          <cell r="AP35">
            <v>625</v>
          </cell>
          <cell r="AQ35">
            <v>25</v>
          </cell>
          <cell r="AR35">
            <v>13</v>
          </cell>
          <cell r="AS35">
            <v>13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 t="str">
            <v>4301|10</v>
          </cell>
          <cell r="AY35">
            <v>10</v>
          </cell>
          <cell r="AZ35" t="str">
            <v>120201,120202,120203,120204,120205,120206,120207,120208,120209,120210</v>
          </cell>
          <cell r="BA35" t="str">
            <v>4001|50</v>
          </cell>
          <cell r="BB35">
            <v>50</v>
          </cell>
          <cell r="BC35" t="str">
            <v>11219,11220,11234,11235,11242</v>
          </cell>
          <cell r="BD35" t="str">
            <v>[]</v>
          </cell>
          <cell r="BE35" t="str">
            <v>12017,12019,12022,12024</v>
          </cell>
          <cell r="BF35">
            <v>1400</v>
          </cell>
          <cell r="BG35">
            <v>20000</v>
          </cell>
          <cell r="BH35">
            <v>4000</v>
          </cell>
          <cell r="BI35">
            <v>10102</v>
          </cell>
          <cell r="BJ35" t="str">
            <v>[]</v>
          </cell>
          <cell r="BK35">
            <v>0</v>
          </cell>
          <cell r="BL35">
            <v>50000</v>
          </cell>
          <cell r="BM35">
            <v>1.5</v>
          </cell>
          <cell r="BN35">
            <v>100</v>
          </cell>
          <cell r="BO35">
            <v>1202</v>
          </cell>
          <cell r="BP35">
            <v>1202</v>
          </cell>
          <cell r="BQ35" t="str">
            <v>renshenwawa_a_01</v>
          </cell>
          <cell r="BR35" t="str">
            <v>[]</v>
          </cell>
          <cell r="BS35" t="e">
            <v>#VALUE!</v>
          </cell>
          <cell r="BT35" t="str">
            <v>renshenwa</v>
          </cell>
          <cell r="BU35" t="e">
            <v>#VALUE!</v>
          </cell>
          <cell r="BV35" t="str">
            <v>[]</v>
          </cell>
          <cell r="BW35" t="str">
            <v>3-13</v>
          </cell>
        </row>
        <row r="36">
          <cell r="A36">
            <v>1123</v>
          </cell>
          <cell r="B36" t="str">
            <v>小白龙</v>
          </cell>
          <cell r="C36" t="str">
            <v>我是真正的白马王子！</v>
          </cell>
          <cell r="D36">
            <v>1</v>
          </cell>
          <cell r="E36">
            <v>1</v>
          </cell>
          <cell r="F36">
            <v>3</v>
          </cell>
          <cell r="G36">
            <v>3</v>
          </cell>
          <cell r="H36" t="str">
            <v>物攻型，负责物理输出</v>
          </cell>
          <cell r="I36">
            <v>150</v>
          </cell>
          <cell r="J36" t="str">
            <v>xiaobailong_attack</v>
          </cell>
          <cell r="K36">
            <v>10</v>
          </cell>
          <cell r="L36" t="str">
            <v>xiaobailong_skill01,xiaobailong_skill02,xiaobailong_skill03,xiaobailong_skill04</v>
          </cell>
          <cell r="M36" t="str">
            <v>common_fangyu,common_chaofeng</v>
          </cell>
          <cell r="N36" t="str">
            <v>head_xiaobailong</v>
          </cell>
          <cell r="O36" t="str">
            <v>chengsebiankuang</v>
          </cell>
          <cell r="P36" t="str">
            <v>xiaobailong_actor</v>
          </cell>
          <cell r="Q36">
            <v>1</v>
          </cell>
          <cell r="R36" t="str">
            <v>[]</v>
          </cell>
          <cell r="S36" t="str">
            <v>[]</v>
          </cell>
          <cell r="T36" t="str">
            <v>[]</v>
          </cell>
          <cell r="U36">
            <v>4</v>
          </cell>
          <cell r="V36">
            <v>13</v>
          </cell>
          <cell r="W36">
            <v>5</v>
          </cell>
          <cell r="X36">
            <v>15</v>
          </cell>
          <cell r="Y36">
            <v>8</v>
          </cell>
          <cell r="Z36">
            <v>1</v>
          </cell>
          <cell r="AA36">
            <v>0</v>
          </cell>
          <cell r="AB36">
            <v>0</v>
          </cell>
          <cell r="AC36">
            <v>7500</v>
          </cell>
          <cell r="AD36">
            <v>300</v>
          </cell>
          <cell r="AE36">
            <v>150</v>
          </cell>
          <cell r="AF36">
            <v>150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</v>
          </cell>
          <cell r="AN36">
            <v>0</v>
          </cell>
          <cell r="AO36">
            <v>0</v>
          </cell>
          <cell r="AP36">
            <v>625</v>
          </cell>
          <cell r="AQ36">
            <v>25</v>
          </cell>
          <cell r="AR36">
            <v>13</v>
          </cell>
          <cell r="AS36">
            <v>13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 t="str">
            <v>4301|10</v>
          </cell>
          <cell r="AY36">
            <v>10</v>
          </cell>
          <cell r="AZ36" t="str">
            <v>112301,112302,112303,112304,112305,112306,112307,112308,112309,112310</v>
          </cell>
          <cell r="BA36" t="str">
            <v>4001|50</v>
          </cell>
          <cell r="BB36">
            <v>50</v>
          </cell>
          <cell r="BC36" t="str">
            <v>11119,11120,11134,11135,11142</v>
          </cell>
          <cell r="BD36" t="str">
            <v>[]</v>
          </cell>
          <cell r="BE36" t="str">
            <v>12017,12019,12021,12023</v>
          </cell>
          <cell r="BF36">
            <v>1400</v>
          </cell>
          <cell r="BG36">
            <v>20000</v>
          </cell>
          <cell r="BH36">
            <v>4000</v>
          </cell>
          <cell r="BI36">
            <v>10023</v>
          </cell>
          <cell r="BJ36" t="str">
            <v>[]</v>
          </cell>
          <cell r="BK36">
            <v>0</v>
          </cell>
          <cell r="BL36">
            <v>50000</v>
          </cell>
          <cell r="BM36">
            <v>1.5</v>
          </cell>
          <cell r="BN36">
            <v>100</v>
          </cell>
          <cell r="BO36">
            <v>1123</v>
          </cell>
          <cell r="BP36">
            <v>1123</v>
          </cell>
          <cell r="BQ36" t="str">
            <v>xiaobailong_a_01</v>
          </cell>
          <cell r="BR36" t="str">
            <v>[]</v>
          </cell>
          <cell r="BS36" t="e">
            <v>#VALUE!</v>
          </cell>
          <cell r="BT36" t="str">
            <v>xiaobailong</v>
          </cell>
          <cell r="BU36" t="e">
            <v>#VALUE!</v>
          </cell>
          <cell r="BV36" t="str">
            <v>[]</v>
          </cell>
          <cell r="BW36" t="str">
            <v>3-13</v>
          </cell>
        </row>
        <row r="37">
          <cell r="A37">
            <v>1117</v>
          </cell>
          <cell r="B37" t="str">
            <v>六耳猕猴</v>
          </cell>
          <cell r="C37" t="str">
            <v>大家来猜猜，谁才是真正的齐天大圣！</v>
          </cell>
          <cell r="D37">
            <v>1</v>
          </cell>
          <cell r="E37">
            <v>2</v>
          </cell>
          <cell r="F37">
            <v>4</v>
          </cell>
          <cell r="G37">
            <v>4</v>
          </cell>
          <cell r="H37" t="str">
            <v>防御型，俗称肉盾，生命值高，防御力强</v>
          </cell>
          <cell r="I37">
            <v>150</v>
          </cell>
          <cell r="J37" t="str">
            <v>liuermihou_attack</v>
          </cell>
          <cell r="K37">
            <v>10</v>
          </cell>
          <cell r="L37" t="str">
            <v>liuermihou_skill01,liuermihou_skill02,liuermihou_skill03,liuermihou_skill04</v>
          </cell>
          <cell r="M37" t="str">
            <v>common_fangyu,common_chaofeng</v>
          </cell>
          <cell r="N37" t="str">
            <v>head_liuermihou</v>
          </cell>
          <cell r="O37" t="str">
            <v>chengsebiankuang</v>
          </cell>
          <cell r="P37" t="str">
            <v>liuermihou_actor</v>
          </cell>
          <cell r="Q37">
            <v>1</v>
          </cell>
          <cell r="R37" t="str">
            <v>[]</v>
          </cell>
          <cell r="S37" t="str">
            <v>[]</v>
          </cell>
          <cell r="T37" t="str">
            <v>[]</v>
          </cell>
          <cell r="U37">
            <v>4</v>
          </cell>
          <cell r="V37">
            <v>13</v>
          </cell>
          <cell r="W37">
            <v>3</v>
          </cell>
          <cell r="X37">
            <v>15</v>
          </cell>
          <cell r="Y37">
            <v>8</v>
          </cell>
          <cell r="Z37">
            <v>1</v>
          </cell>
          <cell r="AA37">
            <v>0</v>
          </cell>
          <cell r="AB37">
            <v>0</v>
          </cell>
          <cell r="AC37">
            <v>7500</v>
          </cell>
          <cell r="AD37">
            <v>300</v>
          </cell>
          <cell r="AE37">
            <v>150</v>
          </cell>
          <cell r="AF37">
            <v>150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1</v>
          </cell>
          <cell r="AN37">
            <v>0</v>
          </cell>
          <cell r="AO37">
            <v>0</v>
          </cell>
          <cell r="AP37">
            <v>625</v>
          </cell>
          <cell r="AQ37">
            <v>25</v>
          </cell>
          <cell r="AR37">
            <v>13</v>
          </cell>
          <cell r="AS37">
            <v>13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 t="str">
            <v>4401|10</v>
          </cell>
          <cell r="AY37">
            <v>10</v>
          </cell>
          <cell r="AZ37" t="str">
            <v>111701,111702,111703,111704,111705,111706,111707,111708,111709,111710</v>
          </cell>
          <cell r="BA37" t="str">
            <v>4001|50</v>
          </cell>
          <cell r="BB37">
            <v>50</v>
          </cell>
          <cell r="BC37" t="str">
            <v>11017,11020,11025,11026,11038</v>
          </cell>
          <cell r="BD37" t="str">
            <v>[]</v>
          </cell>
          <cell r="BE37" t="str">
            <v>12017,12019,12021,12023</v>
          </cell>
          <cell r="BF37">
            <v>1400</v>
          </cell>
          <cell r="BG37">
            <v>20000</v>
          </cell>
          <cell r="BH37">
            <v>4000</v>
          </cell>
          <cell r="BI37">
            <v>10017</v>
          </cell>
          <cell r="BJ37" t="str">
            <v>[]</v>
          </cell>
          <cell r="BK37">
            <v>0</v>
          </cell>
          <cell r="BL37">
            <v>100000</v>
          </cell>
          <cell r="BM37">
            <v>10</v>
          </cell>
          <cell r="BN37">
            <v>100</v>
          </cell>
          <cell r="BO37">
            <v>1117</v>
          </cell>
          <cell r="BP37">
            <v>1117</v>
          </cell>
          <cell r="BQ37" t="str">
            <v>liuermihou_a_01,liuermihou_a_02</v>
          </cell>
          <cell r="BR37" t="str">
            <v>[]</v>
          </cell>
          <cell r="BS37" t="e">
            <v>#VALUE!</v>
          </cell>
          <cell r="BT37" t="str">
            <v>liuermihou</v>
          </cell>
          <cell r="BU37" t="e">
            <v>#VALUE!</v>
          </cell>
          <cell r="BV37" t="str">
            <v>[]</v>
          </cell>
          <cell r="BW37" t="str">
            <v>4-13</v>
          </cell>
        </row>
        <row r="38">
          <cell r="A38">
            <v>1201</v>
          </cell>
          <cell r="B38" t="str">
            <v>阎罗王</v>
          </cell>
          <cell r="C38" t="str">
            <v>本王让你三更死，谁敢留你到五更？</v>
          </cell>
          <cell r="D38">
            <v>1</v>
          </cell>
          <cell r="E38">
            <v>1</v>
          </cell>
          <cell r="F38">
            <v>2</v>
          </cell>
          <cell r="G38">
            <v>2</v>
          </cell>
          <cell r="H38" t="str">
            <v>法攻型，负责法术输出</v>
          </cell>
          <cell r="I38">
            <v>150</v>
          </cell>
          <cell r="J38" t="str">
            <v>yanluowang_attack</v>
          </cell>
          <cell r="K38">
            <v>10</v>
          </cell>
          <cell r="L38" t="str">
            <v>yanluowang_skill01,yanluowang_skill02,yanluowang_skill03,yanluowang_skill04</v>
          </cell>
          <cell r="M38" t="str">
            <v>common_fangyu,common_chaofeng</v>
          </cell>
          <cell r="N38" t="str">
            <v>head_yanluowang</v>
          </cell>
          <cell r="O38" t="str">
            <v>chengsebiankuang</v>
          </cell>
          <cell r="P38" t="str">
            <v>yanluowang_actor</v>
          </cell>
          <cell r="Q38">
            <v>1</v>
          </cell>
          <cell r="R38" t="str">
            <v>[]</v>
          </cell>
          <cell r="S38" t="str">
            <v>[]</v>
          </cell>
          <cell r="T38" t="str">
            <v>[]</v>
          </cell>
          <cell r="U38">
            <v>4</v>
          </cell>
          <cell r="V38">
            <v>13</v>
          </cell>
          <cell r="W38">
            <v>9</v>
          </cell>
          <cell r="X38">
            <v>15</v>
          </cell>
          <cell r="Y38">
            <v>8</v>
          </cell>
          <cell r="Z38">
            <v>0.8</v>
          </cell>
          <cell r="AA38">
            <v>0</v>
          </cell>
          <cell r="AB38">
            <v>0</v>
          </cell>
          <cell r="AC38">
            <v>7500</v>
          </cell>
          <cell r="AD38">
            <v>300</v>
          </cell>
          <cell r="AE38">
            <v>150</v>
          </cell>
          <cell r="AF38">
            <v>150</v>
          </cell>
          <cell r="AG38">
            <v>1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1</v>
          </cell>
          <cell r="AN38">
            <v>0</v>
          </cell>
          <cell r="AO38">
            <v>0</v>
          </cell>
          <cell r="AP38">
            <v>625</v>
          </cell>
          <cell r="AQ38">
            <v>25</v>
          </cell>
          <cell r="AR38">
            <v>13</v>
          </cell>
          <cell r="AS38">
            <v>13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 t="str">
            <v>4201|10</v>
          </cell>
          <cell r="AY38">
            <v>10</v>
          </cell>
          <cell r="AZ38" t="str">
            <v>120101,120102,120103,120104,120105,120106,120107,120108,120109,120110</v>
          </cell>
          <cell r="BA38" t="str">
            <v>4001|50</v>
          </cell>
          <cell r="BB38">
            <v>50</v>
          </cell>
          <cell r="BC38" t="str">
            <v>11119,11120,11132,11133,11142</v>
          </cell>
          <cell r="BD38" t="str">
            <v>[]</v>
          </cell>
          <cell r="BE38" t="str">
            <v>12017,12019,12021,12023</v>
          </cell>
          <cell r="BF38">
            <v>1400</v>
          </cell>
          <cell r="BG38">
            <v>20000</v>
          </cell>
          <cell r="BH38">
            <v>4000</v>
          </cell>
          <cell r="BI38">
            <v>10101</v>
          </cell>
          <cell r="BJ38" t="str">
            <v>[]</v>
          </cell>
          <cell r="BK38">
            <v>0</v>
          </cell>
          <cell r="BL38">
            <v>10000</v>
          </cell>
          <cell r="BM38">
            <v>1</v>
          </cell>
          <cell r="BN38">
            <v>100</v>
          </cell>
          <cell r="BO38">
            <v>1201</v>
          </cell>
          <cell r="BP38">
            <v>1201</v>
          </cell>
          <cell r="BQ38" t="str">
            <v>yanluowang_a_01</v>
          </cell>
          <cell r="BR38" t="str">
            <v>[]</v>
          </cell>
          <cell r="BS38" t="e">
            <v>#VALUE!</v>
          </cell>
          <cell r="BT38" t="str">
            <v>yanluowang</v>
          </cell>
          <cell r="BU38" t="e">
            <v>#VALUE!</v>
          </cell>
          <cell r="BV38" t="str">
            <v>[]</v>
          </cell>
          <cell r="BW38" t="str">
            <v>2-13</v>
          </cell>
        </row>
        <row r="39">
          <cell r="A39">
            <v>1131</v>
          </cell>
          <cell r="B39" t="str">
            <v>蝎子精</v>
          </cell>
          <cell r="C39" t="str">
            <v>纵使拨断琴弦，也等不到你归期了么？</v>
          </cell>
          <cell r="D39">
            <v>1</v>
          </cell>
          <cell r="E39">
            <v>2</v>
          </cell>
          <cell r="F39">
            <v>2</v>
          </cell>
          <cell r="G39">
            <v>2</v>
          </cell>
          <cell r="H39" t="str">
            <v>法攻型，负责法术输出</v>
          </cell>
          <cell r="I39">
            <v>150</v>
          </cell>
          <cell r="J39" t="str">
            <v>xiezijing_attack</v>
          </cell>
          <cell r="K39">
            <v>10</v>
          </cell>
          <cell r="L39" t="str">
            <v>xiezijing_skill01,xiezijing_skill02,xiezijing_skill03,xiezijing_skill04</v>
          </cell>
          <cell r="M39" t="str">
            <v>common_fangyu,common_chaofeng</v>
          </cell>
          <cell r="N39" t="str">
            <v>head_xiezijing</v>
          </cell>
          <cell r="O39" t="str">
            <v>chengsebiankuang</v>
          </cell>
          <cell r="P39" t="str">
            <v>xiezijing_actor</v>
          </cell>
          <cell r="Q39">
            <v>1</v>
          </cell>
          <cell r="R39" t="str">
            <v>[]</v>
          </cell>
          <cell r="S39" t="str">
            <v>[]</v>
          </cell>
          <cell r="T39" t="str">
            <v>[]</v>
          </cell>
          <cell r="U39">
            <v>4</v>
          </cell>
          <cell r="V39">
            <v>13</v>
          </cell>
          <cell r="W39">
            <v>9</v>
          </cell>
          <cell r="X39">
            <v>15</v>
          </cell>
          <cell r="Y39">
            <v>8</v>
          </cell>
          <cell r="Z39">
            <v>0.8</v>
          </cell>
          <cell r="AA39">
            <v>0</v>
          </cell>
          <cell r="AB39">
            <v>0</v>
          </cell>
          <cell r="AC39">
            <v>7500</v>
          </cell>
          <cell r="AD39">
            <v>300</v>
          </cell>
          <cell r="AE39">
            <v>150</v>
          </cell>
          <cell r="AF39">
            <v>150</v>
          </cell>
          <cell r="AG39">
            <v>1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1</v>
          </cell>
          <cell r="AN39">
            <v>0</v>
          </cell>
          <cell r="AO39">
            <v>0</v>
          </cell>
          <cell r="AP39">
            <v>625</v>
          </cell>
          <cell r="AQ39">
            <v>25</v>
          </cell>
          <cell r="AR39">
            <v>13</v>
          </cell>
          <cell r="AS39">
            <v>13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 t="str">
            <v>4201|10</v>
          </cell>
          <cell r="AY39">
            <v>10</v>
          </cell>
          <cell r="AZ39" t="str">
            <v>113101,113102,113103,113104,113105,113106,113107,113108,113109,113110</v>
          </cell>
          <cell r="BA39" t="str">
            <v>4001|50</v>
          </cell>
          <cell r="BB39">
            <v>50</v>
          </cell>
          <cell r="BC39" t="str">
            <v>11019,11020,11032,11033,11042</v>
          </cell>
          <cell r="BD39" t="str">
            <v>[]</v>
          </cell>
          <cell r="BE39" t="str">
            <v>12017,12019,12021,12023</v>
          </cell>
          <cell r="BF39">
            <v>1400</v>
          </cell>
          <cell r="BG39">
            <v>5000</v>
          </cell>
          <cell r="BH39">
            <v>1000</v>
          </cell>
          <cell r="BI39">
            <v>10031</v>
          </cell>
          <cell r="BJ39" t="str">
            <v>[]</v>
          </cell>
          <cell r="BK39">
            <v>0</v>
          </cell>
          <cell r="BL39">
            <v>10000</v>
          </cell>
          <cell r="BM39">
            <v>1</v>
          </cell>
          <cell r="BN39">
            <v>100</v>
          </cell>
          <cell r="BO39">
            <v>1131</v>
          </cell>
          <cell r="BP39">
            <v>1131</v>
          </cell>
          <cell r="BQ39" t="str">
            <v>xiezijing_a_01</v>
          </cell>
          <cell r="BR39" t="str">
            <v>[]</v>
          </cell>
          <cell r="BS39" t="e">
            <v>#VALUE!</v>
          </cell>
          <cell r="BT39" t="str">
            <v>xiezijing</v>
          </cell>
          <cell r="BU39" t="e">
            <v>#VALUE!</v>
          </cell>
          <cell r="BV39" t="str">
            <v>[]</v>
          </cell>
          <cell r="BW39" t="str">
            <v>2-13</v>
          </cell>
        </row>
        <row r="40">
          <cell r="A40">
            <v>1137</v>
          </cell>
          <cell r="B40" t="str">
            <v>蜘蛛精</v>
          </cell>
          <cell r="C40" t="str">
            <v>为了我的美貌，奉献你的全部吧。</v>
          </cell>
          <cell r="D40">
            <v>1</v>
          </cell>
          <cell r="E40">
            <v>2</v>
          </cell>
          <cell r="F40">
            <v>3</v>
          </cell>
          <cell r="G40">
            <v>3</v>
          </cell>
          <cell r="H40" t="str">
            <v>物攻型，负责物理输出</v>
          </cell>
          <cell r="I40">
            <v>150</v>
          </cell>
          <cell r="J40" t="str">
            <v>zhizhujing_attack</v>
          </cell>
          <cell r="K40">
            <v>10</v>
          </cell>
          <cell r="L40" t="str">
            <v>zhizhujing_skill01,zhizhujing_skill02,zhizhujing_skill03,zhizhujing_skill04</v>
          </cell>
          <cell r="M40" t="str">
            <v>common_fangyu,common_chaofeng</v>
          </cell>
          <cell r="N40" t="str">
            <v>head_zhizhujing</v>
          </cell>
          <cell r="O40" t="str">
            <v>chengsebiankuang</v>
          </cell>
          <cell r="P40" t="str">
            <v>zhizhujing_actor</v>
          </cell>
          <cell r="Q40">
            <v>0.8</v>
          </cell>
          <cell r="R40" t="str">
            <v>[]</v>
          </cell>
          <cell r="S40" t="str">
            <v>[]</v>
          </cell>
          <cell r="T40" t="str">
            <v>[]</v>
          </cell>
          <cell r="U40">
            <v>4</v>
          </cell>
          <cell r="V40">
            <v>13</v>
          </cell>
          <cell r="W40">
            <v>5</v>
          </cell>
          <cell r="X40">
            <v>15</v>
          </cell>
          <cell r="Y40">
            <v>8</v>
          </cell>
          <cell r="Z40">
            <v>1.25</v>
          </cell>
          <cell r="AA40">
            <v>0</v>
          </cell>
          <cell r="AB40">
            <v>0</v>
          </cell>
          <cell r="AC40">
            <v>7500</v>
          </cell>
          <cell r="AD40">
            <v>300</v>
          </cell>
          <cell r="AE40">
            <v>150</v>
          </cell>
          <cell r="AF40">
            <v>150</v>
          </cell>
          <cell r="AG40">
            <v>1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1</v>
          </cell>
          <cell r="AN40">
            <v>0</v>
          </cell>
          <cell r="AO40">
            <v>0</v>
          </cell>
          <cell r="AP40">
            <v>625</v>
          </cell>
          <cell r="AQ40">
            <v>25</v>
          </cell>
          <cell r="AR40">
            <v>13</v>
          </cell>
          <cell r="AS40">
            <v>13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 t="str">
            <v>4301|10</v>
          </cell>
          <cell r="AY40">
            <v>10</v>
          </cell>
          <cell r="AZ40" t="str">
            <v>113701,113702,113703,113704,113705,113706,113707,113708,113709,113710</v>
          </cell>
          <cell r="BA40" t="str">
            <v>4001|50</v>
          </cell>
          <cell r="BB40">
            <v>50</v>
          </cell>
          <cell r="BC40" t="str">
            <v>11019,11020,11034,11035,11042</v>
          </cell>
          <cell r="BD40" t="str">
            <v>[]</v>
          </cell>
          <cell r="BE40" t="str">
            <v>12017,12019,12021,12023</v>
          </cell>
          <cell r="BF40">
            <v>1400</v>
          </cell>
          <cell r="BG40">
            <v>5000</v>
          </cell>
          <cell r="BH40">
            <v>1000</v>
          </cell>
          <cell r="BI40">
            <v>10037</v>
          </cell>
          <cell r="BJ40" t="str">
            <v>[]</v>
          </cell>
          <cell r="BK40">
            <v>0</v>
          </cell>
          <cell r="BL40">
            <v>50000</v>
          </cell>
          <cell r="BM40">
            <v>1.5</v>
          </cell>
          <cell r="BN40">
            <v>100</v>
          </cell>
          <cell r="BO40">
            <v>1137</v>
          </cell>
          <cell r="BP40">
            <v>1137</v>
          </cell>
          <cell r="BQ40" t="str">
            <v>zhizhujing_a_01</v>
          </cell>
          <cell r="BR40" t="str">
            <v>[]</v>
          </cell>
          <cell r="BS40" t="e">
            <v>#VALUE!</v>
          </cell>
          <cell r="BT40" t="str">
            <v>zhizhujing</v>
          </cell>
          <cell r="BU40" t="e">
            <v>#VALUE!</v>
          </cell>
          <cell r="BV40" t="str">
            <v>[]</v>
          </cell>
          <cell r="BW40" t="str">
            <v>3-13</v>
          </cell>
        </row>
        <row r="41">
          <cell r="A41">
            <v>1216</v>
          </cell>
          <cell r="B41" t="str">
            <v>女儿国国王</v>
          </cell>
          <cell r="C41" t="str">
            <v>御弟哥哥，你就从了朕吧！</v>
          </cell>
          <cell r="D41">
            <v>1</v>
          </cell>
          <cell r="E41">
            <v>3</v>
          </cell>
          <cell r="F41">
            <v>2</v>
          </cell>
          <cell r="G41">
            <v>2</v>
          </cell>
          <cell r="H41" t="str">
            <v>法攻型，负责法术输出</v>
          </cell>
          <cell r="I41">
            <v>150</v>
          </cell>
          <cell r="J41" t="str">
            <v>nverguoguowang_attack</v>
          </cell>
          <cell r="K41">
            <v>10</v>
          </cell>
          <cell r="L41" t="str">
            <v>nverguoguowang_skill01,nverguoguowang_skill02,nverguoguowang_skill03,nverguoguowang_skill04</v>
          </cell>
          <cell r="M41" t="str">
            <v>common_fangyu,common_chaofeng</v>
          </cell>
          <cell r="N41" t="str">
            <v>head_nverguoguowang</v>
          </cell>
          <cell r="O41" t="str">
            <v>chengsebiankuang</v>
          </cell>
          <cell r="P41" t="str">
            <v>nverguoguowang_actor</v>
          </cell>
          <cell r="Q41">
            <v>1</v>
          </cell>
          <cell r="R41" t="str">
            <v>[]</v>
          </cell>
          <cell r="S41" t="str">
            <v>[]</v>
          </cell>
          <cell r="T41" t="str">
            <v>[]</v>
          </cell>
          <cell r="U41">
            <v>4</v>
          </cell>
          <cell r="V41">
            <v>13</v>
          </cell>
          <cell r="W41">
            <v>9</v>
          </cell>
          <cell r="X41">
            <v>15</v>
          </cell>
          <cell r="Y41">
            <v>8</v>
          </cell>
          <cell r="Z41">
            <v>0.8</v>
          </cell>
          <cell r="AA41">
            <v>0</v>
          </cell>
          <cell r="AB41">
            <v>0</v>
          </cell>
          <cell r="AC41">
            <v>7500</v>
          </cell>
          <cell r="AD41">
            <v>300</v>
          </cell>
          <cell r="AE41">
            <v>150</v>
          </cell>
          <cell r="AF41">
            <v>150</v>
          </cell>
          <cell r="AG41">
            <v>1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1</v>
          </cell>
          <cell r="AN41">
            <v>0</v>
          </cell>
          <cell r="AO41">
            <v>0</v>
          </cell>
          <cell r="AP41">
            <v>625</v>
          </cell>
          <cell r="AQ41">
            <v>25</v>
          </cell>
          <cell r="AR41">
            <v>13</v>
          </cell>
          <cell r="AS41">
            <v>13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 t="str">
            <v>4201|10</v>
          </cell>
          <cell r="AY41">
            <v>10</v>
          </cell>
          <cell r="AZ41" t="str">
            <v>121601,121602,121603,121604,121605,121606,121607,121608,121609,121610</v>
          </cell>
          <cell r="BA41" t="str">
            <v>4001|50</v>
          </cell>
          <cell r="BB41">
            <v>50</v>
          </cell>
          <cell r="BC41" t="str">
            <v>11217,11218,11236,11237,11240</v>
          </cell>
          <cell r="BD41" t="str">
            <v>[]</v>
          </cell>
          <cell r="BE41" t="str">
            <v>12017,12019,12021,12023</v>
          </cell>
          <cell r="BF41">
            <v>1400</v>
          </cell>
          <cell r="BG41">
            <v>20000</v>
          </cell>
          <cell r="BH41">
            <v>4000</v>
          </cell>
          <cell r="BI41">
            <v>10116</v>
          </cell>
          <cell r="BJ41" t="str">
            <v>[]</v>
          </cell>
          <cell r="BK41">
            <v>0</v>
          </cell>
          <cell r="BL41">
            <v>10000</v>
          </cell>
          <cell r="BM41">
            <v>1</v>
          </cell>
          <cell r="BN41">
            <v>100</v>
          </cell>
          <cell r="BO41">
            <v>1216</v>
          </cell>
          <cell r="BP41">
            <v>1216</v>
          </cell>
          <cell r="BQ41" t="str">
            <v>nverguoguowang_a_01</v>
          </cell>
          <cell r="BR41" t="str">
            <v>[]</v>
          </cell>
          <cell r="BS41" t="e">
            <v>#VALUE!</v>
          </cell>
          <cell r="BT41" t="str">
            <v>nverguoguowang</v>
          </cell>
          <cell r="BU41" t="e">
            <v>#VALUE!</v>
          </cell>
          <cell r="BV41" t="str">
            <v>[]</v>
          </cell>
          <cell r="BW41" t="str">
            <v>2-13</v>
          </cell>
        </row>
        <row r="42">
          <cell r="A42">
            <v>1106</v>
          </cell>
          <cell r="B42" t="str">
            <v>太白金星</v>
          </cell>
          <cell r="C42" t="str">
            <v>腹黑？那是因为我脸白~</v>
          </cell>
          <cell r="D42">
            <v>1</v>
          </cell>
          <cell r="E42">
            <v>1</v>
          </cell>
          <cell r="F42">
            <v>3</v>
          </cell>
          <cell r="G42">
            <v>3</v>
          </cell>
          <cell r="H42" t="str">
            <v>法攻型，负责法术输出</v>
          </cell>
          <cell r="I42">
            <v>150</v>
          </cell>
          <cell r="J42" t="str">
            <v>taibaijinxing_attack</v>
          </cell>
          <cell r="K42">
            <v>10</v>
          </cell>
          <cell r="L42" t="str">
            <v>taibaijinxing_skill01,taibaijinxing_skill02,taibaijinxing_skill03,taibaijinxing_skill04</v>
          </cell>
          <cell r="M42" t="str">
            <v>common_fangyu,common_chaofeng</v>
          </cell>
          <cell r="N42" t="str">
            <v>head_taibaijinxing</v>
          </cell>
          <cell r="O42" t="str">
            <v>chengsebiankuang</v>
          </cell>
          <cell r="P42" t="str">
            <v>taibaijinxing_actor</v>
          </cell>
          <cell r="Q42">
            <v>1</v>
          </cell>
          <cell r="R42" t="str">
            <v>[]</v>
          </cell>
          <cell r="S42" t="str">
            <v>[]</v>
          </cell>
          <cell r="T42" t="str">
            <v>[]</v>
          </cell>
          <cell r="U42">
            <v>4</v>
          </cell>
          <cell r="V42">
            <v>13</v>
          </cell>
          <cell r="W42">
            <v>5</v>
          </cell>
          <cell r="X42">
            <v>15</v>
          </cell>
          <cell r="Y42">
            <v>8</v>
          </cell>
          <cell r="Z42">
            <v>1</v>
          </cell>
          <cell r="AA42">
            <v>0</v>
          </cell>
          <cell r="AB42">
            <v>0</v>
          </cell>
          <cell r="AC42">
            <v>7500</v>
          </cell>
          <cell r="AD42">
            <v>300</v>
          </cell>
          <cell r="AE42">
            <v>150</v>
          </cell>
          <cell r="AF42">
            <v>150</v>
          </cell>
          <cell r="AG42">
            <v>1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1</v>
          </cell>
          <cell r="AN42">
            <v>0</v>
          </cell>
          <cell r="AO42">
            <v>0</v>
          </cell>
          <cell r="AP42">
            <v>625</v>
          </cell>
          <cell r="AQ42">
            <v>25</v>
          </cell>
          <cell r="AR42">
            <v>13</v>
          </cell>
          <cell r="AS42">
            <v>13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 t="str">
            <v>4301|10</v>
          </cell>
          <cell r="AY42">
            <v>10</v>
          </cell>
          <cell r="AZ42" t="str">
            <v>110601,110602,110603,110604,110605,110606,110607,110608,110609,110610</v>
          </cell>
          <cell r="BA42" t="str">
            <v>4001|50</v>
          </cell>
          <cell r="BB42">
            <v>50</v>
          </cell>
          <cell r="BC42" t="str">
            <v>11117,11118,11136,11137,11140</v>
          </cell>
          <cell r="BD42" t="str">
            <v>[]</v>
          </cell>
          <cell r="BE42" t="str">
            <v>12020,12018,12022,12024</v>
          </cell>
          <cell r="BF42">
            <v>1400</v>
          </cell>
          <cell r="BG42">
            <v>20000</v>
          </cell>
          <cell r="BH42">
            <v>4000</v>
          </cell>
          <cell r="BI42">
            <v>10006</v>
          </cell>
          <cell r="BJ42" t="str">
            <v>[]</v>
          </cell>
          <cell r="BK42">
            <v>0</v>
          </cell>
          <cell r="BL42">
            <v>50000</v>
          </cell>
          <cell r="BM42">
            <v>1.5</v>
          </cell>
          <cell r="BN42">
            <v>100</v>
          </cell>
          <cell r="BO42">
            <v>1106</v>
          </cell>
          <cell r="BP42">
            <v>1106</v>
          </cell>
          <cell r="BQ42" t="str">
            <v>taibaijinxing_a_01</v>
          </cell>
          <cell r="BR42" t="str">
            <v>[]</v>
          </cell>
          <cell r="BS42" t="e">
            <v>#VALUE!</v>
          </cell>
          <cell r="BT42" t="str">
            <v>taibaijinxing</v>
          </cell>
          <cell r="BU42" t="e">
            <v>#VALUE!</v>
          </cell>
          <cell r="BV42" t="str">
            <v>[]</v>
          </cell>
          <cell r="BW42" t="str">
            <v>3-13</v>
          </cell>
        </row>
        <row r="43">
          <cell r="A43">
            <v>1115</v>
          </cell>
          <cell r="B43" t="str">
            <v>羊力大仙</v>
          </cell>
          <cell r="C43" t="str">
            <v>哥哥，你怎么又受伤了？我会心疼的。</v>
          </cell>
          <cell r="D43">
            <v>1</v>
          </cell>
          <cell r="E43">
            <v>2</v>
          </cell>
          <cell r="F43">
            <v>1</v>
          </cell>
          <cell r="G43">
            <v>1</v>
          </cell>
          <cell r="H43" t="str">
            <v>辅助型，提供支援或给受伤的队友疗伤</v>
          </cell>
          <cell r="I43">
            <v>150</v>
          </cell>
          <cell r="J43" t="str">
            <v>yanglidaxian_attack</v>
          </cell>
          <cell r="K43">
            <v>10</v>
          </cell>
          <cell r="L43" t="str">
            <v>yanglidaxian_skill01,yanglidaxian_skill02,yanglidaxian_skill03,yanglidaxian_skill04</v>
          </cell>
          <cell r="M43" t="str">
            <v>common_fangyu,common_chaofeng</v>
          </cell>
          <cell r="N43" t="str">
            <v>head_yanglidaxian</v>
          </cell>
          <cell r="O43" t="str">
            <v>chengsebiankuang</v>
          </cell>
          <cell r="P43" t="str">
            <v>yanglidaxian_actor</v>
          </cell>
          <cell r="Q43">
            <v>1</v>
          </cell>
          <cell r="R43" t="str">
            <v>[]</v>
          </cell>
          <cell r="S43" t="str">
            <v>[]</v>
          </cell>
          <cell r="T43" t="str">
            <v>[]</v>
          </cell>
          <cell r="U43">
            <v>5</v>
          </cell>
          <cell r="V43">
            <v>16</v>
          </cell>
          <cell r="W43">
            <v>9</v>
          </cell>
          <cell r="X43">
            <v>15</v>
          </cell>
          <cell r="Y43">
            <v>8</v>
          </cell>
          <cell r="Z43">
            <v>1</v>
          </cell>
          <cell r="AA43">
            <v>0</v>
          </cell>
          <cell r="AB43">
            <v>0</v>
          </cell>
          <cell r="AC43">
            <v>12500</v>
          </cell>
          <cell r="AD43">
            <v>500</v>
          </cell>
          <cell r="AE43">
            <v>250</v>
          </cell>
          <cell r="AF43">
            <v>250</v>
          </cell>
          <cell r="AG43">
            <v>1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1</v>
          </cell>
          <cell r="AN43">
            <v>0</v>
          </cell>
          <cell r="AO43">
            <v>0</v>
          </cell>
          <cell r="AP43">
            <v>750</v>
          </cell>
          <cell r="AQ43">
            <v>30</v>
          </cell>
          <cell r="AR43">
            <v>15</v>
          </cell>
          <cell r="AS43">
            <v>15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 t="str">
            <v>5101|10</v>
          </cell>
          <cell r="AY43">
            <v>10</v>
          </cell>
          <cell r="AZ43" t="str">
            <v>111501,111502,111503,111504,111505,111506,111507,111508,111509,111510</v>
          </cell>
          <cell r="BA43" t="str">
            <v>4001|50</v>
          </cell>
          <cell r="BB43">
            <v>50</v>
          </cell>
          <cell r="BC43" t="str">
            <v>11012,11015,11016,11023,11024,11043</v>
          </cell>
          <cell r="BD43" t="str">
            <v>[]</v>
          </cell>
          <cell r="BE43" t="str">
            <v>12020,12018,12022,12024</v>
          </cell>
          <cell r="BF43">
            <v>2000</v>
          </cell>
          <cell r="BG43">
            <v>20000</v>
          </cell>
          <cell r="BH43">
            <v>4000</v>
          </cell>
          <cell r="BI43">
            <v>10015</v>
          </cell>
          <cell r="BJ43" t="str">
            <v>[]</v>
          </cell>
          <cell r="BK43">
            <v>0</v>
          </cell>
          <cell r="BL43">
            <v>3000</v>
          </cell>
          <cell r="BM43">
            <v>1</v>
          </cell>
          <cell r="BN43">
            <v>101</v>
          </cell>
          <cell r="BO43">
            <v>1115</v>
          </cell>
          <cell r="BP43">
            <v>1115</v>
          </cell>
          <cell r="BQ43" t="str">
            <v>yanglidaxian_a_01_01,yanglidaxian_a_01_02</v>
          </cell>
          <cell r="BR43" t="str">
            <v>[]</v>
          </cell>
          <cell r="BS43" t="e">
            <v>#VALUE!</v>
          </cell>
          <cell r="BT43" t="str">
            <v>yanglidaxian</v>
          </cell>
          <cell r="BU43" t="e">
            <v>#VALUE!</v>
          </cell>
          <cell r="BV43" t="str">
            <v>[]</v>
          </cell>
          <cell r="BW43" t="str">
            <v>1-16</v>
          </cell>
        </row>
        <row r="44">
          <cell r="A44">
            <v>1208</v>
          </cell>
          <cell r="B44" t="str">
            <v>彩蝶仙童</v>
          </cell>
          <cell r="C44" t="str">
            <v>哇~我闻到了春天的味道。</v>
          </cell>
          <cell r="D44">
            <v>1</v>
          </cell>
          <cell r="E44">
            <v>2</v>
          </cell>
          <cell r="F44">
            <v>2</v>
          </cell>
          <cell r="G44">
            <v>2</v>
          </cell>
          <cell r="H44" t="str">
            <v>法攻型，负责法术输出</v>
          </cell>
          <cell r="I44">
            <v>150</v>
          </cell>
          <cell r="J44" t="str">
            <v>caidiexiantong_attack</v>
          </cell>
          <cell r="K44">
            <v>10</v>
          </cell>
          <cell r="L44" t="str">
            <v>caidiexiantong_skill01,caidiexiantong_skill02,caidiexiantong_skill03,caidiexiantong_skill04</v>
          </cell>
          <cell r="M44" t="str">
            <v>common_fangyu,common_chaofeng</v>
          </cell>
          <cell r="N44" t="str">
            <v>head_caidiexiantong</v>
          </cell>
          <cell r="O44" t="str">
            <v>chengsebiankuang</v>
          </cell>
          <cell r="P44" t="str">
            <v>caidiexiantong_actor</v>
          </cell>
          <cell r="Q44">
            <v>1</v>
          </cell>
          <cell r="R44" t="str">
            <v>[]</v>
          </cell>
          <cell r="S44" t="str">
            <v>[]</v>
          </cell>
          <cell r="T44" t="str">
            <v>[]</v>
          </cell>
          <cell r="U44">
            <v>4</v>
          </cell>
          <cell r="V44">
            <v>13</v>
          </cell>
          <cell r="W44">
            <v>9</v>
          </cell>
          <cell r="X44">
            <v>15</v>
          </cell>
          <cell r="Y44">
            <v>8</v>
          </cell>
          <cell r="Z44">
            <v>0.8</v>
          </cell>
          <cell r="AA44">
            <v>0</v>
          </cell>
          <cell r="AB44">
            <v>0</v>
          </cell>
          <cell r="AC44">
            <v>7500</v>
          </cell>
          <cell r="AD44">
            <v>300</v>
          </cell>
          <cell r="AE44">
            <v>150</v>
          </cell>
          <cell r="AF44">
            <v>150</v>
          </cell>
          <cell r="AG44">
            <v>1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1</v>
          </cell>
          <cell r="AN44">
            <v>0</v>
          </cell>
          <cell r="AO44">
            <v>0</v>
          </cell>
          <cell r="AP44">
            <v>625</v>
          </cell>
          <cell r="AQ44">
            <v>25</v>
          </cell>
          <cell r="AR44">
            <v>13</v>
          </cell>
          <cell r="AS44">
            <v>13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 t="str">
            <v>4201|10</v>
          </cell>
          <cell r="AY44">
            <v>10</v>
          </cell>
          <cell r="AZ44" t="str">
            <v>120801,120802,120803,120804,120805,120806,120807,120808,120809,120810</v>
          </cell>
          <cell r="BA44" t="str">
            <v>4001|50</v>
          </cell>
          <cell r="BB44">
            <v>50</v>
          </cell>
          <cell r="BC44" t="str">
            <v>11017,11018,11036,11037,11040</v>
          </cell>
          <cell r="BD44" t="str">
            <v>[]</v>
          </cell>
          <cell r="BE44" t="str">
            <v>12020,12018,12022,12024</v>
          </cell>
          <cell r="BF44">
            <v>1400</v>
          </cell>
          <cell r="BG44">
            <v>20000</v>
          </cell>
          <cell r="BH44">
            <v>4000</v>
          </cell>
          <cell r="BI44">
            <v>10108</v>
          </cell>
          <cell r="BJ44" t="str">
            <v>[]</v>
          </cell>
          <cell r="BK44">
            <v>0</v>
          </cell>
          <cell r="BL44">
            <v>10000</v>
          </cell>
          <cell r="BM44">
            <v>1</v>
          </cell>
          <cell r="BN44">
            <v>100</v>
          </cell>
          <cell r="BO44">
            <v>1208</v>
          </cell>
          <cell r="BP44">
            <v>1208</v>
          </cell>
          <cell r="BQ44" t="str">
            <v>dieyao_a_01</v>
          </cell>
          <cell r="BR44" t="str">
            <v>[]</v>
          </cell>
          <cell r="BS44" t="e">
            <v>#VALUE!</v>
          </cell>
          <cell r="BT44" t="str">
            <v>caidiexiantong</v>
          </cell>
          <cell r="BU44" t="e">
            <v>#VALUE!</v>
          </cell>
          <cell r="BV44" t="str">
            <v>[]</v>
          </cell>
          <cell r="BW44" t="str">
            <v>2-13</v>
          </cell>
        </row>
        <row r="45">
          <cell r="A45">
            <v>1122</v>
          </cell>
          <cell r="B45" t="str">
            <v>唐三藏</v>
          </cell>
          <cell r="C45" t="str">
            <v>都说我的肉能长生不老，要不我自己试试？</v>
          </cell>
          <cell r="D45">
            <v>1</v>
          </cell>
          <cell r="E45">
            <v>3</v>
          </cell>
          <cell r="F45">
            <v>4</v>
          </cell>
          <cell r="G45">
            <v>4</v>
          </cell>
          <cell r="H45" t="str">
            <v>防御型，俗称肉盾，生命值高，防御力强</v>
          </cell>
          <cell r="I45">
            <v>150</v>
          </cell>
          <cell r="J45" t="str">
            <v>tangsanzang_attack</v>
          </cell>
          <cell r="K45">
            <v>10</v>
          </cell>
          <cell r="L45" t="str">
            <v>tangsanzang_skill01,tangsanzang_skill02,tangsanzang_skill03,tangsanzang_skill04</v>
          </cell>
          <cell r="M45" t="str">
            <v>common_fangyu,common_chaofeng</v>
          </cell>
          <cell r="N45" t="str">
            <v>head_tangsanzang</v>
          </cell>
          <cell r="O45" t="str">
            <v>chengsebiankuang</v>
          </cell>
          <cell r="P45" t="str">
            <v>tangsanzang_actor</v>
          </cell>
          <cell r="Q45">
            <v>1</v>
          </cell>
          <cell r="R45" t="str">
            <v>[]</v>
          </cell>
          <cell r="S45" t="str">
            <v>[]</v>
          </cell>
          <cell r="T45" t="str">
            <v>[]</v>
          </cell>
          <cell r="U45">
            <v>4</v>
          </cell>
          <cell r="V45">
            <v>13</v>
          </cell>
          <cell r="W45">
            <v>3</v>
          </cell>
          <cell r="X45">
            <v>15</v>
          </cell>
          <cell r="Y45">
            <v>8</v>
          </cell>
          <cell r="Z45">
            <v>1</v>
          </cell>
          <cell r="AA45">
            <v>0</v>
          </cell>
          <cell r="AB45">
            <v>0</v>
          </cell>
          <cell r="AC45">
            <v>7500</v>
          </cell>
          <cell r="AD45">
            <v>300</v>
          </cell>
          <cell r="AE45">
            <v>150</v>
          </cell>
          <cell r="AF45">
            <v>150</v>
          </cell>
          <cell r="AG45">
            <v>1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1</v>
          </cell>
          <cell r="AN45">
            <v>0</v>
          </cell>
          <cell r="AO45">
            <v>0</v>
          </cell>
          <cell r="AP45">
            <v>625</v>
          </cell>
          <cell r="AQ45">
            <v>25</v>
          </cell>
          <cell r="AR45">
            <v>13</v>
          </cell>
          <cell r="AS45">
            <v>13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 t="str">
            <v>4401|10</v>
          </cell>
          <cell r="AY45">
            <v>10</v>
          </cell>
          <cell r="AZ45" t="str">
            <v>112201,112202,112203,112204,112205,112206,112207,112208,112209,112210</v>
          </cell>
          <cell r="BA45" t="str">
            <v>4001|50</v>
          </cell>
          <cell r="BB45">
            <v>50</v>
          </cell>
          <cell r="BC45" t="str">
            <v>11217,11220,11225,11226,11238</v>
          </cell>
          <cell r="BD45" t="str">
            <v>[]</v>
          </cell>
          <cell r="BE45" t="str">
            <v>12017,12019,12022,12024</v>
          </cell>
          <cell r="BF45">
            <v>1400</v>
          </cell>
          <cell r="BG45">
            <v>20000</v>
          </cell>
          <cell r="BH45">
            <v>4000</v>
          </cell>
          <cell r="BI45">
            <v>10022</v>
          </cell>
          <cell r="BJ45" t="str">
            <v>[]</v>
          </cell>
          <cell r="BK45">
            <v>0</v>
          </cell>
          <cell r="BL45">
            <v>100000</v>
          </cell>
          <cell r="BM45">
            <v>10</v>
          </cell>
          <cell r="BN45">
            <v>100</v>
          </cell>
          <cell r="BO45">
            <v>1122</v>
          </cell>
          <cell r="BP45">
            <v>1122</v>
          </cell>
          <cell r="BQ45" t="str">
            <v>tangsanzang_a_01</v>
          </cell>
          <cell r="BR45" t="str">
            <v>[]</v>
          </cell>
          <cell r="BS45" t="e">
            <v>#VALUE!</v>
          </cell>
          <cell r="BT45" t="str">
            <v>tangsanzang</v>
          </cell>
          <cell r="BU45" t="e">
            <v>#VALUE!</v>
          </cell>
          <cell r="BV45" t="str">
            <v>[]</v>
          </cell>
          <cell r="BW45" t="str">
            <v>4-13</v>
          </cell>
        </row>
        <row r="46">
          <cell r="A46">
            <v>1207</v>
          </cell>
          <cell r="B46" t="str">
            <v>引魂仙子</v>
          </cell>
          <cell r="C46" t="str">
            <v>别害怕，我是你的引魂灯。</v>
          </cell>
          <cell r="D46">
            <v>1</v>
          </cell>
          <cell r="E46">
            <v>3</v>
          </cell>
          <cell r="F46">
            <v>2</v>
          </cell>
          <cell r="G46">
            <v>2</v>
          </cell>
          <cell r="H46" t="str">
            <v>法攻型，负责法术输出</v>
          </cell>
          <cell r="I46">
            <v>150</v>
          </cell>
          <cell r="J46" t="str">
            <v>yinhunxianzi_attack</v>
          </cell>
          <cell r="K46">
            <v>10</v>
          </cell>
          <cell r="L46" t="str">
            <v>yinhunxianzi_skill01,yinhunxianzi_skill02,yinhunxianzi_skill03,yinhunxianzi_skill04</v>
          </cell>
          <cell r="M46" t="str">
            <v>common_fangyu,common_chaofeng</v>
          </cell>
          <cell r="N46" t="str">
            <v>head_yinhunxianzi</v>
          </cell>
          <cell r="O46" t="str">
            <v>chengsebiankuang</v>
          </cell>
          <cell r="P46" t="str">
            <v>yinhunxianzi_actor</v>
          </cell>
          <cell r="Q46">
            <v>1</v>
          </cell>
          <cell r="R46" t="str">
            <v>[]</v>
          </cell>
          <cell r="S46" t="str">
            <v>[]</v>
          </cell>
          <cell r="T46" t="str">
            <v>[]</v>
          </cell>
          <cell r="U46">
            <v>4</v>
          </cell>
          <cell r="V46">
            <v>13</v>
          </cell>
          <cell r="W46">
            <v>9</v>
          </cell>
          <cell r="X46">
            <v>15</v>
          </cell>
          <cell r="Y46">
            <v>8</v>
          </cell>
          <cell r="Z46">
            <v>0.8</v>
          </cell>
          <cell r="AA46">
            <v>0</v>
          </cell>
          <cell r="AB46">
            <v>0</v>
          </cell>
          <cell r="AC46">
            <v>7500</v>
          </cell>
          <cell r="AD46">
            <v>300</v>
          </cell>
          <cell r="AE46">
            <v>150</v>
          </cell>
          <cell r="AF46">
            <v>150</v>
          </cell>
          <cell r="AG46">
            <v>1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1</v>
          </cell>
          <cell r="AN46">
            <v>0</v>
          </cell>
          <cell r="AO46">
            <v>0</v>
          </cell>
          <cell r="AP46">
            <v>625</v>
          </cell>
          <cell r="AQ46">
            <v>25</v>
          </cell>
          <cell r="AR46">
            <v>13</v>
          </cell>
          <cell r="AS46">
            <v>13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 t="str">
            <v>4201|10</v>
          </cell>
          <cell r="AY46">
            <v>10</v>
          </cell>
          <cell r="AZ46" t="str">
            <v>120701,120702,120703,120704,120705,120706,120707,120708,120709,120710</v>
          </cell>
          <cell r="BA46" t="str">
            <v>4001|50</v>
          </cell>
          <cell r="BB46">
            <v>50</v>
          </cell>
          <cell r="BC46" t="str">
            <v>11219,11220,11232,11233,11242</v>
          </cell>
          <cell r="BD46" t="str">
            <v>[]</v>
          </cell>
          <cell r="BE46" t="str">
            <v>12020,12018,12022,12024</v>
          </cell>
          <cell r="BF46">
            <v>1400</v>
          </cell>
          <cell r="BG46">
            <v>20000</v>
          </cell>
          <cell r="BH46">
            <v>4000</v>
          </cell>
          <cell r="BI46">
            <v>10107</v>
          </cell>
          <cell r="BJ46" t="str">
            <v>[]</v>
          </cell>
          <cell r="BK46">
            <v>0</v>
          </cell>
          <cell r="BL46">
            <v>10000</v>
          </cell>
          <cell r="BM46">
            <v>1</v>
          </cell>
          <cell r="BN46">
            <v>100</v>
          </cell>
          <cell r="BO46">
            <v>1207</v>
          </cell>
          <cell r="BP46">
            <v>1207</v>
          </cell>
          <cell r="BQ46" t="str">
            <v>youyinghun_a_01</v>
          </cell>
          <cell r="BR46" t="str">
            <v>[]</v>
          </cell>
          <cell r="BS46" t="e">
            <v>#VALUE!</v>
          </cell>
          <cell r="BT46" t="str">
            <v>yinhunxianzi</v>
          </cell>
          <cell r="BU46" t="e">
            <v>#VALUE!</v>
          </cell>
          <cell r="BV46" t="str">
            <v>[]</v>
          </cell>
          <cell r="BW46" t="str">
            <v>2-13</v>
          </cell>
        </row>
        <row r="47">
          <cell r="A47">
            <v>1139</v>
          </cell>
          <cell r="B47" t="str">
            <v>金钱豹王</v>
          </cell>
          <cell r="C47" t="str">
            <v>想跑？没我快！</v>
          </cell>
          <cell r="D47">
            <v>1</v>
          </cell>
          <cell r="E47">
            <v>2</v>
          </cell>
          <cell r="F47">
            <v>3</v>
          </cell>
          <cell r="G47">
            <v>3</v>
          </cell>
          <cell r="H47" t="str">
            <v>物攻型，负责物理输出</v>
          </cell>
          <cell r="I47">
            <v>150</v>
          </cell>
          <cell r="J47" t="str">
            <v>jinqianbaowang_attack</v>
          </cell>
          <cell r="K47">
            <v>10</v>
          </cell>
          <cell r="L47" t="str">
            <v>jinqianbaowang_skill01,jinqianbaowang_skill02,jinqianbaowang_skill03,jinqianbaowang_skill04</v>
          </cell>
          <cell r="M47" t="str">
            <v>common_fangyu,common_chaofeng</v>
          </cell>
          <cell r="N47" t="str">
            <v>head_jinqianbaowang</v>
          </cell>
          <cell r="O47" t="str">
            <v>zisebiankuang</v>
          </cell>
          <cell r="P47" t="str">
            <v>jinqianbaowang_actor</v>
          </cell>
          <cell r="Q47">
            <v>1</v>
          </cell>
          <cell r="R47" t="str">
            <v>[]</v>
          </cell>
          <cell r="S47" t="str">
            <v>[]</v>
          </cell>
          <cell r="T47" t="str">
            <v>[]</v>
          </cell>
          <cell r="U47">
            <v>3</v>
          </cell>
          <cell r="V47">
            <v>11</v>
          </cell>
          <cell r="W47">
            <v>5</v>
          </cell>
          <cell r="X47">
            <v>15</v>
          </cell>
          <cell r="Y47">
            <v>8</v>
          </cell>
          <cell r="Z47">
            <v>1.25</v>
          </cell>
          <cell r="AA47">
            <v>0</v>
          </cell>
          <cell r="AB47">
            <v>0</v>
          </cell>
          <cell r="AC47">
            <v>4000</v>
          </cell>
          <cell r="AD47">
            <v>160</v>
          </cell>
          <cell r="AE47">
            <v>80</v>
          </cell>
          <cell r="AF47">
            <v>80</v>
          </cell>
          <cell r="AG47">
            <v>1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1</v>
          </cell>
          <cell r="AN47">
            <v>0</v>
          </cell>
          <cell r="AO47">
            <v>0</v>
          </cell>
          <cell r="AP47">
            <v>400</v>
          </cell>
          <cell r="AQ47">
            <v>16</v>
          </cell>
          <cell r="AR47">
            <v>8</v>
          </cell>
          <cell r="AS47">
            <v>8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 t="str">
            <v>3001|8</v>
          </cell>
          <cell r="AY47">
            <v>8</v>
          </cell>
          <cell r="AZ47" t="str">
            <v>113901,113902,113903,113904,113905,113906,113907,113908</v>
          </cell>
          <cell r="BA47" t="str">
            <v>3001|50</v>
          </cell>
          <cell r="BB47">
            <v>50</v>
          </cell>
          <cell r="BC47" t="str">
            <v>11044,11047,11048,11052</v>
          </cell>
          <cell r="BD47" t="str">
            <v>[]</v>
          </cell>
          <cell r="BE47" t="str">
            <v>12015,12013</v>
          </cell>
          <cell r="BF47">
            <v>400</v>
          </cell>
          <cell r="BG47">
            <v>5000</v>
          </cell>
          <cell r="BH47">
            <v>1000</v>
          </cell>
          <cell r="BI47">
            <v>10039</v>
          </cell>
          <cell r="BJ47" t="str">
            <v>[]</v>
          </cell>
          <cell r="BK47">
            <v>0</v>
          </cell>
          <cell r="BL47">
            <v>50000</v>
          </cell>
          <cell r="BM47">
            <v>1.5</v>
          </cell>
          <cell r="BN47">
            <v>100</v>
          </cell>
          <cell r="BO47" t="str">
            <v>[]</v>
          </cell>
          <cell r="BP47">
            <v>1139</v>
          </cell>
          <cell r="BQ47" t="str">
            <v>jinqianbaowang_a_01</v>
          </cell>
          <cell r="BR47" t="str">
            <v>[]</v>
          </cell>
          <cell r="BS47" t="e">
            <v>#N/A</v>
          </cell>
          <cell r="BT47" t="str">
            <v>jinqianbaowang</v>
          </cell>
          <cell r="BU47" t="e">
            <v>#N/A</v>
          </cell>
          <cell r="BV47" t="str">
            <v>[]</v>
          </cell>
          <cell r="BW47" t="str">
            <v>3-11</v>
          </cell>
        </row>
        <row r="48">
          <cell r="A48">
            <v>1140</v>
          </cell>
          <cell r="B48" t="str">
            <v>墨鱼精</v>
          </cell>
          <cell r="C48" t="str">
            <v>我会是你的死刑执行者！</v>
          </cell>
          <cell r="D48">
            <v>1</v>
          </cell>
          <cell r="E48">
            <v>2</v>
          </cell>
          <cell r="F48">
            <v>3</v>
          </cell>
          <cell r="G48">
            <v>3</v>
          </cell>
          <cell r="H48" t="str">
            <v>物攻型，负责物理输出</v>
          </cell>
          <cell r="I48">
            <v>150</v>
          </cell>
          <cell r="J48" t="str">
            <v>moyujing_attack</v>
          </cell>
          <cell r="K48">
            <v>10</v>
          </cell>
          <cell r="L48" t="str">
            <v>moyujing_skill01,moyujing_skill02,moyujing_skill03,moyujing_skill04</v>
          </cell>
          <cell r="M48" t="str">
            <v>common_fangyu,common_chaofeng</v>
          </cell>
          <cell r="N48" t="str">
            <v>head_moyujing</v>
          </cell>
          <cell r="O48" t="str">
            <v>zisebiankuang</v>
          </cell>
          <cell r="P48" t="str">
            <v>moyujing_actor</v>
          </cell>
          <cell r="Q48">
            <v>1</v>
          </cell>
          <cell r="R48" t="str">
            <v>[]</v>
          </cell>
          <cell r="S48" t="str">
            <v>[]</v>
          </cell>
          <cell r="T48" t="str">
            <v>[]</v>
          </cell>
          <cell r="U48">
            <v>3</v>
          </cell>
          <cell r="V48">
            <v>11</v>
          </cell>
          <cell r="W48">
            <v>5</v>
          </cell>
          <cell r="X48">
            <v>15</v>
          </cell>
          <cell r="Y48">
            <v>8</v>
          </cell>
          <cell r="Z48">
            <v>1.25</v>
          </cell>
          <cell r="AA48">
            <v>0</v>
          </cell>
          <cell r="AB48">
            <v>0</v>
          </cell>
          <cell r="AC48">
            <v>4000</v>
          </cell>
          <cell r="AD48">
            <v>160</v>
          </cell>
          <cell r="AE48">
            <v>80</v>
          </cell>
          <cell r="AF48">
            <v>80</v>
          </cell>
          <cell r="AG48">
            <v>1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1</v>
          </cell>
          <cell r="AN48">
            <v>0</v>
          </cell>
          <cell r="AO48">
            <v>0</v>
          </cell>
          <cell r="AP48">
            <v>400</v>
          </cell>
          <cell r="AQ48">
            <v>16</v>
          </cell>
          <cell r="AR48">
            <v>8</v>
          </cell>
          <cell r="AS48">
            <v>8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 t="str">
            <v>3001|8</v>
          </cell>
          <cell r="AY48">
            <v>8</v>
          </cell>
          <cell r="AZ48" t="str">
            <v>114001,114002,114003,114004,114005,114006,114007,114008</v>
          </cell>
          <cell r="BA48" t="str">
            <v>3001|50</v>
          </cell>
          <cell r="BB48">
            <v>50</v>
          </cell>
          <cell r="BC48" t="str">
            <v>11044,11047,11049,11050</v>
          </cell>
          <cell r="BD48" t="str">
            <v>[]</v>
          </cell>
          <cell r="BE48" t="str">
            <v>12015,12013</v>
          </cell>
          <cell r="BF48">
            <v>400</v>
          </cell>
          <cell r="BG48">
            <v>5000</v>
          </cell>
          <cell r="BH48">
            <v>1000</v>
          </cell>
          <cell r="BI48">
            <v>10040</v>
          </cell>
          <cell r="BJ48" t="str">
            <v>[]</v>
          </cell>
          <cell r="BK48">
            <v>0</v>
          </cell>
          <cell r="BL48">
            <v>50000</v>
          </cell>
          <cell r="BM48">
            <v>1.5</v>
          </cell>
          <cell r="BN48">
            <v>100</v>
          </cell>
          <cell r="BO48" t="str">
            <v>[]</v>
          </cell>
          <cell r="BP48">
            <v>1140</v>
          </cell>
          <cell r="BQ48" t="str">
            <v>moyujing_a_01</v>
          </cell>
          <cell r="BR48" t="str">
            <v>[]</v>
          </cell>
          <cell r="BS48" t="e">
            <v>#N/A</v>
          </cell>
          <cell r="BT48" t="str">
            <v>moyujing</v>
          </cell>
          <cell r="BU48" t="e">
            <v>#N/A</v>
          </cell>
          <cell r="BV48" t="str">
            <v>[]</v>
          </cell>
          <cell r="BW48" t="str">
            <v>3-11</v>
          </cell>
        </row>
        <row r="49">
          <cell r="A49">
            <v>1107</v>
          </cell>
          <cell r="B49" t="str">
            <v>赤脚大仙</v>
          </cell>
          <cell r="C49" t="str">
            <v>光脚的有时候真怕穿鞋的！</v>
          </cell>
          <cell r="D49">
            <v>1</v>
          </cell>
          <cell r="E49">
            <v>1</v>
          </cell>
          <cell r="F49">
            <v>4</v>
          </cell>
          <cell r="G49">
            <v>4</v>
          </cell>
          <cell r="H49" t="str">
            <v>防御型，俗称肉盾，生命值高，防御力强</v>
          </cell>
          <cell r="I49">
            <v>150</v>
          </cell>
          <cell r="J49" t="str">
            <v>chijiaodaxian_attack</v>
          </cell>
          <cell r="K49">
            <v>10</v>
          </cell>
          <cell r="L49" t="str">
            <v>chijiaodaxian_skill01,chijiaodaxian_skill02,chijiaodaxian_skill03,chijiaodaxian_skill04</v>
          </cell>
          <cell r="M49" t="str">
            <v>common_fangyu,common_chaofeng</v>
          </cell>
          <cell r="N49" t="str">
            <v>head_chijiaodaxian</v>
          </cell>
          <cell r="O49" t="str">
            <v>chengsebiankuang</v>
          </cell>
          <cell r="P49" t="str">
            <v>chijiaodaxian_actor</v>
          </cell>
          <cell r="Q49">
            <v>1</v>
          </cell>
          <cell r="R49" t="str">
            <v>[]</v>
          </cell>
          <cell r="S49" t="str">
            <v>[]</v>
          </cell>
          <cell r="T49" t="str">
            <v>[]</v>
          </cell>
          <cell r="U49">
            <v>4</v>
          </cell>
          <cell r="V49">
            <v>13</v>
          </cell>
          <cell r="W49">
            <v>3</v>
          </cell>
          <cell r="X49">
            <v>15</v>
          </cell>
          <cell r="Y49">
            <v>8</v>
          </cell>
          <cell r="Z49">
            <v>1</v>
          </cell>
          <cell r="AA49">
            <v>0</v>
          </cell>
          <cell r="AB49">
            <v>0</v>
          </cell>
          <cell r="AC49">
            <v>7500</v>
          </cell>
          <cell r="AD49">
            <v>300</v>
          </cell>
          <cell r="AE49">
            <v>150</v>
          </cell>
          <cell r="AF49">
            <v>150</v>
          </cell>
          <cell r="AG49">
            <v>1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1</v>
          </cell>
          <cell r="AN49">
            <v>0</v>
          </cell>
          <cell r="AO49">
            <v>0</v>
          </cell>
          <cell r="AP49">
            <v>625</v>
          </cell>
          <cell r="AQ49">
            <v>25</v>
          </cell>
          <cell r="AR49">
            <v>13</v>
          </cell>
          <cell r="AS49">
            <v>13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 t="str">
            <v>4401|10</v>
          </cell>
          <cell r="AY49">
            <v>10</v>
          </cell>
          <cell r="AZ49" t="str">
            <v>110701,110702,110703,110704,110705,110706,110707,110708,110709,110710</v>
          </cell>
          <cell r="BA49" t="str">
            <v>4001|50</v>
          </cell>
          <cell r="BB49">
            <v>50</v>
          </cell>
          <cell r="BC49" t="str">
            <v>11117,11120,11125,11126,11138</v>
          </cell>
          <cell r="BD49" t="str">
            <v>[]</v>
          </cell>
          <cell r="BE49" t="str">
            <v>12017,12019,12022,12024</v>
          </cell>
          <cell r="BF49">
            <v>1400</v>
          </cell>
          <cell r="BG49">
            <v>20000</v>
          </cell>
          <cell r="BH49">
            <v>4000</v>
          </cell>
          <cell r="BI49">
            <v>10007</v>
          </cell>
          <cell r="BJ49" t="str">
            <v>[]</v>
          </cell>
          <cell r="BK49">
            <v>0</v>
          </cell>
          <cell r="BL49">
            <v>100000</v>
          </cell>
          <cell r="BM49">
            <v>10</v>
          </cell>
          <cell r="BN49">
            <v>100</v>
          </cell>
          <cell r="BO49">
            <v>1107</v>
          </cell>
          <cell r="BP49">
            <v>1107</v>
          </cell>
          <cell r="BQ49" t="str">
            <v>chijiaodaxian_a_01</v>
          </cell>
          <cell r="BR49" t="str">
            <v>[]</v>
          </cell>
          <cell r="BS49" t="e">
            <v>#VALUE!</v>
          </cell>
          <cell r="BT49" t="str">
            <v>chijiaodaxian</v>
          </cell>
          <cell r="BU49" t="e">
            <v>#VALUE!</v>
          </cell>
          <cell r="BV49" t="str">
            <v>[]</v>
          </cell>
          <cell r="BW49" t="str">
            <v>4-13</v>
          </cell>
        </row>
        <row r="50">
          <cell r="A50">
            <v>1134</v>
          </cell>
          <cell r="B50" t="str">
            <v>泾河龙王</v>
          </cell>
          <cell r="C50" t="str">
            <v>正义，是我们前进的动力！</v>
          </cell>
          <cell r="D50">
            <v>1</v>
          </cell>
          <cell r="E50">
            <v>1</v>
          </cell>
          <cell r="F50">
            <v>4</v>
          </cell>
          <cell r="G50">
            <v>4</v>
          </cell>
          <cell r="H50" t="str">
            <v>防御型，俗称肉盾，生命值高，防御力强</v>
          </cell>
          <cell r="I50">
            <v>150</v>
          </cell>
          <cell r="J50" t="str">
            <v>jinghelongwang_attack</v>
          </cell>
          <cell r="K50">
            <v>10</v>
          </cell>
          <cell r="L50" t="str">
            <v>jinghelongwang_skill01,jinghelongwang_skill02,jinghelongwang_skill03,jinghelongwang_skill04</v>
          </cell>
          <cell r="M50" t="str">
            <v>common_fangyu,common_chaofeng</v>
          </cell>
          <cell r="N50" t="str">
            <v>head_jinghelongwang</v>
          </cell>
          <cell r="O50" t="str">
            <v>zisebiankuang</v>
          </cell>
          <cell r="P50" t="str">
            <v>jinghelongwang_actor</v>
          </cell>
          <cell r="Q50">
            <v>1</v>
          </cell>
          <cell r="R50" t="str">
            <v>[]</v>
          </cell>
          <cell r="S50" t="str">
            <v>[]</v>
          </cell>
          <cell r="T50" t="str">
            <v>[]</v>
          </cell>
          <cell r="U50">
            <v>3</v>
          </cell>
          <cell r="V50">
            <v>11</v>
          </cell>
          <cell r="W50">
            <v>3</v>
          </cell>
          <cell r="X50">
            <v>15</v>
          </cell>
          <cell r="Y50">
            <v>8</v>
          </cell>
          <cell r="Z50">
            <v>1</v>
          </cell>
          <cell r="AA50">
            <v>0</v>
          </cell>
          <cell r="AB50">
            <v>0</v>
          </cell>
          <cell r="AC50">
            <v>4000</v>
          </cell>
          <cell r="AD50">
            <v>160</v>
          </cell>
          <cell r="AE50">
            <v>80</v>
          </cell>
          <cell r="AF50">
            <v>80</v>
          </cell>
          <cell r="AG50">
            <v>1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1</v>
          </cell>
          <cell r="AN50">
            <v>0</v>
          </cell>
          <cell r="AO50">
            <v>0</v>
          </cell>
          <cell r="AP50">
            <v>400</v>
          </cell>
          <cell r="AQ50">
            <v>16</v>
          </cell>
          <cell r="AR50">
            <v>8</v>
          </cell>
          <cell r="AS50">
            <v>8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 t="str">
            <v>3001|8</v>
          </cell>
          <cell r="AY50">
            <v>8</v>
          </cell>
          <cell r="AZ50" t="str">
            <v>113401,113402,113403,113404,113405,113406,113407,113408</v>
          </cell>
          <cell r="BA50" t="str">
            <v>3001|50</v>
          </cell>
          <cell r="BB50">
            <v>50</v>
          </cell>
          <cell r="BC50" t="str">
            <v>11144,11147,11148,11152</v>
          </cell>
          <cell r="BD50" t="str">
            <v>[]</v>
          </cell>
          <cell r="BE50" t="str">
            <v>12015,12013</v>
          </cell>
          <cell r="BF50">
            <v>400</v>
          </cell>
          <cell r="BG50">
            <v>5000</v>
          </cell>
          <cell r="BH50">
            <v>1000</v>
          </cell>
          <cell r="BI50">
            <v>10034</v>
          </cell>
          <cell r="BJ50" t="str">
            <v>[]</v>
          </cell>
          <cell r="BK50">
            <v>0</v>
          </cell>
          <cell r="BL50">
            <v>100000</v>
          </cell>
          <cell r="BM50">
            <v>10</v>
          </cell>
          <cell r="BN50">
            <v>100</v>
          </cell>
          <cell r="BO50" t="str">
            <v>[]</v>
          </cell>
          <cell r="BP50">
            <v>1134</v>
          </cell>
          <cell r="BQ50" t="str">
            <v>guishihei_a_01</v>
          </cell>
          <cell r="BR50" t="str">
            <v>[]</v>
          </cell>
          <cell r="BS50" t="e">
            <v>#N/A</v>
          </cell>
          <cell r="BT50" t="str">
            <v>jinghelongwang</v>
          </cell>
          <cell r="BU50" t="e">
            <v>#N/A</v>
          </cell>
          <cell r="BV50" t="str">
            <v>[]</v>
          </cell>
          <cell r="BW50" t="str">
            <v>4-11</v>
          </cell>
        </row>
        <row r="51">
          <cell r="A51">
            <v>1206</v>
          </cell>
          <cell r="B51" t="str">
            <v>牛头</v>
          </cell>
          <cell r="C51" t="str">
            <v>在地府打杂，不是一般人干的来的。</v>
          </cell>
          <cell r="D51">
            <v>1</v>
          </cell>
          <cell r="E51">
            <v>1</v>
          </cell>
          <cell r="F51">
            <v>3</v>
          </cell>
          <cell r="G51">
            <v>3</v>
          </cell>
          <cell r="H51" t="str">
            <v>物攻型，负责物理输出</v>
          </cell>
          <cell r="I51">
            <v>150</v>
          </cell>
          <cell r="J51" t="str">
            <v>niutou_attack</v>
          </cell>
          <cell r="K51">
            <v>10</v>
          </cell>
          <cell r="L51" t="str">
            <v>niutou_skill01,niutou_skill02,niutou_skill03,niutou_skill04</v>
          </cell>
          <cell r="M51" t="str">
            <v>common_fangyu,common_chaofeng</v>
          </cell>
          <cell r="N51" t="str">
            <v>head_niutou</v>
          </cell>
          <cell r="O51" t="str">
            <v>zisebiankuang</v>
          </cell>
          <cell r="P51" t="str">
            <v>niutou_actor</v>
          </cell>
          <cell r="Q51">
            <v>1</v>
          </cell>
          <cell r="R51" t="str">
            <v>[]</v>
          </cell>
          <cell r="S51" t="str">
            <v>[]</v>
          </cell>
          <cell r="T51" t="str">
            <v>[]</v>
          </cell>
          <cell r="U51">
            <v>3</v>
          </cell>
          <cell r="V51">
            <v>11</v>
          </cell>
          <cell r="W51">
            <v>5</v>
          </cell>
          <cell r="X51">
            <v>15</v>
          </cell>
          <cell r="Y51">
            <v>8</v>
          </cell>
          <cell r="Z51">
            <v>1</v>
          </cell>
          <cell r="AA51">
            <v>0</v>
          </cell>
          <cell r="AB51">
            <v>0</v>
          </cell>
          <cell r="AC51">
            <v>4000</v>
          </cell>
          <cell r="AD51">
            <v>160</v>
          </cell>
          <cell r="AE51">
            <v>80</v>
          </cell>
          <cell r="AF51">
            <v>80</v>
          </cell>
          <cell r="AG51">
            <v>1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1</v>
          </cell>
          <cell r="AN51">
            <v>0</v>
          </cell>
          <cell r="AO51">
            <v>0</v>
          </cell>
          <cell r="AP51">
            <v>400</v>
          </cell>
          <cell r="AQ51">
            <v>16</v>
          </cell>
          <cell r="AR51">
            <v>8</v>
          </cell>
          <cell r="AS51">
            <v>8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 t="str">
            <v>3001|8</v>
          </cell>
          <cell r="AY51">
            <v>8</v>
          </cell>
          <cell r="AZ51" t="str">
            <v>120601,120602,120603,120604,120605,120606,120607,120608</v>
          </cell>
          <cell r="BA51" t="str">
            <v>4001|50</v>
          </cell>
          <cell r="BB51">
            <v>50</v>
          </cell>
          <cell r="BC51" t="str">
            <v>11145,11146,11151,11153</v>
          </cell>
          <cell r="BD51" t="str">
            <v>[]</v>
          </cell>
          <cell r="BE51" t="str">
            <v>12016,12014</v>
          </cell>
          <cell r="BF51">
            <v>400</v>
          </cell>
          <cell r="BG51">
            <v>5000</v>
          </cell>
          <cell r="BH51">
            <v>1000</v>
          </cell>
          <cell r="BI51">
            <v>10106</v>
          </cell>
          <cell r="BJ51" t="str">
            <v>[]</v>
          </cell>
          <cell r="BK51">
            <v>0</v>
          </cell>
          <cell r="BL51">
            <v>50000</v>
          </cell>
          <cell r="BM51">
            <v>1.5</v>
          </cell>
          <cell r="BN51">
            <v>100</v>
          </cell>
          <cell r="BO51" t="str">
            <v>[]</v>
          </cell>
          <cell r="BP51">
            <v>1206</v>
          </cell>
          <cell r="BQ51" t="str">
            <v>niutou_a_01</v>
          </cell>
          <cell r="BR51" t="str">
            <v>[]</v>
          </cell>
          <cell r="BS51" t="e">
            <v>#N/A</v>
          </cell>
          <cell r="BT51" t="str">
            <v>niutou</v>
          </cell>
          <cell r="BU51" t="e">
            <v>#N/A</v>
          </cell>
          <cell r="BV51" t="str">
            <v>[]</v>
          </cell>
          <cell r="BW51" t="str">
            <v>3-11</v>
          </cell>
        </row>
        <row r="52">
          <cell r="A52">
            <v>1130</v>
          </cell>
          <cell r="B52" t="str">
            <v>地藏王</v>
          </cell>
          <cell r="C52" t="str">
            <v>所有的生灵在生死面前，都是苍白的。</v>
          </cell>
          <cell r="D52">
            <v>1</v>
          </cell>
          <cell r="E52">
            <v>3</v>
          </cell>
          <cell r="F52">
            <v>4</v>
          </cell>
          <cell r="G52">
            <v>4</v>
          </cell>
          <cell r="H52" t="str">
            <v>防御型，俗称肉盾，生命值高，防御力强</v>
          </cell>
          <cell r="I52">
            <v>150</v>
          </cell>
          <cell r="J52" t="str">
            <v>dizangwang_attack</v>
          </cell>
          <cell r="K52">
            <v>10</v>
          </cell>
          <cell r="L52" t="str">
            <v>dizangwang_skill01,dizangwang_skill02,dizangwang_skill03,dizangwang_skill04</v>
          </cell>
          <cell r="M52" t="str">
            <v>common_fangyu,common_chaofeng</v>
          </cell>
          <cell r="N52" t="str">
            <v>head_dizangwang</v>
          </cell>
          <cell r="O52" t="str">
            <v>chengsebiankuang</v>
          </cell>
          <cell r="P52" t="str">
            <v>dizangwang_actor</v>
          </cell>
          <cell r="Q52">
            <v>1</v>
          </cell>
          <cell r="R52" t="str">
            <v>[]</v>
          </cell>
          <cell r="S52" t="str">
            <v>[]</v>
          </cell>
          <cell r="T52" t="str">
            <v>[]</v>
          </cell>
          <cell r="U52">
            <v>3</v>
          </cell>
          <cell r="V52">
            <v>11</v>
          </cell>
          <cell r="W52">
            <v>3</v>
          </cell>
          <cell r="X52">
            <v>15</v>
          </cell>
          <cell r="Y52">
            <v>8</v>
          </cell>
          <cell r="Z52">
            <v>1</v>
          </cell>
          <cell r="AA52">
            <v>0</v>
          </cell>
          <cell r="AB52">
            <v>0</v>
          </cell>
          <cell r="AC52">
            <v>4000</v>
          </cell>
          <cell r="AD52">
            <v>160</v>
          </cell>
          <cell r="AE52">
            <v>80</v>
          </cell>
          <cell r="AF52">
            <v>80</v>
          </cell>
          <cell r="AG52">
            <v>1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1</v>
          </cell>
          <cell r="AN52">
            <v>0</v>
          </cell>
          <cell r="AO52">
            <v>0</v>
          </cell>
          <cell r="AP52">
            <v>400</v>
          </cell>
          <cell r="AQ52">
            <v>16</v>
          </cell>
          <cell r="AR52">
            <v>8</v>
          </cell>
          <cell r="AS52">
            <v>8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 t="str">
            <v>3001|8</v>
          </cell>
          <cell r="AY52">
            <v>8</v>
          </cell>
          <cell r="AZ52" t="str">
            <v>113001,113002,113003,113004,113005,113006,113007,113008</v>
          </cell>
          <cell r="BA52" t="str">
            <v>4001|50</v>
          </cell>
          <cell r="BB52">
            <v>50</v>
          </cell>
          <cell r="BC52" t="str">
            <v>11244,11247,11248,11252</v>
          </cell>
          <cell r="BD52" t="str">
            <v>[]</v>
          </cell>
          <cell r="BE52" t="str">
            <v>12015,12013</v>
          </cell>
          <cell r="BF52">
            <v>400</v>
          </cell>
          <cell r="BG52">
            <v>5000</v>
          </cell>
          <cell r="BH52">
            <v>1000</v>
          </cell>
          <cell r="BI52">
            <v>10030</v>
          </cell>
          <cell r="BJ52" t="str">
            <v>[]</v>
          </cell>
          <cell r="BK52">
            <v>0</v>
          </cell>
          <cell r="BL52">
            <v>100000</v>
          </cell>
          <cell r="BM52">
            <v>10</v>
          </cell>
          <cell r="BN52">
            <v>100</v>
          </cell>
          <cell r="BO52" t="str">
            <v>[]</v>
          </cell>
          <cell r="BP52">
            <v>1130</v>
          </cell>
          <cell r="BQ52" t="str">
            <v>dizangwang_a_01</v>
          </cell>
          <cell r="BR52" t="str">
            <v>[]</v>
          </cell>
          <cell r="BS52" t="e">
            <v>#N/A</v>
          </cell>
          <cell r="BT52" t="str">
            <v>dizangwang</v>
          </cell>
          <cell r="BU52" t="e">
            <v>#N/A</v>
          </cell>
          <cell r="BV52" t="str">
            <v>[]</v>
          </cell>
          <cell r="BW52" t="str">
            <v>4-11</v>
          </cell>
        </row>
        <row r="53">
          <cell r="A53">
            <v>1203</v>
          </cell>
          <cell r="B53" t="str">
            <v>鬼使黑</v>
          </cell>
          <cell r="C53" t="str">
            <v>不要再挣扎了，没用的。</v>
          </cell>
          <cell r="D53">
            <v>1</v>
          </cell>
          <cell r="E53">
            <v>1</v>
          </cell>
          <cell r="F53">
            <v>2</v>
          </cell>
          <cell r="G53">
            <v>2</v>
          </cell>
          <cell r="H53" t="str">
            <v>法攻型，负责法术输出</v>
          </cell>
          <cell r="I53">
            <v>150</v>
          </cell>
          <cell r="J53" t="str">
            <v>guishihei_attack</v>
          </cell>
          <cell r="K53">
            <v>10</v>
          </cell>
          <cell r="L53" t="str">
            <v>guishihei_skill01,guishihei_skill02,guishihei_skill03,guishihei_skill04</v>
          </cell>
          <cell r="M53" t="str">
            <v>common_fangyu,common_chaofeng</v>
          </cell>
          <cell r="N53" t="str">
            <v>head_guishihei</v>
          </cell>
          <cell r="O53" t="str">
            <v>zisebiankuang</v>
          </cell>
          <cell r="P53" t="str">
            <v>guishihei_actor</v>
          </cell>
          <cell r="Q53">
            <v>1</v>
          </cell>
          <cell r="R53" t="str">
            <v>[]</v>
          </cell>
          <cell r="S53" t="str">
            <v>[]</v>
          </cell>
          <cell r="T53" t="str">
            <v>[]</v>
          </cell>
          <cell r="U53">
            <v>3</v>
          </cell>
          <cell r="V53">
            <v>11</v>
          </cell>
          <cell r="W53">
            <v>9</v>
          </cell>
          <cell r="X53">
            <v>15</v>
          </cell>
          <cell r="Y53">
            <v>8</v>
          </cell>
          <cell r="Z53">
            <v>0.8</v>
          </cell>
          <cell r="AA53">
            <v>0</v>
          </cell>
          <cell r="AB53">
            <v>0</v>
          </cell>
          <cell r="AC53">
            <v>4000</v>
          </cell>
          <cell r="AD53">
            <v>160</v>
          </cell>
          <cell r="AE53">
            <v>80</v>
          </cell>
          <cell r="AF53">
            <v>80</v>
          </cell>
          <cell r="AG53">
            <v>1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1</v>
          </cell>
          <cell r="AN53">
            <v>0</v>
          </cell>
          <cell r="AO53">
            <v>0</v>
          </cell>
          <cell r="AP53">
            <v>400</v>
          </cell>
          <cell r="AQ53">
            <v>16</v>
          </cell>
          <cell r="AR53">
            <v>8</v>
          </cell>
          <cell r="AS53">
            <v>8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 t="str">
            <v>3001|8</v>
          </cell>
          <cell r="AY53">
            <v>8</v>
          </cell>
          <cell r="AZ53" t="str">
            <v>120301,120302,120303,120304,120305,120306,120307,120308</v>
          </cell>
          <cell r="BA53" t="str">
            <v>4001|50</v>
          </cell>
          <cell r="BB53">
            <v>50</v>
          </cell>
          <cell r="BC53" t="str">
            <v>11144,11146,11151,11152</v>
          </cell>
          <cell r="BD53" t="str">
            <v>[]</v>
          </cell>
          <cell r="BE53" t="str">
            <v>12016,12014</v>
          </cell>
          <cell r="BF53">
            <v>400</v>
          </cell>
          <cell r="BG53">
            <v>5000</v>
          </cell>
          <cell r="BH53">
            <v>1000</v>
          </cell>
          <cell r="BI53">
            <v>10103</v>
          </cell>
          <cell r="BJ53" t="str">
            <v>[]</v>
          </cell>
          <cell r="BK53">
            <v>0</v>
          </cell>
          <cell r="BL53">
            <v>10000</v>
          </cell>
          <cell r="BM53">
            <v>1</v>
          </cell>
          <cell r="BN53">
            <v>100</v>
          </cell>
          <cell r="BO53" t="str">
            <v>[]</v>
          </cell>
          <cell r="BP53">
            <v>1203</v>
          </cell>
          <cell r="BQ53" t="str">
            <v>guishihei_a_01</v>
          </cell>
          <cell r="BR53" t="str">
            <v>[]</v>
          </cell>
          <cell r="BS53" t="e">
            <v>#N/A</v>
          </cell>
          <cell r="BT53" t="str">
            <v>guishihei</v>
          </cell>
          <cell r="BU53" t="e">
            <v>#N/A</v>
          </cell>
          <cell r="BV53" t="str">
            <v>[]</v>
          </cell>
          <cell r="BW53" t="str">
            <v>2-11</v>
          </cell>
        </row>
        <row r="54">
          <cell r="A54">
            <v>1205</v>
          </cell>
          <cell r="B54" t="str">
            <v>马面</v>
          </cell>
          <cell r="C54" t="str">
            <v>勾魂，可是个辛苦活</v>
          </cell>
          <cell r="D54">
            <v>1</v>
          </cell>
          <cell r="E54">
            <v>1</v>
          </cell>
          <cell r="F54">
            <v>3</v>
          </cell>
          <cell r="G54">
            <v>3</v>
          </cell>
          <cell r="H54" t="str">
            <v>物攻型，负责物理输出</v>
          </cell>
          <cell r="I54">
            <v>150</v>
          </cell>
          <cell r="J54" t="str">
            <v>mamian_attack</v>
          </cell>
          <cell r="K54">
            <v>10</v>
          </cell>
          <cell r="L54" t="str">
            <v>mamian_skill01,mamian_skill02,mamian_skill03,mamian_skill04</v>
          </cell>
          <cell r="M54" t="str">
            <v>common_fangyu,common_chaofeng</v>
          </cell>
          <cell r="N54" t="str">
            <v>head_mamian</v>
          </cell>
          <cell r="O54" t="str">
            <v>zisebiankuang</v>
          </cell>
          <cell r="P54" t="str">
            <v>mamian_actor</v>
          </cell>
          <cell r="Q54">
            <v>1</v>
          </cell>
          <cell r="R54" t="str">
            <v>[]</v>
          </cell>
          <cell r="S54" t="str">
            <v>[]</v>
          </cell>
          <cell r="T54" t="str">
            <v>[]</v>
          </cell>
          <cell r="U54">
            <v>3</v>
          </cell>
          <cell r="V54">
            <v>11</v>
          </cell>
          <cell r="W54">
            <v>5</v>
          </cell>
          <cell r="X54">
            <v>15</v>
          </cell>
          <cell r="Y54">
            <v>8</v>
          </cell>
          <cell r="Z54">
            <v>1</v>
          </cell>
          <cell r="AA54">
            <v>0</v>
          </cell>
          <cell r="AB54">
            <v>0</v>
          </cell>
          <cell r="AC54">
            <v>4000</v>
          </cell>
          <cell r="AD54">
            <v>160</v>
          </cell>
          <cell r="AE54">
            <v>80</v>
          </cell>
          <cell r="AF54">
            <v>80</v>
          </cell>
          <cell r="AG54">
            <v>1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1</v>
          </cell>
          <cell r="AN54">
            <v>0</v>
          </cell>
          <cell r="AO54">
            <v>0</v>
          </cell>
          <cell r="AP54">
            <v>400</v>
          </cell>
          <cell r="AQ54">
            <v>16</v>
          </cell>
          <cell r="AR54">
            <v>8</v>
          </cell>
          <cell r="AS54">
            <v>8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 t="str">
            <v>3001|8</v>
          </cell>
          <cell r="AY54">
            <v>8</v>
          </cell>
          <cell r="AZ54" t="str">
            <v>120501,120502,120503,120504,120505,120506,120507,120508</v>
          </cell>
          <cell r="BA54" t="str">
            <v>4001|50</v>
          </cell>
          <cell r="BB54">
            <v>50</v>
          </cell>
          <cell r="BC54" t="str">
            <v>11145,11147,11148,11150</v>
          </cell>
          <cell r="BD54" t="str">
            <v>[]</v>
          </cell>
          <cell r="BE54" t="str">
            <v>12016,12014</v>
          </cell>
          <cell r="BF54">
            <v>400</v>
          </cell>
          <cell r="BG54">
            <v>5000</v>
          </cell>
          <cell r="BH54">
            <v>1000</v>
          </cell>
          <cell r="BI54">
            <v>10105</v>
          </cell>
          <cell r="BJ54" t="str">
            <v>[]</v>
          </cell>
          <cell r="BK54">
            <v>0</v>
          </cell>
          <cell r="BL54">
            <v>50000</v>
          </cell>
          <cell r="BM54">
            <v>1.5</v>
          </cell>
          <cell r="BN54">
            <v>100</v>
          </cell>
          <cell r="BO54" t="str">
            <v>[]</v>
          </cell>
          <cell r="BP54">
            <v>1205</v>
          </cell>
          <cell r="BQ54" t="str">
            <v>mamian_a_01</v>
          </cell>
          <cell r="BR54" t="str">
            <v>[]</v>
          </cell>
          <cell r="BS54" t="e">
            <v>#N/A</v>
          </cell>
          <cell r="BT54" t="str">
            <v>mamian</v>
          </cell>
          <cell r="BU54" t="e">
            <v>#N/A</v>
          </cell>
          <cell r="BV54" t="str">
            <v>[]</v>
          </cell>
          <cell r="BW54" t="str">
            <v>3-11</v>
          </cell>
        </row>
        <row r="55">
          <cell r="A55">
            <v>1133</v>
          </cell>
          <cell r="B55" t="str">
            <v>雷公</v>
          </cell>
          <cell r="C55" t="str">
            <v>雷动九天！</v>
          </cell>
          <cell r="D55">
            <v>1</v>
          </cell>
          <cell r="E55">
            <v>1</v>
          </cell>
          <cell r="F55">
            <v>2</v>
          </cell>
          <cell r="G55">
            <v>2</v>
          </cell>
          <cell r="H55" t="str">
            <v>法攻型，负责法术输出</v>
          </cell>
          <cell r="I55">
            <v>150</v>
          </cell>
          <cell r="J55" t="str">
            <v>leigong_attack</v>
          </cell>
          <cell r="K55">
            <v>10</v>
          </cell>
          <cell r="L55" t="str">
            <v>leigong_skill01,leigong_skill02,leigong_skill03,leigong_skill04</v>
          </cell>
          <cell r="M55" t="str">
            <v>common_fangyu,common_chaofeng</v>
          </cell>
          <cell r="N55" t="str">
            <v>head_leigong</v>
          </cell>
          <cell r="O55" t="str">
            <v>zisebiankuang</v>
          </cell>
          <cell r="P55" t="str">
            <v>leigong_actor</v>
          </cell>
          <cell r="Q55">
            <v>1</v>
          </cell>
          <cell r="R55" t="str">
            <v>[]</v>
          </cell>
          <cell r="S55" t="str">
            <v>[]</v>
          </cell>
          <cell r="T55" t="str">
            <v>[]</v>
          </cell>
          <cell r="U55">
            <v>3</v>
          </cell>
          <cell r="V55">
            <v>11</v>
          </cell>
          <cell r="W55">
            <v>9</v>
          </cell>
          <cell r="X55">
            <v>15</v>
          </cell>
          <cell r="Y55">
            <v>8</v>
          </cell>
          <cell r="Z55">
            <v>0.8</v>
          </cell>
          <cell r="AA55">
            <v>0</v>
          </cell>
          <cell r="AB55">
            <v>0</v>
          </cell>
          <cell r="AC55">
            <v>4000</v>
          </cell>
          <cell r="AD55">
            <v>160</v>
          </cell>
          <cell r="AE55">
            <v>80</v>
          </cell>
          <cell r="AF55">
            <v>80</v>
          </cell>
          <cell r="AG55">
            <v>1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1</v>
          </cell>
          <cell r="AN55">
            <v>0</v>
          </cell>
          <cell r="AO55">
            <v>0</v>
          </cell>
          <cell r="AP55">
            <v>400</v>
          </cell>
          <cell r="AQ55">
            <v>16</v>
          </cell>
          <cell r="AR55">
            <v>8</v>
          </cell>
          <cell r="AS55">
            <v>8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 t="str">
            <v>3001|8</v>
          </cell>
          <cell r="AY55">
            <v>8</v>
          </cell>
          <cell r="AZ55" t="str">
            <v>113301,113302,113303,113304,113305,113306,113307,113308</v>
          </cell>
          <cell r="BA55" t="str">
            <v>3001|50</v>
          </cell>
          <cell r="BB55">
            <v>50</v>
          </cell>
          <cell r="BC55" t="str">
            <v>11144,11147,11149,11150</v>
          </cell>
          <cell r="BD55" t="str">
            <v>[]</v>
          </cell>
          <cell r="BE55" t="str">
            <v>12015,12013</v>
          </cell>
          <cell r="BF55">
            <v>400</v>
          </cell>
          <cell r="BG55">
            <v>5000</v>
          </cell>
          <cell r="BH55">
            <v>1000</v>
          </cell>
          <cell r="BI55">
            <v>10033</v>
          </cell>
          <cell r="BJ55" t="str">
            <v>[]</v>
          </cell>
          <cell r="BK55">
            <v>0</v>
          </cell>
          <cell r="BL55">
            <v>10000</v>
          </cell>
          <cell r="BM55">
            <v>1</v>
          </cell>
          <cell r="BN55">
            <v>100</v>
          </cell>
          <cell r="BO55" t="str">
            <v>[]</v>
          </cell>
          <cell r="BP55">
            <v>1133</v>
          </cell>
          <cell r="BQ55" t="str">
            <v>leigong_a_01</v>
          </cell>
          <cell r="BR55" t="str">
            <v>[]</v>
          </cell>
          <cell r="BS55" t="e">
            <v>#N/A</v>
          </cell>
          <cell r="BT55" t="str">
            <v>leigong</v>
          </cell>
          <cell r="BU55" t="e">
            <v>#N/A</v>
          </cell>
          <cell r="BV55" t="str">
            <v>[]</v>
          </cell>
          <cell r="BW55" t="str">
            <v>2-11</v>
          </cell>
        </row>
        <row r="56">
          <cell r="A56">
            <v>1204</v>
          </cell>
          <cell r="B56" t="str">
            <v>鬼使白</v>
          </cell>
          <cell r="C56" t="str">
            <v>时辰已到，上路吧！</v>
          </cell>
          <cell r="D56">
            <v>1</v>
          </cell>
          <cell r="E56">
            <v>1</v>
          </cell>
          <cell r="F56">
            <v>2</v>
          </cell>
          <cell r="G56">
            <v>2</v>
          </cell>
          <cell r="H56" t="str">
            <v>法攻型，负责法术输出</v>
          </cell>
          <cell r="I56">
            <v>150</v>
          </cell>
          <cell r="J56" t="str">
            <v>guishibai_attack</v>
          </cell>
          <cell r="K56">
            <v>10</v>
          </cell>
          <cell r="L56" t="str">
            <v>guishibai_skill01,guishibai_skill02,guishibai_skill03,guishibai_skill04</v>
          </cell>
          <cell r="M56" t="str">
            <v>common_fangyu,common_chaofeng</v>
          </cell>
          <cell r="N56" t="str">
            <v>head_guishibai</v>
          </cell>
          <cell r="O56" t="str">
            <v>zisebiankuang</v>
          </cell>
          <cell r="P56" t="str">
            <v>guishibai_actor</v>
          </cell>
          <cell r="Q56">
            <v>1</v>
          </cell>
          <cell r="R56" t="str">
            <v>[]</v>
          </cell>
          <cell r="S56" t="str">
            <v>[]</v>
          </cell>
          <cell r="T56" t="str">
            <v>[]</v>
          </cell>
          <cell r="U56">
            <v>3</v>
          </cell>
          <cell r="V56">
            <v>11</v>
          </cell>
          <cell r="W56">
            <v>9</v>
          </cell>
          <cell r="X56">
            <v>15</v>
          </cell>
          <cell r="Y56">
            <v>8</v>
          </cell>
          <cell r="Z56">
            <v>0.8</v>
          </cell>
          <cell r="AA56">
            <v>0</v>
          </cell>
          <cell r="AB56">
            <v>0</v>
          </cell>
          <cell r="AC56">
            <v>4000</v>
          </cell>
          <cell r="AD56">
            <v>160</v>
          </cell>
          <cell r="AE56">
            <v>80</v>
          </cell>
          <cell r="AF56">
            <v>80</v>
          </cell>
          <cell r="AG56">
            <v>1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1</v>
          </cell>
          <cell r="AN56">
            <v>0</v>
          </cell>
          <cell r="AO56">
            <v>0</v>
          </cell>
          <cell r="AP56">
            <v>400</v>
          </cell>
          <cell r="AQ56">
            <v>16</v>
          </cell>
          <cell r="AR56">
            <v>8</v>
          </cell>
          <cell r="AS56">
            <v>8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 t="str">
            <v>3001|8</v>
          </cell>
          <cell r="AY56">
            <v>8</v>
          </cell>
          <cell r="AZ56" t="str">
            <v>120401,120402,120403,120404,120405,120406,120407,120408</v>
          </cell>
          <cell r="BA56" t="str">
            <v>4001|50</v>
          </cell>
          <cell r="BB56">
            <v>50</v>
          </cell>
          <cell r="BC56" t="str">
            <v>11145,11146,11149,11153</v>
          </cell>
          <cell r="BD56" t="str">
            <v>[]</v>
          </cell>
          <cell r="BE56" t="str">
            <v>12015,12013</v>
          </cell>
          <cell r="BF56">
            <v>400</v>
          </cell>
          <cell r="BG56">
            <v>5000</v>
          </cell>
          <cell r="BH56">
            <v>1000</v>
          </cell>
          <cell r="BI56">
            <v>10104</v>
          </cell>
          <cell r="BJ56" t="str">
            <v>[]</v>
          </cell>
          <cell r="BK56">
            <v>0</v>
          </cell>
          <cell r="BL56">
            <v>10000</v>
          </cell>
          <cell r="BM56">
            <v>1</v>
          </cell>
          <cell r="BN56">
            <v>100</v>
          </cell>
          <cell r="BO56" t="str">
            <v>[]</v>
          </cell>
          <cell r="BP56">
            <v>1204</v>
          </cell>
          <cell r="BQ56" t="str">
            <v>guishibai_a_01</v>
          </cell>
          <cell r="BR56" t="str">
            <v>[]</v>
          </cell>
          <cell r="BS56" t="e">
            <v>#N/A</v>
          </cell>
          <cell r="BT56" t="str">
            <v>guishibai</v>
          </cell>
          <cell r="BU56" t="e">
            <v>#N/A</v>
          </cell>
          <cell r="BV56" t="str">
            <v>[]</v>
          </cell>
          <cell r="BW56" t="str">
            <v>2-11</v>
          </cell>
        </row>
        <row r="57">
          <cell r="A57">
            <v>1128</v>
          </cell>
          <cell r="B57" t="str">
            <v>赛太岁</v>
          </cell>
          <cell r="C57" t="str">
            <v>金圣宫娘娘可真漂亮！</v>
          </cell>
          <cell r="D57">
            <v>1</v>
          </cell>
          <cell r="E57">
            <v>3</v>
          </cell>
          <cell r="F57">
            <v>2</v>
          </cell>
          <cell r="G57">
            <v>1</v>
          </cell>
          <cell r="H57" t="str">
            <v>法攻型，负责法术输出</v>
          </cell>
          <cell r="I57">
            <v>150</v>
          </cell>
          <cell r="J57" t="str">
            <v>saitaisui_attack</v>
          </cell>
          <cell r="K57">
            <v>10</v>
          </cell>
          <cell r="L57" t="str">
            <v>saitaisui_skill01,saitaisui_skill02,leigong_skill03,saitaisui_skill04</v>
          </cell>
          <cell r="M57" t="str">
            <v>common_fangyu,common_chaofeng</v>
          </cell>
          <cell r="N57" t="str">
            <v>head_saitaisui</v>
          </cell>
          <cell r="O57" t="str">
            <v>zisebiankuang</v>
          </cell>
          <cell r="P57" t="str">
            <v>saitaisui_actor</v>
          </cell>
          <cell r="Q57">
            <v>1</v>
          </cell>
          <cell r="R57" t="str">
            <v>[]</v>
          </cell>
          <cell r="S57" t="str">
            <v>[]</v>
          </cell>
          <cell r="T57" t="str">
            <v>[]</v>
          </cell>
          <cell r="U57">
            <v>3</v>
          </cell>
          <cell r="V57">
            <v>11</v>
          </cell>
          <cell r="W57">
            <v>9</v>
          </cell>
          <cell r="X57">
            <v>15</v>
          </cell>
          <cell r="Y57">
            <v>8</v>
          </cell>
          <cell r="Z57">
            <v>1</v>
          </cell>
          <cell r="AA57">
            <v>0</v>
          </cell>
          <cell r="AB57">
            <v>0</v>
          </cell>
          <cell r="AC57">
            <v>4000</v>
          </cell>
          <cell r="AD57">
            <v>160</v>
          </cell>
          <cell r="AE57">
            <v>80</v>
          </cell>
          <cell r="AF57">
            <v>80</v>
          </cell>
          <cell r="AG57">
            <v>1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1</v>
          </cell>
          <cell r="AN57">
            <v>0</v>
          </cell>
          <cell r="AO57">
            <v>0</v>
          </cell>
          <cell r="AP57">
            <v>400</v>
          </cell>
          <cell r="AQ57">
            <v>16</v>
          </cell>
          <cell r="AR57">
            <v>8</v>
          </cell>
          <cell r="AS57">
            <v>8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 t="str">
            <v>3001|8</v>
          </cell>
          <cell r="AY57">
            <v>8</v>
          </cell>
          <cell r="AZ57" t="str">
            <v>112801,112802,112803,112804,112805,112806,112807,112808</v>
          </cell>
          <cell r="BA57" t="str">
            <v>3001|50</v>
          </cell>
          <cell r="BB57">
            <v>50</v>
          </cell>
          <cell r="BC57" t="str">
            <v>11245,11246,11249,11253</v>
          </cell>
          <cell r="BD57" t="str">
            <v>[]</v>
          </cell>
          <cell r="BE57" t="str">
            <v>12015,12013</v>
          </cell>
          <cell r="BF57">
            <v>400</v>
          </cell>
          <cell r="BG57">
            <v>5000</v>
          </cell>
          <cell r="BH57">
            <v>1000</v>
          </cell>
          <cell r="BI57">
            <v>10028</v>
          </cell>
          <cell r="BJ57" t="str">
            <v>[]</v>
          </cell>
          <cell r="BK57">
            <v>0</v>
          </cell>
          <cell r="BL57">
            <v>10000</v>
          </cell>
          <cell r="BM57">
            <v>1</v>
          </cell>
          <cell r="BN57">
            <v>100</v>
          </cell>
          <cell r="BO57" t="str">
            <v>[]</v>
          </cell>
          <cell r="BP57">
            <v>1128</v>
          </cell>
          <cell r="BQ57" t="str">
            <v>saitaisui_a_01</v>
          </cell>
          <cell r="BR57" t="str">
            <v>[]</v>
          </cell>
          <cell r="BS57" t="e">
            <v>#N/A</v>
          </cell>
          <cell r="BT57" t="str">
            <v>saitaisui</v>
          </cell>
          <cell r="BU57" t="e">
            <v>#N/A</v>
          </cell>
          <cell r="BV57" t="str">
            <v>[]</v>
          </cell>
          <cell r="BW57" t="str">
            <v>1-11</v>
          </cell>
        </row>
        <row r="58">
          <cell r="A58">
            <v>1118</v>
          </cell>
          <cell r="B58" t="str">
            <v>混沌</v>
          </cell>
          <cell r="C58" t="str">
            <v>王母娘娘也要让我三分！</v>
          </cell>
          <cell r="D58">
            <v>1</v>
          </cell>
          <cell r="E58">
            <v>3</v>
          </cell>
          <cell r="F58">
            <v>2</v>
          </cell>
          <cell r="G58">
            <v>3</v>
          </cell>
          <cell r="H58" t="str">
            <v>法攻型，负责法术输出</v>
          </cell>
          <cell r="I58">
            <v>150</v>
          </cell>
          <cell r="J58" t="str">
            <v>hundun_attack</v>
          </cell>
          <cell r="K58">
            <v>10</v>
          </cell>
          <cell r="L58" t="str">
            <v>hundun_skill01,hundun_skill02,hundun_skill03,hundun_skill04</v>
          </cell>
          <cell r="M58" t="str">
            <v>common_fangyu,common_chaofeng</v>
          </cell>
          <cell r="N58" t="str">
            <v>head_hundun</v>
          </cell>
          <cell r="O58" t="str">
            <v>chengsebiankuang</v>
          </cell>
          <cell r="P58" t="str">
            <v>hundun_actor</v>
          </cell>
          <cell r="Q58">
            <v>1</v>
          </cell>
          <cell r="R58" t="str">
            <v>[]</v>
          </cell>
          <cell r="S58" t="str">
            <v>[]</v>
          </cell>
          <cell r="T58" t="str">
            <v>[]</v>
          </cell>
          <cell r="U58">
            <v>3</v>
          </cell>
          <cell r="V58">
            <v>11</v>
          </cell>
          <cell r="W58">
            <v>9</v>
          </cell>
          <cell r="X58">
            <v>15</v>
          </cell>
          <cell r="Y58">
            <v>8</v>
          </cell>
          <cell r="Z58">
            <v>1.25</v>
          </cell>
          <cell r="AA58">
            <v>0</v>
          </cell>
          <cell r="AB58">
            <v>0</v>
          </cell>
          <cell r="AC58">
            <v>4000</v>
          </cell>
          <cell r="AD58">
            <v>160</v>
          </cell>
          <cell r="AE58">
            <v>80</v>
          </cell>
          <cell r="AF58">
            <v>80</v>
          </cell>
          <cell r="AG58">
            <v>1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1</v>
          </cell>
          <cell r="AN58">
            <v>0</v>
          </cell>
          <cell r="AO58">
            <v>0</v>
          </cell>
          <cell r="AP58">
            <v>400</v>
          </cell>
          <cell r="AQ58">
            <v>16</v>
          </cell>
          <cell r="AR58">
            <v>8</v>
          </cell>
          <cell r="AS58">
            <v>8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 t="str">
            <v>3001|8</v>
          </cell>
          <cell r="AY58">
            <v>8</v>
          </cell>
          <cell r="AZ58" t="str">
            <v>111801,111802,111803,111804,111805,111806,111807,111808</v>
          </cell>
          <cell r="BA58" t="str">
            <v>4001|50</v>
          </cell>
          <cell r="BB58">
            <v>50</v>
          </cell>
          <cell r="BC58" t="str">
            <v>11244,11247,11249,11250</v>
          </cell>
          <cell r="BD58" t="str">
            <v>[]</v>
          </cell>
          <cell r="BE58" t="str">
            <v>12015,12013</v>
          </cell>
          <cell r="BF58">
            <v>400</v>
          </cell>
          <cell r="BG58">
            <v>20000</v>
          </cell>
          <cell r="BH58">
            <v>4000</v>
          </cell>
          <cell r="BI58">
            <v>10018</v>
          </cell>
          <cell r="BJ58" t="str">
            <v>[]</v>
          </cell>
          <cell r="BK58">
            <v>0</v>
          </cell>
          <cell r="BL58">
            <v>10000</v>
          </cell>
          <cell r="BM58">
            <v>1</v>
          </cell>
          <cell r="BN58">
            <v>100</v>
          </cell>
          <cell r="BO58" t="str">
            <v>[]</v>
          </cell>
          <cell r="BP58">
            <v>1118</v>
          </cell>
          <cell r="BQ58" t="str">
            <v>hundun_a_01</v>
          </cell>
          <cell r="BR58" t="str">
            <v>[]</v>
          </cell>
          <cell r="BS58" t="e">
            <v>#N/A</v>
          </cell>
          <cell r="BT58" t="str">
            <v>hundun</v>
          </cell>
          <cell r="BU58" t="e">
            <v>#N/A</v>
          </cell>
          <cell r="BV58" t="str">
            <v>[]</v>
          </cell>
          <cell r="BW58" t="str">
            <v>3-11</v>
          </cell>
        </row>
        <row r="59">
          <cell r="A59">
            <v>1136</v>
          </cell>
          <cell r="B59" t="str">
            <v>白龙公主</v>
          </cell>
          <cell r="C59" t="str">
            <v>不知道白龙哥哥过得好不好？</v>
          </cell>
          <cell r="D59">
            <v>1</v>
          </cell>
          <cell r="E59">
            <v>3</v>
          </cell>
          <cell r="F59">
            <v>1</v>
          </cell>
          <cell r="G59">
            <v>1</v>
          </cell>
          <cell r="H59" t="str">
            <v>辅助型，提供支援或给受伤的队友疗伤</v>
          </cell>
          <cell r="I59">
            <v>150</v>
          </cell>
          <cell r="J59" t="str">
            <v>bailonggongzhu_attack</v>
          </cell>
          <cell r="K59">
            <v>10</v>
          </cell>
          <cell r="L59" t="str">
            <v>bailonggongzhu_skill01,bailonggongzhu_skill02,bailonggongzhu_skill03,bailonggongzhu_skill04</v>
          </cell>
          <cell r="M59" t="str">
            <v>common_fangyu,common_chaofeng</v>
          </cell>
          <cell r="N59" t="str">
            <v>head_bailonggongzhu</v>
          </cell>
          <cell r="O59" t="str">
            <v>zisebiankuang</v>
          </cell>
          <cell r="P59" t="str">
            <v>bailonggongzhu_actor</v>
          </cell>
          <cell r="Q59">
            <v>1</v>
          </cell>
          <cell r="R59" t="str">
            <v>[]</v>
          </cell>
          <cell r="S59" t="str">
            <v>[]</v>
          </cell>
          <cell r="T59" t="str">
            <v>[]</v>
          </cell>
          <cell r="U59">
            <v>3</v>
          </cell>
          <cell r="V59">
            <v>11</v>
          </cell>
          <cell r="W59">
            <v>9</v>
          </cell>
          <cell r="X59">
            <v>15</v>
          </cell>
          <cell r="Y59">
            <v>8</v>
          </cell>
          <cell r="Z59">
            <v>1</v>
          </cell>
          <cell r="AA59">
            <v>0</v>
          </cell>
          <cell r="AB59">
            <v>0</v>
          </cell>
          <cell r="AC59">
            <v>4000</v>
          </cell>
          <cell r="AD59">
            <v>160</v>
          </cell>
          <cell r="AE59">
            <v>80</v>
          </cell>
          <cell r="AF59">
            <v>80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1</v>
          </cell>
          <cell r="AN59">
            <v>0</v>
          </cell>
          <cell r="AO59">
            <v>0</v>
          </cell>
          <cell r="AP59">
            <v>400</v>
          </cell>
          <cell r="AQ59">
            <v>16</v>
          </cell>
          <cell r="AR59">
            <v>8</v>
          </cell>
          <cell r="AS59">
            <v>8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 t="str">
            <v>3001|8</v>
          </cell>
          <cell r="AY59">
            <v>8</v>
          </cell>
          <cell r="AZ59" t="str">
            <v>113601,113602,113603,113604,113605,113606,113607,113608</v>
          </cell>
          <cell r="BA59" t="str">
            <v>3001|50</v>
          </cell>
          <cell r="BB59">
            <v>50</v>
          </cell>
          <cell r="BC59" t="str">
            <v>11244,11246,11251,11252</v>
          </cell>
          <cell r="BD59" t="str">
            <v>[]</v>
          </cell>
          <cell r="BE59" t="str">
            <v>12016,12014</v>
          </cell>
          <cell r="BF59">
            <v>400</v>
          </cell>
          <cell r="BG59">
            <v>5000</v>
          </cell>
          <cell r="BH59">
            <v>1000</v>
          </cell>
          <cell r="BI59">
            <v>10036</v>
          </cell>
          <cell r="BJ59" t="str">
            <v>[]</v>
          </cell>
          <cell r="BK59">
            <v>0</v>
          </cell>
          <cell r="BL59">
            <v>3000</v>
          </cell>
          <cell r="BM59">
            <v>1</v>
          </cell>
          <cell r="BN59">
            <v>100</v>
          </cell>
          <cell r="BO59" t="str">
            <v>[]</v>
          </cell>
          <cell r="BP59">
            <v>1136</v>
          </cell>
          <cell r="BQ59" t="str">
            <v>bailonggongzhu_a_01</v>
          </cell>
          <cell r="BR59" t="str">
            <v>[]</v>
          </cell>
          <cell r="BS59" t="e">
            <v>#N/A</v>
          </cell>
          <cell r="BT59" t="str">
            <v>bailonggongzhu</v>
          </cell>
          <cell r="BU59" t="e">
            <v>#N/A</v>
          </cell>
          <cell r="BV59" t="str">
            <v>[]</v>
          </cell>
          <cell r="BW59" t="str">
            <v>1-11</v>
          </cell>
        </row>
        <row r="60">
          <cell r="A60">
            <v>1141</v>
          </cell>
          <cell r="B60" t="str">
            <v>玉兔</v>
          </cell>
          <cell r="C60" t="str">
            <v>猪八戒那个吃货，又来抢我月饼了！</v>
          </cell>
          <cell r="D60">
            <v>1</v>
          </cell>
          <cell r="E60">
            <v>2</v>
          </cell>
          <cell r="F60">
            <v>1</v>
          </cell>
          <cell r="G60">
            <v>1</v>
          </cell>
          <cell r="H60" t="str">
            <v>辅助型，提供支援或给受伤的队友疗伤</v>
          </cell>
          <cell r="I60">
            <v>150</v>
          </cell>
          <cell r="J60" t="str">
            <v>yutu_attack</v>
          </cell>
          <cell r="K60">
            <v>10</v>
          </cell>
          <cell r="L60" t="str">
            <v>yutu_skill01,yutu_skill02,yutu_skill03,yutu_skill04</v>
          </cell>
          <cell r="M60" t="str">
            <v>common_fangyu,common_chaofeng</v>
          </cell>
          <cell r="N60" t="str">
            <v>head_yutu</v>
          </cell>
          <cell r="O60" t="str">
            <v>zisebiankuang</v>
          </cell>
          <cell r="P60" t="str">
            <v>yutu_actor</v>
          </cell>
          <cell r="Q60">
            <v>0.8</v>
          </cell>
          <cell r="R60" t="str">
            <v>[]</v>
          </cell>
          <cell r="S60" t="str">
            <v>[]</v>
          </cell>
          <cell r="T60" t="str">
            <v>[]</v>
          </cell>
          <cell r="U60">
            <v>3</v>
          </cell>
          <cell r="V60">
            <v>11</v>
          </cell>
          <cell r="W60">
            <v>9</v>
          </cell>
          <cell r="X60">
            <v>15</v>
          </cell>
          <cell r="Y60">
            <v>8</v>
          </cell>
          <cell r="Z60">
            <v>1</v>
          </cell>
          <cell r="AA60">
            <v>0</v>
          </cell>
          <cell r="AB60">
            <v>0</v>
          </cell>
          <cell r="AC60">
            <v>4000</v>
          </cell>
          <cell r="AD60">
            <v>160</v>
          </cell>
          <cell r="AE60">
            <v>80</v>
          </cell>
          <cell r="AF60">
            <v>80</v>
          </cell>
          <cell r="AG60">
            <v>1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1</v>
          </cell>
          <cell r="AN60">
            <v>0</v>
          </cell>
          <cell r="AO60">
            <v>0</v>
          </cell>
          <cell r="AP60">
            <v>400</v>
          </cell>
          <cell r="AQ60">
            <v>16</v>
          </cell>
          <cell r="AR60">
            <v>8</v>
          </cell>
          <cell r="AS60">
            <v>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 t="str">
            <v>3001|8</v>
          </cell>
          <cell r="AY60">
            <v>8</v>
          </cell>
          <cell r="AZ60" t="str">
            <v>114101,114102,114103,114104,114105,114106,114107,114108</v>
          </cell>
          <cell r="BA60" t="str">
            <v>3001|50</v>
          </cell>
          <cell r="BB60">
            <v>50</v>
          </cell>
          <cell r="BC60" t="str">
            <v>11045,11046,11051,11053</v>
          </cell>
          <cell r="BD60" t="str">
            <v>[]</v>
          </cell>
          <cell r="BE60" t="str">
            <v>12016,12014</v>
          </cell>
          <cell r="BF60">
            <v>400</v>
          </cell>
          <cell r="BG60">
            <v>5000</v>
          </cell>
          <cell r="BH60">
            <v>1000</v>
          </cell>
          <cell r="BI60">
            <v>10041</v>
          </cell>
          <cell r="BJ60" t="str">
            <v>[]</v>
          </cell>
          <cell r="BK60">
            <v>0</v>
          </cell>
          <cell r="BL60">
            <v>3000</v>
          </cell>
          <cell r="BM60">
            <v>1</v>
          </cell>
          <cell r="BN60">
            <v>100</v>
          </cell>
          <cell r="BO60" t="str">
            <v>[]</v>
          </cell>
          <cell r="BP60">
            <v>1141</v>
          </cell>
          <cell r="BQ60" t="str">
            <v>yutu_a_01</v>
          </cell>
          <cell r="BR60" t="str">
            <v>[]</v>
          </cell>
          <cell r="BS60" t="e">
            <v>#N/A</v>
          </cell>
          <cell r="BT60" t="str">
            <v>yutu</v>
          </cell>
          <cell r="BU60" t="e">
            <v>#N/A</v>
          </cell>
          <cell r="BV60" t="str">
            <v>[]</v>
          </cell>
          <cell r="BW60" t="str">
            <v>1-11</v>
          </cell>
        </row>
        <row r="61">
          <cell r="A61">
            <v>1138</v>
          </cell>
          <cell r="B61" t="str">
            <v>玉面夫人</v>
          </cell>
          <cell r="C61" t="str">
            <v>我要通过征服男人，来征服这个世界。</v>
          </cell>
          <cell r="D61">
            <v>1</v>
          </cell>
          <cell r="E61">
            <v>2</v>
          </cell>
          <cell r="F61">
            <v>2</v>
          </cell>
          <cell r="G61">
            <v>3</v>
          </cell>
          <cell r="H61" t="str">
            <v>物攻型，负责物理输出</v>
          </cell>
          <cell r="I61">
            <v>150</v>
          </cell>
          <cell r="J61" t="str">
            <v>yumianfuren_attack</v>
          </cell>
          <cell r="K61">
            <v>10</v>
          </cell>
          <cell r="L61" t="str">
            <v>yumianfuren_skill01,yumianfuren_skill02,yumianfuren_skill03,yumianfuren_skill04</v>
          </cell>
          <cell r="M61" t="str">
            <v>common_fangyu,common_chaofeng</v>
          </cell>
          <cell r="N61" t="str">
            <v>head_yumianfuren</v>
          </cell>
          <cell r="O61" t="str">
            <v>zisebiankuang</v>
          </cell>
          <cell r="P61" t="str">
            <v>yumianfuren_actor</v>
          </cell>
          <cell r="Q61">
            <v>1</v>
          </cell>
          <cell r="R61" t="str">
            <v>[]</v>
          </cell>
          <cell r="S61" t="str">
            <v>[]</v>
          </cell>
          <cell r="T61" t="str">
            <v>[]</v>
          </cell>
          <cell r="U61">
            <v>3</v>
          </cell>
          <cell r="V61">
            <v>11</v>
          </cell>
          <cell r="W61">
            <v>9</v>
          </cell>
          <cell r="X61">
            <v>15</v>
          </cell>
          <cell r="Y61">
            <v>8</v>
          </cell>
          <cell r="Z61">
            <v>1.25</v>
          </cell>
          <cell r="AA61">
            <v>0</v>
          </cell>
          <cell r="AB61">
            <v>0</v>
          </cell>
          <cell r="AC61">
            <v>4000</v>
          </cell>
          <cell r="AD61">
            <v>160</v>
          </cell>
          <cell r="AE61">
            <v>80</v>
          </cell>
          <cell r="AF61">
            <v>80</v>
          </cell>
          <cell r="AG61">
            <v>1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1</v>
          </cell>
          <cell r="AN61">
            <v>0</v>
          </cell>
          <cell r="AO61">
            <v>0</v>
          </cell>
          <cell r="AP61">
            <v>400</v>
          </cell>
          <cell r="AQ61">
            <v>16</v>
          </cell>
          <cell r="AR61">
            <v>8</v>
          </cell>
          <cell r="AS61">
            <v>8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 t="str">
            <v>3001|8</v>
          </cell>
          <cell r="AY61">
            <v>8</v>
          </cell>
          <cell r="AZ61" t="str">
            <v>113801,113802,113803,113804,113805,113806,113807,113808</v>
          </cell>
          <cell r="BA61" t="str">
            <v>3001|50</v>
          </cell>
          <cell r="BB61">
            <v>50</v>
          </cell>
          <cell r="BC61" t="str">
            <v>11044,11046,11051,11052</v>
          </cell>
          <cell r="BD61" t="str">
            <v>[]</v>
          </cell>
          <cell r="BE61" t="str">
            <v>12016,12014</v>
          </cell>
          <cell r="BF61">
            <v>400</v>
          </cell>
          <cell r="BG61">
            <v>5000</v>
          </cell>
          <cell r="BH61">
            <v>1000</v>
          </cell>
          <cell r="BI61">
            <v>10038</v>
          </cell>
          <cell r="BJ61" t="str">
            <v>[]</v>
          </cell>
          <cell r="BK61">
            <v>0</v>
          </cell>
          <cell r="BL61">
            <v>10000</v>
          </cell>
          <cell r="BM61">
            <v>1</v>
          </cell>
          <cell r="BN61">
            <v>100</v>
          </cell>
          <cell r="BO61" t="str">
            <v>[]</v>
          </cell>
          <cell r="BP61">
            <v>1138</v>
          </cell>
          <cell r="BQ61" t="str">
            <v>moyujing_a_01</v>
          </cell>
          <cell r="BR61" t="str">
            <v>[]</v>
          </cell>
          <cell r="BS61" t="e">
            <v>#N/A</v>
          </cell>
          <cell r="BT61" t="str">
            <v>yumianfuren</v>
          </cell>
          <cell r="BU61" t="e">
            <v>#N/A</v>
          </cell>
          <cell r="BV61" t="str">
            <v>[]</v>
          </cell>
          <cell r="BW61" t="str">
            <v>3-11</v>
          </cell>
        </row>
        <row r="62">
          <cell r="A62">
            <v>1152</v>
          </cell>
          <cell r="B62" t="str">
            <v>黑熊精</v>
          </cell>
          <cell r="C62" t="str">
            <v>再说我可爱，我就跟你急啦！</v>
          </cell>
          <cell r="D62">
            <v>1</v>
          </cell>
          <cell r="E62">
            <v>3</v>
          </cell>
          <cell r="F62">
            <v>4</v>
          </cell>
          <cell r="G62">
            <v>4</v>
          </cell>
          <cell r="H62" t="str">
            <v>防御型，俗称肉盾，生命值高，防御力强</v>
          </cell>
          <cell r="I62">
            <v>150</v>
          </cell>
          <cell r="J62" t="str">
            <v>heixiongjing_attack</v>
          </cell>
          <cell r="K62">
            <v>10</v>
          </cell>
          <cell r="L62" t="str">
            <v>tuqiangfanghu_skill01,heixiongjing_skill02,saitaisui_skill03,saitaisui_skill04</v>
          </cell>
          <cell r="M62" t="str">
            <v>common_fangyu,common_chaofeng</v>
          </cell>
          <cell r="N62" t="str">
            <v>head_heixiongjing</v>
          </cell>
          <cell r="O62" t="str">
            <v>lansebiankuang</v>
          </cell>
          <cell r="P62" t="str">
            <v>heixiongjing_actor</v>
          </cell>
          <cell r="Q62">
            <v>1</v>
          </cell>
          <cell r="R62" t="str">
            <v>[]</v>
          </cell>
          <cell r="S62" t="str">
            <v>[]</v>
          </cell>
          <cell r="T62" t="str">
            <v>[]</v>
          </cell>
          <cell r="U62">
            <v>3</v>
          </cell>
          <cell r="V62">
            <v>11</v>
          </cell>
          <cell r="W62">
            <v>3</v>
          </cell>
          <cell r="X62">
            <v>15</v>
          </cell>
          <cell r="Y62">
            <v>8</v>
          </cell>
          <cell r="Z62">
            <v>1</v>
          </cell>
          <cell r="AA62">
            <v>0</v>
          </cell>
          <cell r="AB62">
            <v>0</v>
          </cell>
          <cell r="AC62">
            <v>4000</v>
          </cell>
          <cell r="AD62">
            <v>160</v>
          </cell>
          <cell r="AE62">
            <v>80</v>
          </cell>
          <cell r="AF62">
            <v>80</v>
          </cell>
          <cell r="AG62">
            <v>1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1</v>
          </cell>
          <cell r="AN62">
            <v>0</v>
          </cell>
          <cell r="AO62">
            <v>0</v>
          </cell>
          <cell r="AP62">
            <v>400</v>
          </cell>
          <cell r="AQ62">
            <v>16</v>
          </cell>
          <cell r="AR62">
            <v>8</v>
          </cell>
          <cell r="AS62">
            <v>8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 t="str">
            <v>3001|8</v>
          </cell>
          <cell r="AY62">
            <v>8</v>
          </cell>
          <cell r="AZ62" t="str">
            <v>115201,115202,115203,115204,115205,115206,115207,115208</v>
          </cell>
          <cell r="BA62" t="str">
            <v>2001|50</v>
          </cell>
          <cell r="BB62">
            <v>50</v>
          </cell>
          <cell r="BC62" t="str">
            <v>11245,11247,11248,11250</v>
          </cell>
          <cell r="BD62" t="str">
            <v>[]</v>
          </cell>
          <cell r="BE62" t="str">
            <v>12016,12014</v>
          </cell>
          <cell r="BF62">
            <v>400</v>
          </cell>
          <cell r="BG62">
            <v>2000</v>
          </cell>
          <cell r="BH62">
            <v>400</v>
          </cell>
          <cell r="BI62">
            <v>10052</v>
          </cell>
          <cell r="BJ62" t="str">
            <v>[]</v>
          </cell>
          <cell r="BK62">
            <v>0</v>
          </cell>
          <cell r="BL62">
            <v>100000</v>
          </cell>
          <cell r="BM62">
            <v>10</v>
          </cell>
          <cell r="BN62">
            <v>100</v>
          </cell>
          <cell r="BO62" t="str">
            <v>[]</v>
          </cell>
          <cell r="BP62">
            <v>1152</v>
          </cell>
          <cell r="BQ62" t="str">
            <v>guishihei_a_01</v>
          </cell>
          <cell r="BR62" t="str">
            <v>[]</v>
          </cell>
          <cell r="BS62" t="e">
            <v>#N/A</v>
          </cell>
          <cell r="BT62" t="str">
            <v>heixiongjing</v>
          </cell>
          <cell r="BU62" t="e">
            <v>#N/A</v>
          </cell>
          <cell r="BV62" t="str">
            <v>[]</v>
          </cell>
          <cell r="BW62" t="str">
            <v>4-11</v>
          </cell>
        </row>
        <row r="63">
          <cell r="A63">
            <v>1192</v>
          </cell>
          <cell r="B63" t="str">
            <v>琴仙</v>
          </cell>
          <cell r="C63" t="str">
            <v>烟雨缥缈中，抚琴九天之上。</v>
          </cell>
          <cell r="D63">
            <v>1</v>
          </cell>
          <cell r="E63">
            <v>3</v>
          </cell>
          <cell r="F63">
            <v>2</v>
          </cell>
          <cell r="G63">
            <v>2</v>
          </cell>
          <cell r="H63" t="str">
            <v>法攻型，负责法术输出</v>
          </cell>
          <cell r="I63">
            <v>150</v>
          </cell>
          <cell r="J63" t="str">
            <v>qinxian_attack</v>
          </cell>
          <cell r="K63">
            <v>10</v>
          </cell>
          <cell r="L63" t="str">
            <v>shengguangshuiyu_skill01,leigong_skill02,leigong_skill03,leigong_skill04</v>
          </cell>
          <cell r="M63" t="str">
            <v>common_fangyu,common_chaofeng</v>
          </cell>
          <cell r="N63" t="str">
            <v>head_qinxian</v>
          </cell>
          <cell r="O63" t="str">
            <v>lansebiankuang</v>
          </cell>
          <cell r="P63" t="str">
            <v>qinxian_actor</v>
          </cell>
          <cell r="Q63">
            <v>1</v>
          </cell>
          <cell r="R63" t="str">
            <v>[]</v>
          </cell>
          <cell r="S63" t="str">
            <v>[]</v>
          </cell>
          <cell r="T63" t="str">
            <v>[]</v>
          </cell>
          <cell r="U63">
            <v>3</v>
          </cell>
          <cell r="V63">
            <v>11</v>
          </cell>
          <cell r="W63">
            <v>9</v>
          </cell>
          <cell r="X63">
            <v>15</v>
          </cell>
          <cell r="Y63">
            <v>8</v>
          </cell>
          <cell r="Z63">
            <v>0.8</v>
          </cell>
          <cell r="AA63">
            <v>0</v>
          </cell>
          <cell r="AB63">
            <v>0</v>
          </cell>
          <cell r="AC63">
            <v>4000</v>
          </cell>
          <cell r="AD63">
            <v>160</v>
          </cell>
          <cell r="AE63">
            <v>80</v>
          </cell>
          <cell r="AF63">
            <v>80</v>
          </cell>
          <cell r="AG63">
            <v>1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1</v>
          </cell>
          <cell r="AN63">
            <v>0</v>
          </cell>
          <cell r="AO63">
            <v>0</v>
          </cell>
          <cell r="AP63">
            <v>400</v>
          </cell>
          <cell r="AQ63">
            <v>16</v>
          </cell>
          <cell r="AR63">
            <v>8</v>
          </cell>
          <cell r="AS63">
            <v>8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 t="str">
            <v>3001|8</v>
          </cell>
          <cell r="AY63">
            <v>8</v>
          </cell>
          <cell r="AZ63" t="str">
            <v>119201,119202,119203,119204,119205,119206,119207,119208</v>
          </cell>
          <cell r="BA63" t="str">
            <v>2001|50</v>
          </cell>
          <cell r="BB63">
            <v>50</v>
          </cell>
          <cell r="BC63" t="str">
            <v>11245,11246,11251,11253</v>
          </cell>
          <cell r="BD63" t="str">
            <v>[]</v>
          </cell>
          <cell r="BE63" t="str">
            <v>12016,12014</v>
          </cell>
          <cell r="BF63">
            <v>400</v>
          </cell>
          <cell r="BG63">
            <v>2000</v>
          </cell>
          <cell r="BH63">
            <v>400</v>
          </cell>
          <cell r="BI63">
            <v>10092</v>
          </cell>
          <cell r="BJ63" t="str">
            <v>[]</v>
          </cell>
          <cell r="BK63">
            <v>0</v>
          </cell>
          <cell r="BL63">
            <v>10000</v>
          </cell>
          <cell r="BM63">
            <v>1</v>
          </cell>
          <cell r="BN63">
            <v>100</v>
          </cell>
          <cell r="BO63" t="str">
            <v>[]</v>
          </cell>
          <cell r="BP63">
            <v>1192</v>
          </cell>
          <cell r="BQ63" t="str">
            <v>moyujing_a_01</v>
          </cell>
          <cell r="BR63" t="str">
            <v>[]</v>
          </cell>
          <cell r="BS63" t="e">
            <v>#N/A</v>
          </cell>
          <cell r="BT63" t="str">
            <v>qinxian</v>
          </cell>
          <cell r="BU63" t="e">
            <v>#N/A</v>
          </cell>
          <cell r="BV63" t="str">
            <v>[]</v>
          </cell>
          <cell r="BW63" t="str">
            <v>2-11</v>
          </cell>
        </row>
        <row r="64">
          <cell r="A64">
            <v>1504</v>
          </cell>
          <cell r="B64" t="str">
            <v>蟹将</v>
          </cell>
          <cell r="C64" t="str">
            <v>虾兵虾兵，我是蟹将！</v>
          </cell>
          <cell r="D64">
            <v>1</v>
          </cell>
          <cell r="E64">
            <v>2</v>
          </cell>
          <cell r="F64">
            <v>4</v>
          </cell>
          <cell r="G64">
            <v>4</v>
          </cell>
          <cell r="H64" t="str">
            <v>防御型，俗称肉盾，生命值高，防御力强</v>
          </cell>
          <cell r="I64">
            <v>150</v>
          </cell>
          <cell r="J64" t="str">
            <v>xiejiang_attack_L</v>
          </cell>
          <cell r="K64">
            <v>10</v>
          </cell>
          <cell r="L64" t="str">
            <v>bingbao_skill01,leigong_skill02,leigong_skill03,leigong_skill04</v>
          </cell>
          <cell r="M64" t="str">
            <v>common_fangyu,common_chaofeng</v>
          </cell>
          <cell r="N64" t="str">
            <v>head_xiejiang</v>
          </cell>
          <cell r="O64" t="str">
            <v>lvsebiankuang</v>
          </cell>
          <cell r="P64" t="str">
            <v>xiejiang_actor</v>
          </cell>
          <cell r="Q64">
            <v>1</v>
          </cell>
          <cell r="R64" t="str">
            <v>[]</v>
          </cell>
          <cell r="S64" t="str">
            <v>[]</v>
          </cell>
          <cell r="T64" t="str">
            <v>[]</v>
          </cell>
          <cell r="U64">
            <v>3</v>
          </cell>
          <cell r="V64">
            <v>11</v>
          </cell>
          <cell r="W64">
            <v>3</v>
          </cell>
          <cell r="X64">
            <v>15</v>
          </cell>
          <cell r="Y64">
            <v>8</v>
          </cell>
          <cell r="Z64">
            <v>1</v>
          </cell>
          <cell r="AA64">
            <v>0</v>
          </cell>
          <cell r="AB64">
            <v>0</v>
          </cell>
          <cell r="AC64">
            <v>4000</v>
          </cell>
          <cell r="AD64">
            <v>160</v>
          </cell>
          <cell r="AE64">
            <v>80</v>
          </cell>
          <cell r="AF64">
            <v>80</v>
          </cell>
          <cell r="AG64">
            <v>1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1</v>
          </cell>
          <cell r="AN64">
            <v>0</v>
          </cell>
          <cell r="AO64">
            <v>0</v>
          </cell>
          <cell r="AP64">
            <v>400</v>
          </cell>
          <cell r="AQ64">
            <v>16</v>
          </cell>
          <cell r="AR64">
            <v>8</v>
          </cell>
          <cell r="AS64">
            <v>8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 t="str">
            <v>3001|8</v>
          </cell>
          <cell r="AY64">
            <v>8</v>
          </cell>
          <cell r="AZ64" t="str">
            <v>150401,150402,150403,150404,150405,150406,150407,150408</v>
          </cell>
          <cell r="BA64" t="str">
            <v>1001|50</v>
          </cell>
          <cell r="BB64">
            <v>50</v>
          </cell>
          <cell r="BC64" t="str">
            <v>11045,11047,11048,11050</v>
          </cell>
          <cell r="BD64" t="str">
            <v>[]</v>
          </cell>
          <cell r="BE64" t="str">
            <v>12016,12014</v>
          </cell>
          <cell r="BF64">
            <v>400</v>
          </cell>
          <cell r="BG64">
            <v>500</v>
          </cell>
          <cell r="BH64">
            <v>100</v>
          </cell>
          <cell r="BI64">
            <v>10404</v>
          </cell>
          <cell r="BJ64" t="str">
            <v>[]</v>
          </cell>
          <cell r="BK64">
            <v>0</v>
          </cell>
          <cell r="BL64">
            <v>100000</v>
          </cell>
          <cell r="BM64">
            <v>10</v>
          </cell>
          <cell r="BN64">
            <v>100</v>
          </cell>
          <cell r="BO64" t="str">
            <v>[]</v>
          </cell>
          <cell r="BP64">
            <v>1504</v>
          </cell>
          <cell r="BQ64" t="str">
            <v>mamian_a_01</v>
          </cell>
          <cell r="BR64" t="str">
            <v>[]</v>
          </cell>
          <cell r="BS64" t="e">
            <v>#N/A</v>
          </cell>
          <cell r="BT64" t="str">
            <v>xiejiang</v>
          </cell>
          <cell r="BU64" t="e">
            <v>#N/A</v>
          </cell>
          <cell r="BV64" t="str">
            <v>[]</v>
          </cell>
          <cell r="BW64" t="str">
            <v>4-11</v>
          </cell>
        </row>
        <row r="65">
          <cell r="A65">
            <v>1142</v>
          </cell>
          <cell r="B65" t="str">
            <v>狮人-光启</v>
          </cell>
          <cell r="C65" t="str">
            <v>我很丑，可是我很温柔。</v>
          </cell>
          <cell r="D65">
            <v>1</v>
          </cell>
          <cell r="E65">
            <v>4</v>
          </cell>
          <cell r="F65">
            <v>4</v>
          </cell>
          <cell r="G65">
            <v>4</v>
          </cell>
          <cell r="H65" t="str">
            <v>防御型，俗称肉盾，生命值高，防御力强</v>
          </cell>
          <cell r="I65">
            <v>150</v>
          </cell>
          <cell r="J65" t="str">
            <v>shiren_attack</v>
          </cell>
          <cell r="K65">
            <v>10</v>
          </cell>
          <cell r="L65" t="str">
            <v>huoniao_skill01,huo_shiren_skill02</v>
          </cell>
          <cell r="M65" t="str">
            <v>common_fangyu,common_chaofeng</v>
          </cell>
          <cell r="N65" t="str">
            <v>head_shiren_guangqi</v>
          </cell>
          <cell r="O65" t="str">
            <v>lansebiankuang</v>
          </cell>
          <cell r="P65" t="str">
            <v>shiren_guangqi_actor</v>
          </cell>
          <cell r="Q65">
            <v>1</v>
          </cell>
          <cell r="R65" t="str">
            <v>[]</v>
          </cell>
          <cell r="S65" t="str">
            <v>[]</v>
          </cell>
          <cell r="T65" t="str">
            <v>[]</v>
          </cell>
          <cell r="U65">
            <v>2</v>
          </cell>
          <cell r="V65">
            <v>6</v>
          </cell>
          <cell r="W65">
            <v>3</v>
          </cell>
          <cell r="X65">
            <v>15</v>
          </cell>
          <cell r="Y65">
            <v>8</v>
          </cell>
          <cell r="Z65">
            <v>1</v>
          </cell>
          <cell r="AA65">
            <v>0</v>
          </cell>
          <cell r="AB65">
            <v>0</v>
          </cell>
          <cell r="AC65">
            <v>3000</v>
          </cell>
          <cell r="AD65">
            <v>120</v>
          </cell>
          <cell r="AE65">
            <v>60</v>
          </cell>
          <cell r="AF65">
            <v>60</v>
          </cell>
          <cell r="AG65">
            <v>1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1</v>
          </cell>
          <cell r="AN65">
            <v>0</v>
          </cell>
          <cell r="AO65">
            <v>0</v>
          </cell>
          <cell r="AP65">
            <v>300</v>
          </cell>
          <cell r="AQ65">
            <v>12</v>
          </cell>
          <cell r="AR65">
            <v>6</v>
          </cell>
          <cell r="AS65">
            <v>6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 t="str">
            <v>2001|6</v>
          </cell>
          <cell r="AY65">
            <v>6</v>
          </cell>
          <cell r="AZ65" t="str">
            <v>10201,10202,10203,10204,10205,10206</v>
          </cell>
          <cell r="BA65" t="str">
            <v>2001|50</v>
          </cell>
          <cell r="BB65">
            <v>50</v>
          </cell>
          <cell r="BC65" t="str">
            <v>[]</v>
          </cell>
          <cell r="BD65" t="str">
            <v>[]</v>
          </cell>
          <cell r="BE65" t="str">
            <v>[]</v>
          </cell>
          <cell r="BF65">
            <v>40</v>
          </cell>
          <cell r="BG65">
            <v>2000</v>
          </cell>
          <cell r="BH65">
            <v>400</v>
          </cell>
          <cell r="BI65">
            <v>10042</v>
          </cell>
          <cell r="BJ65" t="str">
            <v>[]</v>
          </cell>
          <cell r="BK65">
            <v>0</v>
          </cell>
          <cell r="BL65">
            <v>100000</v>
          </cell>
          <cell r="BM65">
            <v>10</v>
          </cell>
          <cell r="BN65">
            <v>100</v>
          </cell>
          <cell r="BO65" t="str">
            <v>[]</v>
          </cell>
          <cell r="BP65">
            <v>1142</v>
          </cell>
          <cell r="BQ65" t="str">
            <v>[]</v>
          </cell>
          <cell r="BR65" t="str">
            <v>[]</v>
          </cell>
          <cell r="BS65" t="e">
            <v>#N/A</v>
          </cell>
          <cell r="BT65" t="str">
            <v>shiren</v>
          </cell>
          <cell r="BU65" t="e">
            <v>#N/A</v>
          </cell>
          <cell r="BV65" t="str">
            <v>[]</v>
          </cell>
          <cell r="BW65" t="str">
            <v>4-6</v>
          </cell>
        </row>
        <row r="66">
          <cell r="A66">
            <v>1143</v>
          </cell>
          <cell r="B66" t="str">
            <v>狮人-立辉</v>
          </cell>
          <cell r="C66" t="str">
            <v>我很丑，可是我很温柔。</v>
          </cell>
          <cell r="D66">
            <v>1</v>
          </cell>
          <cell r="E66">
            <v>4</v>
          </cell>
          <cell r="F66">
            <v>4</v>
          </cell>
          <cell r="G66">
            <v>4</v>
          </cell>
          <cell r="H66" t="str">
            <v>防御型，俗称肉盾，生命值高，防御力强</v>
          </cell>
          <cell r="I66">
            <v>150</v>
          </cell>
          <cell r="J66" t="str">
            <v>shiren_attack</v>
          </cell>
          <cell r="K66">
            <v>10</v>
          </cell>
          <cell r="L66" t="str">
            <v>feishazoushi_skill01,tu_shiren_skill02</v>
          </cell>
          <cell r="M66" t="str">
            <v>common_fangyu,common_chaofeng</v>
          </cell>
          <cell r="N66" t="str">
            <v>head_shiren_lihui</v>
          </cell>
          <cell r="O66" t="str">
            <v>lansebiankuang</v>
          </cell>
          <cell r="P66" t="str">
            <v>shiren_lihui_actor</v>
          </cell>
          <cell r="Q66">
            <v>1</v>
          </cell>
          <cell r="R66" t="str">
            <v>[]</v>
          </cell>
          <cell r="S66" t="str">
            <v>[]</v>
          </cell>
          <cell r="T66" t="str">
            <v>[]</v>
          </cell>
          <cell r="U66">
            <v>2</v>
          </cell>
          <cell r="V66">
            <v>6</v>
          </cell>
          <cell r="W66">
            <v>3</v>
          </cell>
          <cell r="X66">
            <v>15</v>
          </cell>
          <cell r="Y66">
            <v>8</v>
          </cell>
          <cell r="Z66">
            <v>1</v>
          </cell>
          <cell r="AA66">
            <v>0</v>
          </cell>
          <cell r="AB66">
            <v>0</v>
          </cell>
          <cell r="AC66">
            <v>3000</v>
          </cell>
          <cell r="AD66">
            <v>120</v>
          </cell>
          <cell r="AE66">
            <v>60</v>
          </cell>
          <cell r="AF66">
            <v>60</v>
          </cell>
          <cell r="AG66">
            <v>1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1</v>
          </cell>
          <cell r="AN66">
            <v>0</v>
          </cell>
          <cell r="AO66">
            <v>0</v>
          </cell>
          <cell r="AP66">
            <v>300</v>
          </cell>
          <cell r="AQ66">
            <v>12</v>
          </cell>
          <cell r="AR66">
            <v>6</v>
          </cell>
          <cell r="AS66">
            <v>6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 t="str">
            <v>2001|6</v>
          </cell>
          <cell r="AY66">
            <v>6</v>
          </cell>
          <cell r="AZ66" t="str">
            <v>10201,10202,10203,10204,10205,10206</v>
          </cell>
          <cell r="BA66" t="str">
            <v>2001|50</v>
          </cell>
          <cell r="BB66">
            <v>50</v>
          </cell>
          <cell r="BC66" t="str">
            <v>[]</v>
          </cell>
          <cell r="BD66" t="str">
            <v>[]</v>
          </cell>
          <cell r="BE66" t="str">
            <v>[]</v>
          </cell>
          <cell r="BF66">
            <v>40</v>
          </cell>
          <cell r="BG66">
            <v>2000</v>
          </cell>
          <cell r="BH66">
            <v>400</v>
          </cell>
          <cell r="BI66">
            <v>10043</v>
          </cell>
          <cell r="BJ66" t="str">
            <v>[]</v>
          </cell>
          <cell r="BK66">
            <v>0</v>
          </cell>
          <cell r="BL66">
            <v>100000</v>
          </cell>
          <cell r="BM66">
            <v>10</v>
          </cell>
          <cell r="BN66">
            <v>100</v>
          </cell>
          <cell r="BO66" t="str">
            <v>[]</v>
          </cell>
          <cell r="BP66">
            <v>1143</v>
          </cell>
          <cell r="BQ66" t="str">
            <v>[]</v>
          </cell>
          <cell r="BR66" t="str">
            <v>[]</v>
          </cell>
          <cell r="BS66" t="e">
            <v>#N/A</v>
          </cell>
          <cell r="BT66" t="str">
            <v>shiren</v>
          </cell>
          <cell r="BU66" t="e">
            <v>#N/A</v>
          </cell>
          <cell r="BV66" t="str">
            <v>[]</v>
          </cell>
          <cell r="BW66" t="str">
            <v>4-6</v>
          </cell>
        </row>
        <row r="67">
          <cell r="A67">
            <v>1146</v>
          </cell>
          <cell r="B67" t="str">
            <v>石人-博达</v>
          </cell>
          <cell r="C67" t="str">
            <v>一，二，三！我们都是石头人！</v>
          </cell>
          <cell r="D67">
            <v>1</v>
          </cell>
          <cell r="E67">
            <v>4</v>
          </cell>
          <cell r="F67">
            <v>4</v>
          </cell>
          <cell r="G67">
            <v>4</v>
          </cell>
          <cell r="H67" t="str">
            <v>防御型，俗称肉盾，生命值高，防御力强</v>
          </cell>
          <cell r="I67">
            <v>150</v>
          </cell>
          <cell r="J67" t="str">
            <v>shitouren_attack</v>
          </cell>
          <cell r="K67">
            <v>10</v>
          </cell>
          <cell r="L67" t="str">
            <v>zhongchui_skill01,jin_shitouren_skill02</v>
          </cell>
          <cell r="M67" t="str">
            <v>common_fangyu,common_chaofeng</v>
          </cell>
          <cell r="N67" t="str">
            <v>head_shiren_boda</v>
          </cell>
          <cell r="O67" t="str">
            <v>lansebiankuang</v>
          </cell>
          <cell r="P67" t="str">
            <v>shiren_boda_actor</v>
          </cell>
          <cell r="Q67">
            <v>1</v>
          </cell>
          <cell r="R67" t="str">
            <v>[]</v>
          </cell>
          <cell r="S67" t="str">
            <v>[]</v>
          </cell>
          <cell r="T67" t="str">
            <v>[]</v>
          </cell>
          <cell r="U67">
            <v>2</v>
          </cell>
          <cell r="V67">
            <v>6</v>
          </cell>
          <cell r="W67">
            <v>3</v>
          </cell>
          <cell r="X67">
            <v>15</v>
          </cell>
          <cell r="Y67">
            <v>8</v>
          </cell>
          <cell r="Z67">
            <v>1</v>
          </cell>
          <cell r="AA67">
            <v>0</v>
          </cell>
          <cell r="AB67">
            <v>0</v>
          </cell>
          <cell r="AC67">
            <v>3000</v>
          </cell>
          <cell r="AD67">
            <v>120</v>
          </cell>
          <cell r="AE67">
            <v>60</v>
          </cell>
          <cell r="AF67">
            <v>60</v>
          </cell>
          <cell r="AG67">
            <v>1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1</v>
          </cell>
          <cell r="AN67">
            <v>0</v>
          </cell>
          <cell r="AO67">
            <v>0</v>
          </cell>
          <cell r="AP67">
            <v>300</v>
          </cell>
          <cell r="AQ67">
            <v>12</v>
          </cell>
          <cell r="AR67">
            <v>6</v>
          </cell>
          <cell r="AS67">
            <v>6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 t="str">
            <v>2001|6</v>
          </cell>
          <cell r="AY67">
            <v>6</v>
          </cell>
          <cell r="AZ67" t="str">
            <v>10201,10202,10203,10204,10205,10206</v>
          </cell>
          <cell r="BA67" t="str">
            <v>2001|50</v>
          </cell>
          <cell r="BB67">
            <v>50</v>
          </cell>
          <cell r="BC67" t="str">
            <v>[]</v>
          </cell>
          <cell r="BD67" t="str">
            <v>[]</v>
          </cell>
          <cell r="BE67" t="str">
            <v>[]</v>
          </cell>
          <cell r="BF67">
            <v>40</v>
          </cell>
          <cell r="BG67">
            <v>2000</v>
          </cell>
          <cell r="BH67">
            <v>400</v>
          </cell>
          <cell r="BI67">
            <v>10046</v>
          </cell>
          <cell r="BJ67" t="str">
            <v>[]</v>
          </cell>
          <cell r="BK67">
            <v>0</v>
          </cell>
          <cell r="BL67">
            <v>100000</v>
          </cell>
          <cell r="BM67">
            <v>10</v>
          </cell>
          <cell r="BN67">
            <v>100</v>
          </cell>
          <cell r="BO67" t="str">
            <v>[]</v>
          </cell>
          <cell r="BP67">
            <v>1146</v>
          </cell>
          <cell r="BQ67" t="str">
            <v>[]</v>
          </cell>
          <cell r="BR67" t="str">
            <v>[]</v>
          </cell>
          <cell r="BS67" t="e">
            <v>#N/A</v>
          </cell>
          <cell r="BT67" t="str">
            <v>shiren</v>
          </cell>
          <cell r="BU67" t="e">
            <v>#N/A</v>
          </cell>
          <cell r="BV67" t="str">
            <v>[]</v>
          </cell>
          <cell r="BW67" t="str">
            <v>4-6</v>
          </cell>
        </row>
        <row r="68">
          <cell r="A68">
            <v>1147</v>
          </cell>
          <cell r="B68" t="str">
            <v>石人-离落</v>
          </cell>
          <cell r="C68" t="str">
            <v>一，二，三！我们都是石头人！</v>
          </cell>
          <cell r="D68">
            <v>1</v>
          </cell>
          <cell r="E68">
            <v>4</v>
          </cell>
          <cell r="F68">
            <v>4</v>
          </cell>
          <cell r="G68">
            <v>4</v>
          </cell>
          <cell r="H68" t="str">
            <v>防御型，俗称肉盾，生命值高，防御力强</v>
          </cell>
          <cell r="I68">
            <v>150</v>
          </cell>
          <cell r="J68" t="str">
            <v>shitouren_attack</v>
          </cell>
          <cell r="K68">
            <v>10</v>
          </cell>
          <cell r="L68" t="str">
            <v>zhangqidutan_skill01,mu_shitouren_skill02</v>
          </cell>
          <cell r="M68" t="str">
            <v>common_fangyu,common_chaofeng</v>
          </cell>
          <cell r="N68" t="str">
            <v>head_shiren_liluo</v>
          </cell>
          <cell r="O68" t="str">
            <v>lansebiankuang</v>
          </cell>
          <cell r="P68" t="str">
            <v>shiren_liluo_actor</v>
          </cell>
          <cell r="Q68">
            <v>1</v>
          </cell>
          <cell r="R68" t="str">
            <v>[]</v>
          </cell>
          <cell r="S68" t="str">
            <v>[]</v>
          </cell>
          <cell r="T68" t="str">
            <v>[]</v>
          </cell>
          <cell r="U68">
            <v>2</v>
          </cell>
          <cell r="V68">
            <v>6</v>
          </cell>
          <cell r="W68">
            <v>3</v>
          </cell>
          <cell r="X68">
            <v>15</v>
          </cell>
          <cell r="Y68">
            <v>8</v>
          </cell>
          <cell r="Z68">
            <v>1</v>
          </cell>
          <cell r="AA68">
            <v>0</v>
          </cell>
          <cell r="AB68">
            <v>0</v>
          </cell>
          <cell r="AC68">
            <v>3000</v>
          </cell>
          <cell r="AD68">
            <v>120</v>
          </cell>
          <cell r="AE68">
            <v>60</v>
          </cell>
          <cell r="AF68">
            <v>60</v>
          </cell>
          <cell r="AG68">
            <v>1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1</v>
          </cell>
          <cell r="AN68">
            <v>0</v>
          </cell>
          <cell r="AO68">
            <v>0</v>
          </cell>
          <cell r="AP68">
            <v>300</v>
          </cell>
          <cell r="AQ68">
            <v>12</v>
          </cell>
          <cell r="AR68">
            <v>6</v>
          </cell>
          <cell r="AS68">
            <v>6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 t="str">
            <v>2001|6</v>
          </cell>
          <cell r="AY68">
            <v>6</v>
          </cell>
          <cell r="AZ68" t="str">
            <v>10201,10202,10203,10204,10205,10206</v>
          </cell>
          <cell r="BA68" t="str">
            <v>2001|50</v>
          </cell>
          <cell r="BB68">
            <v>50</v>
          </cell>
          <cell r="BC68" t="str">
            <v>[]</v>
          </cell>
          <cell r="BD68" t="str">
            <v>[]</v>
          </cell>
          <cell r="BE68" t="str">
            <v>[]</v>
          </cell>
          <cell r="BF68">
            <v>40</v>
          </cell>
          <cell r="BG68">
            <v>2000</v>
          </cell>
          <cell r="BH68">
            <v>400</v>
          </cell>
          <cell r="BI68">
            <v>10047</v>
          </cell>
          <cell r="BJ68" t="str">
            <v>[]</v>
          </cell>
          <cell r="BK68">
            <v>0</v>
          </cell>
          <cell r="BL68">
            <v>100000</v>
          </cell>
          <cell r="BM68">
            <v>10</v>
          </cell>
          <cell r="BN68">
            <v>100</v>
          </cell>
          <cell r="BO68" t="str">
            <v>[]</v>
          </cell>
          <cell r="BP68">
            <v>1147</v>
          </cell>
          <cell r="BQ68" t="str">
            <v>[]</v>
          </cell>
          <cell r="BR68" t="str">
            <v>[]</v>
          </cell>
          <cell r="BS68" t="e">
            <v>#N/A</v>
          </cell>
          <cell r="BT68" t="str">
            <v>shiren</v>
          </cell>
          <cell r="BU68" t="e">
            <v>#N/A</v>
          </cell>
          <cell r="BV68" t="str">
            <v>[]</v>
          </cell>
          <cell r="BW68" t="str">
            <v>4-6</v>
          </cell>
        </row>
        <row r="69">
          <cell r="A69">
            <v>1148</v>
          </cell>
          <cell r="B69" t="str">
            <v>石人-安和</v>
          </cell>
          <cell r="C69" t="str">
            <v>一，二，三！我们都是石头人！</v>
          </cell>
          <cell r="D69">
            <v>1</v>
          </cell>
          <cell r="E69">
            <v>4</v>
          </cell>
          <cell r="F69">
            <v>4</v>
          </cell>
          <cell r="G69">
            <v>4</v>
          </cell>
          <cell r="H69" t="str">
            <v>防御型，俗称肉盾，生命值高，防御力强</v>
          </cell>
          <cell r="I69">
            <v>150</v>
          </cell>
          <cell r="J69" t="str">
            <v>shitouren_attack</v>
          </cell>
          <cell r="K69">
            <v>10</v>
          </cell>
          <cell r="L69" t="str">
            <v>tuqiangfanghu_skill01,tu_shitouren_skill02</v>
          </cell>
          <cell r="M69" t="str">
            <v>common_fangyu,common_chaofeng</v>
          </cell>
          <cell r="N69" t="str">
            <v>head_shiren_anhe</v>
          </cell>
          <cell r="O69" t="str">
            <v>lansebiankuang</v>
          </cell>
          <cell r="P69" t="str">
            <v>shiren_anhe_actor</v>
          </cell>
          <cell r="Q69">
            <v>1</v>
          </cell>
          <cell r="R69" t="str">
            <v>[]</v>
          </cell>
          <cell r="S69" t="str">
            <v>[]</v>
          </cell>
          <cell r="T69" t="str">
            <v>[]</v>
          </cell>
          <cell r="U69">
            <v>2</v>
          </cell>
          <cell r="V69">
            <v>6</v>
          </cell>
          <cell r="W69">
            <v>3</v>
          </cell>
          <cell r="X69">
            <v>15</v>
          </cell>
          <cell r="Y69">
            <v>8</v>
          </cell>
          <cell r="Z69">
            <v>1</v>
          </cell>
          <cell r="AA69">
            <v>0</v>
          </cell>
          <cell r="AB69">
            <v>0</v>
          </cell>
          <cell r="AC69">
            <v>3000</v>
          </cell>
          <cell r="AD69">
            <v>120</v>
          </cell>
          <cell r="AE69">
            <v>60</v>
          </cell>
          <cell r="AF69">
            <v>60</v>
          </cell>
          <cell r="AG69">
            <v>1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1</v>
          </cell>
          <cell r="AN69">
            <v>0</v>
          </cell>
          <cell r="AO69">
            <v>0</v>
          </cell>
          <cell r="AP69">
            <v>300</v>
          </cell>
          <cell r="AQ69">
            <v>12</v>
          </cell>
          <cell r="AR69">
            <v>6</v>
          </cell>
          <cell r="AS69">
            <v>6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 t="str">
            <v>2001|6</v>
          </cell>
          <cell r="AY69">
            <v>6</v>
          </cell>
          <cell r="AZ69" t="str">
            <v>10201,10202,10203,10204,10205,10206</v>
          </cell>
          <cell r="BA69" t="str">
            <v>2001|50</v>
          </cell>
          <cell r="BB69">
            <v>50</v>
          </cell>
          <cell r="BC69" t="str">
            <v>[]</v>
          </cell>
          <cell r="BD69" t="str">
            <v>[]</v>
          </cell>
          <cell r="BE69" t="str">
            <v>[]</v>
          </cell>
          <cell r="BF69">
            <v>40</v>
          </cell>
          <cell r="BG69">
            <v>2000</v>
          </cell>
          <cell r="BH69">
            <v>400</v>
          </cell>
          <cell r="BI69">
            <v>10048</v>
          </cell>
          <cell r="BJ69" t="str">
            <v>[]</v>
          </cell>
          <cell r="BK69">
            <v>0</v>
          </cell>
          <cell r="BL69">
            <v>100000</v>
          </cell>
          <cell r="BM69">
            <v>10</v>
          </cell>
          <cell r="BN69">
            <v>100</v>
          </cell>
          <cell r="BO69" t="str">
            <v>[]</v>
          </cell>
          <cell r="BP69">
            <v>1148</v>
          </cell>
          <cell r="BQ69" t="str">
            <v>[]</v>
          </cell>
          <cell r="BR69" t="str">
            <v>[]</v>
          </cell>
          <cell r="BS69" t="e">
            <v>#N/A</v>
          </cell>
          <cell r="BT69" t="str">
            <v>shiren</v>
          </cell>
          <cell r="BU69" t="e">
            <v>#N/A</v>
          </cell>
          <cell r="BV69" t="str">
            <v>[]</v>
          </cell>
          <cell r="BW69" t="str">
            <v>4-6</v>
          </cell>
        </row>
        <row r="70">
          <cell r="A70">
            <v>1155</v>
          </cell>
          <cell r="B70" t="str">
            <v>蟒精-雅芙</v>
          </cell>
          <cell r="C70" t="str">
            <v>箭无虚发！</v>
          </cell>
          <cell r="D70">
            <v>1</v>
          </cell>
          <cell r="E70">
            <v>4</v>
          </cell>
          <cell r="F70">
            <v>2</v>
          </cell>
          <cell r="G70">
            <v>3</v>
          </cell>
          <cell r="H70" t="str">
            <v>物攻型，负责物理输出</v>
          </cell>
          <cell r="I70">
            <v>150</v>
          </cell>
          <cell r="J70" t="str">
            <v>damangjing_attack</v>
          </cell>
          <cell r="K70">
            <v>10</v>
          </cell>
          <cell r="L70" t="str">
            <v>jisufeijian_skill01,jin_damangjing_skill02</v>
          </cell>
          <cell r="M70" t="str">
            <v>common_fangyu,common_chaofeng</v>
          </cell>
          <cell r="N70" t="str">
            <v>head_mangjing_yafu</v>
          </cell>
          <cell r="O70" t="str">
            <v>lansebiankuang</v>
          </cell>
          <cell r="P70" t="str">
            <v>mangjing_yafu_actor</v>
          </cell>
          <cell r="Q70">
            <v>1</v>
          </cell>
          <cell r="R70" t="str">
            <v>[]</v>
          </cell>
          <cell r="S70" t="str">
            <v>[]</v>
          </cell>
          <cell r="T70" t="str">
            <v>[]</v>
          </cell>
          <cell r="U70">
            <v>2</v>
          </cell>
          <cell r="V70">
            <v>6</v>
          </cell>
          <cell r="W70">
            <v>9</v>
          </cell>
          <cell r="X70">
            <v>15</v>
          </cell>
          <cell r="Y70">
            <v>8</v>
          </cell>
          <cell r="Z70">
            <v>1</v>
          </cell>
          <cell r="AA70">
            <v>0</v>
          </cell>
          <cell r="AB70">
            <v>0</v>
          </cell>
          <cell r="AC70">
            <v>3000</v>
          </cell>
          <cell r="AD70">
            <v>120</v>
          </cell>
          <cell r="AE70">
            <v>60</v>
          </cell>
          <cell r="AF70">
            <v>60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1</v>
          </cell>
          <cell r="AN70">
            <v>0</v>
          </cell>
          <cell r="AO70">
            <v>0</v>
          </cell>
          <cell r="AP70">
            <v>300</v>
          </cell>
          <cell r="AQ70">
            <v>12</v>
          </cell>
          <cell r="AR70">
            <v>6</v>
          </cell>
          <cell r="AS70">
            <v>6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 t="str">
            <v>2001|6</v>
          </cell>
          <cell r="AY70">
            <v>6</v>
          </cell>
          <cell r="AZ70" t="str">
            <v>10401,10402,10403,10404,10405,10406</v>
          </cell>
          <cell r="BA70" t="str">
            <v>2001|50</v>
          </cell>
          <cell r="BB70">
            <v>50</v>
          </cell>
          <cell r="BC70" t="str">
            <v>[]</v>
          </cell>
          <cell r="BD70" t="str">
            <v>[]</v>
          </cell>
          <cell r="BE70" t="str">
            <v>[]</v>
          </cell>
          <cell r="BF70">
            <v>40</v>
          </cell>
          <cell r="BG70">
            <v>2000</v>
          </cell>
          <cell r="BH70">
            <v>400</v>
          </cell>
          <cell r="BI70">
            <v>10055</v>
          </cell>
          <cell r="BJ70" t="str">
            <v>[]</v>
          </cell>
          <cell r="BK70">
            <v>0</v>
          </cell>
          <cell r="BL70">
            <v>10000</v>
          </cell>
          <cell r="BM70">
            <v>1</v>
          </cell>
          <cell r="BN70">
            <v>100</v>
          </cell>
          <cell r="BO70" t="str">
            <v>[]</v>
          </cell>
          <cell r="BP70">
            <v>1155</v>
          </cell>
          <cell r="BQ70" t="str">
            <v>[]</v>
          </cell>
          <cell r="BR70" t="str">
            <v>[]</v>
          </cell>
          <cell r="BS70" t="e">
            <v>#N/A</v>
          </cell>
          <cell r="BT70" t="str">
            <v>mangjing</v>
          </cell>
          <cell r="BU70" t="e">
            <v>#N/A</v>
          </cell>
          <cell r="BV70" t="str">
            <v>[]</v>
          </cell>
          <cell r="BW70" t="str">
            <v>3-6</v>
          </cell>
        </row>
        <row r="71">
          <cell r="A71">
            <v>1156</v>
          </cell>
          <cell r="B71" t="str">
            <v>蟒精-依娜</v>
          </cell>
          <cell r="C71" t="str">
            <v>箭无虚发！</v>
          </cell>
          <cell r="D71">
            <v>1</v>
          </cell>
          <cell r="E71">
            <v>4</v>
          </cell>
          <cell r="F71">
            <v>2</v>
          </cell>
          <cell r="G71">
            <v>3</v>
          </cell>
          <cell r="H71" t="str">
            <v>物攻型，负责物理输出</v>
          </cell>
          <cell r="I71">
            <v>150</v>
          </cell>
          <cell r="J71" t="str">
            <v>damangjing_attack</v>
          </cell>
          <cell r="K71">
            <v>10</v>
          </cell>
          <cell r="L71" t="str">
            <v>dujianyu_skill01,mu_damangjing_skill02</v>
          </cell>
          <cell r="M71" t="str">
            <v>common_fangyu,common_chaofeng</v>
          </cell>
          <cell r="N71" t="str">
            <v>head_mangjing_yina</v>
          </cell>
          <cell r="O71" t="str">
            <v>lansebiankuang</v>
          </cell>
          <cell r="P71" t="str">
            <v>mangjing_yina_actor</v>
          </cell>
          <cell r="Q71">
            <v>1</v>
          </cell>
          <cell r="R71" t="str">
            <v>[]</v>
          </cell>
          <cell r="S71" t="str">
            <v>[]</v>
          </cell>
          <cell r="T71" t="str">
            <v>[]</v>
          </cell>
          <cell r="U71">
            <v>2</v>
          </cell>
          <cell r="V71">
            <v>6</v>
          </cell>
          <cell r="W71">
            <v>9</v>
          </cell>
          <cell r="X71">
            <v>15</v>
          </cell>
          <cell r="Y71">
            <v>8</v>
          </cell>
          <cell r="Z71">
            <v>1</v>
          </cell>
          <cell r="AA71">
            <v>0</v>
          </cell>
          <cell r="AB71">
            <v>0</v>
          </cell>
          <cell r="AC71">
            <v>3000</v>
          </cell>
          <cell r="AD71">
            <v>120</v>
          </cell>
          <cell r="AE71">
            <v>60</v>
          </cell>
          <cell r="AF71">
            <v>60</v>
          </cell>
          <cell r="AG71">
            <v>1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1</v>
          </cell>
          <cell r="AN71">
            <v>0</v>
          </cell>
          <cell r="AO71">
            <v>0</v>
          </cell>
          <cell r="AP71">
            <v>300</v>
          </cell>
          <cell r="AQ71">
            <v>12</v>
          </cell>
          <cell r="AR71">
            <v>6</v>
          </cell>
          <cell r="AS71">
            <v>6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 t="str">
            <v>2001|6</v>
          </cell>
          <cell r="AY71">
            <v>6</v>
          </cell>
          <cell r="AZ71" t="str">
            <v>10401,10402,10403,10404,10405,10406</v>
          </cell>
          <cell r="BA71" t="str">
            <v>2001|50</v>
          </cell>
          <cell r="BB71">
            <v>50</v>
          </cell>
          <cell r="BC71" t="str">
            <v>[]</v>
          </cell>
          <cell r="BD71" t="str">
            <v>[]</v>
          </cell>
          <cell r="BE71" t="str">
            <v>[]</v>
          </cell>
          <cell r="BF71">
            <v>40</v>
          </cell>
          <cell r="BG71">
            <v>2000</v>
          </cell>
          <cell r="BH71">
            <v>400</v>
          </cell>
          <cell r="BI71">
            <v>10056</v>
          </cell>
          <cell r="BJ71" t="str">
            <v>[]</v>
          </cell>
          <cell r="BK71">
            <v>0</v>
          </cell>
          <cell r="BL71">
            <v>10000</v>
          </cell>
          <cell r="BM71">
            <v>1</v>
          </cell>
          <cell r="BN71">
            <v>100</v>
          </cell>
          <cell r="BO71" t="str">
            <v>[]</v>
          </cell>
          <cell r="BP71">
            <v>1156</v>
          </cell>
          <cell r="BQ71" t="str">
            <v>[]</v>
          </cell>
          <cell r="BR71" t="str">
            <v>[]</v>
          </cell>
          <cell r="BS71" t="e">
            <v>#N/A</v>
          </cell>
          <cell r="BT71" t="str">
            <v>mangjing</v>
          </cell>
          <cell r="BU71" t="e">
            <v>#N/A</v>
          </cell>
          <cell r="BV71" t="str">
            <v>[]</v>
          </cell>
          <cell r="BW71" t="str">
            <v>3-6</v>
          </cell>
        </row>
        <row r="72">
          <cell r="A72">
            <v>1157</v>
          </cell>
          <cell r="B72" t="str">
            <v>狐狸-优璇</v>
          </cell>
          <cell r="C72" t="str">
            <v>什么时候才能见到妲己姐姐呢？</v>
          </cell>
          <cell r="D72">
            <v>1</v>
          </cell>
          <cell r="E72">
            <v>4</v>
          </cell>
          <cell r="F72">
            <v>3</v>
          </cell>
          <cell r="G72">
            <v>3</v>
          </cell>
          <cell r="H72" t="str">
            <v>物攻型，负责物理输出</v>
          </cell>
          <cell r="I72">
            <v>150</v>
          </cell>
          <cell r="J72" t="str">
            <v>humeiren_attack</v>
          </cell>
          <cell r="K72">
            <v>10</v>
          </cell>
          <cell r="L72" t="str">
            <v>zhangqidutan_skill01,mu_humeiren_skill02</v>
          </cell>
          <cell r="M72" t="str">
            <v>common_fangyu,common_chaofeng</v>
          </cell>
          <cell r="N72" t="str">
            <v>head_huli_youxuan</v>
          </cell>
          <cell r="O72" t="str">
            <v>lansebiankuang</v>
          </cell>
          <cell r="P72" t="str">
            <v>huli_youxuan_actor</v>
          </cell>
          <cell r="Q72">
            <v>1</v>
          </cell>
          <cell r="R72" t="str">
            <v>[]</v>
          </cell>
          <cell r="S72" t="str">
            <v>[]</v>
          </cell>
          <cell r="T72" t="str">
            <v>[]</v>
          </cell>
          <cell r="U72">
            <v>2</v>
          </cell>
          <cell r="V72">
            <v>6</v>
          </cell>
          <cell r="W72">
            <v>5</v>
          </cell>
          <cell r="X72">
            <v>15</v>
          </cell>
          <cell r="Y72">
            <v>8</v>
          </cell>
          <cell r="Z72">
            <v>1</v>
          </cell>
          <cell r="AA72">
            <v>0</v>
          </cell>
          <cell r="AB72">
            <v>0</v>
          </cell>
          <cell r="AC72">
            <v>3000</v>
          </cell>
          <cell r="AD72">
            <v>120</v>
          </cell>
          <cell r="AE72">
            <v>60</v>
          </cell>
          <cell r="AF72">
            <v>60</v>
          </cell>
          <cell r="AG72">
            <v>1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1</v>
          </cell>
          <cell r="AN72">
            <v>0</v>
          </cell>
          <cell r="AO72">
            <v>0</v>
          </cell>
          <cell r="AP72">
            <v>300</v>
          </cell>
          <cell r="AQ72">
            <v>12</v>
          </cell>
          <cell r="AR72">
            <v>6</v>
          </cell>
          <cell r="AS72">
            <v>6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 t="str">
            <v>2001|6</v>
          </cell>
          <cell r="AY72">
            <v>6</v>
          </cell>
          <cell r="AZ72" t="str">
            <v>10501,10502,10503,10504,10505,10506</v>
          </cell>
          <cell r="BA72" t="str">
            <v>2001|50</v>
          </cell>
          <cell r="BB72">
            <v>50</v>
          </cell>
          <cell r="BC72" t="str">
            <v>[]</v>
          </cell>
          <cell r="BD72" t="str">
            <v>[]</v>
          </cell>
          <cell r="BE72" t="str">
            <v>[]</v>
          </cell>
          <cell r="BF72">
            <v>40</v>
          </cell>
          <cell r="BG72">
            <v>2000</v>
          </cell>
          <cell r="BH72">
            <v>400</v>
          </cell>
          <cell r="BI72">
            <v>10057</v>
          </cell>
          <cell r="BJ72" t="str">
            <v>[]</v>
          </cell>
          <cell r="BK72">
            <v>0</v>
          </cell>
          <cell r="BL72">
            <v>50000</v>
          </cell>
          <cell r="BM72">
            <v>1.5</v>
          </cell>
          <cell r="BN72">
            <v>100</v>
          </cell>
          <cell r="BO72" t="str">
            <v>[]</v>
          </cell>
          <cell r="BP72">
            <v>1157</v>
          </cell>
          <cell r="BQ72" t="str">
            <v>[]</v>
          </cell>
          <cell r="BR72" t="str">
            <v>[]</v>
          </cell>
          <cell r="BS72" t="e">
            <v>#N/A</v>
          </cell>
          <cell r="BT72" t="str">
            <v>huli</v>
          </cell>
          <cell r="BU72" t="e">
            <v>#N/A</v>
          </cell>
          <cell r="BV72" t="str">
            <v>[]</v>
          </cell>
          <cell r="BW72" t="str">
            <v>3-6</v>
          </cell>
        </row>
        <row r="73">
          <cell r="A73">
            <v>1158</v>
          </cell>
          <cell r="B73" t="str">
            <v>狐狸-茹雪</v>
          </cell>
          <cell r="C73" t="str">
            <v>什么时候才能见到妲己姐姐呢？</v>
          </cell>
          <cell r="D73">
            <v>1</v>
          </cell>
          <cell r="E73">
            <v>4</v>
          </cell>
          <cell r="F73">
            <v>3</v>
          </cell>
          <cell r="G73">
            <v>3</v>
          </cell>
          <cell r="H73" t="str">
            <v>物攻型，负责物理输出</v>
          </cell>
          <cell r="I73">
            <v>150</v>
          </cell>
          <cell r="J73" t="str">
            <v>humeiren_attack</v>
          </cell>
          <cell r="K73">
            <v>10</v>
          </cell>
          <cell r="L73" t="str">
            <v>bingbao_skill01,shui_humeiren_skill02</v>
          </cell>
          <cell r="M73" t="str">
            <v>common_fangyu,common_chaofeng</v>
          </cell>
          <cell r="N73" t="str">
            <v>head_huli_ruxue</v>
          </cell>
          <cell r="O73" t="str">
            <v>lansebiankuang</v>
          </cell>
          <cell r="P73" t="str">
            <v>huli_ruxue_actor</v>
          </cell>
          <cell r="Q73">
            <v>1</v>
          </cell>
          <cell r="R73" t="str">
            <v>[]</v>
          </cell>
          <cell r="S73" t="str">
            <v>[]</v>
          </cell>
          <cell r="T73" t="str">
            <v>[]</v>
          </cell>
          <cell r="U73">
            <v>2</v>
          </cell>
          <cell r="V73">
            <v>6</v>
          </cell>
          <cell r="W73">
            <v>5</v>
          </cell>
          <cell r="X73">
            <v>15</v>
          </cell>
          <cell r="Y73">
            <v>8</v>
          </cell>
          <cell r="Z73">
            <v>1</v>
          </cell>
          <cell r="AA73">
            <v>0</v>
          </cell>
          <cell r="AB73">
            <v>0</v>
          </cell>
          <cell r="AC73">
            <v>3000</v>
          </cell>
          <cell r="AD73">
            <v>120</v>
          </cell>
          <cell r="AE73">
            <v>60</v>
          </cell>
          <cell r="AF73">
            <v>60</v>
          </cell>
          <cell r="AG73">
            <v>1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1</v>
          </cell>
          <cell r="AN73">
            <v>0</v>
          </cell>
          <cell r="AO73">
            <v>0</v>
          </cell>
          <cell r="AP73">
            <v>300</v>
          </cell>
          <cell r="AQ73">
            <v>12</v>
          </cell>
          <cell r="AR73">
            <v>6</v>
          </cell>
          <cell r="AS73">
            <v>6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 t="str">
            <v>2001|6</v>
          </cell>
          <cell r="AY73">
            <v>6</v>
          </cell>
          <cell r="AZ73" t="str">
            <v>10501,10502,10503,10504,10505,10506</v>
          </cell>
          <cell r="BA73" t="str">
            <v>2001|50</v>
          </cell>
          <cell r="BB73">
            <v>50</v>
          </cell>
          <cell r="BC73" t="str">
            <v>[]</v>
          </cell>
          <cell r="BD73" t="str">
            <v>[]</v>
          </cell>
          <cell r="BE73" t="str">
            <v>[]</v>
          </cell>
          <cell r="BF73">
            <v>40</v>
          </cell>
          <cell r="BG73">
            <v>2000</v>
          </cell>
          <cell r="BH73">
            <v>400</v>
          </cell>
          <cell r="BI73">
            <v>10058</v>
          </cell>
          <cell r="BJ73" t="str">
            <v>[]</v>
          </cell>
          <cell r="BK73">
            <v>0</v>
          </cell>
          <cell r="BL73">
            <v>50000</v>
          </cell>
          <cell r="BM73">
            <v>1.5</v>
          </cell>
          <cell r="BN73">
            <v>100</v>
          </cell>
          <cell r="BO73" t="str">
            <v>[]</v>
          </cell>
          <cell r="BP73">
            <v>1158</v>
          </cell>
          <cell r="BQ73" t="str">
            <v>[]</v>
          </cell>
          <cell r="BR73" t="str">
            <v>[]</v>
          </cell>
          <cell r="BS73" t="e">
            <v>#N/A</v>
          </cell>
          <cell r="BT73" t="str">
            <v>huli</v>
          </cell>
          <cell r="BU73" t="e">
            <v>#N/A</v>
          </cell>
          <cell r="BV73" t="str">
            <v>[]</v>
          </cell>
          <cell r="BW73" t="str">
            <v>3-6</v>
          </cell>
        </row>
        <row r="74">
          <cell r="A74">
            <v>1159</v>
          </cell>
          <cell r="B74" t="str">
            <v>狐狸-若火</v>
          </cell>
          <cell r="C74" t="str">
            <v>什么时候才能见到妲己姐姐呢？</v>
          </cell>
          <cell r="D74">
            <v>1</v>
          </cell>
          <cell r="E74">
            <v>4</v>
          </cell>
          <cell r="F74">
            <v>3</v>
          </cell>
          <cell r="G74">
            <v>3</v>
          </cell>
          <cell r="H74" t="str">
            <v>物攻型，负责物理输出</v>
          </cell>
          <cell r="I74">
            <v>150</v>
          </cell>
          <cell r="J74" t="str">
            <v>humeiren_attack</v>
          </cell>
          <cell r="K74">
            <v>10</v>
          </cell>
          <cell r="L74" t="str">
            <v>huoqiuzhadan_skill01,huo_humeiren_skill02</v>
          </cell>
          <cell r="M74" t="str">
            <v>common_fangyu,common_chaofeng</v>
          </cell>
          <cell r="N74" t="str">
            <v>head_huli_ruohuo</v>
          </cell>
          <cell r="O74" t="str">
            <v>lansebiankuang</v>
          </cell>
          <cell r="P74" t="str">
            <v>huli_ruohuo_actor</v>
          </cell>
          <cell r="Q74">
            <v>1</v>
          </cell>
          <cell r="R74" t="str">
            <v>[]</v>
          </cell>
          <cell r="S74" t="str">
            <v>[]</v>
          </cell>
          <cell r="T74" t="str">
            <v>[]</v>
          </cell>
          <cell r="U74">
            <v>2</v>
          </cell>
          <cell r="V74">
            <v>6</v>
          </cell>
          <cell r="W74">
            <v>5</v>
          </cell>
          <cell r="X74">
            <v>15</v>
          </cell>
          <cell r="Y74">
            <v>8</v>
          </cell>
          <cell r="Z74">
            <v>1</v>
          </cell>
          <cell r="AA74">
            <v>0</v>
          </cell>
          <cell r="AB74">
            <v>0</v>
          </cell>
          <cell r="AC74">
            <v>3000</v>
          </cell>
          <cell r="AD74">
            <v>120</v>
          </cell>
          <cell r="AE74">
            <v>60</v>
          </cell>
          <cell r="AF74">
            <v>60</v>
          </cell>
          <cell r="AG74">
            <v>1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1</v>
          </cell>
          <cell r="AN74">
            <v>0</v>
          </cell>
          <cell r="AO74">
            <v>0</v>
          </cell>
          <cell r="AP74">
            <v>300</v>
          </cell>
          <cell r="AQ74">
            <v>12</v>
          </cell>
          <cell r="AR74">
            <v>6</v>
          </cell>
          <cell r="AS74">
            <v>6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 t="str">
            <v>2001|6</v>
          </cell>
          <cell r="AY74">
            <v>6</v>
          </cell>
          <cell r="AZ74" t="str">
            <v>10501,10502,10503,10504,10505,10506</v>
          </cell>
          <cell r="BA74" t="str">
            <v>2001|50</v>
          </cell>
          <cell r="BB74">
            <v>50</v>
          </cell>
          <cell r="BC74" t="str">
            <v>[]</v>
          </cell>
          <cell r="BD74" t="str">
            <v>[]</v>
          </cell>
          <cell r="BE74" t="str">
            <v>[]</v>
          </cell>
          <cell r="BF74">
            <v>40</v>
          </cell>
          <cell r="BG74">
            <v>2000</v>
          </cell>
          <cell r="BH74">
            <v>400</v>
          </cell>
          <cell r="BI74">
            <v>10059</v>
          </cell>
          <cell r="BJ74" t="str">
            <v>[]</v>
          </cell>
          <cell r="BK74">
            <v>0</v>
          </cell>
          <cell r="BL74">
            <v>50000</v>
          </cell>
          <cell r="BM74">
            <v>1.5</v>
          </cell>
          <cell r="BN74">
            <v>100</v>
          </cell>
          <cell r="BO74" t="str">
            <v>[]</v>
          </cell>
          <cell r="BP74">
            <v>1159</v>
          </cell>
          <cell r="BQ74" t="str">
            <v>[]</v>
          </cell>
          <cell r="BR74" t="str">
            <v>[]</v>
          </cell>
          <cell r="BS74" t="e">
            <v>#N/A</v>
          </cell>
          <cell r="BT74" t="str">
            <v>huli</v>
          </cell>
          <cell r="BU74" t="e">
            <v>#N/A</v>
          </cell>
          <cell r="BV74" t="str">
            <v>[]</v>
          </cell>
          <cell r="BW74" t="str">
            <v>3-6</v>
          </cell>
        </row>
        <row r="75">
          <cell r="A75">
            <v>1162</v>
          </cell>
          <cell r="B75" t="str">
            <v>鲛人-嫦曦</v>
          </cell>
          <cell r="C75" t="str">
            <v>来听听我的安魂曲吧。</v>
          </cell>
          <cell r="D75">
            <v>1</v>
          </cell>
          <cell r="E75">
            <v>4</v>
          </cell>
          <cell r="F75">
            <v>2</v>
          </cell>
          <cell r="G75">
            <v>2</v>
          </cell>
          <cell r="H75" t="str">
            <v>法攻型，负责法术输出</v>
          </cell>
          <cell r="I75">
            <v>150</v>
          </cell>
          <cell r="J75" t="str">
            <v>jiaoren_attack</v>
          </cell>
          <cell r="K75">
            <v>10</v>
          </cell>
          <cell r="L75" t="str">
            <v>lijianxueren_skill01,jin_jiaoren_skill02</v>
          </cell>
          <cell r="M75" t="str">
            <v>common_fangyu,common_chaofeng</v>
          </cell>
          <cell r="N75" t="str">
            <v>head_jiaoren_changxi</v>
          </cell>
          <cell r="O75" t="str">
            <v>lansebiankuang</v>
          </cell>
          <cell r="P75" t="str">
            <v>jiaoren_yuechan_actor</v>
          </cell>
          <cell r="Q75">
            <v>1</v>
          </cell>
          <cell r="R75" t="str">
            <v>[]</v>
          </cell>
          <cell r="S75" t="str">
            <v>[]</v>
          </cell>
          <cell r="T75" t="str">
            <v>[]</v>
          </cell>
          <cell r="U75">
            <v>2</v>
          </cell>
          <cell r="V75">
            <v>6</v>
          </cell>
          <cell r="W75">
            <v>9</v>
          </cell>
          <cell r="X75">
            <v>15</v>
          </cell>
          <cell r="Y75">
            <v>8</v>
          </cell>
          <cell r="Z75">
            <v>0.8</v>
          </cell>
          <cell r="AA75">
            <v>0</v>
          </cell>
          <cell r="AB75">
            <v>0</v>
          </cell>
          <cell r="AC75">
            <v>3000</v>
          </cell>
          <cell r="AD75">
            <v>120</v>
          </cell>
          <cell r="AE75">
            <v>60</v>
          </cell>
          <cell r="AF75">
            <v>60</v>
          </cell>
          <cell r="AG75">
            <v>1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1</v>
          </cell>
          <cell r="AN75">
            <v>0</v>
          </cell>
          <cell r="AO75">
            <v>0</v>
          </cell>
          <cell r="AP75">
            <v>300</v>
          </cell>
          <cell r="AQ75">
            <v>12</v>
          </cell>
          <cell r="AR75">
            <v>6</v>
          </cell>
          <cell r="AS75">
            <v>6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 t="str">
            <v>2001|6</v>
          </cell>
          <cell r="AY75">
            <v>6</v>
          </cell>
          <cell r="AZ75" t="str">
            <v>10401,10402,10403,10404,10405,10406</v>
          </cell>
          <cell r="BA75" t="str">
            <v>2001|50</v>
          </cell>
          <cell r="BB75">
            <v>50</v>
          </cell>
          <cell r="BC75" t="str">
            <v>[]</v>
          </cell>
          <cell r="BD75" t="str">
            <v>[]</v>
          </cell>
          <cell r="BE75" t="str">
            <v>[]</v>
          </cell>
          <cell r="BF75">
            <v>40</v>
          </cell>
          <cell r="BG75">
            <v>2000</v>
          </cell>
          <cell r="BH75">
            <v>400</v>
          </cell>
          <cell r="BI75">
            <v>10062</v>
          </cell>
          <cell r="BJ75" t="str">
            <v>[]</v>
          </cell>
          <cell r="BK75">
            <v>0</v>
          </cell>
          <cell r="BL75">
            <v>10000</v>
          </cell>
          <cell r="BM75">
            <v>1</v>
          </cell>
          <cell r="BN75">
            <v>100</v>
          </cell>
          <cell r="BO75" t="str">
            <v>[]</v>
          </cell>
          <cell r="BP75">
            <v>1162</v>
          </cell>
          <cell r="BQ75" t="str">
            <v>[]</v>
          </cell>
          <cell r="BR75" t="str">
            <v>[]</v>
          </cell>
          <cell r="BS75" t="e">
            <v>#N/A</v>
          </cell>
          <cell r="BT75" t="str">
            <v>jiaoren</v>
          </cell>
          <cell r="BU75" t="e">
            <v>#N/A</v>
          </cell>
          <cell r="BV75" t="str">
            <v>[]</v>
          </cell>
          <cell r="BW75" t="str">
            <v>2-6</v>
          </cell>
        </row>
        <row r="76">
          <cell r="A76">
            <v>1163</v>
          </cell>
          <cell r="B76" t="str">
            <v>鲛人-月婵</v>
          </cell>
          <cell r="C76" t="str">
            <v>来听听我的安魂曲吧。</v>
          </cell>
          <cell r="D76">
            <v>1</v>
          </cell>
          <cell r="E76">
            <v>4</v>
          </cell>
          <cell r="F76">
            <v>2</v>
          </cell>
          <cell r="G76">
            <v>2</v>
          </cell>
          <cell r="H76" t="str">
            <v>法攻型，负责法术输出</v>
          </cell>
          <cell r="I76">
            <v>150</v>
          </cell>
          <cell r="J76" t="str">
            <v>jiaoren_attack</v>
          </cell>
          <cell r="K76">
            <v>10</v>
          </cell>
          <cell r="L76" t="str">
            <v>baofengxue_skill01,shui_jiaoren_skill02</v>
          </cell>
          <cell r="M76" t="str">
            <v>common_fangyu,common_chaofeng</v>
          </cell>
          <cell r="N76" t="str">
            <v>head_jiaoren_yuechan</v>
          </cell>
          <cell r="O76" t="str">
            <v>lansebiankuang</v>
          </cell>
          <cell r="P76" t="str">
            <v>jiaoren_yuechan_actor</v>
          </cell>
          <cell r="Q76">
            <v>1</v>
          </cell>
          <cell r="R76" t="str">
            <v>[]</v>
          </cell>
          <cell r="S76" t="str">
            <v>[]</v>
          </cell>
          <cell r="T76" t="str">
            <v>[]</v>
          </cell>
          <cell r="U76">
            <v>2</v>
          </cell>
          <cell r="V76">
            <v>6</v>
          </cell>
          <cell r="W76">
            <v>9</v>
          </cell>
          <cell r="X76">
            <v>15</v>
          </cell>
          <cell r="Y76">
            <v>8</v>
          </cell>
          <cell r="Z76">
            <v>0.8</v>
          </cell>
          <cell r="AA76">
            <v>0</v>
          </cell>
          <cell r="AB76">
            <v>0</v>
          </cell>
          <cell r="AC76">
            <v>3000</v>
          </cell>
          <cell r="AD76">
            <v>120</v>
          </cell>
          <cell r="AE76">
            <v>60</v>
          </cell>
          <cell r="AF76">
            <v>60</v>
          </cell>
          <cell r="AG76">
            <v>1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1</v>
          </cell>
          <cell r="AN76">
            <v>0</v>
          </cell>
          <cell r="AO76">
            <v>0</v>
          </cell>
          <cell r="AP76">
            <v>300</v>
          </cell>
          <cell r="AQ76">
            <v>12</v>
          </cell>
          <cell r="AR76">
            <v>6</v>
          </cell>
          <cell r="AS76">
            <v>6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 t="str">
            <v>2001|6</v>
          </cell>
          <cell r="AY76">
            <v>6</v>
          </cell>
          <cell r="AZ76" t="str">
            <v>10401,10402,10403,10404,10405,10406</v>
          </cell>
          <cell r="BA76" t="str">
            <v>2001|50</v>
          </cell>
          <cell r="BB76">
            <v>50</v>
          </cell>
          <cell r="BC76" t="str">
            <v>[]</v>
          </cell>
          <cell r="BD76" t="str">
            <v>[]</v>
          </cell>
          <cell r="BE76" t="str">
            <v>[]</v>
          </cell>
          <cell r="BF76">
            <v>40</v>
          </cell>
          <cell r="BG76">
            <v>2000</v>
          </cell>
          <cell r="BH76">
            <v>400</v>
          </cell>
          <cell r="BI76">
            <v>10063</v>
          </cell>
          <cell r="BJ76" t="str">
            <v>[]</v>
          </cell>
          <cell r="BK76">
            <v>0</v>
          </cell>
          <cell r="BL76">
            <v>10000</v>
          </cell>
          <cell r="BM76">
            <v>1</v>
          </cell>
          <cell r="BN76">
            <v>100</v>
          </cell>
          <cell r="BO76" t="str">
            <v>[]</v>
          </cell>
          <cell r="BP76">
            <v>1163</v>
          </cell>
          <cell r="BQ76" t="str">
            <v>[]</v>
          </cell>
          <cell r="BR76" t="str">
            <v>[]</v>
          </cell>
          <cell r="BS76" t="e">
            <v>#N/A</v>
          </cell>
          <cell r="BT76" t="str">
            <v>jiaoren</v>
          </cell>
          <cell r="BU76" t="e">
            <v>#N/A</v>
          </cell>
          <cell r="BV76" t="str">
            <v>[]</v>
          </cell>
          <cell r="BW76" t="str">
            <v>2-6</v>
          </cell>
        </row>
        <row r="77">
          <cell r="A77">
            <v>1153</v>
          </cell>
          <cell r="B77" t="str">
            <v>夜叉-金利</v>
          </cell>
          <cell r="C77" t="str">
            <v>巡海夜叉就是我！怕了吧！</v>
          </cell>
          <cell r="D77">
            <v>1</v>
          </cell>
          <cell r="E77">
            <v>4</v>
          </cell>
          <cell r="F77">
            <v>3</v>
          </cell>
          <cell r="G77">
            <v>3</v>
          </cell>
          <cell r="H77" t="str">
            <v>物攻型，负责物理输出</v>
          </cell>
          <cell r="I77">
            <v>150</v>
          </cell>
          <cell r="J77" t="str">
            <v>yecha_attack</v>
          </cell>
          <cell r="K77">
            <v>10</v>
          </cell>
          <cell r="L77" t="str">
            <v>jianqi_skill01</v>
          </cell>
          <cell r="M77" t="str">
            <v>common_fangyu,common_chaofeng</v>
          </cell>
          <cell r="N77" t="str">
            <v>head_yecha_jinli</v>
          </cell>
          <cell r="O77" t="str">
            <v>lvsebiankuang</v>
          </cell>
          <cell r="P77" t="str">
            <v>yecha_jinli_actor</v>
          </cell>
          <cell r="Q77">
            <v>1</v>
          </cell>
          <cell r="R77" t="str">
            <v>[]</v>
          </cell>
          <cell r="S77" t="str">
            <v>[]</v>
          </cell>
          <cell r="T77" t="str">
            <v>[]</v>
          </cell>
          <cell r="U77">
            <v>1</v>
          </cell>
          <cell r="V77">
            <v>2</v>
          </cell>
          <cell r="W77">
            <v>5</v>
          </cell>
          <cell r="X77">
            <v>15</v>
          </cell>
          <cell r="Y77">
            <v>8</v>
          </cell>
          <cell r="Z77">
            <v>1</v>
          </cell>
          <cell r="AA77">
            <v>0</v>
          </cell>
          <cell r="AB77">
            <v>0</v>
          </cell>
          <cell r="AC77">
            <v>2000</v>
          </cell>
          <cell r="AD77">
            <v>80</v>
          </cell>
          <cell r="AE77">
            <v>40</v>
          </cell>
          <cell r="AF77">
            <v>40</v>
          </cell>
          <cell r="AG77">
            <v>1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1</v>
          </cell>
          <cell r="AN77">
            <v>0</v>
          </cell>
          <cell r="AO77">
            <v>0</v>
          </cell>
          <cell r="AP77">
            <v>200</v>
          </cell>
          <cell r="AQ77">
            <v>8</v>
          </cell>
          <cell r="AR77">
            <v>4</v>
          </cell>
          <cell r="AS77">
            <v>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 t="str">
            <v>1001|4</v>
          </cell>
          <cell r="AY77">
            <v>4</v>
          </cell>
          <cell r="AZ77" t="str">
            <v>10601,10602,10603,10604</v>
          </cell>
          <cell r="BA77" t="str">
            <v>1001|50</v>
          </cell>
          <cell r="BB77">
            <v>50</v>
          </cell>
          <cell r="BC77" t="str">
            <v>[]</v>
          </cell>
          <cell r="BD77" t="str">
            <v>[]</v>
          </cell>
          <cell r="BE77" t="str">
            <v>[]</v>
          </cell>
          <cell r="BF77">
            <v>20</v>
          </cell>
          <cell r="BG77">
            <v>2000</v>
          </cell>
          <cell r="BH77">
            <v>400</v>
          </cell>
          <cell r="BI77">
            <v>10053</v>
          </cell>
          <cell r="BJ77" t="str">
            <v>[]</v>
          </cell>
          <cell r="BK77">
            <v>0</v>
          </cell>
          <cell r="BL77">
            <v>50000</v>
          </cell>
          <cell r="BM77">
            <v>1.5</v>
          </cell>
          <cell r="BN77">
            <v>100</v>
          </cell>
          <cell r="BO77" t="str">
            <v>[]</v>
          </cell>
          <cell r="BP77">
            <v>1153</v>
          </cell>
          <cell r="BQ77" t="str">
            <v>[]</v>
          </cell>
          <cell r="BR77" t="str">
            <v>[]</v>
          </cell>
          <cell r="BS77" t="e">
            <v>#N/A</v>
          </cell>
          <cell r="BT77" t="str">
            <v>yecha</v>
          </cell>
          <cell r="BU77" t="e">
            <v>#N/A</v>
          </cell>
          <cell r="BV77" t="str">
            <v>[]</v>
          </cell>
          <cell r="BW77" t="str">
            <v>3-2</v>
          </cell>
        </row>
        <row r="78">
          <cell r="A78">
            <v>1154</v>
          </cell>
          <cell r="B78" t="str">
            <v>夜叉-碧涛</v>
          </cell>
          <cell r="C78" t="str">
            <v>巡海夜叉就是我！怕了吧！</v>
          </cell>
          <cell r="D78">
            <v>1</v>
          </cell>
          <cell r="E78">
            <v>4</v>
          </cell>
          <cell r="F78">
            <v>3</v>
          </cell>
          <cell r="G78">
            <v>3</v>
          </cell>
          <cell r="H78" t="str">
            <v>物攻型，负责物理输出</v>
          </cell>
          <cell r="I78">
            <v>150</v>
          </cell>
          <cell r="J78" t="str">
            <v>yecha_attack</v>
          </cell>
          <cell r="K78">
            <v>10</v>
          </cell>
          <cell r="L78" t="str">
            <v>shuiwuqinshi_skill01</v>
          </cell>
          <cell r="M78" t="str">
            <v>common_fangyu,common_chaofeng</v>
          </cell>
          <cell r="N78" t="str">
            <v>head_yecha_bitao</v>
          </cell>
          <cell r="O78" t="str">
            <v>lvsebiankuang</v>
          </cell>
          <cell r="P78" t="str">
            <v>yecha_bitao_actor</v>
          </cell>
          <cell r="Q78">
            <v>1</v>
          </cell>
          <cell r="R78" t="str">
            <v>[]</v>
          </cell>
          <cell r="S78" t="str">
            <v>[]</v>
          </cell>
          <cell r="T78" t="str">
            <v>[]</v>
          </cell>
          <cell r="U78">
            <v>1</v>
          </cell>
          <cell r="V78">
            <v>2</v>
          </cell>
          <cell r="W78">
            <v>5</v>
          </cell>
          <cell r="X78">
            <v>15</v>
          </cell>
          <cell r="Y78">
            <v>8</v>
          </cell>
          <cell r="Z78">
            <v>1</v>
          </cell>
          <cell r="AA78">
            <v>0</v>
          </cell>
          <cell r="AB78">
            <v>0</v>
          </cell>
          <cell r="AC78">
            <v>2000</v>
          </cell>
          <cell r="AD78">
            <v>80</v>
          </cell>
          <cell r="AE78">
            <v>40</v>
          </cell>
          <cell r="AF78">
            <v>40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1</v>
          </cell>
          <cell r="AN78">
            <v>0</v>
          </cell>
          <cell r="AO78">
            <v>0</v>
          </cell>
          <cell r="AP78">
            <v>200</v>
          </cell>
          <cell r="AQ78">
            <v>8</v>
          </cell>
          <cell r="AR78">
            <v>4</v>
          </cell>
          <cell r="AS78">
            <v>4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 t="str">
            <v>1001|4</v>
          </cell>
          <cell r="AY78">
            <v>4</v>
          </cell>
          <cell r="AZ78" t="str">
            <v>10601,10602,10603,10604</v>
          </cell>
          <cell r="BA78" t="str">
            <v>1001|50</v>
          </cell>
          <cell r="BB78">
            <v>50</v>
          </cell>
          <cell r="BC78" t="str">
            <v>[]</v>
          </cell>
          <cell r="BD78" t="str">
            <v>[]</v>
          </cell>
          <cell r="BE78" t="str">
            <v>[]</v>
          </cell>
          <cell r="BF78">
            <v>20</v>
          </cell>
          <cell r="BG78">
            <v>2000</v>
          </cell>
          <cell r="BH78">
            <v>400</v>
          </cell>
          <cell r="BI78">
            <v>10054</v>
          </cell>
          <cell r="BJ78" t="str">
            <v>[]</v>
          </cell>
          <cell r="BK78">
            <v>0</v>
          </cell>
          <cell r="BL78">
            <v>50000</v>
          </cell>
          <cell r="BM78">
            <v>1.5</v>
          </cell>
          <cell r="BN78">
            <v>100</v>
          </cell>
          <cell r="BO78" t="str">
            <v>[]</v>
          </cell>
          <cell r="BP78">
            <v>1154</v>
          </cell>
          <cell r="BQ78" t="str">
            <v>[]</v>
          </cell>
          <cell r="BR78" t="str">
            <v>[]</v>
          </cell>
          <cell r="BS78" t="e">
            <v>#N/A</v>
          </cell>
          <cell r="BT78" t="str">
            <v>yecha</v>
          </cell>
          <cell r="BU78" t="e">
            <v>#N/A</v>
          </cell>
          <cell r="BV78" t="str">
            <v>[]</v>
          </cell>
          <cell r="BW78" t="str">
            <v>3-2</v>
          </cell>
        </row>
        <row r="79">
          <cell r="A79">
            <v>1164</v>
          </cell>
          <cell r="B79" t="str">
            <v>天兵-金斌</v>
          </cell>
          <cell r="C79" t="str">
            <v>缥缈天宫，由我来守护！</v>
          </cell>
          <cell r="D79">
            <v>1</v>
          </cell>
          <cell r="E79">
            <v>4</v>
          </cell>
          <cell r="F79">
            <v>3</v>
          </cell>
          <cell r="G79">
            <v>3</v>
          </cell>
          <cell r="H79" t="str">
            <v>物攻型，负责物理输出</v>
          </cell>
          <cell r="I79">
            <v>150</v>
          </cell>
          <cell r="J79" t="str">
            <v>tianbing_attack</v>
          </cell>
          <cell r="K79">
            <v>10</v>
          </cell>
          <cell r="L79" t="str">
            <v>jianqi_skill01</v>
          </cell>
          <cell r="M79" t="str">
            <v>common_fangyu,common_chaofeng</v>
          </cell>
          <cell r="N79" t="str">
            <v>head_tianbing_jinbing</v>
          </cell>
          <cell r="O79" t="str">
            <v>lvsebiankuang</v>
          </cell>
          <cell r="P79" t="str">
            <v>tianbing_jinbing_actor</v>
          </cell>
          <cell r="Q79">
            <v>1</v>
          </cell>
          <cell r="R79" t="str">
            <v>[]</v>
          </cell>
          <cell r="S79" t="str">
            <v>[]</v>
          </cell>
          <cell r="T79" t="str">
            <v>[]</v>
          </cell>
          <cell r="U79">
            <v>1</v>
          </cell>
          <cell r="V79">
            <v>2</v>
          </cell>
          <cell r="W79">
            <v>5</v>
          </cell>
          <cell r="X79">
            <v>15</v>
          </cell>
          <cell r="Y79">
            <v>8</v>
          </cell>
          <cell r="Z79">
            <v>1</v>
          </cell>
          <cell r="AA79">
            <v>0</v>
          </cell>
          <cell r="AB79">
            <v>0</v>
          </cell>
          <cell r="AC79">
            <v>2000</v>
          </cell>
          <cell r="AD79">
            <v>80</v>
          </cell>
          <cell r="AE79">
            <v>40</v>
          </cell>
          <cell r="AF79">
            <v>40</v>
          </cell>
          <cell r="AG79">
            <v>1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1</v>
          </cell>
          <cell r="AN79">
            <v>0</v>
          </cell>
          <cell r="AO79">
            <v>0</v>
          </cell>
          <cell r="AP79">
            <v>200</v>
          </cell>
          <cell r="AQ79">
            <v>8</v>
          </cell>
          <cell r="AR79">
            <v>4</v>
          </cell>
          <cell r="AS79">
            <v>4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 t="str">
            <v>1001|4</v>
          </cell>
          <cell r="AY79">
            <v>4</v>
          </cell>
          <cell r="AZ79" t="str">
            <v>10401,10402,10403,10404</v>
          </cell>
          <cell r="BA79" t="str">
            <v>1001|50</v>
          </cell>
          <cell r="BB79">
            <v>50</v>
          </cell>
          <cell r="BC79" t="str">
            <v>[]</v>
          </cell>
          <cell r="BD79" t="str">
            <v>[]</v>
          </cell>
          <cell r="BE79" t="str">
            <v>[]</v>
          </cell>
          <cell r="BF79">
            <v>20</v>
          </cell>
          <cell r="BG79">
            <v>500</v>
          </cell>
          <cell r="BH79">
            <v>100</v>
          </cell>
          <cell r="BI79">
            <v>10064</v>
          </cell>
          <cell r="BJ79" t="str">
            <v>[]</v>
          </cell>
          <cell r="BK79">
            <v>0</v>
          </cell>
          <cell r="BL79">
            <v>50000</v>
          </cell>
          <cell r="BM79">
            <v>1.5</v>
          </cell>
          <cell r="BN79">
            <v>100</v>
          </cell>
          <cell r="BO79" t="str">
            <v>[]</v>
          </cell>
          <cell r="BP79">
            <v>1164</v>
          </cell>
          <cell r="BQ79" t="str">
            <v>[]</v>
          </cell>
          <cell r="BR79" t="str">
            <v>[]</v>
          </cell>
          <cell r="BS79" t="e">
            <v>#N/A</v>
          </cell>
          <cell r="BT79" t="str">
            <v>tianbing</v>
          </cell>
          <cell r="BU79" t="e">
            <v>#N/A</v>
          </cell>
          <cell r="BV79" t="str">
            <v>[]</v>
          </cell>
          <cell r="BW79" t="str">
            <v>3-2</v>
          </cell>
        </row>
        <row r="80">
          <cell r="A80">
            <v>1165</v>
          </cell>
          <cell r="B80" t="str">
            <v>天兵-政仲</v>
          </cell>
          <cell r="C80" t="str">
            <v>缥缈天宫，由我来守护！</v>
          </cell>
          <cell r="D80">
            <v>1</v>
          </cell>
          <cell r="E80">
            <v>4</v>
          </cell>
          <cell r="F80">
            <v>3</v>
          </cell>
          <cell r="G80">
            <v>3</v>
          </cell>
          <cell r="H80" t="str">
            <v>物攻型，负责物理输出</v>
          </cell>
          <cell r="I80">
            <v>150</v>
          </cell>
          <cell r="J80" t="str">
            <v>tianbing_attack</v>
          </cell>
          <cell r="K80">
            <v>10</v>
          </cell>
          <cell r="L80" t="str">
            <v>leiji_skill01</v>
          </cell>
          <cell r="M80" t="str">
            <v>common_fangyu,common_chaofeng</v>
          </cell>
          <cell r="N80" t="str">
            <v>head_tianbing_zhengzhong</v>
          </cell>
          <cell r="O80" t="str">
            <v>lvsebiankuang</v>
          </cell>
          <cell r="P80" t="str">
            <v>tianbing_zhengzhong_actor</v>
          </cell>
          <cell r="Q80">
            <v>1</v>
          </cell>
          <cell r="R80" t="str">
            <v>[]</v>
          </cell>
          <cell r="S80" t="str">
            <v>[]</v>
          </cell>
          <cell r="T80" t="str">
            <v>[]</v>
          </cell>
          <cell r="U80">
            <v>1</v>
          </cell>
          <cell r="V80">
            <v>2</v>
          </cell>
          <cell r="W80">
            <v>5</v>
          </cell>
          <cell r="X80">
            <v>15</v>
          </cell>
          <cell r="Y80">
            <v>8</v>
          </cell>
          <cell r="Z80">
            <v>1</v>
          </cell>
          <cell r="AA80">
            <v>0</v>
          </cell>
          <cell r="AB80">
            <v>0</v>
          </cell>
          <cell r="AC80">
            <v>2000</v>
          </cell>
          <cell r="AD80">
            <v>80</v>
          </cell>
          <cell r="AE80">
            <v>40</v>
          </cell>
          <cell r="AF80">
            <v>40</v>
          </cell>
          <cell r="AG80">
            <v>1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1</v>
          </cell>
          <cell r="AN80">
            <v>0</v>
          </cell>
          <cell r="AO80">
            <v>0</v>
          </cell>
          <cell r="AP80">
            <v>200</v>
          </cell>
          <cell r="AQ80">
            <v>8</v>
          </cell>
          <cell r="AR80">
            <v>4</v>
          </cell>
          <cell r="AS80">
            <v>4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 t="str">
            <v>1001|4</v>
          </cell>
          <cell r="AY80">
            <v>4</v>
          </cell>
          <cell r="AZ80" t="str">
            <v>10401,10402,10403,10404</v>
          </cell>
          <cell r="BA80" t="str">
            <v>1001|50</v>
          </cell>
          <cell r="BB80">
            <v>50</v>
          </cell>
          <cell r="BC80" t="str">
            <v>[]</v>
          </cell>
          <cell r="BD80" t="str">
            <v>[]</v>
          </cell>
          <cell r="BE80" t="str">
            <v>[]</v>
          </cell>
          <cell r="BF80">
            <v>20</v>
          </cell>
          <cell r="BG80">
            <v>500</v>
          </cell>
          <cell r="BH80">
            <v>100</v>
          </cell>
          <cell r="BI80">
            <v>10065</v>
          </cell>
          <cell r="BJ80" t="str">
            <v>[]</v>
          </cell>
          <cell r="BK80">
            <v>0</v>
          </cell>
          <cell r="BL80">
            <v>50000</v>
          </cell>
          <cell r="BM80">
            <v>1.5</v>
          </cell>
          <cell r="BN80">
            <v>100</v>
          </cell>
          <cell r="BO80" t="str">
            <v>[]</v>
          </cell>
          <cell r="BP80">
            <v>1165</v>
          </cell>
          <cell r="BQ80" t="str">
            <v>[]</v>
          </cell>
          <cell r="BR80" t="str">
            <v>[]</v>
          </cell>
          <cell r="BS80" t="e">
            <v>#N/A</v>
          </cell>
          <cell r="BT80" t="str">
            <v>tianbing</v>
          </cell>
          <cell r="BU80" t="e">
            <v>#N/A</v>
          </cell>
          <cell r="BV80" t="str">
            <v>[]</v>
          </cell>
          <cell r="BW80" t="str">
            <v>3-2</v>
          </cell>
        </row>
        <row r="81">
          <cell r="A81">
            <v>1166</v>
          </cell>
          <cell r="B81" t="str">
            <v>天兵-火夕</v>
          </cell>
          <cell r="C81" t="str">
            <v>缥缈天宫，由我来守护！</v>
          </cell>
          <cell r="D81">
            <v>1</v>
          </cell>
          <cell r="E81">
            <v>4</v>
          </cell>
          <cell r="F81">
            <v>3</v>
          </cell>
          <cell r="G81">
            <v>3</v>
          </cell>
          <cell r="H81" t="str">
            <v>物攻型，负责物理输出</v>
          </cell>
          <cell r="I81">
            <v>150</v>
          </cell>
          <cell r="J81" t="str">
            <v>tianbing_attack</v>
          </cell>
          <cell r="K81">
            <v>10</v>
          </cell>
          <cell r="L81" t="str">
            <v>huoniao_skill01</v>
          </cell>
          <cell r="M81" t="str">
            <v>common_fangyu,common_chaofeng</v>
          </cell>
          <cell r="N81" t="str">
            <v>head_tianbing_huoxi</v>
          </cell>
          <cell r="O81" t="str">
            <v>lvsebiankuang</v>
          </cell>
          <cell r="P81" t="str">
            <v>tianbing_huoxi_actor</v>
          </cell>
          <cell r="Q81">
            <v>1</v>
          </cell>
          <cell r="R81" t="str">
            <v>[]</v>
          </cell>
          <cell r="S81" t="str">
            <v>[]</v>
          </cell>
          <cell r="T81" t="str">
            <v>[]</v>
          </cell>
          <cell r="U81">
            <v>1</v>
          </cell>
          <cell r="V81">
            <v>2</v>
          </cell>
          <cell r="W81">
            <v>5</v>
          </cell>
          <cell r="X81">
            <v>15</v>
          </cell>
          <cell r="Y81">
            <v>8</v>
          </cell>
          <cell r="Z81">
            <v>1</v>
          </cell>
          <cell r="AA81">
            <v>0</v>
          </cell>
          <cell r="AB81">
            <v>0</v>
          </cell>
          <cell r="AC81">
            <v>2000</v>
          </cell>
          <cell r="AD81">
            <v>80</v>
          </cell>
          <cell r="AE81">
            <v>40</v>
          </cell>
          <cell r="AF81">
            <v>40</v>
          </cell>
          <cell r="AG81">
            <v>1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1</v>
          </cell>
          <cell r="AN81">
            <v>0</v>
          </cell>
          <cell r="AO81">
            <v>0</v>
          </cell>
          <cell r="AP81">
            <v>200</v>
          </cell>
          <cell r="AQ81">
            <v>8</v>
          </cell>
          <cell r="AR81">
            <v>4</v>
          </cell>
          <cell r="AS81">
            <v>4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 t="str">
            <v>1001|4</v>
          </cell>
          <cell r="AY81">
            <v>4</v>
          </cell>
          <cell r="AZ81" t="str">
            <v>10401,10402,10403,10404</v>
          </cell>
          <cell r="BA81" t="str">
            <v>1001|50</v>
          </cell>
          <cell r="BB81">
            <v>50</v>
          </cell>
          <cell r="BC81" t="str">
            <v>[]</v>
          </cell>
          <cell r="BD81" t="str">
            <v>[]</v>
          </cell>
          <cell r="BE81" t="str">
            <v>[]</v>
          </cell>
          <cell r="BF81">
            <v>20</v>
          </cell>
          <cell r="BG81">
            <v>500</v>
          </cell>
          <cell r="BH81">
            <v>100</v>
          </cell>
          <cell r="BI81">
            <v>10066</v>
          </cell>
          <cell r="BJ81" t="str">
            <v>[]</v>
          </cell>
          <cell r="BK81">
            <v>0</v>
          </cell>
          <cell r="BL81">
            <v>50000</v>
          </cell>
          <cell r="BM81">
            <v>1.5</v>
          </cell>
          <cell r="BN81">
            <v>100</v>
          </cell>
          <cell r="BO81" t="str">
            <v>[]</v>
          </cell>
          <cell r="BP81">
            <v>1166</v>
          </cell>
          <cell r="BQ81" t="str">
            <v>[]</v>
          </cell>
          <cell r="BR81" t="str">
            <v>[]</v>
          </cell>
          <cell r="BS81" t="e">
            <v>#N/A</v>
          </cell>
          <cell r="BT81" t="str">
            <v>tianbing</v>
          </cell>
          <cell r="BU81" t="e">
            <v>#N/A</v>
          </cell>
          <cell r="BV81" t="str">
            <v>[]</v>
          </cell>
          <cell r="BW81" t="str">
            <v>3-2</v>
          </cell>
        </row>
        <row r="82">
          <cell r="A82">
            <v>1167</v>
          </cell>
          <cell r="B82" t="str">
            <v>狼人-霍金</v>
          </cell>
          <cell r="C82" t="str">
            <v>来呀！我们打一架吧！</v>
          </cell>
          <cell r="D82">
            <v>1</v>
          </cell>
          <cell r="E82">
            <v>4</v>
          </cell>
          <cell r="F82">
            <v>4</v>
          </cell>
          <cell r="G82">
            <v>4</v>
          </cell>
          <cell r="H82" t="str">
            <v>防御型，俗称肉盾，生命值高，防御力强</v>
          </cell>
          <cell r="I82">
            <v>150</v>
          </cell>
          <cell r="J82" t="str">
            <v>langren_attack</v>
          </cell>
          <cell r="K82">
            <v>10</v>
          </cell>
          <cell r="L82" t="str">
            <v>lijianxueren_skill01</v>
          </cell>
          <cell r="M82" t="str">
            <v>common_fangyu,common_chaofeng</v>
          </cell>
          <cell r="N82" t="str">
            <v>head_langren_huojing</v>
          </cell>
          <cell r="O82" t="str">
            <v>lvsebiankuang</v>
          </cell>
          <cell r="P82" t="str">
            <v>langren_huojing_actor</v>
          </cell>
          <cell r="Q82">
            <v>1</v>
          </cell>
          <cell r="R82" t="str">
            <v>[]</v>
          </cell>
          <cell r="S82" t="str">
            <v>[]</v>
          </cell>
          <cell r="T82" t="str">
            <v>[]</v>
          </cell>
          <cell r="U82">
            <v>1</v>
          </cell>
          <cell r="V82">
            <v>2</v>
          </cell>
          <cell r="W82">
            <v>3</v>
          </cell>
          <cell r="X82">
            <v>15</v>
          </cell>
          <cell r="Y82">
            <v>8</v>
          </cell>
          <cell r="Z82">
            <v>1</v>
          </cell>
          <cell r="AA82">
            <v>0</v>
          </cell>
          <cell r="AB82">
            <v>0</v>
          </cell>
          <cell r="AC82">
            <v>2000</v>
          </cell>
          <cell r="AD82">
            <v>80</v>
          </cell>
          <cell r="AE82">
            <v>40</v>
          </cell>
          <cell r="AF82">
            <v>40</v>
          </cell>
          <cell r="AG82">
            <v>1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1</v>
          </cell>
          <cell r="AN82">
            <v>0</v>
          </cell>
          <cell r="AO82">
            <v>0</v>
          </cell>
          <cell r="AP82">
            <v>200</v>
          </cell>
          <cell r="AQ82">
            <v>8</v>
          </cell>
          <cell r="AR82">
            <v>4</v>
          </cell>
          <cell r="AS82">
            <v>4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 t="str">
            <v>1001|4</v>
          </cell>
          <cell r="AY82">
            <v>4</v>
          </cell>
          <cell r="AZ82" t="str">
            <v>10101,10102,10103,10104</v>
          </cell>
          <cell r="BA82" t="str">
            <v>1001|50</v>
          </cell>
          <cell r="BB82">
            <v>50</v>
          </cell>
          <cell r="BC82" t="str">
            <v>[]</v>
          </cell>
          <cell r="BD82" t="str">
            <v>[]</v>
          </cell>
          <cell r="BE82" t="str">
            <v>[]</v>
          </cell>
          <cell r="BF82">
            <v>20</v>
          </cell>
          <cell r="BG82">
            <v>500</v>
          </cell>
          <cell r="BH82">
            <v>100</v>
          </cell>
          <cell r="BI82">
            <v>10067</v>
          </cell>
          <cell r="BJ82" t="str">
            <v>[]</v>
          </cell>
          <cell r="BK82">
            <v>0</v>
          </cell>
          <cell r="BL82">
            <v>100000</v>
          </cell>
          <cell r="BM82">
            <v>10</v>
          </cell>
          <cell r="BN82">
            <v>100</v>
          </cell>
          <cell r="BO82" t="str">
            <v>[]</v>
          </cell>
          <cell r="BP82">
            <v>1167</v>
          </cell>
          <cell r="BQ82" t="str">
            <v>[]</v>
          </cell>
          <cell r="BR82" t="str">
            <v>[]</v>
          </cell>
          <cell r="BS82" t="e">
            <v>#N/A</v>
          </cell>
          <cell r="BT82" t="str">
            <v>langren</v>
          </cell>
          <cell r="BU82" t="e">
            <v>#N/A</v>
          </cell>
          <cell r="BV82" t="str">
            <v>[]</v>
          </cell>
          <cell r="BW82" t="str">
            <v>4-2</v>
          </cell>
        </row>
        <row r="83">
          <cell r="A83">
            <v>1168</v>
          </cell>
          <cell r="B83" t="str">
            <v>狼人-霍文</v>
          </cell>
          <cell r="C83" t="str">
            <v>来呀！我们打一架吧！</v>
          </cell>
          <cell r="D83">
            <v>1</v>
          </cell>
          <cell r="E83">
            <v>4</v>
          </cell>
          <cell r="F83">
            <v>4</v>
          </cell>
          <cell r="G83">
            <v>4</v>
          </cell>
          <cell r="H83" t="str">
            <v>防御型，俗称肉盾，生命值高，防御力强</v>
          </cell>
          <cell r="I83">
            <v>150</v>
          </cell>
          <cell r="J83" t="str">
            <v>langren_attack</v>
          </cell>
          <cell r="K83">
            <v>10</v>
          </cell>
          <cell r="L83" t="str">
            <v>yingyan_skill01</v>
          </cell>
          <cell r="M83" t="str">
            <v>common_fangyu,common_chaofeng</v>
          </cell>
          <cell r="N83" t="str">
            <v>head_langren_huowen</v>
          </cell>
          <cell r="O83" t="str">
            <v>lvsebiankuang</v>
          </cell>
          <cell r="P83" t="str">
            <v>langren_huowen_actor</v>
          </cell>
          <cell r="Q83">
            <v>1</v>
          </cell>
          <cell r="R83" t="str">
            <v>[]</v>
          </cell>
          <cell r="S83" t="str">
            <v>[]</v>
          </cell>
          <cell r="T83" t="str">
            <v>[]</v>
          </cell>
          <cell r="U83">
            <v>1</v>
          </cell>
          <cell r="V83">
            <v>2</v>
          </cell>
          <cell r="W83">
            <v>3</v>
          </cell>
          <cell r="X83">
            <v>15</v>
          </cell>
          <cell r="Y83">
            <v>8</v>
          </cell>
          <cell r="Z83">
            <v>1</v>
          </cell>
          <cell r="AA83">
            <v>0</v>
          </cell>
          <cell r="AB83">
            <v>0</v>
          </cell>
          <cell r="AC83">
            <v>2000</v>
          </cell>
          <cell r="AD83">
            <v>80</v>
          </cell>
          <cell r="AE83">
            <v>40</v>
          </cell>
          <cell r="AF83">
            <v>40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1</v>
          </cell>
          <cell r="AN83">
            <v>0</v>
          </cell>
          <cell r="AO83">
            <v>0</v>
          </cell>
          <cell r="AP83">
            <v>200</v>
          </cell>
          <cell r="AQ83">
            <v>8</v>
          </cell>
          <cell r="AR83">
            <v>4</v>
          </cell>
          <cell r="AS83">
            <v>4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 t="str">
            <v>1001|4</v>
          </cell>
          <cell r="AY83">
            <v>4</v>
          </cell>
          <cell r="AZ83" t="str">
            <v>10101,10102,10103,10104</v>
          </cell>
          <cell r="BA83" t="str">
            <v>1001|50</v>
          </cell>
          <cell r="BB83">
            <v>50</v>
          </cell>
          <cell r="BC83" t="str">
            <v>[]</v>
          </cell>
          <cell r="BD83" t="str">
            <v>[]</v>
          </cell>
          <cell r="BE83" t="str">
            <v>[]</v>
          </cell>
          <cell r="BF83">
            <v>20</v>
          </cell>
          <cell r="BG83">
            <v>500</v>
          </cell>
          <cell r="BH83">
            <v>100</v>
          </cell>
          <cell r="BI83">
            <v>10068</v>
          </cell>
          <cell r="BJ83" t="str">
            <v>[]</v>
          </cell>
          <cell r="BK83">
            <v>0</v>
          </cell>
          <cell r="BL83">
            <v>100000</v>
          </cell>
          <cell r="BM83">
            <v>10</v>
          </cell>
          <cell r="BN83">
            <v>100</v>
          </cell>
          <cell r="BO83" t="str">
            <v>[]</v>
          </cell>
          <cell r="BP83">
            <v>1168</v>
          </cell>
          <cell r="BQ83" t="str">
            <v>[]</v>
          </cell>
          <cell r="BR83" t="str">
            <v>[]</v>
          </cell>
          <cell r="BS83" t="e">
            <v>#N/A</v>
          </cell>
          <cell r="BT83" t="str">
            <v>langren</v>
          </cell>
          <cell r="BU83" t="e">
            <v>#N/A</v>
          </cell>
          <cell r="BV83" t="str">
            <v>[]</v>
          </cell>
          <cell r="BW83" t="str">
            <v>4-2</v>
          </cell>
        </row>
        <row r="84">
          <cell r="A84">
            <v>1169</v>
          </cell>
          <cell r="B84" t="str">
            <v>狼人-霍达</v>
          </cell>
          <cell r="C84" t="str">
            <v>来呀！我们打一架吧！</v>
          </cell>
          <cell r="D84">
            <v>1</v>
          </cell>
          <cell r="E84">
            <v>4</v>
          </cell>
          <cell r="F84">
            <v>4</v>
          </cell>
          <cell r="G84">
            <v>4</v>
          </cell>
          <cell r="H84" t="str">
            <v>防御型，俗称肉盾，生命值高，防御力强</v>
          </cell>
          <cell r="I84">
            <v>150</v>
          </cell>
          <cell r="J84" t="str">
            <v>langren_attack</v>
          </cell>
          <cell r="K84">
            <v>10</v>
          </cell>
          <cell r="L84" t="str">
            <v>bingbao_skill01</v>
          </cell>
          <cell r="M84" t="str">
            <v>common_fangyu,common_chaofeng</v>
          </cell>
          <cell r="N84" t="str">
            <v>head_langren_huoda</v>
          </cell>
          <cell r="O84" t="str">
            <v>lvsebiankuang</v>
          </cell>
          <cell r="P84" t="str">
            <v>langren_huoda_actor</v>
          </cell>
          <cell r="Q84">
            <v>1</v>
          </cell>
          <cell r="R84" t="str">
            <v>[]</v>
          </cell>
          <cell r="S84" t="str">
            <v>[]</v>
          </cell>
          <cell r="T84" t="str">
            <v>[]</v>
          </cell>
          <cell r="U84">
            <v>1</v>
          </cell>
          <cell r="V84">
            <v>2</v>
          </cell>
          <cell r="W84">
            <v>3</v>
          </cell>
          <cell r="X84">
            <v>15</v>
          </cell>
          <cell r="Y84">
            <v>8</v>
          </cell>
          <cell r="Z84">
            <v>1</v>
          </cell>
          <cell r="AA84">
            <v>0</v>
          </cell>
          <cell r="AB84">
            <v>0</v>
          </cell>
          <cell r="AC84">
            <v>2000</v>
          </cell>
          <cell r="AD84">
            <v>80</v>
          </cell>
          <cell r="AE84">
            <v>40</v>
          </cell>
          <cell r="AF84">
            <v>40</v>
          </cell>
          <cell r="AG84">
            <v>1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1</v>
          </cell>
          <cell r="AN84">
            <v>0</v>
          </cell>
          <cell r="AO84">
            <v>0</v>
          </cell>
          <cell r="AP84">
            <v>200</v>
          </cell>
          <cell r="AQ84">
            <v>8</v>
          </cell>
          <cell r="AR84">
            <v>4</v>
          </cell>
          <cell r="AS84">
            <v>4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 t="str">
            <v>1001|4</v>
          </cell>
          <cell r="AY84">
            <v>4</v>
          </cell>
          <cell r="AZ84" t="str">
            <v>10101,10102,10103,10104</v>
          </cell>
          <cell r="BA84" t="str">
            <v>1001|50</v>
          </cell>
          <cell r="BB84">
            <v>50</v>
          </cell>
          <cell r="BC84" t="str">
            <v>[]</v>
          </cell>
          <cell r="BD84" t="str">
            <v>[]</v>
          </cell>
          <cell r="BE84" t="str">
            <v>[]</v>
          </cell>
          <cell r="BF84">
            <v>20</v>
          </cell>
          <cell r="BG84">
            <v>500</v>
          </cell>
          <cell r="BH84">
            <v>100</v>
          </cell>
          <cell r="BI84">
            <v>10069</v>
          </cell>
          <cell r="BJ84" t="str">
            <v>[]</v>
          </cell>
          <cell r="BK84">
            <v>0</v>
          </cell>
          <cell r="BL84">
            <v>100000</v>
          </cell>
          <cell r="BM84">
            <v>10</v>
          </cell>
          <cell r="BN84">
            <v>100</v>
          </cell>
          <cell r="BO84" t="str">
            <v>[]</v>
          </cell>
          <cell r="BP84">
            <v>1169</v>
          </cell>
          <cell r="BQ84" t="str">
            <v>[]</v>
          </cell>
          <cell r="BR84" t="str">
            <v>[]</v>
          </cell>
          <cell r="BS84" t="e">
            <v>#N/A</v>
          </cell>
          <cell r="BT84" t="str">
            <v>langren</v>
          </cell>
          <cell r="BU84" t="e">
            <v>#N/A</v>
          </cell>
          <cell r="BV84" t="str">
            <v>[]</v>
          </cell>
          <cell r="BW84" t="str">
            <v>4-2</v>
          </cell>
        </row>
        <row r="85">
          <cell r="A85">
            <v>1170</v>
          </cell>
          <cell r="B85" t="str">
            <v>狼人-霍格</v>
          </cell>
          <cell r="C85" t="str">
            <v>来呀！我们打一架吧！</v>
          </cell>
          <cell r="D85">
            <v>1</v>
          </cell>
          <cell r="E85">
            <v>4</v>
          </cell>
          <cell r="F85">
            <v>4</v>
          </cell>
          <cell r="G85">
            <v>4</v>
          </cell>
          <cell r="H85" t="str">
            <v>防御型，俗称肉盾，生命值高，防御力强</v>
          </cell>
          <cell r="I85">
            <v>150</v>
          </cell>
          <cell r="J85" t="str">
            <v>langren_attack</v>
          </cell>
          <cell r="K85">
            <v>10</v>
          </cell>
          <cell r="L85" t="str">
            <v>rexuebaofa_skill01</v>
          </cell>
          <cell r="M85" t="str">
            <v>common_fangyu,common_chaofeng</v>
          </cell>
          <cell r="N85" t="str">
            <v>head_langren_huoge</v>
          </cell>
          <cell r="O85" t="str">
            <v>lvsebiankuang</v>
          </cell>
          <cell r="P85" t="str">
            <v>langren_huoge_actor</v>
          </cell>
          <cell r="Q85">
            <v>1</v>
          </cell>
          <cell r="R85" t="str">
            <v>[]</v>
          </cell>
          <cell r="S85" t="str">
            <v>[]</v>
          </cell>
          <cell r="T85" t="str">
            <v>[]</v>
          </cell>
          <cell r="U85">
            <v>1</v>
          </cell>
          <cell r="V85">
            <v>2</v>
          </cell>
          <cell r="W85">
            <v>3</v>
          </cell>
          <cell r="X85">
            <v>15</v>
          </cell>
          <cell r="Y85">
            <v>8</v>
          </cell>
          <cell r="Z85">
            <v>1</v>
          </cell>
          <cell r="AA85">
            <v>0</v>
          </cell>
          <cell r="AB85">
            <v>0</v>
          </cell>
          <cell r="AC85">
            <v>2000</v>
          </cell>
          <cell r="AD85">
            <v>80</v>
          </cell>
          <cell r="AE85">
            <v>40</v>
          </cell>
          <cell r="AF85">
            <v>40</v>
          </cell>
          <cell r="AG85">
            <v>1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0</v>
          </cell>
          <cell r="AO85">
            <v>0</v>
          </cell>
          <cell r="AP85">
            <v>200</v>
          </cell>
          <cell r="AQ85">
            <v>8</v>
          </cell>
          <cell r="AR85">
            <v>4</v>
          </cell>
          <cell r="AS85">
            <v>4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 t="str">
            <v>1001|4</v>
          </cell>
          <cell r="AY85">
            <v>4</v>
          </cell>
          <cell r="AZ85" t="str">
            <v>10101,10102,10103,10104</v>
          </cell>
          <cell r="BA85" t="str">
            <v>1001|50</v>
          </cell>
          <cell r="BB85">
            <v>50</v>
          </cell>
          <cell r="BC85" t="str">
            <v>[]</v>
          </cell>
          <cell r="BD85" t="str">
            <v>[]</v>
          </cell>
          <cell r="BE85" t="str">
            <v>[]</v>
          </cell>
          <cell r="BF85">
            <v>20</v>
          </cell>
          <cell r="BG85">
            <v>500</v>
          </cell>
          <cell r="BH85">
            <v>100</v>
          </cell>
          <cell r="BI85">
            <v>10070</v>
          </cell>
          <cell r="BJ85" t="str">
            <v>[]</v>
          </cell>
          <cell r="BK85">
            <v>0</v>
          </cell>
          <cell r="BL85">
            <v>100000</v>
          </cell>
          <cell r="BM85">
            <v>10</v>
          </cell>
          <cell r="BN85">
            <v>100</v>
          </cell>
          <cell r="BO85" t="str">
            <v>[]</v>
          </cell>
          <cell r="BP85">
            <v>1170</v>
          </cell>
          <cell r="BQ85" t="str">
            <v>[]</v>
          </cell>
          <cell r="BR85" t="str">
            <v>[]</v>
          </cell>
          <cell r="BS85" t="e">
            <v>#N/A</v>
          </cell>
          <cell r="BT85" t="str">
            <v>langren</v>
          </cell>
          <cell r="BU85" t="e">
            <v>#N/A</v>
          </cell>
          <cell r="BV85" t="str">
            <v>[]</v>
          </cell>
          <cell r="BW85" t="str">
            <v>4-2</v>
          </cell>
        </row>
        <row r="86">
          <cell r="A86">
            <v>1171</v>
          </cell>
          <cell r="B86" t="str">
            <v>狼人-霍武</v>
          </cell>
          <cell r="C86" t="str">
            <v>来呀！我们打一架吧！</v>
          </cell>
          <cell r="D86">
            <v>1</v>
          </cell>
          <cell r="E86">
            <v>4</v>
          </cell>
          <cell r="F86">
            <v>4</v>
          </cell>
          <cell r="G86">
            <v>4</v>
          </cell>
          <cell r="H86" t="str">
            <v>防御型，俗称肉盾，生命值高，防御力强</v>
          </cell>
          <cell r="I86">
            <v>150</v>
          </cell>
          <cell r="J86" t="str">
            <v>langren_attack</v>
          </cell>
          <cell r="K86">
            <v>10</v>
          </cell>
          <cell r="L86" t="str">
            <v>dicituxi_skill01</v>
          </cell>
          <cell r="M86" t="str">
            <v>common_fangyu,common_chaofeng</v>
          </cell>
          <cell r="N86" t="str">
            <v>head_langren_huowu</v>
          </cell>
          <cell r="O86" t="str">
            <v>lvsebiankuang</v>
          </cell>
          <cell r="P86" t="str">
            <v>langren_huowu_actor</v>
          </cell>
          <cell r="Q86">
            <v>1</v>
          </cell>
          <cell r="R86" t="str">
            <v>[]</v>
          </cell>
          <cell r="S86" t="str">
            <v>[]</v>
          </cell>
          <cell r="T86" t="str">
            <v>[]</v>
          </cell>
          <cell r="U86">
            <v>1</v>
          </cell>
          <cell r="V86">
            <v>2</v>
          </cell>
          <cell r="W86">
            <v>3</v>
          </cell>
          <cell r="X86">
            <v>15</v>
          </cell>
          <cell r="Y86">
            <v>8</v>
          </cell>
          <cell r="Z86">
            <v>1</v>
          </cell>
          <cell r="AA86">
            <v>0</v>
          </cell>
          <cell r="AB86">
            <v>0</v>
          </cell>
          <cell r="AC86">
            <v>2000</v>
          </cell>
          <cell r="AD86">
            <v>80</v>
          </cell>
          <cell r="AE86">
            <v>40</v>
          </cell>
          <cell r="AF86">
            <v>40</v>
          </cell>
          <cell r="AG86">
            <v>1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1</v>
          </cell>
          <cell r="AN86">
            <v>0</v>
          </cell>
          <cell r="AO86">
            <v>0</v>
          </cell>
          <cell r="AP86">
            <v>200</v>
          </cell>
          <cell r="AQ86">
            <v>8</v>
          </cell>
          <cell r="AR86">
            <v>4</v>
          </cell>
          <cell r="AS86">
            <v>4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 t="str">
            <v>1001|4</v>
          </cell>
          <cell r="AY86">
            <v>4</v>
          </cell>
          <cell r="AZ86" t="str">
            <v>10101,10102,10103,10104</v>
          </cell>
          <cell r="BA86" t="str">
            <v>1001|50</v>
          </cell>
          <cell r="BB86">
            <v>50</v>
          </cell>
          <cell r="BC86" t="str">
            <v>[]</v>
          </cell>
          <cell r="BD86" t="str">
            <v>[]</v>
          </cell>
          <cell r="BE86" t="str">
            <v>[]</v>
          </cell>
          <cell r="BF86">
            <v>20</v>
          </cell>
          <cell r="BG86">
            <v>500</v>
          </cell>
          <cell r="BH86">
            <v>100</v>
          </cell>
          <cell r="BI86">
            <v>10071</v>
          </cell>
          <cell r="BJ86" t="str">
            <v>[]</v>
          </cell>
          <cell r="BK86">
            <v>0</v>
          </cell>
          <cell r="BL86">
            <v>100000</v>
          </cell>
          <cell r="BM86">
            <v>10</v>
          </cell>
          <cell r="BN86">
            <v>100</v>
          </cell>
          <cell r="BO86" t="str">
            <v>[]</v>
          </cell>
          <cell r="BP86">
            <v>1171</v>
          </cell>
          <cell r="BQ86" t="str">
            <v>[]</v>
          </cell>
          <cell r="BR86" t="str">
            <v>[]</v>
          </cell>
          <cell r="BS86" t="e">
            <v>#N/A</v>
          </cell>
          <cell r="BT86" t="str">
            <v>langren</v>
          </cell>
          <cell r="BU86" t="e">
            <v>#N/A</v>
          </cell>
          <cell r="BV86" t="str">
            <v>[]</v>
          </cell>
          <cell r="BW86" t="str">
            <v>4-2</v>
          </cell>
        </row>
        <row r="87">
          <cell r="A87">
            <v>1176</v>
          </cell>
          <cell r="B87" t="str">
            <v>骷髅-德明</v>
          </cell>
          <cell r="C87" t="str">
            <v>理想总是很丰满，奈何现实太过骨感！</v>
          </cell>
          <cell r="D87">
            <v>1</v>
          </cell>
          <cell r="E87">
            <v>4</v>
          </cell>
          <cell r="F87">
            <v>3</v>
          </cell>
          <cell r="G87">
            <v>3</v>
          </cell>
          <cell r="H87" t="str">
            <v>物攻型，负责物理输出</v>
          </cell>
          <cell r="I87">
            <v>150</v>
          </cell>
          <cell r="J87" t="str">
            <v>kuloubing_attack</v>
          </cell>
          <cell r="K87">
            <v>10</v>
          </cell>
          <cell r="L87" t="str">
            <v>duchi_skill01</v>
          </cell>
          <cell r="M87" t="str">
            <v>common_fangyu,common_chaofeng</v>
          </cell>
          <cell r="N87" t="str">
            <v>head_kulou_deming</v>
          </cell>
          <cell r="O87" t="str">
            <v>lvsebiankuang</v>
          </cell>
          <cell r="P87" t="str">
            <v>kulou_deming_actor</v>
          </cell>
          <cell r="Q87">
            <v>1</v>
          </cell>
          <cell r="R87" t="str">
            <v>[]</v>
          </cell>
          <cell r="S87" t="str">
            <v>[]</v>
          </cell>
          <cell r="T87" t="str">
            <v>[]</v>
          </cell>
          <cell r="U87">
            <v>1</v>
          </cell>
          <cell r="V87">
            <v>2</v>
          </cell>
          <cell r="W87">
            <v>5</v>
          </cell>
          <cell r="X87">
            <v>15</v>
          </cell>
          <cell r="Y87">
            <v>8</v>
          </cell>
          <cell r="Z87">
            <v>1</v>
          </cell>
          <cell r="AA87">
            <v>0</v>
          </cell>
          <cell r="AB87">
            <v>0</v>
          </cell>
          <cell r="AC87">
            <v>2000</v>
          </cell>
          <cell r="AD87">
            <v>80</v>
          </cell>
          <cell r="AE87">
            <v>40</v>
          </cell>
          <cell r="AF87">
            <v>40</v>
          </cell>
          <cell r="AG87">
            <v>1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1</v>
          </cell>
          <cell r="AN87">
            <v>0</v>
          </cell>
          <cell r="AO87">
            <v>0</v>
          </cell>
          <cell r="AP87">
            <v>200</v>
          </cell>
          <cell r="AQ87">
            <v>8</v>
          </cell>
          <cell r="AR87">
            <v>4</v>
          </cell>
          <cell r="AS87">
            <v>4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 t="str">
            <v>1001|4</v>
          </cell>
          <cell r="AY87">
            <v>4</v>
          </cell>
          <cell r="AZ87" t="str">
            <v>10501,10502,10503,10504</v>
          </cell>
          <cell r="BA87" t="str">
            <v>1001|50</v>
          </cell>
          <cell r="BB87">
            <v>50</v>
          </cell>
          <cell r="BC87" t="str">
            <v>[]</v>
          </cell>
          <cell r="BD87" t="str">
            <v>[]</v>
          </cell>
          <cell r="BE87" t="str">
            <v>[]</v>
          </cell>
          <cell r="BF87">
            <v>20</v>
          </cell>
          <cell r="BG87">
            <v>500</v>
          </cell>
          <cell r="BH87">
            <v>100</v>
          </cell>
          <cell r="BI87">
            <v>10076</v>
          </cell>
          <cell r="BJ87" t="str">
            <v>[]</v>
          </cell>
          <cell r="BK87">
            <v>0</v>
          </cell>
          <cell r="BL87">
            <v>50000</v>
          </cell>
          <cell r="BM87">
            <v>1.5</v>
          </cell>
          <cell r="BN87">
            <v>100</v>
          </cell>
          <cell r="BO87" t="str">
            <v>[]</v>
          </cell>
          <cell r="BP87">
            <v>1176</v>
          </cell>
          <cell r="BQ87" t="str">
            <v>[]</v>
          </cell>
          <cell r="BR87" t="str">
            <v>[]</v>
          </cell>
          <cell r="BS87" t="e">
            <v>#N/A</v>
          </cell>
          <cell r="BT87" t="str">
            <v>kulou</v>
          </cell>
          <cell r="BU87" t="e">
            <v>#N/A</v>
          </cell>
          <cell r="BV87" t="str">
            <v>[]</v>
          </cell>
          <cell r="BW87" t="str">
            <v>3-2</v>
          </cell>
        </row>
        <row r="88">
          <cell r="A88">
            <v>1177</v>
          </cell>
          <cell r="B88" t="str">
            <v>骷髅-奇伟</v>
          </cell>
          <cell r="C88" t="str">
            <v>理想总是很丰满，奈何现实太过骨感！</v>
          </cell>
          <cell r="D88">
            <v>1</v>
          </cell>
          <cell r="E88">
            <v>4</v>
          </cell>
          <cell r="F88">
            <v>3</v>
          </cell>
          <cell r="G88">
            <v>3</v>
          </cell>
          <cell r="H88" t="str">
            <v>物攻型，负责物理输出</v>
          </cell>
          <cell r="I88">
            <v>150</v>
          </cell>
          <cell r="J88" t="str">
            <v>kuloubing_attack</v>
          </cell>
          <cell r="K88">
            <v>10</v>
          </cell>
          <cell r="L88" t="str">
            <v>shuiwuqinshi_skill01</v>
          </cell>
          <cell r="M88" t="str">
            <v>common_fangyu,common_chaofeng</v>
          </cell>
          <cell r="N88" t="str">
            <v>head_kulou_qiwei</v>
          </cell>
          <cell r="O88" t="str">
            <v>lvsebiankuang</v>
          </cell>
          <cell r="P88" t="str">
            <v>kulou_qiwei_actor</v>
          </cell>
          <cell r="Q88">
            <v>1</v>
          </cell>
          <cell r="R88" t="str">
            <v>[]</v>
          </cell>
          <cell r="S88" t="str">
            <v>[]</v>
          </cell>
          <cell r="T88" t="str">
            <v>[]</v>
          </cell>
          <cell r="U88">
            <v>1</v>
          </cell>
          <cell r="V88">
            <v>2</v>
          </cell>
          <cell r="W88">
            <v>5</v>
          </cell>
          <cell r="X88">
            <v>15</v>
          </cell>
          <cell r="Y88">
            <v>8</v>
          </cell>
          <cell r="Z88">
            <v>1</v>
          </cell>
          <cell r="AA88">
            <v>0</v>
          </cell>
          <cell r="AB88">
            <v>0</v>
          </cell>
          <cell r="AC88">
            <v>2000</v>
          </cell>
          <cell r="AD88">
            <v>80</v>
          </cell>
          <cell r="AE88">
            <v>40</v>
          </cell>
          <cell r="AF88">
            <v>40</v>
          </cell>
          <cell r="AG88">
            <v>1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1</v>
          </cell>
          <cell r="AN88">
            <v>0</v>
          </cell>
          <cell r="AO88">
            <v>0</v>
          </cell>
          <cell r="AP88">
            <v>200</v>
          </cell>
          <cell r="AQ88">
            <v>8</v>
          </cell>
          <cell r="AR88">
            <v>4</v>
          </cell>
          <cell r="AS88">
            <v>4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 t="str">
            <v>1001|4</v>
          </cell>
          <cell r="AY88">
            <v>4</v>
          </cell>
          <cell r="AZ88" t="str">
            <v>10501,10502,10503,10504</v>
          </cell>
          <cell r="BA88" t="str">
            <v>1001|50</v>
          </cell>
          <cell r="BB88">
            <v>50</v>
          </cell>
          <cell r="BC88" t="str">
            <v>[]</v>
          </cell>
          <cell r="BD88" t="str">
            <v>[]</v>
          </cell>
          <cell r="BE88" t="str">
            <v>[]</v>
          </cell>
          <cell r="BF88">
            <v>20</v>
          </cell>
          <cell r="BG88">
            <v>500</v>
          </cell>
          <cell r="BH88">
            <v>100</v>
          </cell>
          <cell r="BI88">
            <v>10077</v>
          </cell>
          <cell r="BJ88" t="str">
            <v>[]</v>
          </cell>
          <cell r="BK88">
            <v>0</v>
          </cell>
          <cell r="BL88">
            <v>50000</v>
          </cell>
          <cell r="BM88">
            <v>1.5</v>
          </cell>
          <cell r="BN88">
            <v>100</v>
          </cell>
          <cell r="BO88" t="str">
            <v>[]</v>
          </cell>
          <cell r="BP88">
            <v>1177</v>
          </cell>
          <cell r="BQ88" t="str">
            <v>[]</v>
          </cell>
          <cell r="BR88" t="str">
            <v>[]</v>
          </cell>
          <cell r="BS88" t="e">
            <v>#N/A</v>
          </cell>
          <cell r="BT88" t="str">
            <v>kulou</v>
          </cell>
          <cell r="BU88" t="e">
            <v>#N/A</v>
          </cell>
          <cell r="BV88" t="str">
            <v>[]</v>
          </cell>
          <cell r="BW88" t="str">
            <v>3-2</v>
          </cell>
        </row>
        <row r="89">
          <cell r="A89">
            <v>1178</v>
          </cell>
          <cell r="B89" t="str">
            <v>骷髅-德元</v>
          </cell>
          <cell r="C89" t="str">
            <v>理想总是很丰满，奈何现实太过骨感！</v>
          </cell>
          <cell r="D89">
            <v>1</v>
          </cell>
          <cell r="E89">
            <v>4</v>
          </cell>
          <cell r="F89">
            <v>3</v>
          </cell>
          <cell r="G89">
            <v>3</v>
          </cell>
          <cell r="H89" t="str">
            <v>物攻型，负责物理输出</v>
          </cell>
          <cell r="I89">
            <v>150</v>
          </cell>
          <cell r="J89" t="str">
            <v>kuloubing_attack</v>
          </cell>
          <cell r="K89">
            <v>10</v>
          </cell>
          <cell r="L89" t="str">
            <v>rexuebaofa_skill01</v>
          </cell>
          <cell r="M89" t="str">
            <v>common_fangyu,common_chaofeng</v>
          </cell>
          <cell r="N89" t="str">
            <v>head_kulou_deyuan</v>
          </cell>
          <cell r="O89" t="str">
            <v>lvsebiankuang</v>
          </cell>
          <cell r="P89" t="str">
            <v>kulou_deyuan_actor</v>
          </cell>
          <cell r="Q89">
            <v>1</v>
          </cell>
          <cell r="R89" t="str">
            <v>[]</v>
          </cell>
          <cell r="S89" t="str">
            <v>[]</v>
          </cell>
          <cell r="T89" t="str">
            <v>[]</v>
          </cell>
          <cell r="U89">
            <v>1</v>
          </cell>
          <cell r="V89">
            <v>2</v>
          </cell>
          <cell r="W89">
            <v>5</v>
          </cell>
          <cell r="X89">
            <v>15</v>
          </cell>
          <cell r="Y89">
            <v>8</v>
          </cell>
          <cell r="Z89">
            <v>1</v>
          </cell>
          <cell r="AA89">
            <v>0</v>
          </cell>
          <cell r="AB89">
            <v>0</v>
          </cell>
          <cell r="AC89">
            <v>2000</v>
          </cell>
          <cell r="AD89">
            <v>80</v>
          </cell>
          <cell r="AE89">
            <v>40</v>
          </cell>
          <cell r="AF89">
            <v>40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1</v>
          </cell>
          <cell r="AN89">
            <v>0</v>
          </cell>
          <cell r="AO89">
            <v>0</v>
          </cell>
          <cell r="AP89">
            <v>200</v>
          </cell>
          <cell r="AQ89">
            <v>8</v>
          </cell>
          <cell r="AR89">
            <v>4</v>
          </cell>
          <cell r="AS89">
            <v>4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 t="str">
            <v>1001|4</v>
          </cell>
          <cell r="AY89">
            <v>4</v>
          </cell>
          <cell r="AZ89" t="str">
            <v>10501,10502,10503,10504</v>
          </cell>
          <cell r="BA89" t="str">
            <v>1001|50</v>
          </cell>
          <cell r="BB89">
            <v>50</v>
          </cell>
          <cell r="BC89" t="str">
            <v>[]</v>
          </cell>
          <cell r="BD89" t="str">
            <v>[]</v>
          </cell>
          <cell r="BE89" t="str">
            <v>[]</v>
          </cell>
          <cell r="BF89">
            <v>20</v>
          </cell>
          <cell r="BG89">
            <v>500</v>
          </cell>
          <cell r="BH89">
            <v>100</v>
          </cell>
          <cell r="BI89">
            <v>10078</v>
          </cell>
          <cell r="BJ89" t="str">
            <v>[]</v>
          </cell>
          <cell r="BK89">
            <v>0</v>
          </cell>
          <cell r="BL89">
            <v>50000</v>
          </cell>
          <cell r="BM89">
            <v>1.5</v>
          </cell>
          <cell r="BN89">
            <v>100</v>
          </cell>
          <cell r="BO89" t="str">
            <v>[]</v>
          </cell>
          <cell r="BP89">
            <v>1178</v>
          </cell>
          <cell r="BQ89" t="str">
            <v>[]</v>
          </cell>
          <cell r="BR89" t="str">
            <v>[]</v>
          </cell>
          <cell r="BS89" t="e">
            <v>#N/A</v>
          </cell>
          <cell r="BT89" t="str">
            <v>kulou</v>
          </cell>
          <cell r="BU89" t="e">
            <v>#N/A</v>
          </cell>
          <cell r="BV89" t="str">
            <v>[]</v>
          </cell>
          <cell r="BW89" t="str">
            <v>3-2</v>
          </cell>
        </row>
        <row r="90">
          <cell r="A90">
            <v>1179</v>
          </cell>
          <cell r="B90" t="str">
            <v>骷髅-彭泽</v>
          </cell>
          <cell r="C90" t="str">
            <v>理想总是很丰满，奈何现实太过骨感！</v>
          </cell>
          <cell r="D90">
            <v>1</v>
          </cell>
          <cell r="E90">
            <v>4</v>
          </cell>
          <cell r="F90">
            <v>3</v>
          </cell>
          <cell r="G90">
            <v>3</v>
          </cell>
          <cell r="H90" t="str">
            <v>物攻型，负责物理输出</v>
          </cell>
          <cell r="I90">
            <v>150</v>
          </cell>
          <cell r="J90" t="str">
            <v>kuloubing_attack</v>
          </cell>
          <cell r="K90">
            <v>10</v>
          </cell>
          <cell r="L90" t="str">
            <v>feishazoushi_skill01</v>
          </cell>
          <cell r="M90" t="str">
            <v>common_fangyu,common_chaofeng</v>
          </cell>
          <cell r="N90" t="str">
            <v>head_kulou_pengze</v>
          </cell>
          <cell r="O90" t="str">
            <v>lvsebiankuang</v>
          </cell>
          <cell r="P90" t="str">
            <v>kulou_pengze_actor</v>
          </cell>
          <cell r="Q90">
            <v>1</v>
          </cell>
          <cell r="R90" t="str">
            <v>[]</v>
          </cell>
          <cell r="S90" t="str">
            <v>[]</v>
          </cell>
          <cell r="T90" t="str">
            <v>[]</v>
          </cell>
          <cell r="U90">
            <v>1</v>
          </cell>
          <cell r="V90">
            <v>2</v>
          </cell>
          <cell r="W90">
            <v>5</v>
          </cell>
          <cell r="X90">
            <v>15</v>
          </cell>
          <cell r="Y90">
            <v>8</v>
          </cell>
          <cell r="Z90">
            <v>1</v>
          </cell>
          <cell r="AA90">
            <v>0</v>
          </cell>
          <cell r="AB90">
            <v>0</v>
          </cell>
          <cell r="AC90">
            <v>2000</v>
          </cell>
          <cell r="AD90">
            <v>80</v>
          </cell>
          <cell r="AE90">
            <v>40</v>
          </cell>
          <cell r="AF90">
            <v>40</v>
          </cell>
          <cell r="AG90">
            <v>1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1</v>
          </cell>
          <cell r="AN90">
            <v>0</v>
          </cell>
          <cell r="AO90">
            <v>0</v>
          </cell>
          <cell r="AP90">
            <v>200</v>
          </cell>
          <cell r="AQ90">
            <v>8</v>
          </cell>
          <cell r="AR90">
            <v>4</v>
          </cell>
          <cell r="AS90">
            <v>4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 t="str">
            <v>1001|4</v>
          </cell>
          <cell r="AY90">
            <v>4</v>
          </cell>
          <cell r="AZ90" t="str">
            <v>10501,10502,10503,10504</v>
          </cell>
          <cell r="BA90" t="str">
            <v>1001|50</v>
          </cell>
          <cell r="BB90">
            <v>50</v>
          </cell>
          <cell r="BC90" t="str">
            <v>[]</v>
          </cell>
          <cell r="BD90" t="str">
            <v>[]</v>
          </cell>
          <cell r="BE90" t="str">
            <v>[]</v>
          </cell>
          <cell r="BF90">
            <v>20</v>
          </cell>
          <cell r="BG90">
            <v>500</v>
          </cell>
          <cell r="BH90">
            <v>100</v>
          </cell>
          <cell r="BI90">
            <v>10079</v>
          </cell>
          <cell r="BJ90" t="str">
            <v>[]</v>
          </cell>
          <cell r="BK90">
            <v>0</v>
          </cell>
          <cell r="BL90">
            <v>50000</v>
          </cell>
          <cell r="BM90">
            <v>1.5</v>
          </cell>
          <cell r="BN90">
            <v>100</v>
          </cell>
          <cell r="BO90" t="str">
            <v>[]</v>
          </cell>
          <cell r="BP90">
            <v>1179</v>
          </cell>
          <cell r="BQ90" t="str">
            <v>[]</v>
          </cell>
          <cell r="BR90" t="str">
            <v>[]</v>
          </cell>
          <cell r="BS90" t="e">
            <v>#N/A</v>
          </cell>
          <cell r="BT90" t="str">
            <v>kulou</v>
          </cell>
          <cell r="BU90" t="e">
            <v>#N/A</v>
          </cell>
          <cell r="BV90" t="str">
            <v>[]</v>
          </cell>
          <cell r="BW90" t="str">
            <v>3-2</v>
          </cell>
        </row>
        <row r="91">
          <cell r="A91">
            <v>1180</v>
          </cell>
          <cell r="B91" t="str">
            <v>蜘蛛-元瑶</v>
          </cell>
          <cell r="C91" t="str">
            <v>小看我可是会丢了性命的！</v>
          </cell>
          <cell r="D91">
            <v>1</v>
          </cell>
          <cell r="E91">
            <v>4</v>
          </cell>
          <cell r="F91">
            <v>2</v>
          </cell>
          <cell r="G91">
            <v>2</v>
          </cell>
          <cell r="H91" t="str">
            <v>法攻型，负责法术输出</v>
          </cell>
          <cell r="I91">
            <v>150</v>
          </cell>
          <cell r="J91" t="str">
            <v>zhizhu_attack</v>
          </cell>
          <cell r="K91">
            <v>10</v>
          </cell>
          <cell r="L91" t="str">
            <v>jianqi_skill01</v>
          </cell>
          <cell r="M91" t="str">
            <v>common_fangyu,common_chaofeng</v>
          </cell>
          <cell r="N91" t="str">
            <v>head_zhizhu_yuanyao</v>
          </cell>
          <cell r="O91" t="str">
            <v>lvsebiankuang</v>
          </cell>
          <cell r="P91" t="str">
            <v>zhizhu_yuanyao_actor</v>
          </cell>
          <cell r="Q91">
            <v>1</v>
          </cell>
          <cell r="R91" t="str">
            <v>[]</v>
          </cell>
          <cell r="S91" t="str">
            <v>[]</v>
          </cell>
          <cell r="T91" t="str">
            <v>[]</v>
          </cell>
          <cell r="U91">
            <v>1</v>
          </cell>
          <cell r="V91">
            <v>2</v>
          </cell>
          <cell r="W91">
            <v>9</v>
          </cell>
          <cell r="X91">
            <v>15</v>
          </cell>
          <cell r="Y91">
            <v>8</v>
          </cell>
          <cell r="Z91">
            <v>0.8</v>
          </cell>
          <cell r="AA91">
            <v>0</v>
          </cell>
          <cell r="AB91">
            <v>0</v>
          </cell>
          <cell r="AC91">
            <v>2000</v>
          </cell>
          <cell r="AD91">
            <v>80</v>
          </cell>
          <cell r="AE91">
            <v>40</v>
          </cell>
          <cell r="AF91">
            <v>40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1</v>
          </cell>
          <cell r="AN91">
            <v>0</v>
          </cell>
          <cell r="AO91">
            <v>0</v>
          </cell>
          <cell r="AP91">
            <v>200</v>
          </cell>
          <cell r="AQ91">
            <v>8</v>
          </cell>
          <cell r="AR91">
            <v>4</v>
          </cell>
          <cell r="AS91">
            <v>4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 t="str">
            <v>1001|4</v>
          </cell>
          <cell r="AY91">
            <v>4</v>
          </cell>
          <cell r="AZ91" t="str">
            <v>10601,10602,10603,10604</v>
          </cell>
          <cell r="BA91" t="str">
            <v>1001|50</v>
          </cell>
          <cell r="BB91">
            <v>50</v>
          </cell>
          <cell r="BC91" t="str">
            <v>[]</v>
          </cell>
          <cell r="BD91" t="str">
            <v>[]</v>
          </cell>
          <cell r="BE91" t="str">
            <v>[]</v>
          </cell>
          <cell r="BF91">
            <v>20</v>
          </cell>
          <cell r="BG91">
            <v>500</v>
          </cell>
          <cell r="BH91">
            <v>100</v>
          </cell>
          <cell r="BI91">
            <v>10080</v>
          </cell>
          <cell r="BJ91" t="str">
            <v>[]</v>
          </cell>
          <cell r="BK91">
            <v>0</v>
          </cell>
          <cell r="BL91">
            <v>10000</v>
          </cell>
          <cell r="BM91">
            <v>1</v>
          </cell>
          <cell r="BN91">
            <v>100</v>
          </cell>
          <cell r="BO91" t="str">
            <v>[]</v>
          </cell>
          <cell r="BP91">
            <v>1180</v>
          </cell>
          <cell r="BQ91" t="str">
            <v>[]</v>
          </cell>
          <cell r="BR91" t="str">
            <v>[]</v>
          </cell>
          <cell r="BS91" t="e">
            <v>#N/A</v>
          </cell>
          <cell r="BT91" t="str">
            <v>zhizhu</v>
          </cell>
          <cell r="BU91" t="e">
            <v>#N/A</v>
          </cell>
          <cell r="BV91" t="str">
            <v>[]</v>
          </cell>
          <cell r="BW91" t="str">
            <v>2-2</v>
          </cell>
        </row>
        <row r="92">
          <cell r="A92">
            <v>1181</v>
          </cell>
          <cell r="B92" t="str">
            <v>蜘蛛-怜寒</v>
          </cell>
          <cell r="C92" t="str">
            <v>小看我可是会丢了性命的！</v>
          </cell>
          <cell r="D92">
            <v>1</v>
          </cell>
          <cell r="E92">
            <v>4</v>
          </cell>
          <cell r="F92">
            <v>2</v>
          </cell>
          <cell r="G92">
            <v>2</v>
          </cell>
          <cell r="H92" t="str">
            <v>法攻型，负责法术输出</v>
          </cell>
          <cell r="I92">
            <v>150</v>
          </cell>
          <cell r="J92" t="str">
            <v>zhizhu_attack</v>
          </cell>
          <cell r="K92">
            <v>10</v>
          </cell>
          <cell r="L92" t="str">
            <v>shuiwuqinshi_skill01</v>
          </cell>
          <cell r="M92" t="str">
            <v>common_fangyu,common_chaofeng</v>
          </cell>
          <cell r="N92" t="str">
            <v>head_zhizhu_lianhan</v>
          </cell>
          <cell r="O92" t="str">
            <v>lvsebiankuang</v>
          </cell>
          <cell r="P92" t="str">
            <v>zhizhu_lianhan_actor</v>
          </cell>
          <cell r="Q92">
            <v>1</v>
          </cell>
          <cell r="R92" t="str">
            <v>[]</v>
          </cell>
          <cell r="S92" t="str">
            <v>[]</v>
          </cell>
          <cell r="T92" t="str">
            <v>[]</v>
          </cell>
          <cell r="U92">
            <v>1</v>
          </cell>
          <cell r="V92">
            <v>2</v>
          </cell>
          <cell r="W92">
            <v>9</v>
          </cell>
          <cell r="X92">
            <v>15</v>
          </cell>
          <cell r="Y92">
            <v>8</v>
          </cell>
          <cell r="Z92">
            <v>0.8</v>
          </cell>
          <cell r="AA92">
            <v>0</v>
          </cell>
          <cell r="AB92">
            <v>0</v>
          </cell>
          <cell r="AC92">
            <v>2000</v>
          </cell>
          <cell r="AD92">
            <v>80</v>
          </cell>
          <cell r="AE92">
            <v>40</v>
          </cell>
          <cell r="AF92">
            <v>40</v>
          </cell>
          <cell r="AG92">
            <v>1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1</v>
          </cell>
          <cell r="AN92">
            <v>0</v>
          </cell>
          <cell r="AO92">
            <v>0</v>
          </cell>
          <cell r="AP92">
            <v>200</v>
          </cell>
          <cell r="AQ92">
            <v>8</v>
          </cell>
          <cell r="AR92">
            <v>4</v>
          </cell>
          <cell r="AS92">
            <v>4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 t="str">
            <v>1001|4</v>
          </cell>
          <cell r="AY92">
            <v>4</v>
          </cell>
          <cell r="AZ92" t="str">
            <v>10601,10602,10603,10604</v>
          </cell>
          <cell r="BA92" t="str">
            <v>1001|50</v>
          </cell>
          <cell r="BB92">
            <v>50</v>
          </cell>
          <cell r="BC92" t="str">
            <v>[]</v>
          </cell>
          <cell r="BD92" t="str">
            <v>[]</v>
          </cell>
          <cell r="BE92" t="str">
            <v>[]</v>
          </cell>
          <cell r="BF92">
            <v>20</v>
          </cell>
          <cell r="BG92">
            <v>500</v>
          </cell>
          <cell r="BH92">
            <v>100</v>
          </cell>
          <cell r="BI92">
            <v>10081</v>
          </cell>
          <cell r="BJ92" t="str">
            <v>[]</v>
          </cell>
          <cell r="BK92">
            <v>0</v>
          </cell>
          <cell r="BL92">
            <v>10000</v>
          </cell>
          <cell r="BM92">
            <v>1</v>
          </cell>
          <cell r="BN92">
            <v>100</v>
          </cell>
          <cell r="BO92" t="str">
            <v>[]</v>
          </cell>
          <cell r="BP92">
            <v>1181</v>
          </cell>
          <cell r="BQ92" t="str">
            <v>[]</v>
          </cell>
          <cell r="BR92" t="str">
            <v>[]</v>
          </cell>
          <cell r="BS92" t="e">
            <v>#N/A</v>
          </cell>
          <cell r="BT92" t="str">
            <v>zhizhu</v>
          </cell>
          <cell r="BU92" t="e">
            <v>#N/A</v>
          </cell>
          <cell r="BV92" t="str">
            <v>[]</v>
          </cell>
          <cell r="BW92" t="str">
            <v>2-2</v>
          </cell>
        </row>
        <row r="93">
          <cell r="A93">
            <v>1182</v>
          </cell>
          <cell r="B93" t="str">
            <v>蜘蛛-盼香</v>
          </cell>
          <cell r="C93" t="str">
            <v>小看我可是会丢了性命的！</v>
          </cell>
          <cell r="D93">
            <v>1</v>
          </cell>
          <cell r="E93">
            <v>4</v>
          </cell>
          <cell r="F93">
            <v>2</v>
          </cell>
          <cell r="G93">
            <v>2</v>
          </cell>
          <cell r="H93" t="str">
            <v>法攻型，负责法术输出</v>
          </cell>
          <cell r="I93">
            <v>150</v>
          </cell>
          <cell r="J93" t="str">
            <v>zhizhu_attack</v>
          </cell>
          <cell r="K93">
            <v>10</v>
          </cell>
          <cell r="L93" t="str">
            <v>dicituxi_skill01</v>
          </cell>
          <cell r="M93" t="str">
            <v>common_fangyu,common_chaofeng</v>
          </cell>
          <cell r="N93" t="str">
            <v>head_zhizhu_panxiang</v>
          </cell>
          <cell r="O93" t="str">
            <v>lvsebiankuang</v>
          </cell>
          <cell r="P93" t="str">
            <v>zhizhu_panxiang_actor</v>
          </cell>
          <cell r="Q93">
            <v>1</v>
          </cell>
          <cell r="R93" t="str">
            <v>[]</v>
          </cell>
          <cell r="S93" t="str">
            <v>[]</v>
          </cell>
          <cell r="T93" t="str">
            <v>[]</v>
          </cell>
          <cell r="U93">
            <v>1</v>
          </cell>
          <cell r="V93">
            <v>2</v>
          </cell>
          <cell r="W93">
            <v>9</v>
          </cell>
          <cell r="X93">
            <v>15</v>
          </cell>
          <cell r="Y93">
            <v>8</v>
          </cell>
          <cell r="Z93">
            <v>0.8</v>
          </cell>
          <cell r="AA93">
            <v>0</v>
          </cell>
          <cell r="AB93">
            <v>0</v>
          </cell>
          <cell r="AC93">
            <v>2000</v>
          </cell>
          <cell r="AD93">
            <v>80</v>
          </cell>
          <cell r="AE93">
            <v>40</v>
          </cell>
          <cell r="AF93">
            <v>40</v>
          </cell>
          <cell r="AG93">
            <v>1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1</v>
          </cell>
          <cell r="AN93">
            <v>0</v>
          </cell>
          <cell r="AO93">
            <v>0</v>
          </cell>
          <cell r="AP93">
            <v>200</v>
          </cell>
          <cell r="AQ93">
            <v>8</v>
          </cell>
          <cell r="AR93">
            <v>4</v>
          </cell>
          <cell r="AS93">
            <v>4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 t="str">
            <v>1001|4</v>
          </cell>
          <cell r="AY93">
            <v>4</v>
          </cell>
          <cell r="AZ93" t="str">
            <v>10601,10602,10603,10604</v>
          </cell>
          <cell r="BA93" t="str">
            <v>1001|50</v>
          </cell>
          <cell r="BB93">
            <v>50</v>
          </cell>
          <cell r="BC93" t="str">
            <v>[]</v>
          </cell>
          <cell r="BD93" t="str">
            <v>[]</v>
          </cell>
          <cell r="BE93" t="str">
            <v>[]</v>
          </cell>
          <cell r="BF93">
            <v>20</v>
          </cell>
          <cell r="BG93">
            <v>500</v>
          </cell>
          <cell r="BH93">
            <v>100</v>
          </cell>
          <cell r="BI93">
            <v>10082</v>
          </cell>
          <cell r="BJ93" t="str">
            <v>[]</v>
          </cell>
          <cell r="BK93">
            <v>0</v>
          </cell>
          <cell r="BL93">
            <v>10000</v>
          </cell>
          <cell r="BM93">
            <v>1</v>
          </cell>
          <cell r="BN93">
            <v>100</v>
          </cell>
          <cell r="BO93" t="str">
            <v>[]</v>
          </cell>
          <cell r="BP93">
            <v>1182</v>
          </cell>
          <cell r="BQ93" t="str">
            <v>[]</v>
          </cell>
          <cell r="BR93" t="str">
            <v>[]</v>
          </cell>
          <cell r="BS93" t="e">
            <v>#N/A</v>
          </cell>
          <cell r="BT93" t="str">
            <v>zhizhu</v>
          </cell>
          <cell r="BU93" t="e">
            <v>#N/A</v>
          </cell>
          <cell r="BV93" t="str">
            <v>[]</v>
          </cell>
          <cell r="BW93" t="str">
            <v>2-2</v>
          </cell>
        </row>
        <row r="94">
          <cell r="A94">
            <v>1185</v>
          </cell>
          <cell r="B94" t="str">
            <v>女鬼-歆瑶</v>
          </cell>
          <cell r="C94" t="str">
            <v>想试试鬼爪的厉害么？</v>
          </cell>
          <cell r="D94">
            <v>1</v>
          </cell>
          <cell r="E94">
            <v>4</v>
          </cell>
          <cell r="F94">
            <v>3</v>
          </cell>
          <cell r="G94">
            <v>3</v>
          </cell>
          <cell r="H94" t="str">
            <v>物攻型，负责物理输出</v>
          </cell>
          <cell r="I94">
            <v>150</v>
          </cell>
          <cell r="J94" t="str">
            <v>nvgui_attack</v>
          </cell>
          <cell r="K94">
            <v>10</v>
          </cell>
          <cell r="L94" t="str">
            <v>lijianxueren_skill01</v>
          </cell>
          <cell r="M94" t="str">
            <v>common_fangyu,common_chaofeng</v>
          </cell>
          <cell r="N94" t="str">
            <v>head_nvgui_xinyao</v>
          </cell>
          <cell r="O94" t="str">
            <v>lvsebiankuang</v>
          </cell>
          <cell r="P94" t="str">
            <v>nvgui_xinyao_actor</v>
          </cell>
          <cell r="Q94">
            <v>1</v>
          </cell>
          <cell r="R94" t="str">
            <v>[]</v>
          </cell>
          <cell r="S94" t="str">
            <v>[]</v>
          </cell>
          <cell r="T94" t="str">
            <v>[]</v>
          </cell>
          <cell r="U94">
            <v>1</v>
          </cell>
          <cell r="V94">
            <v>2</v>
          </cell>
          <cell r="W94">
            <v>5</v>
          </cell>
          <cell r="X94">
            <v>15</v>
          </cell>
          <cell r="Y94">
            <v>8</v>
          </cell>
          <cell r="Z94">
            <v>1</v>
          </cell>
          <cell r="AA94">
            <v>0</v>
          </cell>
          <cell r="AB94">
            <v>0</v>
          </cell>
          <cell r="AC94">
            <v>2000</v>
          </cell>
          <cell r="AD94">
            <v>80</v>
          </cell>
          <cell r="AE94">
            <v>40</v>
          </cell>
          <cell r="AF94">
            <v>40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1</v>
          </cell>
          <cell r="AN94">
            <v>0</v>
          </cell>
          <cell r="AO94">
            <v>0</v>
          </cell>
          <cell r="AP94">
            <v>200</v>
          </cell>
          <cell r="AQ94">
            <v>8</v>
          </cell>
          <cell r="AR94">
            <v>4</v>
          </cell>
          <cell r="AS94">
            <v>4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 t="str">
            <v>1001|4</v>
          </cell>
          <cell r="AY94">
            <v>4</v>
          </cell>
          <cell r="AZ94" t="str">
            <v>10601,10602,10603,10604</v>
          </cell>
          <cell r="BA94" t="str">
            <v>1001|50</v>
          </cell>
          <cell r="BB94">
            <v>50</v>
          </cell>
          <cell r="BC94" t="str">
            <v>[]</v>
          </cell>
          <cell r="BD94" t="str">
            <v>[]</v>
          </cell>
          <cell r="BE94" t="str">
            <v>[]</v>
          </cell>
          <cell r="BF94">
            <v>20</v>
          </cell>
          <cell r="BG94">
            <v>500</v>
          </cell>
          <cell r="BH94">
            <v>100</v>
          </cell>
          <cell r="BI94">
            <v>10085</v>
          </cell>
          <cell r="BJ94" t="str">
            <v>[]</v>
          </cell>
          <cell r="BK94">
            <v>0</v>
          </cell>
          <cell r="BL94">
            <v>50000</v>
          </cell>
          <cell r="BM94">
            <v>1.5</v>
          </cell>
          <cell r="BN94">
            <v>100</v>
          </cell>
          <cell r="BO94" t="str">
            <v>[]</v>
          </cell>
          <cell r="BP94">
            <v>1185</v>
          </cell>
          <cell r="BQ94" t="str">
            <v>[]</v>
          </cell>
          <cell r="BR94" t="str">
            <v>[]</v>
          </cell>
          <cell r="BS94" t="e">
            <v>#N/A</v>
          </cell>
          <cell r="BT94" t="str">
            <v>nvgui</v>
          </cell>
          <cell r="BU94" t="e">
            <v>#N/A</v>
          </cell>
          <cell r="BV94" t="str">
            <v>[]</v>
          </cell>
          <cell r="BW94" t="str">
            <v>3-2</v>
          </cell>
        </row>
        <row r="95">
          <cell r="A95">
            <v>1186</v>
          </cell>
          <cell r="B95" t="str">
            <v>女鬼-桑榆</v>
          </cell>
          <cell r="C95" t="str">
            <v>想试试鬼爪的厉害么？</v>
          </cell>
          <cell r="D95">
            <v>1</v>
          </cell>
          <cell r="E95">
            <v>4</v>
          </cell>
          <cell r="F95">
            <v>3</v>
          </cell>
          <cell r="G95">
            <v>3</v>
          </cell>
          <cell r="H95" t="str">
            <v>物攻型，负责物理输出</v>
          </cell>
          <cell r="I95">
            <v>150</v>
          </cell>
          <cell r="J95" t="str">
            <v>nvgui_attack</v>
          </cell>
          <cell r="K95">
            <v>10</v>
          </cell>
          <cell r="L95" t="str">
            <v>duchi_skill01</v>
          </cell>
          <cell r="M95" t="str">
            <v>common_fangyu,common_chaofeng</v>
          </cell>
          <cell r="N95" t="str">
            <v>head_nvgui_sangyu</v>
          </cell>
          <cell r="O95" t="str">
            <v>lvsebiankuang</v>
          </cell>
          <cell r="P95" t="str">
            <v>nvgui_sangyu_actor</v>
          </cell>
          <cell r="Q95">
            <v>1</v>
          </cell>
          <cell r="R95" t="str">
            <v>[]</v>
          </cell>
          <cell r="S95" t="str">
            <v>[]</v>
          </cell>
          <cell r="T95" t="str">
            <v>[]</v>
          </cell>
          <cell r="U95">
            <v>1</v>
          </cell>
          <cell r="V95">
            <v>2</v>
          </cell>
          <cell r="W95">
            <v>5</v>
          </cell>
          <cell r="X95">
            <v>15</v>
          </cell>
          <cell r="Y95">
            <v>8</v>
          </cell>
          <cell r="Z95">
            <v>1</v>
          </cell>
          <cell r="AA95">
            <v>0</v>
          </cell>
          <cell r="AB95">
            <v>0</v>
          </cell>
          <cell r="AC95">
            <v>2000</v>
          </cell>
          <cell r="AD95">
            <v>80</v>
          </cell>
          <cell r="AE95">
            <v>40</v>
          </cell>
          <cell r="AF95">
            <v>40</v>
          </cell>
          <cell r="AG95">
            <v>1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1</v>
          </cell>
          <cell r="AN95">
            <v>0</v>
          </cell>
          <cell r="AO95">
            <v>0</v>
          </cell>
          <cell r="AP95">
            <v>200</v>
          </cell>
          <cell r="AQ95">
            <v>8</v>
          </cell>
          <cell r="AR95">
            <v>4</v>
          </cell>
          <cell r="AS95">
            <v>4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 t="str">
            <v>1001|4</v>
          </cell>
          <cell r="AY95">
            <v>4</v>
          </cell>
          <cell r="AZ95" t="str">
            <v>10601,10602,10603,10604</v>
          </cell>
          <cell r="BA95" t="str">
            <v>1001|50</v>
          </cell>
          <cell r="BB95">
            <v>50</v>
          </cell>
          <cell r="BC95" t="str">
            <v>[]</v>
          </cell>
          <cell r="BD95" t="str">
            <v>[]</v>
          </cell>
          <cell r="BE95" t="str">
            <v>[]</v>
          </cell>
          <cell r="BF95">
            <v>20</v>
          </cell>
          <cell r="BG95">
            <v>500</v>
          </cell>
          <cell r="BH95">
            <v>100</v>
          </cell>
          <cell r="BI95">
            <v>10086</v>
          </cell>
          <cell r="BJ95" t="str">
            <v>[]</v>
          </cell>
          <cell r="BK95">
            <v>0</v>
          </cell>
          <cell r="BL95">
            <v>50000</v>
          </cell>
          <cell r="BM95">
            <v>1.5</v>
          </cell>
          <cell r="BN95">
            <v>100</v>
          </cell>
          <cell r="BO95" t="str">
            <v>[]</v>
          </cell>
          <cell r="BP95">
            <v>1186</v>
          </cell>
          <cell r="BQ95" t="str">
            <v>[]</v>
          </cell>
          <cell r="BR95" t="str">
            <v>[]</v>
          </cell>
          <cell r="BS95" t="e">
            <v>#N/A</v>
          </cell>
          <cell r="BT95" t="str">
            <v>nvgui</v>
          </cell>
          <cell r="BU95" t="e">
            <v>#N/A</v>
          </cell>
          <cell r="BV95" t="str">
            <v>[]</v>
          </cell>
          <cell r="BW95" t="str">
            <v>3-2</v>
          </cell>
        </row>
        <row r="96">
          <cell r="A96">
            <v>1187</v>
          </cell>
          <cell r="B96" t="str">
            <v>女鬼-语嫣</v>
          </cell>
          <cell r="C96" t="str">
            <v>想试试鬼爪的厉害么？</v>
          </cell>
          <cell r="D96">
            <v>1</v>
          </cell>
          <cell r="E96">
            <v>4</v>
          </cell>
          <cell r="F96">
            <v>3</v>
          </cell>
          <cell r="G96">
            <v>3</v>
          </cell>
          <cell r="H96" t="str">
            <v>物攻型，负责物理输出</v>
          </cell>
          <cell r="I96">
            <v>150</v>
          </cell>
          <cell r="J96" t="str">
            <v>nvgui_attack</v>
          </cell>
          <cell r="K96">
            <v>10</v>
          </cell>
          <cell r="L96" t="str">
            <v>baofengxue_skill01</v>
          </cell>
          <cell r="M96" t="str">
            <v>common_fangyu,common_chaofeng</v>
          </cell>
          <cell r="N96" t="str">
            <v>head_nvgui_yuyan</v>
          </cell>
          <cell r="O96" t="str">
            <v>lvsebiankuang</v>
          </cell>
          <cell r="P96" t="str">
            <v>nvgui_yuyan_actor</v>
          </cell>
          <cell r="Q96">
            <v>1</v>
          </cell>
          <cell r="R96" t="str">
            <v>[]</v>
          </cell>
          <cell r="S96" t="str">
            <v>[]</v>
          </cell>
          <cell r="T96" t="str">
            <v>[]</v>
          </cell>
          <cell r="U96">
            <v>1</v>
          </cell>
          <cell r="V96">
            <v>2</v>
          </cell>
          <cell r="W96">
            <v>5</v>
          </cell>
          <cell r="X96">
            <v>15</v>
          </cell>
          <cell r="Y96">
            <v>8</v>
          </cell>
          <cell r="Z96">
            <v>1</v>
          </cell>
          <cell r="AA96">
            <v>0</v>
          </cell>
          <cell r="AB96">
            <v>0</v>
          </cell>
          <cell r="AC96">
            <v>2000</v>
          </cell>
          <cell r="AD96">
            <v>80</v>
          </cell>
          <cell r="AE96">
            <v>40</v>
          </cell>
          <cell r="AF96">
            <v>40</v>
          </cell>
          <cell r="AG96">
            <v>1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1</v>
          </cell>
          <cell r="AN96">
            <v>0</v>
          </cell>
          <cell r="AO96">
            <v>0</v>
          </cell>
          <cell r="AP96">
            <v>200</v>
          </cell>
          <cell r="AQ96">
            <v>8</v>
          </cell>
          <cell r="AR96">
            <v>4</v>
          </cell>
          <cell r="AS96">
            <v>4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 t="str">
            <v>1001|4</v>
          </cell>
          <cell r="AY96">
            <v>4</v>
          </cell>
          <cell r="AZ96" t="str">
            <v>10601,10602,10603,10604</v>
          </cell>
          <cell r="BA96" t="str">
            <v>1001|50</v>
          </cell>
          <cell r="BB96">
            <v>50</v>
          </cell>
          <cell r="BC96" t="str">
            <v>[]</v>
          </cell>
          <cell r="BD96" t="str">
            <v>[]</v>
          </cell>
          <cell r="BE96" t="str">
            <v>[]</v>
          </cell>
          <cell r="BF96">
            <v>20</v>
          </cell>
          <cell r="BG96">
            <v>500</v>
          </cell>
          <cell r="BH96">
            <v>100</v>
          </cell>
          <cell r="BI96">
            <v>10087</v>
          </cell>
          <cell r="BJ96" t="str">
            <v>[]</v>
          </cell>
          <cell r="BK96">
            <v>0</v>
          </cell>
          <cell r="BL96">
            <v>50000</v>
          </cell>
          <cell r="BM96">
            <v>1.5</v>
          </cell>
          <cell r="BN96">
            <v>100</v>
          </cell>
          <cell r="BO96" t="str">
            <v>[]</v>
          </cell>
          <cell r="BP96">
            <v>1187</v>
          </cell>
          <cell r="BQ96" t="str">
            <v>[]</v>
          </cell>
          <cell r="BR96" t="str">
            <v>[]</v>
          </cell>
          <cell r="BS96" t="e">
            <v>#N/A</v>
          </cell>
          <cell r="BT96" t="str">
            <v>nvgui</v>
          </cell>
          <cell r="BU96" t="e">
            <v>#N/A</v>
          </cell>
          <cell r="BV96" t="str">
            <v>[]</v>
          </cell>
          <cell r="BW96" t="str">
            <v>3-2</v>
          </cell>
        </row>
        <row r="97">
          <cell r="A97">
            <v>1188</v>
          </cell>
          <cell r="B97" t="str">
            <v>女鬼-凌菲</v>
          </cell>
          <cell r="C97" t="str">
            <v>想试试鬼爪的厉害么？</v>
          </cell>
          <cell r="D97">
            <v>1</v>
          </cell>
          <cell r="E97">
            <v>4</v>
          </cell>
          <cell r="F97">
            <v>3</v>
          </cell>
          <cell r="G97">
            <v>3</v>
          </cell>
          <cell r="H97" t="str">
            <v>物攻型，负责物理输出</v>
          </cell>
          <cell r="I97">
            <v>150</v>
          </cell>
          <cell r="J97" t="str">
            <v>nvgui_attack</v>
          </cell>
          <cell r="K97">
            <v>10</v>
          </cell>
          <cell r="L97" t="str">
            <v>diyuhuohai_skill01</v>
          </cell>
          <cell r="M97" t="str">
            <v>common_fangyu,common_chaofeng</v>
          </cell>
          <cell r="N97" t="str">
            <v>head_nvgui_lingfei</v>
          </cell>
          <cell r="O97" t="str">
            <v>lvsebiankuang</v>
          </cell>
          <cell r="P97" t="str">
            <v>nvgui_lingfei_actor</v>
          </cell>
          <cell r="Q97">
            <v>1</v>
          </cell>
          <cell r="R97" t="str">
            <v>[]</v>
          </cell>
          <cell r="S97" t="str">
            <v>[]</v>
          </cell>
          <cell r="T97" t="str">
            <v>[]</v>
          </cell>
          <cell r="U97">
            <v>1</v>
          </cell>
          <cell r="V97">
            <v>2</v>
          </cell>
          <cell r="W97">
            <v>5</v>
          </cell>
          <cell r="X97">
            <v>15</v>
          </cell>
          <cell r="Y97">
            <v>8</v>
          </cell>
          <cell r="Z97">
            <v>1</v>
          </cell>
          <cell r="AA97">
            <v>0</v>
          </cell>
          <cell r="AB97">
            <v>0</v>
          </cell>
          <cell r="AC97">
            <v>2000</v>
          </cell>
          <cell r="AD97">
            <v>80</v>
          </cell>
          <cell r="AE97">
            <v>40</v>
          </cell>
          <cell r="AF97">
            <v>40</v>
          </cell>
          <cell r="AG97">
            <v>1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1</v>
          </cell>
          <cell r="AN97">
            <v>0</v>
          </cell>
          <cell r="AO97">
            <v>0</v>
          </cell>
          <cell r="AP97">
            <v>200</v>
          </cell>
          <cell r="AQ97">
            <v>8</v>
          </cell>
          <cell r="AR97">
            <v>4</v>
          </cell>
          <cell r="AS97">
            <v>4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 t="str">
            <v>1001|4</v>
          </cell>
          <cell r="AY97">
            <v>4</v>
          </cell>
          <cell r="AZ97" t="str">
            <v>10601,10602,10603,10604</v>
          </cell>
          <cell r="BA97" t="str">
            <v>1001|50</v>
          </cell>
          <cell r="BB97">
            <v>50</v>
          </cell>
          <cell r="BC97" t="str">
            <v>[]</v>
          </cell>
          <cell r="BD97" t="str">
            <v>[]</v>
          </cell>
          <cell r="BE97" t="str">
            <v>[]</v>
          </cell>
          <cell r="BF97">
            <v>20</v>
          </cell>
          <cell r="BG97">
            <v>500</v>
          </cell>
          <cell r="BH97">
            <v>100</v>
          </cell>
          <cell r="BI97">
            <v>10088</v>
          </cell>
          <cell r="BJ97" t="str">
            <v>[]</v>
          </cell>
          <cell r="BK97">
            <v>0</v>
          </cell>
          <cell r="BL97">
            <v>50000</v>
          </cell>
          <cell r="BM97">
            <v>1.5</v>
          </cell>
          <cell r="BN97">
            <v>100</v>
          </cell>
          <cell r="BO97" t="str">
            <v>[]</v>
          </cell>
          <cell r="BP97">
            <v>1188</v>
          </cell>
          <cell r="BQ97" t="str">
            <v>[]</v>
          </cell>
          <cell r="BR97" t="str">
            <v>[]</v>
          </cell>
          <cell r="BS97" t="e">
            <v>#N/A</v>
          </cell>
          <cell r="BT97" t="str">
            <v>nvgui</v>
          </cell>
          <cell r="BU97" t="e">
            <v>#N/A</v>
          </cell>
          <cell r="BV97" t="str">
            <v>[]</v>
          </cell>
          <cell r="BW97" t="str">
            <v>3-2</v>
          </cell>
        </row>
        <row r="98">
          <cell r="A98">
            <v>1193</v>
          </cell>
          <cell r="B98" t="str">
            <v>猴兵</v>
          </cell>
          <cell r="C98" t="str">
            <v>嘿嘿，想要我的桃子么？</v>
          </cell>
          <cell r="D98">
            <v>1</v>
          </cell>
          <cell r="E98">
            <v>4</v>
          </cell>
          <cell r="F98">
            <v>3</v>
          </cell>
          <cell r="G98">
            <v>3</v>
          </cell>
          <cell r="H98" t="str">
            <v>物攻型，负责物理输出</v>
          </cell>
          <cell r="I98">
            <v>150</v>
          </cell>
          <cell r="J98" t="str">
            <v>houbing_attack</v>
          </cell>
          <cell r="K98">
            <v>10</v>
          </cell>
          <cell r="L98" t="str">
            <v>feishazoushi_skill01</v>
          </cell>
          <cell r="M98" t="str">
            <v>common_fangyu,common_chaofeng</v>
          </cell>
          <cell r="N98" t="str">
            <v>head_houbing</v>
          </cell>
          <cell r="O98" t="str">
            <v>lvsebiankuang</v>
          </cell>
          <cell r="P98" t="str">
            <v>houbing_actor</v>
          </cell>
          <cell r="Q98">
            <v>1</v>
          </cell>
          <cell r="R98" t="str">
            <v>[]</v>
          </cell>
          <cell r="S98" t="str">
            <v>[]</v>
          </cell>
          <cell r="T98" t="str">
            <v>[]</v>
          </cell>
          <cell r="U98">
            <v>1</v>
          </cell>
          <cell r="V98">
            <v>2</v>
          </cell>
          <cell r="W98">
            <v>5</v>
          </cell>
          <cell r="X98">
            <v>15</v>
          </cell>
          <cell r="Y98">
            <v>8</v>
          </cell>
          <cell r="Z98">
            <v>1</v>
          </cell>
          <cell r="AA98">
            <v>0</v>
          </cell>
          <cell r="AB98">
            <v>0</v>
          </cell>
          <cell r="AC98">
            <v>2000</v>
          </cell>
          <cell r="AD98">
            <v>80</v>
          </cell>
          <cell r="AE98">
            <v>40</v>
          </cell>
          <cell r="AF98">
            <v>40</v>
          </cell>
          <cell r="AG98">
            <v>1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1</v>
          </cell>
          <cell r="AN98">
            <v>0</v>
          </cell>
          <cell r="AO98">
            <v>0</v>
          </cell>
          <cell r="AP98">
            <v>200</v>
          </cell>
          <cell r="AQ98">
            <v>8</v>
          </cell>
          <cell r="AR98">
            <v>4</v>
          </cell>
          <cell r="AS98">
            <v>4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 t="str">
            <v>1001|4</v>
          </cell>
          <cell r="AY98">
            <v>4</v>
          </cell>
          <cell r="AZ98" t="str">
            <v>10401,10402,10403,10404</v>
          </cell>
          <cell r="BA98" t="str">
            <v>1001|50</v>
          </cell>
          <cell r="BB98">
            <v>50</v>
          </cell>
          <cell r="BC98" t="str">
            <v>[]</v>
          </cell>
          <cell r="BD98" t="str">
            <v>[]</v>
          </cell>
          <cell r="BE98" t="str">
            <v>[]</v>
          </cell>
          <cell r="BF98">
            <v>20</v>
          </cell>
          <cell r="BG98">
            <v>500</v>
          </cell>
          <cell r="BH98">
            <v>100</v>
          </cell>
          <cell r="BI98">
            <v>10093</v>
          </cell>
          <cell r="BJ98" t="str">
            <v>[]</v>
          </cell>
          <cell r="BK98">
            <v>0</v>
          </cell>
          <cell r="BL98">
            <v>50000</v>
          </cell>
          <cell r="BM98">
            <v>1.5</v>
          </cell>
          <cell r="BN98">
            <v>100</v>
          </cell>
          <cell r="BO98" t="str">
            <v>[]</v>
          </cell>
          <cell r="BP98">
            <v>1193</v>
          </cell>
          <cell r="BQ98" t="str">
            <v>[]</v>
          </cell>
          <cell r="BR98" t="str">
            <v>[]</v>
          </cell>
          <cell r="BS98" t="e">
            <v>#N/A</v>
          </cell>
          <cell r="BT98" t="str">
            <v>houbing</v>
          </cell>
          <cell r="BU98" t="e">
            <v>#N/A</v>
          </cell>
          <cell r="BV98" t="str">
            <v>[]</v>
          </cell>
          <cell r="BW98" t="str">
            <v>3-2</v>
          </cell>
        </row>
        <row r="99">
          <cell r="A99">
            <v>1194</v>
          </cell>
          <cell r="B99" t="str">
            <v>山贼</v>
          </cell>
          <cell r="C99" t="str">
            <v>快给我留下买路财！</v>
          </cell>
          <cell r="D99">
            <v>1</v>
          </cell>
          <cell r="E99">
            <v>4</v>
          </cell>
          <cell r="F99">
            <v>2</v>
          </cell>
          <cell r="G99">
            <v>3</v>
          </cell>
          <cell r="H99" t="str">
            <v>物攻型，负责物理输出</v>
          </cell>
          <cell r="I99">
            <v>150</v>
          </cell>
          <cell r="J99" t="str">
            <v>shanzei_attack</v>
          </cell>
          <cell r="K99">
            <v>10</v>
          </cell>
          <cell r="L99" t="str">
            <v>jisufeijian_skill01</v>
          </cell>
          <cell r="M99" t="str">
            <v>common_fangyu,common_chaofeng</v>
          </cell>
          <cell r="N99" t="str">
            <v>head_shanzei</v>
          </cell>
          <cell r="O99" t="str">
            <v>lvsebiankuang</v>
          </cell>
          <cell r="P99" t="str">
            <v>shanzei_actor</v>
          </cell>
          <cell r="Q99">
            <v>1</v>
          </cell>
          <cell r="R99" t="str">
            <v>[]</v>
          </cell>
          <cell r="S99" t="str">
            <v>[]</v>
          </cell>
          <cell r="T99" t="str">
            <v>[]</v>
          </cell>
          <cell r="U99">
            <v>1</v>
          </cell>
          <cell r="V99">
            <v>2</v>
          </cell>
          <cell r="W99">
            <v>9</v>
          </cell>
          <cell r="X99">
            <v>15</v>
          </cell>
          <cell r="Y99">
            <v>8</v>
          </cell>
          <cell r="Z99">
            <v>1</v>
          </cell>
          <cell r="AA99">
            <v>0</v>
          </cell>
          <cell r="AB99">
            <v>0</v>
          </cell>
          <cell r="AC99">
            <v>2000</v>
          </cell>
          <cell r="AD99">
            <v>80</v>
          </cell>
          <cell r="AE99">
            <v>40</v>
          </cell>
          <cell r="AF99">
            <v>40</v>
          </cell>
          <cell r="AG99">
            <v>1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1</v>
          </cell>
          <cell r="AN99">
            <v>0</v>
          </cell>
          <cell r="AO99">
            <v>0</v>
          </cell>
          <cell r="AP99">
            <v>200</v>
          </cell>
          <cell r="AQ99">
            <v>8</v>
          </cell>
          <cell r="AR99">
            <v>4</v>
          </cell>
          <cell r="AS99">
            <v>4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 t="str">
            <v>1001|4</v>
          </cell>
          <cell r="AY99">
            <v>4</v>
          </cell>
          <cell r="AZ99" t="str">
            <v>10501,10502,10503,10504</v>
          </cell>
          <cell r="BA99" t="str">
            <v>1001|50</v>
          </cell>
          <cell r="BB99">
            <v>50</v>
          </cell>
          <cell r="BC99" t="str">
            <v>[]</v>
          </cell>
          <cell r="BD99" t="str">
            <v>[]</v>
          </cell>
          <cell r="BE99" t="str">
            <v>[]</v>
          </cell>
          <cell r="BF99">
            <v>20</v>
          </cell>
          <cell r="BG99">
            <v>500</v>
          </cell>
          <cell r="BH99">
            <v>100</v>
          </cell>
          <cell r="BI99">
            <v>10094</v>
          </cell>
          <cell r="BJ99" t="str">
            <v>[]</v>
          </cell>
          <cell r="BK99">
            <v>0</v>
          </cell>
          <cell r="BL99">
            <v>10000</v>
          </cell>
          <cell r="BM99">
            <v>1</v>
          </cell>
          <cell r="BN99">
            <v>100</v>
          </cell>
          <cell r="BO99" t="str">
            <v>[]</v>
          </cell>
          <cell r="BP99">
            <v>1194</v>
          </cell>
          <cell r="BQ99" t="str">
            <v>[]</v>
          </cell>
          <cell r="BR99" t="str">
            <v>[]</v>
          </cell>
          <cell r="BS99" t="e">
            <v>#N/A</v>
          </cell>
          <cell r="BT99" t="str">
            <v>shanzei</v>
          </cell>
          <cell r="BU99" t="e">
            <v>#N/A</v>
          </cell>
          <cell r="BV99" t="str">
            <v>[]</v>
          </cell>
          <cell r="BW99" t="str">
            <v>3-2</v>
          </cell>
        </row>
        <row r="100">
          <cell r="A100">
            <v>1217</v>
          </cell>
          <cell r="B100" t="str">
            <v>虾兵</v>
          </cell>
          <cell r="C100" t="str">
            <v>蟹将蟹将，我是虾兵！</v>
          </cell>
          <cell r="D100">
            <v>1</v>
          </cell>
          <cell r="E100">
            <v>4</v>
          </cell>
          <cell r="F100">
            <v>3</v>
          </cell>
          <cell r="G100">
            <v>3</v>
          </cell>
          <cell r="H100" t="str">
            <v>物攻型，负责物理输出</v>
          </cell>
          <cell r="I100">
            <v>150</v>
          </cell>
          <cell r="J100" t="str">
            <v>xiabing_attack</v>
          </cell>
          <cell r="K100">
            <v>10</v>
          </cell>
          <cell r="L100" t="str">
            <v>baofengxue_skill01</v>
          </cell>
          <cell r="M100" t="str">
            <v>common_fangyu,common_chaofeng</v>
          </cell>
          <cell r="N100" t="str">
            <v>head_xiabing</v>
          </cell>
          <cell r="O100" t="str">
            <v>lvsebiankuang</v>
          </cell>
          <cell r="P100" t="str">
            <v>xiabing_actor</v>
          </cell>
          <cell r="Q100">
            <v>1</v>
          </cell>
          <cell r="R100" t="str">
            <v>[]</v>
          </cell>
          <cell r="S100" t="str">
            <v>[]</v>
          </cell>
          <cell r="T100" t="str">
            <v>[]</v>
          </cell>
          <cell r="U100">
            <v>1</v>
          </cell>
          <cell r="V100">
            <v>2</v>
          </cell>
          <cell r="W100">
            <v>5</v>
          </cell>
          <cell r="X100">
            <v>15</v>
          </cell>
          <cell r="Y100">
            <v>8</v>
          </cell>
          <cell r="Z100">
            <v>1</v>
          </cell>
          <cell r="AA100">
            <v>0</v>
          </cell>
          <cell r="AB100">
            <v>0</v>
          </cell>
          <cell r="AC100">
            <v>2000</v>
          </cell>
          <cell r="AD100">
            <v>80</v>
          </cell>
          <cell r="AE100">
            <v>40</v>
          </cell>
          <cell r="AF100">
            <v>40</v>
          </cell>
          <cell r="AG100">
            <v>1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1</v>
          </cell>
          <cell r="AN100">
            <v>0</v>
          </cell>
          <cell r="AO100">
            <v>0</v>
          </cell>
          <cell r="AP100">
            <v>200</v>
          </cell>
          <cell r="AQ100">
            <v>8</v>
          </cell>
          <cell r="AR100">
            <v>4</v>
          </cell>
          <cell r="AS100">
            <v>4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 t="str">
            <v>1001|4</v>
          </cell>
          <cell r="AY100">
            <v>4</v>
          </cell>
          <cell r="AZ100" t="str">
            <v>10401,10402,10403,10404</v>
          </cell>
          <cell r="BA100" t="str">
            <v>1001|50</v>
          </cell>
          <cell r="BB100">
            <v>50</v>
          </cell>
          <cell r="BC100" t="str">
            <v>[]</v>
          </cell>
          <cell r="BD100" t="str">
            <v>[]</v>
          </cell>
          <cell r="BE100" t="str">
            <v>[]</v>
          </cell>
          <cell r="BF100">
            <v>20</v>
          </cell>
          <cell r="BG100">
            <v>500</v>
          </cell>
          <cell r="BH100">
            <v>100</v>
          </cell>
          <cell r="BI100">
            <v>10117</v>
          </cell>
          <cell r="BJ100" t="str">
            <v>[]</v>
          </cell>
          <cell r="BK100">
            <v>0</v>
          </cell>
          <cell r="BL100">
            <v>50000</v>
          </cell>
          <cell r="BM100">
            <v>1.5</v>
          </cell>
          <cell r="BN100">
            <v>100</v>
          </cell>
          <cell r="BO100" t="str">
            <v>[]</v>
          </cell>
          <cell r="BP100">
            <v>1217</v>
          </cell>
          <cell r="BQ100" t="str">
            <v>[]</v>
          </cell>
          <cell r="BR100" t="str">
            <v>[]</v>
          </cell>
          <cell r="BS100" t="e">
            <v>#N/A</v>
          </cell>
          <cell r="BT100" t="str">
            <v>xiabing</v>
          </cell>
          <cell r="BU100" t="e">
            <v>#N/A</v>
          </cell>
          <cell r="BV100" t="str">
            <v>[]</v>
          </cell>
          <cell r="BW100" t="str">
            <v>3-2</v>
          </cell>
        </row>
        <row r="101">
          <cell r="A101">
            <v>1501</v>
          </cell>
          <cell r="B101" t="str">
            <v>侍女</v>
          </cell>
          <cell r="C101" t="str">
            <v>女婢请安了！</v>
          </cell>
          <cell r="D101">
            <v>1</v>
          </cell>
          <cell r="E101">
            <v>4</v>
          </cell>
          <cell r="F101">
            <v>2</v>
          </cell>
          <cell r="G101">
            <v>2</v>
          </cell>
          <cell r="H101" t="str">
            <v>法攻型，负责法术输出</v>
          </cell>
          <cell r="I101">
            <v>150</v>
          </cell>
          <cell r="J101" t="str">
            <v>shinv_attack</v>
          </cell>
          <cell r="K101">
            <v>10</v>
          </cell>
          <cell r="L101" t="str">
            <v>yingyan_skill01</v>
          </cell>
          <cell r="M101" t="str">
            <v>common_fangyu,common_chaofeng</v>
          </cell>
          <cell r="N101" t="str">
            <v>head_shinv</v>
          </cell>
          <cell r="O101" t="str">
            <v>llvsebiankuang</v>
          </cell>
          <cell r="P101" t="str">
            <v>shinv_actor</v>
          </cell>
          <cell r="Q101">
            <v>1</v>
          </cell>
          <cell r="R101" t="str">
            <v>[]</v>
          </cell>
          <cell r="S101" t="str">
            <v>[]</v>
          </cell>
          <cell r="T101" t="str">
            <v>[]</v>
          </cell>
          <cell r="U101">
            <v>1</v>
          </cell>
          <cell r="V101">
            <v>2</v>
          </cell>
          <cell r="W101">
            <v>9</v>
          </cell>
          <cell r="X101">
            <v>15</v>
          </cell>
          <cell r="Y101">
            <v>8</v>
          </cell>
          <cell r="Z101">
            <v>0.8</v>
          </cell>
          <cell r="AA101">
            <v>0</v>
          </cell>
          <cell r="AB101">
            <v>0</v>
          </cell>
          <cell r="AC101">
            <v>2000</v>
          </cell>
          <cell r="AD101">
            <v>80</v>
          </cell>
          <cell r="AE101">
            <v>40</v>
          </cell>
          <cell r="AF101">
            <v>40</v>
          </cell>
          <cell r="AG101">
            <v>1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1</v>
          </cell>
          <cell r="AN101">
            <v>0</v>
          </cell>
          <cell r="AO101">
            <v>0</v>
          </cell>
          <cell r="AP101">
            <v>200</v>
          </cell>
          <cell r="AQ101">
            <v>8</v>
          </cell>
          <cell r="AR101">
            <v>4</v>
          </cell>
          <cell r="AS101">
            <v>4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 t="str">
            <v>1001|4</v>
          </cell>
          <cell r="AY101">
            <v>4</v>
          </cell>
          <cell r="AZ101" t="str">
            <v>10401,10402,10403,10404</v>
          </cell>
          <cell r="BA101" t="str">
            <v>1001|50</v>
          </cell>
          <cell r="BB101">
            <v>50</v>
          </cell>
          <cell r="BC101" t="str">
            <v>[]</v>
          </cell>
          <cell r="BD101" t="str">
            <v>[]</v>
          </cell>
          <cell r="BE101" t="str">
            <v>[]</v>
          </cell>
          <cell r="BF101">
            <v>20</v>
          </cell>
          <cell r="BG101">
            <v>500</v>
          </cell>
          <cell r="BH101">
            <v>100</v>
          </cell>
          <cell r="BI101">
            <v>10401</v>
          </cell>
          <cell r="BJ101" t="str">
            <v>[]</v>
          </cell>
          <cell r="BK101">
            <v>0</v>
          </cell>
          <cell r="BL101">
            <v>10000</v>
          </cell>
          <cell r="BM101">
            <v>1</v>
          </cell>
          <cell r="BN101">
            <v>100</v>
          </cell>
          <cell r="BO101" t="str">
            <v>[]</v>
          </cell>
          <cell r="BP101">
            <v>1501</v>
          </cell>
          <cell r="BQ101" t="str">
            <v>[]</v>
          </cell>
          <cell r="BR101" t="str">
            <v>[]</v>
          </cell>
          <cell r="BS101" t="e">
            <v>#N/A</v>
          </cell>
          <cell r="BT101" t="str">
            <v>shinv</v>
          </cell>
          <cell r="BU101" t="e">
            <v>#N/A</v>
          </cell>
          <cell r="BV101" t="str">
            <v>[]</v>
          </cell>
          <cell r="BW101" t="str">
            <v>2-2</v>
          </cell>
        </row>
        <row r="102">
          <cell r="A102">
            <v>1502</v>
          </cell>
          <cell r="B102" t="str">
            <v>强盗</v>
          </cell>
          <cell r="C102" t="str">
            <v>留下买路财！</v>
          </cell>
          <cell r="D102">
            <v>1</v>
          </cell>
          <cell r="E102">
            <v>4</v>
          </cell>
          <cell r="F102">
            <v>3</v>
          </cell>
          <cell r="G102">
            <v>3</v>
          </cell>
          <cell r="H102" t="str">
            <v>物攻型，负责物理输出</v>
          </cell>
          <cell r="I102">
            <v>150</v>
          </cell>
          <cell r="J102" t="str">
            <v>qiangdao_attack</v>
          </cell>
          <cell r="K102">
            <v>10</v>
          </cell>
          <cell r="L102" t="str">
            <v>zhongchui_skill01</v>
          </cell>
          <cell r="M102" t="str">
            <v>common_fangyu,common_chaofeng</v>
          </cell>
          <cell r="N102" t="str">
            <v>head_qiangdao</v>
          </cell>
          <cell r="O102" t="str">
            <v>llvsebiankuang</v>
          </cell>
          <cell r="P102" t="str">
            <v>qiangdao_actor</v>
          </cell>
          <cell r="Q102">
            <v>1</v>
          </cell>
          <cell r="R102" t="str">
            <v>[]</v>
          </cell>
          <cell r="S102" t="str">
            <v>[]</v>
          </cell>
          <cell r="T102" t="str">
            <v>[]</v>
          </cell>
          <cell r="U102">
            <v>1</v>
          </cell>
          <cell r="V102">
            <v>2</v>
          </cell>
          <cell r="W102">
            <v>5</v>
          </cell>
          <cell r="X102">
            <v>15</v>
          </cell>
          <cell r="Y102">
            <v>8</v>
          </cell>
          <cell r="Z102">
            <v>1</v>
          </cell>
          <cell r="AA102">
            <v>0</v>
          </cell>
          <cell r="AB102">
            <v>0</v>
          </cell>
          <cell r="AC102">
            <v>2000</v>
          </cell>
          <cell r="AD102">
            <v>80</v>
          </cell>
          <cell r="AE102">
            <v>40</v>
          </cell>
          <cell r="AF102">
            <v>40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1</v>
          </cell>
          <cell r="AN102">
            <v>0</v>
          </cell>
          <cell r="AO102">
            <v>0</v>
          </cell>
          <cell r="AP102">
            <v>200</v>
          </cell>
          <cell r="AQ102">
            <v>8</v>
          </cell>
          <cell r="AR102">
            <v>4</v>
          </cell>
          <cell r="AS102">
            <v>4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 t="str">
            <v>1001|4</v>
          </cell>
          <cell r="AY102">
            <v>4</v>
          </cell>
          <cell r="AZ102" t="str">
            <v>10401,10402,10403,10404</v>
          </cell>
          <cell r="BA102" t="str">
            <v>1001|50</v>
          </cell>
          <cell r="BB102">
            <v>50</v>
          </cell>
          <cell r="BC102" t="str">
            <v>[]</v>
          </cell>
          <cell r="BD102" t="str">
            <v>[]</v>
          </cell>
          <cell r="BE102" t="str">
            <v>[]</v>
          </cell>
          <cell r="BF102">
            <v>20</v>
          </cell>
          <cell r="BG102">
            <v>500</v>
          </cell>
          <cell r="BH102">
            <v>100</v>
          </cell>
          <cell r="BI102">
            <v>10402</v>
          </cell>
          <cell r="BJ102" t="str">
            <v>[]</v>
          </cell>
          <cell r="BK102">
            <v>0</v>
          </cell>
          <cell r="BL102">
            <v>50000</v>
          </cell>
          <cell r="BM102">
            <v>1.5</v>
          </cell>
          <cell r="BN102">
            <v>100</v>
          </cell>
          <cell r="BO102" t="str">
            <v>[]</v>
          </cell>
          <cell r="BP102">
            <v>1502</v>
          </cell>
          <cell r="BQ102" t="str">
            <v>[]</v>
          </cell>
          <cell r="BR102" t="str">
            <v>[]</v>
          </cell>
          <cell r="BS102" t="e">
            <v>#N/A</v>
          </cell>
          <cell r="BT102" t="str">
            <v>qiangdao</v>
          </cell>
          <cell r="BU102" t="e">
            <v>#N/A</v>
          </cell>
          <cell r="BV102" t="str">
            <v>[]</v>
          </cell>
          <cell r="BW102" t="str">
            <v>3-2</v>
          </cell>
        </row>
        <row r="103">
          <cell r="A103">
            <v>1503</v>
          </cell>
          <cell r="B103" t="str">
            <v>野猪怪</v>
          </cell>
          <cell r="C103" t="str">
            <v>哼哼！不许喊俺老猪蓬蓬！</v>
          </cell>
          <cell r="D103">
            <v>1</v>
          </cell>
          <cell r="E103">
            <v>4</v>
          </cell>
          <cell r="F103">
            <v>3</v>
          </cell>
          <cell r="G103">
            <v>3</v>
          </cell>
          <cell r="H103" t="str">
            <v>物攻型，负责物理输出</v>
          </cell>
          <cell r="I103">
            <v>150</v>
          </cell>
          <cell r="J103" t="str">
            <v>yezhuguai_attack</v>
          </cell>
          <cell r="K103">
            <v>10</v>
          </cell>
          <cell r="L103" t="str">
            <v>jinganghuti_skill01</v>
          </cell>
          <cell r="M103" t="str">
            <v>common_fangyu,common_chaofeng</v>
          </cell>
          <cell r="N103" t="str">
            <v>head_yezhuguai</v>
          </cell>
          <cell r="O103" t="str">
            <v>llvsebiankuang</v>
          </cell>
          <cell r="P103" t="str">
            <v>yezhuguai_actor</v>
          </cell>
          <cell r="Q103">
            <v>1</v>
          </cell>
          <cell r="R103" t="str">
            <v>[]</v>
          </cell>
          <cell r="S103" t="str">
            <v>[]</v>
          </cell>
          <cell r="T103" t="str">
            <v>[]</v>
          </cell>
          <cell r="U103">
            <v>1</v>
          </cell>
          <cell r="V103">
            <v>2</v>
          </cell>
          <cell r="W103">
            <v>5</v>
          </cell>
          <cell r="X103">
            <v>15</v>
          </cell>
          <cell r="Y103">
            <v>8</v>
          </cell>
          <cell r="Z103">
            <v>1</v>
          </cell>
          <cell r="AA103">
            <v>0</v>
          </cell>
          <cell r="AB103">
            <v>0</v>
          </cell>
          <cell r="AC103">
            <v>2000</v>
          </cell>
          <cell r="AD103">
            <v>80</v>
          </cell>
          <cell r="AE103">
            <v>40</v>
          </cell>
          <cell r="AF103">
            <v>40</v>
          </cell>
          <cell r="AG103">
            <v>1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1</v>
          </cell>
          <cell r="AN103">
            <v>0</v>
          </cell>
          <cell r="AO103">
            <v>0</v>
          </cell>
          <cell r="AP103">
            <v>200</v>
          </cell>
          <cell r="AQ103">
            <v>8</v>
          </cell>
          <cell r="AR103">
            <v>4</v>
          </cell>
          <cell r="AS103">
            <v>4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 t="str">
            <v>1001|4</v>
          </cell>
          <cell r="AY103">
            <v>4</v>
          </cell>
          <cell r="AZ103" t="str">
            <v>10501,10502,10503,10504</v>
          </cell>
          <cell r="BA103" t="str">
            <v>1001|50</v>
          </cell>
          <cell r="BB103">
            <v>50</v>
          </cell>
          <cell r="BC103" t="str">
            <v>[]</v>
          </cell>
          <cell r="BD103" t="str">
            <v>[]</v>
          </cell>
          <cell r="BE103" t="str">
            <v>[]</v>
          </cell>
          <cell r="BF103">
            <v>20</v>
          </cell>
          <cell r="BG103">
            <v>500</v>
          </cell>
          <cell r="BH103">
            <v>100</v>
          </cell>
          <cell r="BI103">
            <v>10403</v>
          </cell>
          <cell r="BJ103" t="str">
            <v>[]</v>
          </cell>
          <cell r="BK103">
            <v>0</v>
          </cell>
          <cell r="BL103">
            <v>50000</v>
          </cell>
          <cell r="BM103">
            <v>1.5</v>
          </cell>
          <cell r="BN103">
            <v>100</v>
          </cell>
          <cell r="BO103" t="str">
            <v>[]</v>
          </cell>
          <cell r="BP103">
            <v>1503</v>
          </cell>
          <cell r="BQ103" t="str">
            <v>[]</v>
          </cell>
          <cell r="BR103" t="str">
            <v>[]</v>
          </cell>
          <cell r="BS103" t="e">
            <v>#N/A</v>
          </cell>
          <cell r="BT103" t="str">
            <v>yezhuguai</v>
          </cell>
          <cell r="BU103" t="e">
            <v>#N/A</v>
          </cell>
          <cell r="BV103" t="str">
            <v>[]</v>
          </cell>
          <cell r="BW103" t="str">
            <v>3-2</v>
          </cell>
        </row>
        <row r="104">
          <cell r="A104">
            <v>1505</v>
          </cell>
          <cell r="B104" t="str">
            <v>狂豹</v>
          </cell>
          <cell r="C104" t="str">
            <v>嗷嗷嗷~~~~被老子的英姿吓傻了么？</v>
          </cell>
          <cell r="D104">
            <v>1</v>
          </cell>
          <cell r="E104">
            <v>4</v>
          </cell>
          <cell r="F104">
            <v>3</v>
          </cell>
          <cell r="G104">
            <v>3</v>
          </cell>
          <cell r="H104" t="str">
            <v>物攻型，负责物理输出</v>
          </cell>
          <cell r="I104">
            <v>150</v>
          </cell>
          <cell r="J104" t="str">
            <v>kuangbao_attack</v>
          </cell>
          <cell r="K104">
            <v>10</v>
          </cell>
          <cell r="L104" t="str">
            <v>rexuebaofa_skill01</v>
          </cell>
          <cell r="M104" t="str">
            <v>common_fangyu,common_chaofeng</v>
          </cell>
          <cell r="N104" t="str">
            <v>head_kuangbao</v>
          </cell>
          <cell r="O104" t="str">
            <v>lansebiankuang</v>
          </cell>
          <cell r="P104" t="str">
            <v>kuangbao_actor</v>
          </cell>
          <cell r="Q104">
            <v>1</v>
          </cell>
          <cell r="R104" t="str">
            <v>[]</v>
          </cell>
          <cell r="S104" t="str">
            <v>[]</v>
          </cell>
          <cell r="T104" t="str">
            <v>[]</v>
          </cell>
          <cell r="U104">
            <v>2</v>
          </cell>
          <cell r="V104">
            <v>6</v>
          </cell>
          <cell r="W104">
            <v>5</v>
          </cell>
          <cell r="X104">
            <v>15</v>
          </cell>
          <cell r="Y104">
            <v>8</v>
          </cell>
          <cell r="Z104">
            <v>1</v>
          </cell>
          <cell r="AA104">
            <v>0</v>
          </cell>
          <cell r="AB104">
            <v>0</v>
          </cell>
          <cell r="AC104">
            <v>3000</v>
          </cell>
          <cell r="AD104">
            <v>120</v>
          </cell>
          <cell r="AE104">
            <v>60</v>
          </cell>
          <cell r="AF104">
            <v>60</v>
          </cell>
          <cell r="AG104">
            <v>1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1</v>
          </cell>
          <cell r="AN104">
            <v>0</v>
          </cell>
          <cell r="AO104">
            <v>0</v>
          </cell>
          <cell r="AP104">
            <v>300</v>
          </cell>
          <cell r="AQ104">
            <v>12</v>
          </cell>
          <cell r="AR104">
            <v>6</v>
          </cell>
          <cell r="AS104">
            <v>6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 t="str">
            <v>2001|6</v>
          </cell>
          <cell r="AY104">
            <v>6</v>
          </cell>
          <cell r="AZ104" t="str">
            <v>10401,10402,10403,10404,10405,10406</v>
          </cell>
          <cell r="BA104" t="str">
            <v>2001|50</v>
          </cell>
          <cell r="BB104">
            <v>50</v>
          </cell>
          <cell r="BC104" t="str">
            <v>[]</v>
          </cell>
          <cell r="BD104" t="str">
            <v>[]</v>
          </cell>
          <cell r="BE104" t="str">
            <v>[]</v>
          </cell>
          <cell r="BF104">
            <v>40</v>
          </cell>
          <cell r="BG104">
            <v>2000</v>
          </cell>
          <cell r="BH104">
            <v>400</v>
          </cell>
          <cell r="BI104">
            <v>10405</v>
          </cell>
          <cell r="BJ104" t="str">
            <v>[]</v>
          </cell>
          <cell r="BK104">
            <v>0</v>
          </cell>
          <cell r="BL104">
            <v>50000</v>
          </cell>
          <cell r="BM104">
            <v>1.5</v>
          </cell>
          <cell r="BN104">
            <v>100</v>
          </cell>
          <cell r="BO104" t="str">
            <v>[]</v>
          </cell>
          <cell r="BP104">
            <v>1505</v>
          </cell>
          <cell r="BQ104" t="str">
            <v>[]</v>
          </cell>
          <cell r="BR104" t="str">
            <v>[]</v>
          </cell>
          <cell r="BS104" t="e">
            <v>#N/A</v>
          </cell>
          <cell r="BT104" t="str">
            <v>kuangbao</v>
          </cell>
          <cell r="BU104" t="e">
            <v>#N/A</v>
          </cell>
          <cell r="BV104" t="str">
            <v>[]</v>
          </cell>
          <cell r="BW104" t="str">
            <v>3-6</v>
          </cell>
        </row>
        <row r="105">
          <cell r="A105">
            <v>1506</v>
          </cell>
          <cell r="B105" t="str">
            <v>护卫</v>
          </cell>
          <cell r="C105" t="str">
            <v>收了保护费你就是我的人了!</v>
          </cell>
          <cell r="D105">
            <v>1</v>
          </cell>
          <cell r="E105">
            <v>4</v>
          </cell>
          <cell r="F105">
            <v>3</v>
          </cell>
          <cell r="G105">
            <v>3</v>
          </cell>
          <cell r="H105" t="str">
            <v>物攻型，负责物理输出</v>
          </cell>
          <cell r="I105">
            <v>150</v>
          </cell>
          <cell r="J105" t="str">
            <v>huwei_attack</v>
          </cell>
          <cell r="K105">
            <v>10</v>
          </cell>
          <cell r="L105" t="str">
            <v>dicituxi_skill01</v>
          </cell>
          <cell r="M105" t="str">
            <v>common_fangyu,common_chaofeng</v>
          </cell>
          <cell r="N105" t="str">
            <v>head_huwei</v>
          </cell>
          <cell r="O105" t="str">
            <v>lansebiankuang</v>
          </cell>
          <cell r="P105" t="str">
            <v>huwei_actor</v>
          </cell>
          <cell r="Q105">
            <v>1</v>
          </cell>
          <cell r="R105" t="str">
            <v>[]</v>
          </cell>
          <cell r="S105" t="str">
            <v>[]</v>
          </cell>
          <cell r="T105" t="str">
            <v>[]</v>
          </cell>
          <cell r="U105">
            <v>2</v>
          </cell>
          <cell r="V105">
            <v>6</v>
          </cell>
          <cell r="W105">
            <v>5</v>
          </cell>
          <cell r="X105">
            <v>15</v>
          </cell>
          <cell r="Y105">
            <v>8</v>
          </cell>
          <cell r="Z105">
            <v>1</v>
          </cell>
          <cell r="AA105">
            <v>0</v>
          </cell>
          <cell r="AB105">
            <v>0</v>
          </cell>
          <cell r="AC105">
            <v>3000</v>
          </cell>
          <cell r="AD105">
            <v>120</v>
          </cell>
          <cell r="AE105">
            <v>60</v>
          </cell>
          <cell r="AF105">
            <v>60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1</v>
          </cell>
          <cell r="AN105">
            <v>0</v>
          </cell>
          <cell r="AO105">
            <v>0</v>
          </cell>
          <cell r="AP105">
            <v>300</v>
          </cell>
          <cell r="AQ105">
            <v>12</v>
          </cell>
          <cell r="AR105">
            <v>6</v>
          </cell>
          <cell r="AS105">
            <v>6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 t="str">
            <v>2001|6</v>
          </cell>
          <cell r="AY105">
            <v>6</v>
          </cell>
          <cell r="AZ105" t="str">
            <v>10501,10502,10503,10504,10505,10506</v>
          </cell>
          <cell r="BA105" t="str">
            <v>2001|50</v>
          </cell>
          <cell r="BB105">
            <v>50</v>
          </cell>
          <cell r="BC105" t="str">
            <v>[]</v>
          </cell>
          <cell r="BD105" t="str">
            <v>[]</v>
          </cell>
          <cell r="BE105" t="str">
            <v>[]</v>
          </cell>
          <cell r="BF105">
            <v>40</v>
          </cell>
          <cell r="BG105">
            <v>2000</v>
          </cell>
          <cell r="BH105">
            <v>400</v>
          </cell>
          <cell r="BI105">
            <v>10406</v>
          </cell>
          <cell r="BJ105" t="str">
            <v>[]</v>
          </cell>
          <cell r="BK105">
            <v>0</v>
          </cell>
          <cell r="BL105">
            <v>50000</v>
          </cell>
          <cell r="BM105">
            <v>1.5</v>
          </cell>
          <cell r="BN105">
            <v>100</v>
          </cell>
          <cell r="BO105" t="str">
            <v>[]</v>
          </cell>
          <cell r="BP105">
            <v>1506</v>
          </cell>
          <cell r="BQ105" t="str">
            <v>[]</v>
          </cell>
          <cell r="BR105" t="str">
            <v>[]</v>
          </cell>
          <cell r="BS105" t="e">
            <v>#N/A</v>
          </cell>
          <cell r="BT105" t="str">
            <v>huwei</v>
          </cell>
          <cell r="BU105" t="e">
            <v>#N/A</v>
          </cell>
          <cell r="BV105" t="str">
            <v>[]</v>
          </cell>
          <cell r="BW105" t="str">
            <v>3-6</v>
          </cell>
        </row>
        <row r="106">
          <cell r="A106">
            <v>1507</v>
          </cell>
          <cell r="B106" t="str">
            <v>龟丞相</v>
          </cell>
          <cell r="C106" t="str">
            <v>老臣都一把年纪了，你们下手轻点！</v>
          </cell>
          <cell r="D106">
            <v>1</v>
          </cell>
          <cell r="E106">
            <v>4</v>
          </cell>
          <cell r="F106">
            <v>2</v>
          </cell>
          <cell r="G106">
            <v>2</v>
          </cell>
          <cell r="H106" t="str">
            <v>法攻型，负责法术输出</v>
          </cell>
          <cell r="I106">
            <v>150</v>
          </cell>
          <cell r="J106" t="str">
            <v>guichengxiang_attack</v>
          </cell>
          <cell r="K106">
            <v>10</v>
          </cell>
          <cell r="L106" t="str">
            <v>baofengxue_skill01</v>
          </cell>
          <cell r="M106" t="str">
            <v>common_fangyu,common_chaofeng</v>
          </cell>
          <cell r="N106" t="str">
            <v>head_guichengxiang</v>
          </cell>
          <cell r="O106" t="str">
            <v>lansebiankuang</v>
          </cell>
          <cell r="P106" t="str">
            <v>guichengxiang_actor</v>
          </cell>
          <cell r="Q106">
            <v>1</v>
          </cell>
          <cell r="R106" t="str">
            <v>[]</v>
          </cell>
          <cell r="S106" t="str">
            <v>[]</v>
          </cell>
          <cell r="T106" t="str">
            <v>[]</v>
          </cell>
          <cell r="U106">
            <v>2</v>
          </cell>
          <cell r="V106">
            <v>6</v>
          </cell>
          <cell r="W106">
            <v>9</v>
          </cell>
          <cell r="X106">
            <v>15</v>
          </cell>
          <cell r="Y106">
            <v>8</v>
          </cell>
          <cell r="Z106">
            <v>0.8</v>
          </cell>
          <cell r="AA106">
            <v>0</v>
          </cell>
          <cell r="AB106">
            <v>0</v>
          </cell>
          <cell r="AC106">
            <v>3000</v>
          </cell>
          <cell r="AD106">
            <v>120</v>
          </cell>
          <cell r="AE106">
            <v>60</v>
          </cell>
          <cell r="AF106">
            <v>60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1</v>
          </cell>
          <cell r="AN106">
            <v>0</v>
          </cell>
          <cell r="AO106">
            <v>0</v>
          </cell>
          <cell r="AP106">
            <v>300</v>
          </cell>
          <cell r="AQ106">
            <v>12</v>
          </cell>
          <cell r="AR106">
            <v>6</v>
          </cell>
          <cell r="AS106">
            <v>6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 t="str">
            <v>2001|6</v>
          </cell>
          <cell r="AY106">
            <v>6</v>
          </cell>
          <cell r="AZ106" t="str">
            <v>10501,10502,10503,10504,10505,10506</v>
          </cell>
          <cell r="BA106" t="str">
            <v>2001|50</v>
          </cell>
          <cell r="BB106">
            <v>50</v>
          </cell>
          <cell r="BC106" t="str">
            <v>[]</v>
          </cell>
          <cell r="BD106" t="str">
            <v>[]</v>
          </cell>
          <cell r="BE106" t="str">
            <v>[]</v>
          </cell>
          <cell r="BF106">
            <v>40</v>
          </cell>
          <cell r="BG106">
            <v>2000</v>
          </cell>
          <cell r="BH106">
            <v>400</v>
          </cell>
          <cell r="BI106">
            <v>10407</v>
          </cell>
          <cell r="BJ106" t="str">
            <v>[]</v>
          </cell>
          <cell r="BK106">
            <v>0</v>
          </cell>
          <cell r="BL106">
            <v>10000</v>
          </cell>
          <cell r="BM106">
            <v>1</v>
          </cell>
          <cell r="BN106">
            <v>100</v>
          </cell>
          <cell r="BO106" t="str">
            <v>[]</v>
          </cell>
          <cell r="BP106">
            <v>1507</v>
          </cell>
          <cell r="BQ106" t="str">
            <v>[]</v>
          </cell>
          <cell r="BR106" t="str">
            <v>[]</v>
          </cell>
          <cell r="BS106" t="e">
            <v>#N/A</v>
          </cell>
          <cell r="BT106" t="str">
            <v>guichengxiang</v>
          </cell>
          <cell r="BU106" t="e">
            <v>#N/A</v>
          </cell>
          <cell r="BV106" t="str">
            <v>[]</v>
          </cell>
          <cell r="BW106" t="str">
            <v>2-6</v>
          </cell>
        </row>
        <row r="107">
          <cell r="A107">
            <v>1508</v>
          </cell>
          <cell r="B107" t="str">
            <v>炎魔</v>
          </cell>
          <cell r="C107" t="str">
            <v>我是火焰的主宰！</v>
          </cell>
          <cell r="D107">
            <v>1</v>
          </cell>
          <cell r="E107">
            <v>4</v>
          </cell>
          <cell r="F107">
            <v>3</v>
          </cell>
          <cell r="G107">
            <v>3</v>
          </cell>
          <cell r="H107" t="str">
            <v>物攻型，负责物理输出</v>
          </cell>
          <cell r="I107">
            <v>150</v>
          </cell>
          <cell r="J107" t="str">
            <v>yanmo_attack</v>
          </cell>
          <cell r="K107">
            <v>10</v>
          </cell>
          <cell r="L107" t="str">
            <v>huoqiuzhadan_skill01</v>
          </cell>
          <cell r="M107" t="str">
            <v>common_fangyu,common_chaofeng</v>
          </cell>
          <cell r="N107" t="str">
            <v>head_yanmo</v>
          </cell>
          <cell r="O107" t="str">
            <v>lansebiankuang</v>
          </cell>
          <cell r="P107" t="str">
            <v>yanmo_actor</v>
          </cell>
          <cell r="Q107">
            <v>1</v>
          </cell>
          <cell r="R107" t="str">
            <v>[]</v>
          </cell>
          <cell r="S107" t="str">
            <v>[]</v>
          </cell>
          <cell r="T107" t="str">
            <v>[]</v>
          </cell>
          <cell r="U107">
            <v>2</v>
          </cell>
          <cell r="V107">
            <v>6</v>
          </cell>
          <cell r="W107">
            <v>5</v>
          </cell>
          <cell r="X107">
            <v>15</v>
          </cell>
          <cell r="Y107">
            <v>8</v>
          </cell>
          <cell r="Z107">
            <v>1</v>
          </cell>
          <cell r="AA107">
            <v>0</v>
          </cell>
          <cell r="AB107">
            <v>0</v>
          </cell>
          <cell r="AC107">
            <v>3000</v>
          </cell>
          <cell r="AD107">
            <v>120</v>
          </cell>
          <cell r="AE107">
            <v>60</v>
          </cell>
          <cell r="AF107">
            <v>60</v>
          </cell>
          <cell r="AG107">
            <v>1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1</v>
          </cell>
          <cell r="AN107">
            <v>0</v>
          </cell>
          <cell r="AO107">
            <v>0</v>
          </cell>
          <cell r="AP107">
            <v>300</v>
          </cell>
          <cell r="AQ107">
            <v>12</v>
          </cell>
          <cell r="AR107">
            <v>6</v>
          </cell>
          <cell r="AS107">
            <v>6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 t="str">
            <v>2001|6</v>
          </cell>
          <cell r="AY107">
            <v>6</v>
          </cell>
          <cell r="AZ107" t="str">
            <v>10601,10602,10603,10604,10605,10606</v>
          </cell>
          <cell r="BA107" t="str">
            <v>2001|50</v>
          </cell>
          <cell r="BB107">
            <v>50</v>
          </cell>
          <cell r="BC107" t="str">
            <v>[]</v>
          </cell>
          <cell r="BD107" t="str">
            <v>[]</v>
          </cell>
          <cell r="BE107" t="str">
            <v>[]</v>
          </cell>
          <cell r="BF107">
            <v>40</v>
          </cell>
          <cell r="BG107">
            <v>2000</v>
          </cell>
          <cell r="BH107">
            <v>400</v>
          </cell>
          <cell r="BI107">
            <v>10408</v>
          </cell>
          <cell r="BJ107" t="str">
            <v>[]</v>
          </cell>
          <cell r="BK107">
            <v>0</v>
          </cell>
          <cell r="BL107">
            <v>50000</v>
          </cell>
          <cell r="BM107">
            <v>1.5</v>
          </cell>
          <cell r="BN107">
            <v>100</v>
          </cell>
          <cell r="BO107" t="str">
            <v>[]</v>
          </cell>
          <cell r="BP107">
            <v>1508</v>
          </cell>
          <cell r="BQ107" t="str">
            <v>[]</v>
          </cell>
          <cell r="BR107" t="str">
            <v>[]</v>
          </cell>
          <cell r="BS107" t="e">
            <v>#N/A</v>
          </cell>
          <cell r="BT107" t="str">
            <v>yanmo</v>
          </cell>
          <cell r="BU107" t="e">
            <v>#N/A</v>
          </cell>
          <cell r="BV107" t="str">
            <v>[]</v>
          </cell>
          <cell r="BW107" t="str">
            <v>3-6</v>
          </cell>
        </row>
        <row r="108">
          <cell r="A108">
            <v>2018</v>
          </cell>
          <cell r="B108" t="str">
            <v>天将</v>
          </cell>
          <cell r="C108" t="str">
            <v>缥缈天宫，由我来守护！</v>
          </cell>
          <cell r="D108">
            <v>1</v>
          </cell>
          <cell r="E108">
            <v>4</v>
          </cell>
          <cell r="F108">
            <v>3</v>
          </cell>
          <cell r="G108">
            <v>3</v>
          </cell>
          <cell r="H108" t="str">
            <v>物攻型，负责物理输出</v>
          </cell>
          <cell r="I108">
            <v>150</v>
          </cell>
          <cell r="J108" t="str">
            <v>tianjiang_attack</v>
          </cell>
          <cell r="K108">
            <v>10</v>
          </cell>
          <cell r="L108" t="str">
            <v>taishanyading_skill01,tianjiang_skill02</v>
          </cell>
          <cell r="M108" t="str">
            <v>common_fangyu,common_chaofeng</v>
          </cell>
          <cell r="N108" t="str">
            <v>head_tianjiang</v>
          </cell>
          <cell r="O108" t="str">
            <v>lansebiankuang</v>
          </cell>
          <cell r="P108" t="str">
            <v>tianjiang_actor</v>
          </cell>
          <cell r="Q108">
            <v>1</v>
          </cell>
          <cell r="R108" t="str">
            <v>[]</v>
          </cell>
          <cell r="S108" t="str">
            <v>[]</v>
          </cell>
          <cell r="T108" t="str">
            <v>[]</v>
          </cell>
          <cell r="U108">
            <v>2</v>
          </cell>
          <cell r="V108">
            <v>6</v>
          </cell>
          <cell r="W108">
            <v>5</v>
          </cell>
          <cell r="X108">
            <v>15</v>
          </cell>
          <cell r="Y108">
            <v>8</v>
          </cell>
          <cell r="Z108">
            <v>1</v>
          </cell>
          <cell r="AA108">
            <v>0</v>
          </cell>
          <cell r="AB108">
            <v>0</v>
          </cell>
          <cell r="AC108">
            <v>3000</v>
          </cell>
          <cell r="AD108">
            <v>120</v>
          </cell>
          <cell r="AE108">
            <v>60</v>
          </cell>
          <cell r="AF108">
            <v>60</v>
          </cell>
          <cell r="AG108">
            <v>1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1</v>
          </cell>
          <cell r="AN108">
            <v>0</v>
          </cell>
          <cell r="AO108">
            <v>0</v>
          </cell>
          <cell r="AP108">
            <v>300</v>
          </cell>
          <cell r="AQ108">
            <v>12</v>
          </cell>
          <cell r="AR108">
            <v>6</v>
          </cell>
          <cell r="AS108">
            <v>6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 t="str">
            <v>2001|6</v>
          </cell>
          <cell r="AY108">
            <v>6</v>
          </cell>
          <cell r="AZ108" t="str">
            <v>10401,10402,10403,10404,10405,10406</v>
          </cell>
          <cell r="BA108" t="str">
            <v>2001|50</v>
          </cell>
          <cell r="BB108">
            <v>50</v>
          </cell>
          <cell r="BC108" t="str">
            <v>[]</v>
          </cell>
          <cell r="BD108" t="str">
            <v>[]</v>
          </cell>
          <cell r="BE108" t="str">
            <v>[]</v>
          </cell>
          <cell r="BF108">
            <v>40</v>
          </cell>
          <cell r="BG108">
            <v>2000</v>
          </cell>
          <cell r="BH108">
            <v>400</v>
          </cell>
          <cell r="BI108">
            <v>10918</v>
          </cell>
          <cell r="BJ108" t="str">
            <v>[]</v>
          </cell>
          <cell r="BK108">
            <v>0</v>
          </cell>
          <cell r="BL108">
            <v>50000</v>
          </cell>
          <cell r="BM108">
            <v>1.5</v>
          </cell>
          <cell r="BN108">
            <v>100</v>
          </cell>
          <cell r="BO108" t="str">
            <v>[]</v>
          </cell>
          <cell r="BP108">
            <v>2018</v>
          </cell>
          <cell r="BQ108" t="str">
            <v>[]</v>
          </cell>
          <cell r="BR108" t="str">
            <v>[]</v>
          </cell>
          <cell r="BS108" t="e">
            <v>#N/A</v>
          </cell>
          <cell r="BT108" t="str">
            <v>tianjiang</v>
          </cell>
          <cell r="BU108" t="e">
            <v>#N/A</v>
          </cell>
          <cell r="BV108" t="str">
            <v>[]</v>
          </cell>
          <cell r="BW108" t="str">
            <v>3-6</v>
          </cell>
        </row>
        <row r="109">
          <cell r="A109">
            <v>1220</v>
          </cell>
          <cell r="B109" t="str">
            <v>九头虫</v>
          </cell>
          <cell r="C109" t="str">
            <v>[]</v>
          </cell>
          <cell r="D109">
            <v>1</v>
          </cell>
          <cell r="E109">
            <v>4</v>
          </cell>
          <cell r="F109">
            <v>2</v>
          </cell>
          <cell r="G109">
            <v>2</v>
          </cell>
          <cell r="H109" t="str">
            <v>法攻型，负责法术输出</v>
          </cell>
          <cell r="I109">
            <v>150</v>
          </cell>
          <cell r="J109" t="str">
            <v>wenshupusa_attack</v>
          </cell>
          <cell r="K109">
            <v>10</v>
          </cell>
          <cell r="L109" t="str">
            <v>wenshupusa_skill01,wenshupusa_skill02,wenshupusa_skill03,wenshupusa_skill04</v>
          </cell>
          <cell r="M109" t="str">
            <v>common_fangyu,common_chaofeng</v>
          </cell>
          <cell r="N109" t="str">
            <v>head_chijiaodaxian</v>
          </cell>
          <cell r="O109" t="str">
            <v>chengsebiankuang</v>
          </cell>
          <cell r="P109" t="str">
            <v>jiaye_actor</v>
          </cell>
          <cell r="Q109">
            <v>1</v>
          </cell>
          <cell r="R109" t="str">
            <v>[]</v>
          </cell>
          <cell r="S109" t="str">
            <v>[]</v>
          </cell>
          <cell r="T109" t="str">
            <v>[]</v>
          </cell>
          <cell r="U109">
            <v>6</v>
          </cell>
          <cell r="V109">
            <v>20</v>
          </cell>
          <cell r="W109">
            <v>12</v>
          </cell>
          <cell r="X109">
            <v>14</v>
          </cell>
          <cell r="Y109">
            <v>8</v>
          </cell>
          <cell r="Z109">
            <v>0.8</v>
          </cell>
          <cell r="AA109">
            <v>0</v>
          </cell>
          <cell r="AB109">
            <v>0</v>
          </cell>
          <cell r="AC109">
            <v>20000</v>
          </cell>
          <cell r="AD109">
            <v>800</v>
          </cell>
          <cell r="AE109">
            <v>400</v>
          </cell>
          <cell r="AF109">
            <v>400</v>
          </cell>
          <cell r="AG109">
            <v>1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1</v>
          </cell>
          <cell r="AN109">
            <v>0</v>
          </cell>
          <cell r="AO109">
            <v>0</v>
          </cell>
          <cell r="AP109">
            <v>1500</v>
          </cell>
          <cell r="AQ109">
            <v>60</v>
          </cell>
          <cell r="AR109">
            <v>30</v>
          </cell>
          <cell r="AS109">
            <v>30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 t="str">
            <v>6201|10</v>
          </cell>
          <cell r="AY109">
            <v>10</v>
          </cell>
          <cell r="AZ109" t="str">
            <v>[]</v>
          </cell>
          <cell r="BA109" t="str">
            <v>4001|50</v>
          </cell>
          <cell r="BB109">
            <v>50</v>
          </cell>
          <cell r="BC109" t="str">
            <v>[]</v>
          </cell>
          <cell r="BD109" t="str">
            <v>[]</v>
          </cell>
          <cell r="BE109" t="str">
            <v>[]</v>
          </cell>
          <cell r="BF109">
            <v>3000</v>
          </cell>
          <cell r="BG109">
            <v>20000</v>
          </cell>
          <cell r="BH109">
            <v>4000</v>
          </cell>
          <cell r="BI109">
            <v>10120</v>
          </cell>
          <cell r="BJ109" t="str">
            <v>[]</v>
          </cell>
          <cell r="BK109">
            <v>0</v>
          </cell>
          <cell r="BL109">
            <v>6000</v>
          </cell>
          <cell r="BM109">
            <v>1</v>
          </cell>
          <cell r="BN109">
            <v>102</v>
          </cell>
          <cell r="BO109" t="str">
            <v>[]</v>
          </cell>
          <cell r="BP109">
            <v>1220</v>
          </cell>
          <cell r="BQ109" t="str">
            <v>[]</v>
          </cell>
          <cell r="BR109" t="str">
            <v>[]</v>
          </cell>
          <cell r="BS109" t="e">
            <v>#N/A</v>
          </cell>
          <cell r="BT109" t="str">
            <v>jiaye</v>
          </cell>
          <cell r="BU109" t="e">
            <v>#N/A</v>
          </cell>
          <cell r="BV109" t="str">
            <v>[]</v>
          </cell>
          <cell r="BW109" t="str">
            <v>2-20</v>
          </cell>
        </row>
        <row r="110">
          <cell r="A110">
            <v>1221</v>
          </cell>
          <cell r="B110" t="str">
            <v>镇元大仙</v>
          </cell>
          <cell r="C110" t="str">
            <v>[]</v>
          </cell>
          <cell r="D110">
            <v>1</v>
          </cell>
          <cell r="E110">
            <v>4</v>
          </cell>
          <cell r="F110">
            <v>2</v>
          </cell>
          <cell r="G110">
            <v>2</v>
          </cell>
          <cell r="H110" t="str">
            <v>法攻型，负责法术输出</v>
          </cell>
          <cell r="I110">
            <v>150</v>
          </cell>
          <cell r="J110" t="str">
            <v>wenshupusa_attack</v>
          </cell>
          <cell r="K110">
            <v>10</v>
          </cell>
          <cell r="L110" t="str">
            <v>wenshupusa_skill01,wenshupusa_skill02,wenshupusa_skill03,wenshupusa_skill04</v>
          </cell>
          <cell r="M110" t="str">
            <v>common_fangyu,common_chaofeng</v>
          </cell>
          <cell r="N110" t="str">
            <v>head_chijiaodaxian</v>
          </cell>
          <cell r="O110" t="str">
            <v>chengsebiankuang</v>
          </cell>
          <cell r="P110" t="str">
            <v>jiaye_actor</v>
          </cell>
          <cell r="Q110">
            <v>1</v>
          </cell>
          <cell r="R110" t="str">
            <v>[]</v>
          </cell>
          <cell r="S110" t="str">
            <v>[]</v>
          </cell>
          <cell r="T110" t="str">
            <v>[]</v>
          </cell>
          <cell r="U110">
            <v>6</v>
          </cell>
          <cell r="V110">
            <v>20</v>
          </cell>
          <cell r="W110">
            <v>12</v>
          </cell>
          <cell r="X110">
            <v>14</v>
          </cell>
          <cell r="Y110">
            <v>8</v>
          </cell>
          <cell r="Z110">
            <v>0.8</v>
          </cell>
          <cell r="AA110">
            <v>0</v>
          </cell>
          <cell r="AB110">
            <v>0</v>
          </cell>
          <cell r="AC110">
            <v>20000</v>
          </cell>
          <cell r="AD110">
            <v>800</v>
          </cell>
          <cell r="AE110">
            <v>400</v>
          </cell>
          <cell r="AF110">
            <v>400</v>
          </cell>
          <cell r="AG110">
            <v>1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1</v>
          </cell>
          <cell r="AN110">
            <v>0</v>
          </cell>
          <cell r="AO110">
            <v>0</v>
          </cell>
          <cell r="AP110">
            <v>1500</v>
          </cell>
          <cell r="AQ110">
            <v>60</v>
          </cell>
          <cell r="AR110">
            <v>30</v>
          </cell>
          <cell r="AS110">
            <v>30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 t="str">
            <v>6201|10</v>
          </cell>
          <cell r="AY110">
            <v>10</v>
          </cell>
          <cell r="AZ110" t="str">
            <v>[]</v>
          </cell>
          <cell r="BA110" t="str">
            <v>4001|50</v>
          </cell>
          <cell r="BB110">
            <v>50</v>
          </cell>
          <cell r="BC110" t="str">
            <v>[]</v>
          </cell>
          <cell r="BD110" t="str">
            <v>[]</v>
          </cell>
          <cell r="BE110" t="str">
            <v>[]</v>
          </cell>
          <cell r="BF110">
            <v>3000</v>
          </cell>
          <cell r="BG110">
            <v>20000</v>
          </cell>
          <cell r="BH110">
            <v>4000</v>
          </cell>
          <cell r="BI110">
            <v>10121</v>
          </cell>
          <cell r="BJ110" t="str">
            <v>[]</v>
          </cell>
          <cell r="BK110">
            <v>0</v>
          </cell>
          <cell r="BL110">
            <v>6000</v>
          </cell>
          <cell r="BM110">
            <v>1</v>
          </cell>
          <cell r="BN110">
            <v>102</v>
          </cell>
          <cell r="BO110" t="str">
            <v>[]</v>
          </cell>
          <cell r="BP110">
            <v>1221</v>
          </cell>
          <cell r="BQ110" t="str">
            <v>[]</v>
          </cell>
          <cell r="BR110" t="str">
            <v>[]</v>
          </cell>
          <cell r="BS110" t="e">
            <v>#N/A</v>
          </cell>
          <cell r="BT110" t="str">
            <v>jiaye</v>
          </cell>
          <cell r="BU110" t="e">
            <v>#N/A</v>
          </cell>
          <cell r="BV110" t="str">
            <v>[]</v>
          </cell>
          <cell r="BW110" t="str">
            <v>2-20</v>
          </cell>
        </row>
        <row r="111">
          <cell r="A111">
            <v>1222</v>
          </cell>
          <cell r="B111" t="str">
            <v>如来佛祖</v>
          </cell>
          <cell r="C111" t="str">
            <v>[]</v>
          </cell>
          <cell r="D111">
            <v>1</v>
          </cell>
          <cell r="E111">
            <v>4</v>
          </cell>
          <cell r="F111">
            <v>2</v>
          </cell>
          <cell r="G111">
            <v>2</v>
          </cell>
          <cell r="H111" t="str">
            <v>法攻型，负责法术输出</v>
          </cell>
          <cell r="I111">
            <v>150</v>
          </cell>
          <cell r="J111" t="str">
            <v>wenshupusa_attack</v>
          </cell>
          <cell r="K111">
            <v>10</v>
          </cell>
          <cell r="L111" t="str">
            <v>wenshupusa_skill01,wenshupusa_skill02,wenshupusa_skill03,wenshupusa_skill04</v>
          </cell>
          <cell r="M111" t="str">
            <v>common_fangyu,common_chaofeng</v>
          </cell>
          <cell r="N111" t="str">
            <v>head_chijiaodaxian</v>
          </cell>
          <cell r="O111" t="str">
            <v>chengsebiankuang</v>
          </cell>
          <cell r="P111" t="str">
            <v>jiaye_actor</v>
          </cell>
          <cell r="Q111">
            <v>1</v>
          </cell>
          <cell r="R111" t="str">
            <v>[]</v>
          </cell>
          <cell r="S111" t="str">
            <v>[]</v>
          </cell>
          <cell r="T111" t="str">
            <v>[]</v>
          </cell>
          <cell r="U111">
            <v>6</v>
          </cell>
          <cell r="V111">
            <v>20</v>
          </cell>
          <cell r="W111">
            <v>12</v>
          </cell>
          <cell r="X111">
            <v>14</v>
          </cell>
          <cell r="Y111">
            <v>8</v>
          </cell>
          <cell r="Z111">
            <v>0.8</v>
          </cell>
          <cell r="AA111">
            <v>0</v>
          </cell>
          <cell r="AB111">
            <v>0</v>
          </cell>
          <cell r="AC111">
            <v>20000</v>
          </cell>
          <cell r="AD111">
            <v>800</v>
          </cell>
          <cell r="AE111">
            <v>400</v>
          </cell>
          <cell r="AF111">
            <v>400</v>
          </cell>
          <cell r="AG111">
            <v>1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1</v>
          </cell>
          <cell r="AN111">
            <v>0</v>
          </cell>
          <cell r="AO111">
            <v>0</v>
          </cell>
          <cell r="AP111">
            <v>1500</v>
          </cell>
          <cell r="AQ111">
            <v>60</v>
          </cell>
          <cell r="AR111">
            <v>30</v>
          </cell>
          <cell r="AS111">
            <v>30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 t="str">
            <v>6201|10</v>
          </cell>
          <cell r="AY111">
            <v>10</v>
          </cell>
          <cell r="AZ111" t="str">
            <v>[]</v>
          </cell>
          <cell r="BA111" t="str">
            <v>4001|50</v>
          </cell>
          <cell r="BB111">
            <v>50</v>
          </cell>
          <cell r="BC111" t="str">
            <v>[]</v>
          </cell>
          <cell r="BD111" t="str">
            <v>[]</v>
          </cell>
          <cell r="BE111" t="str">
            <v>[]</v>
          </cell>
          <cell r="BF111">
            <v>3000</v>
          </cell>
          <cell r="BG111">
            <v>20000</v>
          </cell>
          <cell r="BH111">
            <v>4000</v>
          </cell>
          <cell r="BI111">
            <v>10122</v>
          </cell>
          <cell r="BJ111" t="str">
            <v>[]</v>
          </cell>
          <cell r="BK111">
            <v>0</v>
          </cell>
          <cell r="BL111">
            <v>6000</v>
          </cell>
          <cell r="BM111">
            <v>1</v>
          </cell>
          <cell r="BN111">
            <v>102</v>
          </cell>
          <cell r="BO111" t="str">
            <v>[]</v>
          </cell>
          <cell r="BP111">
            <v>1222</v>
          </cell>
          <cell r="BQ111" t="str">
            <v>[]</v>
          </cell>
          <cell r="BR111" t="str">
            <v>[]</v>
          </cell>
          <cell r="BS111" t="e">
            <v>#N/A</v>
          </cell>
          <cell r="BT111" t="str">
            <v>jiaye</v>
          </cell>
          <cell r="BU111" t="e">
            <v>#N/A</v>
          </cell>
          <cell r="BV111" t="str">
            <v>[]</v>
          </cell>
          <cell r="BW111" t="str">
            <v>2-20</v>
          </cell>
        </row>
        <row r="112">
          <cell r="A112">
            <v>1223</v>
          </cell>
          <cell r="B112" t="str">
            <v>孔雀大明王</v>
          </cell>
          <cell r="C112" t="str">
            <v>[]</v>
          </cell>
          <cell r="D112">
            <v>1</v>
          </cell>
          <cell r="E112">
            <v>4</v>
          </cell>
          <cell r="F112">
            <v>5</v>
          </cell>
          <cell r="G112">
            <v>2</v>
          </cell>
          <cell r="H112" t="str">
            <v>法攻型，负责法术输出</v>
          </cell>
          <cell r="I112">
            <v>150</v>
          </cell>
          <cell r="J112" t="str">
            <v>nanzhujue_attack</v>
          </cell>
          <cell r="K112">
            <v>10</v>
          </cell>
          <cell r="L112" t="str">
            <v>[]</v>
          </cell>
          <cell r="M112" t="str">
            <v>common_fangyu,common_chaofeng</v>
          </cell>
          <cell r="N112" t="str">
            <v>head_kongquedamingwang</v>
          </cell>
          <cell r="O112" t="str">
            <v>chengsebiankuang</v>
          </cell>
          <cell r="P112" t="str">
            <v>kongquedamingwang_actor</v>
          </cell>
          <cell r="Q112">
            <v>1</v>
          </cell>
          <cell r="R112" t="str">
            <v>[]</v>
          </cell>
          <cell r="S112" t="str">
            <v>[]</v>
          </cell>
          <cell r="T112" t="str">
            <v>[]</v>
          </cell>
          <cell r="U112">
            <v>6</v>
          </cell>
          <cell r="V112">
            <v>20</v>
          </cell>
          <cell r="W112">
            <v>11</v>
          </cell>
          <cell r="X112">
            <v>14</v>
          </cell>
          <cell r="Y112">
            <v>8</v>
          </cell>
          <cell r="Z112">
            <v>0.8</v>
          </cell>
          <cell r="AA112">
            <v>0</v>
          </cell>
          <cell r="AB112">
            <v>0</v>
          </cell>
          <cell r="AC112">
            <v>20000</v>
          </cell>
          <cell r="AD112">
            <v>800</v>
          </cell>
          <cell r="AE112">
            <v>400</v>
          </cell>
          <cell r="AF112">
            <v>400</v>
          </cell>
          <cell r="AG112">
            <v>1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1</v>
          </cell>
          <cell r="AN112">
            <v>0</v>
          </cell>
          <cell r="AO112">
            <v>0</v>
          </cell>
          <cell r="AP112">
            <v>1500</v>
          </cell>
          <cell r="AQ112">
            <v>60</v>
          </cell>
          <cell r="AR112">
            <v>30</v>
          </cell>
          <cell r="AS112">
            <v>30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 t="str">
            <v>6201|10</v>
          </cell>
          <cell r="AY112">
            <v>10</v>
          </cell>
          <cell r="AZ112" t="str">
            <v>[]</v>
          </cell>
          <cell r="BA112" t="str">
            <v>3001|50</v>
          </cell>
          <cell r="BB112">
            <v>50</v>
          </cell>
          <cell r="BC112" t="str">
            <v>[]</v>
          </cell>
          <cell r="BD112" t="str">
            <v>[]</v>
          </cell>
          <cell r="BE112" t="str">
            <v>[]</v>
          </cell>
          <cell r="BF112">
            <v>3000</v>
          </cell>
          <cell r="BG112" t="str">
            <v>0</v>
          </cell>
          <cell r="BH112" t="str">
            <v>0</v>
          </cell>
          <cell r="BI112">
            <v>10123</v>
          </cell>
          <cell r="BJ112" t="str">
            <v>[]</v>
          </cell>
          <cell r="BK112">
            <v>0</v>
          </cell>
          <cell r="BL112">
            <v>1000</v>
          </cell>
          <cell r="BM112">
            <v>0</v>
          </cell>
          <cell r="BN112">
            <v>102</v>
          </cell>
          <cell r="BO112" t="str">
            <v>[]</v>
          </cell>
          <cell r="BP112">
            <v>1223</v>
          </cell>
          <cell r="BQ112" t="str">
            <v>[]</v>
          </cell>
          <cell r="BR112" t="str">
            <v>[]</v>
          </cell>
          <cell r="BS112" t="e">
            <v>#N/A</v>
          </cell>
          <cell r="BT112" t="str">
            <v>kongquedamingwang</v>
          </cell>
          <cell r="BU112" t="e">
            <v>#N/A</v>
          </cell>
          <cell r="BV112" t="str">
            <v>[]</v>
          </cell>
          <cell r="BW112" t="str">
            <v>2-20</v>
          </cell>
        </row>
        <row r="113">
          <cell r="A113">
            <v>1224</v>
          </cell>
          <cell r="B113" t="str">
            <v>观世音(废弃)</v>
          </cell>
          <cell r="C113" t="str">
            <v>[]</v>
          </cell>
          <cell r="D113">
            <v>1</v>
          </cell>
          <cell r="E113">
            <v>4</v>
          </cell>
          <cell r="F113">
            <v>2</v>
          </cell>
          <cell r="G113">
            <v>2</v>
          </cell>
          <cell r="H113" t="str">
            <v>法攻型，负责法术输出</v>
          </cell>
          <cell r="I113">
            <v>150</v>
          </cell>
          <cell r="J113" t="str">
            <v>wenshupusa_attack</v>
          </cell>
          <cell r="K113">
            <v>10</v>
          </cell>
          <cell r="L113" t="str">
            <v>wenshupusa_skill01,wenshupusa_skill02,wenshupusa_skill03,wenshupusa_skill04</v>
          </cell>
          <cell r="M113" t="str">
            <v>common_fangyu,common_chaofeng</v>
          </cell>
          <cell r="N113" t="str">
            <v>head_chijiaodaxian</v>
          </cell>
          <cell r="O113" t="str">
            <v>chengsebiankuang</v>
          </cell>
          <cell r="P113" t="str">
            <v>jiaye_actor</v>
          </cell>
          <cell r="Q113">
            <v>1</v>
          </cell>
          <cell r="R113" t="str">
            <v>[]</v>
          </cell>
          <cell r="S113" t="str">
            <v>[]</v>
          </cell>
          <cell r="T113" t="str">
            <v>[]</v>
          </cell>
          <cell r="U113">
            <v>5</v>
          </cell>
          <cell r="V113">
            <v>16</v>
          </cell>
          <cell r="W113">
            <v>12</v>
          </cell>
          <cell r="X113">
            <v>14</v>
          </cell>
          <cell r="Y113">
            <v>8</v>
          </cell>
          <cell r="Z113">
            <v>0.8</v>
          </cell>
          <cell r="AA113">
            <v>0</v>
          </cell>
          <cell r="AB113">
            <v>0</v>
          </cell>
          <cell r="AC113">
            <v>12500</v>
          </cell>
          <cell r="AD113">
            <v>500</v>
          </cell>
          <cell r="AE113">
            <v>250</v>
          </cell>
          <cell r="AF113">
            <v>250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1</v>
          </cell>
          <cell r="AN113">
            <v>0</v>
          </cell>
          <cell r="AO113">
            <v>0</v>
          </cell>
          <cell r="AP113">
            <v>750</v>
          </cell>
          <cell r="AQ113">
            <v>30</v>
          </cell>
          <cell r="AR113">
            <v>15</v>
          </cell>
          <cell r="AS113">
            <v>15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 t="str">
            <v>5201|10</v>
          </cell>
          <cell r="AY113">
            <v>10</v>
          </cell>
          <cell r="AZ113" t="str">
            <v>[]</v>
          </cell>
          <cell r="BA113" t="str">
            <v>4001|50</v>
          </cell>
          <cell r="BB113">
            <v>50</v>
          </cell>
          <cell r="BC113" t="str">
            <v>11212,11215,11216,11223,11224,11243</v>
          </cell>
          <cell r="BD113" t="str">
            <v>[]</v>
          </cell>
          <cell r="BE113" t="str">
            <v>[]</v>
          </cell>
          <cell r="BF113">
            <v>2000</v>
          </cell>
          <cell r="BG113">
            <v>20000</v>
          </cell>
          <cell r="BH113">
            <v>4000</v>
          </cell>
          <cell r="BI113">
            <v>10124</v>
          </cell>
          <cell r="BJ113" t="str">
            <v>[]</v>
          </cell>
          <cell r="BK113">
            <v>0</v>
          </cell>
          <cell r="BL113">
            <v>6000</v>
          </cell>
          <cell r="BM113">
            <v>1</v>
          </cell>
          <cell r="BN113">
            <v>101</v>
          </cell>
          <cell r="BO113" t="str">
            <v>[]</v>
          </cell>
          <cell r="BP113">
            <v>1224</v>
          </cell>
          <cell r="BQ113" t="str">
            <v>guanyin_a_01,guanyin_a_02</v>
          </cell>
          <cell r="BR113" t="str">
            <v>[]</v>
          </cell>
          <cell r="BS113" t="e">
            <v>#N/A</v>
          </cell>
          <cell r="BT113" t="str">
            <v>jiaye</v>
          </cell>
          <cell r="BU113" t="e">
            <v>#N/A</v>
          </cell>
          <cell r="BV113" t="str">
            <v>[]</v>
          </cell>
          <cell r="BW113" t="str">
            <v>2-16</v>
          </cell>
        </row>
        <row r="114">
          <cell r="A114">
            <v>1225</v>
          </cell>
          <cell r="B114" t="str">
            <v>观世阴</v>
          </cell>
          <cell r="C114" t="str">
            <v>[]</v>
          </cell>
          <cell r="D114">
            <v>1</v>
          </cell>
          <cell r="E114">
            <v>4</v>
          </cell>
          <cell r="F114">
            <v>2</v>
          </cell>
          <cell r="G114">
            <v>2</v>
          </cell>
          <cell r="H114" t="str">
            <v>法攻型，负责法术输出</v>
          </cell>
          <cell r="I114">
            <v>150</v>
          </cell>
          <cell r="J114" t="str">
            <v>wenshupusa_attack</v>
          </cell>
          <cell r="K114">
            <v>10</v>
          </cell>
          <cell r="L114" t="str">
            <v>wenshupusa_skill01,wenshupusa_skill02,wenshupusa_skill03,wenshupusa_skill04</v>
          </cell>
          <cell r="M114" t="str">
            <v>common_fangyu,common_chaofeng</v>
          </cell>
          <cell r="N114" t="str">
            <v>head_chijiaodaxian</v>
          </cell>
          <cell r="O114" t="str">
            <v>chengsebiankuang</v>
          </cell>
          <cell r="P114" t="str">
            <v>jiaye_actor</v>
          </cell>
          <cell r="Q114">
            <v>1</v>
          </cell>
          <cell r="R114" t="str">
            <v>[]</v>
          </cell>
          <cell r="S114" t="str">
            <v>[]</v>
          </cell>
          <cell r="T114" t="str">
            <v>[]</v>
          </cell>
          <cell r="U114">
            <v>6</v>
          </cell>
          <cell r="V114">
            <v>20</v>
          </cell>
          <cell r="W114">
            <v>12</v>
          </cell>
          <cell r="X114">
            <v>14</v>
          </cell>
          <cell r="Y114">
            <v>8</v>
          </cell>
          <cell r="Z114">
            <v>0.8</v>
          </cell>
          <cell r="AA114">
            <v>0</v>
          </cell>
          <cell r="AB114">
            <v>0</v>
          </cell>
          <cell r="AC114">
            <v>20000</v>
          </cell>
          <cell r="AD114">
            <v>800</v>
          </cell>
          <cell r="AE114">
            <v>400</v>
          </cell>
          <cell r="AF114">
            <v>400</v>
          </cell>
          <cell r="AG114">
            <v>1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1</v>
          </cell>
          <cell r="AN114">
            <v>0</v>
          </cell>
          <cell r="AO114">
            <v>0</v>
          </cell>
          <cell r="AP114">
            <v>1500</v>
          </cell>
          <cell r="AQ114">
            <v>60</v>
          </cell>
          <cell r="AR114">
            <v>30</v>
          </cell>
          <cell r="AS114">
            <v>30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 t="str">
            <v>6201|10</v>
          </cell>
          <cell r="AY114">
            <v>10</v>
          </cell>
          <cell r="AZ114" t="str">
            <v>[]</v>
          </cell>
          <cell r="BA114" t="str">
            <v>4001|50</v>
          </cell>
          <cell r="BB114">
            <v>50</v>
          </cell>
          <cell r="BC114" t="str">
            <v>[]</v>
          </cell>
          <cell r="BD114" t="str">
            <v>[]</v>
          </cell>
          <cell r="BE114" t="str">
            <v>[]</v>
          </cell>
          <cell r="BF114">
            <v>3000</v>
          </cell>
          <cell r="BG114">
            <v>20000</v>
          </cell>
          <cell r="BH114">
            <v>4000</v>
          </cell>
          <cell r="BI114">
            <v>10125</v>
          </cell>
          <cell r="BJ114" t="str">
            <v>[]</v>
          </cell>
          <cell r="BK114">
            <v>0</v>
          </cell>
          <cell r="BL114">
            <v>6000</v>
          </cell>
          <cell r="BM114">
            <v>1</v>
          </cell>
          <cell r="BN114">
            <v>102</v>
          </cell>
          <cell r="BO114" t="str">
            <v>[]</v>
          </cell>
          <cell r="BP114">
            <v>1225</v>
          </cell>
          <cell r="BQ114" t="str">
            <v>[]</v>
          </cell>
          <cell r="BR114" t="str">
            <v>[]</v>
          </cell>
          <cell r="BS114" t="e">
            <v>#N/A</v>
          </cell>
          <cell r="BT114" t="str">
            <v>jiaye</v>
          </cell>
          <cell r="BU114" t="e">
            <v>#N/A</v>
          </cell>
          <cell r="BV114" t="str">
            <v>[]</v>
          </cell>
          <cell r="BW114" t="str">
            <v>2-20</v>
          </cell>
        </row>
        <row r="115">
          <cell r="A115">
            <v>1226</v>
          </cell>
          <cell r="B115" t="str">
            <v>扇子精</v>
          </cell>
          <cell r="C115" t="str">
            <v>我的扇子只比芭蕉扇小一点点儿~</v>
          </cell>
          <cell r="D115">
            <v>1</v>
          </cell>
          <cell r="E115">
            <v>2</v>
          </cell>
          <cell r="F115">
            <v>2</v>
          </cell>
          <cell r="G115">
            <v>2</v>
          </cell>
          <cell r="H115" t="str">
            <v>法攻型，负责法术输出</v>
          </cell>
          <cell r="I115">
            <v>150</v>
          </cell>
          <cell r="J115" t="str">
            <v>shanzijing_attack</v>
          </cell>
          <cell r="K115">
            <v>10</v>
          </cell>
          <cell r="L115" t="str">
            <v>shanzijing_skill01,shanzijing_skill02,shanzijing_skill03,shanzijing_skill04</v>
          </cell>
          <cell r="M115" t="str">
            <v>common_fangyu,common_chaofeng</v>
          </cell>
          <cell r="N115" t="str">
            <v>head_shanzijing</v>
          </cell>
          <cell r="O115" t="str">
            <v>zisebiankuang</v>
          </cell>
          <cell r="P115" t="str">
            <v>shanzijing_actor</v>
          </cell>
          <cell r="Q115">
            <v>1</v>
          </cell>
          <cell r="R115" t="str">
            <v>[]</v>
          </cell>
          <cell r="S115" t="str">
            <v>[]</v>
          </cell>
          <cell r="T115" t="str">
            <v>[]</v>
          </cell>
          <cell r="U115">
            <v>3</v>
          </cell>
          <cell r="V115">
            <v>11</v>
          </cell>
          <cell r="W115">
            <v>12</v>
          </cell>
          <cell r="X115">
            <v>14</v>
          </cell>
          <cell r="Y115">
            <v>8</v>
          </cell>
          <cell r="Z115">
            <v>1</v>
          </cell>
          <cell r="AA115">
            <v>0</v>
          </cell>
          <cell r="AB115">
            <v>0</v>
          </cell>
          <cell r="AC115">
            <v>4000</v>
          </cell>
          <cell r="AD115">
            <v>160</v>
          </cell>
          <cell r="AE115">
            <v>80</v>
          </cell>
          <cell r="AF115">
            <v>80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1</v>
          </cell>
          <cell r="AN115">
            <v>0</v>
          </cell>
          <cell r="AO115">
            <v>0</v>
          </cell>
          <cell r="AP115">
            <v>400</v>
          </cell>
          <cell r="AQ115">
            <v>16</v>
          </cell>
          <cell r="AR115">
            <v>8</v>
          </cell>
          <cell r="AS115">
            <v>8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 t="str">
            <v>3001|8</v>
          </cell>
          <cell r="AY115">
            <v>8</v>
          </cell>
          <cell r="AZ115" t="str">
            <v>122601,122602,122603,122604,122605,122606,122607,122608</v>
          </cell>
          <cell r="BA115" t="str">
            <v>4001|50</v>
          </cell>
          <cell r="BB115">
            <v>50</v>
          </cell>
          <cell r="BC115" t="str">
            <v>11045,11046,11049,11053</v>
          </cell>
          <cell r="BD115" t="str">
            <v>[]</v>
          </cell>
          <cell r="BE115" t="str">
            <v>12015,12013</v>
          </cell>
          <cell r="BF115">
            <v>400</v>
          </cell>
          <cell r="BG115">
            <v>20000</v>
          </cell>
          <cell r="BH115">
            <v>4000</v>
          </cell>
          <cell r="BI115">
            <v>10126</v>
          </cell>
          <cell r="BJ115" t="str">
            <v>[]</v>
          </cell>
          <cell r="BK115">
            <v>0</v>
          </cell>
          <cell r="BL115">
            <v>6000</v>
          </cell>
          <cell r="BM115">
            <v>1</v>
          </cell>
          <cell r="BN115">
            <v>100</v>
          </cell>
          <cell r="BO115" t="str">
            <v>[]</v>
          </cell>
          <cell r="BP115">
            <v>1226</v>
          </cell>
          <cell r="BQ115" t="str">
            <v>moyujing_a_01</v>
          </cell>
          <cell r="BR115" t="str">
            <v>[]</v>
          </cell>
          <cell r="BS115" t="e">
            <v>#N/A</v>
          </cell>
          <cell r="BT115" t="str">
            <v>shanzijing</v>
          </cell>
          <cell r="BU115" t="e">
            <v>#N/A</v>
          </cell>
          <cell r="BV115" t="str">
            <v>[]</v>
          </cell>
          <cell r="BW115" t="str">
            <v>2-11</v>
          </cell>
        </row>
        <row r="116">
          <cell r="A116">
            <v>1227</v>
          </cell>
          <cell r="B116" t="str">
            <v>太上老君</v>
          </cell>
          <cell r="C116" t="str">
            <v>[]</v>
          </cell>
          <cell r="D116">
            <v>1</v>
          </cell>
          <cell r="E116">
            <v>4</v>
          </cell>
          <cell r="F116">
            <v>2</v>
          </cell>
          <cell r="G116">
            <v>2</v>
          </cell>
          <cell r="H116" t="str">
            <v>法攻型，负责法术输出</v>
          </cell>
          <cell r="I116">
            <v>150</v>
          </cell>
          <cell r="J116" t="str">
            <v>wenshupusa_attack</v>
          </cell>
          <cell r="K116">
            <v>10</v>
          </cell>
          <cell r="L116" t="str">
            <v>wenshupusa_skill01,wenshupusa_skill02,wenshupusa_skill03,wenshupusa_skill04</v>
          </cell>
          <cell r="M116" t="str">
            <v>common_fangyu,common_chaofeng</v>
          </cell>
          <cell r="N116" t="str">
            <v>head_chijiaodaxian</v>
          </cell>
          <cell r="O116" t="str">
            <v>chengsebiankuang</v>
          </cell>
          <cell r="P116" t="str">
            <v>jiaye_actor</v>
          </cell>
          <cell r="Q116">
            <v>1</v>
          </cell>
          <cell r="R116" t="str">
            <v>[]</v>
          </cell>
          <cell r="S116" t="str">
            <v>[]</v>
          </cell>
          <cell r="T116" t="str">
            <v>[]</v>
          </cell>
          <cell r="U116">
            <v>6</v>
          </cell>
          <cell r="V116">
            <v>20</v>
          </cell>
          <cell r="W116">
            <v>12</v>
          </cell>
          <cell r="X116">
            <v>14</v>
          </cell>
          <cell r="Y116">
            <v>8</v>
          </cell>
          <cell r="Z116">
            <v>0.8</v>
          </cell>
          <cell r="AA116">
            <v>0</v>
          </cell>
          <cell r="AB116">
            <v>0</v>
          </cell>
          <cell r="AC116">
            <v>20000</v>
          </cell>
          <cell r="AD116">
            <v>800</v>
          </cell>
          <cell r="AE116">
            <v>400</v>
          </cell>
          <cell r="AF116">
            <v>400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1</v>
          </cell>
          <cell r="AN116">
            <v>0</v>
          </cell>
          <cell r="AO116">
            <v>0</v>
          </cell>
          <cell r="AP116">
            <v>1500</v>
          </cell>
          <cell r="AQ116">
            <v>60</v>
          </cell>
          <cell r="AR116">
            <v>30</v>
          </cell>
          <cell r="AS116">
            <v>30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 t="str">
            <v>6201|10</v>
          </cell>
          <cell r="AY116">
            <v>10</v>
          </cell>
          <cell r="AZ116" t="str">
            <v>[]</v>
          </cell>
          <cell r="BA116" t="str">
            <v>4001|50</v>
          </cell>
          <cell r="BB116">
            <v>50</v>
          </cell>
          <cell r="BC116" t="str">
            <v>[]</v>
          </cell>
          <cell r="BD116" t="str">
            <v>[]</v>
          </cell>
          <cell r="BE116" t="str">
            <v>[]</v>
          </cell>
          <cell r="BF116">
            <v>3000</v>
          </cell>
          <cell r="BG116">
            <v>20000</v>
          </cell>
          <cell r="BH116">
            <v>4000</v>
          </cell>
          <cell r="BI116">
            <v>10127</v>
          </cell>
          <cell r="BJ116" t="str">
            <v>[]</v>
          </cell>
          <cell r="BK116">
            <v>0</v>
          </cell>
          <cell r="BL116">
            <v>6000</v>
          </cell>
          <cell r="BM116">
            <v>1</v>
          </cell>
          <cell r="BN116">
            <v>102</v>
          </cell>
          <cell r="BO116" t="str">
            <v>[]</v>
          </cell>
          <cell r="BP116">
            <v>1227</v>
          </cell>
          <cell r="BQ116" t="str">
            <v>[]</v>
          </cell>
          <cell r="BR116" t="str">
            <v>[]</v>
          </cell>
          <cell r="BS116" t="e">
            <v>#N/A</v>
          </cell>
          <cell r="BT116" t="str">
            <v>jiaye</v>
          </cell>
          <cell r="BU116" t="e">
            <v>#N/A</v>
          </cell>
          <cell r="BV116" t="str">
            <v>[]</v>
          </cell>
          <cell r="BW116" t="str">
            <v>2-20</v>
          </cell>
        </row>
        <row r="117">
          <cell r="A117">
            <v>1801</v>
          </cell>
          <cell r="B117" t="str">
            <v>紫霞仙子</v>
          </cell>
          <cell r="C117" t="str">
            <v>新手引导</v>
          </cell>
          <cell r="D117">
            <v>1</v>
          </cell>
          <cell r="E117">
            <v>4</v>
          </cell>
          <cell r="F117">
            <v>3</v>
          </cell>
          <cell r="G117">
            <v>3</v>
          </cell>
          <cell r="H117" t="str">
            <v>物攻型，负责物理输出</v>
          </cell>
          <cell r="I117">
            <v>150</v>
          </cell>
          <cell r="J117" t="str">
            <v>zixiaxianzi_attack</v>
          </cell>
          <cell r="K117">
            <v>10</v>
          </cell>
          <cell r="L117" t="str">
            <v>zixiaxianzi_skill06,zixiaxianzi_skill07,zixiaxianzi_skill05</v>
          </cell>
          <cell r="M117" t="str">
            <v>common_fangyu,common_chaofeng</v>
          </cell>
          <cell r="N117" t="str">
            <v>head_zixiaxianzi</v>
          </cell>
          <cell r="O117" t="str">
            <v>chengsebiankuang</v>
          </cell>
          <cell r="P117" t="str">
            <v>zixiaxianzi_actor</v>
          </cell>
          <cell r="Q117">
            <v>1</v>
          </cell>
          <cell r="R117" t="str">
            <v>[]</v>
          </cell>
          <cell r="S117" t="str">
            <v>[]</v>
          </cell>
          <cell r="T117" t="str">
            <v>[]</v>
          </cell>
          <cell r="U117">
            <v>6</v>
          </cell>
          <cell r="V117">
            <v>20</v>
          </cell>
          <cell r="W117">
            <v>4</v>
          </cell>
          <cell r="X117">
            <v>12</v>
          </cell>
          <cell r="Y117">
            <v>8</v>
          </cell>
          <cell r="Z117">
            <v>1</v>
          </cell>
          <cell r="AA117">
            <v>0</v>
          </cell>
          <cell r="AB117">
            <v>0</v>
          </cell>
          <cell r="AC117">
            <v>20000</v>
          </cell>
          <cell r="AD117">
            <v>800</v>
          </cell>
          <cell r="AE117">
            <v>400</v>
          </cell>
          <cell r="AF117">
            <v>400</v>
          </cell>
          <cell r="AG117">
            <v>1.5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1</v>
          </cell>
          <cell r="AN117">
            <v>0</v>
          </cell>
          <cell r="AO117">
            <v>0</v>
          </cell>
          <cell r="AP117">
            <v>1500</v>
          </cell>
          <cell r="AQ117">
            <v>60</v>
          </cell>
          <cell r="AR117">
            <v>30</v>
          </cell>
          <cell r="AS117">
            <v>30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 t="str">
            <v>6301|10</v>
          </cell>
          <cell r="AY117">
            <v>10</v>
          </cell>
          <cell r="AZ117" t="str">
            <v>[]</v>
          </cell>
          <cell r="BA117" t="str">
            <v>5001|50</v>
          </cell>
          <cell r="BB117">
            <v>50</v>
          </cell>
          <cell r="BC117" t="str">
            <v>[]</v>
          </cell>
          <cell r="BD117" t="str">
            <v>[]</v>
          </cell>
          <cell r="BE117" t="str">
            <v>[]</v>
          </cell>
          <cell r="BF117">
            <v>0</v>
          </cell>
          <cell r="BG117">
            <v>20000</v>
          </cell>
          <cell r="BH117">
            <v>4000</v>
          </cell>
          <cell r="BI117" t="str">
            <v>[]</v>
          </cell>
          <cell r="BJ117" t="str">
            <v>[]</v>
          </cell>
          <cell r="BK117">
            <v>0</v>
          </cell>
          <cell r="BL117">
            <v>12000</v>
          </cell>
          <cell r="BM117">
            <v>12</v>
          </cell>
          <cell r="BN117">
            <v>102</v>
          </cell>
          <cell r="BO117">
            <v>1121</v>
          </cell>
          <cell r="BP117" t="str">
            <v>[]</v>
          </cell>
          <cell r="BQ117" t="str">
            <v>[]</v>
          </cell>
          <cell r="BR117" t="str">
            <v>[]</v>
          </cell>
          <cell r="BS117" t="e">
            <v>#VALUE!</v>
          </cell>
          <cell r="BT117" t="str">
            <v>zixiaxianzi</v>
          </cell>
          <cell r="BU117" t="e">
            <v>#VALUE!</v>
          </cell>
          <cell r="BV117" t="str">
            <v>[]</v>
          </cell>
          <cell r="BW117" t="str">
            <v>3-20</v>
          </cell>
        </row>
        <row r="118">
          <cell r="A118">
            <v>1802</v>
          </cell>
          <cell r="B118" t="str">
            <v>铁扇公主</v>
          </cell>
          <cell r="C118" t="str">
            <v>新手引导</v>
          </cell>
          <cell r="D118">
            <v>1</v>
          </cell>
          <cell r="E118">
            <v>4</v>
          </cell>
          <cell r="F118">
            <v>3</v>
          </cell>
          <cell r="G118">
            <v>3</v>
          </cell>
          <cell r="H118" t="str">
            <v>物攻型，负责物理输出</v>
          </cell>
          <cell r="I118">
            <v>150</v>
          </cell>
          <cell r="J118" t="str">
            <v>tieshangongzhu_attack</v>
          </cell>
          <cell r="K118">
            <v>10</v>
          </cell>
          <cell r="L118" t="str">
            <v>tieshangongzhu_skill01,zixiaxianzi_skill05</v>
          </cell>
          <cell r="M118" t="str">
            <v>common_fangyu,common_chaofeng</v>
          </cell>
          <cell r="N118" t="str">
            <v>head_tieshangongzhu</v>
          </cell>
          <cell r="O118" t="str">
            <v>chengsebiankuang</v>
          </cell>
          <cell r="P118" t="str">
            <v>tieshangongzhu_actor</v>
          </cell>
          <cell r="Q118">
            <v>1</v>
          </cell>
          <cell r="R118" t="str">
            <v>[]</v>
          </cell>
          <cell r="S118" t="str">
            <v>[]</v>
          </cell>
          <cell r="T118" t="str">
            <v>[]</v>
          </cell>
          <cell r="U118">
            <v>6</v>
          </cell>
          <cell r="V118">
            <v>20</v>
          </cell>
          <cell r="W118">
            <v>12</v>
          </cell>
          <cell r="X118">
            <v>12</v>
          </cell>
          <cell r="Y118">
            <v>8</v>
          </cell>
          <cell r="Z118">
            <v>1</v>
          </cell>
          <cell r="AA118">
            <v>0</v>
          </cell>
          <cell r="AB118">
            <v>0</v>
          </cell>
          <cell r="AC118">
            <v>20000</v>
          </cell>
          <cell r="AD118">
            <v>800</v>
          </cell>
          <cell r="AE118">
            <v>400</v>
          </cell>
          <cell r="AF118">
            <v>400</v>
          </cell>
          <cell r="AG118">
            <v>1.5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1</v>
          </cell>
          <cell r="AN118">
            <v>0</v>
          </cell>
          <cell r="AO118">
            <v>0</v>
          </cell>
          <cell r="AP118">
            <v>1500</v>
          </cell>
          <cell r="AQ118">
            <v>60</v>
          </cell>
          <cell r="AR118">
            <v>30</v>
          </cell>
          <cell r="AS118">
            <v>30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 t="str">
            <v>6301|10</v>
          </cell>
          <cell r="AY118">
            <v>10</v>
          </cell>
          <cell r="AZ118" t="str">
            <v>[]</v>
          </cell>
          <cell r="BA118" t="str">
            <v>5001|50</v>
          </cell>
          <cell r="BB118">
            <v>50</v>
          </cell>
          <cell r="BC118" t="str">
            <v>[]</v>
          </cell>
          <cell r="BD118" t="str">
            <v>[]</v>
          </cell>
          <cell r="BE118" t="str">
            <v>[]</v>
          </cell>
          <cell r="BF118">
            <v>0</v>
          </cell>
          <cell r="BG118">
            <v>20000</v>
          </cell>
          <cell r="BH118">
            <v>4000</v>
          </cell>
          <cell r="BI118" t="str">
            <v>[]</v>
          </cell>
          <cell r="BJ118" t="str">
            <v>[]</v>
          </cell>
          <cell r="BK118">
            <v>0</v>
          </cell>
          <cell r="BL118">
            <v>800</v>
          </cell>
          <cell r="BM118">
            <v>0</v>
          </cell>
          <cell r="BN118">
            <v>102</v>
          </cell>
          <cell r="BO118">
            <v>1111</v>
          </cell>
          <cell r="BP118" t="str">
            <v>[]</v>
          </cell>
          <cell r="BQ118" t="str">
            <v>tieshangongzhu_a_01,tieshangongzhu_a_02</v>
          </cell>
          <cell r="BR118" t="str">
            <v>[]</v>
          </cell>
          <cell r="BS118" t="e">
            <v>#N/A</v>
          </cell>
          <cell r="BT118" t="str">
            <v>tieshangongzhu</v>
          </cell>
          <cell r="BU118" t="e">
            <v>#N/A</v>
          </cell>
          <cell r="BV118" t="str">
            <v>[]</v>
          </cell>
          <cell r="BW118" t="str">
            <v>3-20</v>
          </cell>
        </row>
        <row r="119">
          <cell r="A119">
            <v>1803</v>
          </cell>
          <cell r="B119" t="str">
            <v>孙悟空</v>
          </cell>
          <cell r="C119" t="str">
            <v>新手引导</v>
          </cell>
          <cell r="D119">
            <v>1</v>
          </cell>
          <cell r="E119">
            <v>4</v>
          </cell>
          <cell r="F119">
            <v>3</v>
          </cell>
          <cell r="G119">
            <v>3</v>
          </cell>
          <cell r="H119" t="str">
            <v>物攻型，负责物理输出</v>
          </cell>
          <cell r="I119">
            <v>150</v>
          </cell>
          <cell r="J119" t="str">
            <v>sunwukong_attack</v>
          </cell>
          <cell r="K119">
            <v>10</v>
          </cell>
          <cell r="L119" t="str">
            <v>sunwukong_skill051,sunwukong_skill05,sunwukong_skill06,sunwukong_skill07</v>
          </cell>
          <cell r="M119" t="str">
            <v>common_fangyu,common_chaofeng</v>
          </cell>
          <cell r="N119" t="str">
            <v>head_sunwukong</v>
          </cell>
          <cell r="O119" t="str">
            <v>chengsebiankuang</v>
          </cell>
          <cell r="P119" t="str">
            <v>sunwukong_actor</v>
          </cell>
          <cell r="Q119">
            <v>1</v>
          </cell>
          <cell r="R119" t="str">
            <v>[]</v>
          </cell>
          <cell r="S119" t="str">
            <v>[]</v>
          </cell>
          <cell r="T119" t="str">
            <v>[]</v>
          </cell>
          <cell r="U119">
            <v>6</v>
          </cell>
          <cell r="V119">
            <v>20</v>
          </cell>
          <cell r="W119">
            <v>4</v>
          </cell>
          <cell r="X119">
            <v>12</v>
          </cell>
          <cell r="Y119">
            <v>8</v>
          </cell>
          <cell r="Z119">
            <v>1</v>
          </cell>
          <cell r="AA119">
            <v>0</v>
          </cell>
          <cell r="AB119">
            <v>0</v>
          </cell>
          <cell r="AC119">
            <v>20000</v>
          </cell>
          <cell r="AD119">
            <v>800</v>
          </cell>
          <cell r="AE119">
            <v>400</v>
          </cell>
          <cell r="AF119">
            <v>400</v>
          </cell>
          <cell r="AG119">
            <v>1.5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1</v>
          </cell>
          <cell r="AN119">
            <v>0</v>
          </cell>
          <cell r="AO119">
            <v>0</v>
          </cell>
          <cell r="AP119">
            <v>1500</v>
          </cell>
          <cell r="AQ119">
            <v>60</v>
          </cell>
          <cell r="AR119">
            <v>30</v>
          </cell>
          <cell r="AS119">
            <v>30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 t="str">
            <v>6301|10</v>
          </cell>
          <cell r="AY119">
            <v>10</v>
          </cell>
          <cell r="AZ119" t="str">
            <v>[]</v>
          </cell>
          <cell r="BA119" t="str">
            <v>5001|50</v>
          </cell>
          <cell r="BB119">
            <v>50</v>
          </cell>
          <cell r="BC119" t="str">
            <v>[]</v>
          </cell>
          <cell r="BD119" t="str">
            <v>[]</v>
          </cell>
          <cell r="BE119" t="str">
            <v>[]</v>
          </cell>
          <cell r="BF119">
            <v>0</v>
          </cell>
          <cell r="BG119">
            <v>20000</v>
          </cell>
          <cell r="BH119">
            <v>4000</v>
          </cell>
          <cell r="BI119" t="str">
            <v>[]</v>
          </cell>
          <cell r="BJ119" t="str">
            <v>[]</v>
          </cell>
          <cell r="BK119">
            <v>0</v>
          </cell>
          <cell r="BL119">
            <v>800</v>
          </cell>
          <cell r="BM119">
            <v>0</v>
          </cell>
          <cell r="BN119">
            <v>102</v>
          </cell>
          <cell r="BO119">
            <v>1119</v>
          </cell>
          <cell r="BP119" t="str">
            <v>[]</v>
          </cell>
          <cell r="BQ119" t="str">
            <v>[]</v>
          </cell>
          <cell r="BR119" t="str">
            <v>[]</v>
          </cell>
          <cell r="BS119" t="e">
            <v>#VALUE!</v>
          </cell>
          <cell r="BT119" t="str">
            <v>sunwukong</v>
          </cell>
          <cell r="BU119" t="e">
            <v>#VALUE!</v>
          </cell>
          <cell r="BV119" t="str">
            <v>[]</v>
          </cell>
          <cell r="BW119" t="str">
            <v>3-20</v>
          </cell>
        </row>
        <row r="120">
          <cell r="AA120"/>
          <cell r="AB120"/>
          <cell r="AC120"/>
          <cell r="AD120"/>
          <cell r="AE120"/>
          <cell r="AF120"/>
          <cell r="AN120"/>
          <cell r="AO120"/>
          <cell r="AX120"/>
          <cell r="AZ120"/>
          <cell r="BC120"/>
          <cell r="BE120"/>
          <cell r="BG120"/>
          <cell r="BH120"/>
        </row>
        <row r="121">
          <cell r="C121"/>
          <cell r="L121"/>
          <cell r="AA121"/>
          <cell r="AB121"/>
          <cell r="AC121"/>
          <cell r="AD121"/>
          <cell r="AE121"/>
          <cell r="AF121"/>
          <cell r="AN121"/>
          <cell r="AO121"/>
          <cell r="AX121"/>
          <cell r="AZ121"/>
          <cell r="BC121"/>
          <cell r="BE121"/>
          <cell r="BG121"/>
          <cell r="BH121"/>
          <cell r="BN121"/>
          <cell r="BO121"/>
        </row>
        <row r="122">
          <cell r="C122"/>
          <cell r="L122"/>
          <cell r="AA122"/>
          <cell r="AB122"/>
          <cell r="AC122"/>
          <cell r="AD122"/>
          <cell r="AE122"/>
          <cell r="AF122"/>
          <cell r="AN122"/>
          <cell r="AO122"/>
          <cell r="AX122"/>
          <cell r="AZ122"/>
          <cell r="BC122"/>
          <cell r="BE122"/>
          <cell r="BG122"/>
          <cell r="BH122"/>
          <cell r="BN122"/>
          <cell r="BO122"/>
        </row>
        <row r="123">
          <cell r="C123"/>
          <cell r="L123"/>
          <cell r="AA123"/>
          <cell r="AB123"/>
          <cell r="AC123"/>
          <cell r="AD123"/>
          <cell r="AE123"/>
          <cell r="AF123"/>
          <cell r="AN123"/>
          <cell r="AO123"/>
          <cell r="AX123"/>
          <cell r="AZ123"/>
          <cell r="BC123"/>
          <cell r="BE123"/>
          <cell r="BG123"/>
          <cell r="BH123"/>
          <cell r="BN123"/>
          <cell r="BO123"/>
        </row>
        <row r="124">
          <cell r="C124"/>
          <cell r="L124"/>
          <cell r="AA124"/>
          <cell r="AB124"/>
          <cell r="AC124"/>
          <cell r="AD124"/>
          <cell r="AE124"/>
          <cell r="AF124"/>
          <cell r="AN124"/>
          <cell r="AO124"/>
          <cell r="AX124"/>
          <cell r="AZ124"/>
          <cell r="BC124"/>
          <cell r="BE124"/>
          <cell r="BG124"/>
          <cell r="BH124"/>
          <cell r="BN124"/>
          <cell r="BO124"/>
        </row>
        <row r="125">
          <cell r="C125"/>
          <cell r="L125"/>
          <cell r="AA125"/>
          <cell r="AB125"/>
          <cell r="AC125"/>
          <cell r="AD125"/>
          <cell r="AE125"/>
          <cell r="AF125"/>
          <cell r="AN125"/>
          <cell r="AO125"/>
          <cell r="AX125"/>
          <cell r="AZ125"/>
          <cell r="BC125"/>
          <cell r="BE125"/>
          <cell r="BG125"/>
          <cell r="BH125"/>
          <cell r="BN125"/>
          <cell r="BO125"/>
        </row>
        <row r="126">
          <cell r="C126"/>
          <cell r="L126"/>
          <cell r="AA126"/>
          <cell r="AB126"/>
          <cell r="AC126"/>
          <cell r="AD126"/>
          <cell r="AE126"/>
          <cell r="AF126"/>
          <cell r="AN126"/>
          <cell r="AO126"/>
          <cell r="AX126"/>
          <cell r="AZ126"/>
          <cell r="BC126"/>
          <cell r="BE126"/>
          <cell r="BG126"/>
          <cell r="BH126"/>
          <cell r="BN126"/>
          <cell r="BO126"/>
        </row>
        <row r="127">
          <cell r="C127"/>
          <cell r="L127"/>
          <cell r="AA127"/>
          <cell r="AB127"/>
          <cell r="AC127"/>
          <cell r="AD127"/>
          <cell r="AE127"/>
          <cell r="AF127"/>
          <cell r="AN127"/>
          <cell r="AO127"/>
          <cell r="AX127"/>
          <cell r="AZ127"/>
          <cell r="BC127"/>
          <cell r="BE127"/>
          <cell r="BG127"/>
          <cell r="BH127"/>
          <cell r="BN127"/>
          <cell r="BO127"/>
        </row>
        <row r="128">
          <cell r="C128"/>
          <cell r="L128"/>
          <cell r="AA128"/>
          <cell r="AB128"/>
          <cell r="AC128"/>
          <cell r="AD128"/>
          <cell r="AE128"/>
          <cell r="AF128"/>
          <cell r="AN128"/>
          <cell r="AO128"/>
          <cell r="AX128"/>
          <cell r="AZ128"/>
          <cell r="BC128"/>
          <cell r="BE128"/>
          <cell r="BG128"/>
          <cell r="BH128"/>
          <cell r="BN128"/>
          <cell r="BO128"/>
        </row>
        <row r="129">
          <cell r="C129"/>
          <cell r="L129"/>
          <cell r="AA129"/>
          <cell r="AB129"/>
          <cell r="AC129"/>
          <cell r="AD129"/>
          <cell r="AE129"/>
          <cell r="AF129"/>
          <cell r="AN129"/>
          <cell r="AO129"/>
          <cell r="AX129"/>
          <cell r="AZ129"/>
          <cell r="BC129"/>
          <cell r="BE129"/>
          <cell r="BG129"/>
          <cell r="BH129"/>
          <cell r="BN129"/>
          <cell r="BO129"/>
        </row>
        <row r="130">
          <cell r="C130"/>
          <cell r="L130"/>
          <cell r="AA130"/>
          <cell r="AB130"/>
          <cell r="AC130"/>
          <cell r="AD130"/>
          <cell r="AE130"/>
          <cell r="AF130"/>
          <cell r="AN130"/>
          <cell r="AO130"/>
          <cell r="AX130"/>
          <cell r="AZ130"/>
          <cell r="BC130"/>
          <cell r="BE130"/>
          <cell r="BG130"/>
          <cell r="BH130"/>
          <cell r="BN130"/>
          <cell r="BO130"/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引用表"/>
      <sheetName val="技能配置"/>
      <sheetName val="技能范围"/>
      <sheetName val="buff对照表"/>
      <sheetName val="buff引用表"/>
      <sheetName val="高级效果表"/>
    </sheetNames>
    <sheetDataSet>
      <sheetData sheetId="0">
        <row r="1">
          <cell r="A1" t="str">
            <v>技能id
[字符串]</v>
          </cell>
          <cell r="B1" t="str">
            <v>技能名称
[字符串]</v>
          </cell>
          <cell r="C1" t="str">
            <v>技能说明
（显示）
[字符串]</v>
          </cell>
          <cell r="D1" t="str">
            <v>技能开启限制
调用game_limit里面的限制</v>
          </cell>
          <cell r="E1" t="str">
            <v>作为boss时是否需要预警
0=无预警
1=目标体位置
2=boss前端</v>
          </cell>
          <cell r="F1" t="str">
            <v>预警资源                                                调用美术资源id
扇形=boss_warning_shanxing60  =boss_warning_shanxing90 
圆形  =boss_warning_yuanxing
直线=boss_warning_juxing</v>
          </cell>
          <cell r="G1" t="str">
            <v>技能需求详细解说
（不显示，暂时无用）
[字符串]</v>
          </cell>
          <cell r="H1" t="str">
            <v>技能图标
[字符串]
调用game_res里面的资源id</v>
          </cell>
          <cell r="I1" t="str">
            <v>核心技能战斗内图标
圆形技能图标
[字符串]                                                         调用game_res里面的资源id</v>
          </cell>
          <cell r="J1" t="str">
            <v>技能/普通攻击序号
普攻=0
核心技能=0
AI1=1
被动=2
AI2=3</v>
          </cell>
          <cell r="K1" t="str">
            <v>技能等级上限</v>
          </cell>
          <cell r="L1" t="str">
            <v>核心技能释放优先级
根据此序列判断自动释放的优先级 默认中优先释放状态技能 再释放治疗技能 最后释放伤害技能      1=攻击技能 2=治疗技能 3=状态技能| 每种技能类别下的序列 如 3|1 为状态技能第一释放技能 优先于 3|2 优先于 2|1 优先于 2|2 优先于 1|1优先于1|2
（暂时无用，后续版本去除）</v>
          </cell>
          <cell r="M1" t="str">
            <v>技能类型
[整型]
 1=普通攻击 2=技能
（对应不同的技能计算公式）</v>
          </cell>
          <cell r="N1" t="str">
            <v>技能逻辑流程[整型] 
1=普通攻击 2=普通技能 3=循环单体攻击（阿尔法突袭）4=死亡缠绕（对敌方和我方造成不同效果） 5=多段不同伤害（每次命中造成不同效果\支持不同特效） 6=null 7=null 8=null 9=闪烁 10=法力摄取 11=剑刃风暴 12=静电链接 13=火焰爆炸 14=暗杀    SiWangLianHua=15,//死亡莲花  MorphSpecial = 16, // 变身后特殊技能（读取不同伤害包）
目前只使用1/2两种类型</v>
          </cell>
          <cell r="O1" t="str">
            <v>技能施放类型[整型]
0=不释放 
1=主动瞬发（点击后立刻释放）
2=二次点击（第二次点击决定释放方向）
3=被动（角色出生默认释放) 
4=点击释放（先选定目标，再点击释放）</v>
          </cell>
          <cell r="P1" t="str">
            <v>技能自动释放优先级
[整型]
 0=不释放或者被动释放
1=普通攻击 
2=伤害技能 
3=控制技能 
4=增益技能 
5=治疗技能(优先级，优先级越高优先执行）,AI策略</v>
          </cell>
          <cell r="Q1" t="str">
            <v>技能最大施法距离[浮点]</v>
          </cell>
          <cell r="R1" t="str">
            <v>技能生效目标类型[字符串]
1=自己
2=敌方单位
3=友方ALL 
4=敌方和友方 
5=敌方和友方排除自己 
6=攻击你的单位 
7=null 
8=当前攻击的单位 
9=父对象 (仅对2和1和4有效)
[0无|1所有|2英雄|3怪物|4塔|5Home|6Buff|7Item|8英雄&amp;怪物]</v>
          </cell>
          <cell r="S1" t="str">
            <v>技能生效范围类型|生效范围参数
[整数]
1=矩形|长|宽
2=圆形|半径|Z轴偏移 
3=扇形|半径|角度(20,30,45,60) 
4=单体|半径
5=全图 
7=血最少的</v>
          </cell>
          <cell r="T1" t="str">
            <v>施放目标区域最大生效单位数[整数]
0=所有</v>
          </cell>
          <cell r="U1" t="str">
            <v>技能指向类型
[整数]
0=非指向型，无锁定 
1=指向型，锁定至少一个目标</v>
          </cell>
          <cell r="V1" t="str">
            <v>吟唱时间
[浮点]
0=不需要吟唱
&gt;0 吟唱时间
(暂时未使用)</v>
          </cell>
          <cell r="W1" t="str">
            <v>是否需要引导
引导总时间|引导期效果生效间隔|是否显示引导条[字符串]
[]=不需要引导
(暂时未使用)</v>
          </cell>
          <cell r="X1" t="str">
            <v>施法中的打断逻辑
0=不可打断
1=只能主动打断
2=只能被动打断
3=主动+被动打断（可填多个）</v>
          </cell>
          <cell r="Y1" t="str">
            <v>技能释放消耗
消耗类型|数值
[字符串]
[]=无消耗
1=血量|数值或百分比
2=魔法值|数值或百分比
3=能量|数值或百分比
(暂时无用)</v>
          </cell>
          <cell r="Z1" t="str">
            <v>技能阶段参数
（前摇，施法中，后摇）
（普攻占用时长由攻速控制，本栏一律填0,1,0）</v>
          </cell>
          <cell r="AA1" t="str">
            <v>主动技能释放间隔时间
（间隔期间，同一个技能不能够再次释放）
0=攻速 
&gt;0 具体时间</v>
          </cell>
          <cell r="AB1" t="str">
            <v>技能冷却时间[浮点]
支持公式</v>
          </cell>
          <cell r="AC1" t="str">
            <v>公共CD时间（秒）[浮点]
支持公式</v>
          </cell>
          <cell r="AD1" t="str">
            <v>额外参数[字符串]1=命中概率|概率 2=是否法力摄取|[0否][1是] 3=敌减我增|[0否][1是] 4=在施法中是否能移动|[0否][1是] 5=UI缓存方式0|前姚缓存,1|全程缓存
（暂时无用）</v>
          </cell>
          <cell r="AE1" t="str">
            <v>前摇表现包
[字符串]
出现时间点为0秒
支持多个                               
调用skill_perform里面的id</v>
          </cell>
          <cell r="AF1" t="str">
            <v>始发表现包
[字符串]
出现时间点为前摇结束时
支持多个（仅此处有碰撞效果）
调用skill_perform里面的id</v>
          </cell>
          <cell r="AG1" t="str">
            <v>受击/命中表现包
[字符串]
出现时间点为产生命中时（每次命中都会出现）
支持多个
调用skill_perform里面的id</v>
          </cell>
          <cell r="AH1" t="str">
            <v>结束表现包
[字符串]
出现时间点为施法中结束
支持多个
调用skill_perform里面的id</v>
          </cell>
          <cell r="AI1" t="str">
            <v>技能初始化时触发高级效果
出现时间点为技能加载时（暂未用到）
高级效果ID（施加目标为自身）调用skill_higheff里面的id</v>
          </cell>
          <cell r="AJ1" t="str">
            <v>技能释放时触发高级效果
出现时间点为技能释放时
高级效果ID（施加目标为自身）
调用skill_higheff里面的id</v>
          </cell>
          <cell r="AK1" t="str">
            <v>技能命中时触发高级效果
出现时间点为产生命中时
高级效果ID|（施加目标为命中目标）
调用skill_higheff里面的id</v>
          </cell>
          <cell r="AL1" t="str">
            <v>技能释放时触发BUFF
出现时间点为技能释放时
BUFFID（施加目标为自身）
调用skill_buff里面的id</v>
          </cell>
          <cell r="AM1" t="str">
            <v>技能命中时触发BUFF
出现时间点为产生命中时
BUFFID（施加目标为攻击目标）
调用skill_buff里面的id</v>
          </cell>
          <cell r="AN1" t="str">
            <v>命中目标选择方式[整数] 对于非引导类型的技能  
0=不命中  
1=选择命中（预先选择好目标，不可逃离） 
2=碰撞命中（实时监测碰撞，判断命中目标）</v>
          </cell>
          <cell r="AO1" t="str">
            <v>命中延迟时间（秒）[浮点]对于单体技能无效，填写多个代表多次命中
-1=持续伤害,（未用到）
-2=1次碰撞体,碰撞一次后消失）
-3=无伤害，
-4=永久碰撞体,碰撞后不消失，可以再次碰撞
-5hitDeractor</v>
          </cell>
          <cell r="AP1" t="str">
            <v>伤害包
（可支持多个）                         调用skill_damage里面的id</v>
          </cell>
          <cell r="AQ1" t="str">
            <v>技能说明伤害包
（可支持多个，用于支持技能说明中的数字显示）                                    调用skill_damage里面的id</v>
          </cell>
          <cell r="AR1" t="str">
            <v>技能施放条件
X|X|X=判断效果收益目标|目标职业|血量百分比（小数）
施放条件包括：
0=不需要判断条件
1=己方队伍平均血量
2=施法者自身血量
3=己方队伍指定职业血量
|0=无职业指定
|1=辅助
|2=远程
|3=近战
|4=防御</v>
          </cell>
          <cell r="AS1" t="str">
            <v>技能对特殊单位附加的特殊效果
填写skill_addeffect表中id
[]-无效果
可以填写多个效果
id1,id2,id3</v>
          </cell>
          <cell r="AT1"/>
          <cell r="AU1"/>
          <cell r="AV1" t="str">
            <v>需求详细解说
（不显示，暂时无用）
[字符串]</v>
          </cell>
          <cell r="BE1"/>
          <cell r="BF1"/>
        </row>
        <row r="2">
          <cell r="A2" t="str">
            <v>skill_id</v>
          </cell>
          <cell r="B2" t="str">
            <v>skill_name</v>
          </cell>
          <cell r="C2" t="str">
            <v>skill_description</v>
          </cell>
          <cell r="D2" t="str">
            <v>skill_limit</v>
          </cell>
          <cell r="E2" t="str">
            <v>warning_type</v>
          </cell>
          <cell r="F2" t="str">
            <v>warning_res</v>
          </cell>
          <cell r="G2" t="str">
            <v>skill_description2</v>
          </cell>
          <cell r="H2" t="str">
            <v>skill_icon</v>
          </cell>
          <cell r="I2" t="str">
            <v>skill_icon1</v>
          </cell>
          <cell r="J2" t="str">
            <v>skill_index</v>
          </cell>
          <cell r="K2" t="str">
            <v>skill_levelmax</v>
          </cell>
          <cell r="L2" t="str">
            <v>skill_num</v>
          </cell>
          <cell r="M2" t="str">
            <v>skill_type</v>
          </cell>
          <cell r="N2" t="str">
            <v>skill_logic_type</v>
          </cell>
          <cell r="O2" t="str">
            <v>skill_trigger</v>
          </cell>
          <cell r="P2" t="str">
            <v>skill_prop</v>
          </cell>
          <cell r="Q2" t="str">
            <v>distance</v>
          </cell>
          <cell r="R2" t="str">
            <v>target_type</v>
          </cell>
          <cell r="S2" t="str">
            <v>effective_range</v>
          </cell>
          <cell r="T2" t="str">
            <v>max_num</v>
          </cell>
          <cell r="U2" t="str">
            <v>need_target</v>
          </cell>
          <cell r="V2" t="str">
            <v>sing_time</v>
          </cell>
          <cell r="W2" t="str">
            <v>guide_time</v>
          </cell>
          <cell r="X2" t="str">
            <v>interrupt</v>
          </cell>
          <cell r="Y2" t="str">
            <v>cost</v>
          </cell>
          <cell r="Z2" t="str">
            <v>skill_phase</v>
          </cell>
          <cell r="AA2" t="str">
            <v>skill_interval</v>
          </cell>
          <cell r="AB2" t="str">
            <v>cd</v>
          </cell>
          <cell r="AC2" t="str">
            <v>hard_cd</v>
          </cell>
          <cell r="AD2" t="str">
            <v>skill_mutex</v>
          </cell>
          <cell r="AE2" t="str">
            <v>ready_action_ids</v>
          </cell>
          <cell r="AF2" t="str">
            <v>start_action_ids</v>
          </cell>
          <cell r="AG2" t="str">
            <v>hit_action_ids</v>
          </cell>
          <cell r="AH2" t="str">
            <v>end_action_ids</v>
          </cell>
          <cell r="AI2" t="str">
            <v>init_higheff_ids</v>
          </cell>
          <cell r="AJ2" t="str">
            <v>start_higheff_ids</v>
          </cell>
          <cell r="AK2" t="str">
            <v>hit_higheff_ids</v>
          </cell>
          <cell r="AL2" t="str">
            <v>start_buff_ids</v>
          </cell>
          <cell r="AM2" t="str">
            <v>hit_buff_ids</v>
          </cell>
          <cell r="AN2" t="str">
            <v>hit_trigger_type</v>
          </cell>
          <cell r="AO2" t="str">
            <v>hit_time</v>
          </cell>
          <cell r="AP2" t="str">
            <v>damage_id</v>
          </cell>
          <cell r="AQ2" t="str">
            <v>description_damage</v>
          </cell>
          <cell r="AR2" t="str">
            <v>skill_condition</v>
          </cell>
          <cell r="AS2" t="str">
            <v>skill_addeffect</v>
          </cell>
          <cell r="AT2"/>
          <cell r="AU2"/>
          <cell r="AV2" t="str">
            <v>skill_description</v>
          </cell>
          <cell r="BE2"/>
          <cell r="BF2"/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  <cell r="E3" t="str">
            <v>i</v>
          </cell>
          <cell r="F3" t="str">
            <v>s</v>
          </cell>
          <cell r="G3" t="str">
            <v>s</v>
          </cell>
          <cell r="H3" t="str">
            <v>s</v>
          </cell>
          <cell r="I3" t="str">
            <v>s</v>
          </cell>
          <cell r="J3" t="str">
            <v>i</v>
          </cell>
          <cell r="K3" t="str">
            <v>i</v>
          </cell>
          <cell r="L3" t="str">
            <v>s</v>
          </cell>
          <cell r="M3" t="str">
            <v>i</v>
          </cell>
          <cell r="N3" t="str">
            <v>i</v>
          </cell>
          <cell r="O3" t="str">
            <v>i</v>
          </cell>
          <cell r="P3" t="str">
            <v>i</v>
          </cell>
          <cell r="Q3" t="str">
            <v>n</v>
          </cell>
          <cell r="R3" t="str">
            <v>s</v>
          </cell>
          <cell r="S3" t="str">
            <v>s</v>
          </cell>
          <cell r="T3" t="str">
            <v>i</v>
          </cell>
          <cell r="U3" t="str">
            <v>i</v>
          </cell>
          <cell r="V3" t="str">
            <v>n</v>
          </cell>
          <cell r="W3" t="str">
            <v>s</v>
          </cell>
          <cell r="X3" t="str">
            <v>i</v>
          </cell>
          <cell r="Y3" t="str">
            <v>s</v>
          </cell>
          <cell r="Z3" t="str">
            <v>s</v>
          </cell>
          <cell r="AA3" t="str">
            <v>n</v>
          </cell>
          <cell r="AB3" t="str">
            <v>s</v>
          </cell>
          <cell r="AC3" t="str">
            <v>s</v>
          </cell>
          <cell r="AD3" t="str">
            <v>s</v>
          </cell>
          <cell r="AE3" t="str">
            <v>s</v>
          </cell>
          <cell r="AF3" t="str">
            <v>s</v>
          </cell>
          <cell r="AG3" t="str">
            <v>s</v>
          </cell>
          <cell r="AH3" t="str">
            <v>s</v>
          </cell>
          <cell r="AI3" t="str">
            <v>s</v>
          </cell>
          <cell r="AJ3" t="str">
            <v>s</v>
          </cell>
          <cell r="AK3" t="str">
            <v>s</v>
          </cell>
          <cell r="AL3" t="str">
            <v>s</v>
          </cell>
          <cell r="AM3" t="str">
            <v>s</v>
          </cell>
          <cell r="AN3" t="str">
            <v>i</v>
          </cell>
          <cell r="AO3" t="str">
            <v>s</v>
          </cell>
          <cell r="AP3" t="str">
            <v>s</v>
          </cell>
          <cell r="AQ3" t="str">
            <v>s</v>
          </cell>
          <cell r="AR3" t="str">
            <v>s</v>
          </cell>
          <cell r="AS3" t="str">
            <v>s</v>
          </cell>
          <cell r="AT3"/>
          <cell r="AU3"/>
          <cell r="AV3" t="str">
            <v>s</v>
          </cell>
          <cell r="BE3"/>
          <cell r="BF3"/>
        </row>
        <row r="4">
          <cell r="A4" t="str">
            <v>nanzhujue_attack</v>
          </cell>
          <cell r="B4" t="str">
            <v>男主角</v>
          </cell>
          <cell r="C4" t="str">
            <v>[]</v>
          </cell>
          <cell r="D4" t="str">
            <v>[]</v>
          </cell>
          <cell r="E4">
            <v>0</v>
          </cell>
          <cell r="F4" t="str">
            <v>[]</v>
          </cell>
          <cell r="G4" t="str">
            <v>远程攻击</v>
          </cell>
          <cell r="H4" t="str">
            <v>[]</v>
          </cell>
          <cell r="I4" t="str">
            <v>[]</v>
          </cell>
          <cell r="J4">
            <v>0</v>
          </cell>
          <cell r="K4">
            <v>1</v>
          </cell>
          <cell r="L4" t="str">
            <v>[]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24</v>
          </cell>
          <cell r="R4" t="str">
            <v>2|1</v>
          </cell>
          <cell r="S4" t="str">
            <v>4|0.2</v>
          </cell>
          <cell r="T4">
            <v>1</v>
          </cell>
          <cell r="U4">
            <v>1</v>
          </cell>
          <cell r="V4">
            <v>0</v>
          </cell>
          <cell r="W4" t="str">
            <v>[]</v>
          </cell>
          <cell r="X4">
            <v>0</v>
          </cell>
          <cell r="Y4" t="str">
            <v>[]</v>
          </cell>
          <cell r="Z4" t="str">
            <v>0,0.01,0</v>
          </cell>
          <cell r="AA4">
            <v>0</v>
          </cell>
          <cell r="AB4" t="str">
            <v>[]</v>
          </cell>
          <cell r="AC4" t="str">
            <v>[]</v>
          </cell>
          <cell r="AD4" t="str">
            <v>4|1</v>
          </cell>
          <cell r="AE4" t="str">
            <v>[]</v>
          </cell>
          <cell r="AF4" t="str">
            <v>nanzhujue_attack_f01</v>
          </cell>
          <cell r="AG4" t="str">
            <v>common_hit_fashu</v>
          </cell>
          <cell r="AH4" t="str">
            <v>[]</v>
          </cell>
          <cell r="AI4" t="str">
            <v>[]</v>
          </cell>
          <cell r="AJ4" t="str">
            <v>[]</v>
          </cell>
          <cell r="AK4" t="str">
            <v>[]</v>
          </cell>
          <cell r="AL4" t="str">
            <v>[]</v>
          </cell>
          <cell r="AM4" t="str">
            <v>[]</v>
          </cell>
          <cell r="AN4">
            <v>2</v>
          </cell>
          <cell r="AO4">
            <v>-2</v>
          </cell>
          <cell r="AP4">
            <v>10000</v>
          </cell>
          <cell r="AQ4" t="str">
            <v>10000</v>
          </cell>
          <cell r="AR4" t="str">
            <v>[]</v>
          </cell>
          <cell r="AS4" t="str">
            <v>[]</v>
          </cell>
          <cell r="AT4" t="str">
            <v>1000</v>
          </cell>
          <cell r="AU4" t="str">
            <v>1010</v>
          </cell>
          <cell r="AV4" t="str">
            <v>远程攻击</v>
          </cell>
          <cell r="AW4" t="str">
            <v>ck</v>
          </cell>
          <cell r="BE4"/>
          <cell r="BF4"/>
        </row>
        <row r="5">
          <cell r="A5" t="str">
            <v>nanzhujue_attack02</v>
          </cell>
          <cell r="B5" t="str">
            <v>男主角</v>
          </cell>
          <cell r="C5" t="str">
            <v>[]</v>
          </cell>
          <cell r="D5" t="str">
            <v>[]</v>
          </cell>
          <cell r="E5">
            <v>0</v>
          </cell>
          <cell r="F5" t="str">
            <v>[]</v>
          </cell>
          <cell r="G5" t="str">
            <v>远程攻击</v>
          </cell>
          <cell r="H5" t="str">
            <v>[]</v>
          </cell>
          <cell r="I5" t="str">
            <v>[]</v>
          </cell>
          <cell r="J5">
            <v>0</v>
          </cell>
          <cell r="K5">
            <v>1</v>
          </cell>
          <cell r="L5" t="str">
            <v>[]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12</v>
          </cell>
          <cell r="R5" t="str">
            <v>2|1</v>
          </cell>
          <cell r="S5" t="str">
            <v>4|0.2</v>
          </cell>
          <cell r="T5">
            <v>1</v>
          </cell>
          <cell r="U5">
            <v>1</v>
          </cell>
          <cell r="V5">
            <v>0</v>
          </cell>
          <cell r="W5" t="str">
            <v>[]</v>
          </cell>
          <cell r="X5">
            <v>0</v>
          </cell>
          <cell r="Y5" t="str">
            <v>[]</v>
          </cell>
          <cell r="Z5" t="str">
            <v>0,1,0</v>
          </cell>
          <cell r="AA5">
            <v>0</v>
          </cell>
          <cell r="AB5" t="str">
            <v>[]</v>
          </cell>
          <cell r="AC5" t="str">
            <v>[]</v>
          </cell>
          <cell r="AD5" t="str">
            <v>[]</v>
          </cell>
          <cell r="AE5" t="str">
            <v>[]</v>
          </cell>
          <cell r="AF5" t="str">
            <v>nanzhujue_attack_f02</v>
          </cell>
          <cell r="AG5" t="str">
            <v>common_hit_fashu</v>
          </cell>
          <cell r="AH5" t="str">
            <v>[]</v>
          </cell>
          <cell r="AI5" t="str">
            <v>[]</v>
          </cell>
          <cell r="AJ5" t="str">
            <v>[]</v>
          </cell>
          <cell r="AK5" t="str">
            <v>[]</v>
          </cell>
          <cell r="AL5" t="str">
            <v>[]</v>
          </cell>
          <cell r="AM5" t="str">
            <v>[]</v>
          </cell>
          <cell r="AN5">
            <v>2</v>
          </cell>
          <cell r="AO5">
            <v>-2</v>
          </cell>
          <cell r="AP5">
            <v>10000</v>
          </cell>
          <cell r="AQ5" t="str">
            <v>10000</v>
          </cell>
          <cell r="AR5" t="str">
            <v>[]</v>
          </cell>
          <cell r="AS5" t="str">
            <v>[]</v>
          </cell>
          <cell r="AT5" t="str">
            <v>1000</v>
          </cell>
          <cell r="AU5" t="str">
            <v>1010</v>
          </cell>
          <cell r="AV5" t="str">
            <v>远程攻击</v>
          </cell>
          <cell r="AW5" t="str">
            <v>02</v>
          </cell>
          <cell r="BE5"/>
          <cell r="BF5"/>
        </row>
        <row r="6">
          <cell r="A6" t="str">
            <v>nanzhujue_attack03</v>
          </cell>
          <cell r="B6" t="str">
            <v>男主角</v>
          </cell>
          <cell r="C6" t="str">
            <v>[]</v>
          </cell>
          <cell r="D6" t="str">
            <v>[]</v>
          </cell>
          <cell r="E6">
            <v>0</v>
          </cell>
          <cell r="F6" t="str">
            <v>[]</v>
          </cell>
          <cell r="G6" t="str">
            <v>远程攻击</v>
          </cell>
          <cell r="H6" t="str">
            <v>[]</v>
          </cell>
          <cell r="I6" t="str">
            <v>[]</v>
          </cell>
          <cell r="J6">
            <v>0</v>
          </cell>
          <cell r="K6">
            <v>1</v>
          </cell>
          <cell r="L6" t="str">
            <v>[]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12</v>
          </cell>
          <cell r="R6" t="str">
            <v>2|1</v>
          </cell>
          <cell r="S6" t="str">
            <v>4|0.2</v>
          </cell>
          <cell r="T6">
            <v>1</v>
          </cell>
          <cell r="U6">
            <v>1</v>
          </cell>
          <cell r="V6">
            <v>0</v>
          </cell>
          <cell r="W6" t="str">
            <v>[]</v>
          </cell>
          <cell r="X6">
            <v>0</v>
          </cell>
          <cell r="Y6" t="str">
            <v>[]</v>
          </cell>
          <cell r="Z6" t="str">
            <v>0,1,0</v>
          </cell>
          <cell r="AA6">
            <v>0</v>
          </cell>
          <cell r="AB6" t="str">
            <v>[]</v>
          </cell>
          <cell r="AC6" t="str">
            <v>[]</v>
          </cell>
          <cell r="AD6" t="str">
            <v>[]</v>
          </cell>
          <cell r="AE6" t="str">
            <v>[]</v>
          </cell>
          <cell r="AF6" t="str">
            <v>nanzhujue_attack_f03</v>
          </cell>
          <cell r="AG6" t="str">
            <v>common_hit_fashu</v>
          </cell>
          <cell r="AH6" t="str">
            <v>[]</v>
          </cell>
          <cell r="AI6" t="str">
            <v>[]</v>
          </cell>
          <cell r="AJ6" t="str">
            <v>[]</v>
          </cell>
          <cell r="AK6" t="str">
            <v>[]</v>
          </cell>
          <cell r="AL6" t="str">
            <v>[]</v>
          </cell>
          <cell r="AM6" t="str">
            <v>[]</v>
          </cell>
          <cell r="AN6">
            <v>2</v>
          </cell>
          <cell r="AO6">
            <v>-2</v>
          </cell>
          <cell r="AP6">
            <v>10000</v>
          </cell>
          <cell r="AQ6" t="str">
            <v>10000</v>
          </cell>
          <cell r="AR6" t="str">
            <v>[]</v>
          </cell>
          <cell r="AS6" t="str">
            <v>[]</v>
          </cell>
          <cell r="AT6" t="str">
            <v>1000</v>
          </cell>
          <cell r="AU6" t="str">
            <v>1010</v>
          </cell>
          <cell r="AV6" t="str">
            <v>远程攻击</v>
          </cell>
          <cell r="AW6" t="str">
            <v>03</v>
          </cell>
          <cell r="BE6"/>
          <cell r="BF6"/>
        </row>
        <row r="7">
          <cell r="A7" t="str">
            <v>nvzhujue_attack</v>
          </cell>
          <cell r="B7" t="str">
            <v>女主角</v>
          </cell>
          <cell r="C7" t="str">
            <v>[]</v>
          </cell>
          <cell r="D7" t="str">
            <v>[]</v>
          </cell>
          <cell r="E7">
            <v>0</v>
          </cell>
          <cell r="F7" t="str">
            <v>[]</v>
          </cell>
          <cell r="G7" t="str">
            <v>远程攻击</v>
          </cell>
          <cell r="H7" t="str">
            <v>[]</v>
          </cell>
          <cell r="I7" t="str">
            <v>[]</v>
          </cell>
          <cell r="J7">
            <v>0</v>
          </cell>
          <cell r="K7">
            <v>1</v>
          </cell>
          <cell r="L7" t="str">
            <v>[]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24</v>
          </cell>
          <cell r="R7" t="str">
            <v>2|1</v>
          </cell>
          <cell r="S7" t="str">
            <v>4|0.2</v>
          </cell>
          <cell r="T7">
            <v>1</v>
          </cell>
          <cell r="U7">
            <v>1</v>
          </cell>
          <cell r="V7">
            <v>0</v>
          </cell>
          <cell r="W7" t="str">
            <v>[]</v>
          </cell>
          <cell r="X7">
            <v>0</v>
          </cell>
          <cell r="Y7" t="str">
            <v>[]</v>
          </cell>
          <cell r="Z7" t="str">
            <v>0,0.01,0</v>
          </cell>
          <cell r="AA7">
            <v>0</v>
          </cell>
          <cell r="AB7" t="str">
            <v>[]</v>
          </cell>
          <cell r="AC7" t="str">
            <v>[]</v>
          </cell>
          <cell r="AD7" t="str">
            <v>[]</v>
          </cell>
          <cell r="AE7" t="str">
            <v>[]</v>
          </cell>
          <cell r="AF7" t="str">
            <v>nvzhujue_attack_f01</v>
          </cell>
          <cell r="AG7" t="str">
            <v>nvzhujue_hit</v>
          </cell>
          <cell r="AH7" t="str">
            <v>[]</v>
          </cell>
          <cell r="AI7" t="str">
            <v>[]</v>
          </cell>
          <cell r="AJ7" t="str">
            <v>[]</v>
          </cell>
          <cell r="AK7" t="str">
            <v>[]</v>
          </cell>
          <cell r="AL7" t="str">
            <v>[]</v>
          </cell>
          <cell r="AM7" t="str">
            <v>[]</v>
          </cell>
          <cell r="AN7">
            <v>2</v>
          </cell>
          <cell r="AO7">
            <v>-2</v>
          </cell>
          <cell r="AP7">
            <v>10001</v>
          </cell>
          <cell r="AQ7" t="str">
            <v>10001</v>
          </cell>
          <cell r="AR7" t="str">
            <v>[]</v>
          </cell>
          <cell r="AS7" t="str">
            <v>[]</v>
          </cell>
          <cell r="AT7" t="str">
            <v>1000</v>
          </cell>
          <cell r="AU7" t="str">
            <v>1020</v>
          </cell>
          <cell r="AV7" t="str">
            <v>远程攻击</v>
          </cell>
          <cell r="AW7" t="str">
            <v>ck</v>
          </cell>
          <cell r="BE7"/>
          <cell r="BF7"/>
        </row>
        <row r="8">
          <cell r="A8" t="str">
            <v>nvzhujue_attack02</v>
          </cell>
          <cell r="B8" t="str">
            <v>女主角</v>
          </cell>
          <cell r="C8" t="str">
            <v>[]</v>
          </cell>
          <cell r="D8" t="str">
            <v>[]</v>
          </cell>
          <cell r="E8">
            <v>0</v>
          </cell>
          <cell r="F8" t="str">
            <v>[]</v>
          </cell>
          <cell r="G8" t="str">
            <v>远程攻击</v>
          </cell>
          <cell r="H8" t="str">
            <v>[]</v>
          </cell>
          <cell r="I8" t="str">
            <v>[]</v>
          </cell>
          <cell r="J8">
            <v>0</v>
          </cell>
          <cell r="K8">
            <v>1</v>
          </cell>
          <cell r="L8" t="str">
            <v>[]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12</v>
          </cell>
          <cell r="R8" t="str">
            <v>2|1</v>
          </cell>
          <cell r="S8" t="str">
            <v>4|0.2</v>
          </cell>
          <cell r="T8">
            <v>1</v>
          </cell>
          <cell r="U8">
            <v>1</v>
          </cell>
          <cell r="V8">
            <v>0</v>
          </cell>
          <cell r="W8" t="str">
            <v>[]</v>
          </cell>
          <cell r="X8">
            <v>0</v>
          </cell>
          <cell r="Y8" t="str">
            <v>[]</v>
          </cell>
          <cell r="Z8" t="str">
            <v>0,1,0</v>
          </cell>
          <cell r="AA8">
            <v>0</v>
          </cell>
          <cell r="AB8" t="str">
            <v>[]</v>
          </cell>
          <cell r="AC8" t="str">
            <v>[]</v>
          </cell>
          <cell r="AD8" t="str">
            <v>[]</v>
          </cell>
          <cell r="AE8" t="str">
            <v>[]</v>
          </cell>
          <cell r="AF8" t="str">
            <v>nvzhujue_attack_f02</v>
          </cell>
          <cell r="AG8" t="str">
            <v>nvzhujue_hit</v>
          </cell>
          <cell r="AH8" t="str">
            <v>[]</v>
          </cell>
          <cell r="AI8" t="str">
            <v>[]</v>
          </cell>
          <cell r="AJ8" t="str">
            <v>[]</v>
          </cell>
          <cell r="AK8" t="str">
            <v>[]</v>
          </cell>
          <cell r="AL8" t="str">
            <v>[]</v>
          </cell>
          <cell r="AM8" t="str">
            <v>[]</v>
          </cell>
          <cell r="AN8">
            <v>2</v>
          </cell>
          <cell r="AO8">
            <v>-2</v>
          </cell>
          <cell r="AP8">
            <v>10001</v>
          </cell>
          <cell r="AQ8" t="str">
            <v>10001</v>
          </cell>
          <cell r="AR8" t="str">
            <v>[]</v>
          </cell>
          <cell r="AS8" t="str">
            <v>[]</v>
          </cell>
          <cell r="AT8" t="str">
            <v>1000</v>
          </cell>
          <cell r="AU8" t="str">
            <v>1020</v>
          </cell>
          <cell r="AV8" t="str">
            <v>远程攻击</v>
          </cell>
          <cell r="AW8" t="str">
            <v>02</v>
          </cell>
          <cell r="BE8"/>
          <cell r="BF8"/>
        </row>
        <row r="9">
          <cell r="A9" t="str">
            <v>nvzhujue_attack03</v>
          </cell>
          <cell r="B9" t="str">
            <v>女主角</v>
          </cell>
          <cell r="C9" t="str">
            <v>[]</v>
          </cell>
          <cell r="D9" t="str">
            <v>[]</v>
          </cell>
          <cell r="E9">
            <v>0</v>
          </cell>
          <cell r="F9" t="str">
            <v>[]</v>
          </cell>
          <cell r="G9" t="str">
            <v>远程攻击</v>
          </cell>
          <cell r="H9" t="str">
            <v>[]</v>
          </cell>
          <cell r="I9" t="str">
            <v>[]</v>
          </cell>
          <cell r="J9">
            <v>0</v>
          </cell>
          <cell r="K9">
            <v>1</v>
          </cell>
          <cell r="L9" t="str">
            <v>[]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12</v>
          </cell>
          <cell r="R9" t="str">
            <v>2|1</v>
          </cell>
          <cell r="S9" t="str">
            <v>4|0.2</v>
          </cell>
          <cell r="T9">
            <v>1</v>
          </cell>
          <cell r="U9">
            <v>1</v>
          </cell>
          <cell r="V9">
            <v>0</v>
          </cell>
          <cell r="W9" t="str">
            <v>[]</v>
          </cell>
          <cell r="X9">
            <v>0</v>
          </cell>
          <cell r="Y9" t="str">
            <v>[]</v>
          </cell>
          <cell r="Z9" t="str">
            <v>0,1,0</v>
          </cell>
          <cell r="AA9">
            <v>0</v>
          </cell>
          <cell r="AB9" t="str">
            <v>[]</v>
          </cell>
          <cell r="AC9" t="str">
            <v>[]</v>
          </cell>
          <cell r="AD9" t="str">
            <v>[]</v>
          </cell>
          <cell r="AE9" t="str">
            <v>[]</v>
          </cell>
          <cell r="AF9" t="str">
            <v>nvzhujue_attack_f03</v>
          </cell>
          <cell r="AG9" t="str">
            <v>nvzhujue_hit</v>
          </cell>
          <cell r="AH9" t="str">
            <v>[]</v>
          </cell>
          <cell r="AI9" t="str">
            <v>[]</v>
          </cell>
          <cell r="AJ9" t="str">
            <v>[]</v>
          </cell>
          <cell r="AK9" t="str">
            <v>[]</v>
          </cell>
          <cell r="AL9" t="str">
            <v>[]</v>
          </cell>
          <cell r="AM9" t="str">
            <v>[]</v>
          </cell>
          <cell r="AN9">
            <v>2</v>
          </cell>
          <cell r="AO9">
            <v>-2</v>
          </cell>
          <cell r="AP9">
            <v>10001</v>
          </cell>
          <cell r="AQ9" t="str">
            <v>10001</v>
          </cell>
          <cell r="AR9" t="str">
            <v>[]</v>
          </cell>
          <cell r="AS9" t="str">
            <v>[]</v>
          </cell>
          <cell r="AT9" t="str">
            <v>1000</v>
          </cell>
          <cell r="AU9" t="str">
            <v>1020</v>
          </cell>
          <cell r="AV9" t="str">
            <v>远程攻击</v>
          </cell>
          <cell r="AW9" t="str">
            <v>03</v>
          </cell>
          <cell r="BE9"/>
          <cell r="BF9"/>
        </row>
        <row r="10">
          <cell r="A10" t="str">
            <v>erlangshen_attack</v>
          </cell>
          <cell r="B10" t="str">
            <v>二郎神普攻</v>
          </cell>
          <cell r="C10" t="str">
            <v>普攻</v>
          </cell>
          <cell r="D10" t="str">
            <v>[]</v>
          </cell>
          <cell r="E10">
            <v>0</v>
          </cell>
          <cell r="F10" t="str">
            <v>[]</v>
          </cell>
          <cell r="G10" t="str">
            <v>近战攻击</v>
          </cell>
          <cell r="H10" t="str">
            <v>[]</v>
          </cell>
          <cell r="I10" t="str">
            <v>[]</v>
          </cell>
          <cell r="J10">
            <v>0</v>
          </cell>
          <cell r="K10">
            <v>1</v>
          </cell>
          <cell r="L10" t="str">
            <v>[]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4</v>
          </cell>
          <cell r="R10" t="str">
            <v>2|1</v>
          </cell>
          <cell r="S10" t="str">
            <v>4|0.2</v>
          </cell>
          <cell r="T10">
            <v>1</v>
          </cell>
          <cell r="U10">
            <v>0</v>
          </cell>
          <cell r="V10">
            <v>0</v>
          </cell>
          <cell r="W10" t="str">
            <v>[]</v>
          </cell>
          <cell r="X10">
            <v>0</v>
          </cell>
          <cell r="Y10" t="str">
            <v>[]</v>
          </cell>
          <cell r="Z10" t="str">
            <v>0,1,0</v>
          </cell>
          <cell r="AA10">
            <v>0</v>
          </cell>
          <cell r="AB10">
            <v>0</v>
          </cell>
          <cell r="AC10" t="str">
            <v>[]</v>
          </cell>
          <cell r="AD10" t="str">
            <v>[]</v>
          </cell>
          <cell r="AE10" t="str">
            <v>[]</v>
          </cell>
          <cell r="AF10" t="str">
            <v>erlangshen_attack</v>
          </cell>
          <cell r="AG10" t="str">
            <v>erlangshen_hit</v>
          </cell>
          <cell r="AH10" t="str">
            <v>[]</v>
          </cell>
          <cell r="AI10" t="str">
            <v>[]</v>
          </cell>
          <cell r="AJ10" t="str">
            <v>[]</v>
          </cell>
          <cell r="AK10" t="str">
            <v>[]</v>
          </cell>
          <cell r="AL10" t="str">
            <v>[]</v>
          </cell>
          <cell r="AM10" t="str">
            <v>[]</v>
          </cell>
          <cell r="AN10">
            <v>1</v>
          </cell>
          <cell r="AO10">
            <v>0.29699999999999999</v>
          </cell>
          <cell r="AP10">
            <v>110100</v>
          </cell>
          <cell r="AQ10" t="str">
            <v>110100</v>
          </cell>
          <cell r="AR10" t="str">
            <v>[]</v>
          </cell>
          <cell r="AS10" t="str">
            <v>[]</v>
          </cell>
          <cell r="AT10" t="str">
            <v>1101</v>
          </cell>
          <cell r="AU10" t="str">
            <v>2010</v>
          </cell>
          <cell r="AV10" t="str">
            <v>近战攻击</v>
          </cell>
          <cell r="AW10" t="str">
            <v>ck</v>
          </cell>
          <cell r="AX10" t="str">
            <v>[]</v>
          </cell>
          <cell r="AY10">
            <v>1</v>
          </cell>
          <cell r="BA10" t="str">
            <v>[]</v>
          </cell>
          <cell r="BE10" t="str">
            <v>[]</v>
          </cell>
          <cell r="BF10"/>
        </row>
        <row r="11">
          <cell r="A11" t="str">
            <v>erlangshen_attack02</v>
          </cell>
          <cell r="B11" t="str">
            <v>普攻</v>
          </cell>
          <cell r="C11" t="str">
            <v>普攻</v>
          </cell>
          <cell r="D11" t="str">
            <v>[]</v>
          </cell>
          <cell r="E11">
            <v>0</v>
          </cell>
          <cell r="F11" t="str">
            <v>[]</v>
          </cell>
          <cell r="G11" t="str">
            <v>近战攻击</v>
          </cell>
          <cell r="H11" t="str">
            <v>[]</v>
          </cell>
          <cell r="I11" t="str">
            <v>[]</v>
          </cell>
          <cell r="J11">
            <v>0</v>
          </cell>
          <cell r="K11">
            <v>1</v>
          </cell>
          <cell r="L11" t="str">
            <v>[]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3</v>
          </cell>
          <cell r="R11" t="str">
            <v>2|1</v>
          </cell>
          <cell r="S11" t="str">
            <v>4|0.2</v>
          </cell>
          <cell r="T11">
            <v>1</v>
          </cell>
          <cell r="U11">
            <v>1</v>
          </cell>
          <cell r="V11">
            <v>0</v>
          </cell>
          <cell r="W11" t="str">
            <v>[]</v>
          </cell>
          <cell r="X11">
            <v>0</v>
          </cell>
          <cell r="Y11" t="str">
            <v>[]</v>
          </cell>
          <cell r="Z11" t="str">
            <v>0,1,0</v>
          </cell>
          <cell r="AA11">
            <v>0</v>
          </cell>
          <cell r="AB11" t="str">
            <v>[]</v>
          </cell>
          <cell r="AC11" t="str">
            <v>[]</v>
          </cell>
          <cell r="AD11" t="str">
            <v>[]</v>
          </cell>
          <cell r="AE11" t="str">
            <v>[]</v>
          </cell>
          <cell r="AF11" t="str">
            <v>erlangshen_attack02</v>
          </cell>
          <cell r="AG11" t="str">
            <v>erlangshen_hit</v>
          </cell>
          <cell r="AH11" t="str">
            <v>[]</v>
          </cell>
          <cell r="AI11" t="str">
            <v>[]</v>
          </cell>
          <cell r="AJ11" t="str">
            <v>[]</v>
          </cell>
          <cell r="AK11" t="str">
            <v>[]</v>
          </cell>
          <cell r="AL11" t="str">
            <v>[]</v>
          </cell>
          <cell r="AM11" t="str">
            <v>[]</v>
          </cell>
          <cell r="AN11">
            <v>1</v>
          </cell>
          <cell r="AO11">
            <v>0.36299999999999999</v>
          </cell>
          <cell r="AP11">
            <v>110101</v>
          </cell>
          <cell r="AQ11" t="str">
            <v>110101</v>
          </cell>
          <cell r="AR11" t="str">
            <v>[]</v>
          </cell>
          <cell r="AS11" t="str">
            <v>[]</v>
          </cell>
          <cell r="AT11" t="str">
            <v>1101</v>
          </cell>
          <cell r="AU11" t="str">
            <v>2010</v>
          </cell>
          <cell r="AV11" t="str">
            <v>近战攻击</v>
          </cell>
          <cell r="AW11" t="str">
            <v>02</v>
          </cell>
          <cell r="AX11" t="str">
            <v>[]</v>
          </cell>
          <cell r="AY11">
            <v>1</v>
          </cell>
          <cell r="AZ11"/>
          <cell r="BA11" t="str">
            <v>[]</v>
          </cell>
          <cell r="BE11" t="str">
            <v>[]</v>
          </cell>
          <cell r="BF11"/>
        </row>
        <row r="12">
          <cell r="A12" t="str">
            <v>erlangshen_attack03</v>
          </cell>
          <cell r="B12" t="str">
            <v>普攻</v>
          </cell>
          <cell r="C12" t="str">
            <v>普攻</v>
          </cell>
          <cell r="D12">
            <v>1262</v>
          </cell>
          <cell r="E12">
            <v>0</v>
          </cell>
          <cell r="F12" t="str">
            <v>[]</v>
          </cell>
          <cell r="G12" t="str">
            <v>近战攻击</v>
          </cell>
          <cell r="H12" t="str">
            <v>[]</v>
          </cell>
          <cell r="I12" t="str">
            <v>[]</v>
          </cell>
          <cell r="J12">
            <v>0</v>
          </cell>
          <cell r="K12">
            <v>1</v>
          </cell>
          <cell r="L12" t="str">
            <v>[]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3</v>
          </cell>
          <cell r="R12" t="str">
            <v>2|1</v>
          </cell>
          <cell r="S12" t="str">
            <v>4|0.2</v>
          </cell>
          <cell r="T12">
            <v>1</v>
          </cell>
          <cell r="U12">
            <v>1</v>
          </cell>
          <cell r="V12">
            <v>0</v>
          </cell>
          <cell r="W12" t="str">
            <v>[]</v>
          </cell>
          <cell r="X12">
            <v>0</v>
          </cell>
          <cell r="Y12" t="str">
            <v>[]</v>
          </cell>
          <cell r="Z12" t="str">
            <v>0,1,0</v>
          </cell>
          <cell r="AA12">
            <v>0</v>
          </cell>
          <cell r="AB12" t="str">
            <v>[]</v>
          </cell>
          <cell r="AC12" t="str">
            <v>[]</v>
          </cell>
          <cell r="AD12" t="str">
            <v>[]</v>
          </cell>
          <cell r="AE12" t="str">
            <v>[]</v>
          </cell>
          <cell r="AF12" t="str">
            <v>erlangshen_attack03</v>
          </cell>
          <cell r="AG12" t="str">
            <v>erlangshen_hit</v>
          </cell>
          <cell r="AH12" t="str">
            <v>[]</v>
          </cell>
          <cell r="AI12" t="str">
            <v>[]</v>
          </cell>
          <cell r="AJ12" t="str">
            <v>[]</v>
          </cell>
          <cell r="AK12" t="str">
            <v>[]</v>
          </cell>
          <cell r="AL12" t="str">
            <v>[]</v>
          </cell>
          <cell r="AM12" t="str">
            <v>[]</v>
          </cell>
          <cell r="AN12">
            <v>1</v>
          </cell>
          <cell r="AO12">
            <v>0.39600000000000002</v>
          </cell>
          <cell r="AP12">
            <v>110102</v>
          </cell>
          <cell r="AQ12" t="str">
            <v>110102</v>
          </cell>
          <cell r="AR12" t="str">
            <v>[]</v>
          </cell>
          <cell r="AS12" t="str">
            <v>[]</v>
          </cell>
          <cell r="AT12" t="str">
            <v>1101</v>
          </cell>
          <cell r="AU12" t="str">
            <v>2010</v>
          </cell>
          <cell r="AV12" t="str">
            <v>近战攻击</v>
          </cell>
          <cell r="AW12" t="str">
            <v>03</v>
          </cell>
          <cell r="AX12">
            <v>1262</v>
          </cell>
          <cell r="AY12">
            <v>1</v>
          </cell>
          <cell r="AZ12"/>
          <cell r="BA12" t="str">
            <v>[]</v>
          </cell>
          <cell r="BE12" t="str">
            <v>[]</v>
          </cell>
          <cell r="BF12"/>
        </row>
        <row r="13">
          <cell r="A13" t="str">
            <v>erlangshen_skill01</v>
          </cell>
          <cell r="B13" t="str">
            <v>仙火三尖刃</v>
          </cell>
          <cell r="C13" t="str">
            <v>释放真君领域，对敌军造成3次主角攻击力@s的物伤，每次21%的概率昏迷敌人2秒，对流血状态目标暴击率提高20%</v>
          </cell>
          <cell r="D13" t="str">
            <v>[]</v>
          </cell>
          <cell r="E13">
            <v>0</v>
          </cell>
          <cell r="F13" t="str">
            <v>[]</v>
          </cell>
          <cell r="G13" t="str">
            <v>二郎神核心技能</v>
          </cell>
          <cell r="H13" t="str">
            <v>erlangshen_skill01</v>
          </cell>
          <cell r="I13" t="str">
            <v>erlangshen_skill01</v>
          </cell>
          <cell r="J13">
            <v>0</v>
          </cell>
          <cell r="K13">
            <v>1</v>
          </cell>
          <cell r="L13" t="str">
            <v>1|11</v>
          </cell>
          <cell r="M13">
            <v>2</v>
          </cell>
          <cell r="N13">
            <v>2</v>
          </cell>
          <cell r="O13">
            <v>2</v>
          </cell>
          <cell r="P13">
            <v>2</v>
          </cell>
          <cell r="Q13">
            <v>12</v>
          </cell>
          <cell r="R13" t="str">
            <v>2|1</v>
          </cell>
          <cell r="S13" t="str">
            <v>2|7</v>
          </cell>
          <cell r="T13">
            <v>10</v>
          </cell>
          <cell r="U13">
            <v>1</v>
          </cell>
          <cell r="V13">
            <v>0</v>
          </cell>
          <cell r="W13" t="str">
            <v>[]</v>
          </cell>
          <cell r="X13">
            <v>0</v>
          </cell>
          <cell r="Y13" t="str">
            <v>[]</v>
          </cell>
          <cell r="Z13" t="str">
            <v>0,1,0</v>
          </cell>
          <cell r="AA13">
            <v>0</v>
          </cell>
          <cell r="AB13" t="str">
            <v>12</v>
          </cell>
          <cell r="AC13" t="str">
            <v>[]</v>
          </cell>
          <cell r="AD13" t="str">
            <v>[]</v>
          </cell>
          <cell r="AE13" t="str">
            <v>[]</v>
          </cell>
          <cell r="AF13" t="str">
            <v>erlangshen_skill01</v>
          </cell>
          <cell r="AG13" t="str">
            <v>erlangshen_hit</v>
          </cell>
          <cell r="AH13" t="str">
            <v>[]</v>
          </cell>
          <cell r="AI13" t="str">
            <v>[]</v>
          </cell>
          <cell r="AJ13" t="str">
            <v>[]</v>
          </cell>
          <cell r="AK13" t="str">
            <v>yunxuanT1NP0.2</v>
          </cell>
          <cell r="AL13" t="str">
            <v>[]</v>
          </cell>
          <cell r="AM13" t="str">
            <v>[]</v>
          </cell>
          <cell r="AN13" t="str">
            <v>2</v>
          </cell>
          <cell r="AO13" t="str">
            <v>0.8,0.2,0.2</v>
          </cell>
          <cell r="AP13">
            <v>110103</v>
          </cell>
          <cell r="AQ13" t="str">
            <v>110103</v>
          </cell>
          <cell r="AR13" t="str">
            <v>[]</v>
          </cell>
          <cell r="AS13" t="str">
            <v>lxbj20</v>
          </cell>
          <cell r="AT13" t="str">
            <v>1101</v>
          </cell>
          <cell r="AU13" t="str">
            <v>2020</v>
          </cell>
          <cell r="AV13" t="str">
            <v>二郎神</v>
          </cell>
          <cell r="AW13" t="str">
            <v>01</v>
          </cell>
          <cell r="AX13" t="str">
            <v>[]</v>
          </cell>
          <cell r="AY13">
            <v>3</v>
          </cell>
          <cell r="AZ13">
            <v>0.5</v>
          </cell>
          <cell r="BA13">
            <v>0.20699999999999999</v>
          </cell>
          <cell r="BB13" t="str">
            <v>眩晕</v>
          </cell>
          <cell r="BE13">
            <v>0.20699999999999999</v>
          </cell>
          <cell r="BF13" t="str">
            <v>20</v>
          </cell>
        </row>
        <row r="14">
          <cell r="A14" t="str">
            <v>erlangshen_skill02</v>
          </cell>
          <cell r="B14" t="str">
            <v>灭世天眼</v>
          </cell>
          <cell r="C14" t="str">
            <v>用天眼发射激光对范围内敌军进行2次攻击，造成自身攻击力@s的物伤，并提升敌军所受伤害@s，持续3秒</v>
          </cell>
          <cell r="D14" t="str">
            <v>[]</v>
          </cell>
          <cell r="E14">
            <v>0</v>
          </cell>
          <cell r="F14" t="str">
            <v>[]</v>
          </cell>
          <cell r="G14" t="str">
            <v>二郎神技能2</v>
          </cell>
          <cell r="H14" t="str">
            <v>erlangshen_skill02</v>
          </cell>
          <cell r="I14" t="str">
            <v>[]</v>
          </cell>
          <cell r="J14">
            <v>1</v>
          </cell>
          <cell r="K14">
            <v>1</v>
          </cell>
          <cell r="L14" t="str">
            <v>[]</v>
          </cell>
          <cell r="M14">
            <v>2</v>
          </cell>
          <cell r="N14">
            <v>2</v>
          </cell>
          <cell r="O14">
            <v>1</v>
          </cell>
          <cell r="P14">
            <v>2</v>
          </cell>
          <cell r="Q14">
            <v>12</v>
          </cell>
          <cell r="R14" t="str">
            <v>2|1</v>
          </cell>
          <cell r="S14" t="str">
            <v>2|6</v>
          </cell>
          <cell r="T14">
            <v>10</v>
          </cell>
          <cell r="U14">
            <v>1</v>
          </cell>
          <cell r="V14">
            <v>0</v>
          </cell>
          <cell r="W14" t="str">
            <v>[]</v>
          </cell>
          <cell r="X14">
            <v>3</v>
          </cell>
          <cell r="Y14" t="str">
            <v>[]</v>
          </cell>
          <cell r="Z14" t="str">
            <v>0,1.65,2.017</v>
          </cell>
          <cell r="AA14">
            <v>0</v>
          </cell>
          <cell r="AB14">
            <v>6</v>
          </cell>
          <cell r="AC14" t="str">
            <v>[]</v>
          </cell>
          <cell r="AD14" t="str">
            <v>[]</v>
          </cell>
          <cell r="AE14" t="str">
            <v>[]</v>
          </cell>
          <cell r="AF14" t="str">
            <v>erlangshen_skill02</v>
          </cell>
          <cell r="AG14" t="str">
            <v>erlangshen_hit</v>
          </cell>
          <cell r="AH14" t="str">
            <v>[]</v>
          </cell>
          <cell r="AI14" t="str">
            <v>[]</v>
          </cell>
          <cell r="AJ14" t="str">
            <v>[]</v>
          </cell>
          <cell r="AK14" t="str">
            <v>[]</v>
          </cell>
          <cell r="AL14" t="str">
            <v>[]</v>
          </cell>
          <cell r="AM14" t="str">
            <v>jiashangupT3N0.1</v>
          </cell>
          <cell r="AN14">
            <v>2</v>
          </cell>
          <cell r="AO14" t="str">
            <v>1.65,1</v>
          </cell>
          <cell r="AP14">
            <v>110104</v>
          </cell>
          <cell r="AQ14" t="str">
            <v>110104,9010</v>
          </cell>
          <cell r="AR14" t="str">
            <v>[]</v>
          </cell>
          <cell r="AS14" t="str">
            <v>[]</v>
          </cell>
          <cell r="AT14" t="str">
            <v>1101</v>
          </cell>
          <cell r="AU14" t="str">
            <v>2030</v>
          </cell>
          <cell r="AV14" t="str">
            <v>二郎神</v>
          </cell>
          <cell r="AW14" t="str">
            <v>02</v>
          </cell>
          <cell r="AX14" t="str">
            <v>[]</v>
          </cell>
          <cell r="AY14">
            <v>2</v>
          </cell>
          <cell r="BA14" t="str">
            <v>[]</v>
          </cell>
          <cell r="BE14" t="str">
            <v>[]</v>
          </cell>
          <cell r="BF14"/>
        </row>
        <row r="15">
          <cell r="A15" t="str">
            <v>erlangshen_skill03</v>
          </cell>
          <cell r="B15" t="str">
            <v>不屈意志</v>
          </cell>
          <cell r="C15" t="str">
            <v>提升自身@s的真实暴击率，且被攻击有概率净化自身不良状态</v>
          </cell>
          <cell r="D15">
            <v>1262</v>
          </cell>
          <cell r="E15">
            <v>0</v>
          </cell>
          <cell r="F15" t="str">
            <v>[]</v>
          </cell>
          <cell r="G15" t="str">
            <v>二郎神被动技能</v>
          </cell>
          <cell r="H15" t="str">
            <v>baoji</v>
          </cell>
          <cell r="I15" t="str">
            <v>[]</v>
          </cell>
          <cell r="J15">
            <v>2</v>
          </cell>
          <cell r="K15">
            <v>1</v>
          </cell>
          <cell r="L15" t="str">
            <v>[]</v>
          </cell>
          <cell r="M15">
            <v>2</v>
          </cell>
          <cell r="N15">
            <v>2</v>
          </cell>
          <cell r="O15">
            <v>3</v>
          </cell>
          <cell r="P15">
            <v>0</v>
          </cell>
          <cell r="Q15">
            <v>4</v>
          </cell>
          <cell r="R15">
            <v>3</v>
          </cell>
          <cell r="S15" t="str">
            <v>2|20</v>
          </cell>
          <cell r="T15">
            <v>10</v>
          </cell>
          <cell r="U15">
            <v>0</v>
          </cell>
          <cell r="V15">
            <v>0</v>
          </cell>
          <cell r="W15" t="str">
            <v>[]</v>
          </cell>
          <cell r="X15">
            <v>0</v>
          </cell>
          <cell r="Y15" t="str">
            <v>[]</v>
          </cell>
          <cell r="Z15" t="str">
            <v>0,0,0</v>
          </cell>
          <cell r="AA15">
            <v>0</v>
          </cell>
          <cell r="AB15">
            <v>0</v>
          </cell>
          <cell r="AC15" t="str">
            <v>[]</v>
          </cell>
          <cell r="AD15" t="str">
            <v>[]</v>
          </cell>
          <cell r="AE15" t="str">
            <v>[]</v>
          </cell>
          <cell r="AF15" t="str">
            <v>[]</v>
          </cell>
          <cell r="AG15" t="str">
            <v>[]</v>
          </cell>
          <cell r="AH15" t="str">
            <v>[]</v>
          </cell>
          <cell r="AI15" t="str">
            <v>[]</v>
          </cell>
          <cell r="AJ15" t="str">
            <v>erlangshenjinghua</v>
          </cell>
          <cell r="AK15" t="str">
            <v>[]</v>
          </cell>
          <cell r="AL15" t="str">
            <v>baojiupT3N0.1b</v>
          </cell>
          <cell r="AM15" t="str">
            <v>[]</v>
          </cell>
          <cell r="AN15">
            <v>0</v>
          </cell>
          <cell r="AO15" t="str">
            <v>[]</v>
          </cell>
          <cell r="AP15" t="str">
            <v>[]</v>
          </cell>
          <cell r="AQ15" t="str">
            <v>9010</v>
          </cell>
          <cell r="AR15" t="str">
            <v>[]</v>
          </cell>
          <cell r="AS15" t="str">
            <v>[]</v>
          </cell>
          <cell r="AT15" t="str">
            <v>9030</v>
          </cell>
          <cell r="AU15" t="str">
            <v>2040</v>
          </cell>
          <cell r="AV15" t="str">
            <v>二郎神</v>
          </cell>
          <cell r="AW15" t="str">
            <v>03</v>
          </cell>
          <cell r="AX15">
            <v>1262</v>
          </cell>
          <cell r="AY15">
            <v>1</v>
          </cell>
          <cell r="BA15" t="str">
            <v>[]</v>
          </cell>
          <cell r="BE15" t="str">
            <v>[]</v>
          </cell>
          <cell r="BF15"/>
        </row>
        <row r="16">
          <cell r="A16" t="str">
            <v>erlangshen_skill04</v>
          </cell>
          <cell r="B16" t="str">
            <v>纵横天下</v>
          </cell>
          <cell r="C16" t="str">
            <v>舞动长枪对范围内敌人造成自身攻击力@s的物伤，必定暴击，并造成6秒流血效果</v>
          </cell>
          <cell r="D16">
            <v>1264</v>
          </cell>
          <cell r="E16">
            <v>2</v>
          </cell>
          <cell r="F16" t="str">
            <v>boss_warning_shanxing90</v>
          </cell>
          <cell r="G16" t="str">
            <v>二郎神技能4</v>
          </cell>
          <cell r="H16" t="str">
            <v>erlangshen_skill04</v>
          </cell>
          <cell r="I16" t="str">
            <v>[]</v>
          </cell>
          <cell r="J16">
            <v>3</v>
          </cell>
          <cell r="K16">
            <v>1</v>
          </cell>
          <cell r="L16" t="str">
            <v>[]</v>
          </cell>
          <cell r="M16">
            <v>2</v>
          </cell>
          <cell r="N16">
            <v>2</v>
          </cell>
          <cell r="O16">
            <v>1</v>
          </cell>
          <cell r="P16">
            <v>2</v>
          </cell>
          <cell r="Q16">
            <v>4</v>
          </cell>
          <cell r="R16" t="str">
            <v>2|1</v>
          </cell>
          <cell r="S16" t="str">
            <v>1|6|6</v>
          </cell>
          <cell r="T16">
            <v>10</v>
          </cell>
          <cell r="U16">
            <v>0</v>
          </cell>
          <cell r="V16">
            <v>0</v>
          </cell>
          <cell r="W16" t="str">
            <v>[]</v>
          </cell>
          <cell r="X16">
            <v>3</v>
          </cell>
          <cell r="Y16" t="str">
            <v>[]</v>
          </cell>
          <cell r="Z16" t="str">
            <v>0,0.924,0.943</v>
          </cell>
          <cell r="AA16">
            <v>0</v>
          </cell>
          <cell r="AB16">
            <v>6</v>
          </cell>
          <cell r="AC16" t="str">
            <v>[]</v>
          </cell>
          <cell r="AD16" t="str">
            <v>[]</v>
          </cell>
          <cell r="AE16" t="str">
            <v>[]</v>
          </cell>
          <cell r="AF16" t="str">
            <v>erlangshen_skill04</v>
          </cell>
          <cell r="AG16" t="str">
            <v>[]</v>
          </cell>
          <cell r="AH16" t="str">
            <v>[]</v>
          </cell>
          <cell r="AI16" t="str">
            <v>[]</v>
          </cell>
          <cell r="AJ16" t="str">
            <v>[]</v>
          </cell>
          <cell r="AK16" t="str">
            <v>[]</v>
          </cell>
          <cell r="AL16" t="str">
            <v>buff_douzhanshengfo_bibao</v>
          </cell>
          <cell r="AM16" t="str">
            <v>liuxueT6N0.1</v>
          </cell>
          <cell r="AN16">
            <v>2</v>
          </cell>
          <cell r="AO16">
            <v>0.92400000000000004</v>
          </cell>
          <cell r="AP16">
            <v>110106</v>
          </cell>
          <cell r="AQ16" t="str">
            <v>110106</v>
          </cell>
          <cell r="AR16" t="str">
            <v>[]</v>
          </cell>
          <cell r="AS16" t="str">
            <v>[]</v>
          </cell>
          <cell r="AT16" t="str">
            <v>1101</v>
          </cell>
          <cell r="AU16" t="str">
            <v>2050</v>
          </cell>
          <cell r="AV16" t="str">
            <v>二郎神</v>
          </cell>
          <cell r="AW16" t="str">
            <v>04</v>
          </cell>
          <cell r="AX16">
            <v>1264</v>
          </cell>
          <cell r="AY16">
            <v>1</v>
          </cell>
          <cell r="BA16" t="str">
            <v>[]</v>
          </cell>
          <cell r="BE16" t="str">
            <v>[]</v>
          </cell>
          <cell r="BF16"/>
        </row>
        <row r="17">
          <cell r="A17" t="str">
            <v>erlangshen_skill011</v>
          </cell>
          <cell r="B17" t="str">
            <v>奥义·仙火三尖刃</v>
          </cell>
          <cell r="C17" t="str">
            <v>释放真君领域，对敌人进行3次攻击，造成主角攻击力@s的物伤，每次攻击27%的概率昏迷敌人3秒，对流血状态目标暴击率提高20%，对灼烧状态目标无视20%防御</v>
          </cell>
          <cell r="D17">
            <v>1266</v>
          </cell>
          <cell r="E17">
            <v>0</v>
          </cell>
          <cell r="F17" t="str">
            <v>[]</v>
          </cell>
          <cell r="G17" t="str">
            <v>二郎神核心技能</v>
          </cell>
          <cell r="H17" t="str">
            <v>erlangshen_skill01</v>
          </cell>
          <cell r="I17" t="str">
            <v>erlangshen_skill01</v>
          </cell>
          <cell r="J17">
            <v>0</v>
          </cell>
          <cell r="K17">
            <v>1</v>
          </cell>
          <cell r="L17" t="str">
            <v>1|11</v>
          </cell>
          <cell r="M17">
            <v>2</v>
          </cell>
          <cell r="N17">
            <v>2</v>
          </cell>
          <cell r="O17">
            <v>2</v>
          </cell>
          <cell r="P17">
            <v>2</v>
          </cell>
          <cell r="Q17">
            <v>12</v>
          </cell>
          <cell r="R17" t="str">
            <v>2|1</v>
          </cell>
          <cell r="S17" t="str">
            <v>2|7</v>
          </cell>
          <cell r="T17">
            <v>10</v>
          </cell>
          <cell r="U17">
            <v>1</v>
          </cell>
          <cell r="V17">
            <v>0</v>
          </cell>
          <cell r="W17" t="str">
            <v>[]</v>
          </cell>
          <cell r="X17">
            <v>0</v>
          </cell>
          <cell r="Y17" t="str">
            <v>[]</v>
          </cell>
          <cell r="Z17" t="str">
            <v>0,1,0</v>
          </cell>
          <cell r="AA17">
            <v>0</v>
          </cell>
          <cell r="AB17" t="str">
            <v>12</v>
          </cell>
          <cell r="AC17" t="str">
            <v>[]</v>
          </cell>
          <cell r="AD17" t="str">
            <v>[]</v>
          </cell>
          <cell r="AE17" t="str">
            <v>[]</v>
          </cell>
          <cell r="AF17" t="str">
            <v>erlangshen_skill01</v>
          </cell>
          <cell r="AG17" t="str">
            <v>erlangshen_hit</v>
          </cell>
          <cell r="AH17" t="str">
            <v>[]</v>
          </cell>
          <cell r="AI17" t="str">
            <v>[]</v>
          </cell>
          <cell r="AJ17" t="str">
            <v>[]</v>
          </cell>
          <cell r="AK17" t="str">
            <v>yunxuanT1NP0.3</v>
          </cell>
          <cell r="AL17" t="str">
            <v>[]</v>
          </cell>
          <cell r="AM17" t="str">
            <v>[]</v>
          </cell>
          <cell r="AN17">
            <v>2</v>
          </cell>
          <cell r="AO17" t="str">
            <v>0.8,0.2,0.2</v>
          </cell>
          <cell r="AP17">
            <v>110107</v>
          </cell>
          <cell r="AQ17" t="str">
            <v>110107</v>
          </cell>
          <cell r="AR17" t="str">
            <v>[]</v>
          </cell>
          <cell r="AS17" t="str">
            <v>lxbj20,zswf20</v>
          </cell>
          <cell r="AT17" t="str">
            <v>1101</v>
          </cell>
          <cell r="AU17" t="str">
            <v>2020</v>
          </cell>
          <cell r="AV17" t="str">
            <v>二郎神</v>
          </cell>
          <cell r="AW17" t="str">
            <v>11</v>
          </cell>
          <cell r="AX17">
            <v>1266</v>
          </cell>
          <cell r="AY17">
            <v>3</v>
          </cell>
          <cell r="AZ17">
            <v>0.6</v>
          </cell>
          <cell r="BA17">
            <v>0.26400000000000001</v>
          </cell>
          <cell r="BB17" t="str">
            <v>眩晕</v>
          </cell>
          <cell r="BE17">
            <v>0.26400000000000001</v>
          </cell>
          <cell r="BF17" t="str">
            <v>30</v>
          </cell>
        </row>
        <row r="18">
          <cell r="A18" t="str">
            <v>erlangshen_skill021</v>
          </cell>
          <cell r="B18" t="str">
            <v>奥义·灭世天眼</v>
          </cell>
          <cell r="C18" t="str">
            <v>用天眼发射激光对范围内敌军进行2次攻击，造成自身攻击力@s的物伤，并提升敌军所受伤害@s，持续3秒</v>
          </cell>
          <cell r="D18">
            <v>1268</v>
          </cell>
          <cell r="E18">
            <v>0</v>
          </cell>
          <cell r="F18" t="str">
            <v>[]</v>
          </cell>
          <cell r="G18" t="str">
            <v>二郎神技能2</v>
          </cell>
          <cell r="H18" t="str">
            <v>erlangshen_skill02</v>
          </cell>
          <cell r="I18" t="str">
            <v>[]</v>
          </cell>
          <cell r="J18">
            <v>1</v>
          </cell>
          <cell r="K18">
            <v>1</v>
          </cell>
          <cell r="L18" t="str">
            <v>[]</v>
          </cell>
          <cell r="M18">
            <v>2</v>
          </cell>
          <cell r="N18">
            <v>2</v>
          </cell>
          <cell r="O18">
            <v>1</v>
          </cell>
          <cell r="P18">
            <v>2</v>
          </cell>
          <cell r="Q18">
            <v>12</v>
          </cell>
          <cell r="R18" t="str">
            <v>2|1</v>
          </cell>
          <cell r="S18" t="str">
            <v>2|6</v>
          </cell>
          <cell r="T18">
            <v>10</v>
          </cell>
          <cell r="U18">
            <v>0</v>
          </cell>
          <cell r="V18">
            <v>0</v>
          </cell>
          <cell r="W18" t="str">
            <v>[]</v>
          </cell>
          <cell r="X18">
            <v>3</v>
          </cell>
          <cell r="Y18" t="str">
            <v>[]</v>
          </cell>
          <cell r="Z18" t="str">
            <v>0,1.65,2.017</v>
          </cell>
          <cell r="AA18">
            <v>0</v>
          </cell>
          <cell r="AB18">
            <v>6</v>
          </cell>
          <cell r="AC18" t="str">
            <v>[]</v>
          </cell>
          <cell r="AD18" t="str">
            <v>[]</v>
          </cell>
          <cell r="AE18" t="str">
            <v>[]</v>
          </cell>
          <cell r="AF18" t="str">
            <v>erlangshen_skill02</v>
          </cell>
          <cell r="AG18" t="str">
            <v>erlangshen_hit</v>
          </cell>
          <cell r="AH18" t="str">
            <v>[]</v>
          </cell>
          <cell r="AI18" t="str">
            <v>[]</v>
          </cell>
          <cell r="AJ18" t="str">
            <v>[]</v>
          </cell>
          <cell r="AK18" t="str">
            <v>[]</v>
          </cell>
          <cell r="AL18" t="str">
            <v>[]</v>
          </cell>
          <cell r="AM18" t="str">
            <v>jiashangupT3N0.15</v>
          </cell>
          <cell r="AN18">
            <v>2</v>
          </cell>
          <cell r="AO18" t="str">
            <v>1.65,1</v>
          </cell>
          <cell r="AP18">
            <v>110108</v>
          </cell>
          <cell r="AQ18" t="str">
            <v>110108,9015</v>
          </cell>
          <cell r="AR18" t="str">
            <v>[]</v>
          </cell>
          <cell r="AS18" t="str">
            <v>[]</v>
          </cell>
          <cell r="AT18" t="str">
            <v>1101</v>
          </cell>
          <cell r="AU18" t="str">
            <v>2030</v>
          </cell>
          <cell r="AV18" t="str">
            <v>二郎神</v>
          </cell>
          <cell r="AW18" t="str">
            <v>21</v>
          </cell>
          <cell r="AX18">
            <v>1268</v>
          </cell>
          <cell r="AY18">
            <v>2</v>
          </cell>
          <cell r="BA18" t="str">
            <v>[]</v>
          </cell>
          <cell r="BE18" t="str">
            <v>[]</v>
          </cell>
          <cell r="BF18"/>
        </row>
        <row r="19">
          <cell r="A19" t="str">
            <v>erlangshen_skill041</v>
          </cell>
          <cell r="B19" t="str">
            <v>奥义·纵横天下</v>
          </cell>
          <cell r="C19" t="str">
            <v>舞动长枪对范围内敌人造成自身攻击力@s的物伤，必定暴击，并造成6秒高级流血效果</v>
          </cell>
          <cell r="D19">
            <v>1270</v>
          </cell>
          <cell r="E19">
            <v>2</v>
          </cell>
          <cell r="F19" t="str">
            <v>boss_warning_shanxing90</v>
          </cell>
          <cell r="G19" t="str">
            <v>二郎神技能4</v>
          </cell>
          <cell r="H19" t="str">
            <v>erlangshen_skill04</v>
          </cell>
          <cell r="I19" t="str">
            <v>[]</v>
          </cell>
          <cell r="J19">
            <v>3</v>
          </cell>
          <cell r="K19">
            <v>1</v>
          </cell>
          <cell r="L19" t="str">
            <v>[]</v>
          </cell>
          <cell r="M19">
            <v>2</v>
          </cell>
          <cell r="N19">
            <v>2</v>
          </cell>
          <cell r="O19">
            <v>1</v>
          </cell>
          <cell r="P19">
            <v>2</v>
          </cell>
          <cell r="Q19">
            <v>4</v>
          </cell>
          <cell r="R19" t="str">
            <v>2|1</v>
          </cell>
          <cell r="S19" t="str">
            <v>1|6|6</v>
          </cell>
          <cell r="T19">
            <v>10</v>
          </cell>
          <cell r="U19">
            <v>0</v>
          </cell>
          <cell r="V19">
            <v>0</v>
          </cell>
          <cell r="W19" t="str">
            <v>[]</v>
          </cell>
          <cell r="X19">
            <v>3</v>
          </cell>
          <cell r="Y19" t="str">
            <v>[]</v>
          </cell>
          <cell r="Z19" t="str">
            <v>0,0.924,0.943</v>
          </cell>
          <cell r="AA19">
            <v>0</v>
          </cell>
          <cell r="AB19">
            <v>6</v>
          </cell>
          <cell r="AC19" t="str">
            <v>[]</v>
          </cell>
          <cell r="AD19" t="str">
            <v>[]</v>
          </cell>
          <cell r="AE19" t="str">
            <v>[]</v>
          </cell>
          <cell r="AF19" t="str">
            <v>erlangshen_skill04</v>
          </cell>
          <cell r="AG19" t="str">
            <v>erlangshen_hit</v>
          </cell>
          <cell r="AH19" t="str">
            <v>[]</v>
          </cell>
          <cell r="AI19" t="str">
            <v>[]</v>
          </cell>
          <cell r="AJ19" t="str">
            <v>[]</v>
          </cell>
          <cell r="AK19" t="str">
            <v>[]</v>
          </cell>
          <cell r="AL19" t="str">
            <v>buff_douzhanshengfo_bibao</v>
          </cell>
          <cell r="AM19" t="str">
            <v>liuxueT6N0.2</v>
          </cell>
          <cell r="AN19">
            <v>2</v>
          </cell>
          <cell r="AO19">
            <v>0.92400000000000004</v>
          </cell>
          <cell r="AP19">
            <v>110109</v>
          </cell>
          <cell r="AQ19" t="str">
            <v>110109</v>
          </cell>
          <cell r="AR19" t="str">
            <v>[]</v>
          </cell>
          <cell r="AS19" t="str">
            <v>[]</v>
          </cell>
          <cell r="AT19" t="str">
            <v>1101</v>
          </cell>
          <cell r="AU19" t="str">
            <v>2050</v>
          </cell>
          <cell r="AV19" t="str">
            <v>二郎神</v>
          </cell>
          <cell r="AW19" t="str">
            <v>41</v>
          </cell>
          <cell r="AX19">
            <v>1270</v>
          </cell>
          <cell r="AY19">
            <v>1</v>
          </cell>
          <cell r="BA19" t="str">
            <v>[]</v>
          </cell>
          <cell r="BE19" t="str">
            <v>[]</v>
          </cell>
          <cell r="BF19"/>
        </row>
        <row r="20">
          <cell r="A20" t="str">
            <v>nezha_attack</v>
          </cell>
          <cell r="B20" t="str">
            <v>哪吒普攻</v>
          </cell>
          <cell r="C20" t="str">
            <v>普攻</v>
          </cell>
          <cell r="D20" t="str">
            <v>[]</v>
          </cell>
          <cell r="E20">
            <v>0</v>
          </cell>
          <cell r="F20" t="str">
            <v>[]</v>
          </cell>
          <cell r="G20" t="str">
            <v>哪吒近战攻击</v>
          </cell>
          <cell r="H20" t="str">
            <v>[]</v>
          </cell>
          <cell r="I20" t="str">
            <v>[]</v>
          </cell>
          <cell r="J20">
            <v>0</v>
          </cell>
          <cell r="K20">
            <v>1</v>
          </cell>
          <cell r="L20" t="str">
            <v>[]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3</v>
          </cell>
          <cell r="R20" t="str">
            <v>2|1</v>
          </cell>
          <cell r="S20" t="str">
            <v>4|0.2</v>
          </cell>
          <cell r="T20">
            <v>1</v>
          </cell>
          <cell r="U20">
            <v>1</v>
          </cell>
          <cell r="V20">
            <v>0</v>
          </cell>
          <cell r="W20" t="str">
            <v>[]</v>
          </cell>
          <cell r="X20">
            <v>0</v>
          </cell>
          <cell r="Y20" t="str">
            <v>[]</v>
          </cell>
          <cell r="Z20" t="str">
            <v>0,1,0</v>
          </cell>
          <cell r="AA20">
            <v>0</v>
          </cell>
          <cell r="AB20" t="str">
            <v>[]</v>
          </cell>
          <cell r="AC20" t="str">
            <v>[]</v>
          </cell>
          <cell r="AD20" t="str">
            <v>[]</v>
          </cell>
          <cell r="AE20" t="str">
            <v>[]</v>
          </cell>
          <cell r="AF20" t="str">
            <v>nezha_attack</v>
          </cell>
          <cell r="AG20" t="str">
            <v>common_hit_zhongwuqi</v>
          </cell>
          <cell r="AH20" t="str">
            <v>[]</v>
          </cell>
          <cell r="AI20" t="str">
            <v>[]</v>
          </cell>
          <cell r="AJ20" t="str">
            <v>[]</v>
          </cell>
          <cell r="AK20" t="str">
            <v>[]</v>
          </cell>
          <cell r="AL20" t="str">
            <v>[]</v>
          </cell>
          <cell r="AM20" t="str">
            <v>[]</v>
          </cell>
          <cell r="AN20">
            <v>1</v>
          </cell>
          <cell r="AO20">
            <v>0.1</v>
          </cell>
          <cell r="AP20">
            <v>110200</v>
          </cell>
          <cell r="AQ20" t="str">
            <v>110200</v>
          </cell>
          <cell r="AR20" t="str">
            <v>[]</v>
          </cell>
          <cell r="AS20" t="str">
            <v>[]</v>
          </cell>
          <cell r="AT20" t="str">
            <v>1102</v>
          </cell>
          <cell r="AU20" t="str">
            <v>2060</v>
          </cell>
          <cell r="AV20" t="str">
            <v>哪吒近战攻击</v>
          </cell>
          <cell r="AW20" t="str">
            <v>ck</v>
          </cell>
          <cell r="AX20" t="str">
            <v>[]</v>
          </cell>
          <cell r="AY20">
            <v>1</v>
          </cell>
          <cell r="BA20" t="str">
            <v>[]</v>
          </cell>
          <cell r="BC20" t="str">
            <v>03</v>
          </cell>
          <cell r="BD20">
            <v>1262</v>
          </cell>
          <cell r="BE20" t="str">
            <v>[]</v>
          </cell>
          <cell r="BF20"/>
        </row>
        <row r="21">
          <cell r="A21" t="str">
            <v>nezha_attack02</v>
          </cell>
          <cell r="B21" t="str">
            <v>哪吒普攻</v>
          </cell>
          <cell r="C21" t="str">
            <v>普攻</v>
          </cell>
          <cell r="D21" t="str">
            <v>[]</v>
          </cell>
          <cell r="E21">
            <v>0</v>
          </cell>
          <cell r="F21" t="str">
            <v>[]</v>
          </cell>
          <cell r="G21" t="str">
            <v>哪吒近战攻击</v>
          </cell>
          <cell r="H21" t="str">
            <v>[]</v>
          </cell>
          <cell r="I21" t="str">
            <v>[]</v>
          </cell>
          <cell r="J21">
            <v>0</v>
          </cell>
          <cell r="K21">
            <v>1</v>
          </cell>
          <cell r="L21" t="str">
            <v>[]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3</v>
          </cell>
          <cell r="R21" t="str">
            <v>2|1</v>
          </cell>
          <cell r="S21" t="str">
            <v>4|0.2</v>
          </cell>
          <cell r="T21">
            <v>1</v>
          </cell>
          <cell r="U21">
            <v>1</v>
          </cell>
          <cell r="V21">
            <v>0</v>
          </cell>
          <cell r="W21" t="str">
            <v>[]</v>
          </cell>
          <cell r="X21">
            <v>0</v>
          </cell>
          <cell r="Y21" t="str">
            <v>[]</v>
          </cell>
          <cell r="Z21" t="str">
            <v>0,1,0</v>
          </cell>
          <cell r="AA21">
            <v>0</v>
          </cell>
          <cell r="AB21" t="str">
            <v>[]</v>
          </cell>
          <cell r="AC21" t="str">
            <v>[]</v>
          </cell>
          <cell r="AD21" t="str">
            <v>[]</v>
          </cell>
          <cell r="AE21" t="str">
            <v>[]</v>
          </cell>
          <cell r="AF21" t="str">
            <v>nezha_attack02</v>
          </cell>
          <cell r="AG21" t="str">
            <v>common_hit_zhongwuqi</v>
          </cell>
          <cell r="AH21" t="str">
            <v>[]</v>
          </cell>
          <cell r="AI21" t="str">
            <v>[]</v>
          </cell>
          <cell r="AJ21" t="str">
            <v>[]</v>
          </cell>
          <cell r="AK21" t="str">
            <v>[]</v>
          </cell>
          <cell r="AL21" t="str">
            <v>[]</v>
          </cell>
          <cell r="AM21" t="str">
            <v>[]</v>
          </cell>
          <cell r="AN21">
            <v>1</v>
          </cell>
          <cell r="AO21">
            <v>0.1</v>
          </cell>
          <cell r="AP21">
            <v>110201</v>
          </cell>
          <cell r="AQ21" t="str">
            <v>110201</v>
          </cell>
          <cell r="AR21" t="str">
            <v>[]</v>
          </cell>
          <cell r="AS21" t="str">
            <v>[]</v>
          </cell>
          <cell r="AT21" t="str">
            <v>1102</v>
          </cell>
          <cell r="AU21" t="str">
            <v>2060</v>
          </cell>
          <cell r="AV21" t="str">
            <v>哪吒近战攻击</v>
          </cell>
          <cell r="AW21" t="str">
            <v>02</v>
          </cell>
          <cell r="AX21" t="str">
            <v>[]</v>
          </cell>
          <cell r="AY21">
            <v>1</v>
          </cell>
          <cell r="BA21" t="str">
            <v>[]</v>
          </cell>
          <cell r="BC21" t="str">
            <v>04</v>
          </cell>
          <cell r="BD21">
            <v>1264</v>
          </cell>
          <cell r="BE21" t="str">
            <v>[]</v>
          </cell>
          <cell r="BF21"/>
        </row>
        <row r="22">
          <cell r="A22" t="str">
            <v>nezha_attack03</v>
          </cell>
          <cell r="B22" t="str">
            <v>哪吒普攻</v>
          </cell>
          <cell r="C22" t="str">
            <v>普攻</v>
          </cell>
          <cell r="D22">
            <v>1262</v>
          </cell>
          <cell r="E22">
            <v>0</v>
          </cell>
          <cell r="F22" t="str">
            <v>[]</v>
          </cell>
          <cell r="G22" t="str">
            <v>哪吒近战攻击</v>
          </cell>
          <cell r="H22" t="str">
            <v>[]</v>
          </cell>
          <cell r="I22" t="str">
            <v>[]</v>
          </cell>
          <cell r="J22">
            <v>0</v>
          </cell>
          <cell r="K22">
            <v>1</v>
          </cell>
          <cell r="L22" t="str">
            <v>[]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3</v>
          </cell>
          <cell r="R22" t="str">
            <v>2|1</v>
          </cell>
          <cell r="S22" t="str">
            <v>4|0.2</v>
          </cell>
          <cell r="T22">
            <v>1</v>
          </cell>
          <cell r="U22">
            <v>1</v>
          </cell>
          <cell r="V22">
            <v>0</v>
          </cell>
          <cell r="W22" t="str">
            <v>[]</v>
          </cell>
          <cell r="X22">
            <v>0</v>
          </cell>
          <cell r="Y22" t="str">
            <v>[]</v>
          </cell>
          <cell r="Z22" t="str">
            <v>0,1,0</v>
          </cell>
          <cell r="AA22">
            <v>0</v>
          </cell>
          <cell r="AB22" t="str">
            <v>[]</v>
          </cell>
          <cell r="AC22" t="str">
            <v>[]</v>
          </cell>
          <cell r="AD22" t="str">
            <v>[]</v>
          </cell>
          <cell r="AE22" t="str">
            <v>[]</v>
          </cell>
          <cell r="AF22" t="str">
            <v>nezha_attack03</v>
          </cell>
          <cell r="AG22" t="str">
            <v>common_hit_zhongwuqi</v>
          </cell>
          <cell r="AH22" t="str">
            <v>[]</v>
          </cell>
          <cell r="AI22" t="str">
            <v>[]</v>
          </cell>
          <cell r="AJ22" t="str">
            <v>[]</v>
          </cell>
          <cell r="AK22" t="str">
            <v>[]</v>
          </cell>
          <cell r="AL22" t="str">
            <v>[]</v>
          </cell>
          <cell r="AM22" t="str">
            <v>[]</v>
          </cell>
          <cell r="AN22">
            <v>1</v>
          </cell>
          <cell r="AO22">
            <v>0.1</v>
          </cell>
          <cell r="AP22">
            <v>110202</v>
          </cell>
          <cell r="AQ22" t="str">
            <v>110202</v>
          </cell>
          <cell r="AR22" t="str">
            <v>[]</v>
          </cell>
          <cell r="AS22" t="str">
            <v>[]</v>
          </cell>
          <cell r="AT22" t="str">
            <v>1102</v>
          </cell>
          <cell r="AU22" t="str">
            <v>2060</v>
          </cell>
          <cell r="AV22" t="str">
            <v>哪吒近战攻击</v>
          </cell>
          <cell r="AW22" t="str">
            <v>03</v>
          </cell>
          <cell r="AX22">
            <v>1262</v>
          </cell>
          <cell r="AY22">
            <v>1</v>
          </cell>
          <cell r="BA22" t="str">
            <v>[]</v>
          </cell>
          <cell r="BC22" t="str">
            <v>11</v>
          </cell>
          <cell r="BD22">
            <v>1266</v>
          </cell>
          <cell r="BE22" t="str">
            <v>[]</v>
          </cell>
          <cell r="BF22"/>
        </row>
        <row r="23">
          <cell r="A23" t="str">
            <v>nezha_skill01</v>
          </cell>
          <cell r="B23" t="str">
            <v>仙怒火莲</v>
          </cell>
          <cell r="C23" t="str">
            <v>召唤本命火莲花对范围内敌人进行2次攻击，造成主角攻击力@s的物伤，对流血状态目标提升10%伤害</v>
          </cell>
          <cell r="D23" t="str">
            <v>[]</v>
          </cell>
          <cell r="E23">
            <v>0</v>
          </cell>
          <cell r="F23" t="str">
            <v>[]</v>
          </cell>
          <cell r="G23" t="str">
            <v>哪吒核心技能</v>
          </cell>
          <cell r="H23" t="str">
            <v>nezha_skill01</v>
          </cell>
          <cell r="I23" t="str">
            <v>nezha_skill01</v>
          </cell>
          <cell r="J23">
            <v>0</v>
          </cell>
          <cell r="K23">
            <v>10</v>
          </cell>
          <cell r="L23" t="str">
            <v>1|2</v>
          </cell>
          <cell r="M23">
            <v>2</v>
          </cell>
          <cell r="N23">
            <v>2</v>
          </cell>
          <cell r="O23">
            <v>2</v>
          </cell>
          <cell r="P23">
            <v>2</v>
          </cell>
          <cell r="Q23">
            <v>12</v>
          </cell>
          <cell r="R23" t="str">
            <v>2|1</v>
          </cell>
          <cell r="S23" t="str">
            <v>2|6</v>
          </cell>
          <cell r="T23">
            <v>10</v>
          </cell>
          <cell r="U23">
            <v>0</v>
          </cell>
          <cell r="V23">
            <v>0</v>
          </cell>
          <cell r="W23" t="str">
            <v>[]</v>
          </cell>
          <cell r="X23">
            <v>0</v>
          </cell>
          <cell r="Y23" t="str">
            <v>[]</v>
          </cell>
          <cell r="Z23" t="str">
            <v>0,1,0</v>
          </cell>
          <cell r="AA23">
            <v>0</v>
          </cell>
          <cell r="AB23" t="str">
            <v>12</v>
          </cell>
          <cell r="AC23" t="str">
            <v>[]</v>
          </cell>
          <cell r="AD23" t="str">
            <v>[]</v>
          </cell>
          <cell r="AE23" t="str">
            <v>[]</v>
          </cell>
          <cell r="AF23" t="str">
            <v>nezha_skill01</v>
          </cell>
          <cell r="AG23" t="str">
            <v>common_hit_zhongwuqi</v>
          </cell>
          <cell r="AH23" t="str">
            <v>[]</v>
          </cell>
          <cell r="AI23" t="str">
            <v>[]</v>
          </cell>
          <cell r="AJ23" t="str">
            <v>nezha_zhenping_01</v>
          </cell>
          <cell r="AK23" t="str">
            <v>[]</v>
          </cell>
          <cell r="AL23" t="str">
            <v>[]</v>
          </cell>
          <cell r="AM23" t="str">
            <v>[]</v>
          </cell>
          <cell r="AN23">
            <v>2</v>
          </cell>
          <cell r="AO23" t="str">
            <v>0.3,1.8</v>
          </cell>
          <cell r="AP23">
            <v>110203</v>
          </cell>
          <cell r="AQ23" t="str">
            <v>110203</v>
          </cell>
          <cell r="AR23" t="str">
            <v>[]</v>
          </cell>
          <cell r="AS23" t="str">
            <v>[]</v>
          </cell>
          <cell r="AT23" t="str">
            <v>1102</v>
          </cell>
          <cell r="AU23" t="str">
            <v>2070</v>
          </cell>
          <cell r="AV23" t="str">
            <v>哪吒</v>
          </cell>
          <cell r="AW23" t="str">
            <v>01</v>
          </cell>
          <cell r="AX23" t="str">
            <v>[]</v>
          </cell>
          <cell r="AY23">
            <v>2</v>
          </cell>
          <cell r="BA23" t="str">
            <v>[]</v>
          </cell>
          <cell r="BC23" t="str">
            <v>21</v>
          </cell>
          <cell r="BD23">
            <v>1268</v>
          </cell>
          <cell r="BE23" t="str">
            <v>[]</v>
          </cell>
          <cell r="BF23"/>
        </row>
        <row r="24">
          <cell r="A24" t="str">
            <v>nezha_skill02</v>
          </cell>
          <cell r="B24" t="str">
            <v>聚能长枪</v>
          </cell>
          <cell r="C24" t="str">
            <v>于枪尖凝聚能量并引爆，对范围内敌人造成4次自身攻击力@s的物伤，并使敌人受到伤害提升@s，持续3秒，</v>
          </cell>
          <cell r="D24" t="str">
            <v>[]</v>
          </cell>
          <cell r="E24">
            <v>2</v>
          </cell>
          <cell r="F24" t="str">
            <v>boss_warning_shanxing90</v>
          </cell>
          <cell r="G24" t="str">
            <v>哪吒技能2</v>
          </cell>
          <cell r="H24" t="str">
            <v>nezha_skill02</v>
          </cell>
          <cell r="I24" t="str">
            <v>[]</v>
          </cell>
          <cell r="J24">
            <v>1</v>
          </cell>
          <cell r="K24">
            <v>10</v>
          </cell>
          <cell r="L24" t="str">
            <v>[]</v>
          </cell>
          <cell r="M24">
            <v>2</v>
          </cell>
          <cell r="N24">
            <v>2</v>
          </cell>
          <cell r="O24">
            <v>1</v>
          </cell>
          <cell r="P24">
            <v>2</v>
          </cell>
          <cell r="Q24">
            <v>4</v>
          </cell>
          <cell r="R24" t="str">
            <v>2|1</v>
          </cell>
          <cell r="S24" t="str">
            <v>1|5|5</v>
          </cell>
          <cell r="T24">
            <v>1</v>
          </cell>
          <cell r="U24">
            <v>0</v>
          </cell>
          <cell r="V24">
            <v>0</v>
          </cell>
          <cell r="W24" t="str">
            <v>[]</v>
          </cell>
          <cell r="X24">
            <v>3</v>
          </cell>
          <cell r="Y24" t="str">
            <v>[]</v>
          </cell>
          <cell r="Z24" t="str">
            <v>0.198,1.479,0</v>
          </cell>
          <cell r="AA24">
            <v>0</v>
          </cell>
          <cell r="AB24">
            <v>6</v>
          </cell>
          <cell r="AC24" t="str">
            <v>[]</v>
          </cell>
          <cell r="AD24" t="str">
            <v>[]</v>
          </cell>
          <cell r="AE24" t="str">
            <v>nezha_skill02</v>
          </cell>
          <cell r="AF24" t="str">
            <v>nezha_attack_wq</v>
          </cell>
          <cell r="AG24" t="str">
            <v>common_hit_zhongwuqi</v>
          </cell>
          <cell r="AH24" t="str">
            <v>[]</v>
          </cell>
          <cell r="AI24" t="str">
            <v>[]</v>
          </cell>
          <cell r="AJ24" t="str">
            <v>nezha_zhenping_02</v>
          </cell>
          <cell r="AK24" t="str">
            <v>[]</v>
          </cell>
          <cell r="AL24" t="str">
            <v>[]</v>
          </cell>
          <cell r="AM24" t="str">
            <v>jiashangupT3N0.1</v>
          </cell>
          <cell r="AN24">
            <v>1</v>
          </cell>
          <cell r="AO24" t="str">
            <v>0.3,0.1,0.1,0.1</v>
          </cell>
          <cell r="AP24">
            <v>110204</v>
          </cell>
          <cell r="AQ24" t="str">
            <v>110204,9010</v>
          </cell>
          <cell r="AR24" t="str">
            <v>[]</v>
          </cell>
          <cell r="AS24" t="str">
            <v>[]</v>
          </cell>
          <cell r="AT24" t="str">
            <v>1102</v>
          </cell>
          <cell r="AU24" t="str">
            <v>2080</v>
          </cell>
          <cell r="AV24" t="str">
            <v>哪吒</v>
          </cell>
          <cell r="AW24" t="str">
            <v>02</v>
          </cell>
          <cell r="AX24" t="str">
            <v>[]</v>
          </cell>
          <cell r="AY24">
            <v>4</v>
          </cell>
          <cell r="BA24" t="str">
            <v>[]</v>
          </cell>
          <cell r="BC24" t="str">
            <v>41</v>
          </cell>
          <cell r="BD24">
            <v>1270</v>
          </cell>
          <cell r="BE24" t="str">
            <v>[]</v>
          </cell>
          <cell r="BF24"/>
        </row>
        <row r="25">
          <cell r="A25" t="str">
            <v>nezha_skill03</v>
          </cell>
          <cell r="B25" t="str">
            <v>弱点追击</v>
          </cell>
          <cell r="C25" t="str">
            <v>进入战斗场景时，提升自身造成的伤害@s</v>
          </cell>
          <cell r="D25">
            <v>1262</v>
          </cell>
          <cell r="E25">
            <v>0</v>
          </cell>
          <cell r="F25" t="str">
            <v>[]</v>
          </cell>
          <cell r="G25" t="str">
            <v>哪吒被动技能</v>
          </cell>
          <cell r="H25" t="str">
            <v>baoji</v>
          </cell>
          <cell r="I25" t="str">
            <v>[]</v>
          </cell>
          <cell r="J25">
            <v>2</v>
          </cell>
          <cell r="K25">
            <v>10</v>
          </cell>
          <cell r="L25" t="str">
            <v>[]</v>
          </cell>
          <cell r="M25">
            <v>2</v>
          </cell>
          <cell r="N25">
            <v>2</v>
          </cell>
          <cell r="O25">
            <v>3</v>
          </cell>
          <cell r="P25">
            <v>0</v>
          </cell>
          <cell r="Q25">
            <v>12</v>
          </cell>
          <cell r="R25">
            <v>3</v>
          </cell>
          <cell r="S25" t="str">
            <v>4|0.2</v>
          </cell>
          <cell r="T25">
            <v>1</v>
          </cell>
          <cell r="U25">
            <v>0</v>
          </cell>
          <cell r="V25">
            <v>0</v>
          </cell>
          <cell r="W25" t="str">
            <v>[]</v>
          </cell>
          <cell r="X25">
            <v>0</v>
          </cell>
          <cell r="Y25" t="str">
            <v>[]</v>
          </cell>
          <cell r="Z25" t="str">
            <v>0,0,0</v>
          </cell>
          <cell r="AA25">
            <v>0</v>
          </cell>
          <cell r="AB25" t="str">
            <v>[]</v>
          </cell>
          <cell r="AC25" t="str">
            <v>[]</v>
          </cell>
          <cell r="AD25" t="str">
            <v>[]</v>
          </cell>
          <cell r="AE25" t="str">
            <v>[]</v>
          </cell>
          <cell r="AF25" t="str">
            <v>[]</v>
          </cell>
          <cell r="AG25" t="str">
            <v>[]</v>
          </cell>
          <cell r="AH25" t="str">
            <v>[]</v>
          </cell>
          <cell r="AI25" t="str">
            <v>[]</v>
          </cell>
          <cell r="AJ25" t="str">
            <v>[]</v>
          </cell>
          <cell r="AK25" t="str">
            <v>[]</v>
          </cell>
          <cell r="AL25" t="str">
            <v>yishangT3N0.2b</v>
          </cell>
          <cell r="AM25" t="str">
            <v>[]</v>
          </cell>
          <cell r="AN25">
            <v>0</v>
          </cell>
          <cell r="AO25" t="str">
            <v>[]</v>
          </cell>
          <cell r="AP25" t="str">
            <v>[]</v>
          </cell>
          <cell r="AQ25" t="str">
            <v>9020</v>
          </cell>
          <cell r="AR25" t="str">
            <v>[]</v>
          </cell>
          <cell r="AS25" t="str">
            <v>[]</v>
          </cell>
          <cell r="AT25" t="str">
            <v>9020</v>
          </cell>
          <cell r="AU25" t="str">
            <v>2091</v>
          </cell>
          <cell r="AV25" t="str">
            <v>哪吒</v>
          </cell>
          <cell r="AW25" t="str">
            <v>03</v>
          </cell>
          <cell r="AX25">
            <v>1262</v>
          </cell>
          <cell r="AY25">
            <v>1</v>
          </cell>
          <cell r="BA25" t="str">
            <v>[]</v>
          </cell>
          <cell r="BE25" t="str">
            <v>[]</v>
          </cell>
          <cell r="BF25"/>
        </row>
        <row r="26">
          <cell r="A26" t="str">
            <v>nezha_skill04</v>
          </cell>
          <cell r="B26" t="str">
            <v>烈焰冲击</v>
          </cell>
          <cell r="C26" t="str">
            <v>舞枪直刺，对范围内敌人造成4次自身攻击力@s的物伤，使目标进入灼烧状态</v>
          </cell>
          <cell r="D26">
            <v>1264</v>
          </cell>
          <cell r="E26">
            <v>2</v>
          </cell>
          <cell r="F26" t="str">
            <v>boss_warning_juxing</v>
          </cell>
          <cell r="G26" t="str">
            <v>哪吒技能4</v>
          </cell>
          <cell r="H26" t="str">
            <v>nezha_skill04</v>
          </cell>
          <cell r="I26" t="str">
            <v>[]</v>
          </cell>
          <cell r="J26">
            <v>3</v>
          </cell>
          <cell r="K26">
            <v>10</v>
          </cell>
          <cell r="L26" t="str">
            <v>[]</v>
          </cell>
          <cell r="M26">
            <v>2</v>
          </cell>
          <cell r="N26">
            <v>2</v>
          </cell>
          <cell r="O26">
            <v>1</v>
          </cell>
          <cell r="P26">
            <v>2</v>
          </cell>
          <cell r="Q26">
            <v>4</v>
          </cell>
          <cell r="R26" t="str">
            <v>2|1</v>
          </cell>
          <cell r="S26" t="str">
            <v>1|8|6</v>
          </cell>
          <cell r="T26">
            <v>10</v>
          </cell>
          <cell r="U26">
            <v>0</v>
          </cell>
          <cell r="V26">
            <v>0</v>
          </cell>
          <cell r="W26" t="str">
            <v>[]</v>
          </cell>
          <cell r="X26">
            <v>3</v>
          </cell>
          <cell r="Y26" t="str">
            <v>[]</v>
          </cell>
          <cell r="Z26" t="str">
            <v>0,2.5,0</v>
          </cell>
          <cell r="AA26">
            <v>0</v>
          </cell>
          <cell r="AB26">
            <v>6</v>
          </cell>
          <cell r="AC26" t="str">
            <v>[]</v>
          </cell>
          <cell r="AD26" t="str">
            <v>[]</v>
          </cell>
          <cell r="AE26" t="str">
            <v>[]</v>
          </cell>
          <cell r="AF26" t="str">
            <v>nezha_skill04</v>
          </cell>
          <cell r="AG26" t="str">
            <v>common_hit_zhongwuqi</v>
          </cell>
          <cell r="AH26" t="str">
            <v>[]</v>
          </cell>
          <cell r="AI26" t="str">
            <v>[]</v>
          </cell>
          <cell r="AJ26" t="str">
            <v>[]</v>
          </cell>
          <cell r="AK26" t="str">
            <v>[]</v>
          </cell>
          <cell r="AL26" t="str">
            <v>[]</v>
          </cell>
          <cell r="AM26" t="str">
            <v>jiashangupT3N0.1</v>
          </cell>
          <cell r="AN26">
            <v>1</v>
          </cell>
          <cell r="AO26" t="str">
            <v>1.5,0.1,0.1,0.1</v>
          </cell>
          <cell r="AP26">
            <v>110206</v>
          </cell>
          <cell r="AQ26" t="str">
            <v>110206,9010</v>
          </cell>
          <cell r="AR26" t="str">
            <v>[]</v>
          </cell>
          <cell r="AS26" t="str">
            <v>[]</v>
          </cell>
          <cell r="AT26" t="str">
            <v>1102</v>
          </cell>
          <cell r="AU26" t="str">
            <v>2100</v>
          </cell>
          <cell r="AV26" t="str">
            <v>哪吒</v>
          </cell>
          <cell r="AW26" t="str">
            <v>04</v>
          </cell>
          <cell r="AX26">
            <v>1264</v>
          </cell>
          <cell r="AY26">
            <v>4</v>
          </cell>
          <cell r="BA26" t="str">
            <v>[]</v>
          </cell>
          <cell r="BE26" t="str">
            <v>[]</v>
          </cell>
          <cell r="BF26"/>
        </row>
        <row r="27">
          <cell r="A27" t="str">
            <v>nezha_skill011</v>
          </cell>
          <cell r="B27" t="str">
            <v>奥义·仙怒火莲</v>
          </cell>
          <cell r="C27" t="str">
            <v>召唤本命火莲花对范围内敌人进行2次攻击，造成主角攻击力@s的物伤，对流血状态目标提示20%伤害</v>
          </cell>
          <cell r="D27">
            <v>1266</v>
          </cell>
          <cell r="E27">
            <v>0</v>
          </cell>
          <cell r="F27" t="str">
            <v>[]</v>
          </cell>
          <cell r="G27" t="str">
            <v>哪吒核心技能</v>
          </cell>
          <cell r="H27" t="str">
            <v>nezha_skill01</v>
          </cell>
          <cell r="I27" t="str">
            <v>nezha_skill01</v>
          </cell>
          <cell r="J27">
            <v>0</v>
          </cell>
          <cell r="K27">
            <v>10</v>
          </cell>
          <cell r="L27" t="str">
            <v>1|2</v>
          </cell>
          <cell r="M27">
            <v>2</v>
          </cell>
          <cell r="N27">
            <v>2</v>
          </cell>
          <cell r="O27">
            <v>2</v>
          </cell>
          <cell r="P27">
            <v>2</v>
          </cell>
          <cell r="Q27">
            <v>12</v>
          </cell>
          <cell r="R27" t="str">
            <v>2|1</v>
          </cell>
          <cell r="S27" t="str">
            <v>2|6</v>
          </cell>
          <cell r="T27">
            <v>10</v>
          </cell>
          <cell r="U27">
            <v>0</v>
          </cell>
          <cell r="V27">
            <v>0</v>
          </cell>
          <cell r="W27" t="str">
            <v>[]</v>
          </cell>
          <cell r="X27">
            <v>0</v>
          </cell>
          <cell r="Y27" t="str">
            <v>[]</v>
          </cell>
          <cell r="Z27" t="str">
            <v>0,1,0</v>
          </cell>
          <cell r="AA27">
            <v>0</v>
          </cell>
          <cell r="AB27" t="str">
            <v>12</v>
          </cell>
          <cell r="AC27" t="str">
            <v>[]</v>
          </cell>
          <cell r="AD27" t="str">
            <v>[]</v>
          </cell>
          <cell r="AE27" t="str">
            <v>[]</v>
          </cell>
          <cell r="AF27" t="str">
            <v>nezha_skill01</v>
          </cell>
          <cell r="AG27" t="str">
            <v>common_hit_zhongwuqi</v>
          </cell>
          <cell r="AH27" t="str">
            <v>[]</v>
          </cell>
          <cell r="AI27" t="str">
            <v>[]</v>
          </cell>
          <cell r="AJ27" t="str">
            <v>nezha_zhenping_01</v>
          </cell>
          <cell r="AK27" t="str">
            <v>[]</v>
          </cell>
          <cell r="AL27" t="str">
            <v>[]</v>
          </cell>
          <cell r="AM27" t="str">
            <v>[]</v>
          </cell>
          <cell r="AN27">
            <v>2</v>
          </cell>
          <cell r="AO27" t="str">
            <v>0.3,1.8</v>
          </cell>
          <cell r="AP27">
            <v>110207</v>
          </cell>
          <cell r="AQ27" t="str">
            <v>110207</v>
          </cell>
          <cell r="AR27" t="str">
            <v>[]</v>
          </cell>
          <cell r="AS27" t="str">
            <v>[]</v>
          </cell>
          <cell r="AT27" t="str">
            <v>1102</v>
          </cell>
          <cell r="AU27" t="str">
            <v>2070</v>
          </cell>
          <cell r="AV27" t="str">
            <v>哪吒</v>
          </cell>
          <cell r="AW27" t="str">
            <v>11</v>
          </cell>
          <cell r="AX27">
            <v>1266</v>
          </cell>
          <cell r="AY27">
            <v>2</v>
          </cell>
          <cell r="BA27" t="str">
            <v>[]</v>
          </cell>
          <cell r="BE27" t="str">
            <v>[]</v>
          </cell>
          <cell r="BF27"/>
        </row>
        <row r="28">
          <cell r="A28" t="str">
            <v>nezha_skill021</v>
          </cell>
          <cell r="B28" t="str">
            <v>奥义·聚能长枪</v>
          </cell>
          <cell r="C28" t="str">
            <v>于枪尖凝聚能量并引爆，对范围内敌人造成4次自身攻击力@s的物伤，并使敌人受到伤害提升@s，持续3秒</v>
          </cell>
          <cell r="D28">
            <v>1268</v>
          </cell>
          <cell r="E28">
            <v>2</v>
          </cell>
          <cell r="F28" t="str">
            <v>boss_warning_shanxing90</v>
          </cell>
          <cell r="G28" t="str">
            <v>哪吒技能2</v>
          </cell>
          <cell r="H28" t="str">
            <v>nezha_skill02</v>
          </cell>
          <cell r="I28" t="str">
            <v>[]</v>
          </cell>
          <cell r="J28">
            <v>1</v>
          </cell>
          <cell r="K28">
            <v>10</v>
          </cell>
          <cell r="L28" t="str">
            <v>[]</v>
          </cell>
          <cell r="M28">
            <v>2</v>
          </cell>
          <cell r="N28">
            <v>2</v>
          </cell>
          <cell r="O28">
            <v>1</v>
          </cell>
          <cell r="P28">
            <v>2</v>
          </cell>
          <cell r="Q28">
            <v>4</v>
          </cell>
          <cell r="R28" t="str">
            <v>2|1</v>
          </cell>
          <cell r="S28" t="str">
            <v>1|5|5</v>
          </cell>
          <cell r="T28">
            <v>1</v>
          </cell>
          <cell r="U28">
            <v>0</v>
          </cell>
          <cell r="V28">
            <v>0</v>
          </cell>
          <cell r="W28" t="str">
            <v>[]</v>
          </cell>
          <cell r="X28">
            <v>3</v>
          </cell>
          <cell r="Y28" t="str">
            <v>[]</v>
          </cell>
          <cell r="Z28" t="str">
            <v>0.198,1.479,0</v>
          </cell>
          <cell r="AA28">
            <v>0</v>
          </cell>
          <cell r="AB28">
            <v>6</v>
          </cell>
          <cell r="AC28" t="str">
            <v>[]</v>
          </cell>
          <cell r="AD28" t="str">
            <v>[]</v>
          </cell>
          <cell r="AE28" t="str">
            <v>nezha_skill02</v>
          </cell>
          <cell r="AF28" t="str">
            <v>nezha_attack_wq</v>
          </cell>
          <cell r="AG28" t="str">
            <v>common_hit_zhongwuqi</v>
          </cell>
          <cell r="AH28" t="str">
            <v>[]</v>
          </cell>
          <cell r="AI28" t="str">
            <v>[]</v>
          </cell>
          <cell r="AJ28" t="str">
            <v>nezha_zhenping_02</v>
          </cell>
          <cell r="AK28" t="str">
            <v>[]</v>
          </cell>
          <cell r="AL28" t="str">
            <v>[]</v>
          </cell>
          <cell r="AM28" t="str">
            <v>jiashangupT3N0.15</v>
          </cell>
          <cell r="AN28">
            <v>1</v>
          </cell>
          <cell r="AO28" t="str">
            <v>0.3,0.1,0.1,0.1</v>
          </cell>
          <cell r="AP28">
            <v>110208</v>
          </cell>
          <cell r="AQ28" t="str">
            <v>110208,9015</v>
          </cell>
          <cell r="AR28" t="str">
            <v>[]</v>
          </cell>
          <cell r="AS28" t="str">
            <v>[]</v>
          </cell>
          <cell r="AT28" t="str">
            <v>1102</v>
          </cell>
          <cell r="AU28" t="str">
            <v>2080</v>
          </cell>
          <cell r="AV28" t="str">
            <v>哪吒</v>
          </cell>
          <cell r="AW28" t="str">
            <v>21</v>
          </cell>
          <cell r="AX28">
            <v>1268</v>
          </cell>
          <cell r="AY28">
            <v>4</v>
          </cell>
          <cell r="BA28" t="str">
            <v>[]</v>
          </cell>
          <cell r="BE28" t="str">
            <v>[]</v>
          </cell>
          <cell r="BF28"/>
        </row>
        <row r="29">
          <cell r="A29" t="str">
            <v>nezha_skill041</v>
          </cell>
          <cell r="B29" t="str">
            <v>奥义·烈焰冲击</v>
          </cell>
          <cell r="C29" t="str">
            <v>舞枪直刺，对范围内敌人造成4次自身攻击力@s的物伤，使目标进入灼烧状态</v>
          </cell>
          <cell r="D29">
            <v>1270</v>
          </cell>
          <cell r="E29">
            <v>2</v>
          </cell>
          <cell r="F29" t="str">
            <v>boss_warning_juxing</v>
          </cell>
          <cell r="G29" t="str">
            <v>哪吒技能4</v>
          </cell>
          <cell r="H29" t="str">
            <v>nezha_skill04</v>
          </cell>
          <cell r="I29" t="str">
            <v>[]</v>
          </cell>
          <cell r="J29">
            <v>3</v>
          </cell>
          <cell r="K29">
            <v>10</v>
          </cell>
          <cell r="L29" t="str">
            <v>[]</v>
          </cell>
          <cell r="M29">
            <v>2</v>
          </cell>
          <cell r="N29">
            <v>2</v>
          </cell>
          <cell r="O29">
            <v>1</v>
          </cell>
          <cell r="P29">
            <v>2</v>
          </cell>
          <cell r="Q29">
            <v>4</v>
          </cell>
          <cell r="R29" t="str">
            <v>2|1</v>
          </cell>
          <cell r="S29" t="str">
            <v>1|8|6</v>
          </cell>
          <cell r="T29">
            <v>10</v>
          </cell>
          <cell r="U29">
            <v>0</v>
          </cell>
          <cell r="V29">
            <v>0</v>
          </cell>
          <cell r="W29" t="str">
            <v>[]</v>
          </cell>
          <cell r="X29">
            <v>3</v>
          </cell>
          <cell r="Y29" t="str">
            <v>[]</v>
          </cell>
          <cell r="Z29" t="str">
            <v>0,2.5,0</v>
          </cell>
          <cell r="AA29">
            <v>0</v>
          </cell>
          <cell r="AB29">
            <v>6</v>
          </cell>
          <cell r="AC29" t="str">
            <v>[]</v>
          </cell>
          <cell r="AD29" t="str">
            <v>[]</v>
          </cell>
          <cell r="AE29" t="str">
            <v>[]</v>
          </cell>
          <cell r="AF29" t="str">
            <v>nezha_skill04</v>
          </cell>
          <cell r="AG29" t="str">
            <v>common_hit_zhongwuqi</v>
          </cell>
          <cell r="AH29" t="str">
            <v>[]</v>
          </cell>
          <cell r="AI29" t="str">
            <v>[]</v>
          </cell>
          <cell r="AJ29" t="str">
            <v>[]</v>
          </cell>
          <cell r="AK29" t="str">
            <v>[]</v>
          </cell>
          <cell r="AL29" t="str">
            <v>[]</v>
          </cell>
          <cell r="AM29" t="str">
            <v>jiashangupT3N0.15</v>
          </cell>
          <cell r="AN29">
            <v>1</v>
          </cell>
          <cell r="AO29" t="str">
            <v>1.5,0.1,0.1,0.1</v>
          </cell>
          <cell r="AP29">
            <v>110209</v>
          </cell>
          <cell r="AQ29" t="str">
            <v>110209,9015</v>
          </cell>
          <cell r="AR29" t="str">
            <v>[]</v>
          </cell>
          <cell r="AS29" t="str">
            <v>[]</v>
          </cell>
          <cell r="AT29" t="str">
            <v>1102</v>
          </cell>
          <cell r="AU29" t="str">
            <v>2100</v>
          </cell>
          <cell r="AV29" t="str">
            <v>哪吒</v>
          </cell>
          <cell r="AW29" t="str">
            <v>41</v>
          </cell>
          <cell r="AX29">
            <v>1270</v>
          </cell>
          <cell r="AY29">
            <v>4</v>
          </cell>
          <cell r="BA29" t="str">
            <v>[]</v>
          </cell>
          <cell r="BE29" t="str">
            <v>[]</v>
          </cell>
          <cell r="BF29"/>
        </row>
        <row r="30">
          <cell r="A30" t="str">
            <v>change_attack</v>
          </cell>
          <cell r="B30" t="str">
            <v>嫦娥</v>
          </cell>
          <cell r="C30" t="str">
            <v>普攻</v>
          </cell>
          <cell r="D30" t="str">
            <v>[]</v>
          </cell>
          <cell r="E30">
            <v>0</v>
          </cell>
          <cell r="F30" t="str">
            <v>[]</v>
          </cell>
          <cell r="G30" t="str">
            <v>嫦娥远程攻击</v>
          </cell>
          <cell r="H30" t="str">
            <v>[]</v>
          </cell>
          <cell r="I30" t="str">
            <v>[]</v>
          </cell>
          <cell r="J30">
            <v>0</v>
          </cell>
          <cell r="K30">
            <v>1</v>
          </cell>
          <cell r="L30" t="str">
            <v>[]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10</v>
          </cell>
          <cell r="R30" t="str">
            <v>2|1</v>
          </cell>
          <cell r="S30" t="str">
            <v>4|0.2</v>
          </cell>
          <cell r="T30">
            <v>1</v>
          </cell>
          <cell r="U30">
            <v>1</v>
          </cell>
          <cell r="V30">
            <v>0</v>
          </cell>
          <cell r="W30" t="str">
            <v>[]</v>
          </cell>
          <cell r="X30">
            <v>0</v>
          </cell>
          <cell r="Y30" t="str">
            <v>[]</v>
          </cell>
          <cell r="Z30" t="str">
            <v>0,1,0</v>
          </cell>
          <cell r="AA30">
            <v>0</v>
          </cell>
          <cell r="AB30" t="str">
            <v>[]</v>
          </cell>
          <cell r="AC30" t="str">
            <v>[]</v>
          </cell>
          <cell r="AD30" t="str">
            <v>[]</v>
          </cell>
          <cell r="AE30" t="str">
            <v>[]</v>
          </cell>
          <cell r="AF30" t="str">
            <v>change_attack</v>
          </cell>
          <cell r="AG30" t="str">
            <v>common_hit_fashu</v>
          </cell>
          <cell r="AH30" t="str">
            <v>[]</v>
          </cell>
          <cell r="AI30" t="str">
            <v>[]</v>
          </cell>
          <cell r="AJ30" t="str">
            <v>[]</v>
          </cell>
          <cell r="AK30" t="str">
            <v>[]</v>
          </cell>
          <cell r="AL30" t="str">
            <v>[]</v>
          </cell>
          <cell r="AM30" t="str">
            <v>[]</v>
          </cell>
          <cell r="AN30">
            <v>2</v>
          </cell>
          <cell r="AO30">
            <v>-2</v>
          </cell>
          <cell r="AP30">
            <v>110300</v>
          </cell>
          <cell r="AQ30" t="str">
            <v>110300</v>
          </cell>
          <cell r="AR30" t="str">
            <v>[]</v>
          </cell>
          <cell r="AS30" t="str">
            <v>[]</v>
          </cell>
          <cell r="AT30" t="str">
            <v>1103</v>
          </cell>
          <cell r="AU30" t="str">
            <v>2110</v>
          </cell>
          <cell r="AV30" t="str">
            <v>嫦娥远程攻击</v>
          </cell>
          <cell r="AW30" t="str">
            <v>ck</v>
          </cell>
          <cell r="AX30" t="str">
            <v>[]</v>
          </cell>
          <cell r="AY30">
            <v>1</v>
          </cell>
          <cell r="BA30" t="str">
            <v>[]</v>
          </cell>
          <cell r="BE30" t="str">
            <v>[]</v>
          </cell>
          <cell r="BF30"/>
        </row>
        <row r="31">
          <cell r="A31" t="str">
            <v>change_skill01</v>
          </cell>
          <cell r="B31" t="str">
            <v>流星坠月</v>
          </cell>
          <cell r="C31" t="str">
            <v>释放辉月之力，治疗全体友军，每0.5秒恢复主角攻击力@s的生命值，持续3秒</v>
          </cell>
          <cell r="D31" t="str">
            <v>[]</v>
          </cell>
          <cell r="E31">
            <v>0</v>
          </cell>
          <cell r="F31" t="str">
            <v>[]</v>
          </cell>
          <cell r="G31" t="str">
            <v>嫦娥核心技能</v>
          </cell>
          <cell r="H31" t="str">
            <v>change_skill01</v>
          </cell>
          <cell r="I31" t="str">
            <v>change_skill01</v>
          </cell>
          <cell r="J31">
            <v>0</v>
          </cell>
          <cell r="K31">
            <v>10</v>
          </cell>
          <cell r="L31" t="str">
            <v>1|3</v>
          </cell>
          <cell r="M31">
            <v>2</v>
          </cell>
          <cell r="N31">
            <v>2</v>
          </cell>
          <cell r="O31">
            <v>2</v>
          </cell>
          <cell r="P31">
            <v>5</v>
          </cell>
          <cell r="Q31">
            <v>12</v>
          </cell>
          <cell r="R31">
            <v>3</v>
          </cell>
          <cell r="S31" t="str">
            <v>2|20</v>
          </cell>
          <cell r="T31">
            <v>10</v>
          </cell>
          <cell r="U31">
            <v>0</v>
          </cell>
          <cell r="V31">
            <v>0</v>
          </cell>
          <cell r="W31" t="str">
            <v>[]</v>
          </cell>
          <cell r="X31">
            <v>0</v>
          </cell>
          <cell r="Y31" t="str">
            <v>[]</v>
          </cell>
          <cell r="Z31" t="str">
            <v>0,1,0</v>
          </cell>
          <cell r="AA31">
            <v>0</v>
          </cell>
          <cell r="AB31" t="str">
            <v>12</v>
          </cell>
          <cell r="AC31" t="str">
            <v>[]</v>
          </cell>
          <cell r="AD31" t="str">
            <v>[]</v>
          </cell>
          <cell r="AE31" t="str">
            <v>[]</v>
          </cell>
          <cell r="AF31" t="str">
            <v>change_skill01_q</v>
          </cell>
          <cell r="AG31" t="str">
            <v>respond_hp</v>
          </cell>
          <cell r="AH31" t="str">
            <v>[]</v>
          </cell>
          <cell r="AI31" t="str">
            <v>[]</v>
          </cell>
          <cell r="AJ31" t="str">
            <v>[]</v>
          </cell>
          <cell r="AK31" t="str">
            <v>[]</v>
          </cell>
          <cell r="AL31" t="str">
            <v>[]</v>
          </cell>
          <cell r="AM31" t="str">
            <v>huifuT3N0.4</v>
          </cell>
          <cell r="AN31">
            <v>2</v>
          </cell>
          <cell r="AO31">
            <v>0.5</v>
          </cell>
          <cell r="AP31" t="str">
            <v>[]</v>
          </cell>
          <cell r="AQ31" t="str">
            <v>9040</v>
          </cell>
          <cell r="AR31" t="str">
            <v>[]</v>
          </cell>
          <cell r="AS31" t="str">
            <v>[]</v>
          </cell>
          <cell r="AT31" t="str">
            <v>1103</v>
          </cell>
          <cell r="AU31" t="str">
            <v>2120</v>
          </cell>
          <cell r="AV31" t="str">
            <v>嫦娥</v>
          </cell>
          <cell r="AW31" t="str">
            <v>01</v>
          </cell>
          <cell r="AX31" t="str">
            <v>[]</v>
          </cell>
          <cell r="AY31">
            <v>1</v>
          </cell>
          <cell r="BA31" t="str">
            <v>[]</v>
          </cell>
          <cell r="BE31" t="str">
            <v>[]</v>
          </cell>
          <cell r="BF31"/>
        </row>
        <row r="32">
          <cell r="A32" t="str">
            <v>change_skill02</v>
          </cell>
          <cell r="B32" t="str">
            <v>月光祝福</v>
          </cell>
          <cell r="C32" t="str">
            <v>为治疗生命值百分比最低的友军施加月光祝福，恢复自身攻击力@s的生命值，并清除一个不利状态</v>
          </cell>
          <cell r="D32" t="str">
            <v>[]</v>
          </cell>
          <cell r="E32">
            <v>0</v>
          </cell>
          <cell r="F32" t="str">
            <v>[]</v>
          </cell>
          <cell r="G32" t="str">
            <v>嫦娥技能2</v>
          </cell>
          <cell r="H32" t="str">
            <v>change_skill02</v>
          </cell>
          <cell r="I32" t="str">
            <v>[]</v>
          </cell>
          <cell r="J32">
            <v>1</v>
          </cell>
          <cell r="K32">
            <v>10</v>
          </cell>
          <cell r="L32" t="str">
            <v>[]</v>
          </cell>
          <cell r="M32">
            <v>2</v>
          </cell>
          <cell r="N32">
            <v>2</v>
          </cell>
          <cell r="O32">
            <v>1</v>
          </cell>
          <cell r="P32">
            <v>5</v>
          </cell>
          <cell r="Q32">
            <v>12</v>
          </cell>
          <cell r="R32">
            <v>3</v>
          </cell>
          <cell r="S32">
            <v>7</v>
          </cell>
          <cell r="T32">
            <v>1</v>
          </cell>
          <cell r="U32">
            <v>1</v>
          </cell>
          <cell r="V32">
            <v>0</v>
          </cell>
          <cell r="W32" t="str">
            <v>[]</v>
          </cell>
          <cell r="X32">
            <v>3</v>
          </cell>
          <cell r="Y32" t="str">
            <v>[]</v>
          </cell>
          <cell r="Z32" t="str">
            <v>0,0.8,0.2</v>
          </cell>
          <cell r="AA32">
            <v>0</v>
          </cell>
          <cell r="AB32">
            <v>12</v>
          </cell>
          <cell r="AC32" t="str">
            <v>[]</v>
          </cell>
          <cell r="AD32" t="str">
            <v>[]</v>
          </cell>
          <cell r="AE32" t="str">
            <v>[]</v>
          </cell>
          <cell r="AF32" t="str">
            <v>change_skill02</v>
          </cell>
          <cell r="AG32" t="str">
            <v>respond_hp</v>
          </cell>
          <cell r="AH32" t="str">
            <v>[]</v>
          </cell>
          <cell r="AI32" t="str">
            <v>[]</v>
          </cell>
          <cell r="AJ32" t="str">
            <v>[]</v>
          </cell>
          <cell r="AK32" t="str">
            <v>jinghuaTN1P1</v>
          </cell>
          <cell r="AL32" t="str">
            <v>[]</v>
          </cell>
          <cell r="AM32" t="str">
            <v>[]</v>
          </cell>
          <cell r="AN32">
            <v>1</v>
          </cell>
          <cell r="AO32">
            <v>0.1</v>
          </cell>
          <cell r="AP32">
            <v>110302</v>
          </cell>
          <cell r="AQ32" t="str">
            <v>110302</v>
          </cell>
          <cell r="AR32" t="str">
            <v>[]</v>
          </cell>
          <cell r="AS32" t="str">
            <v>[]</v>
          </cell>
          <cell r="AT32" t="str">
            <v>1103</v>
          </cell>
          <cell r="AU32" t="str">
            <v>2130</v>
          </cell>
          <cell r="AV32" t="str">
            <v>嫦娥</v>
          </cell>
          <cell r="AW32" t="str">
            <v>02</v>
          </cell>
          <cell r="AX32" t="str">
            <v>[]</v>
          </cell>
          <cell r="AY32">
            <v>1</v>
          </cell>
          <cell r="BA32" t="str">
            <v>[]</v>
          </cell>
          <cell r="BE32" t="str">
            <v>[]</v>
          </cell>
          <cell r="BF32"/>
        </row>
        <row r="33">
          <cell r="A33" t="str">
            <v>change_skill03</v>
          </cell>
          <cell r="B33" t="str">
            <v>冷月风高</v>
          </cell>
          <cell r="C33" t="str">
            <v>进入战斗场景时，降低全体友军受到的伤害@s</v>
          </cell>
          <cell r="D33">
            <v>1262</v>
          </cell>
          <cell r="E33">
            <v>0</v>
          </cell>
          <cell r="F33" t="str">
            <v>[]</v>
          </cell>
          <cell r="G33" t="str">
            <v>嫦娥被动技能</v>
          </cell>
          <cell r="H33" t="str">
            <v>fagong</v>
          </cell>
          <cell r="I33" t="str">
            <v>[]</v>
          </cell>
          <cell r="J33">
            <v>2</v>
          </cell>
          <cell r="K33">
            <v>10</v>
          </cell>
          <cell r="L33" t="str">
            <v>[]</v>
          </cell>
          <cell r="M33">
            <v>2</v>
          </cell>
          <cell r="N33">
            <v>2</v>
          </cell>
          <cell r="O33">
            <v>3</v>
          </cell>
          <cell r="P33">
            <v>0</v>
          </cell>
          <cell r="Q33">
            <v>12</v>
          </cell>
          <cell r="R33">
            <v>3</v>
          </cell>
          <cell r="S33" t="str">
            <v>2|20</v>
          </cell>
          <cell r="T33">
            <v>10</v>
          </cell>
          <cell r="U33">
            <v>0</v>
          </cell>
          <cell r="V33">
            <v>0</v>
          </cell>
          <cell r="W33" t="str">
            <v>[]</v>
          </cell>
          <cell r="X33">
            <v>0</v>
          </cell>
          <cell r="Y33" t="str">
            <v>[]</v>
          </cell>
          <cell r="Z33" t="str">
            <v>0,0,0</v>
          </cell>
          <cell r="AA33">
            <v>0</v>
          </cell>
          <cell r="AB33" t="str">
            <v>[]</v>
          </cell>
          <cell r="AC33" t="str">
            <v>[]</v>
          </cell>
          <cell r="AD33" t="str">
            <v>[]</v>
          </cell>
          <cell r="AE33" t="str">
            <v>[]</v>
          </cell>
          <cell r="AF33" t="str">
            <v>[]</v>
          </cell>
          <cell r="AG33" t="str">
            <v>[]</v>
          </cell>
          <cell r="AH33" t="str">
            <v>[]</v>
          </cell>
          <cell r="AI33" t="str">
            <v>[]</v>
          </cell>
          <cell r="AJ33" t="str">
            <v>jianshang10_higheff</v>
          </cell>
          <cell r="AK33" t="str">
            <v>[]</v>
          </cell>
          <cell r="AL33" t="str">
            <v>[]</v>
          </cell>
          <cell r="AM33" t="str">
            <v>[]</v>
          </cell>
          <cell r="AN33">
            <v>0</v>
          </cell>
          <cell r="AO33" t="str">
            <v>[]</v>
          </cell>
          <cell r="AP33" t="str">
            <v>[]</v>
          </cell>
          <cell r="AQ33" t="str">
            <v>9010</v>
          </cell>
          <cell r="AR33" t="str">
            <v>[]</v>
          </cell>
          <cell r="AS33" t="str">
            <v>[]</v>
          </cell>
          <cell r="AT33" t="str">
            <v>9010</v>
          </cell>
          <cell r="AU33" t="str">
            <v>2140</v>
          </cell>
          <cell r="AV33" t="str">
            <v>嫦娥</v>
          </cell>
          <cell r="AW33" t="str">
            <v>03</v>
          </cell>
          <cell r="AX33">
            <v>1262</v>
          </cell>
          <cell r="AY33">
            <v>1</v>
          </cell>
          <cell r="BA33" t="str">
            <v>[]</v>
          </cell>
          <cell r="BE33" t="str">
            <v>[]</v>
          </cell>
          <cell r="BF33"/>
        </row>
        <row r="34">
          <cell r="A34" t="str">
            <v>change_skill04</v>
          </cell>
          <cell r="B34" t="str">
            <v>月刃之舞</v>
          </cell>
          <cell r="C34" t="str">
            <v>跳起月刃之舞释放月光之力，治疗全体友军，每0.5秒恢复自身攻击力@s的生命值，持续3秒</v>
          </cell>
          <cell r="D34">
            <v>1264</v>
          </cell>
          <cell r="E34">
            <v>0</v>
          </cell>
          <cell r="F34" t="str">
            <v>[]</v>
          </cell>
          <cell r="G34" t="str">
            <v>嫦娥技能4</v>
          </cell>
          <cell r="H34" t="str">
            <v>change_skill04</v>
          </cell>
          <cell r="I34" t="str">
            <v>[]</v>
          </cell>
          <cell r="J34">
            <v>3</v>
          </cell>
          <cell r="K34">
            <v>10</v>
          </cell>
          <cell r="L34" t="str">
            <v>[]</v>
          </cell>
          <cell r="M34">
            <v>2</v>
          </cell>
          <cell r="N34">
            <v>2</v>
          </cell>
          <cell r="O34">
            <v>1</v>
          </cell>
          <cell r="P34">
            <v>5</v>
          </cell>
          <cell r="Q34">
            <v>12</v>
          </cell>
          <cell r="R34">
            <v>3</v>
          </cell>
          <cell r="S34" t="str">
            <v>2|20</v>
          </cell>
          <cell r="T34">
            <v>10</v>
          </cell>
          <cell r="U34">
            <v>1</v>
          </cell>
          <cell r="V34">
            <v>0</v>
          </cell>
          <cell r="W34" t="str">
            <v>[]</v>
          </cell>
          <cell r="X34">
            <v>3</v>
          </cell>
          <cell r="Y34" t="str">
            <v>[]</v>
          </cell>
          <cell r="Z34" t="str">
            <v>0,1,0</v>
          </cell>
          <cell r="AA34">
            <v>0</v>
          </cell>
          <cell r="AB34">
            <v>12</v>
          </cell>
          <cell r="AC34" t="str">
            <v>[]</v>
          </cell>
          <cell r="AD34" t="str">
            <v>[]</v>
          </cell>
          <cell r="AE34" t="str">
            <v>[]</v>
          </cell>
          <cell r="AF34" t="str">
            <v>change_skill04</v>
          </cell>
          <cell r="AG34" t="str">
            <v>respond_hp</v>
          </cell>
          <cell r="AH34" t="str">
            <v>[]</v>
          </cell>
          <cell r="AI34" t="str">
            <v>[]</v>
          </cell>
          <cell r="AJ34" t="str">
            <v>[]</v>
          </cell>
          <cell r="AK34" t="str">
            <v>[]</v>
          </cell>
          <cell r="AL34" t="str">
            <v>[]</v>
          </cell>
          <cell r="AM34" t="str">
            <v>huifuT3N0.25</v>
          </cell>
          <cell r="AN34">
            <v>2</v>
          </cell>
          <cell r="AO34">
            <v>1.1000000000000001</v>
          </cell>
          <cell r="AP34" t="str">
            <v>[]</v>
          </cell>
          <cell r="AQ34" t="str">
            <v>9025</v>
          </cell>
          <cell r="AR34" t="str">
            <v>[]</v>
          </cell>
          <cell r="AS34" t="str">
            <v>[]</v>
          </cell>
          <cell r="AT34" t="str">
            <v>1103</v>
          </cell>
          <cell r="AU34" t="str">
            <v>2150</v>
          </cell>
          <cell r="AV34" t="str">
            <v>嫦娥</v>
          </cell>
          <cell r="AW34" t="str">
            <v>04</v>
          </cell>
          <cell r="AX34">
            <v>1264</v>
          </cell>
          <cell r="AY34">
            <v>1</v>
          </cell>
          <cell r="AZ34" t="str">
            <v xml:space="preserve"> </v>
          </cell>
          <cell r="BA34" t="str">
            <v>[]</v>
          </cell>
          <cell r="BE34" t="str">
            <v>[]</v>
          </cell>
          <cell r="BF34"/>
        </row>
        <row r="35">
          <cell r="A35" t="str">
            <v>change_skill011</v>
          </cell>
          <cell r="B35" t="str">
            <v>奥义·流星坠月</v>
          </cell>
          <cell r="C35" t="str">
            <v>释放辉月之力，治疗全体友军，每0.5秒恢复主角攻击力@s的生命值，持续3秒</v>
          </cell>
          <cell r="D35">
            <v>1266</v>
          </cell>
          <cell r="E35">
            <v>0</v>
          </cell>
          <cell r="F35" t="str">
            <v>[]</v>
          </cell>
          <cell r="G35" t="str">
            <v>嫦娥核心技能</v>
          </cell>
          <cell r="H35" t="str">
            <v>change_skill01</v>
          </cell>
          <cell r="I35" t="str">
            <v>change_skill01</v>
          </cell>
          <cell r="J35">
            <v>0</v>
          </cell>
          <cell r="K35">
            <v>10</v>
          </cell>
          <cell r="L35" t="str">
            <v>1|3</v>
          </cell>
          <cell r="M35">
            <v>2</v>
          </cell>
          <cell r="N35">
            <v>2</v>
          </cell>
          <cell r="O35">
            <v>2</v>
          </cell>
          <cell r="P35">
            <v>5</v>
          </cell>
          <cell r="Q35">
            <v>12</v>
          </cell>
          <cell r="R35">
            <v>3</v>
          </cell>
          <cell r="S35" t="str">
            <v>2|20</v>
          </cell>
          <cell r="T35">
            <v>10</v>
          </cell>
          <cell r="U35">
            <v>0</v>
          </cell>
          <cell r="V35">
            <v>0</v>
          </cell>
          <cell r="W35" t="str">
            <v>[]</v>
          </cell>
          <cell r="X35">
            <v>0</v>
          </cell>
          <cell r="Y35" t="str">
            <v>[]</v>
          </cell>
          <cell r="Z35" t="str">
            <v>0,1,0</v>
          </cell>
          <cell r="AA35">
            <v>0</v>
          </cell>
          <cell r="AB35" t="str">
            <v>12</v>
          </cell>
          <cell r="AC35" t="str">
            <v>[]</v>
          </cell>
          <cell r="AD35" t="str">
            <v>[]</v>
          </cell>
          <cell r="AE35" t="str">
            <v>[]</v>
          </cell>
          <cell r="AF35" t="str">
            <v>change_skill01_q</v>
          </cell>
          <cell r="AG35" t="str">
            <v>respond_hp</v>
          </cell>
          <cell r="AH35" t="str">
            <v>[]</v>
          </cell>
          <cell r="AI35" t="str">
            <v>[]</v>
          </cell>
          <cell r="AJ35" t="str">
            <v>[]</v>
          </cell>
          <cell r="AK35" t="str">
            <v>[]</v>
          </cell>
          <cell r="AL35" t="str">
            <v>[]</v>
          </cell>
          <cell r="AM35" t="str">
            <v>huifuT3N0.5</v>
          </cell>
          <cell r="AN35">
            <v>2</v>
          </cell>
          <cell r="AO35">
            <v>1</v>
          </cell>
          <cell r="AP35" t="str">
            <v>[]</v>
          </cell>
          <cell r="AQ35" t="str">
            <v>9050</v>
          </cell>
          <cell r="AR35" t="str">
            <v>[]</v>
          </cell>
          <cell r="AS35" t="str">
            <v>[]</v>
          </cell>
          <cell r="AT35" t="str">
            <v>1103</v>
          </cell>
          <cell r="AU35" t="str">
            <v>2120</v>
          </cell>
          <cell r="AV35" t="str">
            <v>嫦娥</v>
          </cell>
          <cell r="AW35" t="str">
            <v>11</v>
          </cell>
          <cell r="AX35">
            <v>1266</v>
          </cell>
          <cell r="AY35">
            <v>1</v>
          </cell>
          <cell r="BA35" t="str">
            <v>[]</v>
          </cell>
          <cell r="BE35" t="str">
            <v>[]</v>
          </cell>
          <cell r="BF35"/>
        </row>
        <row r="36">
          <cell r="A36" t="str">
            <v>change_skill021</v>
          </cell>
          <cell r="B36" t="str">
            <v>奥义·月光祝福</v>
          </cell>
          <cell r="C36" t="str">
            <v>为治疗生命值百分比最低的友军施加月光祝福，恢复自身攻击力@s的生命值，并清除全部不利状态</v>
          </cell>
          <cell r="D36">
            <v>1268</v>
          </cell>
          <cell r="E36">
            <v>0</v>
          </cell>
          <cell r="F36" t="str">
            <v>[]</v>
          </cell>
          <cell r="G36" t="str">
            <v>嫦娥技能2</v>
          </cell>
          <cell r="H36" t="str">
            <v>change_skill02</v>
          </cell>
          <cell r="I36" t="str">
            <v>[]</v>
          </cell>
          <cell r="J36">
            <v>1</v>
          </cell>
          <cell r="K36">
            <v>10</v>
          </cell>
          <cell r="L36" t="str">
            <v>[]</v>
          </cell>
          <cell r="M36">
            <v>2</v>
          </cell>
          <cell r="N36">
            <v>2</v>
          </cell>
          <cell r="O36">
            <v>1</v>
          </cell>
          <cell r="P36">
            <v>5</v>
          </cell>
          <cell r="Q36">
            <v>4</v>
          </cell>
          <cell r="R36">
            <v>3</v>
          </cell>
          <cell r="S36">
            <v>7</v>
          </cell>
          <cell r="T36">
            <v>1</v>
          </cell>
          <cell r="U36">
            <v>1</v>
          </cell>
          <cell r="V36">
            <v>0</v>
          </cell>
          <cell r="W36" t="str">
            <v>[]</v>
          </cell>
          <cell r="X36">
            <v>3</v>
          </cell>
          <cell r="Y36" t="str">
            <v>[]</v>
          </cell>
          <cell r="Z36" t="str">
            <v>0,0.8,0.2</v>
          </cell>
          <cell r="AA36">
            <v>0</v>
          </cell>
          <cell r="AB36">
            <v>12</v>
          </cell>
          <cell r="AC36" t="str">
            <v>[]</v>
          </cell>
          <cell r="AD36" t="str">
            <v>[]</v>
          </cell>
          <cell r="AE36" t="str">
            <v>[]</v>
          </cell>
          <cell r="AF36" t="str">
            <v>change_skill02</v>
          </cell>
          <cell r="AG36" t="str">
            <v>respond_hp</v>
          </cell>
          <cell r="AH36" t="str">
            <v>[]</v>
          </cell>
          <cell r="AI36" t="str">
            <v>[]</v>
          </cell>
          <cell r="AJ36" t="str">
            <v>[]</v>
          </cell>
          <cell r="AK36" t="str">
            <v>jinghuaTN99P1</v>
          </cell>
          <cell r="AL36" t="str">
            <v>[]</v>
          </cell>
          <cell r="AM36" t="str">
            <v>[]</v>
          </cell>
          <cell r="AN36">
            <v>1</v>
          </cell>
          <cell r="AO36">
            <v>0.1</v>
          </cell>
          <cell r="AP36">
            <v>110306</v>
          </cell>
          <cell r="AQ36" t="str">
            <v>110306</v>
          </cell>
          <cell r="AR36" t="str">
            <v>[]</v>
          </cell>
          <cell r="AS36" t="str">
            <v>[]</v>
          </cell>
          <cell r="AT36" t="str">
            <v>1103</v>
          </cell>
          <cell r="AU36" t="str">
            <v>2130</v>
          </cell>
          <cell r="AV36" t="str">
            <v>嫦娥</v>
          </cell>
          <cell r="AW36" t="str">
            <v>21</v>
          </cell>
          <cell r="AX36">
            <v>1268</v>
          </cell>
          <cell r="AY36">
            <v>1</v>
          </cell>
          <cell r="BA36" t="str">
            <v>[]</v>
          </cell>
          <cell r="BE36" t="str">
            <v>[]</v>
          </cell>
          <cell r="BF36"/>
        </row>
        <row r="37">
          <cell r="A37" t="str">
            <v>change_skill041</v>
          </cell>
          <cell r="B37" t="str">
            <v>奥义·月刃之舞</v>
          </cell>
          <cell r="C37" t="str">
            <v>跳起月刃之舞释放月光之力，治疗全体友军，每0.5秒恢复自身攻击力@s的生命值，持续3秒</v>
          </cell>
          <cell r="D37">
            <v>1270</v>
          </cell>
          <cell r="E37">
            <v>0</v>
          </cell>
          <cell r="F37" t="str">
            <v>[]</v>
          </cell>
          <cell r="G37" t="str">
            <v>嫦娥技能4</v>
          </cell>
          <cell r="H37" t="str">
            <v>change_skill04</v>
          </cell>
          <cell r="I37" t="str">
            <v>[]</v>
          </cell>
          <cell r="J37">
            <v>3</v>
          </cell>
          <cell r="K37">
            <v>10</v>
          </cell>
          <cell r="L37" t="str">
            <v>[]</v>
          </cell>
          <cell r="M37">
            <v>2</v>
          </cell>
          <cell r="N37">
            <v>2</v>
          </cell>
          <cell r="O37">
            <v>1</v>
          </cell>
          <cell r="P37">
            <v>5</v>
          </cell>
          <cell r="Q37">
            <v>12</v>
          </cell>
          <cell r="R37">
            <v>3</v>
          </cell>
          <cell r="S37" t="str">
            <v>2|20</v>
          </cell>
          <cell r="T37">
            <v>10</v>
          </cell>
          <cell r="U37">
            <v>1</v>
          </cell>
          <cell r="V37">
            <v>0</v>
          </cell>
          <cell r="W37" t="str">
            <v>[]</v>
          </cell>
          <cell r="X37">
            <v>3</v>
          </cell>
          <cell r="Y37" t="str">
            <v>[]</v>
          </cell>
          <cell r="Z37" t="str">
            <v>0,1,0</v>
          </cell>
          <cell r="AA37">
            <v>0</v>
          </cell>
          <cell r="AB37">
            <v>12</v>
          </cell>
          <cell r="AC37" t="str">
            <v>[]</v>
          </cell>
          <cell r="AD37" t="str">
            <v>[]</v>
          </cell>
          <cell r="AE37" t="str">
            <v>[]</v>
          </cell>
          <cell r="AF37" t="str">
            <v>change_skill04</v>
          </cell>
          <cell r="AG37" t="str">
            <v>respond_hp</v>
          </cell>
          <cell r="AH37" t="str">
            <v>[]</v>
          </cell>
          <cell r="AI37" t="str">
            <v>[]</v>
          </cell>
          <cell r="AJ37" t="str">
            <v>[]</v>
          </cell>
          <cell r="AK37" t="str">
            <v>[]</v>
          </cell>
          <cell r="AL37" t="str">
            <v>[]</v>
          </cell>
          <cell r="AM37" t="str">
            <v>huifuT3N0.3</v>
          </cell>
          <cell r="AN37">
            <v>2</v>
          </cell>
          <cell r="AO37">
            <v>1.1000000000000001</v>
          </cell>
          <cell r="AP37" t="str">
            <v>[]</v>
          </cell>
          <cell r="AQ37" t="str">
            <v>9030</v>
          </cell>
          <cell r="AR37" t="str">
            <v>[]</v>
          </cell>
          <cell r="AS37" t="str">
            <v>[]</v>
          </cell>
          <cell r="AT37" t="str">
            <v>1103</v>
          </cell>
          <cell r="AU37" t="str">
            <v>2150</v>
          </cell>
          <cell r="AV37" t="str">
            <v>嫦娥</v>
          </cell>
          <cell r="AW37" t="str">
            <v>41</v>
          </cell>
          <cell r="AX37">
            <v>1270</v>
          </cell>
          <cell r="AY37">
            <v>1</v>
          </cell>
          <cell r="BA37" t="str">
            <v>[]</v>
          </cell>
          <cell r="BE37" t="str">
            <v>[]</v>
          </cell>
          <cell r="BF37"/>
        </row>
        <row r="38">
          <cell r="A38" t="str">
            <v>niumowang_attack</v>
          </cell>
          <cell r="B38" t="str">
            <v>普攻</v>
          </cell>
          <cell r="C38" t="str">
            <v>普攻</v>
          </cell>
          <cell r="D38" t="str">
            <v>[]</v>
          </cell>
          <cell r="E38">
            <v>0</v>
          </cell>
          <cell r="F38" t="str">
            <v>[]</v>
          </cell>
          <cell r="G38" t="str">
            <v>近战攻击</v>
          </cell>
          <cell r="H38" t="str">
            <v>[]</v>
          </cell>
          <cell r="I38" t="str">
            <v>[]</v>
          </cell>
          <cell r="J38">
            <v>0</v>
          </cell>
          <cell r="K38">
            <v>1</v>
          </cell>
          <cell r="L38" t="str">
            <v>[]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3</v>
          </cell>
          <cell r="R38" t="str">
            <v>2|1</v>
          </cell>
          <cell r="S38" t="str">
            <v>4|0.2</v>
          </cell>
          <cell r="T38">
            <v>1</v>
          </cell>
          <cell r="U38">
            <v>1</v>
          </cell>
          <cell r="V38">
            <v>0</v>
          </cell>
          <cell r="W38" t="str">
            <v>[]</v>
          </cell>
          <cell r="X38">
            <v>0</v>
          </cell>
          <cell r="Y38" t="str">
            <v>[]</v>
          </cell>
          <cell r="Z38" t="str">
            <v>0,1,0</v>
          </cell>
          <cell r="AA38">
            <v>0</v>
          </cell>
          <cell r="AB38" t="str">
            <v>[]</v>
          </cell>
          <cell r="AC38" t="str">
            <v>[]</v>
          </cell>
          <cell r="AD38" t="str">
            <v>[]</v>
          </cell>
          <cell r="AE38" t="str">
            <v>[]</v>
          </cell>
          <cell r="AF38" t="str">
            <v>niumowang_attack</v>
          </cell>
          <cell r="AG38" t="str">
            <v>common_hit_zhongwuqi</v>
          </cell>
          <cell r="AH38" t="str">
            <v>[]</v>
          </cell>
          <cell r="AI38" t="str">
            <v>[]</v>
          </cell>
          <cell r="AJ38" t="str">
            <v>[]</v>
          </cell>
          <cell r="AK38" t="str">
            <v>[]</v>
          </cell>
          <cell r="AL38" t="str">
            <v>[]</v>
          </cell>
          <cell r="AM38" t="str">
            <v>[]</v>
          </cell>
          <cell r="AN38">
            <v>1</v>
          </cell>
          <cell r="AO38">
            <v>0.35</v>
          </cell>
          <cell r="AP38">
            <v>111200</v>
          </cell>
          <cell r="AQ38" t="str">
            <v>111200</v>
          </cell>
          <cell r="AR38" t="str">
            <v>[]</v>
          </cell>
          <cell r="AS38" t="str">
            <v>[]</v>
          </cell>
          <cell r="AT38" t="str">
            <v>1112</v>
          </cell>
          <cell r="AU38" t="str">
            <v>2160</v>
          </cell>
          <cell r="AV38" t="str">
            <v>近战攻击</v>
          </cell>
          <cell r="AW38" t="str">
            <v>ck</v>
          </cell>
          <cell r="AX38" t="str">
            <v>[]</v>
          </cell>
          <cell r="AY38">
            <v>1</v>
          </cell>
          <cell r="BA38" t="str">
            <v>[]</v>
          </cell>
          <cell r="BE38" t="str">
            <v>[]</v>
          </cell>
          <cell r="BF38"/>
        </row>
        <row r="39">
          <cell r="A39" t="str">
            <v>niumowang_skill01</v>
          </cell>
          <cell r="B39" t="str">
            <v>扭转乾坤</v>
          </cell>
          <cell r="C39" t="str">
            <v>释放扭转乾坤之法，对范围内敌人进行3次攻击，造成主角攻击力@s的物伤,造成目标灼烧效果，持续6秒</v>
          </cell>
          <cell r="D39" t="str">
            <v>[]</v>
          </cell>
          <cell r="E39">
            <v>0</v>
          </cell>
          <cell r="F39" t="str">
            <v>[]</v>
          </cell>
          <cell r="G39" t="str">
            <v>牛魔王核心技能</v>
          </cell>
          <cell r="H39" t="str">
            <v>niumowang_skill01</v>
          </cell>
          <cell r="I39" t="str">
            <v>niumowang_skill01</v>
          </cell>
          <cell r="J39">
            <v>0</v>
          </cell>
          <cell r="K39">
            <v>10</v>
          </cell>
          <cell r="L39" t="str">
            <v>1|12</v>
          </cell>
          <cell r="M39">
            <v>2</v>
          </cell>
          <cell r="N39">
            <v>2</v>
          </cell>
          <cell r="O39">
            <v>2</v>
          </cell>
          <cell r="P39">
            <v>2</v>
          </cell>
          <cell r="Q39">
            <v>12</v>
          </cell>
          <cell r="R39" t="str">
            <v>2|1</v>
          </cell>
          <cell r="S39" t="str">
            <v>2|6</v>
          </cell>
          <cell r="T39">
            <v>10</v>
          </cell>
          <cell r="U39">
            <v>0</v>
          </cell>
          <cell r="V39">
            <v>0</v>
          </cell>
          <cell r="W39" t="str">
            <v>[]</v>
          </cell>
          <cell r="X39">
            <v>0</v>
          </cell>
          <cell r="Y39" t="str">
            <v>[]</v>
          </cell>
          <cell r="Z39" t="str">
            <v>0,1,0</v>
          </cell>
          <cell r="AA39">
            <v>0</v>
          </cell>
          <cell r="AB39" t="str">
            <v>12</v>
          </cell>
          <cell r="AC39" t="str">
            <v>[]</v>
          </cell>
          <cell r="AD39" t="str">
            <v>[]</v>
          </cell>
          <cell r="AE39" t="str">
            <v>[]</v>
          </cell>
          <cell r="AF39" t="str">
            <v>niumowang_skill01</v>
          </cell>
          <cell r="AG39" t="str">
            <v>[]</v>
          </cell>
          <cell r="AH39" t="str">
            <v>[]</v>
          </cell>
          <cell r="AI39" t="str">
            <v>[]</v>
          </cell>
          <cell r="AJ39" t="str">
            <v>[]</v>
          </cell>
          <cell r="AK39" t="str">
            <v>[]</v>
          </cell>
          <cell r="AL39" t="str">
            <v>[]</v>
          </cell>
          <cell r="AM39" t="str">
            <v>zhuoshaoT6N0.1</v>
          </cell>
          <cell r="AN39">
            <v>2</v>
          </cell>
          <cell r="AO39" t="str">
            <v>0.5,0.2,0.12</v>
          </cell>
          <cell r="AP39">
            <v>111201</v>
          </cell>
          <cell r="AQ39" t="str">
            <v>111201</v>
          </cell>
          <cell r="AR39" t="str">
            <v>[]</v>
          </cell>
          <cell r="AS39" t="str">
            <v>[]</v>
          </cell>
          <cell r="AT39" t="str">
            <v>1112</v>
          </cell>
          <cell r="AU39" t="str">
            <v>2170</v>
          </cell>
          <cell r="AV39" t="str">
            <v>牛魔王</v>
          </cell>
          <cell r="AW39" t="str">
            <v>01</v>
          </cell>
          <cell r="AX39" t="str">
            <v>[]</v>
          </cell>
          <cell r="AY39">
            <v>3</v>
          </cell>
          <cell r="BA39" t="str">
            <v>[]</v>
          </cell>
          <cell r="BE39" t="str">
            <v>[]</v>
          </cell>
          <cell r="BF39"/>
        </row>
        <row r="40">
          <cell r="A40" t="str">
            <v>niumowang_skill02</v>
          </cell>
          <cell r="B40" t="str">
            <v>地裂击</v>
          </cell>
          <cell r="C40" t="str">
            <v>举斧砸向前方，对范围内敌人造成3次自身攻击力@s的物伤，每次有20%的几率敲晕目标2秒</v>
          </cell>
          <cell r="D40" t="str">
            <v>[]</v>
          </cell>
          <cell r="E40">
            <v>2</v>
          </cell>
          <cell r="F40" t="str">
            <v>boss_warning_yuanxing</v>
          </cell>
          <cell r="G40" t="str">
            <v>牛魔王技能2</v>
          </cell>
          <cell r="H40" t="str">
            <v>niumowang_skill02</v>
          </cell>
          <cell r="I40" t="str">
            <v>[]</v>
          </cell>
          <cell r="J40">
            <v>1</v>
          </cell>
          <cell r="K40">
            <v>10</v>
          </cell>
          <cell r="L40" t="str">
            <v>[]</v>
          </cell>
          <cell r="M40">
            <v>2</v>
          </cell>
          <cell r="N40">
            <v>2</v>
          </cell>
          <cell r="O40">
            <v>1</v>
          </cell>
          <cell r="P40">
            <v>2</v>
          </cell>
          <cell r="Q40">
            <v>4</v>
          </cell>
          <cell r="R40" t="str">
            <v>2|1</v>
          </cell>
          <cell r="S40" t="str">
            <v>2|6</v>
          </cell>
          <cell r="T40">
            <v>10</v>
          </cell>
          <cell r="U40">
            <v>1</v>
          </cell>
          <cell r="V40">
            <v>0</v>
          </cell>
          <cell r="W40" t="str">
            <v>[]</v>
          </cell>
          <cell r="X40">
            <v>3</v>
          </cell>
          <cell r="Y40" t="str">
            <v>[]</v>
          </cell>
          <cell r="Z40" t="str">
            <v>0,0,2</v>
          </cell>
          <cell r="AA40">
            <v>0</v>
          </cell>
          <cell r="AB40">
            <v>6</v>
          </cell>
          <cell r="AC40" t="str">
            <v>[]</v>
          </cell>
          <cell r="AD40" t="str">
            <v>[]</v>
          </cell>
          <cell r="AE40" t="str">
            <v>[]</v>
          </cell>
          <cell r="AF40" t="str">
            <v>niumowang_skill02</v>
          </cell>
          <cell r="AG40" t="str">
            <v>common_hit_zhongwuqi</v>
          </cell>
          <cell r="AH40" t="str">
            <v>[]</v>
          </cell>
          <cell r="AI40" t="str">
            <v>[]</v>
          </cell>
          <cell r="AJ40" t="str">
            <v>niumowang_zhenping_02</v>
          </cell>
          <cell r="AK40" t="str">
            <v>yunxuanT1NP0.2</v>
          </cell>
          <cell r="AL40" t="str">
            <v>[]</v>
          </cell>
          <cell r="AM40" t="str">
            <v>[]</v>
          </cell>
          <cell r="AN40">
            <v>2</v>
          </cell>
          <cell r="AO40" t="str">
            <v>1.5,0.2,0.2</v>
          </cell>
          <cell r="AP40">
            <v>111202</v>
          </cell>
          <cell r="AQ40" t="str">
            <v>111202,9010</v>
          </cell>
          <cell r="AR40" t="str">
            <v>[]</v>
          </cell>
          <cell r="AS40" t="str">
            <v>[]</v>
          </cell>
          <cell r="AT40" t="str">
            <v>1112</v>
          </cell>
          <cell r="AU40" t="str">
            <v>2180</v>
          </cell>
          <cell r="AV40" t="str">
            <v>牛魔王</v>
          </cell>
          <cell r="AW40" t="str">
            <v>02</v>
          </cell>
          <cell r="AX40" t="str">
            <v>[]</v>
          </cell>
          <cell r="AY40">
            <v>3</v>
          </cell>
          <cell r="AZ40">
            <v>0.4</v>
          </cell>
          <cell r="BA40">
            <v>0.157</v>
          </cell>
          <cell r="BB40" t="str">
            <v>眩晕</v>
          </cell>
          <cell r="BE40">
            <v>0.157</v>
          </cell>
          <cell r="BF40" t="str">
            <v>20</v>
          </cell>
        </row>
        <row r="41">
          <cell r="A41" t="str">
            <v>niumowang_skill03</v>
          </cell>
          <cell r="B41" t="str">
            <v>刃甲</v>
          </cell>
          <cell r="C41" t="str">
            <v>被攻击有20%概率反弹20%受到的伤害</v>
          </cell>
          <cell r="D41">
            <v>1262</v>
          </cell>
          <cell r="E41">
            <v>0</v>
          </cell>
          <cell r="F41" t="str">
            <v>[]</v>
          </cell>
          <cell r="G41" t="str">
            <v>牛魔王被动技能</v>
          </cell>
          <cell r="H41" t="str">
            <v>xixue</v>
          </cell>
          <cell r="I41" t="str">
            <v>[]</v>
          </cell>
          <cell r="J41">
            <v>2</v>
          </cell>
          <cell r="K41">
            <v>10</v>
          </cell>
          <cell r="L41" t="str">
            <v>[]</v>
          </cell>
          <cell r="M41">
            <v>2</v>
          </cell>
          <cell r="N41">
            <v>2</v>
          </cell>
          <cell r="O41">
            <v>2</v>
          </cell>
          <cell r="P41">
            <v>0</v>
          </cell>
          <cell r="Q41">
            <v>12</v>
          </cell>
          <cell r="R41">
            <v>1</v>
          </cell>
          <cell r="S41" t="str">
            <v>4|0.2</v>
          </cell>
          <cell r="T41">
            <v>1</v>
          </cell>
          <cell r="U41">
            <v>0</v>
          </cell>
          <cell r="V41">
            <v>0</v>
          </cell>
          <cell r="W41" t="str">
            <v>[]</v>
          </cell>
          <cell r="X41">
            <v>0</v>
          </cell>
          <cell r="Y41" t="str">
            <v>[]</v>
          </cell>
          <cell r="Z41" t="str">
            <v>0,0,0</v>
          </cell>
          <cell r="AA41">
            <v>0</v>
          </cell>
          <cell r="AB41" t="str">
            <v>[]</v>
          </cell>
          <cell r="AC41" t="str">
            <v>[]</v>
          </cell>
          <cell r="AD41" t="str">
            <v>[]</v>
          </cell>
          <cell r="AE41" t="str">
            <v>[]</v>
          </cell>
          <cell r="AF41" t="str">
            <v>[]</v>
          </cell>
          <cell r="AG41" t="str">
            <v>[]</v>
          </cell>
          <cell r="AH41" t="str">
            <v>[]</v>
          </cell>
          <cell r="AI41" t="str">
            <v>[]</v>
          </cell>
          <cell r="AJ41" t="str">
            <v>niumowangfanshang</v>
          </cell>
          <cell r="AK41" t="str">
            <v>[]</v>
          </cell>
          <cell r="AL41" t="str">
            <v>[]</v>
          </cell>
          <cell r="AM41" t="str">
            <v>[]</v>
          </cell>
          <cell r="AN41">
            <v>0</v>
          </cell>
          <cell r="AO41" t="str">
            <v>[]</v>
          </cell>
          <cell r="AP41" t="str">
            <v>[]</v>
          </cell>
          <cell r="AQ41" t="str">
            <v>9020</v>
          </cell>
          <cell r="AR41" t="str">
            <v>[]</v>
          </cell>
          <cell r="AS41" t="str">
            <v>[]</v>
          </cell>
          <cell r="AT41" t="str">
            <v>9020</v>
          </cell>
          <cell r="AU41" t="str">
            <v>2190</v>
          </cell>
          <cell r="AV41" t="str">
            <v>牛魔王</v>
          </cell>
          <cell r="AW41" t="str">
            <v>03</v>
          </cell>
          <cell r="AX41">
            <v>1262</v>
          </cell>
          <cell r="AY41">
            <v>1</v>
          </cell>
          <cell r="BA41" t="str">
            <v>[]</v>
          </cell>
          <cell r="BE41" t="str">
            <v>[]</v>
          </cell>
          <cell r="BF41"/>
        </row>
        <row r="42">
          <cell r="A42" t="str">
            <v>niumowang_skill04</v>
          </cell>
          <cell r="B42" t="str">
            <v>反击螺旋</v>
          </cell>
          <cell r="C42" t="str">
            <v>抡起巨斧旋转，对范围内敌人进行6次攻击，造成自身攻击力@s的物伤，并使敌人受到伤害提升@s，持续3秒</v>
          </cell>
          <cell r="D42">
            <v>1264</v>
          </cell>
          <cell r="E42">
            <v>2</v>
          </cell>
          <cell r="F42" t="str">
            <v>boss_warning_yuanxing</v>
          </cell>
          <cell r="G42" t="str">
            <v>牛魔王技能4</v>
          </cell>
          <cell r="H42" t="str">
            <v>niumowang_skill04</v>
          </cell>
          <cell r="I42" t="str">
            <v>[]</v>
          </cell>
          <cell r="J42">
            <v>3</v>
          </cell>
          <cell r="K42">
            <v>10</v>
          </cell>
          <cell r="L42" t="str">
            <v>[]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 t="str">
            <v>2|1</v>
          </cell>
          <cell r="S42" t="str">
            <v>2|6</v>
          </cell>
          <cell r="T42">
            <v>10</v>
          </cell>
          <cell r="U42">
            <v>1</v>
          </cell>
          <cell r="V42">
            <v>0</v>
          </cell>
          <cell r="W42" t="str">
            <v>[]</v>
          </cell>
          <cell r="X42">
            <v>3</v>
          </cell>
          <cell r="Y42" t="str">
            <v>[]</v>
          </cell>
          <cell r="Z42" t="str">
            <v>0,1.667,0</v>
          </cell>
          <cell r="AA42">
            <v>0</v>
          </cell>
          <cell r="AB42">
            <v>6</v>
          </cell>
          <cell r="AC42" t="str">
            <v>[]</v>
          </cell>
          <cell r="AD42" t="str">
            <v>[]</v>
          </cell>
          <cell r="AE42" t="str">
            <v>[]</v>
          </cell>
          <cell r="AF42" t="str">
            <v>niumowang_skill04</v>
          </cell>
          <cell r="AG42" t="str">
            <v>common_hit_zhongwuqi</v>
          </cell>
          <cell r="AH42" t="str">
            <v>[]</v>
          </cell>
          <cell r="AI42" t="str">
            <v>[]</v>
          </cell>
          <cell r="AJ42" t="str">
            <v>[]</v>
          </cell>
          <cell r="AK42" t="str">
            <v>[]</v>
          </cell>
          <cell r="AL42" t="str">
            <v>[]</v>
          </cell>
          <cell r="AM42" t="str">
            <v>jiashangupT3N0.1</v>
          </cell>
          <cell r="AN42">
            <v>2</v>
          </cell>
          <cell r="AO42" t="str">
            <v>0.6,0.2,0.2,0.2,0.2,0.2</v>
          </cell>
          <cell r="AP42">
            <v>111204</v>
          </cell>
          <cell r="AQ42" t="str">
            <v>111204,9010</v>
          </cell>
          <cell r="AR42" t="str">
            <v>[]</v>
          </cell>
          <cell r="AS42" t="str">
            <v>[]</v>
          </cell>
          <cell r="AT42" t="str">
            <v>1112</v>
          </cell>
          <cell r="AU42" t="str">
            <v>2200</v>
          </cell>
          <cell r="AV42" t="str">
            <v>牛魔王</v>
          </cell>
          <cell r="AW42" t="str">
            <v>04</v>
          </cell>
          <cell r="AX42">
            <v>1264</v>
          </cell>
          <cell r="AY42">
            <v>6</v>
          </cell>
          <cell r="BA42" t="str">
            <v>[]</v>
          </cell>
          <cell r="BE42" t="str">
            <v>[]</v>
          </cell>
          <cell r="BF42"/>
        </row>
        <row r="43">
          <cell r="A43" t="str">
            <v>niumowang_skill011</v>
          </cell>
          <cell r="B43" t="str">
            <v>奥义·扭转乾坤</v>
          </cell>
          <cell r="C43" t="str">
            <v>释放扭转乾坤之法，对范围内敌人进行3次攻击，造成主角攻击力@s的物伤，造成目标高级灼烧效果，持续6秒</v>
          </cell>
          <cell r="D43">
            <v>1266</v>
          </cell>
          <cell r="E43">
            <v>0</v>
          </cell>
          <cell r="F43" t="str">
            <v>[]</v>
          </cell>
          <cell r="G43" t="str">
            <v>牛魔王核心技能</v>
          </cell>
          <cell r="H43" t="str">
            <v>niumowang_skill01</v>
          </cell>
          <cell r="I43" t="str">
            <v>niumowang_skill01</v>
          </cell>
          <cell r="J43">
            <v>0</v>
          </cell>
          <cell r="K43">
            <v>10</v>
          </cell>
          <cell r="L43" t="str">
            <v>1|12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12</v>
          </cell>
          <cell r="R43" t="str">
            <v>2|1</v>
          </cell>
          <cell r="S43" t="str">
            <v>2|6</v>
          </cell>
          <cell r="T43">
            <v>10</v>
          </cell>
          <cell r="U43">
            <v>0</v>
          </cell>
          <cell r="V43">
            <v>0</v>
          </cell>
          <cell r="W43" t="str">
            <v>[]</v>
          </cell>
          <cell r="X43">
            <v>0</v>
          </cell>
          <cell r="Y43" t="str">
            <v>[]</v>
          </cell>
          <cell r="Z43" t="str">
            <v>0,1,0</v>
          </cell>
          <cell r="AA43">
            <v>0</v>
          </cell>
          <cell r="AB43" t="str">
            <v>12</v>
          </cell>
          <cell r="AC43" t="str">
            <v>[]</v>
          </cell>
          <cell r="AD43" t="str">
            <v>[]</v>
          </cell>
          <cell r="AE43" t="str">
            <v>[]</v>
          </cell>
          <cell r="AF43" t="str">
            <v>niumowang_skill01</v>
          </cell>
          <cell r="AG43" t="str">
            <v>[]</v>
          </cell>
          <cell r="AH43" t="str">
            <v>[]</v>
          </cell>
          <cell r="AI43" t="str">
            <v>[]</v>
          </cell>
          <cell r="AJ43" t="str">
            <v>[]</v>
          </cell>
          <cell r="AK43" t="str">
            <v>[]</v>
          </cell>
          <cell r="AL43" t="str">
            <v>[]</v>
          </cell>
          <cell r="AM43" t="str">
            <v>zhuoshaoT6N0.2</v>
          </cell>
          <cell r="AN43">
            <v>2</v>
          </cell>
          <cell r="AO43" t="str">
            <v>0.5,0.2,0.1</v>
          </cell>
          <cell r="AP43">
            <v>111205</v>
          </cell>
          <cell r="AQ43" t="str">
            <v>111205</v>
          </cell>
          <cell r="AR43" t="str">
            <v>[]</v>
          </cell>
          <cell r="AS43" t="str">
            <v>[]</v>
          </cell>
          <cell r="AT43" t="str">
            <v>1112</v>
          </cell>
          <cell r="AU43" t="str">
            <v>2170</v>
          </cell>
          <cell r="AV43" t="str">
            <v>牛魔王</v>
          </cell>
          <cell r="AW43" t="str">
            <v>11</v>
          </cell>
          <cell r="AX43">
            <v>1266</v>
          </cell>
          <cell r="AY43">
            <v>3</v>
          </cell>
          <cell r="BA43" t="str">
            <v>[]</v>
          </cell>
          <cell r="BE43" t="str">
            <v>[]</v>
          </cell>
          <cell r="BF43"/>
        </row>
        <row r="44">
          <cell r="A44" t="str">
            <v>niumowang_skill021</v>
          </cell>
          <cell r="B44" t="str">
            <v>奥义·地裂击</v>
          </cell>
          <cell r="C44" t="str">
            <v>举斧砸向前方，对范围内敌人造成3次自身攻击力@s的物伤，每次27%的几率敲晕目标3秒</v>
          </cell>
          <cell r="D44">
            <v>1268</v>
          </cell>
          <cell r="E44">
            <v>2</v>
          </cell>
          <cell r="F44" t="str">
            <v>boss_warning_yuanxing</v>
          </cell>
          <cell r="G44" t="str">
            <v>牛魔王技能2</v>
          </cell>
          <cell r="H44" t="str">
            <v>niumowang_skill02</v>
          </cell>
          <cell r="I44" t="str">
            <v>[]</v>
          </cell>
          <cell r="J44">
            <v>1</v>
          </cell>
          <cell r="K44">
            <v>10</v>
          </cell>
          <cell r="L44" t="str">
            <v>[]</v>
          </cell>
          <cell r="M44">
            <v>2</v>
          </cell>
          <cell r="N44">
            <v>2</v>
          </cell>
          <cell r="O44">
            <v>1</v>
          </cell>
          <cell r="P44">
            <v>2</v>
          </cell>
          <cell r="Q44">
            <v>4</v>
          </cell>
          <cell r="R44" t="str">
            <v>2|1</v>
          </cell>
          <cell r="S44" t="str">
            <v>2|6</v>
          </cell>
          <cell r="T44">
            <v>10</v>
          </cell>
          <cell r="U44">
            <v>1</v>
          </cell>
          <cell r="V44">
            <v>0</v>
          </cell>
          <cell r="W44" t="str">
            <v>[]</v>
          </cell>
          <cell r="X44">
            <v>3</v>
          </cell>
          <cell r="Y44" t="str">
            <v>[]</v>
          </cell>
          <cell r="Z44" t="str">
            <v>0,2.0,0</v>
          </cell>
          <cell r="AA44">
            <v>0</v>
          </cell>
          <cell r="AB44">
            <v>6</v>
          </cell>
          <cell r="AC44" t="str">
            <v>[]</v>
          </cell>
          <cell r="AD44" t="str">
            <v>[]</v>
          </cell>
          <cell r="AE44" t="str">
            <v>[]</v>
          </cell>
          <cell r="AF44" t="str">
            <v>niumowang_skill02</v>
          </cell>
          <cell r="AG44" t="str">
            <v>common_hit_zhongwuqi</v>
          </cell>
          <cell r="AH44" t="str">
            <v>[]</v>
          </cell>
          <cell r="AI44" t="str">
            <v>[]</v>
          </cell>
          <cell r="AJ44" t="str">
            <v>niumowang_zhenping_02</v>
          </cell>
          <cell r="AK44" t="str">
            <v>yunxuanT1NP0.3</v>
          </cell>
          <cell r="AL44" t="str">
            <v>[]</v>
          </cell>
          <cell r="AM44" t="str">
            <v>[]</v>
          </cell>
          <cell r="AN44">
            <v>2</v>
          </cell>
          <cell r="AO44" t="str">
            <v>1.5,0.2,0.2</v>
          </cell>
          <cell r="AP44">
            <v>111206</v>
          </cell>
          <cell r="AQ44" t="str">
            <v>111206,9015</v>
          </cell>
          <cell r="AR44" t="str">
            <v>[]</v>
          </cell>
          <cell r="AS44" t="str">
            <v>[]</v>
          </cell>
          <cell r="AT44" t="str">
            <v>1112</v>
          </cell>
          <cell r="AU44" t="str">
            <v>2180</v>
          </cell>
          <cell r="AV44" t="str">
            <v>牛魔王</v>
          </cell>
          <cell r="AW44" t="str">
            <v>21</v>
          </cell>
          <cell r="AX44">
            <v>1268</v>
          </cell>
          <cell r="AY44">
            <v>3</v>
          </cell>
          <cell r="AZ44">
            <v>0.6</v>
          </cell>
          <cell r="BA44">
            <v>0.26400000000000001</v>
          </cell>
          <cell r="BB44" t="str">
            <v>眩晕</v>
          </cell>
          <cell r="BE44">
            <v>0.26400000000000001</v>
          </cell>
          <cell r="BF44" t="str">
            <v>30</v>
          </cell>
        </row>
        <row r="45">
          <cell r="A45" t="str">
            <v>niumowang_skill041</v>
          </cell>
          <cell r="B45" t="str">
            <v>奥义·反击螺旋</v>
          </cell>
          <cell r="C45" t="str">
            <v>抡起巨斧旋转，对范围内敌人进行6次攻击，造成自身攻击力@s的物伤，并使敌人受到伤害提升@s，持续3秒</v>
          </cell>
          <cell r="D45">
            <v>1270</v>
          </cell>
          <cell r="E45">
            <v>2</v>
          </cell>
          <cell r="F45" t="str">
            <v>boss_warning_yuanxing</v>
          </cell>
          <cell r="G45" t="str">
            <v>牛魔王技能4</v>
          </cell>
          <cell r="H45" t="str">
            <v>niumowang_skill04</v>
          </cell>
          <cell r="I45" t="str">
            <v>[]</v>
          </cell>
          <cell r="J45">
            <v>3</v>
          </cell>
          <cell r="K45">
            <v>10</v>
          </cell>
          <cell r="L45" t="str">
            <v>[]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4</v>
          </cell>
          <cell r="R45" t="str">
            <v>2|1</v>
          </cell>
          <cell r="S45" t="str">
            <v>2|6</v>
          </cell>
          <cell r="T45">
            <v>10</v>
          </cell>
          <cell r="U45">
            <v>1</v>
          </cell>
          <cell r="V45">
            <v>0</v>
          </cell>
          <cell r="W45" t="str">
            <v>[]</v>
          </cell>
          <cell r="X45">
            <v>3</v>
          </cell>
          <cell r="Y45" t="str">
            <v>[]</v>
          </cell>
          <cell r="Z45" t="str">
            <v>0,1.667,0</v>
          </cell>
          <cell r="AA45">
            <v>0</v>
          </cell>
          <cell r="AB45">
            <v>6</v>
          </cell>
          <cell r="AC45" t="str">
            <v>[]</v>
          </cell>
          <cell r="AD45" t="str">
            <v>[]</v>
          </cell>
          <cell r="AE45" t="str">
            <v>[]</v>
          </cell>
          <cell r="AF45" t="str">
            <v>niumowang_skill04</v>
          </cell>
          <cell r="AG45" t="str">
            <v>common_hit_zhongwuqi</v>
          </cell>
          <cell r="AH45" t="str">
            <v>[]</v>
          </cell>
          <cell r="AI45" t="str">
            <v>[]</v>
          </cell>
          <cell r="AJ45" t="str">
            <v>[]</v>
          </cell>
          <cell r="AK45" t="str">
            <v>[]</v>
          </cell>
          <cell r="AL45" t="str">
            <v>[]</v>
          </cell>
          <cell r="AM45" t="str">
            <v>jiashangupT3N0.15</v>
          </cell>
          <cell r="AN45">
            <v>2</v>
          </cell>
          <cell r="AO45" t="str">
            <v>0.6,0.2,0.2,0.2,0.2,0.2</v>
          </cell>
          <cell r="AP45">
            <v>111207</v>
          </cell>
          <cell r="AQ45" t="str">
            <v>111207,9015</v>
          </cell>
          <cell r="AR45" t="str">
            <v>[]</v>
          </cell>
          <cell r="AS45" t="str">
            <v>[]</v>
          </cell>
          <cell r="AT45" t="str">
            <v>1112</v>
          </cell>
          <cell r="AU45" t="str">
            <v>2200</v>
          </cell>
          <cell r="AV45" t="str">
            <v>牛魔王</v>
          </cell>
          <cell r="AW45" t="str">
            <v>41</v>
          </cell>
          <cell r="AX45">
            <v>1270</v>
          </cell>
          <cell r="AY45">
            <v>6</v>
          </cell>
          <cell r="BA45" t="str">
            <v>[]</v>
          </cell>
          <cell r="BE45" t="str">
            <v>[]</v>
          </cell>
          <cell r="BF45"/>
        </row>
        <row r="46">
          <cell r="A46" t="str">
            <v>honghaier_attack</v>
          </cell>
          <cell r="B46" t="str">
            <v>普攻</v>
          </cell>
          <cell r="C46" t="str">
            <v>普攻</v>
          </cell>
          <cell r="D46" t="str">
            <v>[]</v>
          </cell>
          <cell r="E46">
            <v>0</v>
          </cell>
          <cell r="F46" t="str">
            <v>[]</v>
          </cell>
          <cell r="G46" t="str">
            <v>近战攻击</v>
          </cell>
          <cell r="H46" t="str">
            <v>[]</v>
          </cell>
          <cell r="I46" t="str">
            <v>[]</v>
          </cell>
          <cell r="J46">
            <v>0</v>
          </cell>
          <cell r="K46">
            <v>1</v>
          </cell>
          <cell r="L46" t="str">
            <v>[]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3</v>
          </cell>
          <cell r="R46" t="str">
            <v>2|1</v>
          </cell>
          <cell r="S46" t="str">
            <v>4|0.2</v>
          </cell>
          <cell r="T46">
            <v>1</v>
          </cell>
          <cell r="U46">
            <v>1</v>
          </cell>
          <cell r="V46">
            <v>0</v>
          </cell>
          <cell r="W46" t="str">
            <v>[]</v>
          </cell>
          <cell r="X46">
            <v>0</v>
          </cell>
          <cell r="Y46" t="str">
            <v>[]</v>
          </cell>
          <cell r="Z46" t="str">
            <v>0,1,0</v>
          </cell>
          <cell r="AA46">
            <v>0</v>
          </cell>
          <cell r="AB46" t="str">
            <v>[]</v>
          </cell>
          <cell r="AC46" t="str">
            <v>[]</v>
          </cell>
          <cell r="AD46" t="str">
            <v>[]</v>
          </cell>
          <cell r="AE46" t="str">
            <v>[]</v>
          </cell>
          <cell r="AF46" t="str">
            <v>honghaier_attack</v>
          </cell>
          <cell r="AG46" t="str">
            <v>common_hit_zhongwuqi</v>
          </cell>
          <cell r="AH46" t="str">
            <v>[]</v>
          </cell>
          <cell r="AI46" t="str">
            <v>[]</v>
          </cell>
          <cell r="AJ46" t="str">
            <v>[]</v>
          </cell>
          <cell r="AK46" t="str">
            <v>[]</v>
          </cell>
          <cell r="AL46" t="str">
            <v>[]</v>
          </cell>
          <cell r="AM46" t="str">
            <v>[]</v>
          </cell>
          <cell r="AN46">
            <v>1</v>
          </cell>
          <cell r="AO46">
            <v>0.5</v>
          </cell>
          <cell r="AP46">
            <v>111000</v>
          </cell>
          <cell r="AQ46" t="str">
            <v>111000</v>
          </cell>
          <cell r="AR46" t="str">
            <v>[]</v>
          </cell>
          <cell r="AS46" t="str">
            <v>[]</v>
          </cell>
          <cell r="AT46" t="str">
            <v>1110</v>
          </cell>
          <cell r="AU46" t="str">
            <v>2210</v>
          </cell>
          <cell r="AV46" t="str">
            <v>近战攻击</v>
          </cell>
          <cell r="AW46" t="str">
            <v>ck</v>
          </cell>
          <cell r="AX46" t="str">
            <v>[]</v>
          </cell>
          <cell r="AY46">
            <v>1</v>
          </cell>
          <cell r="BA46" t="str">
            <v>[]</v>
          </cell>
          <cell r="BE46" t="str">
            <v>[]</v>
          </cell>
          <cell r="BF46"/>
        </row>
        <row r="47">
          <cell r="A47" t="str">
            <v>honghaier_skill01</v>
          </cell>
          <cell r="B47" t="str">
            <v>天降正义</v>
          </cell>
          <cell r="C47" t="str">
            <v>召唤巨大的陨石，对范围内敌人造成主角攻击力@s的物伤，被陨石砸中有30%的几率昏迷</v>
          </cell>
          <cell r="D47" t="str">
            <v>[]</v>
          </cell>
          <cell r="E47">
            <v>0</v>
          </cell>
          <cell r="F47" t="str">
            <v>[]</v>
          </cell>
          <cell r="G47" t="str">
            <v>红孩儿核心技能</v>
          </cell>
          <cell r="H47" t="str">
            <v>honghaier_skill01</v>
          </cell>
          <cell r="I47" t="str">
            <v>honghaier_skill01</v>
          </cell>
          <cell r="J47">
            <v>0</v>
          </cell>
          <cell r="K47">
            <v>10</v>
          </cell>
          <cell r="L47" t="str">
            <v>1|10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12</v>
          </cell>
          <cell r="R47" t="str">
            <v>2|1</v>
          </cell>
          <cell r="S47" t="str">
            <v>1|10|6</v>
          </cell>
          <cell r="T47">
            <v>10</v>
          </cell>
          <cell r="U47">
            <v>0</v>
          </cell>
          <cell r="V47">
            <v>0</v>
          </cell>
          <cell r="W47" t="str">
            <v>[]</v>
          </cell>
          <cell r="X47">
            <v>0</v>
          </cell>
          <cell r="Y47" t="str">
            <v>[]</v>
          </cell>
          <cell r="Z47" t="str">
            <v>0,1,0</v>
          </cell>
          <cell r="AA47">
            <v>0</v>
          </cell>
          <cell r="AB47" t="str">
            <v>12</v>
          </cell>
          <cell r="AC47" t="str">
            <v>[]</v>
          </cell>
          <cell r="AD47" t="str">
            <v>[]</v>
          </cell>
          <cell r="AE47" t="str">
            <v>[]</v>
          </cell>
          <cell r="AF47" t="str">
            <v>honghaier_skill01,honghaier_skill01_f</v>
          </cell>
          <cell r="AG47" t="str">
            <v>common_hit_zhongwuqi</v>
          </cell>
          <cell r="AH47" t="str">
            <v>[]</v>
          </cell>
          <cell r="AI47" t="str">
            <v>[]</v>
          </cell>
          <cell r="AJ47" t="str">
            <v>honghaier_shock</v>
          </cell>
          <cell r="AK47" t="str">
            <v>yunxuanT1NP0.3</v>
          </cell>
          <cell r="AL47" t="str">
            <v>[]</v>
          </cell>
          <cell r="AM47" t="str">
            <v>[]</v>
          </cell>
          <cell r="AN47">
            <v>2</v>
          </cell>
          <cell r="AO47">
            <v>-4</v>
          </cell>
          <cell r="AP47">
            <v>111001</v>
          </cell>
          <cell r="AQ47" t="str">
            <v>111001</v>
          </cell>
          <cell r="AR47" t="str">
            <v>[]</v>
          </cell>
          <cell r="AS47" t="str">
            <v>[]</v>
          </cell>
          <cell r="AT47" t="str">
            <v>1110</v>
          </cell>
          <cell r="AU47" t="str">
            <v>2220</v>
          </cell>
          <cell r="AV47" t="str">
            <v>红孩儿</v>
          </cell>
          <cell r="AW47" t="str">
            <v>01</v>
          </cell>
          <cell r="AX47" t="str">
            <v>[]</v>
          </cell>
          <cell r="AY47">
            <v>1</v>
          </cell>
          <cell r="AZ47">
            <v>0.3</v>
          </cell>
          <cell r="BA47">
            <v>0.3</v>
          </cell>
          <cell r="BB47" t="str">
            <v>眩晕</v>
          </cell>
          <cell r="BE47">
            <v>0.3</v>
          </cell>
          <cell r="BF47" t="str">
            <v>30</v>
          </cell>
        </row>
        <row r="48">
          <cell r="A48" t="str">
            <v>honghaier_skill02</v>
          </cell>
          <cell r="B48" t="str">
            <v>三昧真火</v>
          </cell>
          <cell r="C48" t="str">
            <v>对前方敌人持续喷射火焰，对敌人造成4次自身攻击力@s的物伤，并造成灼烧效果，持续6秒</v>
          </cell>
          <cell r="D48" t="str">
            <v>[]</v>
          </cell>
          <cell r="E48">
            <v>2</v>
          </cell>
          <cell r="F48" t="str">
            <v>boss_warning_shanxing90</v>
          </cell>
          <cell r="G48" t="str">
            <v>红孩儿技能2</v>
          </cell>
          <cell r="H48" t="str">
            <v>honghaier_skill02</v>
          </cell>
          <cell r="I48" t="str">
            <v>[]</v>
          </cell>
          <cell r="J48">
            <v>1</v>
          </cell>
          <cell r="K48">
            <v>10</v>
          </cell>
          <cell r="L48" t="str">
            <v>[]</v>
          </cell>
          <cell r="M48">
            <v>2</v>
          </cell>
          <cell r="N48">
            <v>2</v>
          </cell>
          <cell r="O48">
            <v>1</v>
          </cell>
          <cell r="P48">
            <v>2</v>
          </cell>
          <cell r="Q48">
            <v>12</v>
          </cell>
          <cell r="R48" t="str">
            <v>2|1</v>
          </cell>
          <cell r="S48" t="str">
            <v>3|6|60</v>
          </cell>
          <cell r="T48">
            <v>10</v>
          </cell>
          <cell r="U48">
            <v>1</v>
          </cell>
          <cell r="V48">
            <v>0</v>
          </cell>
          <cell r="W48" t="str">
            <v>[]</v>
          </cell>
          <cell r="X48">
            <v>3</v>
          </cell>
          <cell r="Y48" t="str">
            <v>[]</v>
          </cell>
          <cell r="Z48" t="str">
            <v>0,1.5,0</v>
          </cell>
          <cell r="AA48">
            <v>0</v>
          </cell>
          <cell r="AB48">
            <v>6</v>
          </cell>
          <cell r="AC48" t="str">
            <v>[]</v>
          </cell>
          <cell r="AD48" t="str">
            <v>[]</v>
          </cell>
          <cell r="AE48" t="str">
            <v>[]</v>
          </cell>
          <cell r="AF48" t="str">
            <v>honghaier_skill02</v>
          </cell>
          <cell r="AG48" t="str">
            <v>common_hit_zhongwuqi</v>
          </cell>
          <cell r="AH48" t="str">
            <v>[]</v>
          </cell>
          <cell r="AI48" t="str">
            <v>[]</v>
          </cell>
          <cell r="AJ48" t="str">
            <v>[]</v>
          </cell>
          <cell r="AK48" t="str">
            <v>[]</v>
          </cell>
          <cell r="AL48" t="str">
            <v>[]</v>
          </cell>
          <cell r="AM48" t="str">
            <v>zhuoshaoT6N0.1</v>
          </cell>
          <cell r="AN48">
            <v>1</v>
          </cell>
          <cell r="AO48" t="str">
            <v>1,0.1,0.1,0.1</v>
          </cell>
          <cell r="AP48">
            <v>111002</v>
          </cell>
          <cell r="AQ48" t="str">
            <v>111002</v>
          </cell>
          <cell r="AR48" t="str">
            <v>[]</v>
          </cell>
          <cell r="AS48" t="str">
            <v>[]</v>
          </cell>
          <cell r="AT48" t="str">
            <v>1110</v>
          </cell>
          <cell r="AU48" t="str">
            <v>2230</v>
          </cell>
          <cell r="AV48" t="str">
            <v>红孩儿</v>
          </cell>
          <cell r="AW48" t="str">
            <v>02</v>
          </cell>
          <cell r="AX48" t="str">
            <v>[]</v>
          </cell>
          <cell r="AY48">
            <v>4</v>
          </cell>
          <cell r="BA48" t="str">
            <v>[]</v>
          </cell>
          <cell r="BE48" t="str">
            <v>[]</v>
          </cell>
          <cell r="BF48"/>
        </row>
        <row r="49">
          <cell r="A49" t="str">
            <v>honghaier_skill03</v>
          </cell>
          <cell r="B49" t="str">
            <v>火暴脾气</v>
          </cell>
          <cell r="C49" t="str">
            <v>进入战斗场景时，提升自身暴击率@s</v>
          </cell>
          <cell r="D49">
            <v>1262</v>
          </cell>
          <cell r="E49">
            <v>0</v>
          </cell>
          <cell r="F49" t="str">
            <v>[]</v>
          </cell>
          <cell r="G49" t="str">
            <v>红孩儿被动技能</v>
          </cell>
          <cell r="H49" t="str">
            <v>wugong</v>
          </cell>
          <cell r="I49" t="str">
            <v>[]</v>
          </cell>
          <cell r="J49">
            <v>2</v>
          </cell>
          <cell r="K49">
            <v>10</v>
          </cell>
          <cell r="L49" t="str">
            <v>[]</v>
          </cell>
          <cell r="M49">
            <v>2</v>
          </cell>
          <cell r="N49">
            <v>2</v>
          </cell>
          <cell r="O49">
            <v>3</v>
          </cell>
          <cell r="P49">
            <v>0</v>
          </cell>
          <cell r="Q49">
            <v>12</v>
          </cell>
          <cell r="R49">
            <v>1</v>
          </cell>
          <cell r="S49" t="str">
            <v>4|0.2</v>
          </cell>
          <cell r="T49">
            <v>1</v>
          </cell>
          <cell r="U49">
            <v>0</v>
          </cell>
          <cell r="V49">
            <v>0</v>
          </cell>
          <cell r="W49" t="str">
            <v>[]</v>
          </cell>
          <cell r="X49">
            <v>0</v>
          </cell>
          <cell r="Y49" t="str">
            <v>[]</v>
          </cell>
          <cell r="Z49" t="str">
            <v>0,0,0</v>
          </cell>
          <cell r="AA49">
            <v>0</v>
          </cell>
          <cell r="AB49" t="str">
            <v>[]</v>
          </cell>
          <cell r="AC49" t="str">
            <v>[]</v>
          </cell>
          <cell r="AD49" t="str">
            <v>[]</v>
          </cell>
          <cell r="AE49" t="str">
            <v>[]</v>
          </cell>
          <cell r="AF49" t="str">
            <v>[]</v>
          </cell>
          <cell r="AG49" t="str">
            <v>[]</v>
          </cell>
          <cell r="AH49" t="str">
            <v>[]</v>
          </cell>
          <cell r="AI49" t="str">
            <v>[]</v>
          </cell>
          <cell r="AJ49" t="str">
            <v>[]</v>
          </cell>
          <cell r="AK49" t="str">
            <v>[]</v>
          </cell>
          <cell r="AL49" t="str">
            <v>baojiupT3N0.2b</v>
          </cell>
          <cell r="AM49" t="str">
            <v>[]</v>
          </cell>
          <cell r="AN49">
            <v>0</v>
          </cell>
          <cell r="AO49" t="str">
            <v>[]</v>
          </cell>
          <cell r="AP49" t="str">
            <v>[]</v>
          </cell>
          <cell r="AQ49" t="str">
            <v>9020</v>
          </cell>
          <cell r="AR49" t="str">
            <v>[]</v>
          </cell>
          <cell r="AS49" t="str">
            <v>[]</v>
          </cell>
          <cell r="AT49" t="str">
            <v>9020</v>
          </cell>
          <cell r="AU49" t="str">
            <v>2240</v>
          </cell>
          <cell r="AV49" t="str">
            <v>红孩儿</v>
          </cell>
          <cell r="AW49" t="str">
            <v>03</v>
          </cell>
          <cell r="AX49">
            <v>1262</v>
          </cell>
          <cell r="AY49">
            <v>1</v>
          </cell>
          <cell r="BA49" t="str">
            <v>[]</v>
          </cell>
          <cell r="BE49" t="str">
            <v>[]</v>
          </cell>
          <cell r="BF49"/>
        </row>
        <row r="50">
          <cell r="A50" t="str">
            <v>honghaier_skill04</v>
          </cell>
          <cell r="B50" t="str">
            <v>烈火九连爆</v>
          </cell>
          <cell r="C50" t="str">
            <v>舞枪对对范围内敌人发动连续9次攻击，造成自身攻击力@s的物伤，对灼烧中的目标提升20%伤害</v>
          </cell>
          <cell r="D50">
            <v>1264</v>
          </cell>
          <cell r="E50">
            <v>0</v>
          </cell>
          <cell r="F50" t="str">
            <v>[]</v>
          </cell>
          <cell r="G50" t="str">
            <v>红孩儿技能4</v>
          </cell>
          <cell r="H50" t="str">
            <v>honghaier_skill04</v>
          </cell>
          <cell r="I50" t="str">
            <v>[]</v>
          </cell>
          <cell r="J50">
            <v>3</v>
          </cell>
          <cell r="K50">
            <v>10</v>
          </cell>
          <cell r="L50" t="str">
            <v>[]</v>
          </cell>
          <cell r="M50">
            <v>2</v>
          </cell>
          <cell r="N50">
            <v>2</v>
          </cell>
          <cell r="O50">
            <v>1</v>
          </cell>
          <cell r="P50">
            <v>2</v>
          </cell>
          <cell r="Q50">
            <v>12</v>
          </cell>
          <cell r="R50" t="str">
            <v>2|1</v>
          </cell>
          <cell r="S50" t="str">
            <v>4|0.2</v>
          </cell>
          <cell r="T50">
            <v>1</v>
          </cell>
          <cell r="U50">
            <v>0</v>
          </cell>
          <cell r="V50">
            <v>0</v>
          </cell>
          <cell r="W50" t="str">
            <v>[]</v>
          </cell>
          <cell r="X50">
            <v>3</v>
          </cell>
          <cell r="Y50" t="str">
            <v>[]</v>
          </cell>
          <cell r="Z50" t="str">
            <v>0,4,0</v>
          </cell>
          <cell r="AA50">
            <v>0</v>
          </cell>
          <cell r="AB50">
            <v>6</v>
          </cell>
          <cell r="AC50" t="str">
            <v>[]</v>
          </cell>
          <cell r="AD50" t="str">
            <v>[]</v>
          </cell>
          <cell r="AE50" t="str">
            <v>[]</v>
          </cell>
          <cell r="AF50" t="str">
            <v>honghaier_skill04</v>
          </cell>
          <cell r="AG50" t="str">
            <v>common_hit_zhongwuqi</v>
          </cell>
          <cell r="AH50" t="str">
            <v>[]</v>
          </cell>
          <cell r="AI50" t="str">
            <v>[]</v>
          </cell>
          <cell r="AJ50" t="str">
            <v>[]</v>
          </cell>
          <cell r="AK50" t="str">
            <v>[]</v>
          </cell>
          <cell r="AL50" t="str">
            <v>[]</v>
          </cell>
          <cell r="AM50" t="str">
            <v>[]</v>
          </cell>
          <cell r="AN50">
            <v>1</v>
          </cell>
          <cell r="AO50" t="str">
            <v>0.2,0.2,0.5,0.1,0.1,0.1,0.1,0.1,0.5</v>
          </cell>
          <cell r="AP50">
            <v>111004</v>
          </cell>
          <cell r="AQ50" t="str">
            <v>111004</v>
          </cell>
          <cell r="AR50" t="str">
            <v>[]</v>
          </cell>
          <cell r="AS50" t="str">
            <v>[]</v>
          </cell>
          <cell r="AT50" t="str">
            <v>1110</v>
          </cell>
          <cell r="AU50" t="str">
            <v>2250</v>
          </cell>
          <cell r="AV50" t="str">
            <v>红孩儿</v>
          </cell>
          <cell r="AW50" t="str">
            <v>04</v>
          </cell>
          <cell r="AX50">
            <v>1264</v>
          </cell>
          <cell r="AY50">
            <v>9</v>
          </cell>
          <cell r="BA50" t="str">
            <v>[]</v>
          </cell>
          <cell r="BE50" t="str">
            <v>[]</v>
          </cell>
          <cell r="BF50"/>
        </row>
        <row r="51">
          <cell r="A51" t="str">
            <v>honghaier_skill011</v>
          </cell>
          <cell r="B51" t="str">
            <v>奥义·天降正义</v>
          </cell>
          <cell r="C51" t="str">
            <v>召唤巨大的陨石，对范围内敌人造成主角攻击力@s的物伤，被陨石砸中有60%的几率昏迷</v>
          </cell>
          <cell r="D51">
            <v>1266</v>
          </cell>
          <cell r="E51">
            <v>0</v>
          </cell>
          <cell r="F51" t="str">
            <v>[]</v>
          </cell>
          <cell r="G51" t="str">
            <v>红孩儿核心技能</v>
          </cell>
          <cell r="H51" t="str">
            <v>honghaier_skill01</v>
          </cell>
          <cell r="I51" t="str">
            <v>honghaier_skill01</v>
          </cell>
          <cell r="J51">
            <v>0</v>
          </cell>
          <cell r="K51">
            <v>10</v>
          </cell>
          <cell r="L51" t="str">
            <v>1|10</v>
          </cell>
          <cell r="M51">
            <v>2</v>
          </cell>
          <cell r="N51">
            <v>2</v>
          </cell>
          <cell r="O51">
            <v>2</v>
          </cell>
          <cell r="P51">
            <v>2</v>
          </cell>
          <cell r="Q51">
            <v>12</v>
          </cell>
          <cell r="R51" t="str">
            <v>2|1</v>
          </cell>
          <cell r="S51" t="str">
            <v>1|10|6</v>
          </cell>
          <cell r="T51">
            <v>10</v>
          </cell>
          <cell r="U51">
            <v>0</v>
          </cell>
          <cell r="V51">
            <v>0</v>
          </cell>
          <cell r="W51" t="str">
            <v>[]</v>
          </cell>
          <cell r="X51">
            <v>0</v>
          </cell>
          <cell r="Y51" t="str">
            <v>[]</v>
          </cell>
          <cell r="Z51" t="str">
            <v>0,1,0</v>
          </cell>
          <cell r="AA51">
            <v>0</v>
          </cell>
          <cell r="AB51" t="str">
            <v>12</v>
          </cell>
          <cell r="AC51" t="str">
            <v>[]</v>
          </cell>
          <cell r="AD51" t="str">
            <v>[]</v>
          </cell>
          <cell r="AE51" t="str">
            <v>[]</v>
          </cell>
          <cell r="AF51" t="str">
            <v>honghaier_skill01,honghaier_skill01_f</v>
          </cell>
          <cell r="AG51" t="str">
            <v>common_hit_zhongwuqi</v>
          </cell>
          <cell r="AH51" t="str">
            <v>[]</v>
          </cell>
          <cell r="AI51" t="str">
            <v>[]</v>
          </cell>
          <cell r="AJ51" t="str">
            <v>honghaier_shock</v>
          </cell>
          <cell r="AK51" t="str">
            <v>yunxuanT1NP0.6</v>
          </cell>
          <cell r="AL51" t="str">
            <v>[]</v>
          </cell>
          <cell r="AM51" t="str">
            <v>[]</v>
          </cell>
          <cell r="AN51">
            <v>2</v>
          </cell>
          <cell r="AO51">
            <v>-4</v>
          </cell>
          <cell r="AP51">
            <v>111005</v>
          </cell>
          <cell r="AQ51" t="str">
            <v>111005</v>
          </cell>
          <cell r="AR51" t="str">
            <v>[]</v>
          </cell>
          <cell r="AS51" t="str">
            <v>[]</v>
          </cell>
          <cell r="AT51" t="str">
            <v>1110</v>
          </cell>
          <cell r="AU51" t="str">
            <v>2220</v>
          </cell>
          <cell r="AV51" t="str">
            <v>红孩儿</v>
          </cell>
          <cell r="AW51" t="str">
            <v>11</v>
          </cell>
          <cell r="AX51">
            <v>1266</v>
          </cell>
          <cell r="AY51">
            <v>1</v>
          </cell>
          <cell r="AZ51">
            <v>0.6</v>
          </cell>
          <cell r="BA51">
            <v>0.6</v>
          </cell>
          <cell r="BB51" t="str">
            <v>眩晕</v>
          </cell>
          <cell r="BE51">
            <v>0.6</v>
          </cell>
          <cell r="BF51" t="str">
            <v>60</v>
          </cell>
        </row>
        <row r="52">
          <cell r="A52" t="str">
            <v>honghaier_skill021</v>
          </cell>
          <cell r="B52" t="str">
            <v>奥义·三昧真火</v>
          </cell>
          <cell r="C52" t="str">
            <v>对前方敌人持续喷射火焰，对敌人造成4次自身攻击力@s的物伤，并造成灼烧效果，持续6秒</v>
          </cell>
          <cell r="D52">
            <v>1268</v>
          </cell>
          <cell r="E52">
            <v>2</v>
          </cell>
          <cell r="F52" t="str">
            <v>boss_warning_shanxing90</v>
          </cell>
          <cell r="G52" t="str">
            <v>红孩儿技能2</v>
          </cell>
          <cell r="H52" t="str">
            <v>honghaier_skill02</v>
          </cell>
          <cell r="I52" t="str">
            <v>[]</v>
          </cell>
          <cell r="J52">
            <v>1</v>
          </cell>
          <cell r="K52">
            <v>10</v>
          </cell>
          <cell r="L52" t="str">
            <v>[]</v>
          </cell>
          <cell r="M52">
            <v>2</v>
          </cell>
          <cell r="N52">
            <v>2</v>
          </cell>
          <cell r="O52">
            <v>1</v>
          </cell>
          <cell r="P52">
            <v>2</v>
          </cell>
          <cell r="Q52">
            <v>12</v>
          </cell>
          <cell r="R52" t="str">
            <v>2|1</v>
          </cell>
          <cell r="S52" t="str">
            <v>3|6|60</v>
          </cell>
          <cell r="T52">
            <v>10</v>
          </cell>
          <cell r="U52">
            <v>1</v>
          </cell>
          <cell r="V52">
            <v>0</v>
          </cell>
          <cell r="W52" t="str">
            <v>[]</v>
          </cell>
          <cell r="X52">
            <v>3</v>
          </cell>
          <cell r="Y52" t="str">
            <v>[]</v>
          </cell>
          <cell r="Z52" t="str">
            <v>0,1.5,0</v>
          </cell>
          <cell r="AA52">
            <v>0</v>
          </cell>
          <cell r="AB52">
            <v>6</v>
          </cell>
          <cell r="AC52" t="str">
            <v>[]</v>
          </cell>
          <cell r="AD52" t="str">
            <v>[]</v>
          </cell>
          <cell r="AE52" t="str">
            <v>[]</v>
          </cell>
          <cell r="AF52" t="str">
            <v>honghaier_skill02</v>
          </cell>
          <cell r="AG52" t="str">
            <v>common_hit_zhongwuqi</v>
          </cell>
          <cell r="AH52" t="str">
            <v>[]</v>
          </cell>
          <cell r="AI52" t="str">
            <v>[]</v>
          </cell>
          <cell r="AJ52" t="str">
            <v>[]</v>
          </cell>
          <cell r="AK52" t="str">
            <v>[]</v>
          </cell>
          <cell r="AL52" t="str">
            <v>[]</v>
          </cell>
          <cell r="AM52" t="str">
            <v>zhuoshaoT6N0.1</v>
          </cell>
          <cell r="AN52">
            <v>1</v>
          </cell>
          <cell r="AO52" t="str">
            <v>1,0.1,0.1,0.1</v>
          </cell>
          <cell r="AP52">
            <v>111006</v>
          </cell>
          <cell r="AQ52" t="str">
            <v>111006</v>
          </cell>
          <cell r="AR52" t="str">
            <v>[]</v>
          </cell>
          <cell r="AS52" t="str">
            <v>[]</v>
          </cell>
          <cell r="AT52" t="str">
            <v>1110</v>
          </cell>
          <cell r="AU52" t="str">
            <v>2230</v>
          </cell>
          <cell r="AV52" t="str">
            <v>红孩儿</v>
          </cell>
          <cell r="AW52" t="str">
            <v>21</v>
          </cell>
          <cell r="AX52">
            <v>1268</v>
          </cell>
          <cell r="AY52">
            <v>4</v>
          </cell>
          <cell r="BA52" t="str">
            <v>[]</v>
          </cell>
          <cell r="BE52" t="str">
            <v>[]</v>
          </cell>
          <cell r="BF52"/>
        </row>
        <row r="53">
          <cell r="A53" t="str">
            <v>honghaier_skill041</v>
          </cell>
          <cell r="B53" t="str">
            <v>奥义·烈火九连爆</v>
          </cell>
          <cell r="C53" t="str">
            <v>舞枪对对范围内敌人发动连续9次攻击，造成自身攻击力@s的物伤，对灼烧中的目标提升30%伤害</v>
          </cell>
          <cell r="D53">
            <v>1270</v>
          </cell>
          <cell r="E53">
            <v>0</v>
          </cell>
          <cell r="F53" t="str">
            <v>[]</v>
          </cell>
          <cell r="G53" t="str">
            <v>红孩儿技能4</v>
          </cell>
          <cell r="H53" t="str">
            <v>honghaier_skill04</v>
          </cell>
          <cell r="I53" t="str">
            <v>[]</v>
          </cell>
          <cell r="J53">
            <v>3</v>
          </cell>
          <cell r="K53">
            <v>10</v>
          </cell>
          <cell r="L53" t="str">
            <v>[]</v>
          </cell>
          <cell r="M53">
            <v>2</v>
          </cell>
          <cell r="N53">
            <v>2</v>
          </cell>
          <cell r="O53">
            <v>1</v>
          </cell>
          <cell r="P53">
            <v>2</v>
          </cell>
          <cell r="Q53">
            <v>12</v>
          </cell>
          <cell r="R53" t="str">
            <v>2|1</v>
          </cell>
          <cell r="S53" t="str">
            <v>4|0.2</v>
          </cell>
          <cell r="T53">
            <v>1</v>
          </cell>
          <cell r="U53">
            <v>0</v>
          </cell>
          <cell r="V53">
            <v>0</v>
          </cell>
          <cell r="W53" t="str">
            <v>[]</v>
          </cell>
          <cell r="X53">
            <v>3</v>
          </cell>
          <cell r="Y53" t="str">
            <v>[]</v>
          </cell>
          <cell r="Z53" t="str">
            <v>0,2.7,0</v>
          </cell>
          <cell r="AA53">
            <v>0</v>
          </cell>
          <cell r="AB53">
            <v>6</v>
          </cell>
          <cell r="AC53" t="str">
            <v>[]</v>
          </cell>
          <cell r="AD53" t="str">
            <v>[]</v>
          </cell>
          <cell r="AE53" t="str">
            <v>[]</v>
          </cell>
          <cell r="AF53" t="str">
            <v>honghaier_skill04</v>
          </cell>
          <cell r="AG53" t="str">
            <v>common_hit_zhongwuqi</v>
          </cell>
          <cell r="AH53" t="str">
            <v>[]</v>
          </cell>
          <cell r="AI53" t="str">
            <v>[]</v>
          </cell>
          <cell r="AJ53" t="str">
            <v>[]</v>
          </cell>
          <cell r="AK53" t="str">
            <v>[]</v>
          </cell>
          <cell r="AL53" t="str">
            <v>[]</v>
          </cell>
          <cell r="AM53" t="str">
            <v>[]</v>
          </cell>
          <cell r="AN53">
            <v>1</v>
          </cell>
          <cell r="AO53" t="str">
            <v>0.2,0.2,0.5,0.1,0.1,0.1,0.1,0.1,0.5</v>
          </cell>
          <cell r="AP53">
            <v>111007</v>
          </cell>
          <cell r="AQ53" t="str">
            <v>111007</v>
          </cell>
          <cell r="AR53" t="str">
            <v>[]</v>
          </cell>
          <cell r="AS53" t="str">
            <v>[]</v>
          </cell>
          <cell r="AT53" t="str">
            <v>1110</v>
          </cell>
          <cell r="AU53" t="str">
            <v>2250</v>
          </cell>
          <cell r="AV53" t="str">
            <v>红孩儿</v>
          </cell>
          <cell r="AW53" t="str">
            <v>41</v>
          </cell>
          <cell r="AX53">
            <v>1270</v>
          </cell>
          <cell r="AY53">
            <v>9</v>
          </cell>
          <cell r="BA53" t="str">
            <v>[]</v>
          </cell>
          <cell r="BE53" t="str">
            <v>[]</v>
          </cell>
          <cell r="BF53"/>
        </row>
        <row r="54">
          <cell r="A54" t="str">
            <v>tieshangongzhu_attack</v>
          </cell>
          <cell r="B54" t="str">
            <v>铁扇公主普攻</v>
          </cell>
          <cell r="C54" t="str">
            <v>普攻</v>
          </cell>
          <cell r="D54" t="str">
            <v>[]</v>
          </cell>
          <cell r="E54">
            <v>0</v>
          </cell>
          <cell r="F54" t="str">
            <v>[]</v>
          </cell>
          <cell r="G54" t="str">
            <v>远程攻击</v>
          </cell>
          <cell r="H54" t="str">
            <v>[]</v>
          </cell>
          <cell r="I54" t="str">
            <v>[]</v>
          </cell>
          <cell r="J54">
            <v>0</v>
          </cell>
          <cell r="K54">
            <v>1</v>
          </cell>
          <cell r="L54" t="str">
            <v>[]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12</v>
          </cell>
          <cell r="R54" t="str">
            <v>2|1</v>
          </cell>
          <cell r="S54" t="str">
            <v>4|0.2</v>
          </cell>
          <cell r="T54">
            <v>1</v>
          </cell>
          <cell r="U54">
            <v>1</v>
          </cell>
          <cell r="V54">
            <v>0</v>
          </cell>
          <cell r="W54" t="str">
            <v>[]</v>
          </cell>
          <cell r="X54">
            <v>0</v>
          </cell>
          <cell r="Y54" t="str">
            <v>[]</v>
          </cell>
          <cell r="Z54" t="str">
            <v>0,1,0</v>
          </cell>
          <cell r="AA54">
            <v>0</v>
          </cell>
          <cell r="AB54">
            <v>0</v>
          </cell>
          <cell r="AC54" t="str">
            <v>[]</v>
          </cell>
          <cell r="AD54" t="str">
            <v>[]</v>
          </cell>
          <cell r="AE54" t="str">
            <v>[]</v>
          </cell>
          <cell r="AF54" t="str">
            <v>tieshangongzhu_attack</v>
          </cell>
          <cell r="AG54" t="str">
            <v>common_hit_fashu</v>
          </cell>
          <cell r="AH54" t="str">
            <v>[]</v>
          </cell>
          <cell r="AI54" t="str">
            <v>[]</v>
          </cell>
          <cell r="AJ54" t="str">
            <v>[]</v>
          </cell>
          <cell r="AK54" t="str">
            <v>[]</v>
          </cell>
          <cell r="AL54" t="str">
            <v>[]</v>
          </cell>
          <cell r="AM54" t="str">
            <v>[]</v>
          </cell>
          <cell r="AN54">
            <v>2</v>
          </cell>
          <cell r="AO54">
            <v>-2</v>
          </cell>
          <cell r="AP54">
            <v>111100</v>
          </cell>
          <cell r="AQ54" t="str">
            <v>111100</v>
          </cell>
          <cell r="AR54" t="str">
            <v>[]</v>
          </cell>
          <cell r="AS54" t="str">
            <v>[]</v>
          </cell>
          <cell r="AT54" t="str">
            <v>1111</v>
          </cell>
          <cell r="AU54" t="str">
            <v>2260</v>
          </cell>
          <cell r="AV54" t="str">
            <v>远程攻击</v>
          </cell>
          <cell r="AW54" t="str">
            <v>ck</v>
          </cell>
          <cell r="AX54" t="str">
            <v>[]</v>
          </cell>
          <cell r="AY54">
            <v>1</v>
          </cell>
          <cell r="BA54" t="str">
            <v>[]</v>
          </cell>
          <cell r="BE54" t="str">
            <v>[]</v>
          </cell>
          <cell r="BF54"/>
        </row>
        <row r="55">
          <cell r="A55" t="str">
            <v>tieshangongzhu_skill01</v>
          </cell>
          <cell r="B55" t="str">
            <v>暴风掠音</v>
          </cell>
          <cell r="C55" t="str">
            <v>召唤暴风对范围内敌人进行7次攻击，造成造成主角攻击力@s的法伤，降低目标20%的闪避</v>
          </cell>
          <cell r="D55" t="str">
            <v>[]</v>
          </cell>
          <cell r="E55">
            <v>0</v>
          </cell>
          <cell r="F55" t="str">
            <v>[]</v>
          </cell>
          <cell r="G55" t="str">
            <v>铁扇公主核心技能</v>
          </cell>
          <cell r="H55" t="str">
            <v>tieshangongzhu_skill01</v>
          </cell>
          <cell r="I55" t="str">
            <v>tieshangongzhu_skill01</v>
          </cell>
          <cell r="J55">
            <v>0</v>
          </cell>
          <cell r="K55">
            <v>1</v>
          </cell>
          <cell r="L55" t="str">
            <v>1|11</v>
          </cell>
          <cell r="M55">
            <v>2</v>
          </cell>
          <cell r="N55">
            <v>2</v>
          </cell>
          <cell r="O55">
            <v>2</v>
          </cell>
          <cell r="P55">
            <v>2</v>
          </cell>
          <cell r="Q55">
            <v>12</v>
          </cell>
          <cell r="R55" t="str">
            <v>2|1</v>
          </cell>
          <cell r="S55" t="str">
            <v>2|6</v>
          </cell>
          <cell r="T55">
            <v>10</v>
          </cell>
          <cell r="U55">
            <v>0</v>
          </cell>
          <cell r="V55">
            <v>0</v>
          </cell>
          <cell r="W55" t="str">
            <v>[]</v>
          </cell>
          <cell r="X55">
            <v>0</v>
          </cell>
          <cell r="Y55" t="str">
            <v>[]</v>
          </cell>
          <cell r="Z55" t="str">
            <v>0,1,0</v>
          </cell>
          <cell r="AA55">
            <v>0</v>
          </cell>
          <cell r="AB55" t="str">
            <v>12</v>
          </cell>
          <cell r="AC55" t="str">
            <v>[]</v>
          </cell>
          <cell r="AD55" t="str">
            <v>[]</v>
          </cell>
          <cell r="AE55" t="str">
            <v>[]</v>
          </cell>
          <cell r="AF55" t="str">
            <v>tieshangongzhu_skill01</v>
          </cell>
          <cell r="AG55" t="str">
            <v>common_hit_fashu</v>
          </cell>
          <cell r="AH55" t="str">
            <v>[]</v>
          </cell>
          <cell r="AI55" t="str">
            <v>[]</v>
          </cell>
          <cell r="AJ55" t="str">
            <v>[]</v>
          </cell>
          <cell r="AK55" t="str">
            <v>[]</v>
          </cell>
          <cell r="AL55" t="str">
            <v>[]</v>
          </cell>
          <cell r="AM55" t="str">
            <v>[]</v>
          </cell>
          <cell r="AN55">
            <v>1</v>
          </cell>
          <cell r="AO55" t="str">
            <v>0.6,0.5,0.4,0.4,0.3,0.2,0.1</v>
          </cell>
          <cell r="AP55">
            <v>111101</v>
          </cell>
          <cell r="AQ55" t="str">
            <v>111101</v>
          </cell>
          <cell r="AR55" t="str">
            <v>[]</v>
          </cell>
          <cell r="AS55" t="str">
            <v>[]</v>
          </cell>
          <cell r="AT55" t="str">
            <v>1111</v>
          </cell>
          <cell r="AU55" t="str">
            <v>2270</v>
          </cell>
          <cell r="AV55" t="str">
            <v>铁扇公主</v>
          </cell>
          <cell r="AW55" t="str">
            <v>01</v>
          </cell>
          <cell r="AX55" t="str">
            <v>[]</v>
          </cell>
          <cell r="AY55">
            <v>7</v>
          </cell>
          <cell r="BA55" t="str">
            <v>[]</v>
          </cell>
          <cell r="BE55" t="str">
            <v>[]</v>
          </cell>
          <cell r="BF55"/>
        </row>
        <row r="56">
          <cell r="A56" t="str">
            <v>tieshangongzhu_skill02</v>
          </cell>
          <cell r="B56" t="str">
            <v>风雷涌动</v>
          </cell>
          <cell r="C56" t="str">
            <v>召唤风雷领域，对范围内敌人进行2次攻击，造成自身攻击力@s的法伤，提升自身暴击@s,持续3秒</v>
          </cell>
          <cell r="D56" t="str">
            <v>[]</v>
          </cell>
          <cell r="E56">
            <v>0</v>
          </cell>
          <cell r="F56" t="str">
            <v>[]</v>
          </cell>
          <cell r="G56" t="str">
            <v>铁扇公主技能2</v>
          </cell>
          <cell r="H56" t="str">
            <v>tieshangongzhu_skill02</v>
          </cell>
          <cell r="I56" t="str">
            <v>[]</v>
          </cell>
          <cell r="J56">
            <v>1</v>
          </cell>
          <cell r="K56">
            <v>1</v>
          </cell>
          <cell r="L56" t="str">
            <v>[]</v>
          </cell>
          <cell r="M56">
            <v>2</v>
          </cell>
          <cell r="N56">
            <v>2</v>
          </cell>
          <cell r="O56">
            <v>2</v>
          </cell>
          <cell r="P56">
            <v>2</v>
          </cell>
          <cell r="Q56">
            <v>12</v>
          </cell>
          <cell r="R56" t="str">
            <v>2|1</v>
          </cell>
          <cell r="S56" t="str">
            <v>2|6</v>
          </cell>
          <cell r="T56">
            <v>10</v>
          </cell>
          <cell r="U56">
            <v>0</v>
          </cell>
          <cell r="V56">
            <v>0</v>
          </cell>
          <cell r="W56" t="str">
            <v>[]</v>
          </cell>
          <cell r="X56">
            <v>3</v>
          </cell>
          <cell r="Y56" t="str">
            <v>[]</v>
          </cell>
          <cell r="Z56" t="str">
            <v>0,1.386,0.781</v>
          </cell>
          <cell r="AA56">
            <v>0</v>
          </cell>
          <cell r="AB56">
            <v>6</v>
          </cell>
          <cell r="AC56" t="str">
            <v>[]</v>
          </cell>
          <cell r="AD56" t="str">
            <v>[]</v>
          </cell>
          <cell r="AE56" t="str">
            <v>[]</v>
          </cell>
          <cell r="AF56" t="str">
            <v>tieshangongzhu_skill02</v>
          </cell>
          <cell r="AG56" t="str">
            <v>common_hit_fashu</v>
          </cell>
          <cell r="AH56" t="str">
            <v>[]</v>
          </cell>
          <cell r="AI56" t="str">
            <v>[]</v>
          </cell>
          <cell r="AJ56" t="str">
            <v>[]</v>
          </cell>
          <cell r="AK56" t="str">
            <v>[]</v>
          </cell>
          <cell r="AL56" t="str">
            <v>baojiupT3N0.1</v>
          </cell>
          <cell r="AM56" t="str">
            <v>[]</v>
          </cell>
          <cell r="AN56">
            <v>2</v>
          </cell>
          <cell r="AO56" t="str">
            <v>1,0.1</v>
          </cell>
          <cell r="AP56">
            <v>111102</v>
          </cell>
          <cell r="AQ56" t="str">
            <v>111102,9010</v>
          </cell>
          <cell r="AR56" t="str">
            <v>[]</v>
          </cell>
          <cell r="AS56" t="str">
            <v>[]</v>
          </cell>
          <cell r="AT56" t="str">
            <v>1111</v>
          </cell>
          <cell r="AU56" t="str">
            <v>2280</v>
          </cell>
          <cell r="AV56" t="str">
            <v>铁扇公主</v>
          </cell>
          <cell r="AW56" t="str">
            <v>02</v>
          </cell>
          <cell r="AX56" t="str">
            <v>[]</v>
          </cell>
          <cell r="AY56">
            <v>2</v>
          </cell>
          <cell r="BA56" t="str">
            <v>[]</v>
          </cell>
          <cell r="BE56" t="str">
            <v>[]</v>
          </cell>
          <cell r="BF56"/>
        </row>
        <row r="57">
          <cell r="A57" t="str">
            <v>tieshangongzhu_skill03</v>
          </cell>
          <cell r="B57" t="str">
            <v>风之班璇</v>
          </cell>
          <cell r="C57" t="str">
            <v>进入战斗场景时，提升自身造成的伤害@s</v>
          </cell>
          <cell r="D57">
            <v>1262</v>
          </cell>
          <cell r="E57">
            <v>0</v>
          </cell>
          <cell r="F57" t="str">
            <v>[]</v>
          </cell>
          <cell r="G57" t="str">
            <v>铁扇公主被动技能</v>
          </cell>
          <cell r="H57" t="str">
            <v>wugong</v>
          </cell>
          <cell r="I57" t="str">
            <v>[]</v>
          </cell>
          <cell r="J57">
            <v>2</v>
          </cell>
          <cell r="K57">
            <v>1</v>
          </cell>
          <cell r="L57" t="str">
            <v>[]</v>
          </cell>
          <cell r="M57">
            <v>2</v>
          </cell>
          <cell r="N57">
            <v>2</v>
          </cell>
          <cell r="O57">
            <v>3</v>
          </cell>
          <cell r="P57">
            <v>0</v>
          </cell>
          <cell r="Q57">
            <v>4</v>
          </cell>
          <cell r="R57">
            <v>1</v>
          </cell>
          <cell r="S57" t="str">
            <v>2|6</v>
          </cell>
          <cell r="T57">
            <v>10</v>
          </cell>
          <cell r="U57">
            <v>0</v>
          </cell>
          <cell r="V57">
            <v>0</v>
          </cell>
          <cell r="W57" t="str">
            <v>[]</v>
          </cell>
          <cell r="X57">
            <v>0</v>
          </cell>
          <cell r="Y57" t="str">
            <v>[]</v>
          </cell>
          <cell r="Z57" t="str">
            <v>0,0,0</v>
          </cell>
          <cell r="AA57">
            <v>0</v>
          </cell>
          <cell r="AB57">
            <v>0</v>
          </cell>
          <cell r="AC57" t="str">
            <v>[]</v>
          </cell>
          <cell r="AD57" t="str">
            <v>[]</v>
          </cell>
          <cell r="AE57" t="str">
            <v>[]</v>
          </cell>
          <cell r="AF57" t="str">
            <v>[]</v>
          </cell>
          <cell r="AG57" t="str">
            <v>[]</v>
          </cell>
          <cell r="AH57" t="str">
            <v>[]</v>
          </cell>
          <cell r="AI57" t="str">
            <v>[]</v>
          </cell>
          <cell r="AJ57" t="str">
            <v>[]</v>
          </cell>
          <cell r="AK57" t="str">
            <v>[]</v>
          </cell>
          <cell r="AL57" t="str">
            <v>yishangT3N0.1b</v>
          </cell>
          <cell r="AM57" t="str">
            <v>[]</v>
          </cell>
          <cell r="AN57">
            <v>0</v>
          </cell>
          <cell r="AO57" t="str">
            <v>[]</v>
          </cell>
          <cell r="AP57" t="str">
            <v>[]</v>
          </cell>
          <cell r="AQ57" t="str">
            <v>9010</v>
          </cell>
          <cell r="AR57" t="str">
            <v>[]</v>
          </cell>
          <cell r="AS57" t="str">
            <v>[]</v>
          </cell>
          <cell r="AT57" t="str">
            <v>9010</v>
          </cell>
          <cell r="AU57" t="str">
            <v>2290</v>
          </cell>
          <cell r="AV57" t="str">
            <v>铁扇公主</v>
          </cell>
          <cell r="AW57" t="str">
            <v>03</v>
          </cell>
          <cell r="AX57">
            <v>1262</v>
          </cell>
          <cell r="AY57">
            <v>1</v>
          </cell>
          <cell r="BA57" t="str">
            <v>[]</v>
          </cell>
          <cell r="BE57" t="str">
            <v>[]</v>
          </cell>
          <cell r="BF57"/>
        </row>
        <row r="58">
          <cell r="A58" t="str">
            <v>tieshangongzhu_skill04</v>
          </cell>
          <cell r="B58" t="str">
            <v>呼啸之风</v>
          </cell>
          <cell r="C58" t="str">
            <v>召唤龙卷风，对范围内敌人造成自身攻击力@s的法伤，同时提升自身暴击@s,持续3秒,有30%概率吹飞对手</v>
          </cell>
          <cell r="D58">
            <v>1264</v>
          </cell>
          <cell r="E58">
            <v>2</v>
          </cell>
          <cell r="F58" t="str">
            <v>[]</v>
          </cell>
          <cell r="G58" t="str">
            <v>铁扇公主技能4</v>
          </cell>
          <cell r="H58" t="str">
            <v>tieshangongzhu_skill04</v>
          </cell>
          <cell r="I58" t="str">
            <v>[]</v>
          </cell>
          <cell r="J58">
            <v>3</v>
          </cell>
          <cell r="K58">
            <v>1</v>
          </cell>
          <cell r="L58" t="str">
            <v>[]</v>
          </cell>
          <cell r="M58">
            <v>2</v>
          </cell>
          <cell r="N58">
            <v>2</v>
          </cell>
          <cell r="O58">
            <v>1</v>
          </cell>
          <cell r="P58">
            <v>2</v>
          </cell>
          <cell r="Q58">
            <v>4</v>
          </cell>
          <cell r="R58" t="str">
            <v>2|1</v>
          </cell>
          <cell r="S58" t="str">
            <v>1|10|6</v>
          </cell>
          <cell r="T58">
            <v>10</v>
          </cell>
          <cell r="U58">
            <v>1</v>
          </cell>
          <cell r="V58">
            <v>0</v>
          </cell>
          <cell r="W58" t="str">
            <v>[]</v>
          </cell>
          <cell r="X58">
            <v>3</v>
          </cell>
          <cell r="Y58" t="str">
            <v>[]</v>
          </cell>
          <cell r="Z58" t="str">
            <v>0,0.792,0.875</v>
          </cell>
          <cell r="AA58">
            <v>0</v>
          </cell>
          <cell r="AB58">
            <v>6</v>
          </cell>
          <cell r="AC58" t="str">
            <v>[]</v>
          </cell>
          <cell r="AD58" t="str">
            <v>[]</v>
          </cell>
          <cell r="AE58" t="str">
            <v>[]</v>
          </cell>
          <cell r="AF58" t="str">
            <v>tieshangongzhu_skill04</v>
          </cell>
          <cell r="AG58" t="str">
            <v>common_hit_fashu</v>
          </cell>
          <cell r="AH58" t="str">
            <v>[]</v>
          </cell>
          <cell r="AI58" t="str">
            <v>[]</v>
          </cell>
          <cell r="AJ58" t="str">
            <v>[]</v>
          </cell>
          <cell r="AK58" t="str">
            <v>jifei0.3</v>
          </cell>
          <cell r="AL58" t="str">
            <v>baojiupT3N0.1</v>
          </cell>
          <cell r="AM58" t="str">
            <v>[]</v>
          </cell>
          <cell r="AN58">
            <v>2</v>
          </cell>
          <cell r="AO58">
            <v>0.5</v>
          </cell>
          <cell r="AP58">
            <v>111104</v>
          </cell>
          <cell r="AQ58" t="str">
            <v>111104,9010</v>
          </cell>
          <cell r="AR58" t="str">
            <v>[]</v>
          </cell>
          <cell r="AS58" t="str">
            <v>[]</v>
          </cell>
          <cell r="AT58" t="str">
            <v>1111</v>
          </cell>
          <cell r="AU58" t="str">
            <v>2300</v>
          </cell>
          <cell r="AV58" t="str">
            <v>铁扇公主</v>
          </cell>
          <cell r="AW58" t="str">
            <v>04</v>
          </cell>
          <cell r="AX58">
            <v>1264</v>
          </cell>
          <cell r="AY58">
            <v>1</v>
          </cell>
          <cell r="BA58" t="str">
            <v>[]</v>
          </cell>
          <cell r="BE58" t="str">
            <v>[]</v>
          </cell>
          <cell r="BF58"/>
        </row>
        <row r="59">
          <cell r="A59" t="str">
            <v>tieshangongzhu_skill011</v>
          </cell>
          <cell r="B59" t="str">
            <v>奥义·暴风掠音</v>
          </cell>
          <cell r="C59" t="str">
            <v>召唤暴风对范围内敌人进行7次攻击，造成造成主角攻击力@s的法伤，降低目标20%的闪避</v>
          </cell>
          <cell r="D59">
            <v>1266</v>
          </cell>
          <cell r="E59">
            <v>2</v>
          </cell>
          <cell r="F59" t="str">
            <v>boss_warning_juxing</v>
          </cell>
          <cell r="G59" t="str">
            <v>铁扇公主核心技能</v>
          </cell>
          <cell r="H59" t="str">
            <v>tieshangongzhu_skill01</v>
          </cell>
          <cell r="I59" t="str">
            <v>tieshangongzhu_skill01</v>
          </cell>
          <cell r="J59">
            <v>0</v>
          </cell>
          <cell r="K59">
            <v>1</v>
          </cell>
          <cell r="L59" t="str">
            <v>1|11</v>
          </cell>
          <cell r="M59">
            <v>2</v>
          </cell>
          <cell r="N59">
            <v>2</v>
          </cell>
          <cell r="O59">
            <v>2</v>
          </cell>
          <cell r="P59">
            <v>2</v>
          </cell>
          <cell r="Q59">
            <v>12</v>
          </cell>
          <cell r="R59" t="str">
            <v>2|1</v>
          </cell>
          <cell r="S59" t="str">
            <v>2|6</v>
          </cell>
          <cell r="T59">
            <v>10</v>
          </cell>
          <cell r="U59">
            <v>0</v>
          </cell>
          <cell r="V59">
            <v>0</v>
          </cell>
          <cell r="W59" t="str">
            <v>[]</v>
          </cell>
          <cell r="X59">
            <v>0</v>
          </cell>
          <cell r="Y59" t="str">
            <v>[]</v>
          </cell>
          <cell r="Z59" t="str">
            <v>0,1,0</v>
          </cell>
          <cell r="AA59">
            <v>0</v>
          </cell>
          <cell r="AB59" t="str">
            <v>12</v>
          </cell>
          <cell r="AC59" t="str">
            <v>[]</v>
          </cell>
          <cell r="AD59" t="str">
            <v>[]</v>
          </cell>
          <cell r="AE59" t="str">
            <v>[]</v>
          </cell>
          <cell r="AF59" t="str">
            <v>tieshangongzhu_skill01</v>
          </cell>
          <cell r="AG59" t="str">
            <v>common_hit_fashu</v>
          </cell>
          <cell r="AH59" t="str">
            <v>[]</v>
          </cell>
          <cell r="AI59" t="str">
            <v>[]</v>
          </cell>
          <cell r="AJ59" t="str">
            <v>[]</v>
          </cell>
          <cell r="AK59" t="str">
            <v>[]</v>
          </cell>
          <cell r="AL59" t="str">
            <v>[]</v>
          </cell>
          <cell r="AM59" t="str">
            <v>[]</v>
          </cell>
          <cell r="AN59">
            <v>1</v>
          </cell>
          <cell r="AO59" t="str">
            <v>0.6,0.5,0.4,0.4,0.3,0.2,0.1</v>
          </cell>
          <cell r="AP59">
            <v>111105</v>
          </cell>
          <cell r="AQ59" t="str">
            <v>111105</v>
          </cell>
          <cell r="AR59" t="str">
            <v>[]</v>
          </cell>
          <cell r="AS59" t="str">
            <v>[]</v>
          </cell>
          <cell r="AT59" t="str">
            <v>1111</v>
          </cell>
          <cell r="AU59" t="str">
            <v>2270</v>
          </cell>
          <cell r="AV59" t="str">
            <v>铁扇公主</v>
          </cell>
          <cell r="AW59" t="str">
            <v>11</v>
          </cell>
          <cell r="AX59">
            <v>1266</v>
          </cell>
          <cell r="AY59">
            <v>7</v>
          </cell>
          <cell r="BA59" t="str">
            <v>[]</v>
          </cell>
          <cell r="BE59" t="str">
            <v>[]</v>
          </cell>
          <cell r="BF59"/>
        </row>
        <row r="60">
          <cell r="A60" t="str">
            <v>tieshangongzhu_skill021</v>
          </cell>
          <cell r="B60" t="str">
            <v>奥义·风雷涌动</v>
          </cell>
          <cell r="C60" t="str">
            <v>召唤风雷领域，对范围内敌人进行2次攻击，造成自身攻击力@s的法伤，提升自身暴击@s,持续3秒</v>
          </cell>
          <cell r="D60">
            <v>1268</v>
          </cell>
          <cell r="E60">
            <v>0</v>
          </cell>
          <cell r="F60" t="str">
            <v>[]</v>
          </cell>
          <cell r="G60" t="str">
            <v>铁扇公主技能2</v>
          </cell>
          <cell r="H60" t="str">
            <v>tieshangongzhu_skill02</v>
          </cell>
          <cell r="I60" t="str">
            <v>[]</v>
          </cell>
          <cell r="J60">
            <v>1</v>
          </cell>
          <cell r="K60">
            <v>1</v>
          </cell>
          <cell r="L60" t="str">
            <v>[]</v>
          </cell>
          <cell r="M60">
            <v>2</v>
          </cell>
          <cell r="N60">
            <v>2</v>
          </cell>
          <cell r="O60">
            <v>2</v>
          </cell>
          <cell r="P60">
            <v>2</v>
          </cell>
          <cell r="Q60">
            <v>12</v>
          </cell>
          <cell r="R60" t="str">
            <v>2|1</v>
          </cell>
          <cell r="S60" t="str">
            <v>2|6</v>
          </cell>
          <cell r="T60">
            <v>10</v>
          </cell>
          <cell r="U60">
            <v>0</v>
          </cell>
          <cell r="V60">
            <v>0</v>
          </cell>
          <cell r="W60" t="str">
            <v>[]</v>
          </cell>
          <cell r="X60">
            <v>3</v>
          </cell>
          <cell r="Y60" t="str">
            <v>[]</v>
          </cell>
          <cell r="Z60" t="str">
            <v>0,1.386,0.781</v>
          </cell>
          <cell r="AA60">
            <v>0</v>
          </cell>
          <cell r="AB60">
            <v>6</v>
          </cell>
          <cell r="AC60" t="str">
            <v>[]</v>
          </cell>
          <cell r="AD60" t="str">
            <v>[]</v>
          </cell>
          <cell r="AE60" t="str">
            <v>[]</v>
          </cell>
          <cell r="AF60" t="str">
            <v>tieshangongzhu_skill02</v>
          </cell>
          <cell r="AG60" t="str">
            <v>common_hit_fashu</v>
          </cell>
          <cell r="AH60" t="str">
            <v>[]</v>
          </cell>
          <cell r="AI60" t="str">
            <v>[]</v>
          </cell>
          <cell r="AJ60" t="str">
            <v>[]</v>
          </cell>
          <cell r="AK60" t="str">
            <v>[]</v>
          </cell>
          <cell r="AL60" t="str">
            <v>baojiupT3N0.15</v>
          </cell>
          <cell r="AM60" t="str">
            <v>[]</v>
          </cell>
          <cell r="AN60">
            <v>2</v>
          </cell>
          <cell r="AO60" t="str">
            <v>1,0.1</v>
          </cell>
          <cell r="AP60">
            <v>111106</v>
          </cell>
          <cell r="AQ60" t="str">
            <v>111106,9015</v>
          </cell>
          <cell r="AR60" t="str">
            <v>[]</v>
          </cell>
          <cell r="AS60" t="str">
            <v>[]</v>
          </cell>
          <cell r="AT60" t="str">
            <v>1111</v>
          </cell>
          <cell r="AU60" t="str">
            <v>2280</v>
          </cell>
          <cell r="AV60" t="str">
            <v>铁扇公主</v>
          </cell>
          <cell r="AW60" t="str">
            <v>21</v>
          </cell>
          <cell r="AX60">
            <v>1268</v>
          </cell>
          <cell r="AY60">
            <v>2</v>
          </cell>
          <cell r="BA60" t="str">
            <v>[]</v>
          </cell>
          <cell r="BE60" t="str">
            <v>[]</v>
          </cell>
          <cell r="BF60"/>
        </row>
        <row r="61">
          <cell r="A61" t="str">
            <v>tieshangongzhu_skill041</v>
          </cell>
          <cell r="B61" t="str">
            <v>奥义·呼啸之风</v>
          </cell>
          <cell r="C61" t="str">
            <v>召唤龙卷风，对范围内敌人造成自身攻击力@s的法伤，同时提升自身暴击@s,持续3秒,有60%概率吹飞对手</v>
          </cell>
          <cell r="D61">
            <v>1270</v>
          </cell>
          <cell r="E61">
            <v>2</v>
          </cell>
          <cell r="F61" t="str">
            <v>boss_warning_juxing</v>
          </cell>
          <cell r="G61" t="str">
            <v>铁扇公主技能4</v>
          </cell>
          <cell r="H61" t="str">
            <v>tieshangongzhu_skill04</v>
          </cell>
          <cell r="I61" t="str">
            <v>[]</v>
          </cell>
          <cell r="J61">
            <v>3</v>
          </cell>
          <cell r="K61">
            <v>1</v>
          </cell>
          <cell r="L61" t="str">
            <v>[]</v>
          </cell>
          <cell r="M61">
            <v>2</v>
          </cell>
          <cell r="N61">
            <v>2</v>
          </cell>
          <cell r="O61">
            <v>1</v>
          </cell>
          <cell r="P61">
            <v>2</v>
          </cell>
          <cell r="Q61">
            <v>4</v>
          </cell>
          <cell r="R61" t="str">
            <v>2|1</v>
          </cell>
          <cell r="S61" t="str">
            <v>1|10|6</v>
          </cell>
          <cell r="T61">
            <v>10</v>
          </cell>
          <cell r="U61">
            <v>1</v>
          </cell>
          <cell r="V61">
            <v>0</v>
          </cell>
          <cell r="W61" t="str">
            <v>[]</v>
          </cell>
          <cell r="X61">
            <v>3</v>
          </cell>
          <cell r="Y61" t="str">
            <v>[]</v>
          </cell>
          <cell r="Z61" t="str">
            <v>0,0.792,0.875</v>
          </cell>
          <cell r="AA61">
            <v>0</v>
          </cell>
          <cell r="AB61">
            <v>6</v>
          </cell>
          <cell r="AC61" t="str">
            <v>[]</v>
          </cell>
          <cell r="AD61" t="str">
            <v>[]</v>
          </cell>
          <cell r="AE61" t="str">
            <v>[]</v>
          </cell>
          <cell r="AF61" t="str">
            <v>tieshangongzhu_skill04</v>
          </cell>
          <cell r="AG61" t="str">
            <v>common_hit_fashu</v>
          </cell>
          <cell r="AH61" t="str">
            <v>[]</v>
          </cell>
          <cell r="AI61" t="str">
            <v>[]</v>
          </cell>
          <cell r="AJ61" t="str">
            <v>[]</v>
          </cell>
          <cell r="AK61" t="str">
            <v>jifei0.6</v>
          </cell>
          <cell r="AL61" t="str">
            <v>baojiupT3N0.15</v>
          </cell>
          <cell r="AM61" t="str">
            <v>[]</v>
          </cell>
          <cell r="AN61">
            <v>2</v>
          </cell>
          <cell r="AO61">
            <v>0.5</v>
          </cell>
          <cell r="AP61">
            <v>111107</v>
          </cell>
          <cell r="AQ61" t="str">
            <v>111107,9015</v>
          </cell>
          <cell r="AR61" t="str">
            <v>[]</v>
          </cell>
          <cell r="AS61" t="str">
            <v>[]</v>
          </cell>
          <cell r="AT61" t="str">
            <v>1111</v>
          </cell>
          <cell r="AU61" t="str">
            <v>2300</v>
          </cell>
          <cell r="AV61" t="str">
            <v>铁扇公主</v>
          </cell>
          <cell r="AW61" t="str">
            <v>41</v>
          </cell>
          <cell r="AX61">
            <v>1270</v>
          </cell>
          <cell r="AY61">
            <v>1</v>
          </cell>
          <cell r="BA61" t="str">
            <v>[]</v>
          </cell>
          <cell r="BE61" t="str">
            <v>[]</v>
          </cell>
          <cell r="BF61"/>
        </row>
        <row r="62">
          <cell r="A62" t="str">
            <v>zhubajie_attack</v>
          </cell>
          <cell r="B62" t="str">
            <v>猪八戒</v>
          </cell>
          <cell r="C62" t="str">
            <v>普攻</v>
          </cell>
          <cell r="D62" t="str">
            <v>[]</v>
          </cell>
          <cell r="E62">
            <v>0</v>
          </cell>
          <cell r="F62" t="str">
            <v>[]</v>
          </cell>
          <cell r="G62" t="str">
            <v>近战攻击</v>
          </cell>
          <cell r="H62" t="str">
            <v>[]</v>
          </cell>
          <cell r="I62" t="str">
            <v>[]</v>
          </cell>
          <cell r="J62">
            <v>0</v>
          </cell>
          <cell r="K62">
            <v>1</v>
          </cell>
          <cell r="L62" t="str">
            <v>[]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3</v>
          </cell>
          <cell r="R62" t="str">
            <v>2|1</v>
          </cell>
          <cell r="S62" t="str">
            <v>4|0.2</v>
          </cell>
          <cell r="T62">
            <v>1</v>
          </cell>
          <cell r="U62">
            <v>1</v>
          </cell>
          <cell r="V62">
            <v>0</v>
          </cell>
          <cell r="W62" t="str">
            <v>[]</v>
          </cell>
          <cell r="X62">
            <v>0</v>
          </cell>
          <cell r="Y62" t="str">
            <v>[]</v>
          </cell>
          <cell r="Z62" t="str">
            <v>0,1,0</v>
          </cell>
          <cell r="AA62">
            <v>0</v>
          </cell>
          <cell r="AB62" t="str">
            <v>[]</v>
          </cell>
          <cell r="AC62" t="str">
            <v>[]</v>
          </cell>
          <cell r="AD62" t="str">
            <v>[]</v>
          </cell>
          <cell r="AE62" t="str">
            <v>[]</v>
          </cell>
          <cell r="AF62" t="str">
            <v>zhubajie_attack</v>
          </cell>
          <cell r="AG62" t="str">
            <v>zhubajie_hit</v>
          </cell>
          <cell r="AH62" t="str">
            <v>[]</v>
          </cell>
          <cell r="AI62" t="str">
            <v>[]</v>
          </cell>
          <cell r="AJ62" t="str">
            <v>[]</v>
          </cell>
          <cell r="AK62" t="str">
            <v>[]</v>
          </cell>
          <cell r="AL62" t="str">
            <v>[]</v>
          </cell>
          <cell r="AM62" t="str">
            <v>[]</v>
          </cell>
          <cell r="AN62">
            <v>1</v>
          </cell>
          <cell r="AO62">
            <v>0.2</v>
          </cell>
          <cell r="AP62">
            <v>112000</v>
          </cell>
          <cell r="AQ62" t="str">
            <v>112000</v>
          </cell>
          <cell r="AR62" t="str">
            <v>[]</v>
          </cell>
          <cell r="AS62" t="str">
            <v>[]</v>
          </cell>
          <cell r="AT62" t="str">
            <v>1120</v>
          </cell>
          <cell r="AU62" t="str">
            <v>2310</v>
          </cell>
          <cell r="AV62" t="str">
            <v>近战攻击</v>
          </cell>
          <cell r="AW62" t="str">
            <v>ck</v>
          </cell>
          <cell r="AX62" t="str">
            <v>[]</v>
          </cell>
          <cell r="AY62">
            <v>1</v>
          </cell>
          <cell r="BA62" t="str">
            <v>[]</v>
          </cell>
          <cell r="BE62" t="str">
            <v>[]</v>
          </cell>
          <cell r="BF62"/>
        </row>
        <row r="63">
          <cell r="A63" t="str">
            <v>zhubajie_attack02</v>
          </cell>
          <cell r="B63" t="str">
            <v>猪八戒</v>
          </cell>
          <cell r="C63" t="str">
            <v>普攻</v>
          </cell>
          <cell r="D63" t="str">
            <v>[]</v>
          </cell>
          <cell r="E63">
            <v>0</v>
          </cell>
          <cell r="F63" t="str">
            <v>[]</v>
          </cell>
          <cell r="G63" t="str">
            <v>近战攻击</v>
          </cell>
          <cell r="H63" t="str">
            <v>[]</v>
          </cell>
          <cell r="I63" t="str">
            <v>[]</v>
          </cell>
          <cell r="J63">
            <v>0</v>
          </cell>
          <cell r="K63">
            <v>1</v>
          </cell>
          <cell r="L63" t="str">
            <v>[]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3</v>
          </cell>
          <cell r="R63" t="str">
            <v>2|1</v>
          </cell>
          <cell r="S63" t="str">
            <v>4|0.2</v>
          </cell>
          <cell r="T63">
            <v>1</v>
          </cell>
          <cell r="U63">
            <v>1</v>
          </cell>
          <cell r="V63">
            <v>0</v>
          </cell>
          <cell r="W63" t="str">
            <v>[]</v>
          </cell>
          <cell r="X63">
            <v>0</v>
          </cell>
          <cell r="Y63" t="str">
            <v>[]</v>
          </cell>
          <cell r="Z63" t="str">
            <v>0,1,0</v>
          </cell>
          <cell r="AA63">
            <v>0</v>
          </cell>
          <cell r="AB63" t="str">
            <v>[]</v>
          </cell>
          <cell r="AC63" t="str">
            <v>[]</v>
          </cell>
          <cell r="AD63" t="str">
            <v>[]</v>
          </cell>
          <cell r="AE63" t="str">
            <v>[]</v>
          </cell>
          <cell r="AF63" t="str">
            <v>zhubajie_attack02</v>
          </cell>
          <cell r="AG63" t="str">
            <v>zhubajie_hit</v>
          </cell>
          <cell r="AH63" t="str">
            <v>[]</v>
          </cell>
          <cell r="AI63" t="str">
            <v>[]</v>
          </cell>
          <cell r="AJ63" t="str">
            <v>[]</v>
          </cell>
          <cell r="AK63" t="str">
            <v>[]</v>
          </cell>
          <cell r="AL63" t="str">
            <v>baojiupT3N0.1</v>
          </cell>
          <cell r="AM63" t="str">
            <v>[]</v>
          </cell>
          <cell r="AN63">
            <v>1</v>
          </cell>
          <cell r="AO63">
            <v>0.39600000000000002</v>
          </cell>
          <cell r="AP63">
            <v>112001</v>
          </cell>
          <cell r="AQ63" t="str">
            <v>112001</v>
          </cell>
          <cell r="AR63" t="str">
            <v>[]</v>
          </cell>
          <cell r="AS63" t="str">
            <v>[]</v>
          </cell>
          <cell r="AT63" t="str">
            <v>1120</v>
          </cell>
          <cell r="AU63" t="str">
            <v>2310</v>
          </cell>
          <cell r="AV63" t="str">
            <v>近战攻击</v>
          </cell>
          <cell r="AW63" t="str">
            <v>02</v>
          </cell>
          <cell r="AX63" t="str">
            <v>[]</v>
          </cell>
          <cell r="AY63">
            <v>1</v>
          </cell>
          <cell r="BA63" t="str">
            <v>[]</v>
          </cell>
          <cell r="BE63" t="str">
            <v>[]</v>
          </cell>
          <cell r="BF63"/>
        </row>
        <row r="64">
          <cell r="A64" t="str">
            <v>zhubajie_attack03</v>
          </cell>
          <cell r="B64" t="str">
            <v>猪八戒</v>
          </cell>
          <cell r="C64" t="str">
            <v>普攻</v>
          </cell>
          <cell r="D64">
            <v>1262</v>
          </cell>
          <cell r="E64">
            <v>0</v>
          </cell>
          <cell r="F64" t="str">
            <v>[]</v>
          </cell>
          <cell r="G64" t="str">
            <v>近战攻击</v>
          </cell>
          <cell r="H64" t="str">
            <v>[]</v>
          </cell>
          <cell r="I64" t="str">
            <v>[]</v>
          </cell>
          <cell r="J64">
            <v>0</v>
          </cell>
          <cell r="K64">
            <v>1</v>
          </cell>
          <cell r="L64" t="str">
            <v>[]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3</v>
          </cell>
          <cell r="R64" t="str">
            <v>2|1</v>
          </cell>
          <cell r="S64" t="str">
            <v>4|0.2</v>
          </cell>
          <cell r="T64">
            <v>1</v>
          </cell>
          <cell r="U64">
            <v>1</v>
          </cell>
          <cell r="V64">
            <v>0</v>
          </cell>
          <cell r="W64" t="str">
            <v>[]</v>
          </cell>
          <cell r="X64">
            <v>0</v>
          </cell>
          <cell r="Y64" t="str">
            <v>[]</v>
          </cell>
          <cell r="Z64" t="str">
            <v>0,1,0</v>
          </cell>
          <cell r="AA64">
            <v>0</v>
          </cell>
          <cell r="AB64" t="str">
            <v>[]</v>
          </cell>
          <cell r="AC64" t="str">
            <v>[]</v>
          </cell>
          <cell r="AD64" t="str">
            <v>[]</v>
          </cell>
          <cell r="AE64" t="str">
            <v>[]</v>
          </cell>
          <cell r="AF64" t="str">
            <v>zhubajie_attack03</v>
          </cell>
          <cell r="AG64" t="str">
            <v>zhubajie_hit</v>
          </cell>
          <cell r="AH64" t="str">
            <v>[]</v>
          </cell>
          <cell r="AI64" t="str">
            <v>[]</v>
          </cell>
          <cell r="AJ64" t="str">
            <v>[]</v>
          </cell>
          <cell r="AK64" t="str">
            <v>[]</v>
          </cell>
          <cell r="AL64" t="str">
            <v>gongji5_higheff</v>
          </cell>
          <cell r="AM64" t="str">
            <v>[]</v>
          </cell>
          <cell r="AN64">
            <v>1</v>
          </cell>
          <cell r="AO64" t="str">
            <v>0.2,0.767</v>
          </cell>
          <cell r="AP64">
            <v>112002</v>
          </cell>
          <cell r="AQ64" t="str">
            <v>112002</v>
          </cell>
          <cell r="AR64" t="str">
            <v>[]</v>
          </cell>
          <cell r="AS64" t="str">
            <v>[]</v>
          </cell>
          <cell r="AT64" t="str">
            <v>1120</v>
          </cell>
          <cell r="AU64" t="str">
            <v>2310</v>
          </cell>
          <cell r="AV64" t="str">
            <v>近战攻击</v>
          </cell>
          <cell r="AW64" t="str">
            <v>03</v>
          </cell>
          <cell r="AX64">
            <v>1262</v>
          </cell>
          <cell r="AY64">
            <v>2</v>
          </cell>
          <cell r="BA64" t="str">
            <v>[]</v>
          </cell>
          <cell r="BE64" t="str">
            <v>[]</v>
          </cell>
          <cell r="BF64"/>
        </row>
        <row r="65">
          <cell r="A65" t="str">
            <v>zhubajie_skill01</v>
          </cell>
          <cell r="B65" t="str">
            <v>天蓬神威</v>
          </cell>
          <cell r="C65" t="str">
            <v>释放天蓬元帅之力，以神威护体，所有目标有30%的概率进入无敌状态，持续2秒[免疫一切攻击]</v>
          </cell>
          <cell r="D65" t="str">
            <v>[]</v>
          </cell>
          <cell r="E65">
            <v>0</v>
          </cell>
          <cell r="F65" t="str">
            <v>[]</v>
          </cell>
          <cell r="G65" t="str">
            <v>猪八戒核心技能</v>
          </cell>
          <cell r="H65" t="str">
            <v>zhubajie_skill01</v>
          </cell>
          <cell r="I65" t="str">
            <v>zhubajie_skill01</v>
          </cell>
          <cell r="J65">
            <v>0</v>
          </cell>
          <cell r="K65">
            <v>10</v>
          </cell>
          <cell r="L65" t="str">
            <v>1|20</v>
          </cell>
          <cell r="M65">
            <v>2</v>
          </cell>
          <cell r="N65">
            <v>2</v>
          </cell>
          <cell r="O65">
            <v>1</v>
          </cell>
          <cell r="P65">
            <v>4</v>
          </cell>
          <cell r="Q65">
            <v>12</v>
          </cell>
          <cell r="R65">
            <v>3</v>
          </cell>
          <cell r="S65">
            <v>5</v>
          </cell>
          <cell r="T65">
            <v>10</v>
          </cell>
          <cell r="U65">
            <v>0</v>
          </cell>
          <cell r="V65">
            <v>0</v>
          </cell>
          <cell r="W65" t="str">
            <v>[]</v>
          </cell>
          <cell r="X65">
            <v>0</v>
          </cell>
          <cell r="Y65" t="str">
            <v>[]</v>
          </cell>
          <cell r="Z65" t="str">
            <v>0,1,0</v>
          </cell>
          <cell r="AA65">
            <v>0</v>
          </cell>
          <cell r="AB65" t="str">
            <v>12</v>
          </cell>
          <cell r="AC65" t="str">
            <v>[]</v>
          </cell>
          <cell r="AD65" t="str">
            <v>[]</v>
          </cell>
          <cell r="AE65" t="str">
            <v>[]</v>
          </cell>
          <cell r="AF65" t="str">
            <v>zhubajie_skill01</v>
          </cell>
          <cell r="AG65" t="str">
            <v>[]</v>
          </cell>
          <cell r="AH65" t="str">
            <v>[]</v>
          </cell>
          <cell r="AI65" t="str">
            <v>[]</v>
          </cell>
          <cell r="AJ65" t="str">
            <v>[]</v>
          </cell>
          <cell r="AK65" t="str">
            <v>wudiT2NP0.4</v>
          </cell>
          <cell r="AL65" t="str">
            <v>[]</v>
          </cell>
          <cell r="AM65" t="str">
            <v>[]</v>
          </cell>
          <cell r="AN65">
            <v>1</v>
          </cell>
          <cell r="AO65">
            <v>0.01</v>
          </cell>
          <cell r="AP65" t="str">
            <v>[]</v>
          </cell>
          <cell r="AQ65" t="str">
            <v>9030</v>
          </cell>
          <cell r="AR65" t="str">
            <v>[]</v>
          </cell>
          <cell r="AS65" t="str">
            <v>[]</v>
          </cell>
          <cell r="AT65" t="str">
            <v>9030</v>
          </cell>
          <cell r="AU65" t="str">
            <v>2320</v>
          </cell>
          <cell r="AV65" t="str">
            <v>猪八戒</v>
          </cell>
          <cell r="AW65" t="str">
            <v>01</v>
          </cell>
          <cell r="AX65" t="str">
            <v>[]</v>
          </cell>
          <cell r="AY65">
            <v>1</v>
          </cell>
          <cell r="AZ65">
            <v>0.3</v>
          </cell>
          <cell r="BA65">
            <v>0.3</v>
          </cell>
          <cell r="BB65" t="str">
            <v>无敌</v>
          </cell>
          <cell r="BE65">
            <v>0.3</v>
          </cell>
          <cell r="BF65" t="str">
            <v>30</v>
          </cell>
        </row>
        <row r="66">
          <cell r="A66" t="str">
            <v>zhubajie_skill02</v>
          </cell>
          <cell r="B66" t="str">
            <v>天神护体</v>
          </cell>
          <cell r="C66" t="str">
            <v>以天神仙力护体，提升自身防御力@s，持续6秒，自身40%的概率进入无敌状态，持续2秒</v>
          </cell>
          <cell r="D66" t="str">
            <v>[]</v>
          </cell>
          <cell r="E66">
            <v>0</v>
          </cell>
          <cell r="F66" t="str">
            <v>[]</v>
          </cell>
          <cell r="G66" t="str">
            <v>人生娃核心技能</v>
          </cell>
          <cell r="H66" t="str">
            <v>zhubajie_skill02</v>
          </cell>
          <cell r="I66" t="str">
            <v>zhubajie_skill02</v>
          </cell>
          <cell r="J66">
            <v>1</v>
          </cell>
          <cell r="K66">
            <v>10</v>
          </cell>
          <cell r="L66" t="str">
            <v>1|29</v>
          </cell>
          <cell r="M66">
            <v>2</v>
          </cell>
          <cell r="N66">
            <v>2</v>
          </cell>
          <cell r="O66">
            <v>2</v>
          </cell>
          <cell r="P66">
            <v>4</v>
          </cell>
          <cell r="Q66">
            <v>12</v>
          </cell>
          <cell r="R66">
            <v>3</v>
          </cell>
          <cell r="S66" t="str">
            <v>4|0.2</v>
          </cell>
          <cell r="T66">
            <v>1</v>
          </cell>
          <cell r="U66">
            <v>0</v>
          </cell>
          <cell r="V66">
            <v>0</v>
          </cell>
          <cell r="W66" t="str">
            <v>[]</v>
          </cell>
          <cell r="X66">
            <v>0</v>
          </cell>
          <cell r="Y66" t="str">
            <v>[]</v>
          </cell>
          <cell r="Z66" t="str">
            <v>0,0,1.667</v>
          </cell>
          <cell r="AA66">
            <v>0</v>
          </cell>
          <cell r="AB66" t="str">
            <v>12</v>
          </cell>
          <cell r="AC66" t="str">
            <v>[]</v>
          </cell>
          <cell r="AD66" t="str">
            <v>[]</v>
          </cell>
          <cell r="AE66" t="str">
            <v>[]</v>
          </cell>
          <cell r="AF66" t="str">
            <v>zhubajie_skill02_q</v>
          </cell>
          <cell r="AG66" t="str">
            <v>[]</v>
          </cell>
          <cell r="AH66" t="str">
            <v>[]</v>
          </cell>
          <cell r="AI66" t="str">
            <v>[]</v>
          </cell>
          <cell r="AJ66" t="str">
            <v>wudiT2NP0.4</v>
          </cell>
          <cell r="AK66" t="str">
            <v>[]</v>
          </cell>
          <cell r="AL66" t="str">
            <v>jianshangupT6N0.1</v>
          </cell>
          <cell r="AM66" t="str">
            <v>[]</v>
          </cell>
          <cell r="AN66">
            <v>1</v>
          </cell>
          <cell r="AO66">
            <v>0.1</v>
          </cell>
          <cell r="AP66" t="str">
            <v>[]</v>
          </cell>
          <cell r="AQ66" t="str">
            <v>9020</v>
          </cell>
          <cell r="AR66" t="str">
            <v>[]</v>
          </cell>
          <cell r="AS66" t="str">
            <v>[]</v>
          </cell>
          <cell r="AT66" t="str">
            <v>9020</v>
          </cell>
          <cell r="AU66" t="str">
            <v>2330</v>
          </cell>
          <cell r="AV66" t="str">
            <v>猪八戒</v>
          </cell>
          <cell r="AW66" t="str">
            <v>02</v>
          </cell>
          <cell r="AX66" t="str">
            <v>[]</v>
          </cell>
          <cell r="AY66">
            <v>1</v>
          </cell>
          <cell r="AZ66">
            <v>0.4</v>
          </cell>
          <cell r="BA66">
            <v>0.4</v>
          </cell>
          <cell r="BB66" t="str">
            <v>无敌</v>
          </cell>
          <cell r="BE66">
            <v>0.4</v>
          </cell>
          <cell r="BF66"/>
        </row>
        <row r="67">
          <cell r="A67" t="str">
            <v>zhubajie_skill03</v>
          </cell>
          <cell r="B67" t="str">
            <v>气御山河</v>
          </cell>
          <cell r="C67" t="str">
            <v>进入战斗场景时，降低自身受到的伤害@s</v>
          </cell>
          <cell r="D67">
            <v>1262</v>
          </cell>
          <cell r="E67">
            <v>0</v>
          </cell>
          <cell r="F67" t="str">
            <v>[]</v>
          </cell>
          <cell r="G67" t="str">
            <v>猪八戒被动技能</v>
          </cell>
          <cell r="H67" t="str">
            <v>wufang</v>
          </cell>
          <cell r="I67" t="str">
            <v>[]</v>
          </cell>
          <cell r="J67">
            <v>2</v>
          </cell>
          <cell r="K67">
            <v>10</v>
          </cell>
          <cell r="L67" t="str">
            <v>[]</v>
          </cell>
          <cell r="M67">
            <v>2</v>
          </cell>
          <cell r="N67">
            <v>2</v>
          </cell>
          <cell r="O67">
            <v>3</v>
          </cell>
          <cell r="P67">
            <v>0</v>
          </cell>
          <cell r="Q67">
            <v>12</v>
          </cell>
          <cell r="R67">
            <v>1</v>
          </cell>
          <cell r="S67" t="str">
            <v>4|0.2</v>
          </cell>
          <cell r="T67">
            <v>1</v>
          </cell>
          <cell r="U67">
            <v>0</v>
          </cell>
          <cell r="V67">
            <v>0</v>
          </cell>
          <cell r="W67" t="str">
            <v>[]</v>
          </cell>
          <cell r="X67">
            <v>0</v>
          </cell>
          <cell r="Y67" t="str">
            <v>[]</v>
          </cell>
          <cell r="Z67" t="str">
            <v>0,0,0</v>
          </cell>
          <cell r="AA67">
            <v>0</v>
          </cell>
          <cell r="AB67" t="str">
            <v>[]</v>
          </cell>
          <cell r="AC67" t="str">
            <v>[]</v>
          </cell>
          <cell r="AD67" t="str">
            <v>[]</v>
          </cell>
          <cell r="AE67" t="str">
            <v>[]</v>
          </cell>
          <cell r="AF67" t="str">
            <v>[]</v>
          </cell>
          <cell r="AG67" t="str">
            <v>[]</v>
          </cell>
          <cell r="AH67" t="str">
            <v>[]</v>
          </cell>
          <cell r="AI67" t="str">
            <v>[]</v>
          </cell>
          <cell r="AJ67" t="str">
            <v>[]</v>
          </cell>
          <cell r="AK67" t="str">
            <v>[]</v>
          </cell>
          <cell r="AL67" t="str">
            <v>jianshangupT3N0.2b</v>
          </cell>
          <cell r="AM67" t="str">
            <v>[]</v>
          </cell>
          <cell r="AN67">
            <v>0</v>
          </cell>
          <cell r="AO67">
            <v>-4</v>
          </cell>
          <cell r="AP67" t="str">
            <v>[]</v>
          </cell>
          <cell r="AQ67" t="str">
            <v>9020</v>
          </cell>
          <cell r="AR67" t="str">
            <v>[]</v>
          </cell>
          <cell r="AS67" t="str">
            <v>[]</v>
          </cell>
          <cell r="AT67" t="str">
            <v>9020</v>
          </cell>
          <cell r="AU67" t="str">
            <v>2340</v>
          </cell>
          <cell r="AV67" t="str">
            <v>猪八戒</v>
          </cell>
          <cell r="AW67" t="str">
            <v>03</v>
          </cell>
          <cell r="AX67">
            <v>1262</v>
          </cell>
          <cell r="AY67">
            <v>1</v>
          </cell>
          <cell r="BA67" t="str">
            <v>[]</v>
          </cell>
          <cell r="BE67" t="str">
            <v>[]</v>
          </cell>
          <cell r="BF67"/>
        </row>
        <row r="68">
          <cell r="A68" t="str">
            <v>zhubajie_skill04</v>
          </cell>
          <cell r="B68" t="str">
            <v>天神震慑</v>
          </cell>
          <cell r="C68" t="str">
            <v>释放自身神力，对范围内敌人造成自身攻击力@s的法伤，30%的概率击飞对手2秒</v>
          </cell>
          <cell r="D68">
            <v>1264</v>
          </cell>
          <cell r="E68">
            <v>2</v>
          </cell>
          <cell r="F68" t="str">
            <v>boss_warning_yuanxing</v>
          </cell>
          <cell r="G68" t="str">
            <v>猪八戒技能4</v>
          </cell>
          <cell r="H68" t="str">
            <v>zhubajie_skill04</v>
          </cell>
          <cell r="I68" t="str">
            <v>[]</v>
          </cell>
          <cell r="J68">
            <v>3</v>
          </cell>
          <cell r="K68">
            <v>10</v>
          </cell>
          <cell r="L68" t="str">
            <v>[]</v>
          </cell>
          <cell r="M68">
            <v>2</v>
          </cell>
          <cell r="N68">
            <v>2</v>
          </cell>
          <cell r="O68">
            <v>1</v>
          </cell>
          <cell r="P68">
            <v>2</v>
          </cell>
          <cell r="Q68">
            <v>4</v>
          </cell>
          <cell r="R68" t="str">
            <v>2|1</v>
          </cell>
          <cell r="S68" t="str">
            <v>2|6</v>
          </cell>
          <cell r="T68">
            <v>10</v>
          </cell>
          <cell r="U68">
            <v>0</v>
          </cell>
          <cell r="V68">
            <v>0</v>
          </cell>
          <cell r="W68" t="str">
            <v>[]</v>
          </cell>
          <cell r="X68">
            <v>3</v>
          </cell>
          <cell r="Y68" t="str">
            <v>[]</v>
          </cell>
          <cell r="Z68" t="str">
            <v>0,2.0,0</v>
          </cell>
          <cell r="AA68">
            <v>0</v>
          </cell>
          <cell r="AB68">
            <v>6</v>
          </cell>
          <cell r="AC68" t="str">
            <v>[]</v>
          </cell>
          <cell r="AD68" t="str">
            <v>[]</v>
          </cell>
          <cell r="AE68" t="str">
            <v>[]</v>
          </cell>
          <cell r="AF68" t="str">
            <v>zhubajie_skill04</v>
          </cell>
          <cell r="AG68" t="str">
            <v>zhubajie_hit</v>
          </cell>
          <cell r="AH68" t="str">
            <v>[]</v>
          </cell>
          <cell r="AI68" t="str">
            <v>[]</v>
          </cell>
          <cell r="AJ68" t="str">
            <v>[]</v>
          </cell>
          <cell r="AK68" t="str">
            <v>jifei0.3</v>
          </cell>
          <cell r="AL68" t="str">
            <v>[]</v>
          </cell>
          <cell r="AM68" t="str">
            <v>[]</v>
          </cell>
          <cell r="AN68">
            <v>2</v>
          </cell>
          <cell r="AO68">
            <v>0.5</v>
          </cell>
          <cell r="AP68">
            <v>112006</v>
          </cell>
          <cell r="AQ68" t="str">
            <v>112006,9010</v>
          </cell>
          <cell r="AR68" t="str">
            <v>[]</v>
          </cell>
          <cell r="AS68" t="str">
            <v>[]</v>
          </cell>
          <cell r="AT68" t="str">
            <v>1120</v>
          </cell>
          <cell r="AU68" t="str">
            <v>2350</v>
          </cell>
          <cell r="AV68" t="str">
            <v>猪八戒</v>
          </cell>
          <cell r="AW68" t="str">
            <v>04</v>
          </cell>
          <cell r="AX68">
            <v>1264</v>
          </cell>
          <cell r="AY68">
            <v>1</v>
          </cell>
          <cell r="AZ68">
            <v>0.3</v>
          </cell>
          <cell r="BA68">
            <v>0.3</v>
          </cell>
          <cell r="BB68" t="str">
            <v>击飞</v>
          </cell>
          <cell r="BE68">
            <v>0.3</v>
          </cell>
          <cell r="BF68"/>
        </row>
        <row r="69">
          <cell r="A69" t="str">
            <v>zhubajie_skill011</v>
          </cell>
          <cell r="B69" t="str">
            <v>奥义·天蓬神威</v>
          </cell>
          <cell r="C69" t="str">
            <v>释放天蓬元帅之力，以神威护体，所有目标有50%的概率进入无敌状态，持续2秒[免疫一切攻击]</v>
          </cell>
          <cell r="D69">
            <v>1266</v>
          </cell>
          <cell r="E69">
            <v>0</v>
          </cell>
          <cell r="F69" t="str">
            <v>[]</v>
          </cell>
          <cell r="G69" t="str">
            <v>猪八戒核心技能</v>
          </cell>
          <cell r="H69" t="str">
            <v>zhubajie_skill01</v>
          </cell>
          <cell r="I69" t="str">
            <v>zhubajie_skill01</v>
          </cell>
          <cell r="J69">
            <v>0</v>
          </cell>
          <cell r="K69">
            <v>10</v>
          </cell>
          <cell r="L69" t="str">
            <v>1|20</v>
          </cell>
          <cell r="M69">
            <v>2</v>
          </cell>
          <cell r="N69">
            <v>2</v>
          </cell>
          <cell r="O69">
            <v>1</v>
          </cell>
          <cell r="P69">
            <v>4</v>
          </cell>
          <cell r="Q69">
            <v>12</v>
          </cell>
          <cell r="R69">
            <v>3</v>
          </cell>
          <cell r="S69">
            <v>5</v>
          </cell>
          <cell r="T69">
            <v>10</v>
          </cell>
          <cell r="U69">
            <v>0</v>
          </cell>
          <cell r="V69">
            <v>0</v>
          </cell>
          <cell r="W69" t="str">
            <v>[]</v>
          </cell>
          <cell r="X69">
            <v>0</v>
          </cell>
          <cell r="Y69" t="str">
            <v>[]</v>
          </cell>
          <cell r="Z69" t="str">
            <v>0,1,0</v>
          </cell>
          <cell r="AA69">
            <v>0</v>
          </cell>
          <cell r="AB69" t="str">
            <v>12</v>
          </cell>
          <cell r="AC69" t="str">
            <v>[]</v>
          </cell>
          <cell r="AD69" t="str">
            <v>[]</v>
          </cell>
          <cell r="AE69" t="str">
            <v>[]</v>
          </cell>
          <cell r="AF69" t="str">
            <v>zhubajie_skill01</v>
          </cell>
          <cell r="AG69" t="str">
            <v>[]</v>
          </cell>
          <cell r="AH69" t="str">
            <v>[]</v>
          </cell>
          <cell r="AI69" t="str">
            <v>[]</v>
          </cell>
          <cell r="AJ69" t="str">
            <v>wudiT2NP0.6</v>
          </cell>
          <cell r="AK69" t="str">
            <v>[]</v>
          </cell>
          <cell r="AL69" t="str">
            <v>[]</v>
          </cell>
          <cell r="AM69" t="str">
            <v>[]</v>
          </cell>
          <cell r="AN69">
            <v>1</v>
          </cell>
          <cell r="AO69">
            <v>0.01</v>
          </cell>
          <cell r="AP69" t="str">
            <v>[]</v>
          </cell>
          <cell r="AQ69" t="str">
            <v>9040</v>
          </cell>
          <cell r="AR69" t="str">
            <v>[]</v>
          </cell>
          <cell r="AS69" t="str">
            <v>[]</v>
          </cell>
          <cell r="AT69" t="str">
            <v>9040</v>
          </cell>
          <cell r="AU69" t="str">
            <v>2320</v>
          </cell>
          <cell r="AV69" t="str">
            <v>猪八戒</v>
          </cell>
          <cell r="AW69" t="str">
            <v>11</v>
          </cell>
          <cell r="AX69">
            <v>1266</v>
          </cell>
          <cell r="AY69">
            <v>1</v>
          </cell>
          <cell r="AZ69">
            <v>0.5</v>
          </cell>
          <cell r="BA69">
            <v>0.5</v>
          </cell>
          <cell r="BB69" t="str">
            <v>无敌</v>
          </cell>
          <cell r="BE69">
            <v>0.5</v>
          </cell>
          <cell r="BF69"/>
        </row>
        <row r="70">
          <cell r="A70" t="str">
            <v>zhubajie_skill021</v>
          </cell>
          <cell r="B70" t="str">
            <v>奥义·天神护体</v>
          </cell>
          <cell r="C70" t="str">
            <v>以天神仙力护体，提升自身防御力@s，持续6秒，自身60%的概率进入无敌状态，持续2秒</v>
          </cell>
          <cell r="D70">
            <v>1268</v>
          </cell>
          <cell r="E70">
            <v>0</v>
          </cell>
          <cell r="F70" t="str">
            <v>[]</v>
          </cell>
          <cell r="G70" t="str">
            <v>人生娃核心技能</v>
          </cell>
          <cell r="H70" t="str">
            <v>zhubajie_skill02</v>
          </cell>
          <cell r="I70" t="str">
            <v>zhubajie_skill02</v>
          </cell>
          <cell r="J70">
            <v>1</v>
          </cell>
          <cell r="K70">
            <v>10</v>
          </cell>
          <cell r="L70" t="str">
            <v>1|29</v>
          </cell>
          <cell r="M70">
            <v>2</v>
          </cell>
          <cell r="N70">
            <v>2</v>
          </cell>
          <cell r="O70">
            <v>2</v>
          </cell>
          <cell r="P70">
            <v>4</v>
          </cell>
          <cell r="Q70">
            <v>12</v>
          </cell>
          <cell r="R70">
            <v>1</v>
          </cell>
          <cell r="S70" t="str">
            <v>4|0.2</v>
          </cell>
          <cell r="T70">
            <v>1</v>
          </cell>
          <cell r="U70">
            <v>0</v>
          </cell>
          <cell r="V70">
            <v>0</v>
          </cell>
          <cell r="W70" t="str">
            <v>[]</v>
          </cell>
          <cell r="X70">
            <v>0</v>
          </cell>
          <cell r="Y70" t="str">
            <v>[]</v>
          </cell>
          <cell r="Z70" t="str">
            <v>0,0,1.667</v>
          </cell>
          <cell r="AA70">
            <v>0</v>
          </cell>
          <cell r="AB70" t="str">
            <v>12</v>
          </cell>
          <cell r="AC70" t="str">
            <v>[]</v>
          </cell>
          <cell r="AD70" t="str">
            <v>[]</v>
          </cell>
          <cell r="AE70" t="str">
            <v>[]</v>
          </cell>
          <cell r="AF70" t="str">
            <v>zhubajie_skill02_q</v>
          </cell>
          <cell r="AG70" t="str">
            <v>[]</v>
          </cell>
          <cell r="AH70" t="str">
            <v>[]</v>
          </cell>
          <cell r="AI70" t="str">
            <v>[]</v>
          </cell>
          <cell r="AJ70" t="str">
            <v>wudiT2NP0.6</v>
          </cell>
          <cell r="AK70" t="str">
            <v>[]</v>
          </cell>
          <cell r="AL70" t="str">
            <v>jianshangupT6N0.2</v>
          </cell>
          <cell r="AM70" t="str">
            <v>[]</v>
          </cell>
          <cell r="AN70">
            <v>1</v>
          </cell>
          <cell r="AO70">
            <v>0.1</v>
          </cell>
          <cell r="AP70" t="str">
            <v>[]</v>
          </cell>
          <cell r="AQ70" t="str">
            <v>9040</v>
          </cell>
          <cell r="AR70" t="str">
            <v>[]</v>
          </cell>
          <cell r="AS70" t="str">
            <v>[]</v>
          </cell>
          <cell r="AT70" t="str">
            <v>9040</v>
          </cell>
          <cell r="AU70" t="str">
            <v>2330</v>
          </cell>
          <cell r="AV70" t="str">
            <v>猪八戒</v>
          </cell>
          <cell r="AW70" t="str">
            <v>21</v>
          </cell>
          <cell r="AX70">
            <v>1268</v>
          </cell>
          <cell r="AY70">
            <v>1</v>
          </cell>
          <cell r="AZ70">
            <v>0.6</v>
          </cell>
          <cell r="BA70">
            <v>0.6</v>
          </cell>
          <cell r="BB70" t="str">
            <v>无敌</v>
          </cell>
          <cell r="BE70">
            <v>0.6</v>
          </cell>
          <cell r="BF70"/>
        </row>
        <row r="71">
          <cell r="A71" t="str">
            <v>zhubajie_skill041</v>
          </cell>
          <cell r="B71" t="str">
            <v>奥义·天神震慑</v>
          </cell>
          <cell r="C71" t="str">
            <v>释放自身神力，对范围内敌人造成自身攻击力@s的法伤，60%的概率击飞对手2秒</v>
          </cell>
          <cell r="D71">
            <v>1270</v>
          </cell>
          <cell r="E71">
            <v>2</v>
          </cell>
          <cell r="F71" t="str">
            <v>boss_warning_yuanxing</v>
          </cell>
          <cell r="G71" t="str">
            <v>猪八戒技能4</v>
          </cell>
          <cell r="H71" t="str">
            <v>zhubajie_skill04</v>
          </cell>
          <cell r="I71" t="str">
            <v>[]</v>
          </cell>
          <cell r="J71">
            <v>3</v>
          </cell>
          <cell r="K71">
            <v>10</v>
          </cell>
          <cell r="L71" t="str">
            <v>[]</v>
          </cell>
          <cell r="M71">
            <v>2</v>
          </cell>
          <cell r="N71">
            <v>2</v>
          </cell>
          <cell r="O71">
            <v>1</v>
          </cell>
          <cell r="P71">
            <v>2</v>
          </cell>
          <cell r="Q71">
            <v>4</v>
          </cell>
          <cell r="R71" t="str">
            <v>2|1</v>
          </cell>
          <cell r="S71" t="str">
            <v>2|6</v>
          </cell>
          <cell r="T71">
            <v>10</v>
          </cell>
          <cell r="U71">
            <v>0</v>
          </cell>
          <cell r="V71">
            <v>0</v>
          </cell>
          <cell r="W71" t="str">
            <v>[]</v>
          </cell>
          <cell r="X71">
            <v>3</v>
          </cell>
          <cell r="Y71" t="str">
            <v>[]</v>
          </cell>
          <cell r="Z71" t="str">
            <v>0,2.0,0</v>
          </cell>
          <cell r="AA71">
            <v>0</v>
          </cell>
          <cell r="AB71">
            <v>6</v>
          </cell>
          <cell r="AC71" t="str">
            <v>[]</v>
          </cell>
          <cell r="AD71" t="str">
            <v>[]</v>
          </cell>
          <cell r="AE71" t="str">
            <v>[]</v>
          </cell>
          <cell r="AF71" t="str">
            <v>zhubajie_skill04</v>
          </cell>
          <cell r="AG71" t="str">
            <v>zhubajie_hit</v>
          </cell>
          <cell r="AH71" t="str">
            <v>[]</v>
          </cell>
          <cell r="AI71" t="str">
            <v>[]</v>
          </cell>
          <cell r="AJ71" t="str">
            <v>[]</v>
          </cell>
          <cell r="AK71" t="str">
            <v>jifei0.3</v>
          </cell>
          <cell r="AL71" t="str">
            <v>[]</v>
          </cell>
          <cell r="AM71" t="str">
            <v>[]</v>
          </cell>
          <cell r="AN71">
            <v>2</v>
          </cell>
          <cell r="AO71">
            <v>0.5</v>
          </cell>
          <cell r="AP71">
            <v>112009</v>
          </cell>
          <cell r="AQ71" t="str">
            <v>112009,9015</v>
          </cell>
          <cell r="AR71" t="str">
            <v>[]</v>
          </cell>
          <cell r="AS71" t="str">
            <v>[]</v>
          </cell>
          <cell r="AT71" t="str">
            <v>1120</v>
          </cell>
          <cell r="AU71" t="str">
            <v>2350</v>
          </cell>
          <cell r="AV71" t="str">
            <v>猪八戒</v>
          </cell>
          <cell r="AW71" t="str">
            <v>41</v>
          </cell>
          <cell r="AX71">
            <v>1270</v>
          </cell>
          <cell r="AY71">
            <v>1</v>
          </cell>
          <cell r="AZ71">
            <v>0.6</v>
          </cell>
          <cell r="BA71">
            <v>0.6</v>
          </cell>
          <cell r="BB71" t="str">
            <v>击飞</v>
          </cell>
          <cell r="BE71">
            <v>0.6</v>
          </cell>
          <cell r="BF71"/>
        </row>
        <row r="72">
          <cell r="A72" t="str">
            <v>sunwukong_attack</v>
          </cell>
          <cell r="B72" t="str">
            <v>孙悟空普攻</v>
          </cell>
          <cell r="C72" t="str">
            <v>普攻</v>
          </cell>
          <cell r="D72" t="str">
            <v>[]</v>
          </cell>
          <cell r="E72">
            <v>0</v>
          </cell>
          <cell r="F72" t="str">
            <v>[]</v>
          </cell>
          <cell r="G72" t="str">
            <v>近战攻击</v>
          </cell>
          <cell r="H72" t="str">
            <v>[]</v>
          </cell>
          <cell r="I72" t="str">
            <v>[]</v>
          </cell>
          <cell r="J72">
            <v>0</v>
          </cell>
          <cell r="K72">
            <v>1</v>
          </cell>
          <cell r="L72" t="str">
            <v>[]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3</v>
          </cell>
          <cell r="R72" t="str">
            <v>2|1</v>
          </cell>
          <cell r="S72" t="str">
            <v>4|0.2</v>
          </cell>
          <cell r="T72">
            <v>1</v>
          </cell>
          <cell r="U72">
            <v>1</v>
          </cell>
          <cell r="V72">
            <v>0</v>
          </cell>
          <cell r="W72" t="str">
            <v>[]</v>
          </cell>
          <cell r="X72">
            <v>0</v>
          </cell>
          <cell r="Y72" t="str">
            <v>[]</v>
          </cell>
          <cell r="Z72" t="str">
            <v>0,1,0</v>
          </cell>
          <cell r="AA72">
            <v>0</v>
          </cell>
          <cell r="AB72" t="str">
            <v>[]</v>
          </cell>
          <cell r="AC72" t="str">
            <v>[]</v>
          </cell>
          <cell r="AD72" t="str">
            <v>[]</v>
          </cell>
          <cell r="AE72" t="str">
            <v>[]</v>
          </cell>
          <cell r="AF72" t="str">
            <v>sunwukong_attack</v>
          </cell>
          <cell r="AG72" t="str">
            <v>sunwukong_hit</v>
          </cell>
          <cell r="AH72" t="str">
            <v>[]</v>
          </cell>
          <cell r="AI72" t="str">
            <v>[]</v>
          </cell>
          <cell r="AJ72" t="str">
            <v>[]</v>
          </cell>
          <cell r="AK72" t="str">
            <v>[]</v>
          </cell>
          <cell r="AL72" t="str">
            <v>[]</v>
          </cell>
          <cell r="AM72" t="str">
            <v>[]</v>
          </cell>
          <cell r="AN72">
            <v>1</v>
          </cell>
          <cell r="AO72">
            <v>0.16500000000000001</v>
          </cell>
          <cell r="AP72">
            <v>111900</v>
          </cell>
          <cell r="AQ72" t="str">
            <v>111900</v>
          </cell>
          <cell r="AR72" t="str">
            <v>[]</v>
          </cell>
          <cell r="AS72" t="str">
            <v>[]</v>
          </cell>
          <cell r="AT72" t="str">
            <v>1119</v>
          </cell>
          <cell r="AU72" t="str">
            <v>2360</v>
          </cell>
          <cell r="AV72" t="str">
            <v>近战攻击</v>
          </cell>
          <cell r="AW72" t="str">
            <v>ck</v>
          </cell>
          <cell r="AX72" t="str">
            <v>[]</v>
          </cell>
          <cell r="AY72">
            <v>1</v>
          </cell>
          <cell r="BA72" t="str">
            <v>[]</v>
          </cell>
          <cell r="BE72" t="str">
            <v>[]</v>
          </cell>
          <cell r="BF72"/>
        </row>
        <row r="73">
          <cell r="A73" t="str">
            <v>sunwukong_attack02</v>
          </cell>
          <cell r="B73" t="str">
            <v>孙悟空普攻</v>
          </cell>
          <cell r="C73" t="str">
            <v>普攻</v>
          </cell>
          <cell r="D73" t="str">
            <v>[]</v>
          </cell>
          <cell r="E73">
            <v>0</v>
          </cell>
          <cell r="F73" t="str">
            <v>[]</v>
          </cell>
          <cell r="G73" t="str">
            <v>近战攻击</v>
          </cell>
          <cell r="H73" t="str">
            <v>[]</v>
          </cell>
          <cell r="I73" t="str">
            <v>[]</v>
          </cell>
          <cell r="J73">
            <v>0</v>
          </cell>
          <cell r="K73">
            <v>1</v>
          </cell>
          <cell r="L73" t="str">
            <v>[]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3</v>
          </cell>
          <cell r="R73" t="str">
            <v>2|1</v>
          </cell>
          <cell r="S73" t="str">
            <v>4|0.2</v>
          </cell>
          <cell r="T73">
            <v>1</v>
          </cell>
          <cell r="U73">
            <v>1</v>
          </cell>
          <cell r="V73">
            <v>0</v>
          </cell>
          <cell r="W73" t="str">
            <v>[]</v>
          </cell>
          <cell r="X73">
            <v>0</v>
          </cell>
          <cell r="Y73" t="str">
            <v>[]</v>
          </cell>
          <cell r="Z73" t="str">
            <v>0,1,0</v>
          </cell>
          <cell r="AA73">
            <v>0</v>
          </cell>
          <cell r="AB73" t="str">
            <v>[]</v>
          </cell>
          <cell r="AC73" t="str">
            <v>[]</v>
          </cell>
          <cell r="AD73" t="str">
            <v>[]</v>
          </cell>
          <cell r="AE73" t="str">
            <v>[]</v>
          </cell>
          <cell r="AF73" t="str">
            <v>sunwukong_attack02</v>
          </cell>
          <cell r="AG73" t="str">
            <v>sunwukong_hit</v>
          </cell>
          <cell r="AH73" t="str">
            <v>[]</v>
          </cell>
          <cell r="AI73" t="str">
            <v>[]</v>
          </cell>
          <cell r="AJ73" t="str">
            <v>[]</v>
          </cell>
          <cell r="AK73" t="str">
            <v>[]</v>
          </cell>
          <cell r="AL73" t="str">
            <v>[]</v>
          </cell>
          <cell r="AM73" t="str">
            <v>[]</v>
          </cell>
          <cell r="AN73">
            <v>1</v>
          </cell>
          <cell r="AO73">
            <v>0.33</v>
          </cell>
          <cell r="AP73">
            <v>111901</v>
          </cell>
          <cell r="AQ73" t="str">
            <v>111901</v>
          </cell>
          <cell r="AR73" t="str">
            <v>[]</v>
          </cell>
          <cell r="AS73" t="str">
            <v>[]</v>
          </cell>
          <cell r="AT73" t="str">
            <v>1119</v>
          </cell>
          <cell r="AU73" t="str">
            <v>2360</v>
          </cell>
          <cell r="AV73" t="str">
            <v>近战攻击</v>
          </cell>
          <cell r="AW73" t="str">
            <v>02</v>
          </cell>
          <cell r="AX73" t="str">
            <v>[]</v>
          </cell>
          <cell r="AY73">
            <v>1</v>
          </cell>
          <cell r="BA73" t="str">
            <v>[]</v>
          </cell>
          <cell r="BE73" t="str">
            <v>[]</v>
          </cell>
          <cell r="BF73"/>
        </row>
        <row r="74">
          <cell r="A74" t="str">
            <v>sunwukong_attack03</v>
          </cell>
          <cell r="B74" t="str">
            <v>孙悟空普攻</v>
          </cell>
          <cell r="C74" t="str">
            <v>普攻</v>
          </cell>
          <cell r="D74">
            <v>1262</v>
          </cell>
          <cell r="E74">
            <v>0</v>
          </cell>
          <cell r="F74" t="str">
            <v>[]</v>
          </cell>
          <cell r="G74" t="str">
            <v>近战攻击</v>
          </cell>
          <cell r="H74" t="str">
            <v>[]</v>
          </cell>
          <cell r="I74" t="str">
            <v>[]</v>
          </cell>
          <cell r="J74">
            <v>0</v>
          </cell>
          <cell r="K74">
            <v>1</v>
          </cell>
          <cell r="L74" t="str">
            <v>[]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3</v>
          </cell>
          <cell r="R74" t="str">
            <v>2|1</v>
          </cell>
          <cell r="S74" t="str">
            <v>4|0.2</v>
          </cell>
          <cell r="T74">
            <v>1</v>
          </cell>
          <cell r="U74">
            <v>1</v>
          </cell>
          <cell r="V74">
            <v>0</v>
          </cell>
          <cell r="W74" t="str">
            <v>[]</v>
          </cell>
          <cell r="X74">
            <v>0</v>
          </cell>
          <cell r="Y74" t="str">
            <v>[]</v>
          </cell>
          <cell r="Z74" t="str">
            <v>0,1,0</v>
          </cell>
          <cell r="AA74">
            <v>0</v>
          </cell>
          <cell r="AB74" t="str">
            <v>[]</v>
          </cell>
          <cell r="AC74" t="str">
            <v>[]</v>
          </cell>
          <cell r="AD74" t="str">
            <v>[]</v>
          </cell>
          <cell r="AE74" t="str">
            <v>[]</v>
          </cell>
          <cell r="AF74" t="str">
            <v>sunwukong_attack03</v>
          </cell>
          <cell r="AG74" t="str">
            <v>sunwukong_hit</v>
          </cell>
          <cell r="AH74" t="str">
            <v>[]</v>
          </cell>
          <cell r="AI74" t="str">
            <v>[]</v>
          </cell>
          <cell r="AJ74" t="str">
            <v>[]</v>
          </cell>
          <cell r="AK74" t="str">
            <v>[]</v>
          </cell>
          <cell r="AL74" t="str">
            <v>baojiupT6N0.1</v>
          </cell>
          <cell r="AM74" t="str">
            <v>[]</v>
          </cell>
          <cell r="AN74">
            <v>1</v>
          </cell>
          <cell r="AO74">
            <v>0.26400000000000001</v>
          </cell>
          <cell r="AP74">
            <v>111902</v>
          </cell>
          <cell r="AQ74" t="str">
            <v>111902</v>
          </cell>
          <cell r="AR74" t="str">
            <v>[]</v>
          </cell>
          <cell r="AS74" t="str">
            <v>[]</v>
          </cell>
          <cell r="AT74" t="str">
            <v>1119</v>
          </cell>
          <cell r="AU74" t="str">
            <v>2360</v>
          </cell>
          <cell r="AV74" t="str">
            <v>近战攻击</v>
          </cell>
          <cell r="AW74" t="str">
            <v>03</v>
          </cell>
          <cell r="AX74">
            <v>1262</v>
          </cell>
          <cell r="AY74">
            <v>1</v>
          </cell>
          <cell r="BA74" t="str">
            <v>[]</v>
          </cell>
          <cell r="BE74" t="str">
            <v>[]</v>
          </cell>
          <cell r="BF74"/>
        </row>
        <row r="75">
          <cell r="A75" t="str">
            <v>sunwukong_skill01</v>
          </cell>
          <cell r="B75" t="str">
            <v>大圣降临</v>
          </cell>
          <cell r="C75" t="str">
            <v>召唤齐天大圣之魂，对范围内敌人造成4次主角攻击力@s的物伤，每次有16%的概率昏迷敌人2秒，对灼烧目标攻击伤害提升10%</v>
          </cell>
          <cell r="D75" t="str">
            <v>[]</v>
          </cell>
          <cell r="E75">
            <v>0</v>
          </cell>
          <cell r="F75" t="str">
            <v>[]</v>
          </cell>
          <cell r="G75" t="str">
            <v>孙悟空核心技能</v>
          </cell>
          <cell r="H75" t="str">
            <v>sunwukong_skill01</v>
          </cell>
          <cell r="I75" t="str">
            <v>sunwukong_skill01</v>
          </cell>
          <cell r="J75">
            <v>0</v>
          </cell>
          <cell r="K75">
            <v>1</v>
          </cell>
          <cell r="L75" t="str">
            <v>1|11</v>
          </cell>
          <cell r="M75">
            <v>2</v>
          </cell>
          <cell r="N75">
            <v>2</v>
          </cell>
          <cell r="O75">
            <v>2</v>
          </cell>
          <cell r="P75">
            <v>2</v>
          </cell>
          <cell r="Q75">
            <v>12</v>
          </cell>
          <cell r="R75" t="str">
            <v>2|1</v>
          </cell>
          <cell r="S75" t="str">
            <v>1|9|6</v>
          </cell>
          <cell r="T75">
            <v>10</v>
          </cell>
          <cell r="U75">
            <v>1</v>
          </cell>
          <cell r="V75">
            <v>0</v>
          </cell>
          <cell r="W75" t="str">
            <v>[]</v>
          </cell>
          <cell r="X75">
            <v>0</v>
          </cell>
          <cell r="Y75" t="str">
            <v>[]</v>
          </cell>
          <cell r="Z75" t="str">
            <v>0,1,0</v>
          </cell>
          <cell r="AA75">
            <v>0</v>
          </cell>
          <cell r="AB75" t="str">
            <v>12</v>
          </cell>
          <cell r="AC75" t="str">
            <v>[]</v>
          </cell>
          <cell r="AD75" t="str">
            <v>[]</v>
          </cell>
          <cell r="AE75" t="str">
            <v>sunwukong_skill01_atc</v>
          </cell>
          <cell r="AF75" t="str">
            <v>sunwukong_skill01_temp</v>
          </cell>
          <cell r="AG75" t="str">
            <v>sunwukong_hit</v>
          </cell>
          <cell r="AH75" t="str">
            <v>[]</v>
          </cell>
          <cell r="AI75" t="str">
            <v>[]</v>
          </cell>
          <cell r="AJ75" t="str">
            <v>shaheshang_zhenping</v>
          </cell>
          <cell r="AK75" t="str">
            <v>yunxuanT1NP0.2</v>
          </cell>
          <cell r="AL75" t="str">
            <v>[]</v>
          </cell>
          <cell r="AM75" t="str">
            <v>[]</v>
          </cell>
          <cell r="AN75">
            <v>2</v>
          </cell>
          <cell r="AO75" t="str">
            <v>2.2,0.1,0.1,0.1</v>
          </cell>
          <cell r="AP75">
            <v>111903</v>
          </cell>
          <cell r="AQ75" t="str">
            <v>111903</v>
          </cell>
          <cell r="AR75" t="str">
            <v>[]</v>
          </cell>
          <cell r="AS75" t="str">
            <v>zsjs10</v>
          </cell>
          <cell r="AT75" t="str">
            <v>1119</v>
          </cell>
          <cell r="AU75" t="str">
            <v>2371</v>
          </cell>
          <cell r="AV75" t="str">
            <v>孙悟空</v>
          </cell>
          <cell r="AW75" t="str">
            <v>01</v>
          </cell>
          <cell r="AX75" t="str">
            <v>[]</v>
          </cell>
          <cell r="AY75">
            <v>4</v>
          </cell>
          <cell r="AZ75">
            <v>0.5</v>
          </cell>
          <cell r="BA75">
            <v>0.16</v>
          </cell>
          <cell r="BB75" t="str">
            <v>眩晕</v>
          </cell>
          <cell r="BE75">
            <v>0.16</v>
          </cell>
          <cell r="BF75" t="str">
            <v>20</v>
          </cell>
        </row>
        <row r="76">
          <cell r="A76" t="str">
            <v>sunwukong_skill02</v>
          </cell>
          <cell r="B76" t="str">
            <v>无双一击</v>
          </cell>
          <cell r="C76" t="str">
            <v>舞棒砸地，对范围内敌人进行2次攻击，造成自身攻击力@s的物伤，并使敌人受到的伤害增加@s，持续3秒</v>
          </cell>
          <cell r="D76" t="str">
            <v>[]</v>
          </cell>
          <cell r="E76">
            <v>2</v>
          </cell>
          <cell r="F76" t="str">
            <v>boss_warning_yuanxing</v>
          </cell>
          <cell r="G76" t="str">
            <v>孙悟空技能1</v>
          </cell>
          <cell r="H76" t="str">
            <v>sunwukong_skill02</v>
          </cell>
          <cell r="I76" t="str">
            <v>[]</v>
          </cell>
          <cell r="J76">
            <v>1</v>
          </cell>
          <cell r="K76">
            <v>10</v>
          </cell>
          <cell r="L76" t="str">
            <v>[]</v>
          </cell>
          <cell r="M76">
            <v>2</v>
          </cell>
          <cell r="N76">
            <v>2</v>
          </cell>
          <cell r="O76">
            <v>1</v>
          </cell>
          <cell r="P76">
            <v>2</v>
          </cell>
          <cell r="Q76">
            <v>4</v>
          </cell>
          <cell r="R76" t="str">
            <v>2|1</v>
          </cell>
          <cell r="S76" t="str">
            <v>2|6</v>
          </cell>
          <cell r="T76">
            <v>10</v>
          </cell>
          <cell r="U76">
            <v>0</v>
          </cell>
          <cell r="V76">
            <v>0</v>
          </cell>
          <cell r="W76" t="str">
            <v>[]</v>
          </cell>
          <cell r="X76">
            <v>3</v>
          </cell>
          <cell r="Y76" t="str">
            <v>[]</v>
          </cell>
          <cell r="Z76" t="str">
            <v>0,2.0,0</v>
          </cell>
          <cell r="AA76">
            <v>0</v>
          </cell>
          <cell r="AB76">
            <v>6</v>
          </cell>
          <cell r="AC76" t="str">
            <v>[]</v>
          </cell>
          <cell r="AD76" t="str">
            <v>[]</v>
          </cell>
          <cell r="AE76" t="str">
            <v>[]</v>
          </cell>
          <cell r="AF76" t="str">
            <v>sunwukong_skill02</v>
          </cell>
          <cell r="AG76" t="str">
            <v>sunwukong_hit</v>
          </cell>
          <cell r="AH76" t="str">
            <v>[]</v>
          </cell>
          <cell r="AI76" t="str">
            <v>[]</v>
          </cell>
          <cell r="AJ76" t="str">
            <v>shaheshang_zhenping</v>
          </cell>
          <cell r="AK76" t="str">
            <v>[]</v>
          </cell>
          <cell r="AL76" t="str">
            <v>[]</v>
          </cell>
          <cell r="AM76" t="str">
            <v>jiashangupT3N0.1</v>
          </cell>
          <cell r="AN76">
            <v>2</v>
          </cell>
          <cell r="AO76" t="str">
            <v>0.8,0.1</v>
          </cell>
          <cell r="AP76">
            <v>111904</v>
          </cell>
          <cell r="AQ76" t="str">
            <v>111904,9010</v>
          </cell>
          <cell r="AR76" t="str">
            <v>[]</v>
          </cell>
          <cell r="AS76" t="str">
            <v>[]</v>
          </cell>
          <cell r="AT76" t="str">
            <v>1119</v>
          </cell>
          <cell r="AU76" t="str">
            <v>2380</v>
          </cell>
          <cell r="AV76" t="str">
            <v>孙悟空</v>
          </cell>
          <cell r="AW76" t="str">
            <v>02</v>
          </cell>
          <cell r="AX76" t="str">
            <v>[]</v>
          </cell>
          <cell r="AY76">
            <v>2</v>
          </cell>
          <cell r="BA76" t="str">
            <v>[]</v>
          </cell>
          <cell r="BE76" t="str">
            <v>[]</v>
          </cell>
          <cell r="BF76"/>
        </row>
        <row r="77">
          <cell r="A77" t="str">
            <v>sunwukong_skill03</v>
          </cell>
          <cell r="B77" t="str">
            <v>破天猛击</v>
          </cell>
          <cell r="C77" t="str">
            <v>提升自身@s的真实暴击率，普攻有概率击晕对手1秒</v>
          </cell>
          <cell r="D77">
            <v>1262</v>
          </cell>
          <cell r="E77">
            <v>0</v>
          </cell>
          <cell r="F77" t="str">
            <v>[]</v>
          </cell>
          <cell r="G77" t="str">
            <v>孙悟空被动技能</v>
          </cell>
          <cell r="H77" t="str">
            <v>baoji</v>
          </cell>
          <cell r="I77" t="str">
            <v>[]</v>
          </cell>
          <cell r="J77">
            <v>2</v>
          </cell>
          <cell r="K77">
            <v>10</v>
          </cell>
          <cell r="L77" t="str">
            <v>[]</v>
          </cell>
          <cell r="M77">
            <v>2</v>
          </cell>
          <cell r="N77">
            <v>2</v>
          </cell>
          <cell r="O77">
            <v>3</v>
          </cell>
          <cell r="P77">
            <v>0</v>
          </cell>
          <cell r="Q77">
            <v>12</v>
          </cell>
          <cell r="R77">
            <v>3</v>
          </cell>
          <cell r="S77">
            <v>5</v>
          </cell>
          <cell r="T77">
            <v>10</v>
          </cell>
          <cell r="U77">
            <v>0</v>
          </cell>
          <cell r="V77">
            <v>0</v>
          </cell>
          <cell r="W77" t="str">
            <v>[]</v>
          </cell>
          <cell r="X77">
            <v>0</v>
          </cell>
          <cell r="Y77" t="str">
            <v>[]</v>
          </cell>
          <cell r="Z77" t="str">
            <v>0,0,0</v>
          </cell>
          <cell r="AA77">
            <v>0</v>
          </cell>
          <cell r="AB77" t="str">
            <v>[]</v>
          </cell>
          <cell r="AC77" t="str">
            <v>[]</v>
          </cell>
          <cell r="AD77" t="str">
            <v>[]</v>
          </cell>
          <cell r="AE77" t="str">
            <v>[]</v>
          </cell>
          <cell r="AF77" t="str">
            <v>[]</v>
          </cell>
          <cell r="AG77" t="str">
            <v>[]</v>
          </cell>
          <cell r="AH77" t="str">
            <v>[]</v>
          </cell>
          <cell r="AI77" t="str">
            <v>[]</v>
          </cell>
          <cell r="AJ77" t="str">
            <v>sunwukong_skill03_higheff_xuanyun</v>
          </cell>
          <cell r="AK77" t="str">
            <v>[]</v>
          </cell>
          <cell r="AL77" t="str">
            <v>baojiupT3N0.1b</v>
          </cell>
          <cell r="AM77" t="str">
            <v>[]</v>
          </cell>
          <cell r="AN77">
            <v>0</v>
          </cell>
          <cell r="AO77" t="str">
            <v>[]</v>
          </cell>
          <cell r="AP77" t="str">
            <v>[]</v>
          </cell>
          <cell r="AQ77" t="str">
            <v>9010</v>
          </cell>
          <cell r="AR77" t="str">
            <v>[]</v>
          </cell>
          <cell r="AS77" t="str">
            <v>[]</v>
          </cell>
          <cell r="AT77" t="str">
            <v>9030</v>
          </cell>
          <cell r="AU77" t="str">
            <v>2390</v>
          </cell>
          <cell r="AV77" t="str">
            <v>孙悟空</v>
          </cell>
          <cell r="AW77" t="str">
            <v>03</v>
          </cell>
          <cell r="AX77">
            <v>1262</v>
          </cell>
          <cell r="AY77">
            <v>1</v>
          </cell>
          <cell r="AZ77">
            <v>0.1</v>
          </cell>
          <cell r="BA77">
            <v>0.1</v>
          </cell>
          <cell r="BB77" t="str">
            <v>眩晕</v>
          </cell>
          <cell r="BE77">
            <v>0.1</v>
          </cell>
          <cell r="BF77" t="str">
            <v>10</v>
          </cell>
        </row>
        <row r="78">
          <cell r="A78" t="str">
            <v>sunwukong_skill04</v>
          </cell>
          <cell r="B78" t="str">
            <v>无双乱舞</v>
          </cell>
          <cell r="C78" t="str">
            <v>抡起金箍棒旋转，对范围内敌人进行4次攻击，造成自身攻击力@s的物伤，必定暴击，并造成灼烧效果，持续6秒</v>
          </cell>
          <cell r="D78">
            <v>1264</v>
          </cell>
          <cell r="E78">
            <v>2</v>
          </cell>
          <cell r="F78" t="str">
            <v>boss_warning_juxing</v>
          </cell>
          <cell r="G78" t="str">
            <v>孙悟空技能2</v>
          </cell>
          <cell r="H78" t="str">
            <v>sunwukong_skill04</v>
          </cell>
          <cell r="I78" t="str">
            <v>[]</v>
          </cell>
          <cell r="J78">
            <v>3</v>
          </cell>
          <cell r="K78">
            <v>10</v>
          </cell>
          <cell r="L78" t="str">
            <v>[]</v>
          </cell>
          <cell r="M78">
            <v>2</v>
          </cell>
          <cell r="N78">
            <v>2</v>
          </cell>
          <cell r="O78">
            <v>1</v>
          </cell>
          <cell r="P78">
            <v>2</v>
          </cell>
          <cell r="Q78">
            <v>4</v>
          </cell>
          <cell r="R78" t="str">
            <v>2|1</v>
          </cell>
          <cell r="S78" t="str">
            <v>1|6|6</v>
          </cell>
          <cell r="T78">
            <v>10</v>
          </cell>
          <cell r="U78">
            <v>0</v>
          </cell>
          <cell r="V78">
            <v>0</v>
          </cell>
          <cell r="W78" t="str">
            <v>[]</v>
          </cell>
          <cell r="X78">
            <v>3</v>
          </cell>
          <cell r="Y78" t="str">
            <v>[]</v>
          </cell>
          <cell r="Z78" t="str">
            <v>0,2.6,0</v>
          </cell>
          <cell r="AA78">
            <v>0</v>
          </cell>
          <cell r="AB78">
            <v>6</v>
          </cell>
          <cell r="AC78" t="str">
            <v>[]</v>
          </cell>
          <cell r="AD78" t="str">
            <v>[]</v>
          </cell>
          <cell r="AE78" t="str">
            <v>[]</v>
          </cell>
          <cell r="AF78" t="str">
            <v>sunwukong_skill04</v>
          </cell>
          <cell r="AG78" t="str">
            <v>sunwukong_hit</v>
          </cell>
          <cell r="AH78" t="str">
            <v>[]</v>
          </cell>
          <cell r="AI78" t="str">
            <v>[]</v>
          </cell>
          <cell r="AJ78" t="str">
            <v>[]</v>
          </cell>
          <cell r="AK78" t="str">
            <v>[]</v>
          </cell>
          <cell r="AL78" t="str">
            <v>buff_douzhanshengfo_bibao</v>
          </cell>
          <cell r="AM78" t="str">
            <v>zhuoshaoT6N0.1</v>
          </cell>
          <cell r="AN78">
            <v>2</v>
          </cell>
          <cell r="AO78" t="str">
            <v>0.2,0.2,0.2,0.2</v>
          </cell>
          <cell r="AP78">
            <v>111906</v>
          </cell>
          <cell r="AQ78" t="str">
            <v>111906</v>
          </cell>
          <cell r="AR78" t="str">
            <v>[]</v>
          </cell>
          <cell r="AS78" t="str">
            <v>[]</v>
          </cell>
          <cell r="AT78" t="str">
            <v>1119</v>
          </cell>
          <cell r="AU78" t="str">
            <v>2400</v>
          </cell>
          <cell r="AV78" t="str">
            <v>孙悟空</v>
          </cell>
          <cell r="AW78" t="str">
            <v>04</v>
          </cell>
          <cell r="AX78">
            <v>1264</v>
          </cell>
          <cell r="AY78">
            <v>4</v>
          </cell>
          <cell r="BA78" t="str">
            <v>[]</v>
          </cell>
          <cell r="BE78" t="str">
            <v>[]</v>
          </cell>
          <cell r="BF78"/>
        </row>
        <row r="79">
          <cell r="A79" t="str">
            <v>sunwukong_skill011</v>
          </cell>
          <cell r="B79" t="str">
            <v>奥义·大圣降临</v>
          </cell>
          <cell r="C79" t="str">
            <v>召唤齐天大圣之魂，对范围内敌人造成4次主角攻击力@s的物伤，每次有21%的概率昏迷敌人3秒，对灼烧状态目标攻击伤害提升20%，对减防状态目标无视其20%闪避</v>
          </cell>
          <cell r="D79">
            <v>1266</v>
          </cell>
          <cell r="E79">
            <v>0</v>
          </cell>
          <cell r="F79" t="str">
            <v>[]</v>
          </cell>
          <cell r="G79" t="str">
            <v>孙悟空核心技能</v>
          </cell>
          <cell r="H79" t="str">
            <v>sunwukong_skill01</v>
          </cell>
          <cell r="I79" t="str">
            <v>sunwukong_skill01</v>
          </cell>
          <cell r="J79">
            <v>0</v>
          </cell>
          <cell r="K79">
            <v>1</v>
          </cell>
          <cell r="L79" t="str">
            <v>1|11</v>
          </cell>
          <cell r="M79">
            <v>2</v>
          </cell>
          <cell r="N79">
            <v>2</v>
          </cell>
          <cell r="O79">
            <v>2</v>
          </cell>
          <cell r="P79">
            <v>2</v>
          </cell>
          <cell r="Q79">
            <v>12</v>
          </cell>
          <cell r="R79" t="str">
            <v>2|1</v>
          </cell>
          <cell r="S79" t="str">
            <v>1|9|6</v>
          </cell>
          <cell r="T79">
            <v>10</v>
          </cell>
          <cell r="U79">
            <v>1</v>
          </cell>
          <cell r="V79">
            <v>0</v>
          </cell>
          <cell r="W79" t="str">
            <v>[]</v>
          </cell>
          <cell r="X79">
            <v>0</v>
          </cell>
          <cell r="Y79" t="str">
            <v>[]</v>
          </cell>
          <cell r="Z79" t="str">
            <v>0,1,0</v>
          </cell>
          <cell r="AA79">
            <v>0</v>
          </cell>
          <cell r="AB79" t="str">
            <v>12</v>
          </cell>
          <cell r="AC79" t="str">
            <v>[]</v>
          </cell>
          <cell r="AD79" t="str">
            <v>[]</v>
          </cell>
          <cell r="AE79" t="str">
            <v>sunwukong_skill01_atc</v>
          </cell>
          <cell r="AF79" t="str">
            <v>sunwukong_skill01_temp</v>
          </cell>
          <cell r="AG79" t="str">
            <v>[]</v>
          </cell>
          <cell r="AH79" t="str">
            <v>[]</v>
          </cell>
          <cell r="AI79" t="str">
            <v>[]</v>
          </cell>
          <cell r="AJ79" t="str">
            <v>shaheshang_zhenping</v>
          </cell>
          <cell r="AK79" t="str">
            <v>yunxuanT2NP0.2</v>
          </cell>
          <cell r="AL79" t="str">
            <v>[]</v>
          </cell>
          <cell r="AM79" t="str">
            <v>[]</v>
          </cell>
          <cell r="AN79">
            <v>1</v>
          </cell>
          <cell r="AO79" t="str">
            <v>2.2,0.1,0.1,0.1</v>
          </cell>
          <cell r="AP79">
            <v>111907</v>
          </cell>
          <cell r="AQ79" t="str">
            <v>111907</v>
          </cell>
          <cell r="AR79" t="str">
            <v>[]</v>
          </cell>
          <cell r="AS79" t="str">
            <v>zsjs20,zssb20</v>
          </cell>
          <cell r="AT79" t="str">
            <v>1119</v>
          </cell>
          <cell r="AU79" t="str">
            <v>2371</v>
          </cell>
          <cell r="AV79" t="str">
            <v>孙悟空</v>
          </cell>
          <cell r="AW79" t="str">
            <v>11</v>
          </cell>
          <cell r="AX79">
            <v>1266</v>
          </cell>
          <cell r="AY79">
            <v>4</v>
          </cell>
          <cell r="AZ79">
            <v>0.6</v>
          </cell>
          <cell r="BA79">
            <v>0.20499999999999999</v>
          </cell>
          <cell r="BB79" t="str">
            <v>眩晕</v>
          </cell>
          <cell r="BE79">
            <v>0.20499999999999999</v>
          </cell>
          <cell r="BF79" t="str">
            <v>20</v>
          </cell>
        </row>
        <row r="80">
          <cell r="A80" t="str">
            <v>sunwukong_skill021</v>
          </cell>
          <cell r="B80" t="str">
            <v>奥义·无双一击</v>
          </cell>
          <cell r="C80" t="str">
            <v>舞棒砸地，对范围内敌人进行2次攻击，造成自身攻击力@s的物伤，并使敌人受到的伤害增加@s，持续3秒</v>
          </cell>
          <cell r="D80">
            <v>1268</v>
          </cell>
          <cell r="E80">
            <v>2</v>
          </cell>
          <cell r="F80" t="str">
            <v>boss_warning_yuanxing</v>
          </cell>
          <cell r="G80" t="str">
            <v>孙悟空技能1</v>
          </cell>
          <cell r="H80" t="str">
            <v>sunwukong_skill02</v>
          </cell>
          <cell r="I80" t="str">
            <v>[]</v>
          </cell>
          <cell r="J80">
            <v>1</v>
          </cell>
          <cell r="K80">
            <v>10</v>
          </cell>
          <cell r="L80" t="str">
            <v>[]</v>
          </cell>
          <cell r="M80">
            <v>2</v>
          </cell>
          <cell r="N80">
            <v>2</v>
          </cell>
          <cell r="O80">
            <v>1</v>
          </cell>
          <cell r="P80">
            <v>2</v>
          </cell>
          <cell r="Q80">
            <v>4</v>
          </cell>
          <cell r="R80" t="str">
            <v>2|1</v>
          </cell>
          <cell r="S80" t="str">
            <v>2|6</v>
          </cell>
          <cell r="T80">
            <v>10</v>
          </cell>
          <cell r="U80">
            <v>0</v>
          </cell>
          <cell r="V80">
            <v>0</v>
          </cell>
          <cell r="W80" t="str">
            <v>[]</v>
          </cell>
          <cell r="X80">
            <v>3</v>
          </cell>
          <cell r="Y80" t="str">
            <v>[]</v>
          </cell>
          <cell r="Z80" t="str">
            <v>0,2.0,0</v>
          </cell>
          <cell r="AA80">
            <v>0</v>
          </cell>
          <cell r="AB80">
            <v>6</v>
          </cell>
          <cell r="AC80" t="str">
            <v>[]</v>
          </cell>
          <cell r="AD80" t="str">
            <v>[]</v>
          </cell>
          <cell r="AE80" t="str">
            <v>[]</v>
          </cell>
          <cell r="AF80" t="str">
            <v>sunwukong_skill02</v>
          </cell>
          <cell r="AG80" t="str">
            <v>sunwukong_hit</v>
          </cell>
          <cell r="AH80" t="str">
            <v>[]</v>
          </cell>
          <cell r="AI80" t="str">
            <v>[]</v>
          </cell>
          <cell r="AJ80" t="str">
            <v>shaheshang_zhenping</v>
          </cell>
          <cell r="AK80" t="str">
            <v>[]</v>
          </cell>
          <cell r="AL80" t="str">
            <v>[]</v>
          </cell>
          <cell r="AM80" t="str">
            <v>jiashangupT3N0.15</v>
          </cell>
          <cell r="AN80">
            <v>1</v>
          </cell>
          <cell r="AO80" t="str">
            <v>0.8,0.1</v>
          </cell>
          <cell r="AP80">
            <v>111908</v>
          </cell>
          <cell r="AQ80" t="str">
            <v>111908,9015</v>
          </cell>
          <cell r="AR80" t="str">
            <v>[]</v>
          </cell>
          <cell r="AS80" t="str">
            <v>[]</v>
          </cell>
          <cell r="AT80" t="str">
            <v>1119</v>
          </cell>
          <cell r="AU80" t="str">
            <v>2380</v>
          </cell>
          <cell r="AV80" t="str">
            <v>孙悟空</v>
          </cell>
          <cell r="AW80" t="str">
            <v>21</v>
          </cell>
          <cell r="AX80">
            <v>1268</v>
          </cell>
          <cell r="AY80">
            <v>2</v>
          </cell>
          <cell r="BA80" t="str">
            <v>[]</v>
          </cell>
          <cell r="BE80" t="str">
            <v>[]</v>
          </cell>
          <cell r="BF80"/>
        </row>
        <row r="81">
          <cell r="A81" t="str">
            <v>sunwukong_skill041</v>
          </cell>
          <cell r="B81" t="str">
            <v>奥义·无双乱舞</v>
          </cell>
          <cell r="C81" t="str">
            <v>抡起金箍棒旋转，对范围内敌人进行4次攻击，造成自身攻击力@s的物伤，必定暴击，并造成灼烧效果，持续6秒</v>
          </cell>
          <cell r="D81">
            <v>1270</v>
          </cell>
          <cell r="E81">
            <v>2</v>
          </cell>
          <cell r="F81" t="str">
            <v>boss_warning_juxing</v>
          </cell>
          <cell r="G81" t="str">
            <v>孙悟空技能2</v>
          </cell>
          <cell r="H81" t="str">
            <v>sunwukong_skill04</v>
          </cell>
          <cell r="I81" t="str">
            <v>[]</v>
          </cell>
          <cell r="J81">
            <v>3</v>
          </cell>
          <cell r="K81">
            <v>10</v>
          </cell>
          <cell r="L81" t="str">
            <v>[]</v>
          </cell>
          <cell r="M81">
            <v>2</v>
          </cell>
          <cell r="N81">
            <v>2</v>
          </cell>
          <cell r="O81">
            <v>1</v>
          </cell>
          <cell r="P81">
            <v>2</v>
          </cell>
          <cell r="Q81">
            <v>4</v>
          </cell>
          <cell r="R81" t="str">
            <v>2|1</v>
          </cell>
          <cell r="S81" t="str">
            <v>1|6|6</v>
          </cell>
          <cell r="T81">
            <v>10</v>
          </cell>
          <cell r="U81">
            <v>0</v>
          </cell>
          <cell r="V81">
            <v>0</v>
          </cell>
          <cell r="W81" t="str">
            <v>[]</v>
          </cell>
          <cell r="X81">
            <v>3</v>
          </cell>
          <cell r="Y81" t="str">
            <v>[]</v>
          </cell>
          <cell r="Z81" t="str">
            <v>0,2.6,0</v>
          </cell>
          <cell r="AA81">
            <v>0</v>
          </cell>
          <cell r="AB81">
            <v>6</v>
          </cell>
          <cell r="AC81" t="str">
            <v>[]</v>
          </cell>
          <cell r="AD81" t="str">
            <v>[]</v>
          </cell>
          <cell r="AE81" t="str">
            <v>[]</v>
          </cell>
          <cell r="AF81" t="str">
            <v>sunwukong_skill04</v>
          </cell>
          <cell r="AG81" t="str">
            <v>sunwukong_hit</v>
          </cell>
          <cell r="AH81" t="str">
            <v>[]</v>
          </cell>
          <cell r="AI81" t="str">
            <v>[]</v>
          </cell>
          <cell r="AJ81" t="str">
            <v>[]</v>
          </cell>
          <cell r="AK81" t="str">
            <v>[]</v>
          </cell>
          <cell r="AL81" t="str">
            <v>buff_douzhanshengfo_bibao</v>
          </cell>
          <cell r="AM81" t="str">
            <v>zhuoshaoT6N0.2</v>
          </cell>
          <cell r="AN81">
            <v>2</v>
          </cell>
          <cell r="AO81" t="str">
            <v>0.2,0.2,0.2,0.2</v>
          </cell>
          <cell r="AP81">
            <v>111909</v>
          </cell>
          <cell r="AQ81" t="str">
            <v>111909</v>
          </cell>
          <cell r="AR81" t="str">
            <v>[]</v>
          </cell>
          <cell r="AS81" t="str">
            <v>[]</v>
          </cell>
          <cell r="AT81" t="str">
            <v>1119</v>
          </cell>
          <cell r="AU81" t="str">
            <v>2400</v>
          </cell>
          <cell r="AV81" t="str">
            <v>孙悟空</v>
          </cell>
          <cell r="AW81" t="str">
            <v>41</v>
          </cell>
          <cell r="AX81">
            <v>1270</v>
          </cell>
          <cell r="AY81">
            <v>4</v>
          </cell>
          <cell r="BA81" t="str">
            <v>[]</v>
          </cell>
          <cell r="BE81" t="str">
            <v>[]</v>
          </cell>
          <cell r="BF81"/>
        </row>
        <row r="82">
          <cell r="A82" t="str">
            <v>zixiaxianzi_attack</v>
          </cell>
          <cell r="B82" t="str">
            <v>紫霞仙子普攻</v>
          </cell>
          <cell r="C82" t="str">
            <v>普攻</v>
          </cell>
          <cell r="D82" t="str">
            <v>[]</v>
          </cell>
          <cell r="E82">
            <v>0</v>
          </cell>
          <cell r="F82" t="str">
            <v>[]</v>
          </cell>
          <cell r="G82" t="str">
            <v>远程攻击</v>
          </cell>
          <cell r="H82" t="str">
            <v>[]</v>
          </cell>
          <cell r="I82" t="str">
            <v>[]</v>
          </cell>
          <cell r="J82">
            <v>0</v>
          </cell>
          <cell r="K82">
            <v>1</v>
          </cell>
          <cell r="L82" t="str">
            <v>[]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12</v>
          </cell>
          <cell r="R82" t="str">
            <v>2|1</v>
          </cell>
          <cell r="S82" t="str">
            <v>4|0.2</v>
          </cell>
          <cell r="T82">
            <v>1</v>
          </cell>
          <cell r="U82">
            <v>1</v>
          </cell>
          <cell r="V82">
            <v>0</v>
          </cell>
          <cell r="W82" t="str">
            <v>[]</v>
          </cell>
          <cell r="X82">
            <v>0</v>
          </cell>
          <cell r="Y82" t="str">
            <v>[]</v>
          </cell>
          <cell r="Z82" t="str">
            <v>0,1,0</v>
          </cell>
          <cell r="AA82">
            <v>0</v>
          </cell>
          <cell r="AB82" t="str">
            <v>[]</v>
          </cell>
          <cell r="AC82" t="str">
            <v>[]</v>
          </cell>
          <cell r="AD82" t="str">
            <v>[]</v>
          </cell>
          <cell r="AE82" t="str">
            <v>[]</v>
          </cell>
          <cell r="AF82" t="str">
            <v>zixiaxianzi_attack</v>
          </cell>
          <cell r="AG82" t="str">
            <v>nvzhujue_hit</v>
          </cell>
          <cell r="AH82" t="str">
            <v>[]</v>
          </cell>
          <cell r="AI82" t="str">
            <v>[]</v>
          </cell>
          <cell r="AJ82" t="str">
            <v>[]</v>
          </cell>
          <cell r="AK82" t="str">
            <v>[]</v>
          </cell>
          <cell r="AL82" t="str">
            <v>[]</v>
          </cell>
          <cell r="AM82" t="str">
            <v>[]</v>
          </cell>
          <cell r="AN82">
            <v>2</v>
          </cell>
          <cell r="AO82">
            <v>-2</v>
          </cell>
          <cell r="AP82">
            <v>112100</v>
          </cell>
          <cell r="AQ82" t="str">
            <v>112100</v>
          </cell>
          <cell r="AR82" t="str">
            <v>[]</v>
          </cell>
          <cell r="AS82" t="str">
            <v>[]</v>
          </cell>
          <cell r="AT82" t="str">
            <v>1121</v>
          </cell>
          <cell r="AU82" t="str">
            <v>2410</v>
          </cell>
          <cell r="AV82" t="str">
            <v>远程攻击</v>
          </cell>
          <cell r="AW82" t="str">
            <v>ck</v>
          </cell>
          <cell r="AX82" t="str">
            <v>[]</v>
          </cell>
          <cell r="AY82">
            <v>1</v>
          </cell>
          <cell r="BA82" t="str">
            <v>[]</v>
          </cell>
          <cell r="BE82" t="str">
            <v>[]</v>
          </cell>
          <cell r="BF82"/>
        </row>
        <row r="83">
          <cell r="A83" t="str">
            <v>zixiaxianzi_attack02</v>
          </cell>
          <cell r="B83" t="str">
            <v>紫霞仙子普攻2</v>
          </cell>
          <cell r="C83" t="str">
            <v>普攻</v>
          </cell>
          <cell r="D83" t="str">
            <v>[]</v>
          </cell>
          <cell r="E83">
            <v>0</v>
          </cell>
          <cell r="F83" t="str">
            <v>[]</v>
          </cell>
          <cell r="G83" t="str">
            <v>近战攻击</v>
          </cell>
          <cell r="H83" t="str">
            <v>[]</v>
          </cell>
          <cell r="I83" t="str">
            <v>[]</v>
          </cell>
          <cell r="J83">
            <v>0</v>
          </cell>
          <cell r="K83">
            <v>1</v>
          </cell>
          <cell r="L83" t="str">
            <v>[]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4</v>
          </cell>
          <cell r="R83" t="str">
            <v>2|1</v>
          </cell>
          <cell r="S83" t="str">
            <v>4|0.2</v>
          </cell>
          <cell r="T83">
            <v>1</v>
          </cell>
          <cell r="U83">
            <v>1</v>
          </cell>
          <cell r="V83">
            <v>0</v>
          </cell>
          <cell r="W83" t="str">
            <v>[]</v>
          </cell>
          <cell r="X83">
            <v>0</v>
          </cell>
          <cell r="Y83" t="str">
            <v>[]</v>
          </cell>
          <cell r="Z83" t="str">
            <v>0,1,0</v>
          </cell>
          <cell r="AA83">
            <v>0</v>
          </cell>
          <cell r="AB83" t="str">
            <v>[]</v>
          </cell>
          <cell r="AC83" t="str">
            <v>[]</v>
          </cell>
          <cell r="AD83" t="str">
            <v>[]</v>
          </cell>
          <cell r="AE83" t="str">
            <v>[]</v>
          </cell>
          <cell r="AF83" t="str">
            <v>zixiaxianzi_attack02</v>
          </cell>
          <cell r="AG83" t="str">
            <v>common_hit_qinwuqi</v>
          </cell>
          <cell r="AH83" t="str">
            <v>[]</v>
          </cell>
          <cell r="AI83" t="str">
            <v>[]</v>
          </cell>
          <cell r="AJ83" t="str">
            <v>[]</v>
          </cell>
          <cell r="AK83" t="str">
            <v>[]</v>
          </cell>
          <cell r="AL83" t="str">
            <v>[]</v>
          </cell>
          <cell r="AM83" t="str">
            <v>[]</v>
          </cell>
          <cell r="AN83">
            <v>1</v>
          </cell>
          <cell r="AO83">
            <v>0.29699999999999999</v>
          </cell>
          <cell r="AP83">
            <v>112101</v>
          </cell>
          <cell r="AQ83" t="str">
            <v>112101</v>
          </cell>
          <cell r="AR83" t="str">
            <v>[]</v>
          </cell>
          <cell r="AS83" t="str">
            <v>[]</v>
          </cell>
          <cell r="AT83" t="str">
            <v>1121</v>
          </cell>
          <cell r="AU83" t="str">
            <v>2410</v>
          </cell>
          <cell r="AV83" t="str">
            <v>近战攻击</v>
          </cell>
          <cell r="AW83" t="str">
            <v>02</v>
          </cell>
          <cell r="AX83" t="str">
            <v>[]</v>
          </cell>
          <cell r="AY83">
            <v>1</v>
          </cell>
          <cell r="BA83" t="str">
            <v>[]</v>
          </cell>
          <cell r="BE83" t="str">
            <v>[]</v>
          </cell>
          <cell r="BF83"/>
        </row>
        <row r="84">
          <cell r="A84" t="str">
            <v>zixiaxianzi_attack03</v>
          </cell>
          <cell r="B84" t="str">
            <v>紫霞仙子普攻3</v>
          </cell>
          <cell r="C84" t="str">
            <v>普攻</v>
          </cell>
          <cell r="D84">
            <v>1262</v>
          </cell>
          <cell r="E84">
            <v>0</v>
          </cell>
          <cell r="F84" t="str">
            <v>[]</v>
          </cell>
          <cell r="G84" t="str">
            <v>近战攻击</v>
          </cell>
          <cell r="H84" t="str">
            <v>[]</v>
          </cell>
          <cell r="I84" t="str">
            <v>[]</v>
          </cell>
          <cell r="J84">
            <v>0</v>
          </cell>
          <cell r="K84">
            <v>1</v>
          </cell>
          <cell r="L84" t="str">
            <v>[]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4</v>
          </cell>
          <cell r="R84" t="str">
            <v>2|1</v>
          </cell>
          <cell r="S84" t="str">
            <v>4|0.2</v>
          </cell>
          <cell r="T84">
            <v>1</v>
          </cell>
          <cell r="U84">
            <v>1</v>
          </cell>
          <cell r="V84">
            <v>0</v>
          </cell>
          <cell r="W84" t="str">
            <v>[]</v>
          </cell>
          <cell r="X84">
            <v>0</v>
          </cell>
          <cell r="Y84" t="str">
            <v>[]</v>
          </cell>
          <cell r="Z84" t="str">
            <v>0,1,0</v>
          </cell>
          <cell r="AA84">
            <v>0</v>
          </cell>
          <cell r="AB84" t="str">
            <v>[]</v>
          </cell>
          <cell r="AC84" t="str">
            <v>[]</v>
          </cell>
          <cell r="AD84" t="str">
            <v>[]</v>
          </cell>
          <cell r="AE84" t="str">
            <v>[]</v>
          </cell>
          <cell r="AF84" t="str">
            <v>zixiaxianzi_attack03</v>
          </cell>
          <cell r="AG84" t="str">
            <v>common_hit_qinwuqi</v>
          </cell>
          <cell r="AH84" t="str">
            <v>[]</v>
          </cell>
          <cell r="AI84" t="str">
            <v>[]</v>
          </cell>
          <cell r="AJ84" t="str">
            <v>[]</v>
          </cell>
          <cell r="AK84" t="str">
            <v>[]</v>
          </cell>
          <cell r="AL84" t="str">
            <v>[]</v>
          </cell>
          <cell r="AM84" t="str">
            <v>[]</v>
          </cell>
          <cell r="AN84">
            <v>1</v>
          </cell>
          <cell r="AO84">
            <v>0.26400000000000001</v>
          </cell>
          <cell r="AP84">
            <v>112102</v>
          </cell>
          <cell r="AQ84" t="str">
            <v>112102</v>
          </cell>
          <cell r="AR84" t="str">
            <v>[]</v>
          </cell>
          <cell r="AS84" t="str">
            <v>[]</v>
          </cell>
          <cell r="AT84" t="str">
            <v>1121</v>
          </cell>
          <cell r="AU84" t="str">
            <v>2410</v>
          </cell>
          <cell r="AV84" t="str">
            <v>近战攻击</v>
          </cell>
          <cell r="AW84" t="str">
            <v>03</v>
          </cell>
          <cell r="AX84">
            <v>1262</v>
          </cell>
          <cell r="AY84">
            <v>1</v>
          </cell>
          <cell r="BA84" t="str">
            <v>[]</v>
          </cell>
          <cell r="BE84" t="str">
            <v>[]</v>
          </cell>
          <cell r="BF84"/>
        </row>
        <row r="85">
          <cell r="A85" t="str">
            <v>zixiaxianzi_skill01</v>
          </cell>
          <cell r="B85" t="str">
            <v>盖世英雄</v>
          </cell>
          <cell r="C85" t="str">
            <v>召唤大圣之前世，对范围内敌人进行7次攻击，造成主角攻击力@s的法伤,同时提升自身@s的法伤，持续3秒，对处于流血状态的目标增加10%的伤害</v>
          </cell>
          <cell r="D85" t="str">
            <v>[]</v>
          </cell>
          <cell r="E85">
            <v>0</v>
          </cell>
          <cell r="F85" t="str">
            <v>[]</v>
          </cell>
          <cell r="G85" t="str">
            <v>紫霞仙子核心技能</v>
          </cell>
          <cell r="H85" t="str">
            <v>zixiaxianzi_skill01</v>
          </cell>
          <cell r="I85" t="str">
            <v>zixiaxianzi_skill01</v>
          </cell>
          <cell r="J85">
            <v>0</v>
          </cell>
          <cell r="K85">
            <v>10</v>
          </cell>
          <cell r="L85" t="str">
            <v>1|21</v>
          </cell>
          <cell r="M85">
            <v>2</v>
          </cell>
          <cell r="N85">
            <v>2</v>
          </cell>
          <cell r="O85">
            <v>2</v>
          </cell>
          <cell r="P85">
            <v>2</v>
          </cell>
          <cell r="Q85">
            <v>12</v>
          </cell>
          <cell r="R85" t="str">
            <v>2|1</v>
          </cell>
          <cell r="S85" t="str">
            <v>2|6</v>
          </cell>
          <cell r="T85">
            <v>10</v>
          </cell>
          <cell r="U85">
            <v>1</v>
          </cell>
          <cell r="V85">
            <v>0</v>
          </cell>
          <cell r="W85" t="str">
            <v>[]</v>
          </cell>
          <cell r="X85">
            <v>0</v>
          </cell>
          <cell r="Y85" t="str">
            <v>[]</v>
          </cell>
          <cell r="Z85" t="str">
            <v>0,1,0</v>
          </cell>
          <cell r="AA85">
            <v>0</v>
          </cell>
          <cell r="AB85" t="str">
            <v>12</v>
          </cell>
          <cell r="AC85" t="str">
            <v>[]</v>
          </cell>
          <cell r="AD85" t="str">
            <v>[]</v>
          </cell>
          <cell r="AE85" t="str">
            <v>[]</v>
          </cell>
          <cell r="AF85" t="str">
            <v>zixiaxianzi_skill01</v>
          </cell>
          <cell r="AG85" t="str">
            <v>common_hit_qinwuqi</v>
          </cell>
          <cell r="AH85" t="str">
            <v>[]</v>
          </cell>
          <cell r="AI85" t="str">
            <v>[]</v>
          </cell>
          <cell r="AJ85" t="str">
            <v>[]</v>
          </cell>
          <cell r="AK85" t="str">
            <v>[]</v>
          </cell>
          <cell r="AL85" t="str">
            <v>yishangT3N0.15</v>
          </cell>
          <cell r="AM85" t="str">
            <v>[]</v>
          </cell>
          <cell r="AN85">
            <v>1</v>
          </cell>
          <cell r="AO85" t="str">
            <v>0.7,0.2,0.2,0.2,0.2,0.2,0.2</v>
          </cell>
          <cell r="AP85">
            <v>112103</v>
          </cell>
          <cell r="AQ85" t="str">
            <v>112103,9015</v>
          </cell>
          <cell r="AR85" t="str">
            <v>[]</v>
          </cell>
          <cell r="AS85" t="str">
            <v>lxjf10</v>
          </cell>
          <cell r="AT85" t="str">
            <v>1121</v>
          </cell>
          <cell r="AU85" t="str">
            <v>2420</v>
          </cell>
          <cell r="AV85" t="str">
            <v>紫霞仙子</v>
          </cell>
          <cell r="AW85" t="str">
            <v>01</v>
          </cell>
          <cell r="AX85" t="str">
            <v>[]</v>
          </cell>
          <cell r="AY85">
            <v>7</v>
          </cell>
          <cell r="BA85" t="str">
            <v>[]</v>
          </cell>
          <cell r="BE85" t="str">
            <v>[]</v>
          </cell>
          <cell r="BF85"/>
        </row>
        <row r="86">
          <cell r="A86" t="str">
            <v>zixiaxianzi_skill02</v>
          </cell>
          <cell r="B86" t="str">
            <v>紫霄之芒</v>
          </cell>
          <cell r="C86" t="str">
            <v>剑出飞鸾，对范围内敌人进行3次攻击，造成自身攻击力@s的法伤，并增加敌人受到的伤害@s，持续3秒</v>
          </cell>
          <cell r="D86" t="str">
            <v>[]</v>
          </cell>
          <cell r="E86">
            <v>0</v>
          </cell>
          <cell r="F86" t="str">
            <v>[]</v>
          </cell>
          <cell r="G86" t="str">
            <v>紫霞仙子技能2</v>
          </cell>
          <cell r="H86" t="str">
            <v>zixiaxianzi_skill02</v>
          </cell>
          <cell r="I86" t="str">
            <v>[]</v>
          </cell>
          <cell r="J86">
            <v>1</v>
          </cell>
          <cell r="K86">
            <v>10</v>
          </cell>
          <cell r="L86" t="str">
            <v>[]</v>
          </cell>
          <cell r="M86">
            <v>2</v>
          </cell>
          <cell r="N86">
            <v>2</v>
          </cell>
          <cell r="O86">
            <v>2</v>
          </cell>
          <cell r="P86">
            <v>2</v>
          </cell>
          <cell r="Q86">
            <v>12</v>
          </cell>
          <cell r="R86" t="str">
            <v>2|1</v>
          </cell>
          <cell r="S86" t="str">
            <v>2|6</v>
          </cell>
          <cell r="T86">
            <v>10</v>
          </cell>
          <cell r="U86">
            <v>1</v>
          </cell>
          <cell r="V86">
            <v>0</v>
          </cell>
          <cell r="W86" t="str">
            <v>[]</v>
          </cell>
          <cell r="X86">
            <v>3</v>
          </cell>
          <cell r="Y86" t="str">
            <v>[]</v>
          </cell>
          <cell r="Z86" t="str">
            <v>0,1.1,0</v>
          </cell>
          <cell r="AA86">
            <v>0</v>
          </cell>
          <cell r="AB86">
            <v>6</v>
          </cell>
          <cell r="AC86" t="str">
            <v>[]</v>
          </cell>
          <cell r="AD86" t="str">
            <v>[]</v>
          </cell>
          <cell r="AE86" t="str">
            <v>[]</v>
          </cell>
          <cell r="AF86" t="str">
            <v>zixiaxianzi_skill02_q</v>
          </cell>
          <cell r="AG86" t="str">
            <v>common_hit_qinwuqi</v>
          </cell>
          <cell r="AH86" t="str">
            <v>[]</v>
          </cell>
          <cell r="AI86" t="str">
            <v>[]</v>
          </cell>
          <cell r="AJ86" t="str">
            <v>[]</v>
          </cell>
          <cell r="AK86" t="str">
            <v>[]</v>
          </cell>
          <cell r="AL86" t="str">
            <v>[]</v>
          </cell>
          <cell r="AM86" t="str">
            <v>jiashangupT3N0.1</v>
          </cell>
          <cell r="AN86">
            <v>1</v>
          </cell>
          <cell r="AO86" t="str">
            <v>0.1,0.1,0.1</v>
          </cell>
          <cell r="AP86">
            <v>112104</v>
          </cell>
          <cell r="AQ86" t="str">
            <v>112104,9010</v>
          </cell>
          <cell r="AR86" t="str">
            <v>[]</v>
          </cell>
          <cell r="AS86" t="str">
            <v>[]</v>
          </cell>
          <cell r="AT86" t="str">
            <v>1121</v>
          </cell>
          <cell r="AU86" t="str">
            <v>2430</v>
          </cell>
          <cell r="AV86" t="str">
            <v>紫霞仙子</v>
          </cell>
          <cell r="AW86" t="str">
            <v>02</v>
          </cell>
          <cell r="AX86" t="str">
            <v>[]</v>
          </cell>
          <cell r="AY86">
            <v>3</v>
          </cell>
          <cell r="BA86" t="str">
            <v>[]</v>
          </cell>
          <cell r="BE86" t="str">
            <v>[]</v>
          </cell>
          <cell r="BF86"/>
        </row>
        <row r="87">
          <cell r="A87" t="str">
            <v>zixiaxianzi_skill03</v>
          </cell>
          <cell r="B87" t="str">
            <v>心间一泪</v>
          </cell>
          <cell r="C87" t="str">
            <v>进入战斗场景时，提升全体友军造成的伤害@s</v>
          </cell>
          <cell r="D87">
            <v>1262</v>
          </cell>
          <cell r="E87">
            <v>0</v>
          </cell>
          <cell r="F87" t="str">
            <v>[]</v>
          </cell>
          <cell r="G87" t="str">
            <v>紫霞仙子被动技能</v>
          </cell>
          <cell r="H87" t="str">
            <v>quanzhuangtai</v>
          </cell>
          <cell r="I87" t="str">
            <v>[]</v>
          </cell>
          <cell r="J87">
            <v>2</v>
          </cell>
          <cell r="K87">
            <v>10</v>
          </cell>
          <cell r="L87" t="str">
            <v>[]</v>
          </cell>
          <cell r="M87">
            <v>2</v>
          </cell>
          <cell r="N87">
            <v>2</v>
          </cell>
          <cell r="O87">
            <v>3</v>
          </cell>
          <cell r="P87">
            <v>0</v>
          </cell>
          <cell r="Q87">
            <v>12</v>
          </cell>
          <cell r="R87">
            <v>3</v>
          </cell>
          <cell r="S87" t="str">
            <v>2|6</v>
          </cell>
          <cell r="T87">
            <v>10</v>
          </cell>
          <cell r="U87">
            <v>0</v>
          </cell>
          <cell r="V87">
            <v>0</v>
          </cell>
          <cell r="W87" t="str">
            <v>[]</v>
          </cell>
          <cell r="X87">
            <v>0</v>
          </cell>
          <cell r="Y87" t="str">
            <v>[]</v>
          </cell>
          <cell r="Z87" t="str">
            <v>0,0,0</v>
          </cell>
          <cell r="AA87">
            <v>0</v>
          </cell>
          <cell r="AB87" t="str">
            <v>[]</v>
          </cell>
          <cell r="AC87" t="str">
            <v>[]</v>
          </cell>
          <cell r="AD87" t="str">
            <v>[]</v>
          </cell>
          <cell r="AE87" t="str">
            <v>[]</v>
          </cell>
          <cell r="AF87" t="str">
            <v>[]</v>
          </cell>
          <cell r="AG87" t="str">
            <v>[]</v>
          </cell>
          <cell r="AH87" t="str">
            <v>[]</v>
          </cell>
          <cell r="AI87" t="str">
            <v>[]</v>
          </cell>
          <cell r="AJ87" t="str">
            <v>shanghai10_higheff</v>
          </cell>
          <cell r="AK87" t="str">
            <v>[]</v>
          </cell>
          <cell r="AL87" t="str">
            <v>[]</v>
          </cell>
          <cell r="AM87" t="str">
            <v>[]</v>
          </cell>
          <cell r="AN87">
            <v>0</v>
          </cell>
          <cell r="AO87" t="str">
            <v>[]</v>
          </cell>
          <cell r="AP87" t="str">
            <v>[]</v>
          </cell>
          <cell r="AQ87" t="str">
            <v>9010</v>
          </cell>
          <cell r="AR87" t="str">
            <v>[]</v>
          </cell>
          <cell r="AS87" t="str">
            <v>[]</v>
          </cell>
          <cell r="AT87" t="str">
            <v>9010</v>
          </cell>
          <cell r="AU87" t="str">
            <v>2441</v>
          </cell>
          <cell r="AV87" t="str">
            <v>紫霞仙子</v>
          </cell>
          <cell r="AW87" t="str">
            <v>03</v>
          </cell>
          <cell r="AX87">
            <v>1262</v>
          </cell>
          <cell r="AY87">
            <v>1</v>
          </cell>
          <cell r="BA87" t="str">
            <v>[]</v>
          </cell>
          <cell r="BE87" t="str">
            <v>[]</v>
          </cell>
          <cell r="BF87"/>
        </row>
        <row r="88">
          <cell r="A88" t="str">
            <v>zixiaxianzi_skill04</v>
          </cell>
          <cell r="B88" t="str">
            <v>惊鸿掠影</v>
          </cell>
          <cell r="C88" t="str">
            <v>剑快留痕，对范围内敌人进行5次攻击，造成自身攻击力@s的法伤,并造成灼烧效果，持续6秒</v>
          </cell>
          <cell r="D88">
            <v>1264</v>
          </cell>
          <cell r="E88">
            <v>2</v>
          </cell>
          <cell r="F88" t="str">
            <v>boss_warning_juxing</v>
          </cell>
          <cell r="G88" t="str">
            <v>紫霞仙子技能4</v>
          </cell>
          <cell r="H88" t="str">
            <v>zixiaxianzi_skill04</v>
          </cell>
          <cell r="I88" t="str">
            <v>[]</v>
          </cell>
          <cell r="J88">
            <v>3</v>
          </cell>
          <cell r="K88">
            <v>10</v>
          </cell>
          <cell r="L88" t="str">
            <v>[]</v>
          </cell>
          <cell r="M88">
            <v>2</v>
          </cell>
          <cell r="N88">
            <v>2</v>
          </cell>
          <cell r="O88">
            <v>2</v>
          </cell>
          <cell r="P88">
            <v>2</v>
          </cell>
          <cell r="Q88">
            <v>12</v>
          </cell>
          <cell r="R88" t="str">
            <v>2|1</v>
          </cell>
          <cell r="S88" t="str">
            <v>2|6</v>
          </cell>
          <cell r="T88">
            <v>10</v>
          </cell>
          <cell r="U88">
            <v>1</v>
          </cell>
          <cell r="V88">
            <v>0</v>
          </cell>
          <cell r="W88" t="str">
            <v>[]</v>
          </cell>
          <cell r="X88">
            <v>3</v>
          </cell>
          <cell r="Y88" t="str">
            <v>[]</v>
          </cell>
          <cell r="Z88" t="str">
            <v>0,2.367,0</v>
          </cell>
          <cell r="AA88">
            <v>0</v>
          </cell>
          <cell r="AB88">
            <v>6</v>
          </cell>
          <cell r="AC88" t="str">
            <v>[]</v>
          </cell>
          <cell r="AD88" t="str">
            <v>[]</v>
          </cell>
          <cell r="AE88" t="str">
            <v>[]</v>
          </cell>
          <cell r="AF88" t="str">
            <v>zixiaxianzi_skill04</v>
          </cell>
          <cell r="AG88" t="str">
            <v>common_hit_qinwuqi</v>
          </cell>
          <cell r="AH88" t="str">
            <v>[]</v>
          </cell>
          <cell r="AI88" t="str">
            <v>[]</v>
          </cell>
          <cell r="AJ88" t="str">
            <v>[]</v>
          </cell>
          <cell r="AK88" t="str">
            <v>[]</v>
          </cell>
          <cell r="AL88" t="str">
            <v>[]</v>
          </cell>
          <cell r="AM88" t="str">
            <v>zhuoshaoT6N0.1</v>
          </cell>
          <cell r="AN88">
            <v>2</v>
          </cell>
          <cell r="AO88" t="str">
            <v>2.1,0.1,0.1,0.1,0.1</v>
          </cell>
          <cell r="AP88">
            <v>112106</v>
          </cell>
          <cell r="AQ88" t="str">
            <v>112106</v>
          </cell>
          <cell r="AR88" t="str">
            <v>[]</v>
          </cell>
          <cell r="AS88" t="str">
            <v>[]</v>
          </cell>
          <cell r="AT88" t="str">
            <v>1121</v>
          </cell>
          <cell r="AU88" t="str">
            <v>2450</v>
          </cell>
          <cell r="AV88" t="str">
            <v>紫霞仙子</v>
          </cell>
          <cell r="AW88" t="str">
            <v>04</v>
          </cell>
          <cell r="AX88">
            <v>1264</v>
          </cell>
          <cell r="AY88">
            <v>5</v>
          </cell>
          <cell r="BA88" t="str">
            <v>[]</v>
          </cell>
          <cell r="BE88" t="str">
            <v>[]</v>
          </cell>
          <cell r="BF88"/>
        </row>
        <row r="89">
          <cell r="A89" t="str">
            <v>zixiaxianzi_skill011</v>
          </cell>
          <cell r="B89" t="str">
            <v>奥义·盖世英雄</v>
          </cell>
          <cell r="C89" t="str">
            <v>召唤大圣之前世，对范围内敌人进行7次攻击，造成3次主角攻击力@s的法伤,同时提升自身@s的法伤，持续3秒，对处于流血状态的目标增加20%的伤害</v>
          </cell>
          <cell r="D89">
            <v>1266</v>
          </cell>
          <cell r="E89">
            <v>0</v>
          </cell>
          <cell r="F89" t="str">
            <v>[]</v>
          </cell>
          <cell r="G89" t="str">
            <v>紫霞仙子核心技能</v>
          </cell>
          <cell r="H89" t="str">
            <v>zixiaxianzi_skill01</v>
          </cell>
          <cell r="I89" t="str">
            <v>zixiaxianzi_skill01</v>
          </cell>
          <cell r="J89">
            <v>0</v>
          </cell>
          <cell r="K89">
            <v>10</v>
          </cell>
          <cell r="L89" t="str">
            <v>1|21</v>
          </cell>
          <cell r="M89">
            <v>2</v>
          </cell>
          <cell r="N89">
            <v>2</v>
          </cell>
          <cell r="O89">
            <v>2</v>
          </cell>
          <cell r="P89">
            <v>2</v>
          </cell>
          <cell r="Q89">
            <v>12</v>
          </cell>
          <cell r="R89" t="str">
            <v>2|1</v>
          </cell>
          <cell r="S89" t="str">
            <v>2|6</v>
          </cell>
          <cell r="T89">
            <v>10</v>
          </cell>
          <cell r="U89">
            <v>1</v>
          </cell>
          <cell r="V89">
            <v>0</v>
          </cell>
          <cell r="W89" t="str">
            <v>[]</v>
          </cell>
          <cell r="X89">
            <v>0</v>
          </cell>
          <cell r="Y89" t="str">
            <v>[]</v>
          </cell>
          <cell r="Z89" t="str">
            <v>0,1,0</v>
          </cell>
          <cell r="AA89">
            <v>0</v>
          </cell>
          <cell r="AB89" t="str">
            <v>12</v>
          </cell>
          <cell r="AC89" t="str">
            <v>[]</v>
          </cell>
          <cell r="AD89" t="str">
            <v>[]</v>
          </cell>
          <cell r="AE89" t="str">
            <v>[]</v>
          </cell>
          <cell r="AF89" t="str">
            <v>zixiaxianzi_skill01</v>
          </cell>
          <cell r="AG89" t="str">
            <v>common_hit_qinwuqi</v>
          </cell>
          <cell r="AH89" t="str">
            <v>[]</v>
          </cell>
          <cell r="AI89" t="str">
            <v>[]</v>
          </cell>
          <cell r="AJ89" t="str">
            <v>[]</v>
          </cell>
          <cell r="AK89" t="str">
            <v>[]</v>
          </cell>
          <cell r="AL89" t="str">
            <v>yishangT3N0.2</v>
          </cell>
          <cell r="AM89" t="str">
            <v>[]</v>
          </cell>
          <cell r="AN89">
            <v>1</v>
          </cell>
          <cell r="AO89" t="str">
            <v>0.7,0.2,0.2,0.2,0.2,0.2,0.2</v>
          </cell>
          <cell r="AP89">
            <v>112107</v>
          </cell>
          <cell r="AQ89" t="str">
            <v>112107,9020</v>
          </cell>
          <cell r="AR89" t="str">
            <v>[]</v>
          </cell>
          <cell r="AS89" t="str">
            <v>lxjf20</v>
          </cell>
          <cell r="AT89" t="str">
            <v>1121</v>
          </cell>
          <cell r="AU89" t="str">
            <v>2420</v>
          </cell>
          <cell r="AV89" t="str">
            <v>紫霞仙子</v>
          </cell>
          <cell r="AW89" t="str">
            <v>11</v>
          </cell>
          <cell r="AX89">
            <v>1266</v>
          </cell>
          <cell r="AY89">
            <v>7</v>
          </cell>
          <cell r="BA89" t="str">
            <v>[]</v>
          </cell>
          <cell r="BE89" t="str">
            <v>[]</v>
          </cell>
          <cell r="BF89"/>
        </row>
        <row r="90">
          <cell r="A90" t="str">
            <v>zixiaxianzi_skill021</v>
          </cell>
          <cell r="B90" t="str">
            <v>奥义·紫霄之芒</v>
          </cell>
          <cell r="C90" t="str">
            <v>剑出飞鸾，对范围内敌人进行3次攻击，造成自身攻击力@s的法伤，并增加敌人受到的伤害@s，持续3秒</v>
          </cell>
          <cell r="D90">
            <v>1268</v>
          </cell>
          <cell r="E90">
            <v>0</v>
          </cell>
          <cell r="F90" t="str">
            <v>[]</v>
          </cell>
          <cell r="G90" t="str">
            <v>紫霞仙子技能2</v>
          </cell>
          <cell r="H90" t="str">
            <v>zixiaxianzi_skill02</v>
          </cell>
          <cell r="I90" t="str">
            <v>[]</v>
          </cell>
          <cell r="J90">
            <v>1</v>
          </cell>
          <cell r="K90">
            <v>10</v>
          </cell>
          <cell r="L90" t="str">
            <v>[]</v>
          </cell>
          <cell r="M90">
            <v>2</v>
          </cell>
          <cell r="N90">
            <v>2</v>
          </cell>
          <cell r="O90">
            <v>2</v>
          </cell>
          <cell r="P90">
            <v>2</v>
          </cell>
          <cell r="Q90">
            <v>12</v>
          </cell>
          <cell r="R90" t="str">
            <v>2|1</v>
          </cell>
          <cell r="S90" t="str">
            <v>2|6</v>
          </cell>
          <cell r="T90">
            <v>10</v>
          </cell>
          <cell r="U90">
            <v>1</v>
          </cell>
          <cell r="V90">
            <v>0</v>
          </cell>
          <cell r="W90" t="str">
            <v>[]</v>
          </cell>
          <cell r="X90">
            <v>3</v>
          </cell>
          <cell r="Y90" t="str">
            <v>[]</v>
          </cell>
          <cell r="Z90" t="str">
            <v>0,1.1,0</v>
          </cell>
          <cell r="AA90">
            <v>0</v>
          </cell>
          <cell r="AB90">
            <v>6</v>
          </cell>
          <cell r="AC90" t="str">
            <v>[]</v>
          </cell>
          <cell r="AD90" t="str">
            <v>[]</v>
          </cell>
          <cell r="AE90" t="str">
            <v>[]</v>
          </cell>
          <cell r="AF90" t="str">
            <v>zixiaxianzi_skill02</v>
          </cell>
          <cell r="AG90" t="str">
            <v>common_hit_qinwuqi</v>
          </cell>
          <cell r="AH90" t="str">
            <v>[]</v>
          </cell>
          <cell r="AI90" t="str">
            <v>[]</v>
          </cell>
          <cell r="AJ90" t="str">
            <v>[]</v>
          </cell>
          <cell r="AK90" t="str">
            <v>[]</v>
          </cell>
          <cell r="AL90" t="str">
            <v>[]</v>
          </cell>
          <cell r="AM90" t="str">
            <v>jiashangupT3N0.2</v>
          </cell>
          <cell r="AN90">
            <v>1</v>
          </cell>
          <cell r="AO90" t="str">
            <v>0.1,0.1,0.1</v>
          </cell>
          <cell r="AP90">
            <v>112108</v>
          </cell>
          <cell r="AQ90" t="str">
            <v>112108,9015</v>
          </cell>
          <cell r="AR90" t="str">
            <v>[]</v>
          </cell>
          <cell r="AS90" t="str">
            <v>[]</v>
          </cell>
          <cell r="AT90" t="str">
            <v>1121</v>
          </cell>
          <cell r="AU90" t="str">
            <v>2430</v>
          </cell>
          <cell r="AV90" t="str">
            <v>紫霞仙子</v>
          </cell>
          <cell r="AW90" t="str">
            <v>21</v>
          </cell>
          <cell r="AX90">
            <v>1268</v>
          </cell>
          <cell r="AY90">
            <v>3</v>
          </cell>
          <cell r="BA90" t="str">
            <v>[]</v>
          </cell>
          <cell r="BE90" t="str">
            <v>[]</v>
          </cell>
          <cell r="BF90"/>
        </row>
        <row r="91">
          <cell r="A91" t="str">
            <v>zixiaxianzi_skill041</v>
          </cell>
          <cell r="B91" t="str">
            <v>奥义·惊鸿掠影</v>
          </cell>
          <cell r="C91" t="str">
            <v>剑快留痕，对范围内敌人进行5次攻击，造成自身攻击力@s的法伤,并造成高级灼烧效果，持续6秒</v>
          </cell>
          <cell r="D91">
            <v>1270</v>
          </cell>
          <cell r="E91">
            <v>2</v>
          </cell>
          <cell r="F91" t="str">
            <v>boss_warning_juxing</v>
          </cell>
          <cell r="G91" t="str">
            <v>紫霞仙子技能4</v>
          </cell>
          <cell r="H91" t="str">
            <v>zixiaxianzi_skill04</v>
          </cell>
          <cell r="I91" t="str">
            <v>[]</v>
          </cell>
          <cell r="J91">
            <v>3</v>
          </cell>
          <cell r="K91">
            <v>10</v>
          </cell>
          <cell r="L91" t="str">
            <v>[]</v>
          </cell>
          <cell r="M91">
            <v>2</v>
          </cell>
          <cell r="N91">
            <v>2</v>
          </cell>
          <cell r="O91">
            <v>2</v>
          </cell>
          <cell r="P91">
            <v>2</v>
          </cell>
          <cell r="Q91">
            <v>12</v>
          </cell>
          <cell r="R91" t="str">
            <v>2|1</v>
          </cell>
          <cell r="S91" t="str">
            <v>2|6</v>
          </cell>
          <cell r="T91">
            <v>10</v>
          </cell>
          <cell r="U91">
            <v>1</v>
          </cell>
          <cell r="V91">
            <v>0</v>
          </cell>
          <cell r="W91" t="str">
            <v>[]</v>
          </cell>
          <cell r="X91">
            <v>3</v>
          </cell>
          <cell r="Y91" t="str">
            <v>[]</v>
          </cell>
          <cell r="Z91" t="str">
            <v>0,2.367,0</v>
          </cell>
          <cell r="AA91">
            <v>0</v>
          </cell>
          <cell r="AB91">
            <v>6</v>
          </cell>
          <cell r="AC91" t="str">
            <v>[]</v>
          </cell>
          <cell r="AD91" t="str">
            <v>[]</v>
          </cell>
          <cell r="AE91" t="str">
            <v>[]</v>
          </cell>
          <cell r="AF91" t="str">
            <v>zixiaxianzi_skill04</v>
          </cell>
          <cell r="AG91" t="str">
            <v>common_hit_qinwuqi</v>
          </cell>
          <cell r="AH91" t="str">
            <v>[]</v>
          </cell>
          <cell r="AI91" t="str">
            <v>[]</v>
          </cell>
          <cell r="AJ91" t="str">
            <v>[]</v>
          </cell>
          <cell r="AK91" t="str">
            <v>[]</v>
          </cell>
          <cell r="AL91" t="str">
            <v>[]</v>
          </cell>
          <cell r="AM91" t="str">
            <v>zhuoshaoT6N0.2</v>
          </cell>
          <cell r="AN91">
            <v>2</v>
          </cell>
          <cell r="AO91" t="str">
            <v>2.1,0.1,0.1,0.1,0.1</v>
          </cell>
          <cell r="AP91">
            <v>112109</v>
          </cell>
          <cell r="AQ91" t="str">
            <v>112109</v>
          </cell>
          <cell r="AR91" t="str">
            <v>[]</v>
          </cell>
          <cell r="AS91" t="str">
            <v>[]</v>
          </cell>
          <cell r="AT91" t="str">
            <v>1121</v>
          </cell>
          <cell r="AU91" t="str">
            <v>2450</v>
          </cell>
          <cell r="AV91" t="str">
            <v>紫霞仙子</v>
          </cell>
          <cell r="AW91" t="str">
            <v>41</v>
          </cell>
          <cell r="AX91">
            <v>1270</v>
          </cell>
          <cell r="AY91">
            <v>5</v>
          </cell>
          <cell r="BA91" t="str">
            <v>[]</v>
          </cell>
          <cell r="BE91" t="str">
            <v>[]</v>
          </cell>
          <cell r="BF91"/>
        </row>
        <row r="92">
          <cell r="A92" t="str">
            <v>douzhanshengfo_attack</v>
          </cell>
          <cell r="B92" t="str">
            <v>普攻</v>
          </cell>
          <cell r="C92" t="str">
            <v>普攻</v>
          </cell>
          <cell r="D92" t="str">
            <v>[]</v>
          </cell>
          <cell r="E92">
            <v>0</v>
          </cell>
          <cell r="F92" t="str">
            <v>[]</v>
          </cell>
          <cell r="G92" t="str">
            <v>斗战胜佛近战攻击</v>
          </cell>
          <cell r="H92" t="str">
            <v>[]</v>
          </cell>
          <cell r="I92" t="str">
            <v>[]</v>
          </cell>
          <cell r="J92">
            <v>0</v>
          </cell>
          <cell r="K92">
            <v>1</v>
          </cell>
          <cell r="L92" t="str">
            <v>[]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3</v>
          </cell>
          <cell r="R92" t="str">
            <v>2|1</v>
          </cell>
          <cell r="S92" t="str">
            <v>4|0.2</v>
          </cell>
          <cell r="T92">
            <v>1</v>
          </cell>
          <cell r="U92">
            <v>1</v>
          </cell>
          <cell r="V92">
            <v>0</v>
          </cell>
          <cell r="W92" t="str">
            <v>[]</v>
          </cell>
          <cell r="X92">
            <v>0</v>
          </cell>
          <cell r="Y92" t="str">
            <v>[]</v>
          </cell>
          <cell r="Z92" t="str">
            <v>0,1,0</v>
          </cell>
          <cell r="AA92">
            <v>0</v>
          </cell>
          <cell r="AB92" t="str">
            <v>[]</v>
          </cell>
          <cell r="AC92" t="str">
            <v>[]</v>
          </cell>
          <cell r="AD92" t="str">
            <v>[]</v>
          </cell>
          <cell r="AE92" t="str">
            <v>[]</v>
          </cell>
          <cell r="AF92" t="str">
            <v>douzhanshengfo_attack</v>
          </cell>
          <cell r="AG92" t="str">
            <v>common_hit_dunqi</v>
          </cell>
          <cell r="AH92" t="str">
            <v>[]</v>
          </cell>
          <cell r="AI92" t="str">
            <v>[]</v>
          </cell>
          <cell r="AJ92" t="str">
            <v>[]</v>
          </cell>
          <cell r="AK92" t="str">
            <v>[]</v>
          </cell>
          <cell r="AL92" t="str">
            <v>[]</v>
          </cell>
          <cell r="AM92" t="str">
            <v>[]</v>
          </cell>
          <cell r="AN92">
            <v>1</v>
          </cell>
          <cell r="AO92">
            <v>0.3</v>
          </cell>
          <cell r="AP92">
            <v>121100</v>
          </cell>
          <cell r="AQ92" t="str">
            <v>121100</v>
          </cell>
          <cell r="AR92" t="str">
            <v>[]</v>
          </cell>
          <cell r="AS92" t="str">
            <v>[]</v>
          </cell>
          <cell r="AT92" t="str">
            <v>1211</v>
          </cell>
          <cell r="AU92" t="str">
            <v>2460</v>
          </cell>
          <cell r="AV92" t="str">
            <v>斗战胜佛近战攻击</v>
          </cell>
          <cell r="AW92" t="str">
            <v>ck</v>
          </cell>
          <cell r="AX92" t="str">
            <v>[]</v>
          </cell>
          <cell r="AY92">
            <v>1</v>
          </cell>
          <cell r="BA92" t="str">
            <v>[]</v>
          </cell>
          <cell r="BE92" t="str">
            <v>[]</v>
          </cell>
          <cell r="BF92"/>
        </row>
        <row r="93">
          <cell r="A93" t="str">
            <v>douzhanshengfo_attack02</v>
          </cell>
          <cell r="B93" t="str">
            <v>普攻</v>
          </cell>
          <cell r="C93" t="str">
            <v>普攻</v>
          </cell>
          <cell r="D93" t="str">
            <v>[]</v>
          </cell>
          <cell r="E93">
            <v>0</v>
          </cell>
          <cell r="F93" t="str">
            <v>[]</v>
          </cell>
          <cell r="G93" t="str">
            <v>斗战胜佛近战攻击</v>
          </cell>
          <cell r="H93" t="str">
            <v>[]</v>
          </cell>
          <cell r="I93" t="str">
            <v>[]</v>
          </cell>
          <cell r="J93">
            <v>0</v>
          </cell>
          <cell r="K93">
            <v>1</v>
          </cell>
          <cell r="L93" t="str">
            <v>[]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3</v>
          </cell>
          <cell r="R93" t="str">
            <v>2|1</v>
          </cell>
          <cell r="S93" t="str">
            <v>4|0.2</v>
          </cell>
          <cell r="T93">
            <v>1</v>
          </cell>
          <cell r="U93">
            <v>1</v>
          </cell>
          <cell r="V93">
            <v>0</v>
          </cell>
          <cell r="W93" t="str">
            <v>[]</v>
          </cell>
          <cell r="X93">
            <v>0</v>
          </cell>
          <cell r="Y93" t="str">
            <v>[]</v>
          </cell>
          <cell r="Z93" t="str">
            <v>0,1,0</v>
          </cell>
          <cell r="AA93">
            <v>0</v>
          </cell>
          <cell r="AB93" t="str">
            <v>[]</v>
          </cell>
          <cell r="AC93" t="str">
            <v>[]</v>
          </cell>
          <cell r="AD93" t="str">
            <v>[]</v>
          </cell>
          <cell r="AE93" t="str">
            <v>[]</v>
          </cell>
          <cell r="AF93" t="str">
            <v>douzhanshengfo_attack02</v>
          </cell>
          <cell r="AG93" t="str">
            <v>common_hit_dunqi</v>
          </cell>
          <cell r="AH93" t="str">
            <v>[]</v>
          </cell>
          <cell r="AI93" t="str">
            <v>[]</v>
          </cell>
          <cell r="AJ93" t="str">
            <v>[]</v>
          </cell>
          <cell r="AK93" t="str">
            <v>[]</v>
          </cell>
          <cell r="AL93" t="str">
            <v>[]</v>
          </cell>
          <cell r="AM93" t="str">
            <v>[]</v>
          </cell>
          <cell r="AN93">
            <v>1</v>
          </cell>
          <cell r="AO93">
            <v>0.36299999999999999</v>
          </cell>
          <cell r="AP93">
            <v>121101</v>
          </cell>
          <cell r="AQ93" t="str">
            <v>121101</v>
          </cell>
          <cell r="AR93" t="str">
            <v>[]</v>
          </cell>
          <cell r="AS93" t="str">
            <v>[]</v>
          </cell>
          <cell r="AT93" t="str">
            <v>1211</v>
          </cell>
          <cell r="AU93" t="str">
            <v>2460</v>
          </cell>
          <cell r="AV93" t="str">
            <v>斗战胜佛近战攻击</v>
          </cell>
          <cell r="AW93" t="str">
            <v>02</v>
          </cell>
          <cell r="AX93" t="str">
            <v>[]</v>
          </cell>
          <cell r="AY93">
            <v>1</v>
          </cell>
          <cell r="BA93" t="str">
            <v>[]</v>
          </cell>
          <cell r="BE93" t="str">
            <v>[]</v>
          </cell>
          <cell r="BF93"/>
        </row>
        <row r="94">
          <cell r="A94" t="str">
            <v>douzhanshengfo_attack03</v>
          </cell>
          <cell r="B94" t="str">
            <v>普攻</v>
          </cell>
          <cell r="C94" t="str">
            <v>普攻</v>
          </cell>
          <cell r="D94">
            <v>1262</v>
          </cell>
          <cell r="E94">
            <v>0</v>
          </cell>
          <cell r="F94" t="str">
            <v>[]</v>
          </cell>
          <cell r="G94" t="str">
            <v>斗战胜佛近战攻击</v>
          </cell>
          <cell r="H94" t="str">
            <v>[]</v>
          </cell>
          <cell r="I94" t="str">
            <v>[]</v>
          </cell>
          <cell r="J94">
            <v>0</v>
          </cell>
          <cell r="K94">
            <v>1</v>
          </cell>
          <cell r="L94" t="str">
            <v>[]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3</v>
          </cell>
          <cell r="R94" t="str">
            <v>2|1</v>
          </cell>
          <cell r="S94" t="str">
            <v>4|0.2</v>
          </cell>
          <cell r="T94">
            <v>1</v>
          </cell>
          <cell r="U94">
            <v>1</v>
          </cell>
          <cell r="V94">
            <v>0</v>
          </cell>
          <cell r="W94" t="str">
            <v>[]</v>
          </cell>
          <cell r="X94">
            <v>0</v>
          </cell>
          <cell r="Y94" t="str">
            <v>[]</v>
          </cell>
          <cell r="Z94" t="str">
            <v>0,1,0</v>
          </cell>
          <cell r="AA94">
            <v>0</v>
          </cell>
          <cell r="AB94" t="str">
            <v>[]</v>
          </cell>
          <cell r="AC94" t="str">
            <v>[]</v>
          </cell>
          <cell r="AD94" t="str">
            <v>[]</v>
          </cell>
          <cell r="AE94" t="str">
            <v>[]</v>
          </cell>
          <cell r="AF94" t="str">
            <v>douzhanshengfo_attack03</v>
          </cell>
          <cell r="AG94" t="str">
            <v>common_hit_dunqi</v>
          </cell>
          <cell r="AH94" t="str">
            <v>[]</v>
          </cell>
          <cell r="AI94" t="str">
            <v>[]</v>
          </cell>
          <cell r="AJ94" t="str">
            <v>[]</v>
          </cell>
          <cell r="AK94" t="str">
            <v>[]</v>
          </cell>
          <cell r="AL94" t="str">
            <v>[]</v>
          </cell>
          <cell r="AM94" t="str">
            <v>[]</v>
          </cell>
          <cell r="AN94">
            <v>1</v>
          </cell>
          <cell r="AO94">
            <v>0.29699999999999999</v>
          </cell>
          <cell r="AP94">
            <v>121102</v>
          </cell>
          <cell r="AQ94" t="str">
            <v>121102</v>
          </cell>
          <cell r="AR94" t="str">
            <v>[]</v>
          </cell>
          <cell r="AS94" t="str">
            <v>[]</v>
          </cell>
          <cell r="AT94" t="str">
            <v>1211</v>
          </cell>
          <cell r="AU94" t="str">
            <v>2460</v>
          </cell>
          <cell r="AV94" t="str">
            <v>斗战胜佛近战攻击</v>
          </cell>
          <cell r="AW94" t="str">
            <v>03</v>
          </cell>
          <cell r="AX94">
            <v>1262</v>
          </cell>
          <cell r="AY94">
            <v>1</v>
          </cell>
          <cell r="BA94" t="str">
            <v>[]</v>
          </cell>
          <cell r="BE94" t="str">
            <v>[]</v>
          </cell>
          <cell r="BF94"/>
        </row>
        <row r="95">
          <cell r="A95" t="str">
            <v>douzhanshengfo_skill01</v>
          </cell>
          <cell r="B95" t="str">
            <v>如意金箍棒</v>
          </cell>
          <cell r="C95" t="str">
            <v>一棍定乾坤，对范围内敌人造成3次主角攻击力@s的物伤，每次攻击有21%概率昏迷敌人2秒，若对方处于被控制状态，无视对方10%的物理防御</v>
          </cell>
          <cell r="D95" t="str">
            <v>[]</v>
          </cell>
          <cell r="E95">
            <v>0</v>
          </cell>
          <cell r="F95" t="str">
            <v>[]</v>
          </cell>
          <cell r="G95" t="str">
            <v>斗战胜佛核心技能</v>
          </cell>
          <cell r="H95" t="str">
            <v>douzhanshengfo_skill01</v>
          </cell>
          <cell r="I95" t="str">
            <v>douzhanshengfo_skill01</v>
          </cell>
          <cell r="J95">
            <v>0</v>
          </cell>
          <cell r="K95">
            <v>10</v>
          </cell>
          <cell r="L95" t="str">
            <v>1|19</v>
          </cell>
          <cell r="M95">
            <v>2</v>
          </cell>
          <cell r="N95">
            <v>2</v>
          </cell>
          <cell r="O95">
            <v>2</v>
          </cell>
          <cell r="P95">
            <v>2</v>
          </cell>
          <cell r="Q95">
            <v>12</v>
          </cell>
          <cell r="R95" t="str">
            <v>2|1</v>
          </cell>
          <cell r="S95" t="str">
            <v>1|9|6</v>
          </cell>
          <cell r="T95">
            <v>10</v>
          </cell>
          <cell r="U95">
            <v>1</v>
          </cell>
          <cell r="V95">
            <v>0</v>
          </cell>
          <cell r="W95" t="str">
            <v>[]</v>
          </cell>
          <cell r="X95">
            <v>0</v>
          </cell>
          <cell r="Y95" t="str">
            <v>[]</v>
          </cell>
          <cell r="Z95" t="str">
            <v>0,1,0</v>
          </cell>
          <cell r="AA95">
            <v>0</v>
          </cell>
          <cell r="AB95" t="str">
            <v>12</v>
          </cell>
          <cell r="AC95" t="str">
            <v>[]</v>
          </cell>
          <cell r="AD95" t="str">
            <v>[]</v>
          </cell>
          <cell r="AE95" t="str">
            <v>[]</v>
          </cell>
          <cell r="AF95" t="str">
            <v>douzhanshengfo_skill01</v>
          </cell>
          <cell r="AG95" t="str">
            <v>common_hit_dunqi</v>
          </cell>
          <cell r="AH95" t="str">
            <v>[]</v>
          </cell>
          <cell r="AI95" t="str">
            <v>[]</v>
          </cell>
          <cell r="AJ95" t="str">
            <v>douzhanshengfo_skill01_shock</v>
          </cell>
          <cell r="AK95" t="str">
            <v>yunxuanT1NP0.2</v>
          </cell>
          <cell r="AL95" t="str">
            <v>[]</v>
          </cell>
          <cell r="AM95" t="str">
            <v>[]</v>
          </cell>
          <cell r="AN95">
            <v>2</v>
          </cell>
          <cell r="AO95" t="str">
            <v>2,0.1,0.1</v>
          </cell>
          <cell r="AP95">
            <v>121103</v>
          </cell>
          <cell r="AQ95" t="str">
            <v>121103</v>
          </cell>
          <cell r="AR95" t="str">
            <v>[]</v>
          </cell>
          <cell r="AS95" t="str">
            <v>xuanyun10</v>
          </cell>
          <cell r="AT95" t="str">
            <v>1211</v>
          </cell>
          <cell r="AU95" t="str">
            <v>2470</v>
          </cell>
          <cell r="AV95" t="str">
            <v>斗战胜佛</v>
          </cell>
          <cell r="AW95" t="str">
            <v>01</v>
          </cell>
          <cell r="AX95" t="str">
            <v>[]</v>
          </cell>
          <cell r="AY95">
            <v>3</v>
          </cell>
          <cell r="AZ95">
            <v>0.5</v>
          </cell>
          <cell r="BA95">
            <v>0.20699999999999999</v>
          </cell>
          <cell r="BB95" t="str">
            <v>眩晕</v>
          </cell>
          <cell r="BE95">
            <v>0.5</v>
          </cell>
          <cell r="BF95" t="str">
            <v>50</v>
          </cell>
        </row>
        <row r="96">
          <cell r="A96" t="str">
            <v>douzhanshengfo_skill02</v>
          </cell>
          <cell r="B96" t="str">
            <v>破碎虚空</v>
          </cell>
          <cell r="C96" t="str">
            <v>棍出如龙，对敌人进行3次攻击，造成自身攻击力@s的物伤，并使敌人受到的伤害增加@s，持续3秒</v>
          </cell>
          <cell r="D96" t="str">
            <v>[]</v>
          </cell>
          <cell r="E96">
            <v>2</v>
          </cell>
          <cell r="F96" t="str">
            <v>boss_warning_shanxing90</v>
          </cell>
          <cell r="G96" t="str">
            <v>斗战胜佛技能1</v>
          </cell>
          <cell r="H96" t="str">
            <v>douzhanshengfo_skill02</v>
          </cell>
          <cell r="I96" t="str">
            <v>[]</v>
          </cell>
          <cell r="J96">
            <v>1</v>
          </cell>
          <cell r="K96">
            <v>10</v>
          </cell>
          <cell r="L96" t="str">
            <v>[]</v>
          </cell>
          <cell r="M96">
            <v>2</v>
          </cell>
          <cell r="N96">
            <v>2</v>
          </cell>
          <cell r="O96">
            <v>1</v>
          </cell>
          <cell r="P96">
            <v>2</v>
          </cell>
          <cell r="Q96">
            <v>4</v>
          </cell>
          <cell r="R96" t="str">
            <v>2|1</v>
          </cell>
          <cell r="S96" t="str">
            <v>4|0.2</v>
          </cell>
          <cell r="T96">
            <v>10</v>
          </cell>
          <cell r="U96">
            <v>0</v>
          </cell>
          <cell r="V96">
            <v>0</v>
          </cell>
          <cell r="W96" t="str">
            <v>[]</v>
          </cell>
          <cell r="X96">
            <v>3</v>
          </cell>
          <cell r="Y96" t="str">
            <v>[]</v>
          </cell>
          <cell r="Z96" t="str">
            <v>0,1.8,0</v>
          </cell>
          <cell r="AA96">
            <v>0</v>
          </cell>
          <cell r="AB96">
            <v>6</v>
          </cell>
          <cell r="AC96" t="str">
            <v>[]</v>
          </cell>
          <cell r="AD96" t="str">
            <v>[]</v>
          </cell>
          <cell r="AE96" t="str">
            <v>[]</v>
          </cell>
          <cell r="AF96" t="str">
            <v>douzhanshengfo_skill02</v>
          </cell>
          <cell r="AG96" t="str">
            <v>[]</v>
          </cell>
          <cell r="AH96" t="str">
            <v>[]</v>
          </cell>
          <cell r="AI96" t="str">
            <v>[]</v>
          </cell>
          <cell r="AJ96" t="str">
            <v>[]</v>
          </cell>
          <cell r="AK96" t="str">
            <v>[]</v>
          </cell>
          <cell r="AL96" t="str">
            <v>[]</v>
          </cell>
          <cell r="AM96" t="str">
            <v>jiashangupT3N0.1</v>
          </cell>
          <cell r="AN96">
            <v>1</v>
          </cell>
          <cell r="AO96" t="str">
            <v>0.3,0.27,0.6</v>
          </cell>
          <cell r="AP96">
            <v>121104</v>
          </cell>
          <cell r="AQ96" t="str">
            <v>121104,9010</v>
          </cell>
          <cell r="AR96" t="str">
            <v>[]</v>
          </cell>
          <cell r="AS96" t="str">
            <v>[]</v>
          </cell>
          <cell r="AT96" t="str">
            <v>1211</v>
          </cell>
          <cell r="AU96" t="str">
            <v>2480</v>
          </cell>
          <cell r="AV96" t="str">
            <v>斗战胜佛</v>
          </cell>
          <cell r="AW96" t="str">
            <v>02</v>
          </cell>
          <cell r="AX96" t="str">
            <v>[]</v>
          </cell>
          <cell r="AY96">
            <v>3</v>
          </cell>
          <cell r="BA96" t="str">
            <v>[]</v>
          </cell>
          <cell r="BE96" t="str">
            <v>[]</v>
          </cell>
          <cell r="BF96"/>
        </row>
        <row r="97">
          <cell r="A97" t="str">
            <v>douzhanshengfo_skill03</v>
          </cell>
          <cell r="B97" t="str">
            <v>乘胜追击</v>
          </cell>
          <cell r="C97" t="str">
            <v>提升自身@s的真实暴击率，发动技能时有概率进入霸体状态1秒[霸体状态无视控制和减益效果]</v>
          </cell>
          <cell r="D97">
            <v>1262</v>
          </cell>
          <cell r="E97">
            <v>0</v>
          </cell>
          <cell r="F97" t="str">
            <v>[]</v>
          </cell>
          <cell r="G97" t="str">
            <v>斗战胜佛被动技能</v>
          </cell>
          <cell r="H97" t="str">
            <v>wugong</v>
          </cell>
          <cell r="I97" t="str">
            <v>[]</v>
          </cell>
          <cell r="J97">
            <v>2</v>
          </cell>
          <cell r="K97">
            <v>10</v>
          </cell>
          <cell r="L97" t="str">
            <v>[]</v>
          </cell>
          <cell r="M97">
            <v>2</v>
          </cell>
          <cell r="N97">
            <v>2</v>
          </cell>
          <cell r="O97">
            <v>3</v>
          </cell>
          <cell r="P97">
            <v>0</v>
          </cell>
          <cell r="Q97">
            <v>12</v>
          </cell>
          <cell r="R97">
            <v>1</v>
          </cell>
          <cell r="S97" t="str">
            <v>4|0.2</v>
          </cell>
          <cell r="T97">
            <v>10</v>
          </cell>
          <cell r="U97">
            <v>0</v>
          </cell>
          <cell r="V97">
            <v>0</v>
          </cell>
          <cell r="W97" t="str">
            <v>[]</v>
          </cell>
          <cell r="X97">
            <v>0</v>
          </cell>
          <cell r="Y97" t="str">
            <v>[]</v>
          </cell>
          <cell r="Z97" t="str">
            <v>0,0,0</v>
          </cell>
          <cell r="AA97">
            <v>0</v>
          </cell>
          <cell r="AB97" t="str">
            <v>[]</v>
          </cell>
          <cell r="AC97" t="str">
            <v>[]</v>
          </cell>
          <cell r="AD97" t="str">
            <v>[]</v>
          </cell>
          <cell r="AE97" t="str">
            <v>[]</v>
          </cell>
          <cell r="AF97" t="str">
            <v>[]</v>
          </cell>
          <cell r="AG97" t="str">
            <v>[]</v>
          </cell>
          <cell r="AH97" t="str">
            <v>[]</v>
          </cell>
          <cell r="AI97" t="str">
            <v>[]</v>
          </cell>
          <cell r="AJ97" t="str">
            <v>douzhanshengfo_skill03_bati</v>
          </cell>
          <cell r="AK97" t="str">
            <v>[]</v>
          </cell>
          <cell r="AL97" t="str">
            <v>baojiupT3N0.1b</v>
          </cell>
          <cell r="AM97" t="str">
            <v xml:space="preserve">   </v>
          </cell>
          <cell r="AN97">
            <v>0</v>
          </cell>
          <cell r="AO97" t="str">
            <v>[]</v>
          </cell>
          <cell r="AP97" t="str">
            <v>[]</v>
          </cell>
          <cell r="AQ97" t="str">
            <v>9010</v>
          </cell>
          <cell r="AR97" t="str">
            <v>[]</v>
          </cell>
          <cell r="AS97" t="str">
            <v>[]</v>
          </cell>
          <cell r="AT97" t="str">
            <v>9030</v>
          </cell>
          <cell r="AU97" t="str">
            <v>2490</v>
          </cell>
          <cell r="AV97" t="str">
            <v>斗战胜佛</v>
          </cell>
          <cell r="AW97" t="str">
            <v>03</v>
          </cell>
          <cell r="AX97">
            <v>1262</v>
          </cell>
          <cell r="AY97">
            <v>1</v>
          </cell>
          <cell r="BA97" t="str">
            <v>[]</v>
          </cell>
          <cell r="BE97" t="str">
            <v>[]</v>
          </cell>
          <cell r="BF97"/>
        </row>
        <row r="98">
          <cell r="A98" t="str">
            <v>douzhanshengfo_skill04</v>
          </cell>
          <cell r="B98" t="str">
            <v>一往无前</v>
          </cell>
          <cell r="C98" t="str">
            <v>神挡杀神，对范围内敌人进行7次攻击，造成自身攻击力@s的物伤，必定暴击，造成6秒流血效果</v>
          </cell>
          <cell r="D98">
            <v>1264</v>
          </cell>
          <cell r="E98">
            <v>2</v>
          </cell>
          <cell r="F98" t="str">
            <v>boss_warning_juxing</v>
          </cell>
          <cell r="G98" t="str">
            <v>斗战胜佛技能2</v>
          </cell>
          <cell r="H98" t="str">
            <v>douzhanshengfo_skill04</v>
          </cell>
          <cell r="I98" t="str">
            <v>[]</v>
          </cell>
          <cell r="J98">
            <v>3</v>
          </cell>
          <cell r="K98">
            <v>10</v>
          </cell>
          <cell r="L98" t="str">
            <v>[]</v>
          </cell>
          <cell r="M98">
            <v>2</v>
          </cell>
          <cell r="N98">
            <v>2</v>
          </cell>
          <cell r="O98">
            <v>1</v>
          </cell>
          <cell r="P98">
            <v>2</v>
          </cell>
          <cell r="Q98">
            <v>4</v>
          </cell>
          <cell r="R98" t="str">
            <v>2|1</v>
          </cell>
          <cell r="S98" t="str">
            <v>2|6</v>
          </cell>
          <cell r="T98">
            <v>10</v>
          </cell>
          <cell r="U98">
            <v>1</v>
          </cell>
          <cell r="V98">
            <v>0</v>
          </cell>
          <cell r="W98" t="str">
            <v>[]</v>
          </cell>
          <cell r="X98">
            <v>0</v>
          </cell>
          <cell r="Y98" t="str">
            <v>[]</v>
          </cell>
          <cell r="Z98" t="str">
            <v>0,2.2,0</v>
          </cell>
          <cell r="AA98">
            <v>0</v>
          </cell>
          <cell r="AB98">
            <v>6</v>
          </cell>
          <cell r="AC98" t="str">
            <v>[]</v>
          </cell>
          <cell r="AD98" t="str">
            <v>[]</v>
          </cell>
          <cell r="AE98" t="str">
            <v>douzhanshengfo_skill04_wq</v>
          </cell>
          <cell r="AF98" t="str">
            <v>douzhanshengfo_skill04</v>
          </cell>
          <cell r="AG98" t="str">
            <v>common_hit_dunqi</v>
          </cell>
          <cell r="AH98" t="str">
            <v>[]</v>
          </cell>
          <cell r="AI98" t="str">
            <v>[]</v>
          </cell>
          <cell r="AJ98" t="str">
            <v>shock</v>
          </cell>
          <cell r="AK98" t="str">
            <v>[]</v>
          </cell>
          <cell r="AL98" t="str">
            <v>buff_douzhanshengfo_bibao</v>
          </cell>
          <cell r="AM98" t="str">
            <v>liuxueT6N0.1</v>
          </cell>
          <cell r="AN98">
            <v>2</v>
          </cell>
          <cell r="AO98" t="str">
            <v>0.17,0.2,0.23,0.27,0.33,0.3,0.3</v>
          </cell>
          <cell r="AP98">
            <v>121106</v>
          </cell>
          <cell r="AQ98" t="str">
            <v>121106</v>
          </cell>
          <cell r="AR98" t="str">
            <v>[]</v>
          </cell>
          <cell r="AS98" t="str">
            <v>[]</v>
          </cell>
          <cell r="AT98" t="str">
            <v>1211</v>
          </cell>
          <cell r="AU98" t="str">
            <v>2500</v>
          </cell>
          <cell r="AV98" t="str">
            <v>斗战胜佛</v>
          </cell>
          <cell r="AW98" t="str">
            <v>04</v>
          </cell>
          <cell r="AX98">
            <v>1264</v>
          </cell>
          <cell r="AY98">
            <v>7</v>
          </cell>
          <cell r="BA98" t="str">
            <v>[]</v>
          </cell>
          <cell r="BE98" t="str">
            <v>[]</v>
          </cell>
          <cell r="BF98"/>
        </row>
        <row r="99">
          <cell r="A99" t="str">
            <v>douzhanshengfo_skill011</v>
          </cell>
          <cell r="B99" t="str">
            <v>奥义·如意金箍棒</v>
          </cell>
          <cell r="C99" t="str">
            <v>一棍定乾坤，对范围内敌人造成3次主角攻击力@s的物伤，27%概率昏迷敌人3秒，若对方被控制状态,无视对方20%的物理防御和抗暴</v>
          </cell>
          <cell r="D99">
            <v>1266</v>
          </cell>
          <cell r="E99">
            <v>0</v>
          </cell>
          <cell r="F99" t="str">
            <v>[]</v>
          </cell>
          <cell r="G99" t="str">
            <v>斗战胜佛核心技能</v>
          </cell>
          <cell r="H99" t="str">
            <v>douzhanshengfo_skill01</v>
          </cell>
          <cell r="I99" t="str">
            <v>douzhanshengfo_skill01</v>
          </cell>
          <cell r="J99">
            <v>0</v>
          </cell>
          <cell r="K99">
            <v>10</v>
          </cell>
          <cell r="L99" t="str">
            <v>1|19</v>
          </cell>
          <cell r="M99">
            <v>2</v>
          </cell>
          <cell r="N99">
            <v>2</v>
          </cell>
          <cell r="O99">
            <v>2</v>
          </cell>
          <cell r="P99">
            <v>2</v>
          </cell>
          <cell r="Q99">
            <v>12</v>
          </cell>
          <cell r="R99" t="str">
            <v>2|1</v>
          </cell>
          <cell r="S99" t="str">
            <v>1|9|6</v>
          </cell>
          <cell r="T99">
            <v>10</v>
          </cell>
          <cell r="U99">
            <v>1</v>
          </cell>
          <cell r="V99">
            <v>0</v>
          </cell>
          <cell r="W99" t="str">
            <v>[]</v>
          </cell>
          <cell r="X99">
            <v>0</v>
          </cell>
          <cell r="Y99" t="str">
            <v>[]</v>
          </cell>
          <cell r="Z99" t="str">
            <v>0,1,0</v>
          </cell>
          <cell r="AA99">
            <v>0</v>
          </cell>
          <cell r="AB99" t="str">
            <v>12</v>
          </cell>
          <cell r="AC99" t="str">
            <v>[]</v>
          </cell>
          <cell r="AD99" t="str">
            <v>[]</v>
          </cell>
          <cell r="AE99" t="str">
            <v>[]</v>
          </cell>
          <cell r="AF99" t="str">
            <v>douzhanshengfo_skill01</v>
          </cell>
          <cell r="AG99" t="str">
            <v>common_hit_dunqi</v>
          </cell>
          <cell r="AH99" t="str">
            <v>[]</v>
          </cell>
          <cell r="AI99" t="str">
            <v>[]</v>
          </cell>
          <cell r="AJ99" t="str">
            <v>douzhanshengfo_skill01_shock</v>
          </cell>
          <cell r="AK99" t="str">
            <v>yunxuanT1NP0.3</v>
          </cell>
          <cell r="AL99" t="str">
            <v>[]</v>
          </cell>
          <cell r="AM99" t="str">
            <v>[]</v>
          </cell>
          <cell r="AN99">
            <v>2</v>
          </cell>
          <cell r="AO99" t="str">
            <v>2,0.1,0.1</v>
          </cell>
          <cell r="AP99">
            <v>121107</v>
          </cell>
          <cell r="AQ99" t="str">
            <v>121107</v>
          </cell>
          <cell r="AR99" t="str">
            <v>[]</v>
          </cell>
          <cell r="AS99" t="str">
            <v>xuanyun20,xuanyunkangb20</v>
          </cell>
          <cell r="AT99" t="str">
            <v>1211</v>
          </cell>
          <cell r="AU99" t="str">
            <v>2470</v>
          </cell>
          <cell r="AV99" t="str">
            <v>斗战胜佛</v>
          </cell>
          <cell r="AW99" t="str">
            <v>11</v>
          </cell>
          <cell r="AX99">
            <v>1266</v>
          </cell>
          <cell r="AY99">
            <v>3</v>
          </cell>
          <cell r="AZ99">
            <v>0.6</v>
          </cell>
          <cell r="BA99">
            <v>0.26400000000000001</v>
          </cell>
          <cell r="BB99" t="str">
            <v>眩晕</v>
          </cell>
          <cell r="BE99">
            <v>0.6</v>
          </cell>
          <cell r="BF99"/>
        </row>
        <row r="100">
          <cell r="A100" t="str">
            <v>douzhanshengfo_skill021</v>
          </cell>
          <cell r="B100" t="str">
            <v>奥义·破碎虚空</v>
          </cell>
          <cell r="C100" t="str">
            <v>棍出如龙，对范围内敌人进行3次攻击，造成自身攻击力@s的物伤，并增加敌人受到的伤害@s，持续3秒</v>
          </cell>
          <cell r="D100">
            <v>1268</v>
          </cell>
          <cell r="E100">
            <v>2</v>
          </cell>
          <cell r="F100" t="str">
            <v>boss_warning_shanxing90</v>
          </cell>
          <cell r="G100" t="str">
            <v>斗战胜佛技能1</v>
          </cell>
          <cell r="H100" t="str">
            <v>douzhanshengfo_skill02</v>
          </cell>
          <cell r="I100" t="str">
            <v>[]</v>
          </cell>
          <cell r="J100">
            <v>1</v>
          </cell>
          <cell r="K100">
            <v>10</v>
          </cell>
          <cell r="L100" t="str">
            <v>[]</v>
          </cell>
          <cell r="M100">
            <v>2</v>
          </cell>
          <cell r="N100">
            <v>2</v>
          </cell>
          <cell r="O100">
            <v>1</v>
          </cell>
          <cell r="P100">
            <v>2</v>
          </cell>
          <cell r="Q100">
            <v>4</v>
          </cell>
          <cell r="R100" t="str">
            <v>2|1</v>
          </cell>
          <cell r="S100" t="str">
            <v>4|0.2</v>
          </cell>
          <cell r="T100">
            <v>10</v>
          </cell>
          <cell r="U100">
            <v>0</v>
          </cell>
          <cell r="V100">
            <v>0</v>
          </cell>
          <cell r="W100" t="str">
            <v>[]</v>
          </cell>
          <cell r="X100">
            <v>3</v>
          </cell>
          <cell r="Y100" t="str">
            <v>[]</v>
          </cell>
          <cell r="Z100" t="str">
            <v>0,1.8,0</v>
          </cell>
          <cell r="AA100">
            <v>0</v>
          </cell>
          <cell r="AB100">
            <v>6</v>
          </cell>
          <cell r="AC100" t="str">
            <v>[]</v>
          </cell>
          <cell r="AD100" t="str">
            <v>[]</v>
          </cell>
          <cell r="AE100" t="str">
            <v>[]</v>
          </cell>
          <cell r="AF100" t="str">
            <v>douzhanshengfo_skill02</v>
          </cell>
          <cell r="AG100" t="str">
            <v>[]</v>
          </cell>
          <cell r="AH100" t="str">
            <v>[]</v>
          </cell>
          <cell r="AI100" t="str">
            <v>[]</v>
          </cell>
          <cell r="AJ100" t="str">
            <v>[]</v>
          </cell>
          <cell r="AK100" t="str">
            <v>[]</v>
          </cell>
          <cell r="AL100" t="str">
            <v>[]</v>
          </cell>
          <cell r="AM100" t="str">
            <v>jiashangupT3N0.15</v>
          </cell>
          <cell r="AN100">
            <v>1</v>
          </cell>
          <cell r="AO100" t="str">
            <v>0.3,0.27,0.6</v>
          </cell>
          <cell r="AP100">
            <v>121108</v>
          </cell>
          <cell r="AQ100" t="str">
            <v>121108,9015</v>
          </cell>
          <cell r="AR100" t="str">
            <v>[]</v>
          </cell>
          <cell r="AS100" t="str">
            <v>[]</v>
          </cell>
          <cell r="AT100" t="str">
            <v>1211</v>
          </cell>
          <cell r="AU100" t="str">
            <v>2480</v>
          </cell>
          <cell r="AV100" t="str">
            <v>斗战胜佛</v>
          </cell>
          <cell r="AW100" t="str">
            <v>21</v>
          </cell>
          <cell r="AX100">
            <v>1268</v>
          </cell>
          <cell r="AY100">
            <v>3</v>
          </cell>
          <cell r="BA100" t="str">
            <v>[]</v>
          </cell>
          <cell r="BE100" t="str">
            <v>[]</v>
          </cell>
          <cell r="BF100"/>
        </row>
        <row r="101">
          <cell r="A101" t="str">
            <v>douzhanshengfo_skill041</v>
          </cell>
          <cell r="B101" t="str">
            <v>奥义·一往无前</v>
          </cell>
          <cell r="C101" t="str">
            <v>神挡杀神，对范围内敌人进行7次攻击，造成自身攻击力@s的物伤，必定暴击，造成6秒高级流血效果</v>
          </cell>
          <cell r="D101">
            <v>1270</v>
          </cell>
          <cell r="E101">
            <v>2</v>
          </cell>
          <cell r="F101" t="str">
            <v>boss_warning_juxing</v>
          </cell>
          <cell r="G101" t="str">
            <v>斗战胜佛技能2</v>
          </cell>
          <cell r="H101" t="str">
            <v>douzhanshengfo_skill04</v>
          </cell>
          <cell r="I101" t="str">
            <v>[]</v>
          </cell>
          <cell r="J101">
            <v>3</v>
          </cell>
          <cell r="K101">
            <v>10</v>
          </cell>
          <cell r="L101" t="str">
            <v>[]</v>
          </cell>
          <cell r="M101">
            <v>2</v>
          </cell>
          <cell r="N101">
            <v>2</v>
          </cell>
          <cell r="O101">
            <v>1</v>
          </cell>
          <cell r="P101">
            <v>2</v>
          </cell>
          <cell r="Q101">
            <v>4</v>
          </cell>
          <cell r="R101" t="str">
            <v>2|1</v>
          </cell>
          <cell r="S101" t="str">
            <v>2|6</v>
          </cell>
          <cell r="T101">
            <v>10</v>
          </cell>
          <cell r="U101">
            <v>0</v>
          </cell>
          <cell r="V101">
            <v>0</v>
          </cell>
          <cell r="W101" t="str">
            <v>[]</v>
          </cell>
          <cell r="X101">
            <v>0</v>
          </cell>
          <cell r="Y101" t="str">
            <v>[]</v>
          </cell>
          <cell r="Z101" t="str">
            <v>0,2.2,0</v>
          </cell>
          <cell r="AA101">
            <v>0</v>
          </cell>
          <cell r="AB101">
            <v>6</v>
          </cell>
          <cell r="AC101" t="str">
            <v>[]</v>
          </cell>
          <cell r="AD101" t="str">
            <v>[]</v>
          </cell>
          <cell r="AE101" t="str">
            <v>douzhanshengfo_skill04_wq</v>
          </cell>
          <cell r="AF101" t="str">
            <v>douzhanshengfo_skill04</v>
          </cell>
          <cell r="AG101" t="str">
            <v>common_hit_dunqi</v>
          </cell>
          <cell r="AH101" t="str">
            <v>[]</v>
          </cell>
          <cell r="AI101" t="str">
            <v>[]</v>
          </cell>
          <cell r="AJ101" t="str">
            <v>shock</v>
          </cell>
          <cell r="AK101" t="str">
            <v>[]</v>
          </cell>
          <cell r="AL101" t="str">
            <v>buff_douzhanshengfo_bibao</v>
          </cell>
          <cell r="AM101" t="str">
            <v>liuxueT6N0.2</v>
          </cell>
          <cell r="AN101">
            <v>1</v>
          </cell>
          <cell r="AO101" t="str">
            <v>0.17,0.2,0.23,0.27,0.33,0.3,0.3</v>
          </cell>
          <cell r="AP101">
            <v>121109</v>
          </cell>
          <cell r="AQ101" t="str">
            <v>121109</v>
          </cell>
          <cell r="AR101" t="str">
            <v>[]</v>
          </cell>
          <cell r="AS101" t="str">
            <v>[]</v>
          </cell>
          <cell r="AT101" t="str">
            <v>1211</v>
          </cell>
          <cell r="AU101" t="str">
            <v>2500</v>
          </cell>
          <cell r="AV101" t="str">
            <v>斗战胜佛</v>
          </cell>
          <cell r="AW101" t="str">
            <v>41</v>
          </cell>
          <cell r="AX101">
            <v>1270</v>
          </cell>
          <cell r="AY101">
            <v>7</v>
          </cell>
          <cell r="BA101" t="str">
            <v>[]</v>
          </cell>
          <cell r="BE101" t="str">
            <v>[]</v>
          </cell>
          <cell r="BF101"/>
        </row>
        <row r="102">
          <cell r="A102" t="str">
            <v>yuhuangdadi_attack</v>
          </cell>
          <cell r="B102" t="str">
            <v>普攻</v>
          </cell>
          <cell r="C102" t="str">
            <v>普攻</v>
          </cell>
          <cell r="D102" t="str">
            <v>[]</v>
          </cell>
          <cell r="E102">
            <v>0</v>
          </cell>
          <cell r="F102" t="str">
            <v>[]</v>
          </cell>
          <cell r="G102" t="str">
            <v>玉皇大帝近战攻击</v>
          </cell>
          <cell r="H102" t="str">
            <v>[]</v>
          </cell>
          <cell r="I102" t="str">
            <v>[]</v>
          </cell>
          <cell r="J102">
            <v>0</v>
          </cell>
          <cell r="K102">
            <v>1</v>
          </cell>
          <cell r="L102" t="str">
            <v>[]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3</v>
          </cell>
          <cell r="R102" t="str">
            <v>2|1</v>
          </cell>
          <cell r="S102" t="str">
            <v>4|0.2</v>
          </cell>
          <cell r="T102">
            <v>1</v>
          </cell>
          <cell r="U102">
            <v>1</v>
          </cell>
          <cell r="V102">
            <v>0</v>
          </cell>
          <cell r="W102" t="str">
            <v>[]</v>
          </cell>
          <cell r="X102">
            <v>0</v>
          </cell>
          <cell r="Y102" t="str">
            <v>[]</v>
          </cell>
          <cell r="Z102" t="str">
            <v>0,1,0</v>
          </cell>
          <cell r="AA102">
            <v>0</v>
          </cell>
          <cell r="AB102" t="str">
            <v>[]</v>
          </cell>
          <cell r="AC102" t="str">
            <v>[]</v>
          </cell>
          <cell r="AD102" t="str">
            <v>[]</v>
          </cell>
          <cell r="AE102" t="str">
            <v>[]</v>
          </cell>
          <cell r="AF102" t="str">
            <v>yuhuangdadi_attack</v>
          </cell>
          <cell r="AG102" t="str">
            <v>common_hit_dunqi</v>
          </cell>
          <cell r="AH102" t="str">
            <v>[]</v>
          </cell>
          <cell r="AI102" t="str">
            <v>[]</v>
          </cell>
          <cell r="AJ102" t="str">
            <v>[]</v>
          </cell>
          <cell r="AK102" t="str">
            <v>[]</v>
          </cell>
          <cell r="AL102" t="str">
            <v>[]</v>
          </cell>
          <cell r="AM102" t="str">
            <v>[]</v>
          </cell>
          <cell r="AN102">
            <v>1</v>
          </cell>
          <cell r="AO102">
            <v>0.28000000000000003</v>
          </cell>
          <cell r="AP102">
            <v>110400</v>
          </cell>
          <cell r="AQ102" t="str">
            <v>110400</v>
          </cell>
          <cell r="AR102" t="str">
            <v>[]</v>
          </cell>
          <cell r="AS102" t="str">
            <v>[]</v>
          </cell>
          <cell r="AT102" t="str">
            <v>1104</v>
          </cell>
          <cell r="AU102" t="str">
            <v>3010</v>
          </cell>
          <cell r="AV102" t="str">
            <v>玉皇大帝近战攻击</v>
          </cell>
          <cell r="AW102" t="str">
            <v>ck</v>
          </cell>
          <cell r="AX102" t="str">
            <v>[]</v>
          </cell>
          <cell r="AY102">
            <v>1</v>
          </cell>
          <cell r="BA102" t="str">
            <v>[]</v>
          </cell>
          <cell r="BE102" t="str">
            <v>[]</v>
          </cell>
          <cell r="BF102"/>
        </row>
        <row r="103">
          <cell r="A103" t="str">
            <v>yuhuangdadi_attack02</v>
          </cell>
          <cell r="B103" t="str">
            <v>普攻</v>
          </cell>
          <cell r="C103" t="str">
            <v>普攻</v>
          </cell>
          <cell r="D103" t="str">
            <v>[]</v>
          </cell>
          <cell r="E103">
            <v>0</v>
          </cell>
          <cell r="F103" t="str">
            <v>[]</v>
          </cell>
          <cell r="G103" t="str">
            <v>玉皇大帝近战攻击</v>
          </cell>
          <cell r="H103" t="str">
            <v>[]</v>
          </cell>
          <cell r="I103" t="str">
            <v>[]</v>
          </cell>
          <cell r="J103">
            <v>0</v>
          </cell>
          <cell r="K103">
            <v>1</v>
          </cell>
          <cell r="L103" t="str">
            <v>[]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3</v>
          </cell>
          <cell r="R103" t="str">
            <v>2|1</v>
          </cell>
          <cell r="S103" t="str">
            <v>4|0.2</v>
          </cell>
          <cell r="T103">
            <v>1</v>
          </cell>
          <cell r="U103">
            <v>1</v>
          </cell>
          <cell r="V103">
            <v>0</v>
          </cell>
          <cell r="W103" t="str">
            <v>[]</v>
          </cell>
          <cell r="X103">
            <v>0</v>
          </cell>
          <cell r="Y103" t="str">
            <v>[]</v>
          </cell>
          <cell r="Z103" t="str">
            <v>0,1,0</v>
          </cell>
          <cell r="AA103">
            <v>0</v>
          </cell>
          <cell r="AB103" t="str">
            <v>[]</v>
          </cell>
          <cell r="AC103" t="str">
            <v>[]</v>
          </cell>
          <cell r="AD103" t="str">
            <v>[]</v>
          </cell>
          <cell r="AE103" t="str">
            <v>[]</v>
          </cell>
          <cell r="AF103" t="str">
            <v>yuhuangdadi_attack02</v>
          </cell>
          <cell r="AG103" t="str">
            <v>common_hit_dunqi</v>
          </cell>
          <cell r="AH103" t="str">
            <v>[]</v>
          </cell>
          <cell r="AI103" t="str">
            <v>[]</v>
          </cell>
          <cell r="AJ103" t="str">
            <v>[]</v>
          </cell>
          <cell r="AK103" t="str">
            <v>[]</v>
          </cell>
          <cell r="AL103" t="str">
            <v>[]</v>
          </cell>
          <cell r="AM103" t="str">
            <v>[]</v>
          </cell>
          <cell r="AN103">
            <v>1</v>
          </cell>
          <cell r="AO103">
            <v>0.56100000000000005</v>
          </cell>
          <cell r="AP103">
            <v>110401</v>
          </cell>
          <cell r="AQ103" t="str">
            <v>110401</v>
          </cell>
          <cell r="AR103" t="str">
            <v>[]</v>
          </cell>
          <cell r="AS103" t="str">
            <v>[]</v>
          </cell>
          <cell r="AT103" t="str">
            <v>1104</v>
          </cell>
          <cell r="AU103" t="str">
            <v>3010</v>
          </cell>
          <cell r="AV103" t="str">
            <v>玉皇大帝近战攻击</v>
          </cell>
          <cell r="AW103" t="str">
            <v>02</v>
          </cell>
          <cell r="AX103" t="str">
            <v>[]</v>
          </cell>
          <cell r="AY103">
            <v>1</v>
          </cell>
          <cell r="BA103" t="str">
            <v>[]</v>
          </cell>
          <cell r="BE103" t="str">
            <v>[]</v>
          </cell>
          <cell r="BF103"/>
        </row>
        <row r="104">
          <cell r="A104" t="str">
            <v>yuhuangdadi_attack03</v>
          </cell>
          <cell r="B104" t="str">
            <v>普攻</v>
          </cell>
          <cell r="C104" t="str">
            <v>普攻</v>
          </cell>
          <cell r="D104">
            <v>1262</v>
          </cell>
          <cell r="E104">
            <v>0</v>
          </cell>
          <cell r="F104" t="str">
            <v>[]</v>
          </cell>
          <cell r="G104" t="str">
            <v>玉皇大帝近战攻击</v>
          </cell>
          <cell r="H104" t="str">
            <v>[]</v>
          </cell>
          <cell r="I104" t="str">
            <v>[]</v>
          </cell>
          <cell r="J104">
            <v>0</v>
          </cell>
          <cell r="K104">
            <v>1</v>
          </cell>
          <cell r="L104" t="str">
            <v>[]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3</v>
          </cell>
          <cell r="R104" t="str">
            <v>2|1</v>
          </cell>
          <cell r="S104" t="str">
            <v>4|0.2</v>
          </cell>
          <cell r="T104">
            <v>1</v>
          </cell>
          <cell r="U104">
            <v>1</v>
          </cell>
          <cell r="V104">
            <v>0</v>
          </cell>
          <cell r="W104" t="str">
            <v>[]</v>
          </cell>
          <cell r="X104">
            <v>0</v>
          </cell>
          <cell r="Y104" t="str">
            <v>[]</v>
          </cell>
          <cell r="Z104" t="str">
            <v>0,1,0</v>
          </cell>
          <cell r="AA104">
            <v>0</v>
          </cell>
          <cell r="AB104" t="str">
            <v>[]</v>
          </cell>
          <cell r="AC104" t="str">
            <v>[]</v>
          </cell>
          <cell r="AD104" t="str">
            <v>[]</v>
          </cell>
          <cell r="AE104" t="str">
            <v>[]</v>
          </cell>
          <cell r="AF104" t="str">
            <v>yuhuangdadi_attack03</v>
          </cell>
          <cell r="AG104" t="str">
            <v>common_hit_dunqi</v>
          </cell>
          <cell r="AH104" t="str">
            <v>[]</v>
          </cell>
          <cell r="AI104" t="str">
            <v>[]</v>
          </cell>
          <cell r="AJ104" t="str">
            <v>[]</v>
          </cell>
          <cell r="AK104" t="str">
            <v>[]</v>
          </cell>
          <cell r="AL104" t="str">
            <v>[]</v>
          </cell>
          <cell r="AM104" t="str">
            <v>[]</v>
          </cell>
          <cell r="AN104">
            <v>1</v>
          </cell>
          <cell r="AO104">
            <v>0.52800000000000002</v>
          </cell>
          <cell r="AP104">
            <v>110402</v>
          </cell>
          <cell r="AQ104" t="str">
            <v>110402</v>
          </cell>
          <cell r="AR104" t="str">
            <v>[]</v>
          </cell>
          <cell r="AS104" t="str">
            <v>[]</v>
          </cell>
          <cell r="AT104" t="str">
            <v>1104</v>
          </cell>
          <cell r="AU104" t="str">
            <v>3010</v>
          </cell>
          <cell r="AV104" t="str">
            <v>玉皇大帝近战攻击</v>
          </cell>
          <cell r="AW104" t="str">
            <v>03</v>
          </cell>
          <cell r="AX104">
            <v>1262</v>
          </cell>
          <cell r="AY104">
            <v>1</v>
          </cell>
          <cell r="BA104" t="str">
            <v>[]</v>
          </cell>
          <cell r="BE104" t="str">
            <v>[]</v>
          </cell>
          <cell r="BF104"/>
        </row>
        <row r="105">
          <cell r="A105" t="str">
            <v>yuhuangdadi_skill01</v>
          </cell>
          <cell r="B105" t="str">
            <v>驱散神光</v>
          </cell>
          <cell r="C105" t="str">
            <v>召唤五道神光，对全屏范围内敌人进行3次攻击，造成主角攻击力@s的物伤，每次有11%的概率沉默敌方2秒</v>
          </cell>
          <cell r="D105" t="str">
            <v>[]</v>
          </cell>
          <cell r="E105">
            <v>0</v>
          </cell>
          <cell r="F105" t="str">
            <v>[]</v>
          </cell>
          <cell r="G105" t="str">
            <v>玉皇大帝核心技能</v>
          </cell>
          <cell r="H105" t="str">
            <v>yuhuangdadi_skill01</v>
          </cell>
          <cell r="I105" t="str">
            <v>yuhuangdadi_skill01</v>
          </cell>
          <cell r="J105">
            <v>0</v>
          </cell>
          <cell r="K105">
            <v>10</v>
          </cell>
          <cell r="L105" t="str">
            <v>1|4</v>
          </cell>
          <cell r="M105">
            <v>2</v>
          </cell>
          <cell r="N105">
            <v>2</v>
          </cell>
          <cell r="O105">
            <v>1</v>
          </cell>
          <cell r="P105">
            <v>2</v>
          </cell>
          <cell r="Q105">
            <v>12</v>
          </cell>
          <cell r="R105" t="str">
            <v>2|1</v>
          </cell>
          <cell r="S105" t="str">
            <v>2|20</v>
          </cell>
          <cell r="T105">
            <v>10</v>
          </cell>
          <cell r="U105">
            <v>0</v>
          </cell>
          <cell r="V105">
            <v>0</v>
          </cell>
          <cell r="W105" t="str">
            <v>[]</v>
          </cell>
          <cell r="X105">
            <v>0</v>
          </cell>
          <cell r="Y105" t="str">
            <v>[]</v>
          </cell>
          <cell r="Z105" t="str">
            <v>0,1,0</v>
          </cell>
          <cell r="AA105">
            <v>0</v>
          </cell>
          <cell r="AB105" t="str">
            <v>12</v>
          </cell>
          <cell r="AC105" t="str">
            <v>[]</v>
          </cell>
          <cell r="AD105" t="str">
            <v>[]</v>
          </cell>
          <cell r="AE105" t="str">
            <v>[]</v>
          </cell>
          <cell r="AF105" t="str">
            <v>yuhuangdadi_skill01</v>
          </cell>
          <cell r="AG105" t="str">
            <v>common_hit_fashu</v>
          </cell>
          <cell r="AH105" t="str">
            <v>[]</v>
          </cell>
          <cell r="AI105" t="str">
            <v>[]</v>
          </cell>
          <cell r="AJ105" t="str">
            <v>[]</v>
          </cell>
          <cell r="AK105" t="str">
            <v>chengmoT2NP0.3</v>
          </cell>
          <cell r="AL105" t="str">
            <v>[]</v>
          </cell>
          <cell r="AM105" t="str">
            <v>[]</v>
          </cell>
          <cell r="AN105">
            <v>2</v>
          </cell>
          <cell r="AO105" t="str">
            <v>1.45,0.5,0.5</v>
          </cell>
          <cell r="AP105">
            <v>110403</v>
          </cell>
          <cell r="AQ105" t="str">
            <v>110403</v>
          </cell>
          <cell r="AR105" t="str">
            <v>[]</v>
          </cell>
          <cell r="AS105" t="str">
            <v>[]</v>
          </cell>
          <cell r="AT105" t="str">
            <v>1104</v>
          </cell>
          <cell r="AU105" t="str">
            <v>3020</v>
          </cell>
          <cell r="AV105" t="str">
            <v>玉皇大帝</v>
          </cell>
          <cell r="AW105" t="str">
            <v>01</v>
          </cell>
          <cell r="AX105" t="str">
            <v>[]</v>
          </cell>
          <cell r="AY105">
            <v>3</v>
          </cell>
          <cell r="AZ105">
            <v>0.3</v>
          </cell>
          <cell r="BA105">
            <v>0.112</v>
          </cell>
          <cell r="BB105" t="str">
            <v>沉默</v>
          </cell>
          <cell r="BE105">
            <v>0.112</v>
          </cell>
          <cell r="BF105" t="str">
            <v>10</v>
          </cell>
        </row>
        <row r="106">
          <cell r="A106" t="str">
            <v>yuhuangdadi_skill02</v>
          </cell>
          <cell r="B106" t="str">
            <v>天下我心</v>
          </cell>
          <cell r="C106" t="str">
            <v>将仙力注入大地，对范围内的敌人造成自身攻击力@s的物伤</v>
          </cell>
          <cell r="D106" t="str">
            <v>[]</v>
          </cell>
          <cell r="E106">
            <v>2</v>
          </cell>
          <cell r="F106" t="str">
            <v>boss_warning_yuanxing</v>
          </cell>
          <cell r="G106" t="str">
            <v>玉皇大帝AI技能1</v>
          </cell>
          <cell r="H106" t="str">
            <v>yuhuangdadi_skill02</v>
          </cell>
          <cell r="I106" t="str">
            <v>[]</v>
          </cell>
          <cell r="J106">
            <v>1</v>
          </cell>
          <cell r="K106">
            <v>10</v>
          </cell>
          <cell r="L106" t="str">
            <v>[]</v>
          </cell>
          <cell r="M106">
            <v>2</v>
          </cell>
          <cell r="N106">
            <v>2</v>
          </cell>
          <cell r="O106">
            <v>2</v>
          </cell>
          <cell r="P106">
            <v>2</v>
          </cell>
          <cell r="Q106">
            <v>4</v>
          </cell>
          <cell r="R106" t="str">
            <v>2|1</v>
          </cell>
          <cell r="S106" t="str">
            <v>2|6</v>
          </cell>
          <cell r="T106">
            <v>10</v>
          </cell>
          <cell r="U106">
            <v>1</v>
          </cell>
          <cell r="V106">
            <v>0</v>
          </cell>
          <cell r="W106" t="str">
            <v>[]</v>
          </cell>
          <cell r="X106">
            <v>3</v>
          </cell>
          <cell r="Y106" t="str">
            <v>[]</v>
          </cell>
          <cell r="Z106" t="str">
            <v>0,1.2,0.9</v>
          </cell>
          <cell r="AA106">
            <v>0</v>
          </cell>
          <cell r="AB106">
            <v>6</v>
          </cell>
          <cell r="AC106" t="str">
            <v>[]</v>
          </cell>
          <cell r="AD106" t="str">
            <v>[]</v>
          </cell>
          <cell r="AE106" t="str">
            <v>[]</v>
          </cell>
          <cell r="AF106" t="str">
            <v>yuhuangdadi_skill02</v>
          </cell>
          <cell r="AG106" t="str">
            <v>common_hit_fashu</v>
          </cell>
          <cell r="AH106" t="str">
            <v>[]</v>
          </cell>
          <cell r="AI106" t="str">
            <v>[]</v>
          </cell>
          <cell r="AJ106" t="str">
            <v>yuhuangdadi_zhenping</v>
          </cell>
          <cell r="AK106" t="str">
            <v>[]</v>
          </cell>
          <cell r="AL106" t="str">
            <v>[]</v>
          </cell>
          <cell r="AM106" t="str">
            <v>[]</v>
          </cell>
          <cell r="AN106">
            <v>2</v>
          </cell>
          <cell r="AO106">
            <v>1</v>
          </cell>
          <cell r="AP106">
            <v>110404</v>
          </cell>
          <cell r="AQ106" t="str">
            <v>110404</v>
          </cell>
          <cell r="AR106" t="str">
            <v>[]</v>
          </cell>
          <cell r="AS106" t="str">
            <v>[]</v>
          </cell>
          <cell r="AT106" t="str">
            <v>1104</v>
          </cell>
          <cell r="AU106" t="str">
            <v>3030</v>
          </cell>
          <cell r="AV106" t="str">
            <v>玉皇大帝</v>
          </cell>
          <cell r="AW106" t="str">
            <v>02</v>
          </cell>
          <cell r="AX106" t="str">
            <v>[]</v>
          </cell>
          <cell r="AY106">
            <v>1</v>
          </cell>
          <cell r="BA106" t="str">
            <v>[]</v>
          </cell>
          <cell r="BE106" t="str">
            <v>[]</v>
          </cell>
          <cell r="BF106"/>
        </row>
        <row r="107">
          <cell r="A107" t="str">
            <v>yuhuangdadi_skill03</v>
          </cell>
          <cell r="B107" t="str">
            <v>玉帝威压</v>
          </cell>
          <cell r="C107" t="str">
            <v>进入战斗场景时，提升自身暴击率@s</v>
          </cell>
          <cell r="D107">
            <v>1262</v>
          </cell>
          <cell r="E107">
            <v>0</v>
          </cell>
          <cell r="F107" t="str">
            <v>[]</v>
          </cell>
          <cell r="G107" t="str">
            <v>玉皇大帝被动技能</v>
          </cell>
          <cell r="H107" t="str">
            <v>wugong</v>
          </cell>
          <cell r="I107" t="str">
            <v>[]</v>
          </cell>
          <cell r="J107">
            <v>2</v>
          </cell>
          <cell r="K107">
            <v>10</v>
          </cell>
          <cell r="L107" t="str">
            <v>[]</v>
          </cell>
          <cell r="M107">
            <v>2</v>
          </cell>
          <cell r="N107">
            <v>2</v>
          </cell>
          <cell r="O107">
            <v>3</v>
          </cell>
          <cell r="P107">
            <v>0</v>
          </cell>
          <cell r="Q107">
            <v>12</v>
          </cell>
          <cell r="R107">
            <v>1</v>
          </cell>
          <cell r="S107" t="str">
            <v>4|0.2</v>
          </cell>
          <cell r="T107">
            <v>1</v>
          </cell>
          <cell r="U107">
            <v>0</v>
          </cell>
          <cell r="V107">
            <v>0</v>
          </cell>
          <cell r="W107" t="str">
            <v>[]</v>
          </cell>
          <cell r="X107">
            <v>0</v>
          </cell>
          <cell r="Y107" t="str">
            <v>[]</v>
          </cell>
          <cell r="Z107" t="str">
            <v>0,0,0</v>
          </cell>
          <cell r="AA107">
            <v>0</v>
          </cell>
          <cell r="AB107" t="str">
            <v>[]</v>
          </cell>
          <cell r="AC107" t="str">
            <v>[]</v>
          </cell>
          <cell r="AD107" t="str">
            <v>[]</v>
          </cell>
          <cell r="AE107" t="str">
            <v>[]</v>
          </cell>
          <cell r="AF107" t="str">
            <v>[]</v>
          </cell>
          <cell r="AG107" t="str">
            <v>[]</v>
          </cell>
          <cell r="AH107" t="str">
            <v>[]</v>
          </cell>
          <cell r="AI107" t="str">
            <v>[]</v>
          </cell>
          <cell r="AJ107" t="str">
            <v>[]</v>
          </cell>
          <cell r="AK107" t="str">
            <v>[]</v>
          </cell>
          <cell r="AL107" t="str">
            <v>baojiupT3N0.2b</v>
          </cell>
          <cell r="AM107" t="str">
            <v>[]</v>
          </cell>
          <cell r="AN107">
            <v>0</v>
          </cell>
          <cell r="AO107" t="str">
            <v>[]</v>
          </cell>
          <cell r="AP107" t="str">
            <v>[]</v>
          </cell>
          <cell r="AQ107" t="str">
            <v>9020</v>
          </cell>
          <cell r="AR107" t="str">
            <v>[]</v>
          </cell>
          <cell r="AS107" t="str">
            <v>[]</v>
          </cell>
          <cell r="AT107" t="str">
            <v>9020</v>
          </cell>
          <cell r="AU107" t="str">
            <v>3041</v>
          </cell>
          <cell r="AV107" t="str">
            <v>玉皇大帝</v>
          </cell>
          <cell r="AW107" t="str">
            <v>03</v>
          </cell>
          <cell r="AX107">
            <v>1262</v>
          </cell>
          <cell r="AY107">
            <v>1</v>
          </cell>
          <cell r="BA107" t="str">
            <v>[]</v>
          </cell>
          <cell r="BE107" t="str">
            <v>[]</v>
          </cell>
          <cell r="BF107"/>
        </row>
        <row r="108">
          <cell r="A108" t="str">
            <v>yuhuangdadi_skill04</v>
          </cell>
          <cell r="B108" t="str">
            <v>神圣大地</v>
          </cell>
          <cell r="C108" t="str">
            <v>召唤圣光领域，对范围内敌人造成自身攻击力@s的物伤，并降低敌人闪避率@s，持续3秒</v>
          </cell>
          <cell r="D108">
            <v>1264</v>
          </cell>
          <cell r="E108">
            <v>1</v>
          </cell>
          <cell r="F108" t="str">
            <v>boss_warning_yuanxing</v>
          </cell>
          <cell r="G108" t="str">
            <v>玉皇大帝技能2</v>
          </cell>
          <cell r="H108" t="str">
            <v>yuhuangdadi_skill04</v>
          </cell>
          <cell r="I108" t="str">
            <v>[]</v>
          </cell>
          <cell r="J108">
            <v>3</v>
          </cell>
          <cell r="K108">
            <v>10</v>
          </cell>
          <cell r="L108" t="str">
            <v>[]</v>
          </cell>
          <cell r="M108">
            <v>2</v>
          </cell>
          <cell r="N108">
            <v>2</v>
          </cell>
          <cell r="O108">
            <v>2</v>
          </cell>
          <cell r="P108">
            <v>2</v>
          </cell>
          <cell r="Q108">
            <v>12</v>
          </cell>
          <cell r="R108" t="str">
            <v>2|1</v>
          </cell>
          <cell r="S108" t="str">
            <v>2|6</v>
          </cell>
          <cell r="T108">
            <v>10</v>
          </cell>
          <cell r="U108">
            <v>0</v>
          </cell>
          <cell r="V108">
            <v>0</v>
          </cell>
          <cell r="W108" t="str">
            <v>[]</v>
          </cell>
          <cell r="X108">
            <v>3</v>
          </cell>
          <cell r="Y108" t="str">
            <v>[]</v>
          </cell>
          <cell r="Z108" t="str">
            <v>0,1.8,0.63</v>
          </cell>
          <cell r="AA108">
            <v>0</v>
          </cell>
          <cell r="AB108">
            <v>6</v>
          </cell>
          <cell r="AC108" t="str">
            <v>[]</v>
          </cell>
          <cell r="AD108" t="str">
            <v>[]</v>
          </cell>
          <cell r="AE108" t="str">
            <v>yuhuangdadi_skill04_q</v>
          </cell>
          <cell r="AF108" t="str">
            <v>yuhuangdadi_skill04</v>
          </cell>
          <cell r="AG108" t="str">
            <v>common_hit_fashu</v>
          </cell>
          <cell r="AH108" t="str">
            <v>[]</v>
          </cell>
          <cell r="AI108" t="str">
            <v>[]</v>
          </cell>
          <cell r="AJ108" t="str">
            <v>[]</v>
          </cell>
          <cell r="AK108" t="str">
            <v>[]</v>
          </cell>
          <cell r="AL108" t="str">
            <v>[]</v>
          </cell>
          <cell r="AM108" t="str">
            <v>baojidownT3N0.1</v>
          </cell>
          <cell r="AN108">
            <v>2</v>
          </cell>
          <cell r="AO108">
            <v>1.81</v>
          </cell>
          <cell r="AP108">
            <v>110406</v>
          </cell>
          <cell r="AQ108" t="str">
            <v>110406,9010</v>
          </cell>
          <cell r="AR108" t="str">
            <v>[]</v>
          </cell>
          <cell r="AS108" t="str">
            <v>[]</v>
          </cell>
          <cell r="AT108" t="str">
            <v>1104</v>
          </cell>
          <cell r="AU108" t="str">
            <v>3050</v>
          </cell>
          <cell r="AV108" t="str">
            <v>玉皇大帝</v>
          </cell>
          <cell r="AW108" t="str">
            <v>04</v>
          </cell>
          <cell r="AX108">
            <v>1264</v>
          </cell>
          <cell r="AY108">
            <v>1</v>
          </cell>
          <cell r="BA108" t="str">
            <v>[]</v>
          </cell>
          <cell r="BE108" t="str">
            <v>[]</v>
          </cell>
          <cell r="BF108"/>
        </row>
        <row r="109">
          <cell r="A109" t="str">
            <v>yuhuangdadi_skill011</v>
          </cell>
          <cell r="B109" t="str">
            <v>奥义·驱散神光</v>
          </cell>
          <cell r="C109" t="str">
            <v>召唤五道神光，对全屏范围内敌人进行3次攻击，造成主角攻击力@s的物伤，每次有11%的概率沉默敌方2秒</v>
          </cell>
          <cell r="D109">
            <v>1266</v>
          </cell>
          <cell r="E109">
            <v>0</v>
          </cell>
          <cell r="F109" t="str">
            <v>[]</v>
          </cell>
          <cell r="G109" t="str">
            <v>玉皇大帝核心技能</v>
          </cell>
          <cell r="H109" t="str">
            <v>yuhuangdadi_skill01</v>
          </cell>
          <cell r="I109" t="str">
            <v>yuhuangdadi_skill01</v>
          </cell>
          <cell r="J109">
            <v>0</v>
          </cell>
          <cell r="K109">
            <v>10</v>
          </cell>
          <cell r="L109" t="str">
            <v>1|4</v>
          </cell>
          <cell r="M109">
            <v>2</v>
          </cell>
          <cell r="N109">
            <v>2</v>
          </cell>
          <cell r="O109">
            <v>1</v>
          </cell>
          <cell r="P109">
            <v>2</v>
          </cell>
          <cell r="Q109">
            <v>12</v>
          </cell>
          <cell r="R109" t="str">
            <v>2|1</v>
          </cell>
          <cell r="S109" t="str">
            <v>2|20</v>
          </cell>
          <cell r="T109">
            <v>10</v>
          </cell>
          <cell r="U109">
            <v>0</v>
          </cell>
          <cell r="V109">
            <v>0</v>
          </cell>
          <cell r="W109" t="str">
            <v>[]</v>
          </cell>
          <cell r="X109">
            <v>0</v>
          </cell>
          <cell r="Y109" t="str">
            <v>[]</v>
          </cell>
          <cell r="Z109" t="str">
            <v>0,1,0</v>
          </cell>
          <cell r="AA109">
            <v>0</v>
          </cell>
          <cell r="AB109" t="str">
            <v>12</v>
          </cell>
          <cell r="AC109" t="str">
            <v>[]</v>
          </cell>
          <cell r="AD109" t="str">
            <v>[]</v>
          </cell>
          <cell r="AE109" t="str">
            <v>[]</v>
          </cell>
          <cell r="AF109" t="str">
            <v>yuhuangdadi_skill01</v>
          </cell>
          <cell r="AG109" t="str">
            <v>common_hit_fashu</v>
          </cell>
          <cell r="AH109" t="str">
            <v>[]</v>
          </cell>
          <cell r="AI109" t="str">
            <v>[]</v>
          </cell>
          <cell r="AJ109" t="str">
            <v>[]</v>
          </cell>
          <cell r="AK109" t="str">
            <v>chengmoT2NP0.3</v>
          </cell>
          <cell r="AL109" t="str">
            <v>[]</v>
          </cell>
          <cell r="AM109" t="str">
            <v>[]</v>
          </cell>
          <cell r="AN109">
            <v>2</v>
          </cell>
          <cell r="AO109" t="str">
            <v>1.45,0.5,0.5</v>
          </cell>
          <cell r="AP109">
            <v>110407</v>
          </cell>
          <cell r="AQ109" t="str">
            <v>110407</v>
          </cell>
          <cell r="AR109" t="str">
            <v>[]</v>
          </cell>
          <cell r="AS109" t="str">
            <v>[]</v>
          </cell>
          <cell r="AT109" t="str">
            <v>1104</v>
          </cell>
          <cell r="AU109" t="str">
            <v>3020</v>
          </cell>
          <cell r="AV109" t="str">
            <v>玉皇大帝</v>
          </cell>
          <cell r="AW109" t="str">
            <v>11</v>
          </cell>
          <cell r="AX109">
            <v>1266</v>
          </cell>
          <cell r="AY109">
            <v>3</v>
          </cell>
          <cell r="AZ109">
            <v>0.3</v>
          </cell>
          <cell r="BA109">
            <v>0.112</v>
          </cell>
          <cell r="BB109" t="str">
            <v>沉默</v>
          </cell>
          <cell r="BE109">
            <v>0.112</v>
          </cell>
          <cell r="BF109" t="str">
            <v>10</v>
          </cell>
        </row>
        <row r="110">
          <cell r="A110" t="str">
            <v>yuhuangdadi_skill021</v>
          </cell>
          <cell r="B110" t="str">
            <v>奥义·天下我心</v>
          </cell>
          <cell r="C110" t="str">
            <v>将仙力注入大地，对范围内的敌人造成自身攻击力@s的物伤</v>
          </cell>
          <cell r="D110">
            <v>1268</v>
          </cell>
          <cell r="E110">
            <v>2</v>
          </cell>
          <cell r="F110" t="str">
            <v>boss_warning_yuanxing</v>
          </cell>
          <cell r="G110" t="str">
            <v>玉皇大帝AI技能1</v>
          </cell>
          <cell r="H110" t="str">
            <v>yuhuangdadi_skill02</v>
          </cell>
          <cell r="I110" t="str">
            <v>[]</v>
          </cell>
          <cell r="J110">
            <v>1</v>
          </cell>
          <cell r="K110">
            <v>10</v>
          </cell>
          <cell r="L110" t="str">
            <v>[]</v>
          </cell>
          <cell r="M110">
            <v>2</v>
          </cell>
          <cell r="N110">
            <v>2</v>
          </cell>
          <cell r="O110">
            <v>2</v>
          </cell>
          <cell r="P110">
            <v>2</v>
          </cell>
          <cell r="Q110">
            <v>4</v>
          </cell>
          <cell r="R110" t="str">
            <v>2|1</v>
          </cell>
          <cell r="S110" t="str">
            <v>2|6</v>
          </cell>
          <cell r="T110">
            <v>10</v>
          </cell>
          <cell r="U110">
            <v>1</v>
          </cell>
          <cell r="V110">
            <v>0</v>
          </cell>
          <cell r="W110" t="str">
            <v>[]</v>
          </cell>
          <cell r="X110">
            <v>3</v>
          </cell>
          <cell r="Y110" t="str">
            <v>[]</v>
          </cell>
          <cell r="Z110" t="str">
            <v>0,1.2,0.9</v>
          </cell>
          <cell r="AA110">
            <v>0</v>
          </cell>
          <cell r="AB110">
            <v>6</v>
          </cell>
          <cell r="AC110" t="str">
            <v>[]</v>
          </cell>
          <cell r="AD110" t="str">
            <v>[]</v>
          </cell>
          <cell r="AE110" t="str">
            <v>[]</v>
          </cell>
          <cell r="AF110" t="str">
            <v>yuhuangdadi_skill02</v>
          </cell>
          <cell r="AG110" t="str">
            <v>common_hit_fashu</v>
          </cell>
          <cell r="AH110" t="str">
            <v>[]</v>
          </cell>
          <cell r="AI110" t="str">
            <v>[]</v>
          </cell>
          <cell r="AJ110" t="str">
            <v>yuhuangdadi_zhenping</v>
          </cell>
          <cell r="AK110" t="str">
            <v>[]</v>
          </cell>
          <cell r="AL110" t="str">
            <v>[]</v>
          </cell>
          <cell r="AM110" t="str">
            <v>[]</v>
          </cell>
          <cell r="AN110">
            <v>2</v>
          </cell>
          <cell r="AO110">
            <v>1</v>
          </cell>
          <cell r="AP110">
            <v>110408</v>
          </cell>
          <cell r="AQ110" t="str">
            <v>110408</v>
          </cell>
          <cell r="AR110" t="str">
            <v>[]</v>
          </cell>
          <cell r="AS110" t="str">
            <v>[]</v>
          </cell>
          <cell r="AT110" t="str">
            <v>1104</v>
          </cell>
          <cell r="AU110" t="str">
            <v>3030</v>
          </cell>
          <cell r="AV110" t="str">
            <v>玉皇大帝</v>
          </cell>
          <cell r="AW110" t="str">
            <v>21</v>
          </cell>
          <cell r="AX110">
            <v>1268</v>
          </cell>
          <cell r="AY110">
            <v>1</v>
          </cell>
          <cell r="BA110" t="str">
            <v>[]</v>
          </cell>
          <cell r="BE110" t="str">
            <v>[]</v>
          </cell>
          <cell r="BF110"/>
        </row>
        <row r="111">
          <cell r="A111" t="str">
            <v>yuhuangdadi_skill041</v>
          </cell>
          <cell r="B111" t="str">
            <v>奥义·神圣大地</v>
          </cell>
          <cell r="C111" t="str">
            <v>召唤圣光领域，对范围内敌人造成自身攻击力@s的物伤，并降低敌人闪避率@s，持续3秒</v>
          </cell>
          <cell r="D111">
            <v>1270</v>
          </cell>
          <cell r="E111">
            <v>1</v>
          </cell>
          <cell r="F111" t="str">
            <v>boss_warning_yuanxing</v>
          </cell>
          <cell r="G111" t="str">
            <v>玉皇大帝技能2</v>
          </cell>
          <cell r="H111" t="str">
            <v>yuhuangdadi_skill04</v>
          </cell>
          <cell r="I111" t="str">
            <v>[]</v>
          </cell>
          <cell r="J111">
            <v>3</v>
          </cell>
          <cell r="K111">
            <v>10</v>
          </cell>
          <cell r="L111" t="str">
            <v>[]</v>
          </cell>
          <cell r="M111">
            <v>2</v>
          </cell>
          <cell r="N111">
            <v>2</v>
          </cell>
          <cell r="O111">
            <v>2</v>
          </cell>
          <cell r="P111">
            <v>2</v>
          </cell>
          <cell r="Q111">
            <v>12</v>
          </cell>
          <cell r="R111" t="str">
            <v>2|1</v>
          </cell>
          <cell r="S111" t="str">
            <v>2|6</v>
          </cell>
          <cell r="T111">
            <v>10</v>
          </cell>
          <cell r="U111">
            <v>0</v>
          </cell>
          <cell r="V111">
            <v>0</v>
          </cell>
          <cell r="W111" t="str">
            <v>[]</v>
          </cell>
          <cell r="X111">
            <v>3</v>
          </cell>
          <cell r="Y111" t="str">
            <v>[]</v>
          </cell>
          <cell r="Z111" t="str">
            <v>0,1.8,0.63</v>
          </cell>
          <cell r="AA111">
            <v>0</v>
          </cell>
          <cell r="AB111">
            <v>6</v>
          </cell>
          <cell r="AC111" t="str">
            <v>[]</v>
          </cell>
          <cell r="AD111" t="str">
            <v>[]</v>
          </cell>
          <cell r="AE111" t="str">
            <v>yuhuangdadi_skill04_q</v>
          </cell>
          <cell r="AF111" t="str">
            <v>yuhuangdadi_skill04</v>
          </cell>
          <cell r="AG111" t="str">
            <v>common_hit_fashu</v>
          </cell>
          <cell r="AH111" t="str">
            <v>[]</v>
          </cell>
          <cell r="AI111" t="str">
            <v>[]</v>
          </cell>
          <cell r="AJ111" t="str">
            <v>[]</v>
          </cell>
          <cell r="AK111" t="str">
            <v>[]</v>
          </cell>
          <cell r="AL111" t="str">
            <v>[]</v>
          </cell>
          <cell r="AM111" t="str">
            <v>baojidownT3N0.2</v>
          </cell>
          <cell r="AN111">
            <v>2</v>
          </cell>
          <cell r="AO111">
            <v>1.81</v>
          </cell>
          <cell r="AP111">
            <v>110409</v>
          </cell>
          <cell r="AQ111" t="str">
            <v>110409,9020</v>
          </cell>
          <cell r="AR111" t="str">
            <v>[]</v>
          </cell>
          <cell r="AS111" t="str">
            <v>[]</v>
          </cell>
          <cell r="AT111" t="str">
            <v>1104</v>
          </cell>
          <cell r="AU111" t="str">
            <v>3050</v>
          </cell>
          <cell r="AV111" t="str">
            <v>玉皇大帝</v>
          </cell>
          <cell r="AW111" t="str">
            <v>41</v>
          </cell>
          <cell r="AX111">
            <v>1270</v>
          </cell>
          <cell r="AY111">
            <v>1</v>
          </cell>
          <cell r="BA111" t="str">
            <v>[]</v>
          </cell>
          <cell r="BE111" t="str">
            <v>[]</v>
          </cell>
          <cell r="BF111"/>
        </row>
        <row r="112">
          <cell r="A112" t="str">
            <v>wangmuniangniang_attack</v>
          </cell>
          <cell r="B112" t="str">
            <v>普攻</v>
          </cell>
          <cell r="C112" t="str">
            <v>普攻</v>
          </cell>
          <cell r="D112" t="str">
            <v>[]</v>
          </cell>
          <cell r="E112">
            <v>0</v>
          </cell>
          <cell r="F112" t="str">
            <v>[]</v>
          </cell>
          <cell r="G112" t="str">
            <v>远程攻击</v>
          </cell>
          <cell r="H112" t="str">
            <v>[]</v>
          </cell>
          <cell r="I112" t="str">
            <v>[]</v>
          </cell>
          <cell r="J112">
            <v>0</v>
          </cell>
          <cell r="K112">
            <v>1</v>
          </cell>
          <cell r="L112" t="str">
            <v>[]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12</v>
          </cell>
          <cell r="R112" t="str">
            <v>2|1</v>
          </cell>
          <cell r="S112" t="str">
            <v>4|0.2</v>
          </cell>
          <cell r="T112">
            <v>1</v>
          </cell>
          <cell r="U112">
            <v>1</v>
          </cell>
          <cell r="V112">
            <v>0</v>
          </cell>
          <cell r="W112" t="str">
            <v>[]</v>
          </cell>
          <cell r="X112">
            <v>0</v>
          </cell>
          <cell r="Y112" t="str">
            <v>[]</v>
          </cell>
          <cell r="Z112" t="str">
            <v>0,1,0</v>
          </cell>
          <cell r="AA112">
            <v>0</v>
          </cell>
          <cell r="AB112">
            <v>0</v>
          </cell>
          <cell r="AC112" t="str">
            <v>[]</v>
          </cell>
          <cell r="AD112" t="str">
            <v>[]</v>
          </cell>
          <cell r="AE112" t="str">
            <v>[]</v>
          </cell>
          <cell r="AF112" t="str">
            <v>wangmuniangniang_attack</v>
          </cell>
          <cell r="AG112" t="str">
            <v>common_hit_fashu</v>
          </cell>
          <cell r="AH112" t="str">
            <v>[]</v>
          </cell>
          <cell r="AI112" t="str">
            <v>[]</v>
          </cell>
          <cell r="AJ112" t="str">
            <v>[]</v>
          </cell>
          <cell r="AK112" t="str">
            <v>[]</v>
          </cell>
          <cell r="AL112" t="str">
            <v>[]</v>
          </cell>
          <cell r="AM112" t="str">
            <v>[]</v>
          </cell>
          <cell r="AN112">
            <v>2</v>
          </cell>
          <cell r="AO112">
            <v>-2</v>
          </cell>
          <cell r="AP112">
            <v>110500</v>
          </cell>
          <cell r="AQ112" t="str">
            <v>110500</v>
          </cell>
          <cell r="AR112" t="str">
            <v>[]</v>
          </cell>
          <cell r="AS112" t="str">
            <v>[]</v>
          </cell>
          <cell r="AT112" t="str">
            <v>1105</v>
          </cell>
          <cell r="AU112" t="str">
            <v>3060</v>
          </cell>
          <cell r="AV112" t="str">
            <v>远程攻击</v>
          </cell>
          <cell r="AW112" t="str">
            <v>ck</v>
          </cell>
          <cell r="AX112" t="str">
            <v>[]</v>
          </cell>
          <cell r="AY112">
            <v>1</v>
          </cell>
          <cell r="BA112" t="str">
            <v>[]</v>
          </cell>
          <cell r="BE112" t="str">
            <v>[]</v>
          </cell>
          <cell r="BF112"/>
        </row>
        <row r="113">
          <cell r="A113" t="str">
            <v>wangmuniangniang_skill01</v>
          </cell>
          <cell r="B113" t="str">
            <v>地狱冥焰</v>
          </cell>
          <cell r="C113" t="str">
            <v>在敌军上空释放地狱冥焰，对范围内敌人进行6次攻击，造成主角攻击力@s的法伤，并提升自身法伤@s，持续3秒，目标处于灼烧状态无视10%的法防</v>
          </cell>
          <cell r="D113" t="str">
            <v>[]</v>
          </cell>
          <cell r="E113">
            <v>0</v>
          </cell>
          <cell r="F113" t="str">
            <v>[]</v>
          </cell>
          <cell r="G113" t="str">
            <v>王母娘娘核心技能</v>
          </cell>
          <cell r="H113" t="str">
            <v>wangmuniangniang_skill01</v>
          </cell>
          <cell r="I113" t="str">
            <v>wangmuniangniang_skill01</v>
          </cell>
          <cell r="J113">
            <v>0</v>
          </cell>
          <cell r="K113">
            <v>1</v>
          </cell>
          <cell r="L113" t="str">
            <v>1|11</v>
          </cell>
          <cell r="M113">
            <v>2</v>
          </cell>
          <cell r="N113">
            <v>2</v>
          </cell>
          <cell r="O113">
            <v>2</v>
          </cell>
          <cell r="P113">
            <v>2</v>
          </cell>
          <cell r="Q113">
            <v>12</v>
          </cell>
          <cell r="R113" t="str">
            <v>2|1</v>
          </cell>
          <cell r="S113" t="str">
            <v>2|6</v>
          </cell>
          <cell r="T113">
            <v>10</v>
          </cell>
          <cell r="U113">
            <v>1</v>
          </cell>
          <cell r="V113">
            <v>0</v>
          </cell>
          <cell r="W113" t="str">
            <v>[]</v>
          </cell>
          <cell r="X113">
            <v>0</v>
          </cell>
          <cell r="Y113" t="str">
            <v>[]</v>
          </cell>
          <cell r="Z113" t="str">
            <v>0,1,0</v>
          </cell>
          <cell r="AA113">
            <v>0</v>
          </cell>
          <cell r="AB113" t="str">
            <v>12</v>
          </cell>
          <cell r="AC113" t="str">
            <v>[]</v>
          </cell>
          <cell r="AD113" t="str">
            <v>[]</v>
          </cell>
          <cell r="AE113" t="str">
            <v>[]</v>
          </cell>
          <cell r="AF113" t="str">
            <v>wangmuniangniang_skill01</v>
          </cell>
          <cell r="AG113" t="str">
            <v>common_hit_fashu</v>
          </cell>
          <cell r="AH113" t="str">
            <v>[]</v>
          </cell>
          <cell r="AI113" t="str">
            <v>[]</v>
          </cell>
          <cell r="AJ113" t="str">
            <v>[]</v>
          </cell>
          <cell r="AK113" t="str">
            <v>[]</v>
          </cell>
          <cell r="AL113" t="str">
            <v>yishangT3N0.15</v>
          </cell>
          <cell r="AM113" t="str">
            <v>[]</v>
          </cell>
          <cell r="AN113">
            <v>2</v>
          </cell>
          <cell r="AO113" t="str">
            <v>0.5,0.8,0.8,0.8,0.8,0.8</v>
          </cell>
          <cell r="AP113">
            <v>110501</v>
          </cell>
          <cell r="AQ113" t="str">
            <v>110501,9015</v>
          </cell>
          <cell r="AR113" t="str">
            <v>[]</v>
          </cell>
          <cell r="AS113" t="str">
            <v>zsjf10</v>
          </cell>
          <cell r="AT113" t="str">
            <v>1105</v>
          </cell>
          <cell r="AU113" t="str">
            <v>3070</v>
          </cell>
          <cell r="AV113" t="str">
            <v>王母娘娘</v>
          </cell>
          <cell r="AW113" t="str">
            <v>01</v>
          </cell>
          <cell r="AX113" t="str">
            <v>[]</v>
          </cell>
          <cell r="AY113">
            <v>6</v>
          </cell>
          <cell r="BA113" t="str">
            <v>[]</v>
          </cell>
          <cell r="BE113" t="str">
            <v>[]</v>
          </cell>
          <cell r="BF113"/>
        </row>
        <row r="114">
          <cell r="A114" t="str">
            <v>wangmuniangniang_skill02</v>
          </cell>
          <cell r="B114" t="str">
            <v>圣洁烈焰</v>
          </cell>
          <cell r="C114" t="str">
            <v>王母召唤火球释放圣洁烈焰对范围内敌人进行3次攻击，造成自身攻击力@s的法伤，并使敌人受到的伤害增加@s，持续3秒</v>
          </cell>
          <cell r="D114" t="str">
            <v>[]</v>
          </cell>
          <cell r="E114">
            <v>1</v>
          </cell>
          <cell r="F114" t="str">
            <v>boss_warning_yuanxing</v>
          </cell>
          <cell r="G114" t="str">
            <v>王母娘娘技能2</v>
          </cell>
          <cell r="H114" t="str">
            <v>wangmuniangniang_skill02</v>
          </cell>
          <cell r="I114" t="str">
            <v>[]</v>
          </cell>
          <cell r="J114">
            <v>1</v>
          </cell>
          <cell r="K114">
            <v>1</v>
          </cell>
          <cell r="L114" t="str">
            <v>[]</v>
          </cell>
          <cell r="M114">
            <v>2</v>
          </cell>
          <cell r="N114">
            <v>2</v>
          </cell>
          <cell r="O114">
            <v>2</v>
          </cell>
          <cell r="P114">
            <v>2</v>
          </cell>
          <cell r="Q114">
            <v>12</v>
          </cell>
          <cell r="R114" t="str">
            <v>2|1</v>
          </cell>
          <cell r="S114" t="str">
            <v>2|6</v>
          </cell>
          <cell r="T114">
            <v>10</v>
          </cell>
          <cell r="U114">
            <v>1</v>
          </cell>
          <cell r="V114">
            <v>0</v>
          </cell>
          <cell r="W114" t="str">
            <v>[]</v>
          </cell>
          <cell r="X114">
            <v>3</v>
          </cell>
          <cell r="Y114" t="str">
            <v>[]</v>
          </cell>
          <cell r="Z114" t="str">
            <v>0,0.66,0.673</v>
          </cell>
          <cell r="AA114">
            <v>0</v>
          </cell>
          <cell r="AB114">
            <v>6</v>
          </cell>
          <cell r="AC114" t="str">
            <v>[]</v>
          </cell>
          <cell r="AD114" t="str">
            <v>[]</v>
          </cell>
          <cell r="AE114" t="str">
            <v>[]</v>
          </cell>
          <cell r="AF114" t="str">
            <v>wangmuniangniang_skill02</v>
          </cell>
          <cell r="AG114" t="str">
            <v>common_hit_fashu</v>
          </cell>
          <cell r="AH114" t="str">
            <v>[]</v>
          </cell>
          <cell r="AI114" t="str">
            <v>[]</v>
          </cell>
          <cell r="AJ114" t="str">
            <v>[]</v>
          </cell>
          <cell r="AK114" t="str">
            <v>[]</v>
          </cell>
          <cell r="AL114" t="str">
            <v>[]</v>
          </cell>
          <cell r="AM114" t="str">
            <v>jiashangupT3N0.1</v>
          </cell>
          <cell r="AN114">
            <v>1</v>
          </cell>
          <cell r="AO114" t="str">
            <v>0.5,0.5,0.5</v>
          </cell>
          <cell r="AP114">
            <v>110502</v>
          </cell>
          <cell r="AQ114" t="str">
            <v>110502,9010</v>
          </cell>
          <cell r="AR114" t="str">
            <v>[]</v>
          </cell>
          <cell r="AS114" t="str">
            <v>[]</v>
          </cell>
          <cell r="AT114" t="str">
            <v>1105</v>
          </cell>
          <cell r="AU114" t="str">
            <v>3080</v>
          </cell>
          <cell r="AV114" t="str">
            <v>王母娘娘</v>
          </cell>
          <cell r="AW114" t="str">
            <v>02</v>
          </cell>
          <cell r="AX114" t="str">
            <v>[]</v>
          </cell>
          <cell r="AY114">
            <v>3</v>
          </cell>
          <cell r="BA114" t="str">
            <v>[]</v>
          </cell>
          <cell r="BE114" t="str">
            <v>[]</v>
          </cell>
          <cell r="BF114"/>
        </row>
        <row r="115">
          <cell r="A115" t="str">
            <v>wangmuniangniang_skill03</v>
          </cell>
          <cell r="B115" t="str">
            <v>力量激发</v>
          </cell>
          <cell r="C115" t="str">
            <v>进入战斗场景时，提升全体友军造成的伤害@s</v>
          </cell>
          <cell r="D115">
            <v>1262</v>
          </cell>
          <cell r="E115">
            <v>0</v>
          </cell>
          <cell r="F115" t="str">
            <v>[]</v>
          </cell>
          <cell r="G115" t="str">
            <v>紫霞仙子被动技能</v>
          </cell>
          <cell r="H115" t="str">
            <v>wugong</v>
          </cell>
          <cell r="I115" t="str">
            <v>[]</v>
          </cell>
          <cell r="J115">
            <v>2</v>
          </cell>
          <cell r="K115">
            <v>10</v>
          </cell>
          <cell r="L115" t="str">
            <v>[]</v>
          </cell>
          <cell r="M115">
            <v>2</v>
          </cell>
          <cell r="N115">
            <v>2</v>
          </cell>
          <cell r="O115">
            <v>3</v>
          </cell>
          <cell r="P115">
            <v>0</v>
          </cell>
          <cell r="Q115">
            <v>12</v>
          </cell>
          <cell r="R115">
            <v>3</v>
          </cell>
          <cell r="S115" t="str">
            <v>2|20</v>
          </cell>
          <cell r="T115">
            <v>10</v>
          </cell>
          <cell r="U115">
            <v>0</v>
          </cell>
          <cell r="V115">
            <v>0</v>
          </cell>
          <cell r="W115" t="str">
            <v>[]</v>
          </cell>
          <cell r="X115">
            <v>0</v>
          </cell>
          <cell r="Y115" t="str">
            <v>[]</v>
          </cell>
          <cell r="Z115" t="str">
            <v>0,0,0</v>
          </cell>
          <cell r="AA115">
            <v>0</v>
          </cell>
          <cell r="AB115" t="str">
            <v>[]</v>
          </cell>
          <cell r="AC115" t="str">
            <v>[]</v>
          </cell>
          <cell r="AD115" t="str">
            <v>[]</v>
          </cell>
          <cell r="AE115" t="str">
            <v>[]</v>
          </cell>
          <cell r="AF115" t="str">
            <v>[]</v>
          </cell>
          <cell r="AG115" t="str">
            <v>[]</v>
          </cell>
          <cell r="AH115" t="str">
            <v>[]</v>
          </cell>
          <cell r="AI115" t="str">
            <v>[]</v>
          </cell>
          <cell r="AJ115" t="str">
            <v>shanghai10_higheff</v>
          </cell>
          <cell r="AK115" t="str">
            <v>[]</v>
          </cell>
          <cell r="AL115" t="str">
            <v>[]</v>
          </cell>
          <cell r="AM115" t="str">
            <v>[]</v>
          </cell>
          <cell r="AN115">
            <v>0</v>
          </cell>
          <cell r="AO115" t="str">
            <v>[]</v>
          </cell>
          <cell r="AP115" t="str">
            <v>[]</v>
          </cell>
          <cell r="AQ115" t="str">
            <v>9010</v>
          </cell>
          <cell r="AR115" t="str">
            <v>[]</v>
          </cell>
          <cell r="AS115" t="str">
            <v>[]</v>
          </cell>
          <cell r="AT115" t="str">
            <v>9010</v>
          </cell>
          <cell r="AU115" t="str">
            <v>3090</v>
          </cell>
          <cell r="AV115" t="str">
            <v>王母娘娘</v>
          </cell>
          <cell r="AW115" t="str">
            <v>03</v>
          </cell>
          <cell r="AX115">
            <v>1262</v>
          </cell>
          <cell r="AY115">
            <v>1</v>
          </cell>
          <cell r="BA115" t="str">
            <v>[]</v>
          </cell>
          <cell r="BE115" t="str">
            <v>[]</v>
          </cell>
          <cell r="BF115"/>
        </row>
        <row r="116">
          <cell r="A116" t="str">
            <v>wangmuniangniang_skill04</v>
          </cell>
          <cell r="B116" t="str">
            <v>凤凰焚焰</v>
          </cell>
          <cell r="C116" t="str">
            <v>王母于地面释放凤凰焚焰，对范围内敌人造成自身攻击力@s的法伤，并造成灼烧效果，持续6秒</v>
          </cell>
          <cell r="D116">
            <v>1264</v>
          </cell>
          <cell r="E116">
            <v>1</v>
          </cell>
          <cell r="F116" t="str">
            <v>boss_warning_yuanxing</v>
          </cell>
          <cell r="G116" t="str">
            <v>王母娘娘技能4</v>
          </cell>
          <cell r="H116" t="str">
            <v>wangmuniangniang_skill04</v>
          </cell>
          <cell r="I116" t="str">
            <v>[]</v>
          </cell>
          <cell r="J116">
            <v>3</v>
          </cell>
          <cell r="K116">
            <v>1</v>
          </cell>
          <cell r="L116" t="str">
            <v>[]</v>
          </cell>
          <cell r="M116">
            <v>2</v>
          </cell>
          <cell r="N116">
            <v>2</v>
          </cell>
          <cell r="O116">
            <v>2</v>
          </cell>
          <cell r="P116">
            <v>2</v>
          </cell>
          <cell r="Q116">
            <v>12</v>
          </cell>
          <cell r="R116" t="str">
            <v>2|1</v>
          </cell>
          <cell r="S116" t="str">
            <v>2|6</v>
          </cell>
          <cell r="T116">
            <v>10</v>
          </cell>
          <cell r="U116">
            <v>1</v>
          </cell>
          <cell r="V116">
            <v>0</v>
          </cell>
          <cell r="W116" t="str">
            <v>[]</v>
          </cell>
          <cell r="X116">
            <v>3</v>
          </cell>
          <cell r="Y116" t="str">
            <v>[]</v>
          </cell>
          <cell r="Z116" t="str">
            <v>0,0.891,0.776</v>
          </cell>
          <cell r="AA116">
            <v>0</v>
          </cell>
          <cell r="AB116">
            <v>6</v>
          </cell>
          <cell r="AC116" t="str">
            <v>[]</v>
          </cell>
          <cell r="AD116" t="str">
            <v>[]</v>
          </cell>
          <cell r="AE116" t="str">
            <v>[]</v>
          </cell>
          <cell r="AF116" t="str">
            <v>wangmuniangniang_skill04</v>
          </cell>
          <cell r="AG116" t="str">
            <v>common_hit_fashu</v>
          </cell>
          <cell r="AH116" t="str">
            <v>[]</v>
          </cell>
          <cell r="AI116" t="str">
            <v>[]</v>
          </cell>
          <cell r="AJ116" t="str">
            <v>[]</v>
          </cell>
          <cell r="AK116" t="str">
            <v>[]</v>
          </cell>
          <cell r="AL116" t="str">
            <v>[]</v>
          </cell>
          <cell r="AM116" t="str">
            <v>zhuoshaoT6N0.1</v>
          </cell>
          <cell r="AN116">
            <v>1</v>
          </cell>
          <cell r="AO116">
            <v>0.75</v>
          </cell>
          <cell r="AP116">
            <v>110504</v>
          </cell>
          <cell r="AQ116" t="str">
            <v>110504</v>
          </cell>
          <cell r="AR116" t="str">
            <v>[]</v>
          </cell>
          <cell r="AS116" t="str">
            <v>[]</v>
          </cell>
          <cell r="AT116" t="str">
            <v>1105</v>
          </cell>
          <cell r="AU116" t="str">
            <v>3100</v>
          </cell>
          <cell r="AV116" t="str">
            <v>王母娘娘</v>
          </cell>
          <cell r="AW116" t="str">
            <v>04</v>
          </cell>
          <cell r="AX116">
            <v>1264</v>
          </cell>
          <cell r="AY116">
            <v>1</v>
          </cell>
          <cell r="BA116" t="str">
            <v>[]</v>
          </cell>
          <cell r="BE116" t="str">
            <v>[]</v>
          </cell>
          <cell r="BF116"/>
        </row>
        <row r="117">
          <cell r="A117" t="str">
            <v>wangmuniangniang_skill011</v>
          </cell>
          <cell r="B117" t="str">
            <v>奥义·地狱冥焰</v>
          </cell>
          <cell r="C117" t="str">
            <v>在敌军上空释放地狱冥焰，对范围内敌人进行6次攻击，造成主角攻击力@s的法伤，并提升自身法伤@s，持续3秒，目标处于灼烧状态无视20%的法防</v>
          </cell>
          <cell r="D117">
            <v>1266</v>
          </cell>
          <cell r="E117">
            <v>0</v>
          </cell>
          <cell r="F117" t="str">
            <v>[]</v>
          </cell>
          <cell r="G117" t="str">
            <v>王母娘娘核心技能</v>
          </cell>
          <cell r="H117" t="str">
            <v>wangmuniangniang_skill01</v>
          </cell>
          <cell r="I117" t="str">
            <v>wangmuniangniang_skill01</v>
          </cell>
          <cell r="J117">
            <v>0</v>
          </cell>
          <cell r="K117">
            <v>1</v>
          </cell>
          <cell r="L117" t="str">
            <v>1|11</v>
          </cell>
          <cell r="M117">
            <v>2</v>
          </cell>
          <cell r="N117">
            <v>2</v>
          </cell>
          <cell r="O117">
            <v>2</v>
          </cell>
          <cell r="P117">
            <v>2</v>
          </cell>
          <cell r="Q117">
            <v>12</v>
          </cell>
          <cell r="R117" t="str">
            <v>2|1</v>
          </cell>
          <cell r="S117" t="str">
            <v>2|6</v>
          </cell>
          <cell r="T117">
            <v>10</v>
          </cell>
          <cell r="U117">
            <v>1</v>
          </cell>
          <cell r="V117">
            <v>0</v>
          </cell>
          <cell r="W117" t="str">
            <v>[]</v>
          </cell>
          <cell r="X117">
            <v>0</v>
          </cell>
          <cell r="Y117" t="str">
            <v>[]</v>
          </cell>
          <cell r="Z117" t="str">
            <v>0,1,0</v>
          </cell>
          <cell r="AA117">
            <v>0</v>
          </cell>
          <cell r="AB117" t="str">
            <v>12</v>
          </cell>
          <cell r="AC117" t="str">
            <v>[]</v>
          </cell>
          <cell r="AD117" t="str">
            <v>[]</v>
          </cell>
          <cell r="AE117" t="str">
            <v>[]</v>
          </cell>
          <cell r="AF117" t="str">
            <v>wangmuniangniang_skill01</v>
          </cell>
          <cell r="AG117" t="str">
            <v>common_hit_fashu</v>
          </cell>
          <cell r="AH117" t="str">
            <v>[]</v>
          </cell>
          <cell r="AI117" t="str">
            <v>[]</v>
          </cell>
          <cell r="AJ117" t="str">
            <v>[]</v>
          </cell>
          <cell r="AK117" t="str">
            <v>[]</v>
          </cell>
          <cell r="AL117" t="str">
            <v>yishangT3N0.2</v>
          </cell>
          <cell r="AM117" t="str">
            <v>[]</v>
          </cell>
          <cell r="AN117">
            <v>2</v>
          </cell>
          <cell r="AO117" t="str">
            <v>0.5,0.8,0.8,0.8,0.8,0.8</v>
          </cell>
          <cell r="AP117">
            <v>110505</v>
          </cell>
          <cell r="AQ117" t="str">
            <v>110505,9020</v>
          </cell>
          <cell r="AR117" t="str">
            <v>[]</v>
          </cell>
          <cell r="AS117" t="str">
            <v>zsjf20</v>
          </cell>
          <cell r="AT117" t="str">
            <v>1105</v>
          </cell>
          <cell r="AU117" t="str">
            <v>3070</v>
          </cell>
          <cell r="AV117" t="str">
            <v>王母娘娘</v>
          </cell>
          <cell r="AW117" t="str">
            <v>11</v>
          </cell>
          <cell r="AX117">
            <v>1266</v>
          </cell>
          <cell r="AY117">
            <v>6</v>
          </cell>
          <cell r="BA117" t="str">
            <v>[]</v>
          </cell>
          <cell r="BE117" t="str">
            <v>[]</v>
          </cell>
          <cell r="BF117"/>
        </row>
        <row r="118">
          <cell r="A118" t="str">
            <v>wangmuniangniang_skill021</v>
          </cell>
          <cell r="B118" t="str">
            <v>奥义·圣洁烈焰</v>
          </cell>
          <cell r="C118" t="str">
            <v>王母召唤火球释放圣洁烈焰对范围内敌人进行3次攻击，造成自身攻击力@s的法伤，并使敌人受到的伤害增加@s，持续3秒</v>
          </cell>
          <cell r="D118">
            <v>1268</v>
          </cell>
          <cell r="E118">
            <v>1</v>
          </cell>
          <cell r="F118" t="str">
            <v>boss_warning_yuanxing</v>
          </cell>
          <cell r="G118" t="str">
            <v>王母娘娘技能2</v>
          </cell>
          <cell r="H118" t="str">
            <v>wangmuniangniang_skill02</v>
          </cell>
          <cell r="I118" t="str">
            <v>[]</v>
          </cell>
          <cell r="J118">
            <v>1</v>
          </cell>
          <cell r="K118">
            <v>1</v>
          </cell>
          <cell r="L118" t="str">
            <v>[]</v>
          </cell>
          <cell r="M118">
            <v>2</v>
          </cell>
          <cell r="N118">
            <v>2</v>
          </cell>
          <cell r="O118">
            <v>2</v>
          </cell>
          <cell r="P118">
            <v>2</v>
          </cell>
          <cell r="Q118">
            <v>12</v>
          </cell>
          <cell r="R118" t="str">
            <v>2|1</v>
          </cell>
          <cell r="S118" t="str">
            <v>2|6</v>
          </cell>
          <cell r="T118">
            <v>10</v>
          </cell>
          <cell r="U118">
            <v>1</v>
          </cell>
          <cell r="V118">
            <v>0</v>
          </cell>
          <cell r="W118" t="str">
            <v>[]</v>
          </cell>
          <cell r="X118">
            <v>3</v>
          </cell>
          <cell r="Y118" t="str">
            <v>[]</v>
          </cell>
          <cell r="Z118" t="str">
            <v>0,0.66,0.673</v>
          </cell>
          <cell r="AA118">
            <v>0</v>
          </cell>
          <cell r="AB118">
            <v>6</v>
          </cell>
          <cell r="AC118" t="str">
            <v>[]</v>
          </cell>
          <cell r="AD118" t="str">
            <v>[]</v>
          </cell>
          <cell r="AE118" t="str">
            <v>[]</v>
          </cell>
          <cell r="AF118" t="str">
            <v>wangmuniangniang_skill02</v>
          </cell>
          <cell r="AG118" t="str">
            <v>common_hit_fashu</v>
          </cell>
          <cell r="AH118" t="str">
            <v>[]</v>
          </cell>
          <cell r="AI118" t="str">
            <v>[]</v>
          </cell>
          <cell r="AJ118" t="str">
            <v>[]</v>
          </cell>
          <cell r="AK118" t="str">
            <v>[]</v>
          </cell>
          <cell r="AL118" t="str">
            <v>[]</v>
          </cell>
          <cell r="AM118" t="str">
            <v>jiashangupT3N0.2</v>
          </cell>
          <cell r="AN118">
            <v>1</v>
          </cell>
          <cell r="AO118" t="str">
            <v>0.5,0.5,0.5</v>
          </cell>
          <cell r="AP118">
            <v>110506</v>
          </cell>
          <cell r="AQ118" t="str">
            <v>110506,9015</v>
          </cell>
          <cell r="AR118" t="str">
            <v>[]</v>
          </cell>
          <cell r="AS118" t="str">
            <v>[]</v>
          </cell>
          <cell r="AT118" t="str">
            <v>1105</v>
          </cell>
          <cell r="AU118" t="str">
            <v>3080</v>
          </cell>
          <cell r="AV118" t="str">
            <v>王母娘娘</v>
          </cell>
          <cell r="AW118" t="str">
            <v>21</v>
          </cell>
          <cell r="AX118">
            <v>1268</v>
          </cell>
          <cell r="AY118">
            <v>3</v>
          </cell>
          <cell r="BA118" t="str">
            <v>[]</v>
          </cell>
          <cell r="BE118" t="str">
            <v>[]</v>
          </cell>
          <cell r="BF118"/>
        </row>
        <row r="119">
          <cell r="A119" t="str">
            <v>wangmuniangniang_skill041</v>
          </cell>
          <cell r="B119" t="str">
            <v>奥义·凤凰焚焰</v>
          </cell>
          <cell r="C119" t="str">
            <v>王母于地面释放凤凰焚焰，对范围内敌人造成自身攻击力@s的法伤，并造成灼烧效果，持续6秒</v>
          </cell>
          <cell r="D119">
            <v>1270</v>
          </cell>
          <cell r="E119">
            <v>1</v>
          </cell>
          <cell r="F119" t="str">
            <v>boss_warning_yuanxing</v>
          </cell>
          <cell r="G119" t="str">
            <v>王母娘娘技能4</v>
          </cell>
          <cell r="H119" t="str">
            <v>wangmuniangniang_skill04</v>
          </cell>
          <cell r="I119" t="str">
            <v>[]</v>
          </cell>
          <cell r="J119">
            <v>3</v>
          </cell>
          <cell r="K119">
            <v>1</v>
          </cell>
          <cell r="L119" t="str">
            <v>[]</v>
          </cell>
          <cell r="M119">
            <v>2</v>
          </cell>
          <cell r="N119">
            <v>2</v>
          </cell>
          <cell r="O119">
            <v>2</v>
          </cell>
          <cell r="P119">
            <v>2</v>
          </cell>
          <cell r="Q119">
            <v>12</v>
          </cell>
          <cell r="R119" t="str">
            <v>2|1</v>
          </cell>
          <cell r="S119" t="str">
            <v>2|6</v>
          </cell>
          <cell r="T119">
            <v>10</v>
          </cell>
          <cell r="U119">
            <v>1</v>
          </cell>
          <cell r="V119">
            <v>0</v>
          </cell>
          <cell r="W119" t="str">
            <v>[]</v>
          </cell>
          <cell r="X119">
            <v>3</v>
          </cell>
          <cell r="Y119" t="str">
            <v>[]</v>
          </cell>
          <cell r="Z119" t="str">
            <v>0,0.891,0.776</v>
          </cell>
          <cell r="AA119">
            <v>0</v>
          </cell>
          <cell r="AB119">
            <v>6</v>
          </cell>
          <cell r="AC119" t="str">
            <v>[]</v>
          </cell>
          <cell r="AD119" t="str">
            <v>[]</v>
          </cell>
          <cell r="AE119" t="str">
            <v>[]</v>
          </cell>
          <cell r="AF119" t="str">
            <v>wangmuniangniang_skill04</v>
          </cell>
          <cell r="AG119" t="str">
            <v>common_hit_fashu</v>
          </cell>
          <cell r="AH119" t="str">
            <v>[]</v>
          </cell>
          <cell r="AI119" t="str">
            <v>[]</v>
          </cell>
          <cell r="AJ119" t="str">
            <v>[]</v>
          </cell>
          <cell r="AK119" t="str">
            <v>[]</v>
          </cell>
          <cell r="AL119" t="str">
            <v>[]</v>
          </cell>
          <cell r="AM119" t="str">
            <v>zhuoshaoT6N0.2</v>
          </cell>
          <cell r="AN119">
            <v>1</v>
          </cell>
          <cell r="AO119">
            <v>0.75</v>
          </cell>
          <cell r="AP119">
            <v>110507</v>
          </cell>
          <cell r="AQ119" t="str">
            <v>110507</v>
          </cell>
          <cell r="AR119" t="str">
            <v>[]</v>
          </cell>
          <cell r="AS119" t="str">
            <v>[]</v>
          </cell>
          <cell r="AT119" t="str">
            <v>1105</v>
          </cell>
          <cell r="AU119" t="str">
            <v>3100</v>
          </cell>
          <cell r="AV119" t="str">
            <v>王母娘娘</v>
          </cell>
          <cell r="AW119" t="str">
            <v>41</v>
          </cell>
          <cell r="AX119">
            <v>1270</v>
          </cell>
          <cell r="AY119">
            <v>1</v>
          </cell>
          <cell r="BA119" t="str">
            <v>[]</v>
          </cell>
          <cell r="BE119" t="str">
            <v>[]</v>
          </cell>
          <cell r="BF119"/>
        </row>
        <row r="120">
          <cell r="A120" t="str">
            <v>taibaijinxing_attack</v>
          </cell>
          <cell r="B120" t="str">
            <v>太白金星</v>
          </cell>
          <cell r="C120" t="str">
            <v>普攻</v>
          </cell>
          <cell r="D120" t="str">
            <v>[]</v>
          </cell>
          <cell r="E120">
            <v>0</v>
          </cell>
          <cell r="F120" t="str">
            <v>[]</v>
          </cell>
          <cell r="G120" t="str">
            <v>远程攻击</v>
          </cell>
          <cell r="H120" t="str">
            <v>[]</v>
          </cell>
          <cell r="I120" t="str">
            <v>[]</v>
          </cell>
          <cell r="J120">
            <v>0</v>
          </cell>
          <cell r="K120">
            <v>1</v>
          </cell>
          <cell r="L120" t="str">
            <v>[]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12</v>
          </cell>
          <cell r="R120" t="str">
            <v>2|1</v>
          </cell>
          <cell r="S120" t="str">
            <v>4|0.2</v>
          </cell>
          <cell r="T120">
            <v>1</v>
          </cell>
          <cell r="U120">
            <v>1</v>
          </cell>
          <cell r="V120">
            <v>0</v>
          </cell>
          <cell r="W120" t="str">
            <v>[]</v>
          </cell>
          <cell r="X120">
            <v>0</v>
          </cell>
          <cell r="Y120" t="str">
            <v>[]</v>
          </cell>
          <cell r="Z120" t="str">
            <v>0,1,0</v>
          </cell>
          <cell r="AA120">
            <v>0</v>
          </cell>
          <cell r="AB120" t="str">
            <v>[]</v>
          </cell>
          <cell r="AC120" t="str">
            <v>[]</v>
          </cell>
          <cell r="AD120" t="str">
            <v>[]</v>
          </cell>
          <cell r="AE120" t="str">
            <v>[]</v>
          </cell>
          <cell r="AF120" t="str">
            <v>taibaijinxing_attack</v>
          </cell>
          <cell r="AG120" t="str">
            <v>common_hit_fashu</v>
          </cell>
          <cell r="AH120" t="str">
            <v>[]</v>
          </cell>
          <cell r="AI120" t="str">
            <v>[]</v>
          </cell>
          <cell r="AJ120" t="str">
            <v>[]</v>
          </cell>
          <cell r="AK120" t="str">
            <v>[]</v>
          </cell>
          <cell r="AL120" t="str">
            <v>[]</v>
          </cell>
          <cell r="AM120" t="str">
            <v>liuxueT6N0.2</v>
          </cell>
          <cell r="AN120">
            <v>2</v>
          </cell>
          <cell r="AO120">
            <v>-2</v>
          </cell>
          <cell r="AP120">
            <v>110600</v>
          </cell>
          <cell r="AQ120" t="str">
            <v>110600</v>
          </cell>
          <cell r="AR120" t="str">
            <v>[]</v>
          </cell>
          <cell r="AS120" t="str">
            <v>[]</v>
          </cell>
          <cell r="AT120" t="str">
            <v>1106</v>
          </cell>
          <cell r="AU120" t="str">
            <v>3110</v>
          </cell>
          <cell r="AV120" t="str">
            <v>远程攻击</v>
          </cell>
          <cell r="AW120" t="str">
            <v>ck</v>
          </cell>
          <cell r="AX120" t="str">
            <v>[]</v>
          </cell>
          <cell r="AY120">
            <v>1</v>
          </cell>
          <cell r="BA120" t="str">
            <v>[]</v>
          </cell>
          <cell r="BE120" t="str">
            <v>[]</v>
          </cell>
          <cell r="BF120"/>
        </row>
        <row r="121">
          <cell r="A121" t="str">
            <v>taibaijinxing_skill01</v>
          </cell>
          <cell r="B121" t="str">
            <v>紫薇仙法</v>
          </cell>
          <cell r="C121" t="str">
            <v>提升范围内友军@s的伤害和攻击速度，持续3秒</v>
          </cell>
          <cell r="D121" t="str">
            <v>[]</v>
          </cell>
          <cell r="E121">
            <v>0</v>
          </cell>
          <cell r="F121" t="str">
            <v>[]</v>
          </cell>
          <cell r="G121" t="str">
            <v>太白金星核心技能</v>
          </cell>
          <cell r="H121" t="str">
            <v>taibaijinxing_skill01</v>
          </cell>
          <cell r="I121" t="str">
            <v>taibaijinxing_skill01</v>
          </cell>
          <cell r="J121">
            <v>0</v>
          </cell>
          <cell r="K121">
            <v>10</v>
          </cell>
          <cell r="L121" t="str">
            <v>1|6</v>
          </cell>
          <cell r="M121">
            <v>2</v>
          </cell>
          <cell r="N121">
            <v>2</v>
          </cell>
          <cell r="O121">
            <v>1</v>
          </cell>
          <cell r="P121">
            <v>2</v>
          </cell>
          <cell r="Q121">
            <v>12</v>
          </cell>
          <cell r="R121">
            <v>3</v>
          </cell>
          <cell r="S121" t="str">
            <v>2|20</v>
          </cell>
          <cell r="T121">
            <v>10</v>
          </cell>
          <cell r="U121">
            <v>0</v>
          </cell>
          <cell r="V121">
            <v>0</v>
          </cell>
          <cell r="W121" t="str">
            <v>[]</v>
          </cell>
          <cell r="X121">
            <v>0</v>
          </cell>
          <cell r="Y121" t="str">
            <v>[]</v>
          </cell>
          <cell r="Z121" t="str">
            <v>0,1,0</v>
          </cell>
          <cell r="AA121">
            <v>0</v>
          </cell>
          <cell r="AB121" t="str">
            <v>12</v>
          </cell>
          <cell r="AC121" t="str">
            <v>[]</v>
          </cell>
          <cell r="AD121" t="str">
            <v>[]</v>
          </cell>
          <cell r="AE121" t="str">
            <v>[]</v>
          </cell>
          <cell r="AF121" t="str">
            <v>taibaijinxing_effect1</v>
          </cell>
          <cell r="AG121" t="str">
            <v>[]</v>
          </cell>
          <cell r="AH121" t="str">
            <v>[]</v>
          </cell>
          <cell r="AI121" t="str">
            <v>[]</v>
          </cell>
          <cell r="AJ121" t="str">
            <v>[]</v>
          </cell>
          <cell r="AK121" t="str">
            <v>[]</v>
          </cell>
          <cell r="AL121" t="str">
            <v>[]</v>
          </cell>
          <cell r="AM121" t="str">
            <v>yishangT3N0.2,gongsuupT3N0.2</v>
          </cell>
          <cell r="AN121">
            <v>1</v>
          </cell>
          <cell r="AO121">
            <v>0.1</v>
          </cell>
          <cell r="AP121" t="str">
            <v>[]</v>
          </cell>
          <cell r="AQ121" t="str">
            <v>9020</v>
          </cell>
          <cell r="AR121" t="str">
            <v>[]</v>
          </cell>
          <cell r="AS121" t="str">
            <v>[]</v>
          </cell>
          <cell r="AT121" t="str">
            <v>9020</v>
          </cell>
          <cell r="AU121" t="str">
            <v>3120</v>
          </cell>
          <cell r="AV121" t="str">
            <v>太白金星</v>
          </cell>
          <cell r="AW121" t="str">
            <v>01</v>
          </cell>
          <cell r="AX121" t="str">
            <v>[]</v>
          </cell>
          <cell r="AY121">
            <v>1</v>
          </cell>
          <cell r="BA121" t="str">
            <v>[]</v>
          </cell>
          <cell r="BE121" t="str">
            <v>[]</v>
          </cell>
          <cell r="BF121"/>
        </row>
        <row r="122">
          <cell r="A122" t="str">
            <v>taibaijinxing_skill02</v>
          </cell>
          <cell r="B122" t="str">
            <v>天师符法</v>
          </cell>
          <cell r="C122" t="str">
            <v>对范围内的敌人造成自身攻击力@s的法伤，并造成流血效果，持续6秒</v>
          </cell>
          <cell r="D122" t="str">
            <v>[]</v>
          </cell>
          <cell r="E122">
            <v>0</v>
          </cell>
          <cell r="F122" t="str">
            <v>[]</v>
          </cell>
          <cell r="G122" t="str">
            <v>太白金星技能2</v>
          </cell>
          <cell r="H122" t="str">
            <v>taibaijinxing_skill02</v>
          </cell>
          <cell r="I122" t="str">
            <v>[]</v>
          </cell>
          <cell r="J122">
            <v>1</v>
          </cell>
          <cell r="K122">
            <v>10</v>
          </cell>
          <cell r="L122" t="str">
            <v>[]</v>
          </cell>
          <cell r="M122">
            <v>2</v>
          </cell>
          <cell r="N122">
            <v>2</v>
          </cell>
          <cell r="O122">
            <v>2</v>
          </cell>
          <cell r="P122">
            <v>2</v>
          </cell>
          <cell r="Q122">
            <v>12</v>
          </cell>
          <cell r="R122" t="str">
            <v>2|1</v>
          </cell>
          <cell r="S122" t="str">
            <v>2|6</v>
          </cell>
          <cell r="T122">
            <v>10</v>
          </cell>
          <cell r="U122">
            <v>1</v>
          </cell>
          <cell r="V122">
            <v>0</v>
          </cell>
          <cell r="W122" t="str">
            <v>[]</v>
          </cell>
          <cell r="X122">
            <v>3</v>
          </cell>
          <cell r="Y122" t="str">
            <v>[]</v>
          </cell>
          <cell r="Z122" t="str">
            <v>0,1.6,1.067</v>
          </cell>
          <cell r="AA122">
            <v>0</v>
          </cell>
          <cell r="AB122">
            <v>6</v>
          </cell>
          <cell r="AC122" t="str">
            <v>[]</v>
          </cell>
          <cell r="AD122" t="str">
            <v>[]</v>
          </cell>
          <cell r="AE122" t="str">
            <v>[]</v>
          </cell>
          <cell r="AF122" t="str">
            <v>taibaijinxing_effect2</v>
          </cell>
          <cell r="AG122" t="str">
            <v>common_hit_fashu</v>
          </cell>
          <cell r="AH122" t="str">
            <v>[]</v>
          </cell>
          <cell r="AI122" t="str">
            <v>[]</v>
          </cell>
          <cell r="AJ122" t="str">
            <v>[]</v>
          </cell>
          <cell r="AK122" t="str">
            <v>[]</v>
          </cell>
          <cell r="AL122" t="str">
            <v>[]</v>
          </cell>
          <cell r="AM122" t="str">
            <v>liuxueT6N0.1</v>
          </cell>
          <cell r="AN122">
            <v>2</v>
          </cell>
          <cell r="AO122">
            <v>1.2</v>
          </cell>
          <cell r="AP122">
            <v>110602</v>
          </cell>
          <cell r="AQ122" t="str">
            <v>110602</v>
          </cell>
          <cell r="AR122" t="str">
            <v>[]</v>
          </cell>
          <cell r="AS122" t="str">
            <v>[]</v>
          </cell>
          <cell r="AT122" t="str">
            <v>1106</v>
          </cell>
          <cell r="AU122" t="str">
            <v>3130</v>
          </cell>
          <cell r="AV122" t="str">
            <v>太白金星</v>
          </cell>
          <cell r="AW122" t="str">
            <v>02</v>
          </cell>
          <cell r="AX122" t="str">
            <v>[]</v>
          </cell>
          <cell r="AY122">
            <v>1</v>
          </cell>
          <cell r="BA122" t="str">
            <v>[]</v>
          </cell>
          <cell r="BE122" t="str">
            <v>[]</v>
          </cell>
          <cell r="BF122"/>
        </row>
        <row r="123">
          <cell r="A123" t="str">
            <v>taibaijinxing_skill03</v>
          </cell>
          <cell r="B123" t="str">
            <v>伤上加伤</v>
          </cell>
          <cell r="C123" t="str">
            <v>进入战斗场景时，对流血效果的敌人伤害提升@s</v>
          </cell>
          <cell r="D123">
            <v>1262</v>
          </cell>
          <cell r="E123">
            <v>0</v>
          </cell>
          <cell r="F123" t="str">
            <v>[]</v>
          </cell>
          <cell r="G123" t="str">
            <v>太白金星被动技能</v>
          </cell>
          <cell r="H123" t="str">
            <v>shuanggong</v>
          </cell>
          <cell r="I123" t="str">
            <v>[]</v>
          </cell>
          <cell r="J123">
            <v>2</v>
          </cell>
          <cell r="K123">
            <v>10</v>
          </cell>
          <cell r="L123" t="str">
            <v>[]</v>
          </cell>
          <cell r="M123">
            <v>2</v>
          </cell>
          <cell r="N123">
            <v>2</v>
          </cell>
          <cell r="O123">
            <v>3</v>
          </cell>
          <cell r="P123">
            <v>0</v>
          </cell>
          <cell r="Q123">
            <v>12</v>
          </cell>
          <cell r="R123">
            <v>3</v>
          </cell>
          <cell r="S123" t="str">
            <v>2|6</v>
          </cell>
          <cell r="T123">
            <v>10</v>
          </cell>
          <cell r="U123">
            <v>0</v>
          </cell>
          <cell r="V123">
            <v>0</v>
          </cell>
          <cell r="W123" t="str">
            <v>[]</v>
          </cell>
          <cell r="X123">
            <v>0</v>
          </cell>
          <cell r="Y123" t="str">
            <v>[]</v>
          </cell>
          <cell r="Z123" t="str">
            <v>0,0,0</v>
          </cell>
          <cell r="AA123">
            <v>0</v>
          </cell>
          <cell r="AB123" t="str">
            <v>[]</v>
          </cell>
          <cell r="AC123" t="str">
            <v>[]</v>
          </cell>
          <cell r="AD123" t="str">
            <v>[]</v>
          </cell>
          <cell r="AE123" t="str">
            <v>[]</v>
          </cell>
          <cell r="AF123" t="str">
            <v>[]</v>
          </cell>
          <cell r="AG123" t="str">
            <v>[]</v>
          </cell>
          <cell r="AH123" t="str">
            <v>[]</v>
          </cell>
          <cell r="AI123" t="str">
            <v>[]</v>
          </cell>
          <cell r="AJ123" t="str">
            <v>[]</v>
          </cell>
          <cell r="AK123" t="str">
            <v>[]</v>
          </cell>
          <cell r="AL123" t="str">
            <v>[]</v>
          </cell>
          <cell r="AM123" t="str">
            <v>[]</v>
          </cell>
          <cell r="AN123">
            <v>0</v>
          </cell>
          <cell r="AO123" t="str">
            <v>[]</v>
          </cell>
          <cell r="AP123" t="str">
            <v>[]</v>
          </cell>
          <cell r="AQ123" t="str">
            <v>9020</v>
          </cell>
          <cell r="AR123" t="str">
            <v>[]</v>
          </cell>
          <cell r="AS123" t="str">
            <v>DamageB_Cauterize|Bleed|Poison_20</v>
          </cell>
          <cell r="AT123" t="str">
            <v>9020</v>
          </cell>
          <cell r="AU123" t="str">
            <v>3140</v>
          </cell>
          <cell r="AV123" t="str">
            <v>太白金星</v>
          </cell>
          <cell r="AW123" t="str">
            <v>03</v>
          </cell>
          <cell r="AX123">
            <v>1262</v>
          </cell>
          <cell r="AY123">
            <v>1</v>
          </cell>
          <cell r="BA123" t="str">
            <v>[]</v>
          </cell>
          <cell r="BE123" t="str">
            <v>[]</v>
          </cell>
          <cell r="BF123"/>
        </row>
        <row r="124">
          <cell r="A124" t="str">
            <v>taibaijinxing_skill04</v>
          </cell>
          <cell r="B124" t="str">
            <v>星辰回击</v>
          </cell>
          <cell r="C124" t="str">
            <v>对范围内的敌人造成自身攻击力@s的法伤，寒力爆开40%的概率冰封目标2秒</v>
          </cell>
          <cell r="D124">
            <v>1264</v>
          </cell>
          <cell r="E124">
            <v>0</v>
          </cell>
          <cell r="F124" t="str">
            <v>[]</v>
          </cell>
          <cell r="G124" t="str">
            <v>太白金星技能4</v>
          </cell>
          <cell r="H124" t="str">
            <v>taibaijinxing_skill04</v>
          </cell>
          <cell r="I124" t="str">
            <v>[]</v>
          </cell>
          <cell r="J124">
            <v>3</v>
          </cell>
          <cell r="K124">
            <v>10</v>
          </cell>
          <cell r="L124" t="str">
            <v>[]</v>
          </cell>
          <cell r="M124">
            <v>2</v>
          </cell>
          <cell r="N124">
            <v>2</v>
          </cell>
          <cell r="O124">
            <v>1</v>
          </cell>
          <cell r="P124">
            <v>2</v>
          </cell>
          <cell r="Q124">
            <v>12</v>
          </cell>
          <cell r="R124" t="str">
            <v>2|1</v>
          </cell>
          <cell r="S124" t="str">
            <v>4|0.2</v>
          </cell>
          <cell r="T124">
            <v>1</v>
          </cell>
          <cell r="U124">
            <v>1</v>
          </cell>
          <cell r="V124">
            <v>0</v>
          </cell>
          <cell r="W124" t="str">
            <v>[]</v>
          </cell>
          <cell r="X124">
            <v>3</v>
          </cell>
          <cell r="Y124" t="str">
            <v>[]</v>
          </cell>
          <cell r="Z124" t="str">
            <v>2,1.667,0</v>
          </cell>
          <cell r="AA124">
            <v>0</v>
          </cell>
          <cell r="AB124">
            <v>6</v>
          </cell>
          <cell r="AC124" t="str">
            <v>[]</v>
          </cell>
          <cell r="AD124" t="str">
            <v>[]</v>
          </cell>
          <cell r="AE124" t="str">
            <v>taibaijinxing_effect4_q</v>
          </cell>
          <cell r="AF124" t="str">
            <v>taibaijinxing_effect4</v>
          </cell>
          <cell r="AG124" t="str">
            <v>taibaijinxing_effect4_b</v>
          </cell>
          <cell r="AH124" t="str">
            <v>[]</v>
          </cell>
          <cell r="AI124" t="str">
            <v>[]</v>
          </cell>
          <cell r="AJ124" t="str">
            <v>[]</v>
          </cell>
          <cell r="AK124" t="str">
            <v>bingdongT1NP0.4</v>
          </cell>
          <cell r="AL124" t="str">
            <v>[]</v>
          </cell>
          <cell r="AM124" t="str">
            <v>[]</v>
          </cell>
          <cell r="AN124">
            <v>2</v>
          </cell>
          <cell r="AO124">
            <v>-2</v>
          </cell>
          <cell r="AP124">
            <v>110604</v>
          </cell>
          <cell r="AQ124" t="str">
            <v>110604</v>
          </cell>
          <cell r="AR124" t="str">
            <v>[]</v>
          </cell>
          <cell r="AS124" t="str">
            <v>[]</v>
          </cell>
          <cell r="AT124" t="str">
            <v>1106</v>
          </cell>
          <cell r="AU124" t="str">
            <v>3150</v>
          </cell>
          <cell r="AV124" t="str">
            <v>太白金星</v>
          </cell>
          <cell r="AW124" t="str">
            <v>04</v>
          </cell>
          <cell r="AX124">
            <v>1264</v>
          </cell>
          <cell r="AY124">
            <v>1</v>
          </cell>
          <cell r="AZ124">
            <v>0.4</v>
          </cell>
          <cell r="BA124">
            <v>0.4</v>
          </cell>
          <cell r="BE124">
            <v>0.4</v>
          </cell>
          <cell r="BF124"/>
        </row>
        <row r="125">
          <cell r="A125" t="str">
            <v>taibaijinxing_skill011</v>
          </cell>
          <cell r="B125" t="str">
            <v>奥义·紫薇仙法</v>
          </cell>
          <cell r="C125" t="str">
            <v>提升范围内友军@s的伤害和攻击速度，持续3秒</v>
          </cell>
          <cell r="D125">
            <v>1266</v>
          </cell>
          <cell r="E125">
            <v>0</v>
          </cell>
          <cell r="F125" t="str">
            <v>[]</v>
          </cell>
          <cell r="G125" t="str">
            <v>太白金星核心技能</v>
          </cell>
          <cell r="H125" t="str">
            <v>taibaijinxing_skill01</v>
          </cell>
          <cell r="I125" t="str">
            <v>taibaijinxing_skill01</v>
          </cell>
          <cell r="J125">
            <v>0</v>
          </cell>
          <cell r="K125">
            <v>10</v>
          </cell>
          <cell r="L125" t="str">
            <v>1|6</v>
          </cell>
          <cell r="M125">
            <v>2</v>
          </cell>
          <cell r="N125">
            <v>2</v>
          </cell>
          <cell r="O125">
            <v>1</v>
          </cell>
          <cell r="P125">
            <v>2</v>
          </cell>
          <cell r="Q125">
            <v>12</v>
          </cell>
          <cell r="R125">
            <v>3</v>
          </cell>
          <cell r="S125" t="str">
            <v>2|20</v>
          </cell>
          <cell r="T125">
            <v>10</v>
          </cell>
          <cell r="U125">
            <v>0</v>
          </cell>
          <cell r="V125">
            <v>0</v>
          </cell>
          <cell r="W125" t="str">
            <v>[]</v>
          </cell>
          <cell r="X125">
            <v>0</v>
          </cell>
          <cell r="Y125" t="str">
            <v>[]</v>
          </cell>
          <cell r="Z125" t="str">
            <v>0,1,0</v>
          </cell>
          <cell r="AA125">
            <v>0</v>
          </cell>
          <cell r="AB125" t="str">
            <v>12</v>
          </cell>
          <cell r="AC125" t="str">
            <v>[]</v>
          </cell>
          <cell r="AD125" t="str">
            <v>[]</v>
          </cell>
          <cell r="AE125" t="str">
            <v>[]</v>
          </cell>
          <cell r="AF125" t="str">
            <v>taibaijinxing_effect1</v>
          </cell>
          <cell r="AG125" t="str">
            <v>[]</v>
          </cell>
          <cell r="AH125" t="str">
            <v>[]</v>
          </cell>
          <cell r="AI125" t="str">
            <v>[]</v>
          </cell>
          <cell r="AJ125" t="str">
            <v>[]</v>
          </cell>
          <cell r="AK125" t="str">
            <v>[]</v>
          </cell>
          <cell r="AL125" t="str">
            <v>[]</v>
          </cell>
          <cell r="AM125" t="str">
            <v>gongsuupT3N0.2,yishangT3N0.3</v>
          </cell>
          <cell r="AN125">
            <v>1</v>
          </cell>
          <cell r="AO125">
            <v>0.1</v>
          </cell>
          <cell r="AP125" t="str">
            <v>[]</v>
          </cell>
          <cell r="AQ125" t="str">
            <v>9030</v>
          </cell>
          <cell r="AR125" t="str">
            <v>[]</v>
          </cell>
          <cell r="AS125" t="str">
            <v>[]</v>
          </cell>
          <cell r="AT125" t="str">
            <v>9030</v>
          </cell>
          <cell r="AU125" t="str">
            <v>3120</v>
          </cell>
          <cell r="AV125" t="str">
            <v>太白金星</v>
          </cell>
          <cell r="AW125" t="str">
            <v>11</v>
          </cell>
          <cell r="AX125">
            <v>1266</v>
          </cell>
          <cell r="AY125">
            <v>1</v>
          </cell>
          <cell r="BA125" t="str">
            <v>[]</v>
          </cell>
          <cell r="BE125" t="str">
            <v>[]</v>
          </cell>
          <cell r="BF125"/>
        </row>
        <row r="126">
          <cell r="A126" t="str">
            <v>taibaijinxing_skill021</v>
          </cell>
          <cell r="B126" t="str">
            <v>奥义·天师符法</v>
          </cell>
          <cell r="C126" t="str">
            <v>对范围内的敌人造成自身攻击力@s的法伤</v>
          </cell>
          <cell r="D126">
            <v>1268</v>
          </cell>
          <cell r="E126">
            <v>0</v>
          </cell>
          <cell r="F126" t="str">
            <v>[]</v>
          </cell>
          <cell r="G126" t="str">
            <v>太白金星技能2</v>
          </cell>
          <cell r="H126" t="str">
            <v>taibaijinxing_skill02</v>
          </cell>
          <cell r="I126" t="str">
            <v>[]</v>
          </cell>
          <cell r="J126">
            <v>1</v>
          </cell>
          <cell r="K126">
            <v>10</v>
          </cell>
          <cell r="L126" t="str">
            <v>[]</v>
          </cell>
          <cell r="M126">
            <v>2</v>
          </cell>
          <cell r="N126">
            <v>2</v>
          </cell>
          <cell r="O126">
            <v>1</v>
          </cell>
          <cell r="P126">
            <v>2</v>
          </cell>
          <cell r="Q126">
            <v>12</v>
          </cell>
          <cell r="R126" t="str">
            <v>2|1</v>
          </cell>
          <cell r="S126" t="str">
            <v>2|6</v>
          </cell>
          <cell r="T126">
            <v>1</v>
          </cell>
          <cell r="U126">
            <v>1</v>
          </cell>
          <cell r="V126">
            <v>0</v>
          </cell>
          <cell r="W126" t="str">
            <v>[]</v>
          </cell>
          <cell r="X126">
            <v>3</v>
          </cell>
          <cell r="Y126" t="str">
            <v>[]</v>
          </cell>
          <cell r="Z126" t="str">
            <v>0,0.6,1.067</v>
          </cell>
          <cell r="AA126">
            <v>0</v>
          </cell>
          <cell r="AB126">
            <v>6</v>
          </cell>
          <cell r="AC126" t="str">
            <v>[]</v>
          </cell>
          <cell r="AD126" t="str">
            <v>[]</v>
          </cell>
          <cell r="AE126" t="str">
            <v>[]</v>
          </cell>
          <cell r="AF126" t="str">
            <v>taibaijinxing_effect4</v>
          </cell>
          <cell r="AG126" t="str">
            <v>taibaijinxing_effect2</v>
          </cell>
          <cell r="AH126" t="str">
            <v>[]</v>
          </cell>
          <cell r="AI126" t="str">
            <v>[]</v>
          </cell>
          <cell r="AJ126" t="str">
            <v>[]</v>
          </cell>
          <cell r="AK126" t="str">
            <v>[]</v>
          </cell>
          <cell r="AL126" t="str">
            <v>[]</v>
          </cell>
          <cell r="AM126" t="str">
            <v>liuxueT6N0.1</v>
          </cell>
          <cell r="AN126">
            <v>1</v>
          </cell>
          <cell r="AO126">
            <v>1.2</v>
          </cell>
          <cell r="AP126">
            <v>110606</v>
          </cell>
          <cell r="AQ126" t="str">
            <v>110606</v>
          </cell>
          <cell r="AR126" t="str">
            <v>[]</v>
          </cell>
          <cell r="AS126" t="str">
            <v>[]</v>
          </cell>
          <cell r="AT126" t="str">
            <v>1106</v>
          </cell>
          <cell r="AU126" t="str">
            <v>3130</v>
          </cell>
          <cell r="AV126" t="str">
            <v>太白金星</v>
          </cell>
          <cell r="AW126" t="str">
            <v>21</v>
          </cell>
          <cell r="AX126">
            <v>1268</v>
          </cell>
          <cell r="AY126">
            <v>1</v>
          </cell>
          <cell r="BA126" t="str">
            <v>[]</v>
          </cell>
          <cell r="BE126" t="str">
            <v>[]</v>
          </cell>
          <cell r="BF126"/>
        </row>
        <row r="127">
          <cell r="A127" t="str">
            <v>taibaijinxing_skill041</v>
          </cell>
          <cell r="B127" t="str">
            <v>奥义·星辰回击</v>
          </cell>
          <cell r="C127" t="str">
            <v>对范围内的敌人造成自身攻击力@s的法伤，寒力爆开60%的概率冰封目标2秒</v>
          </cell>
          <cell r="D127">
            <v>1270</v>
          </cell>
          <cell r="E127">
            <v>0</v>
          </cell>
          <cell r="F127" t="str">
            <v>[]</v>
          </cell>
          <cell r="G127" t="str">
            <v>太白金星技能4</v>
          </cell>
          <cell r="H127" t="str">
            <v>taibaijinxing_skill04</v>
          </cell>
          <cell r="I127" t="str">
            <v>[]</v>
          </cell>
          <cell r="J127">
            <v>3</v>
          </cell>
          <cell r="K127">
            <v>10</v>
          </cell>
          <cell r="L127" t="str">
            <v>[]</v>
          </cell>
          <cell r="M127">
            <v>2</v>
          </cell>
          <cell r="N127">
            <v>2</v>
          </cell>
          <cell r="O127">
            <v>1</v>
          </cell>
          <cell r="P127">
            <v>2</v>
          </cell>
          <cell r="Q127">
            <v>12</v>
          </cell>
          <cell r="R127" t="str">
            <v>2|1</v>
          </cell>
          <cell r="S127" t="str">
            <v>4|0.2</v>
          </cell>
          <cell r="T127">
            <v>1</v>
          </cell>
          <cell r="U127">
            <v>1</v>
          </cell>
          <cell r="V127">
            <v>0</v>
          </cell>
          <cell r="W127" t="str">
            <v>[]</v>
          </cell>
          <cell r="X127">
            <v>3</v>
          </cell>
          <cell r="Y127" t="str">
            <v>[]</v>
          </cell>
          <cell r="Z127" t="str">
            <v>0,1.667,0</v>
          </cell>
          <cell r="AA127">
            <v>0</v>
          </cell>
          <cell r="AB127">
            <v>6</v>
          </cell>
          <cell r="AC127" t="str">
            <v>[]</v>
          </cell>
          <cell r="AD127" t="str">
            <v>[]</v>
          </cell>
          <cell r="AE127" t="str">
            <v>taibaijinxing_effect4_q</v>
          </cell>
          <cell r="AF127" t="str">
            <v>taibaijinxing_effect4</v>
          </cell>
          <cell r="AG127" t="str">
            <v>taibaijinxing_effect4_b</v>
          </cell>
          <cell r="AH127" t="str">
            <v>[]</v>
          </cell>
          <cell r="AI127" t="str">
            <v>[]</v>
          </cell>
          <cell r="AJ127" t="str">
            <v>[]</v>
          </cell>
          <cell r="AK127" t="str">
            <v>bingdongT1NP0.6</v>
          </cell>
          <cell r="AL127" t="str">
            <v>[]</v>
          </cell>
          <cell r="AM127" t="str">
            <v>[]</v>
          </cell>
          <cell r="AN127">
            <v>2</v>
          </cell>
          <cell r="AO127">
            <v>-2</v>
          </cell>
          <cell r="AP127">
            <v>110607</v>
          </cell>
          <cell r="AQ127" t="str">
            <v>110607</v>
          </cell>
          <cell r="AR127" t="str">
            <v>[]</v>
          </cell>
          <cell r="AS127" t="str">
            <v>[]</v>
          </cell>
          <cell r="AT127" t="str">
            <v>1106</v>
          </cell>
          <cell r="AU127" t="str">
            <v>3150</v>
          </cell>
          <cell r="AV127" t="str">
            <v>太白金星</v>
          </cell>
          <cell r="AW127" t="str">
            <v>41</v>
          </cell>
          <cell r="AX127">
            <v>1270</v>
          </cell>
          <cell r="AY127">
            <v>1</v>
          </cell>
          <cell r="AZ127">
            <v>0.6</v>
          </cell>
          <cell r="BA127">
            <v>0.6</v>
          </cell>
          <cell r="BE127">
            <v>0.6</v>
          </cell>
          <cell r="BF127"/>
        </row>
        <row r="128">
          <cell r="A128" t="str">
            <v>chijiaodaxian_attack</v>
          </cell>
          <cell r="B128" t="str">
            <v>赤脚大仙</v>
          </cell>
          <cell r="C128" t="str">
            <v>普攻</v>
          </cell>
          <cell r="D128" t="str">
            <v>[]</v>
          </cell>
          <cell r="E128">
            <v>0</v>
          </cell>
          <cell r="F128" t="str">
            <v>[]</v>
          </cell>
          <cell r="G128" t="str">
            <v>近战攻击</v>
          </cell>
          <cell r="H128" t="str">
            <v>[]</v>
          </cell>
          <cell r="I128" t="str">
            <v>[]</v>
          </cell>
          <cell r="J128">
            <v>0</v>
          </cell>
          <cell r="K128">
            <v>1</v>
          </cell>
          <cell r="L128" t="str">
            <v>[]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3</v>
          </cell>
          <cell r="R128" t="str">
            <v>2|1</v>
          </cell>
          <cell r="S128" t="str">
            <v>4|0.2</v>
          </cell>
          <cell r="T128">
            <v>1</v>
          </cell>
          <cell r="U128">
            <v>1</v>
          </cell>
          <cell r="V128">
            <v>0</v>
          </cell>
          <cell r="W128" t="str">
            <v>[]</v>
          </cell>
          <cell r="X128">
            <v>0</v>
          </cell>
          <cell r="Y128" t="str">
            <v>[]</v>
          </cell>
          <cell r="Z128" t="str">
            <v>0,1,0</v>
          </cell>
          <cell r="AA128">
            <v>0</v>
          </cell>
          <cell r="AB128" t="str">
            <v>[]</v>
          </cell>
          <cell r="AC128" t="str">
            <v>[]</v>
          </cell>
          <cell r="AD128" t="str">
            <v>[]</v>
          </cell>
          <cell r="AE128" t="str">
            <v>[]</v>
          </cell>
          <cell r="AF128" t="str">
            <v>chijiaodaxian_attack</v>
          </cell>
          <cell r="AG128" t="str">
            <v>common_hit_zhongwuqi</v>
          </cell>
          <cell r="AH128" t="str">
            <v>[]</v>
          </cell>
          <cell r="AI128" t="str">
            <v>[]</v>
          </cell>
          <cell r="AJ128" t="str">
            <v>[]</v>
          </cell>
          <cell r="AK128" t="str">
            <v>[]</v>
          </cell>
          <cell r="AL128" t="str">
            <v>[]</v>
          </cell>
          <cell r="AM128" t="str">
            <v>[]</v>
          </cell>
          <cell r="AN128">
            <v>1</v>
          </cell>
          <cell r="AO128">
            <v>0.5</v>
          </cell>
          <cell r="AP128">
            <v>110700</v>
          </cell>
          <cell r="AQ128" t="str">
            <v>110700</v>
          </cell>
          <cell r="AR128" t="str">
            <v>[]</v>
          </cell>
          <cell r="AS128" t="str">
            <v>[]</v>
          </cell>
          <cell r="AT128" t="str">
            <v>1107</v>
          </cell>
          <cell r="AU128" t="str">
            <v>3160</v>
          </cell>
          <cell r="AV128" t="str">
            <v>近战攻击</v>
          </cell>
          <cell r="AW128" t="str">
            <v>ck</v>
          </cell>
          <cell r="AX128" t="str">
            <v>[]</v>
          </cell>
          <cell r="AY128">
            <v>1</v>
          </cell>
          <cell r="BA128" t="str">
            <v>[]</v>
          </cell>
          <cell r="BE128" t="str">
            <v>[]</v>
          </cell>
          <cell r="BF128"/>
        </row>
        <row r="129">
          <cell r="A129" t="str">
            <v>chijiaodaxian_skill01</v>
          </cell>
          <cell r="B129" t="str">
            <v>爆裂双斧</v>
          </cell>
          <cell r="C129" t="str">
            <v>召唤神兵，对范围内敌人进行2次攻击,造成主角攻击力@s的法伤，并降低命中率@s，持续3秒</v>
          </cell>
          <cell r="D129" t="str">
            <v>[]</v>
          </cell>
          <cell r="E129">
            <v>0</v>
          </cell>
          <cell r="F129" t="str">
            <v>[]</v>
          </cell>
          <cell r="G129" t="str">
            <v>赤脚大仙核心技能</v>
          </cell>
          <cell r="H129" t="str">
            <v>chijiaodaxian_skill01</v>
          </cell>
          <cell r="I129" t="str">
            <v>chijiaodaxian_skill01</v>
          </cell>
          <cell r="J129">
            <v>0</v>
          </cell>
          <cell r="K129">
            <v>10</v>
          </cell>
          <cell r="L129" t="str">
            <v>1|7</v>
          </cell>
          <cell r="M129">
            <v>2</v>
          </cell>
          <cell r="N129">
            <v>2</v>
          </cell>
          <cell r="O129">
            <v>1</v>
          </cell>
          <cell r="P129">
            <v>2</v>
          </cell>
          <cell r="Q129">
            <v>7</v>
          </cell>
          <cell r="R129" t="str">
            <v>2|1</v>
          </cell>
          <cell r="S129" t="str">
            <v>1|10|6</v>
          </cell>
          <cell r="T129">
            <v>10</v>
          </cell>
          <cell r="U129">
            <v>1</v>
          </cell>
          <cell r="V129">
            <v>0</v>
          </cell>
          <cell r="W129" t="str">
            <v>[]</v>
          </cell>
          <cell r="X129">
            <v>0</v>
          </cell>
          <cell r="Y129" t="str">
            <v>[]</v>
          </cell>
          <cell r="Z129" t="str">
            <v>0,1,0</v>
          </cell>
          <cell r="AA129">
            <v>0</v>
          </cell>
          <cell r="AB129" t="str">
            <v>12</v>
          </cell>
          <cell r="AC129" t="str">
            <v>[]</v>
          </cell>
          <cell r="AD129" t="str">
            <v>[]</v>
          </cell>
          <cell r="AE129" t="str">
            <v>[]</v>
          </cell>
          <cell r="AF129" t="str">
            <v>chijiaodaxian_skill01</v>
          </cell>
          <cell r="AG129" t="str">
            <v>common_hit_zhongwuqi</v>
          </cell>
          <cell r="AH129" t="str">
            <v>[]</v>
          </cell>
          <cell r="AI129" t="str">
            <v>[]</v>
          </cell>
          <cell r="AJ129" t="str">
            <v>[]</v>
          </cell>
          <cell r="AK129" t="str">
            <v>[]</v>
          </cell>
          <cell r="AL129" t="str">
            <v>[]</v>
          </cell>
          <cell r="AM129" t="str">
            <v>mingzhongdownT3N0.2</v>
          </cell>
          <cell r="AN129">
            <v>2</v>
          </cell>
          <cell r="AO129" t="str">
            <v>0.6,0.7</v>
          </cell>
          <cell r="AP129">
            <v>110701</v>
          </cell>
          <cell r="AQ129" t="str">
            <v>110701,9010</v>
          </cell>
          <cell r="AR129" t="str">
            <v>[]</v>
          </cell>
          <cell r="AS129" t="str">
            <v>[]</v>
          </cell>
          <cell r="AT129" t="str">
            <v>1107</v>
          </cell>
          <cell r="AU129" t="str">
            <v>3170</v>
          </cell>
          <cell r="AV129" t="str">
            <v>赤脚大仙</v>
          </cell>
          <cell r="AW129" t="str">
            <v>01</v>
          </cell>
          <cell r="AX129" t="str">
            <v>[]</v>
          </cell>
          <cell r="AY129">
            <v>2</v>
          </cell>
          <cell r="BA129" t="str">
            <v>[]</v>
          </cell>
          <cell r="BE129" t="str">
            <v>[]</v>
          </cell>
          <cell r="BF129"/>
        </row>
        <row r="130">
          <cell r="A130" t="str">
            <v>chijiaodaxian_skill02</v>
          </cell>
          <cell r="B130" t="str">
            <v>真元爆发</v>
          </cell>
          <cell r="C130" t="str">
            <v>爆发自身真元之力，治疗自身，每0.5秒恢复自身生命值上限2%的生命值，持续2秒</v>
          </cell>
          <cell r="D130" t="str">
            <v>[]</v>
          </cell>
          <cell r="E130">
            <v>0</v>
          </cell>
          <cell r="F130" t="str">
            <v>[]</v>
          </cell>
          <cell r="G130" t="str">
            <v>赤脚大仙技能2</v>
          </cell>
          <cell r="H130" t="str">
            <v>chijiaodaxian_skill02</v>
          </cell>
          <cell r="I130" t="str">
            <v>[]</v>
          </cell>
          <cell r="J130">
            <v>1</v>
          </cell>
          <cell r="K130">
            <v>10</v>
          </cell>
          <cell r="L130" t="str">
            <v>[]</v>
          </cell>
          <cell r="M130">
            <v>2</v>
          </cell>
          <cell r="N130">
            <v>2</v>
          </cell>
          <cell r="O130">
            <v>1</v>
          </cell>
          <cell r="P130">
            <v>2</v>
          </cell>
          <cell r="Q130">
            <v>12</v>
          </cell>
          <cell r="R130">
            <v>1</v>
          </cell>
          <cell r="S130" t="str">
            <v>4|0.2</v>
          </cell>
          <cell r="T130">
            <v>1</v>
          </cell>
          <cell r="U130">
            <v>1</v>
          </cell>
          <cell r="V130">
            <v>0</v>
          </cell>
          <cell r="W130" t="str">
            <v>[]</v>
          </cell>
          <cell r="X130">
            <v>3</v>
          </cell>
          <cell r="Y130" t="str">
            <v>[]</v>
          </cell>
          <cell r="Z130" t="str">
            <v>0,1.933,0</v>
          </cell>
          <cell r="AA130">
            <v>0</v>
          </cell>
          <cell r="AB130">
            <v>6</v>
          </cell>
          <cell r="AC130" t="str">
            <v>[]</v>
          </cell>
          <cell r="AD130" t="str">
            <v>[]</v>
          </cell>
          <cell r="AE130" t="str">
            <v>[]</v>
          </cell>
          <cell r="AF130" t="str">
            <v>chijiaodaxian_skill02</v>
          </cell>
          <cell r="AG130" t="str">
            <v>respond_hp</v>
          </cell>
          <cell r="AH130" t="str">
            <v>[]</v>
          </cell>
          <cell r="AI130" t="str">
            <v>[]</v>
          </cell>
          <cell r="AJ130" t="str">
            <v>[]</v>
          </cell>
          <cell r="AK130" t="str">
            <v>[]</v>
          </cell>
          <cell r="AL130" t="str">
            <v>hpmaxhuifu2</v>
          </cell>
          <cell r="AM130" t="str">
            <v>[]</v>
          </cell>
          <cell r="AN130">
            <v>2</v>
          </cell>
          <cell r="AO130">
            <v>1</v>
          </cell>
          <cell r="AP130" t="str">
            <v>[]</v>
          </cell>
          <cell r="AQ130" t="str">
            <v>9002</v>
          </cell>
          <cell r="AR130" t="str">
            <v>[]</v>
          </cell>
          <cell r="AS130" t="str">
            <v>[]</v>
          </cell>
          <cell r="AT130" t="str">
            <v>1107</v>
          </cell>
          <cell r="AU130" t="str">
            <v>3180</v>
          </cell>
          <cell r="AV130" t="str">
            <v>赤脚大仙</v>
          </cell>
          <cell r="AW130" t="str">
            <v>02</v>
          </cell>
          <cell r="AX130" t="str">
            <v>[]</v>
          </cell>
          <cell r="AY130">
            <v>1</v>
          </cell>
          <cell r="BA130" t="str">
            <v>[]</v>
          </cell>
          <cell r="BE130" t="str">
            <v>[]</v>
          </cell>
          <cell r="BF130"/>
        </row>
        <row r="131">
          <cell r="A131" t="str">
            <v>chijiaodaxian_skill03</v>
          </cell>
          <cell r="B131" t="str">
            <v>满身大汉</v>
          </cell>
          <cell r="C131" t="str">
            <v>进入战斗场景时，提升自身生命值@s</v>
          </cell>
          <cell r="D131">
            <v>1262</v>
          </cell>
          <cell r="E131">
            <v>0</v>
          </cell>
          <cell r="F131" t="str">
            <v>[]</v>
          </cell>
          <cell r="G131" t="str">
            <v>赤脚大仙被动技能</v>
          </cell>
          <cell r="H131" t="str">
            <v>baoji</v>
          </cell>
          <cell r="I131" t="str">
            <v>[]</v>
          </cell>
          <cell r="J131">
            <v>2</v>
          </cell>
          <cell r="K131">
            <v>10</v>
          </cell>
          <cell r="L131" t="str">
            <v>[]</v>
          </cell>
          <cell r="M131">
            <v>2</v>
          </cell>
          <cell r="N131">
            <v>2</v>
          </cell>
          <cell r="O131">
            <v>3</v>
          </cell>
          <cell r="P131">
            <v>0</v>
          </cell>
          <cell r="Q131">
            <v>12</v>
          </cell>
          <cell r="R131">
            <v>1</v>
          </cell>
          <cell r="S131" t="str">
            <v>4|0.2</v>
          </cell>
          <cell r="T131">
            <v>1</v>
          </cell>
          <cell r="U131">
            <v>0</v>
          </cell>
          <cell r="V131">
            <v>0</v>
          </cell>
          <cell r="W131" t="str">
            <v>[]</v>
          </cell>
          <cell r="X131">
            <v>0</v>
          </cell>
          <cell r="Y131" t="str">
            <v>[]</v>
          </cell>
          <cell r="Z131" t="str">
            <v>0,0,0</v>
          </cell>
          <cell r="AA131">
            <v>0</v>
          </cell>
          <cell r="AB131" t="str">
            <v>[]</v>
          </cell>
          <cell r="AC131" t="str">
            <v>[]</v>
          </cell>
          <cell r="AD131" t="str">
            <v>[]</v>
          </cell>
          <cell r="AE131" t="str">
            <v>[]</v>
          </cell>
          <cell r="AF131" t="str">
            <v>[]</v>
          </cell>
          <cell r="AG131" t="str">
            <v>[]</v>
          </cell>
          <cell r="AH131" t="str">
            <v>[]</v>
          </cell>
          <cell r="AI131" t="str">
            <v>[]</v>
          </cell>
          <cell r="AJ131" t="str">
            <v>[]</v>
          </cell>
          <cell r="AK131" t="str">
            <v>[]</v>
          </cell>
          <cell r="AL131" t="str">
            <v>hpupTN0.2b</v>
          </cell>
          <cell r="AM131" t="str">
            <v>[]</v>
          </cell>
          <cell r="AN131">
            <v>0</v>
          </cell>
          <cell r="AO131" t="str">
            <v>[]</v>
          </cell>
          <cell r="AP131" t="str">
            <v>[]</v>
          </cell>
          <cell r="AQ131" t="str">
            <v>9020</v>
          </cell>
          <cell r="AR131" t="str">
            <v>[]</v>
          </cell>
          <cell r="AS131" t="str">
            <v>[]</v>
          </cell>
          <cell r="AT131" t="str">
            <v>9020</v>
          </cell>
          <cell r="AU131" t="str">
            <v>3190</v>
          </cell>
          <cell r="AV131" t="str">
            <v>赤脚大仙</v>
          </cell>
          <cell r="AW131" t="str">
            <v>03</v>
          </cell>
          <cell r="AX131">
            <v>1262</v>
          </cell>
          <cell r="AY131">
            <v>1</v>
          </cell>
          <cell r="BA131" t="str">
            <v>[]</v>
          </cell>
          <cell r="BE131" t="str">
            <v>[]</v>
          </cell>
          <cell r="BF131"/>
        </row>
        <row r="132">
          <cell r="A132" t="str">
            <v>chijiaodaxian_skill04</v>
          </cell>
          <cell r="B132" t="str">
            <v>天崩地裂</v>
          </cell>
          <cell r="C132" t="str">
            <v>跳向目标发动连续攻击，对范围内敌人进行3次攻击,造成自身攻击力@s的法伤</v>
          </cell>
          <cell r="D132">
            <v>1264</v>
          </cell>
          <cell r="E132">
            <v>2</v>
          </cell>
          <cell r="F132" t="str">
            <v>boss_warning_shanxing90</v>
          </cell>
          <cell r="G132" t="str">
            <v>赤脚大仙技能4</v>
          </cell>
          <cell r="H132" t="str">
            <v>chijiaodaxian_skill04</v>
          </cell>
          <cell r="I132" t="str">
            <v>[]</v>
          </cell>
          <cell r="J132">
            <v>3</v>
          </cell>
          <cell r="K132">
            <v>10</v>
          </cell>
          <cell r="L132" t="str">
            <v>[]</v>
          </cell>
          <cell r="M132">
            <v>2</v>
          </cell>
          <cell r="N132">
            <v>2</v>
          </cell>
          <cell r="O132">
            <v>1</v>
          </cell>
          <cell r="P132">
            <v>2</v>
          </cell>
          <cell r="Q132">
            <v>4</v>
          </cell>
          <cell r="R132" t="str">
            <v>2|1</v>
          </cell>
          <cell r="S132" t="str">
            <v>3|6|60</v>
          </cell>
          <cell r="T132">
            <v>10</v>
          </cell>
          <cell r="U132">
            <v>1</v>
          </cell>
          <cell r="V132">
            <v>0</v>
          </cell>
          <cell r="W132" t="str">
            <v>[]</v>
          </cell>
          <cell r="X132">
            <v>3</v>
          </cell>
          <cell r="Y132" t="str">
            <v>[]</v>
          </cell>
          <cell r="Z132" t="str">
            <v>0,2.467,0</v>
          </cell>
          <cell r="AA132">
            <v>0</v>
          </cell>
          <cell r="AB132">
            <v>6</v>
          </cell>
          <cell r="AC132" t="str">
            <v>[]</v>
          </cell>
          <cell r="AD132" t="str">
            <v>[]</v>
          </cell>
          <cell r="AE132" t="str">
            <v>chijiaodaxian_skill04_Bip</v>
          </cell>
          <cell r="AF132" t="str">
            <v>chijiaodaxian_skill04</v>
          </cell>
          <cell r="AG132" t="str">
            <v>[]</v>
          </cell>
          <cell r="AH132" t="str">
            <v>[]</v>
          </cell>
          <cell r="AI132" t="str">
            <v>[]</v>
          </cell>
          <cell r="AJ132" t="str">
            <v>chijiaodaxian_skill04_xixue</v>
          </cell>
          <cell r="AK132" t="str">
            <v>[]</v>
          </cell>
          <cell r="AL132" t="str">
            <v>[]</v>
          </cell>
          <cell r="AM132" t="str">
            <v>[]</v>
          </cell>
          <cell r="AN132">
            <v>2</v>
          </cell>
          <cell r="AO132" t="str">
            <v>1.2,0.15,0.15</v>
          </cell>
          <cell r="AP132">
            <v>110704</v>
          </cell>
          <cell r="AQ132" t="str">
            <v>110704</v>
          </cell>
          <cell r="AR132" t="str">
            <v>[]</v>
          </cell>
          <cell r="AS132" t="str">
            <v>[]</v>
          </cell>
          <cell r="AT132" t="str">
            <v>1107</v>
          </cell>
          <cell r="AU132" t="str">
            <v>3200</v>
          </cell>
          <cell r="AV132" t="str">
            <v>赤脚大仙</v>
          </cell>
          <cell r="AW132" t="str">
            <v>04</v>
          </cell>
          <cell r="AX132">
            <v>1264</v>
          </cell>
          <cell r="AY132">
            <v>3</v>
          </cell>
          <cell r="BA132" t="str">
            <v>[]</v>
          </cell>
          <cell r="BE132" t="str">
            <v>[]</v>
          </cell>
          <cell r="BF132"/>
        </row>
        <row r="133">
          <cell r="A133" t="str">
            <v>chijiaodaxian_skill011</v>
          </cell>
          <cell r="B133" t="str">
            <v>奥义·爆裂双斧</v>
          </cell>
          <cell r="C133" t="str">
            <v>召唤神兵，对范围内敌人进行2次攻击,造成主角攻击力@s的法伤，并降低命中率@s，持续3秒</v>
          </cell>
          <cell r="D133">
            <v>1266</v>
          </cell>
          <cell r="E133">
            <v>0</v>
          </cell>
          <cell r="F133" t="str">
            <v>[]</v>
          </cell>
          <cell r="G133" t="str">
            <v>赤脚大仙核心技能</v>
          </cell>
          <cell r="H133" t="str">
            <v>chijiaodaxian_skill01</v>
          </cell>
          <cell r="I133" t="str">
            <v>chijiaodaxian_skill01</v>
          </cell>
          <cell r="J133">
            <v>0</v>
          </cell>
          <cell r="K133">
            <v>10</v>
          </cell>
          <cell r="L133" t="str">
            <v>1|7</v>
          </cell>
          <cell r="M133">
            <v>2</v>
          </cell>
          <cell r="N133">
            <v>2</v>
          </cell>
          <cell r="O133">
            <v>1</v>
          </cell>
          <cell r="P133">
            <v>2</v>
          </cell>
          <cell r="Q133">
            <v>7</v>
          </cell>
          <cell r="R133" t="str">
            <v>2|1</v>
          </cell>
          <cell r="S133" t="str">
            <v>1|10|6</v>
          </cell>
          <cell r="T133">
            <v>10</v>
          </cell>
          <cell r="U133">
            <v>1</v>
          </cell>
          <cell r="V133">
            <v>0</v>
          </cell>
          <cell r="W133" t="str">
            <v>[]</v>
          </cell>
          <cell r="X133">
            <v>0</v>
          </cell>
          <cell r="Y133" t="str">
            <v>[]</v>
          </cell>
          <cell r="Z133" t="str">
            <v>0,1,0</v>
          </cell>
          <cell r="AA133">
            <v>0</v>
          </cell>
          <cell r="AB133" t="str">
            <v>12</v>
          </cell>
          <cell r="AC133" t="str">
            <v>[]</v>
          </cell>
          <cell r="AD133" t="str">
            <v>[]</v>
          </cell>
          <cell r="AE133" t="str">
            <v>[]</v>
          </cell>
          <cell r="AF133" t="str">
            <v>chijiaodaxian_skill01</v>
          </cell>
          <cell r="AG133" t="str">
            <v>common_hit_zhongwuqi</v>
          </cell>
          <cell r="AH133" t="str">
            <v>[]</v>
          </cell>
          <cell r="AI133" t="str">
            <v>[]</v>
          </cell>
          <cell r="AJ133" t="str">
            <v>[]</v>
          </cell>
          <cell r="AK133" t="str">
            <v>[]</v>
          </cell>
          <cell r="AL133" t="str">
            <v>[]</v>
          </cell>
          <cell r="AM133" t="str">
            <v>mingzhongdownT3N0.2</v>
          </cell>
          <cell r="AN133">
            <v>1</v>
          </cell>
          <cell r="AO133" t="str">
            <v>0.6,0.7</v>
          </cell>
          <cell r="AP133">
            <v>110705</v>
          </cell>
          <cell r="AQ133" t="str">
            <v>110705,9010</v>
          </cell>
          <cell r="AR133" t="str">
            <v>[]</v>
          </cell>
          <cell r="AS133" t="str">
            <v>[]</v>
          </cell>
          <cell r="AT133" t="str">
            <v>1107</v>
          </cell>
          <cell r="AU133" t="str">
            <v>3170</v>
          </cell>
          <cell r="AV133" t="str">
            <v>赤脚大仙</v>
          </cell>
          <cell r="AW133" t="str">
            <v>11</v>
          </cell>
          <cell r="AX133">
            <v>1266</v>
          </cell>
          <cell r="AY133">
            <v>2</v>
          </cell>
          <cell r="BA133" t="str">
            <v>[]</v>
          </cell>
          <cell r="BE133" t="str">
            <v>[]</v>
          </cell>
          <cell r="BF133"/>
        </row>
        <row r="134">
          <cell r="A134" t="str">
            <v>chijiaodaxian_skill021</v>
          </cell>
          <cell r="B134" t="str">
            <v>奥义·真元爆发</v>
          </cell>
          <cell r="C134" t="str">
            <v>爆发自身真元之力，治疗自身，每0.5秒恢复自身生命值上限2%的生命值，持续2秒</v>
          </cell>
          <cell r="D134">
            <v>1268</v>
          </cell>
          <cell r="E134">
            <v>0</v>
          </cell>
          <cell r="F134" t="str">
            <v>[]</v>
          </cell>
          <cell r="G134" t="str">
            <v>赤脚大仙技能2</v>
          </cell>
          <cell r="H134" t="str">
            <v>chijiaodaxian_skill02</v>
          </cell>
          <cell r="I134" t="str">
            <v>[]</v>
          </cell>
          <cell r="J134">
            <v>1</v>
          </cell>
          <cell r="K134">
            <v>10</v>
          </cell>
          <cell r="L134" t="str">
            <v>[]</v>
          </cell>
          <cell r="M134">
            <v>2</v>
          </cell>
          <cell r="N134">
            <v>2</v>
          </cell>
          <cell r="O134">
            <v>1</v>
          </cell>
          <cell r="P134">
            <v>2</v>
          </cell>
          <cell r="Q134">
            <v>12</v>
          </cell>
          <cell r="R134">
            <v>1</v>
          </cell>
          <cell r="S134" t="str">
            <v>4|0.2</v>
          </cell>
          <cell r="T134">
            <v>1</v>
          </cell>
          <cell r="U134">
            <v>1</v>
          </cell>
          <cell r="V134">
            <v>0</v>
          </cell>
          <cell r="W134" t="str">
            <v>[]</v>
          </cell>
          <cell r="X134">
            <v>3</v>
          </cell>
          <cell r="Y134" t="str">
            <v>[]</v>
          </cell>
          <cell r="Z134" t="str">
            <v>0,1.933,0</v>
          </cell>
          <cell r="AA134">
            <v>0</v>
          </cell>
          <cell r="AB134">
            <v>6</v>
          </cell>
          <cell r="AC134" t="str">
            <v>[]</v>
          </cell>
          <cell r="AD134" t="str">
            <v>[]</v>
          </cell>
          <cell r="AE134" t="str">
            <v>[]</v>
          </cell>
          <cell r="AF134" t="str">
            <v>chijiaodaxian_skill02</v>
          </cell>
          <cell r="AG134" t="str">
            <v>respond_hp</v>
          </cell>
          <cell r="AH134" t="str">
            <v>[]</v>
          </cell>
          <cell r="AI134" t="str">
            <v>[]</v>
          </cell>
          <cell r="AJ134" t="str">
            <v>[]</v>
          </cell>
          <cell r="AK134" t="str">
            <v>[]</v>
          </cell>
          <cell r="AL134" t="str">
            <v>hpmaxhuifu3</v>
          </cell>
          <cell r="AM134" t="str">
            <v>[]</v>
          </cell>
          <cell r="AN134">
            <v>2</v>
          </cell>
          <cell r="AO134">
            <v>1</v>
          </cell>
          <cell r="AP134" t="str">
            <v>[]</v>
          </cell>
          <cell r="AQ134" t="str">
            <v>9003</v>
          </cell>
          <cell r="AR134" t="str">
            <v>[]</v>
          </cell>
          <cell r="AS134" t="str">
            <v>[]</v>
          </cell>
          <cell r="AT134" t="str">
            <v>1107</v>
          </cell>
          <cell r="AU134" t="str">
            <v>3180</v>
          </cell>
          <cell r="AV134" t="str">
            <v>赤脚大仙</v>
          </cell>
          <cell r="AW134" t="str">
            <v>21</v>
          </cell>
          <cell r="AX134">
            <v>1268</v>
          </cell>
          <cell r="AY134">
            <v>1</v>
          </cell>
          <cell r="BA134" t="str">
            <v>[]</v>
          </cell>
          <cell r="BE134" t="str">
            <v>[]</v>
          </cell>
          <cell r="BF134"/>
        </row>
        <row r="135">
          <cell r="A135" t="str">
            <v>chijiaodaxian_skill041</v>
          </cell>
          <cell r="B135" t="str">
            <v>奥义·天崩地裂</v>
          </cell>
          <cell r="C135" t="str">
            <v>跳向目标发动连续攻击，对范围内敌人进行3次攻击,造成自身攻击力@s的法伤</v>
          </cell>
          <cell r="D135">
            <v>1270</v>
          </cell>
          <cell r="E135">
            <v>2</v>
          </cell>
          <cell r="F135" t="str">
            <v>boss_warning_shanxing90</v>
          </cell>
          <cell r="G135" t="str">
            <v>赤脚大仙技能4</v>
          </cell>
          <cell r="H135" t="str">
            <v>chijiaodaxian_skill04</v>
          </cell>
          <cell r="I135" t="str">
            <v>[]</v>
          </cell>
          <cell r="J135">
            <v>3</v>
          </cell>
          <cell r="K135">
            <v>10</v>
          </cell>
          <cell r="L135" t="str">
            <v>[]</v>
          </cell>
          <cell r="M135">
            <v>2</v>
          </cell>
          <cell r="N135">
            <v>2</v>
          </cell>
          <cell r="O135">
            <v>1</v>
          </cell>
          <cell r="P135">
            <v>2</v>
          </cell>
          <cell r="Q135">
            <v>4</v>
          </cell>
          <cell r="R135" t="str">
            <v>2|1</v>
          </cell>
          <cell r="S135" t="str">
            <v>3|6|60</v>
          </cell>
          <cell r="T135">
            <v>10</v>
          </cell>
          <cell r="U135">
            <v>1</v>
          </cell>
          <cell r="V135">
            <v>0</v>
          </cell>
          <cell r="W135" t="str">
            <v>[]</v>
          </cell>
          <cell r="X135">
            <v>3</v>
          </cell>
          <cell r="Y135" t="str">
            <v>[]</v>
          </cell>
          <cell r="Z135" t="str">
            <v>0,2.467,0</v>
          </cell>
          <cell r="AA135">
            <v>0</v>
          </cell>
          <cell r="AB135">
            <v>6</v>
          </cell>
          <cell r="AC135" t="str">
            <v>[]</v>
          </cell>
          <cell r="AD135" t="str">
            <v>[]</v>
          </cell>
          <cell r="AE135" t="str">
            <v>chijiaodaxian_skill04_Bip</v>
          </cell>
          <cell r="AF135" t="str">
            <v>chijiaodaxian_skill04</v>
          </cell>
          <cell r="AG135" t="str">
            <v>[]</v>
          </cell>
          <cell r="AH135" t="str">
            <v>[]</v>
          </cell>
          <cell r="AI135" t="str">
            <v>[]</v>
          </cell>
          <cell r="AJ135" t="str">
            <v>chijiaodaxian_skill04_xixue</v>
          </cell>
          <cell r="AK135" t="str">
            <v>[]</v>
          </cell>
          <cell r="AL135" t="str">
            <v>[]</v>
          </cell>
          <cell r="AM135" t="str">
            <v>[]</v>
          </cell>
          <cell r="AN135">
            <v>2</v>
          </cell>
          <cell r="AO135" t="str">
            <v>1.2,0.15,0.15</v>
          </cell>
          <cell r="AP135">
            <v>110707</v>
          </cell>
          <cell r="AQ135" t="str">
            <v>110707</v>
          </cell>
          <cell r="AR135" t="str">
            <v>[]</v>
          </cell>
          <cell r="AS135" t="str">
            <v>[]</v>
          </cell>
          <cell r="AT135" t="str">
            <v>1107</v>
          </cell>
          <cell r="AU135" t="str">
            <v>3200</v>
          </cell>
          <cell r="AV135" t="str">
            <v>赤脚大仙</v>
          </cell>
          <cell r="AW135" t="str">
            <v>41</v>
          </cell>
          <cell r="AX135">
            <v>1270</v>
          </cell>
          <cell r="AY135">
            <v>3</v>
          </cell>
          <cell r="BA135" t="str">
            <v>[]</v>
          </cell>
          <cell r="BE135" t="str">
            <v>[]</v>
          </cell>
          <cell r="BF135"/>
        </row>
        <row r="136">
          <cell r="A136" t="str">
            <v>tuotatianwang_attack</v>
          </cell>
          <cell r="B136" t="str">
            <v>托塔天王</v>
          </cell>
          <cell r="C136" t="str">
            <v>普攻</v>
          </cell>
          <cell r="D136" t="str">
            <v>[]</v>
          </cell>
          <cell r="E136">
            <v>0</v>
          </cell>
          <cell r="F136" t="str">
            <v>[]</v>
          </cell>
          <cell r="G136" t="str">
            <v>近战攻击</v>
          </cell>
          <cell r="H136" t="str">
            <v>[]</v>
          </cell>
          <cell r="I136" t="str">
            <v>[]</v>
          </cell>
          <cell r="J136">
            <v>0</v>
          </cell>
          <cell r="K136">
            <v>1</v>
          </cell>
          <cell r="L136" t="str">
            <v>[]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3</v>
          </cell>
          <cell r="R136" t="str">
            <v>2|1</v>
          </cell>
          <cell r="S136" t="str">
            <v>4|0.2</v>
          </cell>
          <cell r="T136">
            <v>1</v>
          </cell>
          <cell r="U136">
            <v>1</v>
          </cell>
          <cell r="V136">
            <v>0</v>
          </cell>
          <cell r="W136" t="str">
            <v>[]</v>
          </cell>
          <cell r="X136">
            <v>0</v>
          </cell>
          <cell r="Y136" t="str">
            <v>[]</v>
          </cell>
          <cell r="Z136" t="str">
            <v>0,1,0</v>
          </cell>
          <cell r="AA136">
            <v>0</v>
          </cell>
          <cell r="AB136" t="str">
            <v>[]</v>
          </cell>
          <cell r="AC136" t="str">
            <v>[]</v>
          </cell>
          <cell r="AD136" t="str">
            <v>[]</v>
          </cell>
          <cell r="AE136" t="str">
            <v>[]</v>
          </cell>
          <cell r="AF136" t="str">
            <v>tuotatianwang_attack</v>
          </cell>
          <cell r="AG136" t="str">
            <v>common_hit_qinwuqi</v>
          </cell>
          <cell r="AH136" t="str">
            <v>[]</v>
          </cell>
          <cell r="AI136" t="str">
            <v>[]</v>
          </cell>
          <cell r="AJ136" t="str">
            <v>[]</v>
          </cell>
          <cell r="AK136" t="str">
            <v>[]</v>
          </cell>
          <cell r="AL136" t="str">
            <v>[]</v>
          </cell>
          <cell r="AM136" t="str">
            <v>[]</v>
          </cell>
          <cell r="AN136">
            <v>1</v>
          </cell>
          <cell r="AO136">
            <v>0.6</v>
          </cell>
          <cell r="AP136">
            <v>110800</v>
          </cell>
          <cell r="AQ136" t="str">
            <v>110800</v>
          </cell>
          <cell r="AR136" t="str">
            <v>[]</v>
          </cell>
          <cell r="AS136" t="str">
            <v>[]</v>
          </cell>
          <cell r="AT136" t="str">
            <v>1108</v>
          </cell>
          <cell r="AU136" t="str">
            <v>3210</v>
          </cell>
          <cell r="AV136" t="str">
            <v>近战攻击</v>
          </cell>
          <cell r="AW136" t="str">
            <v>ck</v>
          </cell>
          <cell r="AX136" t="str">
            <v>[]</v>
          </cell>
          <cell r="AY136">
            <v>1</v>
          </cell>
          <cell r="BA136" t="str">
            <v>[]</v>
          </cell>
          <cell r="BE136" t="str">
            <v>[]</v>
          </cell>
          <cell r="BF136"/>
        </row>
        <row r="137">
          <cell r="A137" t="str">
            <v>tuotatianwang_attack02</v>
          </cell>
          <cell r="B137" t="str">
            <v>托塔天王</v>
          </cell>
          <cell r="C137" t="str">
            <v>普攻</v>
          </cell>
          <cell r="D137" t="str">
            <v>[]</v>
          </cell>
          <cell r="E137">
            <v>0</v>
          </cell>
          <cell r="F137" t="str">
            <v>[]</v>
          </cell>
          <cell r="G137" t="str">
            <v>近战攻击</v>
          </cell>
          <cell r="H137" t="str">
            <v>[]</v>
          </cell>
          <cell r="I137" t="str">
            <v>[]</v>
          </cell>
          <cell r="J137">
            <v>0</v>
          </cell>
          <cell r="K137">
            <v>1</v>
          </cell>
          <cell r="L137" t="str">
            <v>[]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3</v>
          </cell>
          <cell r="R137" t="str">
            <v>2|1</v>
          </cell>
          <cell r="S137" t="str">
            <v>4|0.2</v>
          </cell>
          <cell r="T137">
            <v>1</v>
          </cell>
          <cell r="U137">
            <v>1</v>
          </cell>
          <cell r="V137">
            <v>0</v>
          </cell>
          <cell r="W137" t="str">
            <v>[]</v>
          </cell>
          <cell r="X137">
            <v>0</v>
          </cell>
          <cell r="Y137" t="str">
            <v>[]</v>
          </cell>
          <cell r="Z137" t="str">
            <v>0,1,0</v>
          </cell>
          <cell r="AA137">
            <v>0</v>
          </cell>
          <cell r="AB137" t="str">
            <v>[]</v>
          </cell>
          <cell r="AC137" t="str">
            <v>[]</v>
          </cell>
          <cell r="AD137" t="str">
            <v>[]</v>
          </cell>
          <cell r="AE137" t="str">
            <v>[]</v>
          </cell>
          <cell r="AF137" t="str">
            <v>tuotatianwang_attack02</v>
          </cell>
          <cell r="AG137" t="str">
            <v>common_hit_qinwuqi</v>
          </cell>
          <cell r="AH137" t="str">
            <v>[]</v>
          </cell>
          <cell r="AI137" t="str">
            <v>[]</v>
          </cell>
          <cell r="AJ137" t="str">
            <v>[]</v>
          </cell>
          <cell r="AK137" t="str">
            <v>[]</v>
          </cell>
          <cell r="AL137" t="str">
            <v>[]</v>
          </cell>
          <cell r="AM137" t="str">
            <v>[]</v>
          </cell>
          <cell r="AN137">
            <v>1</v>
          </cell>
          <cell r="AO137">
            <v>0.495</v>
          </cell>
          <cell r="AP137">
            <v>110801</v>
          </cell>
          <cell r="AQ137" t="str">
            <v>110801</v>
          </cell>
          <cell r="AR137" t="str">
            <v>[]</v>
          </cell>
          <cell r="AS137" t="str">
            <v>[]</v>
          </cell>
          <cell r="AT137" t="str">
            <v>1108</v>
          </cell>
          <cell r="AU137" t="str">
            <v>3210</v>
          </cell>
          <cell r="AV137" t="str">
            <v>近战攻击</v>
          </cell>
          <cell r="AW137" t="str">
            <v>02</v>
          </cell>
          <cell r="AX137" t="str">
            <v>[]</v>
          </cell>
          <cell r="AY137">
            <v>1</v>
          </cell>
          <cell r="BA137" t="str">
            <v>[]</v>
          </cell>
          <cell r="BE137" t="str">
            <v>[]</v>
          </cell>
          <cell r="BF137"/>
        </row>
        <row r="138">
          <cell r="A138" t="str">
            <v>tuotatianwang_attack03</v>
          </cell>
          <cell r="B138" t="str">
            <v>托塔天王</v>
          </cell>
          <cell r="C138" t="str">
            <v>普攻</v>
          </cell>
          <cell r="D138">
            <v>1262</v>
          </cell>
          <cell r="E138">
            <v>0</v>
          </cell>
          <cell r="F138" t="str">
            <v>[]</v>
          </cell>
          <cell r="G138" t="str">
            <v>近战攻击</v>
          </cell>
          <cell r="H138" t="str">
            <v>[]</v>
          </cell>
          <cell r="I138" t="str">
            <v>[]</v>
          </cell>
          <cell r="J138">
            <v>0</v>
          </cell>
          <cell r="K138">
            <v>1</v>
          </cell>
          <cell r="L138" t="str">
            <v>[]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3</v>
          </cell>
          <cell r="R138" t="str">
            <v>2|1</v>
          </cell>
          <cell r="S138" t="str">
            <v>4|0.2</v>
          </cell>
          <cell r="T138">
            <v>1</v>
          </cell>
          <cell r="U138">
            <v>1</v>
          </cell>
          <cell r="V138">
            <v>0</v>
          </cell>
          <cell r="W138" t="str">
            <v>[]</v>
          </cell>
          <cell r="X138">
            <v>0</v>
          </cell>
          <cell r="Y138" t="str">
            <v>[]</v>
          </cell>
          <cell r="Z138" t="str">
            <v>0,1,0</v>
          </cell>
          <cell r="AA138">
            <v>0</v>
          </cell>
          <cell r="AB138" t="str">
            <v>[]</v>
          </cell>
          <cell r="AC138" t="str">
            <v>[]</v>
          </cell>
          <cell r="AD138" t="str">
            <v>[]</v>
          </cell>
          <cell r="AE138" t="str">
            <v>[]</v>
          </cell>
          <cell r="AF138" t="str">
            <v>tuotatianwang_attack03</v>
          </cell>
          <cell r="AG138" t="str">
            <v>common_hit_qinwuqi</v>
          </cell>
          <cell r="AH138" t="str">
            <v>[]</v>
          </cell>
          <cell r="AI138" t="str">
            <v>[]</v>
          </cell>
          <cell r="AJ138" t="str">
            <v>[]</v>
          </cell>
          <cell r="AK138" t="str">
            <v>[]</v>
          </cell>
          <cell r="AL138" t="str">
            <v>[]</v>
          </cell>
          <cell r="AM138" t="str">
            <v>[]</v>
          </cell>
          <cell r="AN138">
            <v>1</v>
          </cell>
          <cell r="AO138">
            <v>0.66</v>
          </cell>
          <cell r="AP138">
            <v>110802</v>
          </cell>
          <cell r="AQ138" t="str">
            <v>110802</v>
          </cell>
          <cell r="AR138" t="str">
            <v>[]</v>
          </cell>
          <cell r="AS138" t="str">
            <v>[]</v>
          </cell>
          <cell r="AT138" t="str">
            <v>1108</v>
          </cell>
          <cell r="AU138" t="str">
            <v>3210</v>
          </cell>
          <cell r="AV138" t="str">
            <v>近战攻击</v>
          </cell>
          <cell r="AW138" t="str">
            <v>03</v>
          </cell>
          <cell r="AX138">
            <v>1262</v>
          </cell>
          <cell r="AY138">
            <v>1</v>
          </cell>
          <cell r="BA138" t="str">
            <v>[]</v>
          </cell>
          <cell r="BE138" t="str">
            <v>[]</v>
          </cell>
          <cell r="BF138"/>
        </row>
        <row r="139">
          <cell r="A139" t="str">
            <v>tuotatianwang_skill01</v>
          </cell>
          <cell r="B139" t="str">
            <v>玲珑宝塔</v>
          </cell>
          <cell r="C139" t="str">
            <v>召唤玲珑宝塔笼罩所有友军，降低全体友军受到伤害@s，有30%概率给目标增加5层格挡，持续3秒[1层格挡抵消1次受到伤害]</v>
          </cell>
          <cell r="D139" t="str">
            <v>[]</v>
          </cell>
          <cell r="E139">
            <v>0</v>
          </cell>
          <cell r="F139" t="str">
            <v>[]</v>
          </cell>
          <cell r="G139" t="str">
            <v>托塔天王核心技能</v>
          </cell>
          <cell r="H139" t="str">
            <v>tuotatianwang_skill01</v>
          </cell>
          <cell r="I139" t="str">
            <v>tuotatianwang_skill01</v>
          </cell>
          <cell r="J139">
            <v>0</v>
          </cell>
          <cell r="K139">
            <v>10</v>
          </cell>
          <cell r="L139" t="str">
            <v>1|8</v>
          </cell>
          <cell r="M139">
            <v>2</v>
          </cell>
          <cell r="N139">
            <v>1</v>
          </cell>
          <cell r="O139">
            <v>1</v>
          </cell>
          <cell r="P139">
            <v>4</v>
          </cell>
          <cell r="Q139">
            <v>12</v>
          </cell>
          <cell r="R139">
            <v>3</v>
          </cell>
          <cell r="S139" t="str">
            <v>2|20</v>
          </cell>
          <cell r="T139">
            <v>10</v>
          </cell>
          <cell r="U139">
            <v>0</v>
          </cell>
          <cell r="V139">
            <v>0</v>
          </cell>
          <cell r="W139" t="str">
            <v>[]</v>
          </cell>
          <cell r="X139">
            <v>0</v>
          </cell>
          <cell r="Y139" t="str">
            <v>[]</v>
          </cell>
          <cell r="Z139" t="str">
            <v>0,1,0</v>
          </cell>
          <cell r="AA139">
            <v>0</v>
          </cell>
          <cell r="AB139" t="str">
            <v>12</v>
          </cell>
          <cell r="AC139" t="str">
            <v>[]</v>
          </cell>
          <cell r="AD139" t="str">
            <v>[]</v>
          </cell>
          <cell r="AE139" t="str">
            <v>[]</v>
          </cell>
          <cell r="AF139" t="str">
            <v>tuotatianwang_skill01</v>
          </cell>
          <cell r="AG139" t="str">
            <v>[]</v>
          </cell>
          <cell r="AH139" t="str">
            <v>[]</v>
          </cell>
          <cell r="AI139" t="str">
            <v>[]</v>
          </cell>
          <cell r="AJ139" t="str">
            <v>[]</v>
          </cell>
          <cell r="AK139" t="str">
            <v>gedanghudunTN3P0.3</v>
          </cell>
          <cell r="AL139" t="str">
            <v>[]</v>
          </cell>
          <cell r="AM139" t="str">
            <v>jianshangupT6N0.3</v>
          </cell>
          <cell r="AN139">
            <v>1</v>
          </cell>
          <cell r="AO139">
            <v>1.2</v>
          </cell>
          <cell r="AP139" t="str">
            <v>[]</v>
          </cell>
          <cell r="AQ139">
            <v>110803</v>
          </cell>
          <cell r="AR139" t="str">
            <v>[]</v>
          </cell>
          <cell r="AS139" t="str">
            <v>[]</v>
          </cell>
          <cell r="AT139" t="str">
            <v>1108</v>
          </cell>
          <cell r="AU139" t="str">
            <v>3220</v>
          </cell>
          <cell r="AV139" t="str">
            <v>托塔天王</v>
          </cell>
          <cell r="AW139" t="str">
            <v>01</v>
          </cell>
          <cell r="AX139" t="str">
            <v>[]</v>
          </cell>
          <cell r="AY139">
            <v>1</v>
          </cell>
          <cell r="AZ139">
            <v>0.3</v>
          </cell>
          <cell r="BA139">
            <v>0.3</v>
          </cell>
          <cell r="BE139">
            <v>0.3</v>
          </cell>
          <cell r="BF139"/>
        </row>
        <row r="140">
          <cell r="A140" t="str">
            <v>tuotatianwang_skill02</v>
          </cell>
          <cell r="B140" t="str">
            <v>天王护法</v>
          </cell>
          <cell r="C140" t="str">
            <v>释放自身天王之力形成护盾，提升自身防御力@s，并进入霸体状态，持续3秒[霸体状态无视控制和减益效果]</v>
          </cell>
          <cell r="D140" t="str">
            <v>[]</v>
          </cell>
          <cell r="E140">
            <v>0</v>
          </cell>
          <cell r="F140" t="str">
            <v>[]</v>
          </cell>
          <cell r="G140" t="str">
            <v>托塔天王技能2</v>
          </cell>
          <cell r="H140" t="str">
            <v>tuotatianwang_skill02</v>
          </cell>
          <cell r="I140" t="str">
            <v>[]</v>
          </cell>
          <cell r="J140">
            <v>1</v>
          </cell>
          <cell r="K140">
            <v>10</v>
          </cell>
          <cell r="L140" t="str">
            <v>[]</v>
          </cell>
          <cell r="M140">
            <v>2</v>
          </cell>
          <cell r="N140">
            <v>2</v>
          </cell>
          <cell r="O140">
            <v>1</v>
          </cell>
          <cell r="P140">
            <v>4</v>
          </cell>
          <cell r="Q140">
            <v>5</v>
          </cell>
          <cell r="R140">
            <v>1</v>
          </cell>
          <cell r="S140" t="str">
            <v>4|0.2</v>
          </cell>
          <cell r="T140">
            <v>1</v>
          </cell>
          <cell r="U140">
            <v>0</v>
          </cell>
          <cell r="V140">
            <v>0</v>
          </cell>
          <cell r="W140" t="str">
            <v>[]</v>
          </cell>
          <cell r="X140">
            <v>3</v>
          </cell>
          <cell r="Y140" t="str">
            <v>[]</v>
          </cell>
          <cell r="Z140" t="str">
            <v>0,3.9,0</v>
          </cell>
          <cell r="AA140">
            <v>0</v>
          </cell>
          <cell r="AB140">
            <v>6</v>
          </cell>
          <cell r="AC140" t="str">
            <v>[]</v>
          </cell>
          <cell r="AD140" t="str">
            <v>[]</v>
          </cell>
          <cell r="AE140" t="str">
            <v>[]</v>
          </cell>
          <cell r="AF140" t="str">
            <v>tuotatianwang_skill02</v>
          </cell>
          <cell r="AG140" t="str">
            <v>tuotatianwang_skill02_b</v>
          </cell>
          <cell r="AH140" t="str">
            <v>[]</v>
          </cell>
          <cell r="AI140" t="str">
            <v>[]</v>
          </cell>
          <cell r="AJ140" t="str">
            <v>batiT3NP1</v>
          </cell>
          <cell r="AK140" t="str">
            <v>[]</v>
          </cell>
          <cell r="AL140" t="str">
            <v>jianshangupT6N0.1</v>
          </cell>
          <cell r="AM140" t="str">
            <v>[]</v>
          </cell>
          <cell r="AN140">
            <v>1</v>
          </cell>
          <cell r="AO140">
            <v>1.6</v>
          </cell>
          <cell r="AP140" t="str">
            <v>[]</v>
          </cell>
          <cell r="AQ140" t="str">
            <v>9020</v>
          </cell>
          <cell r="AR140" t="str">
            <v>[]</v>
          </cell>
          <cell r="AS140" t="str">
            <v>[]</v>
          </cell>
          <cell r="AT140" t="str">
            <v>9020</v>
          </cell>
          <cell r="AU140" t="str">
            <v>3230</v>
          </cell>
          <cell r="AV140" t="str">
            <v>托塔天王</v>
          </cell>
          <cell r="AW140" t="str">
            <v>02</v>
          </cell>
          <cell r="AX140" t="str">
            <v>[]</v>
          </cell>
          <cell r="AY140">
            <v>1</v>
          </cell>
          <cell r="BA140" t="str">
            <v>[]</v>
          </cell>
          <cell r="BE140" t="str">
            <v>[]</v>
          </cell>
          <cell r="BF140"/>
        </row>
        <row r="141">
          <cell r="A141" t="str">
            <v>tuotatianwang_skill03</v>
          </cell>
          <cell r="B141" t="str">
            <v>万象塔</v>
          </cell>
          <cell r="C141" t="str">
            <v>进入战斗场景时，降低自身受到伤害@s</v>
          </cell>
          <cell r="D141">
            <v>1262</v>
          </cell>
          <cell r="E141">
            <v>0</v>
          </cell>
          <cell r="F141" t="str">
            <v>[]</v>
          </cell>
          <cell r="G141" t="str">
            <v>托塔天王被动技能</v>
          </cell>
          <cell r="H141" t="str">
            <v>shuangfang</v>
          </cell>
          <cell r="I141" t="str">
            <v>[]</v>
          </cell>
          <cell r="J141">
            <v>2</v>
          </cell>
          <cell r="K141">
            <v>10</v>
          </cell>
          <cell r="L141" t="str">
            <v>[]</v>
          </cell>
          <cell r="M141">
            <v>2</v>
          </cell>
          <cell r="N141">
            <v>2</v>
          </cell>
          <cell r="O141">
            <v>3</v>
          </cell>
          <cell r="P141">
            <v>0</v>
          </cell>
          <cell r="Q141">
            <v>12</v>
          </cell>
          <cell r="R141">
            <v>1</v>
          </cell>
          <cell r="S141" t="str">
            <v>4|0.2</v>
          </cell>
          <cell r="T141">
            <v>1</v>
          </cell>
          <cell r="U141">
            <v>0</v>
          </cell>
          <cell r="V141">
            <v>0</v>
          </cell>
          <cell r="W141" t="str">
            <v>[]</v>
          </cell>
          <cell r="X141">
            <v>0</v>
          </cell>
          <cell r="Y141" t="str">
            <v>[]</v>
          </cell>
          <cell r="Z141" t="str">
            <v>0,0,0</v>
          </cell>
          <cell r="AA141">
            <v>0</v>
          </cell>
          <cell r="AB141" t="str">
            <v>[]</v>
          </cell>
          <cell r="AC141" t="str">
            <v>[]</v>
          </cell>
          <cell r="AD141" t="str">
            <v>[]</v>
          </cell>
          <cell r="AE141" t="str">
            <v>[]</v>
          </cell>
          <cell r="AF141" t="str">
            <v>[]</v>
          </cell>
          <cell r="AG141" t="str">
            <v>[]</v>
          </cell>
          <cell r="AH141" t="str">
            <v>[]</v>
          </cell>
          <cell r="AI141" t="str">
            <v>[]</v>
          </cell>
          <cell r="AJ141" t="str">
            <v>[]</v>
          </cell>
          <cell r="AK141" t="str">
            <v>[]</v>
          </cell>
          <cell r="AL141" t="str">
            <v>[]</v>
          </cell>
          <cell r="AM141" t="str">
            <v>[]</v>
          </cell>
          <cell r="AN141">
            <v>0</v>
          </cell>
          <cell r="AO141" t="str">
            <v>[]</v>
          </cell>
          <cell r="AP141" t="str">
            <v>[]</v>
          </cell>
          <cell r="AQ141" t="str">
            <v>9020</v>
          </cell>
          <cell r="AR141" t="str">
            <v>[]</v>
          </cell>
          <cell r="AS141" t="str">
            <v>[]</v>
          </cell>
          <cell r="AT141" t="str">
            <v>9020</v>
          </cell>
          <cell r="AU141" t="str">
            <v>3241</v>
          </cell>
          <cell r="AV141" t="str">
            <v>托塔天王</v>
          </cell>
          <cell r="AW141" t="str">
            <v>03</v>
          </cell>
          <cell r="AX141">
            <v>1262</v>
          </cell>
          <cell r="AY141">
            <v>1</v>
          </cell>
          <cell r="BA141" t="str">
            <v>[]</v>
          </cell>
          <cell r="BE141" t="str">
            <v>[]</v>
          </cell>
          <cell r="BF141"/>
        </row>
        <row r="142">
          <cell r="A142" t="str">
            <v>tuotatianwang_skill04</v>
          </cell>
          <cell r="B142" t="str">
            <v>宝塔镇压</v>
          </cell>
          <cell r="C142" t="str">
            <v>用宝塔镇压敌军，对范围内敌人造成自身攻击力@s的伤害，30%概率眩晕对手2秒</v>
          </cell>
          <cell r="D142">
            <v>1264</v>
          </cell>
          <cell r="E142">
            <v>2</v>
          </cell>
          <cell r="F142" t="str">
            <v>boss_warning_shanxing90</v>
          </cell>
          <cell r="G142" t="str">
            <v>托塔天王技能4</v>
          </cell>
          <cell r="H142" t="str">
            <v>tuotatianwang_skill04</v>
          </cell>
          <cell r="I142" t="str">
            <v>[]</v>
          </cell>
          <cell r="J142">
            <v>3</v>
          </cell>
          <cell r="K142">
            <v>10</v>
          </cell>
          <cell r="L142" t="str">
            <v>[]</v>
          </cell>
          <cell r="M142">
            <v>2</v>
          </cell>
          <cell r="N142">
            <v>2</v>
          </cell>
          <cell r="O142">
            <v>2</v>
          </cell>
          <cell r="P142">
            <v>2</v>
          </cell>
          <cell r="Q142">
            <v>4</v>
          </cell>
          <cell r="R142" t="str">
            <v>2|1</v>
          </cell>
          <cell r="S142" t="str">
            <v>3|6|60</v>
          </cell>
          <cell r="T142">
            <v>10</v>
          </cell>
          <cell r="U142">
            <v>1</v>
          </cell>
          <cell r="V142">
            <v>0</v>
          </cell>
          <cell r="W142" t="str">
            <v>[]</v>
          </cell>
          <cell r="X142">
            <v>3</v>
          </cell>
          <cell r="Y142" t="str">
            <v>[]</v>
          </cell>
          <cell r="Z142" t="str">
            <v>0,2.64,1.027</v>
          </cell>
          <cell r="AA142">
            <v>0</v>
          </cell>
          <cell r="AB142">
            <v>6</v>
          </cell>
          <cell r="AC142" t="str">
            <v>[]</v>
          </cell>
          <cell r="AD142" t="str">
            <v>[]</v>
          </cell>
          <cell r="AE142" t="str">
            <v>[]</v>
          </cell>
          <cell r="AF142" t="str">
            <v>tuotatianwang_skill04</v>
          </cell>
          <cell r="AG142" t="str">
            <v>common_hit_qinwuqi</v>
          </cell>
          <cell r="AH142" t="str">
            <v>[]</v>
          </cell>
          <cell r="AI142" t="str">
            <v>[]</v>
          </cell>
          <cell r="AJ142" t="str">
            <v>[]</v>
          </cell>
          <cell r="AK142" t="str">
            <v>yunxuanT1NP0.2</v>
          </cell>
          <cell r="AL142" t="str">
            <v>[]</v>
          </cell>
          <cell r="AM142" t="str">
            <v>[]</v>
          </cell>
          <cell r="AN142">
            <v>1</v>
          </cell>
          <cell r="AO142">
            <v>2.4</v>
          </cell>
          <cell r="AP142">
            <v>110806</v>
          </cell>
          <cell r="AQ142" t="str">
            <v>110806,9010</v>
          </cell>
          <cell r="AR142" t="str">
            <v>[]</v>
          </cell>
          <cell r="AS142" t="str">
            <v>[]</v>
          </cell>
          <cell r="AT142" t="str">
            <v>1108</v>
          </cell>
          <cell r="AU142" t="str">
            <v>3250</v>
          </cell>
          <cell r="AV142" t="str">
            <v>托塔天王</v>
          </cell>
          <cell r="AW142" t="str">
            <v>04</v>
          </cell>
          <cell r="AX142">
            <v>1264</v>
          </cell>
          <cell r="AY142">
            <v>1</v>
          </cell>
          <cell r="AZ142">
            <v>0.3</v>
          </cell>
          <cell r="BA142">
            <v>0.3</v>
          </cell>
          <cell r="BE142">
            <v>0.3</v>
          </cell>
          <cell r="BF142"/>
        </row>
        <row r="143">
          <cell r="A143" t="str">
            <v>tuotatianwang_skill011</v>
          </cell>
          <cell r="B143" t="str">
            <v>奥义·玲珑宝塔</v>
          </cell>
          <cell r="C143" t="str">
            <v>召唤玲珑宝塔笼罩所有友军，降低全体友军受到伤害@s，有50%概率给目标增加5层格挡，持续3秒[1层格挡抵消1次受到伤害]</v>
          </cell>
          <cell r="D143">
            <v>1266</v>
          </cell>
          <cell r="E143">
            <v>0</v>
          </cell>
          <cell r="F143" t="str">
            <v>[]</v>
          </cell>
          <cell r="G143" t="str">
            <v>托塔天王核心技能</v>
          </cell>
          <cell r="H143" t="str">
            <v>tuotatianwang_skill01</v>
          </cell>
          <cell r="I143" t="str">
            <v>tuotatianwang_skill01</v>
          </cell>
          <cell r="J143">
            <v>0</v>
          </cell>
          <cell r="K143">
            <v>10</v>
          </cell>
          <cell r="L143" t="str">
            <v>1|8</v>
          </cell>
          <cell r="M143">
            <v>2</v>
          </cell>
          <cell r="N143">
            <v>1</v>
          </cell>
          <cell r="O143">
            <v>2</v>
          </cell>
          <cell r="P143">
            <v>4</v>
          </cell>
          <cell r="Q143">
            <v>12</v>
          </cell>
          <cell r="R143">
            <v>3</v>
          </cell>
          <cell r="S143" t="str">
            <v>2|20</v>
          </cell>
          <cell r="T143">
            <v>10</v>
          </cell>
          <cell r="U143">
            <v>0</v>
          </cell>
          <cell r="V143">
            <v>0</v>
          </cell>
          <cell r="W143" t="str">
            <v>[]</v>
          </cell>
          <cell r="X143">
            <v>0</v>
          </cell>
          <cell r="Y143" t="str">
            <v>[]</v>
          </cell>
          <cell r="Z143" t="str">
            <v>0,1,0</v>
          </cell>
          <cell r="AA143">
            <v>0</v>
          </cell>
          <cell r="AB143" t="str">
            <v>12</v>
          </cell>
          <cell r="AC143" t="str">
            <v>[]</v>
          </cell>
          <cell r="AD143" t="str">
            <v>[]</v>
          </cell>
          <cell r="AE143" t="str">
            <v>[]</v>
          </cell>
          <cell r="AF143" t="str">
            <v>tuotatianwang_skill01</v>
          </cell>
          <cell r="AG143" t="str">
            <v>[]</v>
          </cell>
          <cell r="AH143" t="str">
            <v>[]</v>
          </cell>
          <cell r="AI143" t="str">
            <v>[]</v>
          </cell>
          <cell r="AJ143" t="str">
            <v>[]</v>
          </cell>
          <cell r="AK143" t="str">
            <v>gedanghudunTN5P0.5</v>
          </cell>
          <cell r="AL143" t="str">
            <v>[]</v>
          </cell>
          <cell r="AM143" t="str">
            <v>jianshangupT6N0.4</v>
          </cell>
          <cell r="AN143">
            <v>1</v>
          </cell>
          <cell r="AO143">
            <v>1.2</v>
          </cell>
          <cell r="AP143" t="str">
            <v>[]</v>
          </cell>
          <cell r="AQ143" t="str">
            <v>9040</v>
          </cell>
          <cell r="AR143" t="str">
            <v>[]</v>
          </cell>
          <cell r="AS143" t="str">
            <v>[]</v>
          </cell>
          <cell r="AT143" t="str">
            <v>1108</v>
          </cell>
          <cell r="AU143" t="str">
            <v>3220</v>
          </cell>
          <cell r="AV143" t="str">
            <v>托塔天王</v>
          </cell>
          <cell r="AW143" t="str">
            <v>11</v>
          </cell>
          <cell r="AX143">
            <v>1266</v>
          </cell>
          <cell r="AY143">
            <v>1</v>
          </cell>
          <cell r="AZ143">
            <v>0.5</v>
          </cell>
          <cell r="BA143">
            <v>0.5</v>
          </cell>
          <cell r="BE143">
            <v>0.5</v>
          </cell>
          <cell r="BF143"/>
        </row>
        <row r="144">
          <cell r="A144" t="str">
            <v>tuotatianwang_skill021</v>
          </cell>
          <cell r="B144" t="str">
            <v>奥义·天王护法</v>
          </cell>
          <cell r="C144" t="str">
            <v>释放自身天王之力形成护盾，提升自身防御力@s，进入霸体状态，持续3秒[霸体状态无视控制和减益效果]</v>
          </cell>
          <cell r="D144">
            <v>1268</v>
          </cell>
          <cell r="E144">
            <v>0</v>
          </cell>
          <cell r="F144" t="str">
            <v>[]</v>
          </cell>
          <cell r="G144" t="str">
            <v>托塔天王技能2</v>
          </cell>
          <cell r="H144" t="str">
            <v>tuotatianwang_skill02</v>
          </cell>
          <cell r="I144" t="str">
            <v>[]</v>
          </cell>
          <cell r="J144">
            <v>1</v>
          </cell>
          <cell r="K144">
            <v>10</v>
          </cell>
          <cell r="L144" t="str">
            <v>[]</v>
          </cell>
          <cell r="M144">
            <v>2</v>
          </cell>
          <cell r="N144">
            <v>2</v>
          </cell>
          <cell r="O144">
            <v>1</v>
          </cell>
          <cell r="P144">
            <v>4</v>
          </cell>
          <cell r="Q144">
            <v>5</v>
          </cell>
          <cell r="R144">
            <v>1</v>
          </cell>
          <cell r="S144" t="str">
            <v>4|0.2</v>
          </cell>
          <cell r="T144">
            <v>1</v>
          </cell>
          <cell r="U144">
            <v>0</v>
          </cell>
          <cell r="V144">
            <v>0</v>
          </cell>
          <cell r="W144" t="str">
            <v>[]</v>
          </cell>
          <cell r="X144">
            <v>3</v>
          </cell>
          <cell r="Y144" t="str">
            <v>[]</v>
          </cell>
          <cell r="Z144" t="str">
            <v>0,3.9,0</v>
          </cell>
          <cell r="AA144">
            <v>0</v>
          </cell>
          <cell r="AB144">
            <v>6</v>
          </cell>
          <cell r="AC144" t="str">
            <v>[]</v>
          </cell>
          <cell r="AD144" t="str">
            <v>[]</v>
          </cell>
          <cell r="AE144" t="str">
            <v>[]</v>
          </cell>
          <cell r="AF144" t="str">
            <v>tuotatianwang_skill02</v>
          </cell>
          <cell r="AG144" t="str">
            <v>tuotatianwang_skill02_b</v>
          </cell>
          <cell r="AH144" t="str">
            <v>[]</v>
          </cell>
          <cell r="AI144" t="str">
            <v>[]</v>
          </cell>
          <cell r="AJ144" t="str">
            <v>batiT3NP1</v>
          </cell>
          <cell r="AK144" t="str">
            <v>[]</v>
          </cell>
          <cell r="AL144" t="str">
            <v>jianshangupT6N0.2</v>
          </cell>
          <cell r="AM144" t="str">
            <v>[]</v>
          </cell>
          <cell r="AN144">
            <v>1</v>
          </cell>
          <cell r="AO144">
            <v>1.6</v>
          </cell>
          <cell r="AP144" t="str">
            <v>[]</v>
          </cell>
          <cell r="AQ144" t="str">
            <v>9040</v>
          </cell>
          <cell r="AR144" t="str">
            <v>[]</v>
          </cell>
          <cell r="AS144" t="str">
            <v>[]</v>
          </cell>
          <cell r="AT144" t="str">
            <v>9040</v>
          </cell>
          <cell r="AU144" t="str">
            <v>3230</v>
          </cell>
          <cell r="AV144" t="str">
            <v>托塔天王</v>
          </cell>
          <cell r="AW144" t="str">
            <v>21</v>
          </cell>
          <cell r="AX144">
            <v>1268</v>
          </cell>
          <cell r="AY144">
            <v>1</v>
          </cell>
          <cell r="BA144" t="str">
            <v>[]</v>
          </cell>
          <cell r="BE144" t="str">
            <v>[]</v>
          </cell>
          <cell r="BF144"/>
        </row>
        <row r="145">
          <cell r="A145" t="str">
            <v>tuotatianwang_skill041</v>
          </cell>
          <cell r="B145" t="str">
            <v>奥义·宝塔镇压</v>
          </cell>
          <cell r="C145" t="str">
            <v>用宝塔镇压敌军，对范围内敌人造成自身攻击力@s的伤害，60%概率眩晕对手2秒</v>
          </cell>
          <cell r="D145">
            <v>1270</v>
          </cell>
          <cell r="E145">
            <v>2</v>
          </cell>
          <cell r="F145" t="str">
            <v>boss_warning_shanxing90</v>
          </cell>
          <cell r="G145" t="str">
            <v>托塔天王技能4</v>
          </cell>
          <cell r="H145" t="str">
            <v>tuotatianwang_skill04</v>
          </cell>
          <cell r="I145" t="str">
            <v>[]</v>
          </cell>
          <cell r="J145">
            <v>3</v>
          </cell>
          <cell r="K145">
            <v>10</v>
          </cell>
          <cell r="L145" t="str">
            <v>[]</v>
          </cell>
          <cell r="M145">
            <v>2</v>
          </cell>
          <cell r="N145">
            <v>2</v>
          </cell>
          <cell r="O145">
            <v>2</v>
          </cell>
          <cell r="P145">
            <v>2</v>
          </cell>
          <cell r="Q145">
            <v>4</v>
          </cell>
          <cell r="R145" t="str">
            <v>2|1</v>
          </cell>
          <cell r="S145" t="str">
            <v>3|6|60</v>
          </cell>
          <cell r="T145">
            <v>10</v>
          </cell>
          <cell r="U145">
            <v>1</v>
          </cell>
          <cell r="V145">
            <v>0</v>
          </cell>
          <cell r="W145" t="str">
            <v>[]</v>
          </cell>
          <cell r="X145">
            <v>3</v>
          </cell>
          <cell r="Y145" t="str">
            <v>[]</v>
          </cell>
          <cell r="Z145" t="str">
            <v>0,2.64,1.027</v>
          </cell>
          <cell r="AA145">
            <v>0</v>
          </cell>
          <cell r="AB145">
            <v>6</v>
          </cell>
          <cell r="AC145" t="str">
            <v>[]</v>
          </cell>
          <cell r="AD145" t="str">
            <v>[]</v>
          </cell>
          <cell r="AE145" t="str">
            <v>[]</v>
          </cell>
          <cell r="AF145" t="str">
            <v>tuotatianwang_skill04</v>
          </cell>
          <cell r="AG145" t="str">
            <v>common_hit_qinwuqi</v>
          </cell>
          <cell r="AH145" t="str">
            <v>[]</v>
          </cell>
          <cell r="AI145" t="str">
            <v>[]</v>
          </cell>
          <cell r="AJ145" t="str">
            <v>[]</v>
          </cell>
          <cell r="AK145" t="str">
            <v>yunxuanT1NP0.6</v>
          </cell>
          <cell r="AL145" t="str">
            <v>[]</v>
          </cell>
          <cell r="AM145" t="str">
            <v>[]</v>
          </cell>
          <cell r="AN145">
            <v>1</v>
          </cell>
          <cell r="AO145">
            <v>2.4</v>
          </cell>
          <cell r="AP145">
            <v>110809</v>
          </cell>
          <cell r="AQ145" t="str">
            <v>110809,9015</v>
          </cell>
          <cell r="AR145" t="str">
            <v>[]</v>
          </cell>
          <cell r="AS145" t="str">
            <v>[]</v>
          </cell>
          <cell r="AT145" t="str">
            <v>1108</v>
          </cell>
          <cell r="AU145" t="str">
            <v>3250</v>
          </cell>
          <cell r="AV145" t="str">
            <v>托塔天王</v>
          </cell>
          <cell r="AW145" t="str">
            <v>41</v>
          </cell>
          <cell r="AX145">
            <v>1270</v>
          </cell>
          <cell r="AY145">
            <v>1</v>
          </cell>
          <cell r="AZ145">
            <v>0.6</v>
          </cell>
          <cell r="BA145">
            <v>0.6</v>
          </cell>
          <cell r="BE145">
            <v>0.6</v>
          </cell>
          <cell r="BF145"/>
        </row>
        <row r="146">
          <cell r="A146" t="str">
            <v>jiutianxuannv_attack</v>
          </cell>
          <cell r="B146" t="str">
            <v>九天玄女普攻</v>
          </cell>
          <cell r="C146" t="str">
            <v>普攻</v>
          </cell>
          <cell r="D146" t="str">
            <v>[]</v>
          </cell>
          <cell r="E146">
            <v>0</v>
          </cell>
          <cell r="F146" t="str">
            <v>[]</v>
          </cell>
          <cell r="G146" t="str">
            <v>近战攻击</v>
          </cell>
          <cell r="H146" t="str">
            <v>[]</v>
          </cell>
          <cell r="I146" t="str">
            <v>[]</v>
          </cell>
          <cell r="J146">
            <v>0</v>
          </cell>
          <cell r="K146">
            <v>1</v>
          </cell>
          <cell r="L146" t="str">
            <v>[]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12</v>
          </cell>
          <cell r="R146" t="str">
            <v>2|1</v>
          </cell>
          <cell r="S146" t="str">
            <v>4|0.2</v>
          </cell>
          <cell r="T146">
            <v>1</v>
          </cell>
          <cell r="U146">
            <v>1</v>
          </cell>
          <cell r="V146">
            <v>0</v>
          </cell>
          <cell r="W146" t="str">
            <v>[]</v>
          </cell>
          <cell r="X146">
            <v>0</v>
          </cell>
          <cell r="Y146" t="str">
            <v>[]</v>
          </cell>
          <cell r="Z146" t="str">
            <v>0,1,0</v>
          </cell>
          <cell r="AA146">
            <v>0</v>
          </cell>
          <cell r="AB146">
            <v>0</v>
          </cell>
          <cell r="AC146" t="str">
            <v>[]</v>
          </cell>
          <cell r="AD146" t="str">
            <v>[]</v>
          </cell>
          <cell r="AE146" t="str">
            <v>[]</v>
          </cell>
          <cell r="AF146" t="str">
            <v>jiutianxuannv_attack</v>
          </cell>
          <cell r="AG146" t="str">
            <v>common_hit_fashu</v>
          </cell>
          <cell r="AH146" t="str">
            <v>[]</v>
          </cell>
          <cell r="AI146" t="str">
            <v>[]</v>
          </cell>
          <cell r="AJ146" t="str">
            <v>[]</v>
          </cell>
          <cell r="AK146" t="str">
            <v>[]</v>
          </cell>
          <cell r="AL146" t="str">
            <v>[]</v>
          </cell>
          <cell r="AM146" t="str">
            <v>[]</v>
          </cell>
          <cell r="AN146">
            <v>2</v>
          </cell>
          <cell r="AO146">
            <v>-2</v>
          </cell>
          <cell r="AP146">
            <v>110900</v>
          </cell>
          <cell r="AQ146" t="str">
            <v>110900</v>
          </cell>
          <cell r="AR146" t="str">
            <v>[]</v>
          </cell>
          <cell r="AS146" t="str">
            <v>[]</v>
          </cell>
          <cell r="AT146" t="str">
            <v>1109</v>
          </cell>
          <cell r="AU146" t="str">
            <v>3260</v>
          </cell>
          <cell r="AV146" t="str">
            <v>近战攻击</v>
          </cell>
          <cell r="AW146" t="str">
            <v>ck</v>
          </cell>
          <cell r="AX146" t="str">
            <v>[]</v>
          </cell>
          <cell r="AY146">
            <v>1</v>
          </cell>
          <cell r="BA146" t="str">
            <v>[]</v>
          </cell>
          <cell r="BE146" t="str">
            <v>[]</v>
          </cell>
          <cell r="BF146"/>
        </row>
        <row r="147">
          <cell r="A147" t="str">
            <v>jiutianxuannv_skill01</v>
          </cell>
          <cell r="B147" t="str">
            <v>沐浴晨光</v>
          </cell>
          <cell r="C147" t="str">
            <v>释放大范围治疗法术，治疗全体友军，每0.5秒恢复主角攻击力@s的生命值，持续3秒</v>
          </cell>
          <cell r="D147" t="str">
            <v>[]</v>
          </cell>
          <cell r="E147">
            <v>0</v>
          </cell>
          <cell r="F147" t="str">
            <v>[]</v>
          </cell>
          <cell r="G147" t="str">
            <v>九天玄女核心技能</v>
          </cell>
          <cell r="H147" t="str">
            <v>jiutianxuannv_skill01</v>
          </cell>
          <cell r="I147" t="str">
            <v>jiutianxuannv_skill01</v>
          </cell>
          <cell r="J147">
            <v>0</v>
          </cell>
          <cell r="K147">
            <v>1</v>
          </cell>
          <cell r="L147" t="str">
            <v>1|11</v>
          </cell>
          <cell r="M147">
            <v>2</v>
          </cell>
          <cell r="N147">
            <v>2</v>
          </cell>
          <cell r="O147">
            <v>1</v>
          </cell>
          <cell r="P147">
            <v>5</v>
          </cell>
          <cell r="Q147">
            <v>12</v>
          </cell>
          <cell r="R147">
            <v>3</v>
          </cell>
          <cell r="S147" t="str">
            <v>2|20</v>
          </cell>
          <cell r="T147">
            <v>10</v>
          </cell>
          <cell r="U147">
            <v>0</v>
          </cell>
          <cell r="V147">
            <v>0</v>
          </cell>
          <cell r="W147" t="str">
            <v>[]</v>
          </cell>
          <cell r="X147">
            <v>0</v>
          </cell>
          <cell r="Y147" t="str">
            <v>[]</v>
          </cell>
          <cell r="Z147" t="str">
            <v>0,1,0</v>
          </cell>
          <cell r="AA147">
            <v>0</v>
          </cell>
          <cell r="AB147" t="str">
            <v>12</v>
          </cell>
          <cell r="AC147" t="str">
            <v>[]</v>
          </cell>
          <cell r="AD147" t="str">
            <v>[]</v>
          </cell>
          <cell r="AE147" t="str">
            <v>[]</v>
          </cell>
          <cell r="AF147" t="str">
            <v>jiutianxuannv_skill01</v>
          </cell>
          <cell r="AG147" t="str">
            <v>respond_hp</v>
          </cell>
          <cell r="AH147" t="str">
            <v>[]</v>
          </cell>
          <cell r="AI147" t="str">
            <v>[]</v>
          </cell>
          <cell r="AJ147" t="str">
            <v>[]</v>
          </cell>
          <cell r="AK147" t="str">
            <v>[]</v>
          </cell>
          <cell r="AL147" t="str">
            <v>[]</v>
          </cell>
          <cell r="AM147" t="str">
            <v>huifuT3N0.4</v>
          </cell>
          <cell r="AN147">
            <v>2</v>
          </cell>
          <cell r="AO147">
            <v>0.6</v>
          </cell>
          <cell r="AP147" t="str">
            <v>[]</v>
          </cell>
          <cell r="AQ147" t="str">
            <v>9040</v>
          </cell>
          <cell r="AR147" t="str">
            <v>[]</v>
          </cell>
          <cell r="AS147" t="str">
            <v>[]</v>
          </cell>
          <cell r="AT147" t="str">
            <v>1109</v>
          </cell>
          <cell r="AU147" t="str">
            <v>3270</v>
          </cell>
          <cell r="AV147" t="str">
            <v>九天玄女</v>
          </cell>
          <cell r="AW147" t="str">
            <v>01</v>
          </cell>
          <cell r="AX147" t="str">
            <v>[]</v>
          </cell>
          <cell r="AY147">
            <v>1</v>
          </cell>
          <cell r="BA147" t="str">
            <v>[]</v>
          </cell>
          <cell r="BE147" t="str">
            <v>[]</v>
          </cell>
          <cell r="BF147"/>
        </row>
        <row r="148">
          <cell r="A148" t="str">
            <v>jiutianxuannv_skill02</v>
          </cell>
          <cell r="B148" t="str">
            <v>九蕴灵光</v>
          </cell>
          <cell r="C148" t="str">
            <v>用九蕴灵光治疗生命值百分比最低的友军，恢复自身攻击力@s的生命值</v>
          </cell>
          <cell r="D148" t="str">
            <v>[]</v>
          </cell>
          <cell r="E148">
            <v>0</v>
          </cell>
          <cell r="F148" t="str">
            <v>[]</v>
          </cell>
          <cell r="G148" t="str">
            <v>九天玄女技能2</v>
          </cell>
          <cell r="H148" t="str">
            <v>jiutianxuannv_skill02</v>
          </cell>
          <cell r="I148" t="str">
            <v>[]</v>
          </cell>
          <cell r="J148">
            <v>1</v>
          </cell>
          <cell r="K148">
            <v>1</v>
          </cell>
          <cell r="L148" t="str">
            <v>[]</v>
          </cell>
          <cell r="M148">
            <v>2</v>
          </cell>
          <cell r="N148">
            <v>2</v>
          </cell>
          <cell r="O148">
            <v>1</v>
          </cell>
          <cell r="P148">
            <v>5</v>
          </cell>
          <cell r="Q148">
            <v>12</v>
          </cell>
          <cell r="R148">
            <v>3</v>
          </cell>
          <cell r="S148">
            <v>7</v>
          </cell>
          <cell r="T148">
            <v>1</v>
          </cell>
          <cell r="U148">
            <v>1</v>
          </cell>
          <cell r="V148">
            <v>0</v>
          </cell>
          <cell r="W148" t="str">
            <v>[]</v>
          </cell>
          <cell r="X148">
            <v>3</v>
          </cell>
          <cell r="Y148" t="str">
            <v>[]</v>
          </cell>
          <cell r="Z148" t="str">
            <v>0,0.825,1.008</v>
          </cell>
          <cell r="AA148">
            <v>0</v>
          </cell>
          <cell r="AB148">
            <v>12</v>
          </cell>
          <cell r="AC148" t="str">
            <v>[]</v>
          </cell>
          <cell r="AD148" t="str">
            <v>[]</v>
          </cell>
          <cell r="AE148" t="str">
            <v>[]</v>
          </cell>
          <cell r="AF148" t="str">
            <v>jiutianxuannv_skill02</v>
          </cell>
          <cell r="AG148" t="str">
            <v>jiutianxuannv_skill02_b</v>
          </cell>
          <cell r="AH148" t="str">
            <v>[]</v>
          </cell>
          <cell r="AI148" t="str">
            <v>[]</v>
          </cell>
          <cell r="AJ148" t="str">
            <v>[]</v>
          </cell>
          <cell r="AK148" t="str">
            <v>[]</v>
          </cell>
          <cell r="AL148" t="str">
            <v>[]</v>
          </cell>
          <cell r="AM148" t="str">
            <v>[]</v>
          </cell>
          <cell r="AN148">
            <v>1</v>
          </cell>
          <cell r="AO148">
            <v>1</v>
          </cell>
          <cell r="AP148">
            <v>110902</v>
          </cell>
          <cell r="AQ148" t="str">
            <v>110902</v>
          </cell>
          <cell r="AR148" t="str">
            <v>[]</v>
          </cell>
          <cell r="AS148" t="str">
            <v>[]</v>
          </cell>
          <cell r="AT148" t="str">
            <v>1109</v>
          </cell>
          <cell r="AU148" t="str">
            <v>3280</v>
          </cell>
          <cell r="AV148" t="str">
            <v>九天玄女</v>
          </cell>
          <cell r="AW148" t="str">
            <v>02</v>
          </cell>
          <cell r="AX148" t="str">
            <v>[]</v>
          </cell>
          <cell r="AY148">
            <v>1</v>
          </cell>
          <cell r="BA148" t="str">
            <v>[]</v>
          </cell>
          <cell r="BE148" t="str">
            <v>[]</v>
          </cell>
          <cell r="BF148"/>
        </row>
        <row r="149">
          <cell r="A149" t="str">
            <v>jiutianxuannv_skill03</v>
          </cell>
          <cell r="B149" t="str">
            <v>缥缈无常</v>
          </cell>
          <cell r="C149" t="str">
            <v>进入战斗场景时，提升全体友军闪避率@s</v>
          </cell>
          <cell r="D149">
            <v>1262</v>
          </cell>
          <cell r="E149">
            <v>0</v>
          </cell>
          <cell r="F149" t="str">
            <v>[]</v>
          </cell>
          <cell r="G149" t="str">
            <v>九天玄女被动技能</v>
          </cell>
          <cell r="H149" t="str">
            <v>shanbi</v>
          </cell>
          <cell r="I149" t="str">
            <v>[]</v>
          </cell>
          <cell r="J149">
            <v>2</v>
          </cell>
          <cell r="K149">
            <v>1</v>
          </cell>
          <cell r="L149" t="str">
            <v>[]</v>
          </cell>
          <cell r="M149">
            <v>2</v>
          </cell>
          <cell r="N149">
            <v>2</v>
          </cell>
          <cell r="O149">
            <v>3</v>
          </cell>
          <cell r="P149">
            <v>0</v>
          </cell>
          <cell r="Q149">
            <v>12</v>
          </cell>
          <cell r="R149">
            <v>3</v>
          </cell>
          <cell r="S149" t="str">
            <v>2|20</v>
          </cell>
          <cell r="T149">
            <v>10</v>
          </cell>
          <cell r="U149">
            <v>0</v>
          </cell>
          <cell r="V149">
            <v>0</v>
          </cell>
          <cell r="W149" t="str">
            <v>[]</v>
          </cell>
          <cell r="X149">
            <v>0</v>
          </cell>
          <cell r="Y149" t="str">
            <v>[]</v>
          </cell>
          <cell r="Z149" t="str">
            <v>0,0,0</v>
          </cell>
          <cell r="AA149">
            <v>0</v>
          </cell>
          <cell r="AB149">
            <v>0</v>
          </cell>
          <cell r="AC149" t="str">
            <v>[]</v>
          </cell>
          <cell r="AD149" t="str">
            <v>[]</v>
          </cell>
          <cell r="AE149" t="str">
            <v>[]</v>
          </cell>
          <cell r="AF149" t="str">
            <v>[]</v>
          </cell>
          <cell r="AG149" t="str">
            <v>[]</v>
          </cell>
          <cell r="AH149" t="str">
            <v>[]</v>
          </cell>
          <cell r="AI149" t="str">
            <v>[]</v>
          </cell>
          <cell r="AJ149" t="str">
            <v>shenming10_higheff</v>
          </cell>
          <cell r="AK149" t="str">
            <v>[]</v>
          </cell>
          <cell r="AL149" t="str">
            <v>[]</v>
          </cell>
          <cell r="AM149" t="str">
            <v>[]</v>
          </cell>
          <cell r="AN149">
            <v>0</v>
          </cell>
          <cell r="AO149" t="str">
            <v>[]</v>
          </cell>
          <cell r="AP149" t="str">
            <v>[]</v>
          </cell>
          <cell r="AQ149" t="str">
            <v>9010</v>
          </cell>
          <cell r="AR149" t="str">
            <v>[]</v>
          </cell>
          <cell r="AS149" t="str">
            <v>[]</v>
          </cell>
          <cell r="AT149" t="str">
            <v>9010</v>
          </cell>
          <cell r="AU149" t="str">
            <v>3290</v>
          </cell>
          <cell r="AV149" t="str">
            <v>九天玄女</v>
          </cell>
          <cell r="AW149" t="str">
            <v>03</v>
          </cell>
          <cell r="AX149">
            <v>1262</v>
          </cell>
          <cell r="AY149">
            <v>1</v>
          </cell>
          <cell r="BA149" t="str">
            <v>[]</v>
          </cell>
          <cell r="BE149" t="str">
            <v>[]</v>
          </cell>
          <cell r="BF149"/>
        </row>
        <row r="150">
          <cell r="A150" t="str">
            <v>jiutianxuannv_skill04</v>
          </cell>
          <cell r="B150" t="str">
            <v>天女神佑</v>
          </cell>
          <cell r="C150" t="str">
            <v>释放自身神光，对范围内敌人造成2次攻击力@s的法伤，每次攻击清除敌人1个增益状态</v>
          </cell>
          <cell r="D150">
            <v>1264</v>
          </cell>
          <cell r="E150">
            <v>0</v>
          </cell>
          <cell r="F150" t="str">
            <v>[]</v>
          </cell>
          <cell r="G150" t="str">
            <v>九天玄女技能4</v>
          </cell>
          <cell r="H150" t="str">
            <v>jiutianxuannv_skill04</v>
          </cell>
          <cell r="I150" t="str">
            <v>[]</v>
          </cell>
          <cell r="J150">
            <v>3</v>
          </cell>
          <cell r="K150">
            <v>1</v>
          </cell>
          <cell r="L150" t="str">
            <v>[]</v>
          </cell>
          <cell r="M150">
            <v>2</v>
          </cell>
          <cell r="N150">
            <v>2</v>
          </cell>
          <cell r="O150">
            <v>2</v>
          </cell>
          <cell r="P150">
            <v>2</v>
          </cell>
          <cell r="Q150">
            <v>12</v>
          </cell>
          <cell r="R150" t="str">
            <v>2|1</v>
          </cell>
          <cell r="S150" t="str">
            <v>2|6</v>
          </cell>
          <cell r="T150">
            <v>10</v>
          </cell>
          <cell r="U150">
            <v>0</v>
          </cell>
          <cell r="V150">
            <v>0</v>
          </cell>
          <cell r="W150" t="str">
            <v>[]</v>
          </cell>
          <cell r="X150">
            <v>3</v>
          </cell>
          <cell r="Y150" t="str">
            <v>[]</v>
          </cell>
          <cell r="Z150" t="str">
            <v>0.1,1.22,1.047</v>
          </cell>
          <cell r="AA150">
            <v>0</v>
          </cell>
          <cell r="AB150">
            <v>12</v>
          </cell>
          <cell r="AC150" t="str">
            <v>[]</v>
          </cell>
          <cell r="AD150" t="str">
            <v>[]</v>
          </cell>
          <cell r="AE150" t="str">
            <v>jiutianxuannv_skill04_q</v>
          </cell>
          <cell r="AF150" t="str">
            <v>jiutianxuannv_skill04</v>
          </cell>
          <cell r="AG150" t="str">
            <v>common_hit_fashu</v>
          </cell>
          <cell r="AH150" t="str">
            <v>[]</v>
          </cell>
          <cell r="AI150" t="str">
            <v>[]</v>
          </cell>
          <cell r="AJ150" t="str">
            <v>[]</v>
          </cell>
          <cell r="AK150" t="str">
            <v>qusanTN1P1</v>
          </cell>
          <cell r="AL150" t="str">
            <v>[]</v>
          </cell>
          <cell r="AM150" t="str">
            <v>[]</v>
          </cell>
          <cell r="AN150">
            <v>1</v>
          </cell>
          <cell r="AO150" t="str">
            <v>0.5,0.1</v>
          </cell>
          <cell r="AP150">
            <v>110904</v>
          </cell>
          <cell r="AQ150" t="str">
            <v>110904</v>
          </cell>
          <cell r="AR150" t="str">
            <v>[]</v>
          </cell>
          <cell r="AS150" t="str">
            <v>[]</v>
          </cell>
          <cell r="AT150" t="str">
            <v>1109</v>
          </cell>
          <cell r="AU150" t="str">
            <v>3300</v>
          </cell>
          <cell r="AV150" t="str">
            <v>九天玄女</v>
          </cell>
          <cell r="AW150" t="str">
            <v>04</v>
          </cell>
          <cell r="AX150">
            <v>1264</v>
          </cell>
          <cell r="AY150">
            <v>2</v>
          </cell>
          <cell r="BA150" t="str">
            <v>[]</v>
          </cell>
          <cell r="BE150" t="str">
            <v>[]</v>
          </cell>
          <cell r="BF150"/>
        </row>
        <row r="151">
          <cell r="A151" t="str">
            <v>jiutianxuannv_skill011</v>
          </cell>
          <cell r="B151" t="str">
            <v>奥义·沐浴晨光</v>
          </cell>
          <cell r="C151" t="str">
            <v>释放大范围治疗法术，治疗全体友军，每0.5秒恢复主角攻击力@s的生命值，持续3秒</v>
          </cell>
          <cell r="D151">
            <v>1266</v>
          </cell>
          <cell r="E151">
            <v>0</v>
          </cell>
          <cell r="F151" t="str">
            <v>[]</v>
          </cell>
          <cell r="G151" t="str">
            <v>九天玄女核心技能</v>
          </cell>
          <cell r="H151" t="str">
            <v>jiutianxuannv_skill01</v>
          </cell>
          <cell r="I151" t="str">
            <v>jiutianxuannv_skill01</v>
          </cell>
          <cell r="J151">
            <v>0</v>
          </cell>
          <cell r="K151">
            <v>1</v>
          </cell>
          <cell r="L151" t="str">
            <v>1|11</v>
          </cell>
          <cell r="M151">
            <v>2</v>
          </cell>
          <cell r="N151">
            <v>2</v>
          </cell>
          <cell r="O151">
            <v>1</v>
          </cell>
          <cell r="P151">
            <v>5</v>
          </cell>
          <cell r="Q151">
            <v>12</v>
          </cell>
          <cell r="R151">
            <v>3</v>
          </cell>
          <cell r="S151" t="str">
            <v>2|20</v>
          </cell>
          <cell r="T151">
            <v>10</v>
          </cell>
          <cell r="U151">
            <v>0</v>
          </cell>
          <cell r="V151">
            <v>0</v>
          </cell>
          <cell r="W151" t="str">
            <v>[]</v>
          </cell>
          <cell r="X151">
            <v>0</v>
          </cell>
          <cell r="Y151" t="str">
            <v>[]</v>
          </cell>
          <cell r="Z151" t="str">
            <v>0,1,0</v>
          </cell>
          <cell r="AA151">
            <v>0</v>
          </cell>
          <cell r="AB151" t="str">
            <v>12</v>
          </cell>
          <cell r="AC151" t="str">
            <v>[]</v>
          </cell>
          <cell r="AD151" t="str">
            <v>[]</v>
          </cell>
          <cell r="AE151" t="str">
            <v>[]</v>
          </cell>
          <cell r="AF151" t="str">
            <v>jiutianxuannv_skill01</v>
          </cell>
          <cell r="AG151" t="str">
            <v>common_hit_fashu</v>
          </cell>
          <cell r="AH151" t="str">
            <v>[]</v>
          </cell>
          <cell r="AI151" t="str">
            <v>[]</v>
          </cell>
          <cell r="AJ151" t="str">
            <v>[]</v>
          </cell>
          <cell r="AK151" t="str">
            <v>[]</v>
          </cell>
          <cell r="AL151" t="str">
            <v>[]</v>
          </cell>
          <cell r="AM151" t="str">
            <v>huifuT3N0.5</v>
          </cell>
          <cell r="AN151">
            <v>2</v>
          </cell>
          <cell r="AO151">
            <v>0.6</v>
          </cell>
          <cell r="AP151" t="str">
            <v>[]</v>
          </cell>
          <cell r="AQ151" t="str">
            <v>9050</v>
          </cell>
          <cell r="AR151" t="str">
            <v>[]</v>
          </cell>
          <cell r="AS151" t="str">
            <v>[]</v>
          </cell>
          <cell r="AT151" t="str">
            <v>1109</v>
          </cell>
          <cell r="AU151" t="str">
            <v>3270</v>
          </cell>
          <cell r="AV151" t="str">
            <v>九天玄女</v>
          </cell>
          <cell r="AW151" t="str">
            <v>11</v>
          </cell>
          <cell r="AX151">
            <v>1266</v>
          </cell>
          <cell r="AY151">
            <v>1</v>
          </cell>
          <cell r="BA151" t="str">
            <v>[]</v>
          </cell>
          <cell r="BE151" t="str">
            <v>[]</v>
          </cell>
          <cell r="BF151"/>
        </row>
        <row r="152">
          <cell r="A152" t="str">
            <v>jiutianxuannv_skill021</v>
          </cell>
          <cell r="B152" t="str">
            <v>奥义·九蕴灵光</v>
          </cell>
          <cell r="C152" t="str">
            <v>用九蕴灵光治疗生命值百分比最低的友军，恢复自身攻击力@s的生命值</v>
          </cell>
          <cell r="D152">
            <v>1268</v>
          </cell>
          <cell r="E152">
            <v>0</v>
          </cell>
          <cell r="F152" t="str">
            <v>[]</v>
          </cell>
          <cell r="G152" t="str">
            <v>九天玄女技能2</v>
          </cell>
          <cell r="H152" t="str">
            <v>jiutianxuannv_skill02</v>
          </cell>
          <cell r="I152" t="str">
            <v>[]</v>
          </cell>
          <cell r="J152">
            <v>1</v>
          </cell>
          <cell r="K152">
            <v>1</v>
          </cell>
          <cell r="L152" t="str">
            <v>[]</v>
          </cell>
          <cell r="M152">
            <v>2</v>
          </cell>
          <cell r="N152">
            <v>2</v>
          </cell>
          <cell r="O152">
            <v>2</v>
          </cell>
          <cell r="P152">
            <v>5</v>
          </cell>
          <cell r="Q152">
            <v>12</v>
          </cell>
          <cell r="R152">
            <v>3</v>
          </cell>
          <cell r="S152">
            <v>7</v>
          </cell>
          <cell r="T152">
            <v>1</v>
          </cell>
          <cell r="U152">
            <v>1</v>
          </cell>
          <cell r="V152">
            <v>0</v>
          </cell>
          <cell r="W152" t="str">
            <v>[]</v>
          </cell>
          <cell r="X152">
            <v>3</v>
          </cell>
          <cell r="Y152" t="str">
            <v>[]</v>
          </cell>
          <cell r="Z152" t="str">
            <v>0,0.825,1.008</v>
          </cell>
          <cell r="AA152">
            <v>0</v>
          </cell>
          <cell r="AB152">
            <v>12</v>
          </cell>
          <cell r="AC152" t="str">
            <v>[]</v>
          </cell>
          <cell r="AD152" t="str">
            <v>[]</v>
          </cell>
          <cell r="AE152" t="str">
            <v>[]</v>
          </cell>
          <cell r="AF152" t="str">
            <v>jiutianxuannv_skill02</v>
          </cell>
          <cell r="AG152" t="str">
            <v>jiutianxuannv_skill02_b</v>
          </cell>
          <cell r="AH152" t="str">
            <v>[]</v>
          </cell>
          <cell r="AI152" t="str">
            <v>[]</v>
          </cell>
          <cell r="AJ152" t="str">
            <v>[]</v>
          </cell>
          <cell r="AK152" t="str">
            <v>[]</v>
          </cell>
          <cell r="AL152" t="str">
            <v>[]</v>
          </cell>
          <cell r="AM152" t="str">
            <v>[]</v>
          </cell>
          <cell r="AN152">
            <v>2</v>
          </cell>
          <cell r="AO152">
            <v>1</v>
          </cell>
          <cell r="AP152">
            <v>110906</v>
          </cell>
          <cell r="AQ152" t="str">
            <v>110906</v>
          </cell>
          <cell r="AR152" t="str">
            <v>[]</v>
          </cell>
          <cell r="AS152" t="str">
            <v>[]</v>
          </cell>
          <cell r="AT152" t="str">
            <v>1109</v>
          </cell>
          <cell r="AU152" t="str">
            <v>3280</v>
          </cell>
          <cell r="AV152" t="str">
            <v>九天玄女</v>
          </cell>
          <cell r="AW152" t="str">
            <v>21</v>
          </cell>
          <cell r="AX152">
            <v>1268</v>
          </cell>
          <cell r="AY152">
            <v>1</v>
          </cell>
          <cell r="BA152" t="str">
            <v>[]</v>
          </cell>
          <cell r="BE152" t="str">
            <v>[]</v>
          </cell>
          <cell r="BF152"/>
        </row>
        <row r="153">
          <cell r="A153" t="str">
            <v>jiutianxuannv_skill041</v>
          </cell>
          <cell r="B153" t="str">
            <v>奥义·天女神佑</v>
          </cell>
          <cell r="C153" t="str">
            <v>释放自身神光，对范围内敌人造成2次攻击力@s的法伤，清除敌人所有增益状态</v>
          </cell>
          <cell r="D153">
            <v>1270</v>
          </cell>
          <cell r="E153">
            <v>0</v>
          </cell>
          <cell r="F153" t="str">
            <v>[]</v>
          </cell>
          <cell r="G153" t="str">
            <v>九天玄女技能4</v>
          </cell>
          <cell r="H153" t="str">
            <v>jiutianxuannv_skill04</v>
          </cell>
          <cell r="I153" t="str">
            <v>[]</v>
          </cell>
          <cell r="J153">
            <v>3</v>
          </cell>
          <cell r="K153">
            <v>1</v>
          </cell>
          <cell r="L153" t="str">
            <v>[]</v>
          </cell>
          <cell r="M153">
            <v>2</v>
          </cell>
          <cell r="N153">
            <v>2</v>
          </cell>
          <cell r="O153">
            <v>2</v>
          </cell>
          <cell r="P153">
            <v>2</v>
          </cell>
          <cell r="Q153">
            <v>12</v>
          </cell>
          <cell r="R153" t="str">
            <v>2|1</v>
          </cell>
          <cell r="S153" t="str">
            <v>2|10</v>
          </cell>
          <cell r="T153">
            <v>10</v>
          </cell>
          <cell r="U153">
            <v>0</v>
          </cell>
          <cell r="V153">
            <v>0</v>
          </cell>
          <cell r="W153" t="str">
            <v>[]</v>
          </cell>
          <cell r="X153">
            <v>3</v>
          </cell>
          <cell r="Y153" t="str">
            <v>[]</v>
          </cell>
          <cell r="Z153" t="str">
            <v>0.1,1.22,1.047</v>
          </cell>
          <cell r="AA153">
            <v>0</v>
          </cell>
          <cell r="AB153">
            <v>12</v>
          </cell>
          <cell r="AC153" t="str">
            <v>[]</v>
          </cell>
          <cell r="AD153" t="str">
            <v>[]</v>
          </cell>
          <cell r="AE153" t="str">
            <v>jiutianxuannv_skill04_q</v>
          </cell>
          <cell r="AF153" t="str">
            <v>jiutianxuannv_skill04</v>
          </cell>
          <cell r="AG153" t="str">
            <v>common_hit_fashu</v>
          </cell>
          <cell r="AH153" t="str">
            <v>[]</v>
          </cell>
          <cell r="AI153" t="str">
            <v>[]</v>
          </cell>
          <cell r="AJ153" t="str">
            <v>[]</v>
          </cell>
          <cell r="AK153" t="str">
            <v>qusanTN99P1</v>
          </cell>
          <cell r="AL153" t="str">
            <v>[]</v>
          </cell>
          <cell r="AM153" t="str">
            <v>[]</v>
          </cell>
          <cell r="AN153">
            <v>2</v>
          </cell>
          <cell r="AO153" t="str">
            <v>0.5,0.1</v>
          </cell>
          <cell r="AP153">
            <v>110907</v>
          </cell>
          <cell r="AQ153" t="str">
            <v>110907</v>
          </cell>
          <cell r="AR153" t="str">
            <v>[]</v>
          </cell>
          <cell r="AS153" t="str">
            <v>[]</v>
          </cell>
          <cell r="AT153" t="str">
            <v>1109</v>
          </cell>
          <cell r="AU153" t="str">
            <v>3300</v>
          </cell>
          <cell r="AV153" t="str">
            <v>九天玄女</v>
          </cell>
          <cell r="AW153" t="str">
            <v>41</v>
          </cell>
          <cell r="AX153">
            <v>1270</v>
          </cell>
          <cell r="AY153">
            <v>2</v>
          </cell>
          <cell r="BA153" t="str">
            <v>[]</v>
          </cell>
          <cell r="BE153" t="str">
            <v>[]</v>
          </cell>
          <cell r="BF153"/>
        </row>
        <row r="154">
          <cell r="A154" t="str">
            <v>hulidaxian_attack</v>
          </cell>
          <cell r="B154" t="str">
            <v>虎力大仙普攻</v>
          </cell>
          <cell r="C154" t="str">
            <v>普攻</v>
          </cell>
          <cell r="D154" t="str">
            <v>[]</v>
          </cell>
          <cell r="E154">
            <v>0</v>
          </cell>
          <cell r="F154" t="str">
            <v>[]</v>
          </cell>
          <cell r="G154" t="str">
            <v>近战攻击</v>
          </cell>
          <cell r="H154" t="str">
            <v>[]</v>
          </cell>
          <cell r="I154" t="str">
            <v>[]</v>
          </cell>
          <cell r="J154">
            <v>0</v>
          </cell>
          <cell r="K154">
            <v>1</v>
          </cell>
          <cell r="L154" t="str">
            <v>[]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3</v>
          </cell>
          <cell r="R154" t="str">
            <v>2|1</v>
          </cell>
          <cell r="S154" t="str">
            <v>4|0.2</v>
          </cell>
          <cell r="T154">
            <v>1</v>
          </cell>
          <cell r="U154">
            <v>1</v>
          </cell>
          <cell r="V154">
            <v>0</v>
          </cell>
          <cell r="W154" t="str">
            <v>[]</v>
          </cell>
          <cell r="X154">
            <v>0</v>
          </cell>
          <cell r="Y154" t="str">
            <v>[]</v>
          </cell>
          <cell r="Z154" t="str">
            <v>0,1,0</v>
          </cell>
          <cell r="AA154">
            <v>0</v>
          </cell>
          <cell r="AB154" t="str">
            <v>[]</v>
          </cell>
          <cell r="AC154" t="str">
            <v>[]</v>
          </cell>
          <cell r="AD154" t="str">
            <v>[]</v>
          </cell>
          <cell r="AE154" t="str">
            <v>hulidaxian_attack_R</v>
          </cell>
          <cell r="AF154" t="str">
            <v>hulidaxian_attack</v>
          </cell>
          <cell r="AG154" t="str">
            <v>common_hit_dunqi</v>
          </cell>
          <cell r="AH154" t="str">
            <v>[]</v>
          </cell>
          <cell r="AI154" t="str">
            <v>[]</v>
          </cell>
          <cell r="AJ154" t="str">
            <v>[]</v>
          </cell>
          <cell r="AK154" t="str">
            <v>jinghuaTN1P1</v>
          </cell>
          <cell r="AL154" t="str">
            <v>[]</v>
          </cell>
          <cell r="AM154" t="str">
            <v>[]</v>
          </cell>
          <cell r="AN154">
            <v>1</v>
          </cell>
          <cell r="AO154">
            <v>0.2</v>
          </cell>
          <cell r="AP154">
            <v>111300</v>
          </cell>
          <cell r="AQ154" t="str">
            <v>111300</v>
          </cell>
          <cell r="AR154" t="str">
            <v>[]</v>
          </cell>
          <cell r="AS154" t="str">
            <v>[]</v>
          </cell>
          <cell r="AT154" t="str">
            <v>1113</v>
          </cell>
          <cell r="AU154" t="str">
            <v>3310</v>
          </cell>
          <cell r="AV154" t="str">
            <v>近战攻击</v>
          </cell>
          <cell r="AW154" t="str">
            <v>ck</v>
          </cell>
          <cell r="AX154" t="str">
            <v>[]</v>
          </cell>
          <cell r="AY154">
            <v>1</v>
          </cell>
          <cell r="BA154" t="str">
            <v>[]</v>
          </cell>
          <cell r="BE154" t="str">
            <v>[]</v>
          </cell>
          <cell r="BF154"/>
        </row>
        <row r="155">
          <cell r="A155" t="str">
            <v>hulidaxian_attack02</v>
          </cell>
          <cell r="B155" t="str">
            <v>虎力大仙普攻</v>
          </cell>
          <cell r="C155" t="str">
            <v>普攻</v>
          </cell>
          <cell r="D155" t="str">
            <v>[]</v>
          </cell>
          <cell r="E155">
            <v>0</v>
          </cell>
          <cell r="F155" t="str">
            <v>[]</v>
          </cell>
          <cell r="G155" t="str">
            <v>近战攻击</v>
          </cell>
          <cell r="H155" t="str">
            <v>[]</v>
          </cell>
          <cell r="I155" t="str">
            <v>[]</v>
          </cell>
          <cell r="J155">
            <v>0</v>
          </cell>
          <cell r="K155">
            <v>1</v>
          </cell>
          <cell r="L155" t="str">
            <v>[]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3</v>
          </cell>
          <cell r="R155" t="str">
            <v>2|1</v>
          </cell>
          <cell r="S155" t="str">
            <v>4|0.2</v>
          </cell>
          <cell r="T155">
            <v>1</v>
          </cell>
          <cell r="U155">
            <v>1</v>
          </cell>
          <cell r="V155">
            <v>0</v>
          </cell>
          <cell r="W155" t="str">
            <v>[]</v>
          </cell>
          <cell r="X155">
            <v>0</v>
          </cell>
          <cell r="Y155" t="str">
            <v>[]</v>
          </cell>
          <cell r="Z155" t="str">
            <v>0,1,0</v>
          </cell>
          <cell r="AA155">
            <v>0</v>
          </cell>
          <cell r="AB155" t="str">
            <v>[]</v>
          </cell>
          <cell r="AC155" t="str">
            <v>[]</v>
          </cell>
          <cell r="AD155" t="str">
            <v>[]</v>
          </cell>
          <cell r="AE155" t="str">
            <v>hulidaxian_attack_R</v>
          </cell>
          <cell r="AF155" t="str">
            <v>hulidaxian_attack02</v>
          </cell>
          <cell r="AG155" t="str">
            <v>common_hit_dunqi</v>
          </cell>
          <cell r="AH155" t="str">
            <v>[]</v>
          </cell>
          <cell r="AI155" t="str">
            <v>[]</v>
          </cell>
          <cell r="AJ155" t="str">
            <v>[]</v>
          </cell>
          <cell r="AK155" t="str">
            <v>[]</v>
          </cell>
          <cell r="AL155" t="str">
            <v>[]</v>
          </cell>
          <cell r="AM155" t="str">
            <v>[]</v>
          </cell>
          <cell r="AN155">
            <v>1</v>
          </cell>
          <cell r="AO155">
            <v>0.2</v>
          </cell>
          <cell r="AP155">
            <v>111301</v>
          </cell>
          <cell r="AQ155" t="str">
            <v>111301</v>
          </cell>
          <cell r="AR155" t="str">
            <v>[]</v>
          </cell>
          <cell r="AS155" t="str">
            <v>[]</v>
          </cell>
          <cell r="AT155" t="str">
            <v>1113</v>
          </cell>
          <cell r="AU155" t="str">
            <v>3310</v>
          </cell>
          <cell r="AV155" t="str">
            <v>近战攻击</v>
          </cell>
          <cell r="AW155" t="str">
            <v>02</v>
          </cell>
          <cell r="AX155" t="str">
            <v>[]</v>
          </cell>
          <cell r="AY155">
            <v>1</v>
          </cell>
          <cell r="BA155" t="str">
            <v>[]</v>
          </cell>
          <cell r="BE155" t="str">
            <v>[]</v>
          </cell>
          <cell r="BF155"/>
        </row>
        <row r="156">
          <cell r="A156" t="str">
            <v>hulidaxian_attack03</v>
          </cell>
          <cell r="B156" t="str">
            <v>虎力大仙普攻</v>
          </cell>
          <cell r="C156" t="str">
            <v>普攻</v>
          </cell>
          <cell r="D156">
            <v>1262</v>
          </cell>
          <cell r="E156">
            <v>0</v>
          </cell>
          <cell r="F156" t="str">
            <v>[]</v>
          </cell>
          <cell r="G156" t="str">
            <v>近战攻击</v>
          </cell>
          <cell r="H156" t="str">
            <v>[]</v>
          </cell>
          <cell r="I156" t="str">
            <v>[]</v>
          </cell>
          <cell r="J156">
            <v>0</v>
          </cell>
          <cell r="K156">
            <v>1</v>
          </cell>
          <cell r="L156" t="str">
            <v>[]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3</v>
          </cell>
          <cell r="R156" t="str">
            <v>2|1</v>
          </cell>
          <cell r="S156" t="str">
            <v>4|0.2</v>
          </cell>
          <cell r="T156">
            <v>1</v>
          </cell>
          <cell r="U156">
            <v>1</v>
          </cell>
          <cell r="V156">
            <v>0</v>
          </cell>
          <cell r="W156" t="str">
            <v>[]</v>
          </cell>
          <cell r="X156">
            <v>0</v>
          </cell>
          <cell r="Y156" t="str">
            <v>[]</v>
          </cell>
          <cell r="Z156" t="str">
            <v>0,1,0</v>
          </cell>
          <cell r="AA156">
            <v>0</v>
          </cell>
          <cell r="AB156" t="str">
            <v>[]</v>
          </cell>
          <cell r="AC156" t="str">
            <v>[]</v>
          </cell>
          <cell r="AD156" t="str">
            <v>[]</v>
          </cell>
          <cell r="AE156" t="str">
            <v>hulidaxian_attack_R</v>
          </cell>
          <cell r="AF156" t="str">
            <v>hulidaxian_attack03</v>
          </cell>
          <cell r="AG156" t="str">
            <v>common_hit_dunqi</v>
          </cell>
          <cell r="AH156" t="str">
            <v>[]</v>
          </cell>
          <cell r="AI156" t="str">
            <v>[]</v>
          </cell>
          <cell r="AJ156" t="str">
            <v>[]</v>
          </cell>
          <cell r="AK156" t="str">
            <v>[]</v>
          </cell>
          <cell r="AL156" t="str">
            <v>[]</v>
          </cell>
          <cell r="AM156" t="str">
            <v>[]</v>
          </cell>
          <cell r="AN156">
            <v>1</v>
          </cell>
          <cell r="AO156">
            <v>0.2</v>
          </cell>
          <cell r="AP156">
            <v>111302</v>
          </cell>
          <cell r="AQ156" t="str">
            <v>111302</v>
          </cell>
          <cell r="AR156" t="str">
            <v>[]</v>
          </cell>
          <cell r="AS156" t="str">
            <v>[]</v>
          </cell>
          <cell r="AT156" t="str">
            <v>1113</v>
          </cell>
          <cell r="AU156" t="str">
            <v>3310</v>
          </cell>
          <cell r="AV156" t="str">
            <v>近战攻击</v>
          </cell>
          <cell r="AW156" t="str">
            <v>03</v>
          </cell>
          <cell r="AX156">
            <v>1262</v>
          </cell>
          <cell r="AY156">
            <v>1</v>
          </cell>
          <cell r="BA156" t="str">
            <v>[]</v>
          </cell>
          <cell r="BE156" t="str">
            <v>[]</v>
          </cell>
          <cell r="BF156"/>
        </row>
        <row r="157">
          <cell r="A157" t="str">
            <v>hulidaxian_skill01</v>
          </cell>
          <cell r="B157" t="str">
            <v>野性护盾</v>
          </cell>
          <cell r="C157" t="str">
            <v>释放野性护盾，为全体友军吸收伤害，最多为友军自身生命值上限@s，持续3秒</v>
          </cell>
          <cell r="D157" t="str">
            <v>[]</v>
          </cell>
          <cell r="E157">
            <v>0</v>
          </cell>
          <cell r="F157" t="str">
            <v>[]</v>
          </cell>
          <cell r="G157" t="str">
            <v>虎力大仙核心技能</v>
          </cell>
          <cell r="H157" t="str">
            <v>hulidaxian_skill01</v>
          </cell>
          <cell r="I157" t="str">
            <v>hulidaxian_skill01</v>
          </cell>
          <cell r="J157">
            <v>0</v>
          </cell>
          <cell r="K157">
            <v>10</v>
          </cell>
          <cell r="L157" t="str">
            <v>1|13</v>
          </cell>
          <cell r="M157">
            <v>2</v>
          </cell>
          <cell r="N157">
            <v>2</v>
          </cell>
          <cell r="O157">
            <v>1</v>
          </cell>
          <cell r="P157">
            <v>4</v>
          </cell>
          <cell r="Q157">
            <v>4</v>
          </cell>
          <cell r="R157" t="str">
            <v>3|1</v>
          </cell>
          <cell r="S157">
            <v>5</v>
          </cell>
          <cell r="T157">
            <v>10</v>
          </cell>
          <cell r="U157">
            <v>0</v>
          </cell>
          <cell r="V157">
            <v>0</v>
          </cell>
          <cell r="W157" t="str">
            <v>[]</v>
          </cell>
          <cell r="X157">
            <v>0</v>
          </cell>
          <cell r="Y157" t="str">
            <v>[]</v>
          </cell>
          <cell r="Z157" t="str">
            <v>0,1,0</v>
          </cell>
          <cell r="AA157">
            <v>0</v>
          </cell>
          <cell r="AB157" t="str">
            <v>12</v>
          </cell>
          <cell r="AC157" t="str">
            <v>[]</v>
          </cell>
          <cell r="AD157" t="str">
            <v>[]</v>
          </cell>
          <cell r="AE157" t="str">
            <v>[]</v>
          </cell>
          <cell r="AF157" t="str">
            <v>hulidaxian_skill01</v>
          </cell>
          <cell r="AG157" t="str">
            <v>zhubajie_skill01_b</v>
          </cell>
          <cell r="AH157" t="str">
            <v>[]</v>
          </cell>
          <cell r="AI157" t="str">
            <v>[]</v>
          </cell>
          <cell r="AJ157" t="str">
            <v>[]</v>
          </cell>
          <cell r="AK157" t="str">
            <v>shengminghudunT3N0.3P1</v>
          </cell>
          <cell r="AL157" t="str">
            <v>[]</v>
          </cell>
          <cell r="AM157" t="str">
            <v>[]</v>
          </cell>
          <cell r="AN157">
            <v>1</v>
          </cell>
          <cell r="AO157">
            <v>0.6</v>
          </cell>
          <cell r="AP157" t="str">
            <v>[]</v>
          </cell>
          <cell r="AQ157" t="str">
            <v>9030</v>
          </cell>
          <cell r="AR157" t="str">
            <v>[]</v>
          </cell>
          <cell r="AS157" t="str">
            <v>[]</v>
          </cell>
          <cell r="AT157" t="str">
            <v>9030</v>
          </cell>
          <cell r="AU157" t="str">
            <v>3320</v>
          </cell>
          <cell r="AV157" t="str">
            <v>虎力大仙</v>
          </cell>
          <cell r="AW157" t="str">
            <v>01</v>
          </cell>
          <cell r="AX157" t="str">
            <v>[]</v>
          </cell>
          <cell r="AY157">
            <v>1</v>
          </cell>
          <cell r="BA157" t="str">
            <v>[]</v>
          </cell>
          <cell r="BE157" t="str">
            <v>[]</v>
          </cell>
          <cell r="BF157"/>
        </row>
        <row r="158">
          <cell r="A158" t="str">
            <v>hulidaxian_skill02</v>
          </cell>
          <cell r="B158" t="str">
            <v>虎啸山林</v>
          </cell>
          <cell r="C158" t="str">
            <v>蓄力咆哮，对范围内敌人造成自身攻击力@s的物伤，嘲讽并使敌人造成的伤害降低@s，持续3秒[嘲讽强制敌人使用普攻攻击自己,同时提升自身大量仇恨值]</v>
          </cell>
          <cell r="D158" t="str">
            <v>[]</v>
          </cell>
          <cell r="E158">
            <v>2</v>
          </cell>
          <cell r="F158" t="str">
            <v>boss_warning_yuanxing</v>
          </cell>
          <cell r="G158" t="str">
            <v>虎力大仙技能2</v>
          </cell>
          <cell r="H158" t="str">
            <v>hulidaxian_skill02</v>
          </cell>
          <cell r="I158" t="str">
            <v>[]</v>
          </cell>
          <cell r="J158">
            <v>1</v>
          </cell>
          <cell r="K158">
            <v>10</v>
          </cell>
          <cell r="L158" t="str">
            <v>[]</v>
          </cell>
          <cell r="M158">
            <v>2</v>
          </cell>
          <cell r="N158">
            <v>2</v>
          </cell>
          <cell r="O158">
            <v>1</v>
          </cell>
          <cell r="P158">
            <v>2</v>
          </cell>
          <cell r="Q158">
            <v>4</v>
          </cell>
          <cell r="R158" t="str">
            <v>2|1</v>
          </cell>
          <cell r="S158" t="str">
            <v>2|6</v>
          </cell>
          <cell r="T158">
            <v>10</v>
          </cell>
          <cell r="U158">
            <v>0</v>
          </cell>
          <cell r="V158">
            <v>0</v>
          </cell>
          <cell r="W158" t="str">
            <v>[]</v>
          </cell>
          <cell r="X158">
            <v>3</v>
          </cell>
          <cell r="Y158" t="str">
            <v>[]</v>
          </cell>
          <cell r="Z158" t="str">
            <v>0,1.6,0</v>
          </cell>
          <cell r="AA158">
            <v>0</v>
          </cell>
          <cell r="AB158">
            <v>6</v>
          </cell>
          <cell r="AC158" t="str">
            <v>[]</v>
          </cell>
          <cell r="AD158" t="str">
            <v>[]</v>
          </cell>
          <cell r="AE158" t="str">
            <v>[]</v>
          </cell>
          <cell r="AF158" t="str">
            <v>hulidaxian_skill02</v>
          </cell>
          <cell r="AG158" t="str">
            <v>common_hit_dunqi</v>
          </cell>
          <cell r="AH158" t="str">
            <v>[]</v>
          </cell>
          <cell r="AI158" t="str">
            <v>[]</v>
          </cell>
          <cell r="AJ158" t="str">
            <v>hulidaxian_zhenping_01</v>
          </cell>
          <cell r="AK158" t="str">
            <v>chaofengT2NP1</v>
          </cell>
          <cell r="AL158" t="str">
            <v>[]</v>
          </cell>
          <cell r="AM158" t="str">
            <v>xuruoT3N0.1</v>
          </cell>
          <cell r="AN158">
            <v>2</v>
          </cell>
          <cell r="AO158">
            <v>0.9</v>
          </cell>
          <cell r="AP158">
            <v>111304</v>
          </cell>
          <cell r="AQ158" t="str">
            <v>111304,9010</v>
          </cell>
          <cell r="AR158" t="str">
            <v>[]</v>
          </cell>
          <cell r="AS158" t="str">
            <v>[]</v>
          </cell>
          <cell r="AT158" t="str">
            <v>1113</v>
          </cell>
          <cell r="AU158" t="str">
            <v>3330</v>
          </cell>
          <cell r="AV158" t="str">
            <v>虎力大仙</v>
          </cell>
          <cell r="AW158" t="str">
            <v>02</v>
          </cell>
          <cell r="AX158" t="str">
            <v>[]</v>
          </cell>
          <cell r="AY158">
            <v>1</v>
          </cell>
          <cell r="BA158" t="str">
            <v>[]</v>
          </cell>
          <cell r="BE158" t="str">
            <v>[]</v>
          </cell>
          <cell r="BF158"/>
        </row>
        <row r="159">
          <cell r="A159" t="str">
            <v>hulidaxian_skill03</v>
          </cell>
          <cell r="B159" t="str">
            <v>虎口脱险</v>
          </cell>
          <cell r="C159" t="str">
            <v>进入战斗场景时，提升自身生命值上限@s</v>
          </cell>
          <cell r="D159">
            <v>1262</v>
          </cell>
          <cell r="E159">
            <v>0</v>
          </cell>
          <cell r="F159" t="str">
            <v>[]</v>
          </cell>
          <cell r="G159" t="str">
            <v>弥勒佛被动技能</v>
          </cell>
          <cell r="H159" t="str">
            <v>shengming</v>
          </cell>
          <cell r="I159" t="str">
            <v>[]</v>
          </cell>
          <cell r="J159">
            <v>2</v>
          </cell>
          <cell r="K159">
            <v>10</v>
          </cell>
          <cell r="L159" t="str">
            <v>[]</v>
          </cell>
          <cell r="M159">
            <v>2</v>
          </cell>
          <cell r="N159">
            <v>2</v>
          </cell>
          <cell r="O159">
            <v>3</v>
          </cell>
          <cell r="P159">
            <v>0</v>
          </cell>
          <cell r="Q159">
            <v>12</v>
          </cell>
          <cell r="R159">
            <v>1</v>
          </cell>
          <cell r="S159" t="str">
            <v>4|0.2</v>
          </cell>
          <cell r="T159">
            <v>1</v>
          </cell>
          <cell r="U159">
            <v>0</v>
          </cell>
          <cell r="V159">
            <v>0</v>
          </cell>
          <cell r="W159" t="str">
            <v>[]</v>
          </cell>
          <cell r="X159">
            <v>0</v>
          </cell>
          <cell r="Y159" t="str">
            <v>[]</v>
          </cell>
          <cell r="Z159" t="str">
            <v>0,0,0</v>
          </cell>
          <cell r="AA159">
            <v>0</v>
          </cell>
          <cell r="AB159" t="str">
            <v>[]</v>
          </cell>
          <cell r="AC159" t="str">
            <v>[]</v>
          </cell>
          <cell r="AD159" t="str">
            <v>[]</v>
          </cell>
          <cell r="AE159" t="str">
            <v>[]</v>
          </cell>
          <cell r="AF159" t="str">
            <v>[]</v>
          </cell>
          <cell r="AG159" t="str">
            <v>[]</v>
          </cell>
          <cell r="AH159" t="str">
            <v>[]</v>
          </cell>
          <cell r="AI159" t="str">
            <v>[]</v>
          </cell>
          <cell r="AJ159" t="str">
            <v>[]</v>
          </cell>
          <cell r="AK159" t="str">
            <v>[]</v>
          </cell>
          <cell r="AL159" t="str">
            <v>hpupTN0.2b</v>
          </cell>
          <cell r="AM159" t="str">
            <v>[]</v>
          </cell>
          <cell r="AN159">
            <v>0</v>
          </cell>
          <cell r="AO159" t="str">
            <v>[]</v>
          </cell>
          <cell r="AP159" t="str">
            <v>[]</v>
          </cell>
          <cell r="AQ159" t="str">
            <v>9020</v>
          </cell>
          <cell r="AR159" t="str">
            <v>[]</v>
          </cell>
          <cell r="AS159" t="str">
            <v>[]</v>
          </cell>
          <cell r="AT159" t="str">
            <v>9020</v>
          </cell>
          <cell r="AU159" t="str">
            <v>3341</v>
          </cell>
          <cell r="AV159" t="str">
            <v>虎力大仙</v>
          </cell>
          <cell r="AW159" t="str">
            <v>03</v>
          </cell>
          <cell r="AX159">
            <v>1262</v>
          </cell>
          <cell r="AY159">
            <v>1</v>
          </cell>
          <cell r="BA159" t="str">
            <v>[]</v>
          </cell>
          <cell r="BE159" t="str">
            <v>[]</v>
          </cell>
          <cell r="BF159"/>
        </row>
        <row r="160">
          <cell r="A160" t="str">
            <v>hulidaxian_skill04</v>
          </cell>
          <cell r="B160" t="str">
            <v>内丹回元</v>
          </cell>
          <cell r="C160" t="str">
            <v>利用自身内丹治疗自身，每0.5秒恢复自身生命值上限@s的生命值，持续3秒，并清除自身一个不利状态</v>
          </cell>
          <cell r="D160">
            <v>1264</v>
          </cell>
          <cell r="E160">
            <v>2</v>
          </cell>
          <cell r="F160" t="str">
            <v>[]</v>
          </cell>
          <cell r="G160" t="str">
            <v>虎力大仙技能4</v>
          </cell>
          <cell r="H160" t="str">
            <v>hulidaxian_skill04</v>
          </cell>
          <cell r="I160" t="str">
            <v>[]</v>
          </cell>
          <cell r="J160">
            <v>3</v>
          </cell>
          <cell r="K160">
            <v>10</v>
          </cell>
          <cell r="L160" t="str">
            <v>[]</v>
          </cell>
          <cell r="M160">
            <v>2</v>
          </cell>
          <cell r="N160">
            <v>2</v>
          </cell>
          <cell r="O160">
            <v>1</v>
          </cell>
          <cell r="P160">
            <v>5</v>
          </cell>
          <cell r="Q160">
            <v>4</v>
          </cell>
          <cell r="R160">
            <v>1</v>
          </cell>
          <cell r="S160" t="str">
            <v>4|0.2</v>
          </cell>
          <cell r="T160">
            <v>10</v>
          </cell>
          <cell r="U160">
            <v>0</v>
          </cell>
          <cell r="V160">
            <v>0</v>
          </cell>
          <cell r="W160" t="str">
            <v>[]</v>
          </cell>
          <cell r="X160">
            <v>3</v>
          </cell>
          <cell r="Y160" t="str">
            <v>[]</v>
          </cell>
          <cell r="Z160" t="str">
            <v>0,2.5,0</v>
          </cell>
          <cell r="AA160">
            <v>0</v>
          </cell>
          <cell r="AB160">
            <v>6</v>
          </cell>
          <cell r="AC160" t="str">
            <v>[]</v>
          </cell>
          <cell r="AD160" t="str">
            <v>[]</v>
          </cell>
          <cell r="AE160" t="str">
            <v>[]</v>
          </cell>
          <cell r="AF160" t="str">
            <v>hulidaxian_skill04</v>
          </cell>
          <cell r="AG160" t="str">
            <v>respond_hp</v>
          </cell>
          <cell r="AH160" t="str">
            <v>[]</v>
          </cell>
          <cell r="AI160" t="str">
            <v>[]</v>
          </cell>
          <cell r="AJ160" t="str">
            <v>jinghuaTN1P1</v>
          </cell>
          <cell r="AK160" t="str">
            <v>[]</v>
          </cell>
          <cell r="AL160" t="str">
            <v>hpmaxhuifu2</v>
          </cell>
          <cell r="AM160" t="str">
            <v>[]</v>
          </cell>
          <cell r="AN160">
            <v>2</v>
          </cell>
          <cell r="AO160">
            <v>2.6</v>
          </cell>
          <cell r="AP160" t="str">
            <v>[]</v>
          </cell>
          <cell r="AQ160" t="str">
            <v>9002</v>
          </cell>
          <cell r="AR160" t="str">
            <v>[]</v>
          </cell>
          <cell r="AS160" t="str">
            <v>[]</v>
          </cell>
          <cell r="AT160" t="str">
            <v>1113</v>
          </cell>
          <cell r="AU160" t="str">
            <v>3350</v>
          </cell>
          <cell r="AV160" t="str">
            <v>虎力大仙</v>
          </cell>
          <cell r="AW160" t="str">
            <v>04</v>
          </cell>
          <cell r="AX160">
            <v>1264</v>
          </cell>
          <cell r="AY160">
            <v>1</v>
          </cell>
          <cell r="BA160" t="str">
            <v>[]</v>
          </cell>
          <cell r="BE160" t="str">
            <v>[]</v>
          </cell>
          <cell r="BF160"/>
        </row>
        <row r="161">
          <cell r="A161" t="str">
            <v>hulidaxian_skill011</v>
          </cell>
          <cell r="B161" t="str">
            <v>奥义·野性护盾</v>
          </cell>
          <cell r="C161" t="str">
            <v>释放野性护盾，为全体友军吸收伤害，最多为友军自身生命值上限@s，持续3秒</v>
          </cell>
          <cell r="D161">
            <v>1266</v>
          </cell>
          <cell r="E161">
            <v>0</v>
          </cell>
          <cell r="F161" t="str">
            <v>[]</v>
          </cell>
          <cell r="G161" t="str">
            <v>虎力大仙核心技能</v>
          </cell>
          <cell r="H161" t="str">
            <v>hulidaxian_skill01</v>
          </cell>
          <cell r="I161" t="str">
            <v>hulidaxian_skill01</v>
          </cell>
          <cell r="J161">
            <v>0</v>
          </cell>
          <cell r="K161">
            <v>10</v>
          </cell>
          <cell r="L161" t="str">
            <v>1|13</v>
          </cell>
          <cell r="M161">
            <v>2</v>
          </cell>
          <cell r="N161">
            <v>2</v>
          </cell>
          <cell r="O161">
            <v>1</v>
          </cell>
          <cell r="P161">
            <v>4</v>
          </cell>
          <cell r="Q161">
            <v>4</v>
          </cell>
          <cell r="R161" t="str">
            <v>3|1</v>
          </cell>
          <cell r="S161">
            <v>5</v>
          </cell>
          <cell r="T161">
            <v>10</v>
          </cell>
          <cell r="U161">
            <v>0</v>
          </cell>
          <cell r="V161">
            <v>0</v>
          </cell>
          <cell r="W161" t="str">
            <v>[]</v>
          </cell>
          <cell r="X161">
            <v>0</v>
          </cell>
          <cell r="Y161" t="str">
            <v>[]</v>
          </cell>
          <cell r="Z161" t="str">
            <v>0,1,0</v>
          </cell>
          <cell r="AA161">
            <v>0</v>
          </cell>
          <cell r="AB161" t="str">
            <v>12</v>
          </cell>
          <cell r="AC161" t="str">
            <v>[]</v>
          </cell>
          <cell r="AD161" t="str">
            <v>[]</v>
          </cell>
          <cell r="AE161" t="str">
            <v>[]</v>
          </cell>
          <cell r="AF161" t="str">
            <v>hulidaxian_skill01</v>
          </cell>
          <cell r="AG161" t="str">
            <v>zhubajie_skill01_b</v>
          </cell>
          <cell r="AH161" t="str">
            <v>[]</v>
          </cell>
          <cell r="AI161" t="str">
            <v>[]</v>
          </cell>
          <cell r="AJ161" t="str">
            <v>[]</v>
          </cell>
          <cell r="AK161" t="str">
            <v>shengminghudunT3N0.4P1</v>
          </cell>
          <cell r="AL161" t="str">
            <v>[]</v>
          </cell>
          <cell r="AM161" t="str">
            <v>[]</v>
          </cell>
          <cell r="AN161">
            <v>1</v>
          </cell>
          <cell r="AO161">
            <v>0.6</v>
          </cell>
          <cell r="AP161" t="str">
            <v>[]</v>
          </cell>
          <cell r="AQ161" t="str">
            <v>9040</v>
          </cell>
          <cell r="AR161" t="str">
            <v>[]</v>
          </cell>
          <cell r="AS161" t="str">
            <v>[]</v>
          </cell>
          <cell r="AT161" t="str">
            <v>9040</v>
          </cell>
          <cell r="AU161" t="str">
            <v>3320</v>
          </cell>
          <cell r="AV161" t="str">
            <v>虎力大仙</v>
          </cell>
          <cell r="AW161" t="str">
            <v>11</v>
          </cell>
          <cell r="AX161">
            <v>1266</v>
          </cell>
          <cell r="AY161">
            <v>1</v>
          </cell>
          <cell r="BA161" t="str">
            <v>[]</v>
          </cell>
          <cell r="BE161" t="str">
            <v>[]</v>
          </cell>
          <cell r="BF161"/>
        </row>
        <row r="162">
          <cell r="A162" t="str">
            <v>hulidaxian_skill021</v>
          </cell>
          <cell r="B162" t="str">
            <v>奥义·虎啸山林</v>
          </cell>
          <cell r="C162" t="str">
            <v>蓄力咆哮，对范围内敌人造成自身攻击力@s的物伤，嘲讽并使敌人造成的伤害降低@s，持续3秒[嘲讽强制敌人使用普攻攻击自己,同时提升自身大量仇恨值]</v>
          </cell>
          <cell r="D162">
            <v>1268</v>
          </cell>
          <cell r="E162">
            <v>2</v>
          </cell>
          <cell r="F162" t="str">
            <v>boss_warning_yuanxing</v>
          </cell>
          <cell r="G162" t="str">
            <v>虎力大仙技能2</v>
          </cell>
          <cell r="H162" t="str">
            <v>hulidaxian_skill02</v>
          </cell>
          <cell r="I162" t="str">
            <v>[]</v>
          </cell>
          <cell r="J162">
            <v>1</v>
          </cell>
          <cell r="K162">
            <v>10</v>
          </cell>
          <cell r="L162" t="str">
            <v>[]</v>
          </cell>
          <cell r="M162">
            <v>2</v>
          </cell>
          <cell r="N162">
            <v>2</v>
          </cell>
          <cell r="O162">
            <v>1</v>
          </cell>
          <cell r="P162">
            <v>2</v>
          </cell>
          <cell r="Q162">
            <v>4</v>
          </cell>
          <cell r="R162" t="str">
            <v>2|1</v>
          </cell>
          <cell r="S162" t="str">
            <v>2|6</v>
          </cell>
          <cell r="T162">
            <v>10</v>
          </cell>
          <cell r="U162">
            <v>0</v>
          </cell>
          <cell r="V162">
            <v>0</v>
          </cell>
          <cell r="W162" t="str">
            <v>[]</v>
          </cell>
          <cell r="X162">
            <v>3</v>
          </cell>
          <cell r="Y162" t="str">
            <v>[]</v>
          </cell>
          <cell r="Z162" t="str">
            <v>0,1.6,0</v>
          </cell>
          <cell r="AA162">
            <v>0</v>
          </cell>
          <cell r="AB162">
            <v>6</v>
          </cell>
          <cell r="AC162" t="str">
            <v>[]</v>
          </cell>
          <cell r="AD162" t="str">
            <v>[]</v>
          </cell>
          <cell r="AE162" t="str">
            <v>[]</v>
          </cell>
          <cell r="AF162" t="str">
            <v>hulidaxian_skill02</v>
          </cell>
          <cell r="AG162" t="str">
            <v>common_hit_dunqi</v>
          </cell>
          <cell r="AH162" t="str">
            <v>[]</v>
          </cell>
          <cell r="AI162" t="str">
            <v>[]</v>
          </cell>
          <cell r="AJ162" t="str">
            <v>hulidaxian_zhenping_01</v>
          </cell>
          <cell r="AK162" t="str">
            <v>chaofengT2NP1</v>
          </cell>
          <cell r="AL162" t="str">
            <v>[]</v>
          </cell>
          <cell r="AM162" t="str">
            <v>xuruoT3N0.15</v>
          </cell>
          <cell r="AN162">
            <v>2</v>
          </cell>
          <cell r="AO162">
            <v>0.9</v>
          </cell>
          <cell r="AP162">
            <v>111308</v>
          </cell>
          <cell r="AQ162" t="str">
            <v>111308,9015</v>
          </cell>
          <cell r="AR162" t="str">
            <v>[]</v>
          </cell>
          <cell r="AS162" t="str">
            <v>[]</v>
          </cell>
          <cell r="AT162" t="str">
            <v>1113</v>
          </cell>
          <cell r="AU162" t="str">
            <v>3330</v>
          </cell>
          <cell r="AV162" t="str">
            <v>虎力大仙</v>
          </cell>
          <cell r="AW162" t="str">
            <v>21</v>
          </cell>
          <cell r="AX162">
            <v>1268</v>
          </cell>
          <cell r="AY162">
            <v>1</v>
          </cell>
          <cell r="BA162" t="str">
            <v>[]</v>
          </cell>
          <cell r="BE162" t="str">
            <v>[]</v>
          </cell>
          <cell r="BF162"/>
        </row>
        <row r="163">
          <cell r="A163" t="str">
            <v>hulidaxian_skill041</v>
          </cell>
          <cell r="B163" t="str">
            <v>奥义·内丹回元</v>
          </cell>
          <cell r="C163" t="str">
            <v>利用自身内丹治疗自身，每0.5秒恢复自身生命值上限@s的生命值，持续3秒，并清除自身所有不利状态</v>
          </cell>
          <cell r="D163">
            <v>1270</v>
          </cell>
          <cell r="E163">
            <v>2</v>
          </cell>
          <cell r="F163" t="str">
            <v>boss_warning_shanxing90</v>
          </cell>
          <cell r="G163" t="str">
            <v>虎力大仙技能4</v>
          </cell>
          <cell r="H163" t="str">
            <v>hulidaxian_skill04</v>
          </cell>
          <cell r="I163" t="str">
            <v>[]</v>
          </cell>
          <cell r="J163">
            <v>3</v>
          </cell>
          <cell r="K163">
            <v>10</v>
          </cell>
          <cell r="L163" t="str">
            <v>[]</v>
          </cell>
          <cell r="M163">
            <v>2</v>
          </cell>
          <cell r="N163">
            <v>2</v>
          </cell>
          <cell r="O163">
            <v>1</v>
          </cell>
          <cell r="P163">
            <v>5</v>
          </cell>
          <cell r="Q163">
            <v>4</v>
          </cell>
          <cell r="R163">
            <v>1</v>
          </cell>
          <cell r="S163" t="str">
            <v>4|0.2</v>
          </cell>
          <cell r="T163">
            <v>10</v>
          </cell>
          <cell r="U163">
            <v>0</v>
          </cell>
          <cell r="V163">
            <v>0</v>
          </cell>
          <cell r="W163" t="str">
            <v>[]</v>
          </cell>
          <cell r="X163">
            <v>3</v>
          </cell>
          <cell r="Y163" t="str">
            <v>[]</v>
          </cell>
          <cell r="Z163" t="str">
            <v>0,2.5,0</v>
          </cell>
          <cell r="AA163">
            <v>0</v>
          </cell>
          <cell r="AB163">
            <v>6</v>
          </cell>
          <cell r="AC163" t="str">
            <v>[]</v>
          </cell>
          <cell r="AD163" t="str">
            <v>[]</v>
          </cell>
          <cell r="AE163" t="str">
            <v>[]</v>
          </cell>
          <cell r="AF163" t="str">
            <v>hulidaxian_skill04</v>
          </cell>
          <cell r="AG163" t="str">
            <v>respond_hp</v>
          </cell>
          <cell r="AH163" t="str">
            <v>[]</v>
          </cell>
          <cell r="AI163" t="str">
            <v>[]</v>
          </cell>
          <cell r="AJ163" t="str">
            <v>jinghuaTN99P1</v>
          </cell>
          <cell r="AK163" t="str">
            <v>[]</v>
          </cell>
          <cell r="AL163" t="str">
            <v>hpmaxhuifu3</v>
          </cell>
          <cell r="AM163" t="str">
            <v>[]</v>
          </cell>
          <cell r="AN163">
            <v>2</v>
          </cell>
          <cell r="AO163">
            <v>0.3</v>
          </cell>
          <cell r="AP163" t="str">
            <v>[]</v>
          </cell>
          <cell r="AQ163" t="str">
            <v>9003</v>
          </cell>
          <cell r="AR163" t="str">
            <v>[]</v>
          </cell>
          <cell r="AS163" t="str">
            <v>[]</v>
          </cell>
          <cell r="AT163" t="str">
            <v>1113</v>
          </cell>
          <cell r="AU163" t="str">
            <v>3350</v>
          </cell>
          <cell r="AV163" t="str">
            <v>虎力大仙</v>
          </cell>
          <cell r="AW163" t="str">
            <v>41</v>
          </cell>
          <cell r="AX163">
            <v>1270</v>
          </cell>
          <cell r="AY163">
            <v>1</v>
          </cell>
          <cell r="BA163" t="str">
            <v>[]</v>
          </cell>
          <cell r="BE163" t="str">
            <v>[]</v>
          </cell>
          <cell r="BF163"/>
        </row>
        <row r="164">
          <cell r="A164" t="str">
            <v>lulidaxian_attack</v>
          </cell>
          <cell r="B164" t="str">
            <v>鹿力大仙普攻</v>
          </cell>
          <cell r="C164" t="str">
            <v>普攻</v>
          </cell>
          <cell r="D164" t="str">
            <v>[]</v>
          </cell>
          <cell r="E164">
            <v>0</v>
          </cell>
          <cell r="F164" t="str">
            <v>[]</v>
          </cell>
          <cell r="G164" t="str">
            <v>鹿力大仙攻击</v>
          </cell>
          <cell r="H164" t="str">
            <v>[]</v>
          </cell>
          <cell r="I164" t="str">
            <v>[]</v>
          </cell>
          <cell r="J164">
            <v>0</v>
          </cell>
          <cell r="K164">
            <v>1</v>
          </cell>
          <cell r="L164" t="str">
            <v>[]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3</v>
          </cell>
          <cell r="R164" t="str">
            <v>2|1</v>
          </cell>
          <cell r="S164" t="str">
            <v>4|0.2</v>
          </cell>
          <cell r="T164">
            <v>1</v>
          </cell>
          <cell r="U164">
            <v>1</v>
          </cell>
          <cell r="V164">
            <v>0</v>
          </cell>
          <cell r="W164" t="str">
            <v>[]</v>
          </cell>
          <cell r="X164">
            <v>0</v>
          </cell>
          <cell r="Y164" t="str">
            <v>[]</v>
          </cell>
          <cell r="Z164" t="str">
            <v>0,1,0</v>
          </cell>
          <cell r="AA164">
            <v>0</v>
          </cell>
          <cell r="AB164" t="str">
            <v>[]</v>
          </cell>
          <cell r="AC164" t="str">
            <v>[]</v>
          </cell>
          <cell r="AD164" t="str">
            <v>[]</v>
          </cell>
          <cell r="AE164" t="str">
            <v>[]</v>
          </cell>
          <cell r="AF164" t="str">
            <v>lulidaxian_attack</v>
          </cell>
          <cell r="AG164" t="str">
            <v>common_hit_fashu</v>
          </cell>
          <cell r="AH164" t="str">
            <v>[]</v>
          </cell>
          <cell r="AI164" t="str">
            <v>[]</v>
          </cell>
          <cell r="AJ164" t="str">
            <v>[]</v>
          </cell>
          <cell r="AK164" t="str">
            <v>[]</v>
          </cell>
          <cell r="AL164" t="str">
            <v>[]</v>
          </cell>
          <cell r="AM164" t="str">
            <v>[]</v>
          </cell>
          <cell r="AN164">
            <v>1</v>
          </cell>
          <cell r="AO164">
            <v>0.25</v>
          </cell>
          <cell r="AP164">
            <v>111400</v>
          </cell>
          <cell r="AQ164" t="str">
            <v>111400</v>
          </cell>
          <cell r="AR164" t="str">
            <v>[]</v>
          </cell>
          <cell r="AS164" t="str">
            <v>[]</v>
          </cell>
          <cell r="AT164" t="str">
            <v>1114</v>
          </cell>
          <cell r="AU164" t="str">
            <v>3360</v>
          </cell>
          <cell r="AV164" t="str">
            <v>鹿力大仙攻击</v>
          </cell>
          <cell r="AW164" t="str">
            <v>ck</v>
          </cell>
          <cell r="AX164" t="str">
            <v>[]</v>
          </cell>
          <cell r="AY164">
            <v>1</v>
          </cell>
          <cell r="BA164" t="str">
            <v>[]</v>
          </cell>
          <cell r="BE164" t="str">
            <v>[]</v>
          </cell>
          <cell r="BF164"/>
        </row>
        <row r="165">
          <cell r="A165" t="str">
            <v>lulidaxian_skill01</v>
          </cell>
          <cell r="B165" t="str">
            <v>灵鹿赐福</v>
          </cell>
          <cell r="C165" t="str">
            <v>将灵力赋予全队，提升全体友军@s的攻击速度和@s的命中率，持续3秒</v>
          </cell>
          <cell r="D165" t="str">
            <v>[]</v>
          </cell>
          <cell r="E165">
            <v>0</v>
          </cell>
          <cell r="F165" t="str">
            <v>[]</v>
          </cell>
          <cell r="G165" t="str">
            <v>鹿力大仙核心技能</v>
          </cell>
          <cell r="H165" t="str">
            <v>lulidaxian_skill01</v>
          </cell>
          <cell r="I165" t="str">
            <v>lulidaxian_skill01</v>
          </cell>
          <cell r="J165">
            <v>0</v>
          </cell>
          <cell r="K165">
            <v>10</v>
          </cell>
          <cell r="L165" t="str">
            <v>1|14</v>
          </cell>
          <cell r="M165">
            <v>2</v>
          </cell>
          <cell r="N165">
            <v>2</v>
          </cell>
          <cell r="O165">
            <v>1</v>
          </cell>
          <cell r="P165">
            <v>4</v>
          </cell>
          <cell r="Q165">
            <v>12</v>
          </cell>
          <cell r="R165">
            <v>3</v>
          </cell>
          <cell r="S165">
            <v>5</v>
          </cell>
          <cell r="T165">
            <v>10</v>
          </cell>
          <cell r="U165">
            <v>0</v>
          </cell>
          <cell r="V165">
            <v>0</v>
          </cell>
          <cell r="W165" t="str">
            <v>[]</v>
          </cell>
          <cell r="X165">
            <v>0</v>
          </cell>
          <cell r="Y165" t="str">
            <v>[]</v>
          </cell>
          <cell r="Z165" t="str">
            <v>0,1,0</v>
          </cell>
          <cell r="AA165">
            <v>0</v>
          </cell>
          <cell r="AB165" t="str">
            <v>12</v>
          </cell>
          <cell r="AC165" t="str">
            <v>[]</v>
          </cell>
          <cell r="AD165" t="str">
            <v>[]</v>
          </cell>
          <cell r="AE165" t="str">
            <v>[]</v>
          </cell>
          <cell r="AF165" t="str">
            <v>lulidaxian_skill01_atc</v>
          </cell>
          <cell r="AG165" t="str">
            <v>lulidaxian_skill01</v>
          </cell>
          <cell r="AH165" t="str">
            <v>[]</v>
          </cell>
          <cell r="AI165" t="str">
            <v>[]</v>
          </cell>
          <cell r="AJ165" t="str">
            <v>[]</v>
          </cell>
          <cell r="AK165" t="str">
            <v>[]</v>
          </cell>
          <cell r="AL165" t="str">
            <v>[]</v>
          </cell>
          <cell r="AM165" t="str">
            <v>gongsuupT3N0.2,mingzhongupT3N0.2</v>
          </cell>
          <cell r="AN165">
            <v>1</v>
          </cell>
          <cell r="AO165">
            <v>0.6</v>
          </cell>
          <cell r="AP165" t="str">
            <v>[]</v>
          </cell>
          <cell r="AQ165" t="str">
            <v>9025,9025</v>
          </cell>
          <cell r="AR165" t="str">
            <v>[]</v>
          </cell>
          <cell r="AS165" t="str">
            <v>[]</v>
          </cell>
          <cell r="AT165" t="str">
            <v>9025</v>
          </cell>
          <cell r="AU165" t="str">
            <v>3370</v>
          </cell>
          <cell r="AV165" t="str">
            <v>鹿力大仙</v>
          </cell>
          <cell r="AW165" t="str">
            <v>01</v>
          </cell>
          <cell r="AX165" t="str">
            <v>[]</v>
          </cell>
          <cell r="AY165">
            <v>1</v>
          </cell>
          <cell r="BA165" t="str">
            <v>[]</v>
          </cell>
          <cell r="BE165" t="str">
            <v>[]</v>
          </cell>
          <cell r="BF165"/>
        </row>
        <row r="166">
          <cell r="A166" t="str">
            <v>lulidaxian_skill02</v>
          </cell>
          <cell r="B166" t="str">
            <v>反向刃杀</v>
          </cell>
          <cell r="C166" t="str">
            <v>掷出双环，对范围内敌人造成3次自身攻击力@s的物伤</v>
          </cell>
          <cell r="D166" t="str">
            <v>[]</v>
          </cell>
          <cell r="E166">
            <v>2</v>
          </cell>
          <cell r="F166" t="str">
            <v>boss_warning_juxing</v>
          </cell>
          <cell r="G166" t="str">
            <v>鹿力大仙技能2</v>
          </cell>
          <cell r="H166" t="str">
            <v>lulidaxian_skill02</v>
          </cell>
          <cell r="I166" t="str">
            <v>[]</v>
          </cell>
          <cell r="J166">
            <v>1</v>
          </cell>
          <cell r="K166">
            <v>10</v>
          </cell>
          <cell r="L166" t="str">
            <v>[]</v>
          </cell>
          <cell r="M166">
            <v>2</v>
          </cell>
          <cell r="N166">
            <v>2</v>
          </cell>
          <cell r="O166">
            <v>2</v>
          </cell>
          <cell r="P166">
            <v>2</v>
          </cell>
          <cell r="Q166">
            <v>12</v>
          </cell>
          <cell r="R166" t="str">
            <v>2|1</v>
          </cell>
          <cell r="S166" t="str">
            <v>1|10|6</v>
          </cell>
          <cell r="T166">
            <v>10</v>
          </cell>
          <cell r="U166">
            <v>0</v>
          </cell>
          <cell r="V166">
            <v>0</v>
          </cell>
          <cell r="W166" t="str">
            <v>[]</v>
          </cell>
          <cell r="X166">
            <v>3</v>
          </cell>
          <cell r="Y166" t="str">
            <v>[]</v>
          </cell>
          <cell r="Z166" t="str">
            <v>0,1.8,0</v>
          </cell>
          <cell r="AA166">
            <v>0</v>
          </cell>
          <cell r="AB166">
            <v>6</v>
          </cell>
          <cell r="AC166" t="str">
            <v>[]</v>
          </cell>
          <cell r="AD166" t="str">
            <v>[]</v>
          </cell>
          <cell r="AE166" t="str">
            <v>[]</v>
          </cell>
          <cell r="AF166" t="str">
            <v>lulidaxian_skill02</v>
          </cell>
          <cell r="AG166" t="str">
            <v>common_hit_fashu</v>
          </cell>
          <cell r="AH166" t="str">
            <v>[]</v>
          </cell>
          <cell r="AI166" t="str">
            <v>[]</v>
          </cell>
          <cell r="AJ166" t="str">
            <v>[]</v>
          </cell>
          <cell r="AK166" t="str">
            <v>[]</v>
          </cell>
          <cell r="AL166" t="str">
            <v>[]</v>
          </cell>
          <cell r="AM166" t="str">
            <v>[]</v>
          </cell>
          <cell r="AN166">
            <v>2</v>
          </cell>
          <cell r="AO166" t="str">
            <v>0.9,0.1,0.1</v>
          </cell>
          <cell r="AP166">
            <v>111402</v>
          </cell>
          <cell r="AQ166" t="str">
            <v>111402</v>
          </cell>
          <cell r="AR166" t="str">
            <v>[]</v>
          </cell>
          <cell r="AS166" t="str">
            <v>[]</v>
          </cell>
          <cell r="AT166" t="str">
            <v>1114</v>
          </cell>
          <cell r="AU166" t="str">
            <v>3380</v>
          </cell>
          <cell r="AV166" t="str">
            <v>鹿力大仙</v>
          </cell>
          <cell r="AW166" t="str">
            <v>02</v>
          </cell>
          <cell r="AX166" t="str">
            <v>[]</v>
          </cell>
          <cell r="AY166">
            <v>3</v>
          </cell>
          <cell r="BA166" t="str">
            <v>[]</v>
          </cell>
          <cell r="BE166" t="str">
            <v>[]</v>
          </cell>
          <cell r="BF166"/>
        </row>
        <row r="167">
          <cell r="A167" t="str">
            <v>lulidaxian_skill03</v>
          </cell>
          <cell r="B167" t="str">
            <v>灵动迅捷</v>
          </cell>
          <cell r="C167" t="str">
            <v>进入战斗场景时，提升自身攻速@s</v>
          </cell>
          <cell r="D167">
            <v>1262</v>
          </cell>
          <cell r="E167">
            <v>0</v>
          </cell>
          <cell r="F167" t="str">
            <v>[]</v>
          </cell>
          <cell r="G167" t="str">
            <v>鹿力大仙被动技能</v>
          </cell>
          <cell r="H167" t="str">
            <v>gongsu</v>
          </cell>
          <cell r="I167" t="str">
            <v>[]</v>
          </cell>
          <cell r="J167">
            <v>2</v>
          </cell>
          <cell r="K167">
            <v>10</v>
          </cell>
          <cell r="L167" t="str">
            <v>[]</v>
          </cell>
          <cell r="M167">
            <v>2</v>
          </cell>
          <cell r="N167">
            <v>2</v>
          </cell>
          <cell r="O167">
            <v>3</v>
          </cell>
          <cell r="P167">
            <v>0</v>
          </cell>
          <cell r="Q167">
            <v>12</v>
          </cell>
          <cell r="R167">
            <v>1</v>
          </cell>
          <cell r="S167" t="str">
            <v>4|0.2</v>
          </cell>
          <cell r="T167">
            <v>10</v>
          </cell>
          <cell r="U167">
            <v>0</v>
          </cell>
          <cell r="V167">
            <v>0</v>
          </cell>
          <cell r="W167" t="str">
            <v>[]</v>
          </cell>
          <cell r="X167">
            <v>0</v>
          </cell>
          <cell r="Y167" t="str">
            <v>[]</v>
          </cell>
          <cell r="Z167" t="str">
            <v>[]</v>
          </cell>
          <cell r="AA167">
            <v>0</v>
          </cell>
          <cell r="AB167" t="str">
            <v>[]</v>
          </cell>
          <cell r="AC167" t="str">
            <v>[]</v>
          </cell>
          <cell r="AD167" t="str">
            <v>[]</v>
          </cell>
          <cell r="AE167" t="str">
            <v>[]</v>
          </cell>
          <cell r="AF167" t="str">
            <v>[]</v>
          </cell>
          <cell r="AG167" t="str">
            <v>[]</v>
          </cell>
          <cell r="AH167" t="str">
            <v>[]</v>
          </cell>
          <cell r="AI167" t="str">
            <v>[]</v>
          </cell>
          <cell r="AJ167" t="str">
            <v>[]</v>
          </cell>
          <cell r="AK167" t="str">
            <v>[]</v>
          </cell>
          <cell r="AL167" t="str">
            <v>gongsuupT3N0.15b</v>
          </cell>
          <cell r="AM167" t="str">
            <v>[]</v>
          </cell>
          <cell r="AN167">
            <v>0</v>
          </cell>
          <cell r="AO167" t="str">
            <v>[]</v>
          </cell>
          <cell r="AP167" t="str">
            <v>[]</v>
          </cell>
          <cell r="AQ167" t="str">
            <v>9015</v>
          </cell>
          <cell r="AR167" t="str">
            <v>[]</v>
          </cell>
          <cell r="AS167" t="str">
            <v>[]</v>
          </cell>
          <cell r="AT167" t="str">
            <v>9015</v>
          </cell>
          <cell r="AU167" t="str">
            <v>3390</v>
          </cell>
          <cell r="AV167" t="str">
            <v>鹿力大仙</v>
          </cell>
          <cell r="AW167" t="str">
            <v>03</v>
          </cell>
          <cell r="AX167">
            <v>1262</v>
          </cell>
          <cell r="AY167">
            <v>1</v>
          </cell>
          <cell r="BA167" t="str">
            <v>[]</v>
          </cell>
          <cell r="BE167" t="str">
            <v>[]</v>
          </cell>
          <cell r="BF167"/>
        </row>
        <row r="168">
          <cell r="A168" t="str">
            <v>lulidaxian_skill04</v>
          </cell>
          <cell r="B168" t="str">
            <v>璀璨星光</v>
          </cell>
          <cell r="C168" t="str">
            <v>快速舞动双环，对范围内敌人进行7次攻击，造成自身攻击力@s的物伤，并提升自身@s攻速，持续3秒</v>
          </cell>
          <cell r="D168">
            <v>1264</v>
          </cell>
          <cell r="E168">
            <v>2</v>
          </cell>
          <cell r="F168" t="str">
            <v>boss_warning_juxing</v>
          </cell>
          <cell r="G168" t="str">
            <v>鹿力大仙技能4</v>
          </cell>
          <cell r="H168" t="str">
            <v>lulidaxian_skill04</v>
          </cell>
          <cell r="I168" t="str">
            <v>[]</v>
          </cell>
          <cell r="J168">
            <v>3</v>
          </cell>
          <cell r="K168">
            <v>10</v>
          </cell>
          <cell r="L168" t="str">
            <v>[]</v>
          </cell>
          <cell r="M168">
            <v>2</v>
          </cell>
          <cell r="N168">
            <v>2</v>
          </cell>
          <cell r="O168">
            <v>1</v>
          </cell>
          <cell r="P168">
            <v>2</v>
          </cell>
          <cell r="Q168">
            <v>4</v>
          </cell>
          <cell r="R168" t="str">
            <v>2|1</v>
          </cell>
          <cell r="S168" t="str">
            <v>4|0.2</v>
          </cell>
          <cell r="T168">
            <v>10</v>
          </cell>
          <cell r="U168">
            <v>0</v>
          </cell>
          <cell r="V168">
            <v>0</v>
          </cell>
          <cell r="W168" t="str">
            <v>[]</v>
          </cell>
          <cell r="X168">
            <v>3</v>
          </cell>
          <cell r="Y168" t="str">
            <v>[]</v>
          </cell>
          <cell r="Z168" t="str">
            <v>0,3,0</v>
          </cell>
          <cell r="AA168">
            <v>0</v>
          </cell>
          <cell r="AB168">
            <v>6</v>
          </cell>
          <cell r="AC168" t="str">
            <v>[]</v>
          </cell>
          <cell r="AD168" t="str">
            <v>[]</v>
          </cell>
          <cell r="AE168" t="str">
            <v>[]</v>
          </cell>
          <cell r="AF168" t="str">
            <v>lulidaxian_skill04</v>
          </cell>
          <cell r="AG168" t="str">
            <v>common_hit_fashu</v>
          </cell>
          <cell r="AH168" t="str">
            <v>[]</v>
          </cell>
          <cell r="AI168" t="str">
            <v>[]</v>
          </cell>
          <cell r="AJ168" t="str">
            <v>[]</v>
          </cell>
          <cell r="AK168" t="str">
            <v>[]</v>
          </cell>
          <cell r="AL168" t="str">
            <v>gongsuupT3N0.15</v>
          </cell>
          <cell r="AM168" t="str">
            <v>[]</v>
          </cell>
          <cell r="AN168">
            <v>1</v>
          </cell>
          <cell r="AO168" t="str">
            <v>0.5,0.2,0.2,0.2,0.2,0.2,0.2</v>
          </cell>
          <cell r="AP168">
            <v>111404</v>
          </cell>
          <cell r="AQ168" t="str">
            <v>111404,9015</v>
          </cell>
          <cell r="AR168" t="str">
            <v>[]</v>
          </cell>
          <cell r="AS168" t="str">
            <v>[]</v>
          </cell>
          <cell r="AT168" t="str">
            <v>1114</v>
          </cell>
          <cell r="AU168" t="str">
            <v>3400</v>
          </cell>
          <cell r="AV168" t="str">
            <v>鹿力大仙</v>
          </cell>
          <cell r="AW168" t="str">
            <v>04</v>
          </cell>
          <cell r="AX168">
            <v>1264</v>
          </cell>
          <cell r="AY168">
            <v>7</v>
          </cell>
          <cell r="BA168" t="str">
            <v>[]</v>
          </cell>
          <cell r="BE168" t="str">
            <v>[]</v>
          </cell>
          <cell r="BF168"/>
        </row>
        <row r="169">
          <cell r="A169" t="str">
            <v>lulidaxian_skill011</v>
          </cell>
          <cell r="B169" t="str">
            <v>奥义·灵鹿赐福</v>
          </cell>
          <cell r="C169" t="str">
            <v>将灵力赋予全队，提升全体友军@s的攻击速度和@s的命中率，持续3秒</v>
          </cell>
          <cell r="D169">
            <v>1266</v>
          </cell>
          <cell r="E169">
            <v>0</v>
          </cell>
          <cell r="F169" t="str">
            <v>[]</v>
          </cell>
          <cell r="G169" t="str">
            <v>鹿力大仙核心技能</v>
          </cell>
          <cell r="H169" t="str">
            <v>lulidaxian_skill01</v>
          </cell>
          <cell r="I169" t="str">
            <v>lulidaxian_skill01</v>
          </cell>
          <cell r="J169">
            <v>0</v>
          </cell>
          <cell r="K169">
            <v>10</v>
          </cell>
          <cell r="L169" t="str">
            <v>1|14</v>
          </cell>
          <cell r="M169">
            <v>2</v>
          </cell>
          <cell r="N169">
            <v>2</v>
          </cell>
          <cell r="O169">
            <v>1</v>
          </cell>
          <cell r="P169">
            <v>4</v>
          </cell>
          <cell r="Q169">
            <v>12</v>
          </cell>
          <cell r="R169">
            <v>3</v>
          </cell>
          <cell r="S169">
            <v>5</v>
          </cell>
          <cell r="T169">
            <v>10</v>
          </cell>
          <cell r="U169">
            <v>0</v>
          </cell>
          <cell r="V169">
            <v>0</v>
          </cell>
          <cell r="W169" t="str">
            <v>[]</v>
          </cell>
          <cell r="X169">
            <v>0</v>
          </cell>
          <cell r="Y169" t="str">
            <v>[]</v>
          </cell>
          <cell r="Z169" t="str">
            <v>0,1,0</v>
          </cell>
          <cell r="AA169">
            <v>0</v>
          </cell>
          <cell r="AB169" t="str">
            <v>12</v>
          </cell>
          <cell r="AC169" t="str">
            <v>[]</v>
          </cell>
          <cell r="AD169" t="str">
            <v>[]</v>
          </cell>
          <cell r="AE169" t="str">
            <v>[]</v>
          </cell>
          <cell r="AF169" t="str">
            <v>lulidaxian_skill01_atc</v>
          </cell>
          <cell r="AG169" t="str">
            <v>lulidaxian_skill01</v>
          </cell>
          <cell r="AH169" t="str">
            <v>[]</v>
          </cell>
          <cell r="AI169" t="str">
            <v>[]</v>
          </cell>
          <cell r="AJ169" t="str">
            <v>[]</v>
          </cell>
          <cell r="AK169" t="str">
            <v>[]</v>
          </cell>
          <cell r="AL169" t="str">
            <v>[]</v>
          </cell>
          <cell r="AM169" t="str">
            <v>gongsuupT6N0.2,mingzhongupT6N0.2</v>
          </cell>
          <cell r="AN169">
            <v>1</v>
          </cell>
          <cell r="AO169">
            <v>0.6</v>
          </cell>
          <cell r="AP169" t="str">
            <v>[]</v>
          </cell>
          <cell r="AQ169" t="str">
            <v>9030,9030</v>
          </cell>
          <cell r="AR169" t="str">
            <v>[]</v>
          </cell>
          <cell r="AS169" t="str">
            <v>[]</v>
          </cell>
          <cell r="AT169" t="str">
            <v>9030</v>
          </cell>
          <cell r="AU169" t="str">
            <v>3370</v>
          </cell>
          <cell r="AV169" t="str">
            <v>鹿力大仙</v>
          </cell>
          <cell r="AW169" t="str">
            <v>11</v>
          </cell>
          <cell r="AX169">
            <v>1266</v>
          </cell>
          <cell r="AY169">
            <v>1</v>
          </cell>
          <cell r="BA169" t="str">
            <v>[]</v>
          </cell>
          <cell r="BE169" t="str">
            <v>[]</v>
          </cell>
          <cell r="BF169"/>
        </row>
        <row r="170">
          <cell r="A170" t="str">
            <v>lulidaxian_skill021</v>
          </cell>
          <cell r="B170" t="str">
            <v>奥义·反向刃杀</v>
          </cell>
          <cell r="C170" t="str">
            <v>掷出双环，对范围内敌人造成3次自身攻击力@s的物伤</v>
          </cell>
          <cell r="D170">
            <v>1268</v>
          </cell>
          <cell r="E170">
            <v>2</v>
          </cell>
          <cell r="F170" t="str">
            <v>boss_warning_juxing</v>
          </cell>
          <cell r="G170" t="str">
            <v>鹿力大仙技能2</v>
          </cell>
          <cell r="H170" t="str">
            <v>lulidaxian_skill02</v>
          </cell>
          <cell r="I170" t="str">
            <v>[]</v>
          </cell>
          <cell r="J170">
            <v>1</v>
          </cell>
          <cell r="K170">
            <v>10</v>
          </cell>
          <cell r="L170" t="str">
            <v>[]</v>
          </cell>
          <cell r="M170">
            <v>2</v>
          </cell>
          <cell r="N170">
            <v>2</v>
          </cell>
          <cell r="O170">
            <v>1</v>
          </cell>
          <cell r="P170">
            <v>2</v>
          </cell>
          <cell r="Q170">
            <v>4</v>
          </cell>
          <cell r="R170" t="str">
            <v>2|1</v>
          </cell>
          <cell r="S170" t="str">
            <v>1|10|6</v>
          </cell>
          <cell r="T170">
            <v>10</v>
          </cell>
          <cell r="U170">
            <v>0</v>
          </cell>
          <cell r="V170">
            <v>0</v>
          </cell>
          <cell r="W170" t="str">
            <v>[]</v>
          </cell>
          <cell r="X170">
            <v>3</v>
          </cell>
          <cell r="Y170" t="str">
            <v>[]</v>
          </cell>
          <cell r="Z170" t="str">
            <v>0,1.8,0</v>
          </cell>
          <cell r="AA170">
            <v>0</v>
          </cell>
          <cell r="AB170">
            <v>6</v>
          </cell>
          <cell r="AC170" t="str">
            <v>[]</v>
          </cell>
          <cell r="AD170" t="str">
            <v>[]</v>
          </cell>
          <cell r="AE170" t="str">
            <v>[]</v>
          </cell>
          <cell r="AF170" t="str">
            <v>lulidaxian_skill02</v>
          </cell>
          <cell r="AG170" t="str">
            <v>common_hit_fashu</v>
          </cell>
          <cell r="AH170" t="str">
            <v>[]</v>
          </cell>
          <cell r="AI170" t="str">
            <v>[]</v>
          </cell>
          <cell r="AJ170" t="str">
            <v>[]</v>
          </cell>
          <cell r="AK170" t="str">
            <v>[]</v>
          </cell>
          <cell r="AL170" t="str">
            <v>[]</v>
          </cell>
          <cell r="AM170" t="str">
            <v>[]</v>
          </cell>
          <cell r="AN170">
            <v>1</v>
          </cell>
          <cell r="AO170" t="str">
            <v>0.9,0.1,0.1</v>
          </cell>
          <cell r="AP170">
            <v>111406</v>
          </cell>
          <cell r="AQ170" t="str">
            <v>111406</v>
          </cell>
          <cell r="AR170" t="str">
            <v>[]</v>
          </cell>
          <cell r="AS170" t="str">
            <v>[]</v>
          </cell>
          <cell r="AT170" t="str">
            <v>1114</v>
          </cell>
          <cell r="AU170" t="str">
            <v>3380</v>
          </cell>
          <cell r="AV170" t="str">
            <v>鹿力大仙</v>
          </cell>
          <cell r="AW170" t="str">
            <v>21</v>
          </cell>
          <cell r="AX170">
            <v>1268</v>
          </cell>
          <cell r="AY170">
            <v>3</v>
          </cell>
          <cell r="BA170" t="str">
            <v>[]</v>
          </cell>
          <cell r="BE170" t="str">
            <v>[]</v>
          </cell>
          <cell r="BF170"/>
        </row>
        <row r="171">
          <cell r="A171" t="str">
            <v>lulidaxian_skill041</v>
          </cell>
          <cell r="B171" t="str">
            <v>奥义·璀璨星光</v>
          </cell>
          <cell r="C171" t="str">
            <v>快速舞动双环，对范围内敌人进行7次攻击，造成自身攻击力@s的物伤，并提升自身@s攻速，持续3秒</v>
          </cell>
          <cell r="D171">
            <v>1270</v>
          </cell>
          <cell r="E171">
            <v>2</v>
          </cell>
          <cell r="F171" t="str">
            <v>boss_warning_juxing</v>
          </cell>
          <cell r="G171" t="str">
            <v>鹿力大仙技能4</v>
          </cell>
          <cell r="H171" t="str">
            <v>lulidaxian_skill04</v>
          </cell>
          <cell r="I171" t="str">
            <v>[]</v>
          </cell>
          <cell r="J171">
            <v>3</v>
          </cell>
          <cell r="K171">
            <v>10</v>
          </cell>
          <cell r="L171" t="str">
            <v>[]</v>
          </cell>
          <cell r="M171">
            <v>2</v>
          </cell>
          <cell r="N171">
            <v>2</v>
          </cell>
          <cell r="O171">
            <v>1</v>
          </cell>
          <cell r="P171">
            <v>2</v>
          </cell>
          <cell r="Q171">
            <v>4</v>
          </cell>
          <cell r="R171" t="str">
            <v>2|1</v>
          </cell>
          <cell r="S171" t="str">
            <v>4|0.2</v>
          </cell>
          <cell r="T171">
            <v>10</v>
          </cell>
          <cell r="U171">
            <v>1</v>
          </cell>
          <cell r="V171">
            <v>0</v>
          </cell>
          <cell r="W171" t="str">
            <v>[]</v>
          </cell>
          <cell r="X171">
            <v>3</v>
          </cell>
          <cell r="Y171" t="str">
            <v>[]</v>
          </cell>
          <cell r="Z171" t="str">
            <v>0,2.0,0</v>
          </cell>
          <cell r="AA171">
            <v>0</v>
          </cell>
          <cell r="AB171">
            <v>6</v>
          </cell>
          <cell r="AC171" t="str">
            <v>[]</v>
          </cell>
          <cell r="AD171" t="str">
            <v>[]</v>
          </cell>
          <cell r="AE171" t="str">
            <v>[]</v>
          </cell>
          <cell r="AF171" t="str">
            <v>lulidaxian_skill04</v>
          </cell>
          <cell r="AG171" t="str">
            <v>common_hit_fashu</v>
          </cell>
          <cell r="AH171" t="str">
            <v>[]</v>
          </cell>
          <cell r="AI171" t="str">
            <v>[]</v>
          </cell>
          <cell r="AJ171" t="str">
            <v>[]</v>
          </cell>
          <cell r="AK171" t="str">
            <v>[]</v>
          </cell>
          <cell r="AL171" t="str">
            <v>gongsuupT3N0.15</v>
          </cell>
          <cell r="AM171" t="str">
            <v>[]</v>
          </cell>
          <cell r="AN171">
            <v>1</v>
          </cell>
          <cell r="AO171" t="str">
            <v>0.5,0.2,0.2,0.2,0.2,0.2,0.2</v>
          </cell>
          <cell r="AP171">
            <v>111407</v>
          </cell>
          <cell r="AQ171" t="str">
            <v>111407,9015</v>
          </cell>
          <cell r="AR171" t="str">
            <v>[]</v>
          </cell>
          <cell r="AS171" t="str">
            <v>[]</v>
          </cell>
          <cell r="AT171" t="str">
            <v>1114</v>
          </cell>
          <cell r="AU171" t="str">
            <v>3400</v>
          </cell>
          <cell r="AV171" t="str">
            <v>鹿力大仙</v>
          </cell>
          <cell r="AW171" t="str">
            <v>41</v>
          </cell>
          <cell r="AX171">
            <v>1270</v>
          </cell>
          <cell r="AY171">
            <v>7</v>
          </cell>
          <cell r="BA171" t="str">
            <v>[]</v>
          </cell>
          <cell r="BE171" t="str">
            <v>[]</v>
          </cell>
          <cell r="BF171"/>
        </row>
        <row r="172">
          <cell r="A172" t="str">
            <v>yanglidaxian_attack</v>
          </cell>
          <cell r="B172" t="str">
            <v>羊力大仙普攻</v>
          </cell>
          <cell r="C172" t="str">
            <v>普攻</v>
          </cell>
          <cell r="D172" t="str">
            <v>[]</v>
          </cell>
          <cell r="E172">
            <v>0</v>
          </cell>
          <cell r="F172" t="str">
            <v>[]</v>
          </cell>
          <cell r="G172" t="str">
            <v>羊力大仙远程攻击</v>
          </cell>
          <cell r="H172" t="str">
            <v>[]</v>
          </cell>
          <cell r="I172" t="str">
            <v>[]</v>
          </cell>
          <cell r="J172">
            <v>0</v>
          </cell>
          <cell r="K172">
            <v>1</v>
          </cell>
          <cell r="L172" t="str">
            <v>[]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10</v>
          </cell>
          <cell r="R172" t="str">
            <v>2|1</v>
          </cell>
          <cell r="S172" t="str">
            <v>4|0.2</v>
          </cell>
          <cell r="T172">
            <v>1</v>
          </cell>
          <cell r="U172">
            <v>1</v>
          </cell>
          <cell r="V172">
            <v>0</v>
          </cell>
          <cell r="W172" t="str">
            <v>[]</v>
          </cell>
          <cell r="X172">
            <v>0</v>
          </cell>
          <cell r="Y172" t="str">
            <v>[]</v>
          </cell>
          <cell r="Z172" t="str">
            <v>0,1,0</v>
          </cell>
          <cell r="AA172">
            <v>0</v>
          </cell>
          <cell r="AB172" t="str">
            <v>[]</v>
          </cell>
          <cell r="AC172" t="str">
            <v>[]</v>
          </cell>
          <cell r="AD172" t="str">
            <v>[]</v>
          </cell>
          <cell r="AE172" t="str">
            <v>[]</v>
          </cell>
          <cell r="AF172" t="str">
            <v>yanglidaxian_attack</v>
          </cell>
          <cell r="AG172" t="str">
            <v>common_hit_fashu</v>
          </cell>
          <cell r="AH172" t="str">
            <v>[]</v>
          </cell>
          <cell r="AI172" t="str">
            <v>[]</v>
          </cell>
          <cell r="AJ172" t="str">
            <v>[]</v>
          </cell>
          <cell r="AK172" t="str">
            <v>[]</v>
          </cell>
          <cell r="AL172" t="str">
            <v>[]</v>
          </cell>
          <cell r="AM172" t="str">
            <v>[]</v>
          </cell>
          <cell r="AN172">
            <v>2</v>
          </cell>
          <cell r="AO172" t="str">
            <v>[]</v>
          </cell>
          <cell r="AP172">
            <v>111500</v>
          </cell>
          <cell r="AQ172" t="str">
            <v>111500</v>
          </cell>
          <cell r="AR172" t="str">
            <v>[]</v>
          </cell>
          <cell r="AS172" t="str">
            <v>[]</v>
          </cell>
          <cell r="AT172" t="str">
            <v>1115</v>
          </cell>
          <cell r="AU172" t="str">
            <v>3410</v>
          </cell>
          <cell r="AV172" t="str">
            <v>羊力大仙远程攻击</v>
          </cell>
          <cell r="AW172" t="str">
            <v>ck</v>
          </cell>
          <cell r="AX172" t="str">
            <v>[]</v>
          </cell>
          <cell r="AY172">
            <v>1</v>
          </cell>
          <cell r="BA172" t="str">
            <v>[]</v>
          </cell>
          <cell r="BE172" t="str">
            <v>[]</v>
          </cell>
          <cell r="BF172"/>
        </row>
        <row r="173">
          <cell r="A173" t="str">
            <v>yanglidaxian_skill01</v>
          </cell>
          <cell r="B173" t="str">
            <v>万物复苏</v>
          </cell>
          <cell r="C173" t="str">
            <v>施展万物复苏之法，治疗全体友军，每0.5秒恢复主角攻击力@s的生命值，持续3秒</v>
          </cell>
          <cell r="D173" t="str">
            <v>[]</v>
          </cell>
          <cell r="E173">
            <v>0</v>
          </cell>
          <cell r="F173" t="str">
            <v>[]</v>
          </cell>
          <cell r="G173" t="str">
            <v>羊力大仙核心技能</v>
          </cell>
          <cell r="H173" t="str">
            <v>yanglidaxian_skill01</v>
          </cell>
          <cell r="I173" t="str">
            <v>yanglidaxian_skill01</v>
          </cell>
          <cell r="J173">
            <v>0</v>
          </cell>
          <cell r="K173">
            <v>10</v>
          </cell>
          <cell r="L173" t="str">
            <v>1|15</v>
          </cell>
          <cell r="M173">
            <v>2</v>
          </cell>
          <cell r="N173">
            <v>2</v>
          </cell>
          <cell r="O173">
            <v>2</v>
          </cell>
          <cell r="P173">
            <v>5</v>
          </cell>
          <cell r="Q173">
            <v>12</v>
          </cell>
          <cell r="R173">
            <v>3</v>
          </cell>
          <cell r="S173" t="str">
            <v>2|20</v>
          </cell>
          <cell r="T173">
            <v>10</v>
          </cell>
          <cell r="U173">
            <v>0</v>
          </cell>
          <cell r="V173">
            <v>0</v>
          </cell>
          <cell r="W173" t="str">
            <v>[]</v>
          </cell>
          <cell r="X173">
            <v>0</v>
          </cell>
          <cell r="Y173" t="str">
            <v>[]</v>
          </cell>
          <cell r="Z173" t="str">
            <v>0,1,0</v>
          </cell>
          <cell r="AA173">
            <v>0</v>
          </cell>
          <cell r="AB173" t="str">
            <v>12</v>
          </cell>
          <cell r="AC173" t="str">
            <v>[]</v>
          </cell>
          <cell r="AD173" t="str">
            <v>[]</v>
          </cell>
          <cell r="AE173" t="str">
            <v>[]</v>
          </cell>
          <cell r="AF173" t="str">
            <v>yanglidaxian_skill01</v>
          </cell>
          <cell r="AG173" t="str">
            <v>respond_hp</v>
          </cell>
          <cell r="AH173" t="str">
            <v>[]</v>
          </cell>
          <cell r="AI173" t="str">
            <v>[]</v>
          </cell>
          <cell r="AJ173" t="str">
            <v>[]</v>
          </cell>
          <cell r="AK173" t="str">
            <v>[]</v>
          </cell>
          <cell r="AL173" t="str">
            <v>[]</v>
          </cell>
          <cell r="AM173" t="str">
            <v>huifuT3N0.4</v>
          </cell>
          <cell r="AN173">
            <v>2</v>
          </cell>
          <cell r="AO173">
            <v>0.7</v>
          </cell>
          <cell r="AP173" t="str">
            <v>[]</v>
          </cell>
          <cell r="AQ173" t="str">
            <v>9040</v>
          </cell>
          <cell r="AR173" t="str">
            <v>[]</v>
          </cell>
          <cell r="AS173" t="str">
            <v>[]</v>
          </cell>
          <cell r="AT173" t="str">
            <v>1115</v>
          </cell>
          <cell r="AU173" t="str">
            <v>3420</v>
          </cell>
          <cell r="AV173" t="str">
            <v>羊力大仙</v>
          </cell>
          <cell r="AW173" t="str">
            <v>01</v>
          </cell>
          <cell r="AX173" t="str">
            <v>[]</v>
          </cell>
          <cell r="AY173">
            <v>1</v>
          </cell>
          <cell r="BA173" t="str">
            <v>[]</v>
          </cell>
          <cell r="BE173" t="str">
            <v>[]</v>
          </cell>
          <cell r="BF173"/>
        </row>
        <row r="174">
          <cell r="A174" t="str">
            <v>yanglidaxian_skill02</v>
          </cell>
          <cell r="B174" t="str">
            <v>治愈之光</v>
          </cell>
          <cell r="C174" t="str">
            <v>为生命值百分比最低的友军释放治愈之光，恢复自身攻击力@s的生命值，并清除一个不利状态</v>
          </cell>
          <cell r="D174" t="str">
            <v>[]</v>
          </cell>
          <cell r="E174">
            <v>0</v>
          </cell>
          <cell r="F174" t="str">
            <v>[]</v>
          </cell>
          <cell r="G174" t="str">
            <v>羊力大仙技能2</v>
          </cell>
          <cell r="H174" t="str">
            <v>yanglidaxian_skill02</v>
          </cell>
          <cell r="I174" t="str">
            <v>[]</v>
          </cell>
          <cell r="J174">
            <v>1</v>
          </cell>
          <cell r="K174">
            <v>10</v>
          </cell>
          <cell r="L174" t="str">
            <v>[]</v>
          </cell>
          <cell r="M174">
            <v>2</v>
          </cell>
          <cell r="N174">
            <v>2</v>
          </cell>
          <cell r="O174">
            <v>1</v>
          </cell>
          <cell r="P174">
            <v>5</v>
          </cell>
          <cell r="Q174">
            <v>12</v>
          </cell>
          <cell r="R174">
            <v>3</v>
          </cell>
          <cell r="S174">
            <v>7</v>
          </cell>
          <cell r="T174">
            <v>1</v>
          </cell>
          <cell r="U174">
            <v>0</v>
          </cell>
          <cell r="V174">
            <v>0</v>
          </cell>
          <cell r="W174" t="str">
            <v>[]</v>
          </cell>
          <cell r="X174">
            <v>3</v>
          </cell>
          <cell r="Y174" t="str">
            <v>[]</v>
          </cell>
          <cell r="Z174" t="str">
            <v>0,1.667,0</v>
          </cell>
          <cell r="AA174">
            <v>0</v>
          </cell>
          <cell r="AB174">
            <v>12</v>
          </cell>
          <cell r="AC174" t="str">
            <v>[]</v>
          </cell>
          <cell r="AD174" t="str">
            <v>[]</v>
          </cell>
          <cell r="AE174" t="str">
            <v>[]</v>
          </cell>
          <cell r="AF174" t="str">
            <v>yanglidaxian_skill02_atk</v>
          </cell>
          <cell r="AG174" t="str">
            <v>yanglidaxian_skill02</v>
          </cell>
          <cell r="AH174" t="str">
            <v>[]</v>
          </cell>
          <cell r="AI174" t="str">
            <v>[]</v>
          </cell>
          <cell r="AJ174" t="str">
            <v>[]</v>
          </cell>
          <cell r="AK174" t="str">
            <v>jinghuaTN1P1</v>
          </cell>
          <cell r="AL174" t="str">
            <v>[]</v>
          </cell>
          <cell r="AM174" t="str">
            <v>[]</v>
          </cell>
          <cell r="AN174">
            <v>1</v>
          </cell>
          <cell r="AO174">
            <v>0.5</v>
          </cell>
          <cell r="AP174">
            <v>111502</v>
          </cell>
          <cell r="AQ174" t="str">
            <v>111502</v>
          </cell>
          <cell r="AR174" t="str">
            <v>[]</v>
          </cell>
          <cell r="AS174" t="str">
            <v>[]</v>
          </cell>
          <cell r="AT174" t="str">
            <v>1115</v>
          </cell>
          <cell r="AU174" t="str">
            <v>3430</v>
          </cell>
          <cell r="AV174" t="str">
            <v>羊力大仙</v>
          </cell>
          <cell r="AW174" t="str">
            <v>02</v>
          </cell>
          <cell r="AX174" t="str">
            <v>[]</v>
          </cell>
          <cell r="AY174">
            <v>1</v>
          </cell>
          <cell r="BA174" t="str">
            <v>[]</v>
          </cell>
          <cell r="BE174" t="str">
            <v>[]</v>
          </cell>
          <cell r="BF174"/>
        </row>
        <row r="175">
          <cell r="A175" t="str">
            <v>yanglidaxian_skill03</v>
          </cell>
          <cell r="B175" t="str">
            <v>春风化物</v>
          </cell>
          <cell r="C175" t="str">
            <v>进入战斗场景时，降低全体友军受到的伤害@s</v>
          </cell>
          <cell r="D175">
            <v>1262</v>
          </cell>
          <cell r="E175">
            <v>0</v>
          </cell>
          <cell r="F175" t="str">
            <v>[]</v>
          </cell>
          <cell r="G175" t="str">
            <v>羊力大仙被动技能</v>
          </cell>
          <cell r="H175" t="str">
            <v>fagong</v>
          </cell>
          <cell r="I175" t="str">
            <v>[]</v>
          </cell>
          <cell r="J175">
            <v>2</v>
          </cell>
          <cell r="K175">
            <v>10</v>
          </cell>
          <cell r="L175" t="str">
            <v>[]</v>
          </cell>
          <cell r="M175">
            <v>2</v>
          </cell>
          <cell r="N175">
            <v>2</v>
          </cell>
          <cell r="O175">
            <v>3</v>
          </cell>
          <cell r="P175">
            <v>0</v>
          </cell>
          <cell r="Q175">
            <v>12</v>
          </cell>
          <cell r="R175">
            <v>3</v>
          </cell>
          <cell r="S175">
            <v>5</v>
          </cell>
          <cell r="T175">
            <v>10</v>
          </cell>
          <cell r="U175">
            <v>0</v>
          </cell>
          <cell r="V175">
            <v>0</v>
          </cell>
          <cell r="W175" t="str">
            <v>[]</v>
          </cell>
          <cell r="X175">
            <v>0</v>
          </cell>
          <cell r="Y175" t="str">
            <v>[]</v>
          </cell>
          <cell r="Z175" t="str">
            <v>0,0,0</v>
          </cell>
          <cell r="AA175">
            <v>0</v>
          </cell>
          <cell r="AB175" t="str">
            <v>[]</v>
          </cell>
          <cell r="AC175" t="str">
            <v>[]</v>
          </cell>
          <cell r="AD175" t="str">
            <v>[]</v>
          </cell>
          <cell r="AE175" t="str">
            <v>[]</v>
          </cell>
          <cell r="AF175" t="str">
            <v>[]</v>
          </cell>
          <cell r="AG175" t="str">
            <v>[]</v>
          </cell>
          <cell r="AH175" t="str">
            <v>[]</v>
          </cell>
          <cell r="AI175" t="str">
            <v>[]</v>
          </cell>
          <cell r="AJ175" t="str">
            <v>jianshang10_higheff</v>
          </cell>
          <cell r="AK175" t="str">
            <v>[]</v>
          </cell>
          <cell r="AL175" t="str">
            <v>[]</v>
          </cell>
          <cell r="AM175" t="str">
            <v>[]</v>
          </cell>
          <cell r="AN175">
            <v>0</v>
          </cell>
          <cell r="AO175" t="str">
            <v>[]</v>
          </cell>
          <cell r="AP175" t="str">
            <v>[]</v>
          </cell>
          <cell r="AQ175" t="str">
            <v>9010</v>
          </cell>
          <cell r="AR175" t="str">
            <v>[]</v>
          </cell>
          <cell r="AS175" t="str">
            <v>[]</v>
          </cell>
          <cell r="AT175" t="str">
            <v>9010</v>
          </cell>
          <cell r="AU175" t="str">
            <v>3440</v>
          </cell>
          <cell r="AV175" t="str">
            <v>羊力大仙</v>
          </cell>
          <cell r="AW175" t="str">
            <v>03</v>
          </cell>
          <cell r="AX175">
            <v>1262</v>
          </cell>
          <cell r="AY175">
            <v>1</v>
          </cell>
          <cell r="BA175" t="str">
            <v>[]</v>
          </cell>
          <cell r="BE175" t="str">
            <v>[]</v>
          </cell>
          <cell r="BF175"/>
        </row>
        <row r="176">
          <cell r="A176" t="str">
            <v>yanglidaxian_skill04</v>
          </cell>
          <cell r="B176" t="str">
            <v>灵能法球</v>
          </cell>
          <cell r="C176" t="str">
            <v>释放灵能，对全体友军每0.5秒产生相当于自身攻击力@s的治疗效果，持续3秒</v>
          </cell>
          <cell r="D176">
            <v>1264</v>
          </cell>
          <cell r="E176">
            <v>1</v>
          </cell>
          <cell r="F176" t="str">
            <v>boss_warning_juxing</v>
          </cell>
          <cell r="G176" t="str">
            <v>羊力大仙技能4</v>
          </cell>
          <cell r="H176" t="str">
            <v>yanglidaxian_skill04</v>
          </cell>
          <cell r="I176" t="str">
            <v>[]</v>
          </cell>
          <cell r="J176">
            <v>3</v>
          </cell>
          <cell r="K176">
            <v>10</v>
          </cell>
          <cell r="L176" t="str">
            <v>[]</v>
          </cell>
          <cell r="M176">
            <v>2</v>
          </cell>
          <cell r="N176">
            <v>2</v>
          </cell>
          <cell r="O176">
            <v>1</v>
          </cell>
          <cell r="P176">
            <v>5</v>
          </cell>
          <cell r="Q176">
            <v>12</v>
          </cell>
          <cell r="R176">
            <v>3</v>
          </cell>
          <cell r="S176" t="str">
            <v>2|10</v>
          </cell>
          <cell r="T176">
            <v>10</v>
          </cell>
          <cell r="U176">
            <v>0</v>
          </cell>
          <cell r="V176">
            <v>0</v>
          </cell>
          <cell r="W176" t="str">
            <v>[]</v>
          </cell>
          <cell r="X176">
            <v>3</v>
          </cell>
          <cell r="Y176" t="str">
            <v>[]</v>
          </cell>
          <cell r="Z176" t="str">
            <v>0,0.6,0.4</v>
          </cell>
          <cell r="AA176">
            <v>0</v>
          </cell>
          <cell r="AB176">
            <v>12</v>
          </cell>
          <cell r="AC176" t="str">
            <v>[]</v>
          </cell>
          <cell r="AD176" t="str">
            <v>[]</v>
          </cell>
          <cell r="AE176" t="str">
            <v>[]</v>
          </cell>
          <cell r="AF176" t="str">
            <v>yanglidaxian_skill04_f</v>
          </cell>
          <cell r="AG176" t="str">
            <v>yanglidaxian_skill04_b</v>
          </cell>
          <cell r="AH176" t="str">
            <v>[]</v>
          </cell>
          <cell r="AI176" t="str">
            <v>[]</v>
          </cell>
          <cell r="AJ176" t="str">
            <v>[]</v>
          </cell>
          <cell r="AK176" t="str">
            <v>[]</v>
          </cell>
          <cell r="AL176" t="str">
            <v>[]</v>
          </cell>
          <cell r="AM176" t="str">
            <v>huifuT3N0.25</v>
          </cell>
          <cell r="AN176">
            <v>2</v>
          </cell>
          <cell r="AO176">
            <v>1</v>
          </cell>
          <cell r="AP176" t="str">
            <v>[]</v>
          </cell>
          <cell r="AQ176" t="str">
            <v>9025</v>
          </cell>
          <cell r="AR176" t="str">
            <v>[]</v>
          </cell>
          <cell r="AS176" t="str">
            <v>[]</v>
          </cell>
          <cell r="AT176" t="str">
            <v>1115</v>
          </cell>
          <cell r="AU176" t="str">
            <v>3450</v>
          </cell>
          <cell r="AV176" t="str">
            <v>羊力大仙</v>
          </cell>
          <cell r="AW176" t="str">
            <v>04</v>
          </cell>
          <cell r="AX176">
            <v>1264</v>
          </cell>
          <cell r="AY176">
            <v>1</v>
          </cell>
          <cell r="BA176" t="str">
            <v>[]</v>
          </cell>
          <cell r="BE176" t="str">
            <v>[]</v>
          </cell>
          <cell r="BF176"/>
        </row>
        <row r="177">
          <cell r="A177" t="str">
            <v>yanglidaxian_skill011</v>
          </cell>
          <cell r="B177" t="str">
            <v>奥义·万物复苏</v>
          </cell>
          <cell r="C177" t="str">
            <v>施展万物复苏之法，治疗全体友军，每0.5秒恢复主角攻击力@s的生命值，持续3秒</v>
          </cell>
          <cell r="D177">
            <v>1266</v>
          </cell>
          <cell r="E177">
            <v>0</v>
          </cell>
          <cell r="F177" t="str">
            <v>[]</v>
          </cell>
          <cell r="G177" t="str">
            <v>羊力大仙核心技能</v>
          </cell>
          <cell r="H177" t="str">
            <v>yanglidaxian_skill01</v>
          </cell>
          <cell r="I177" t="str">
            <v>yanglidaxian_skill01</v>
          </cell>
          <cell r="J177">
            <v>0</v>
          </cell>
          <cell r="K177">
            <v>10</v>
          </cell>
          <cell r="L177" t="str">
            <v>1|15</v>
          </cell>
          <cell r="M177">
            <v>2</v>
          </cell>
          <cell r="N177">
            <v>2</v>
          </cell>
          <cell r="O177">
            <v>2</v>
          </cell>
          <cell r="P177">
            <v>5</v>
          </cell>
          <cell r="Q177">
            <v>12</v>
          </cell>
          <cell r="R177">
            <v>3</v>
          </cell>
          <cell r="S177" t="str">
            <v>2|20</v>
          </cell>
          <cell r="T177">
            <v>10</v>
          </cell>
          <cell r="U177">
            <v>0</v>
          </cell>
          <cell r="V177">
            <v>0</v>
          </cell>
          <cell r="W177" t="str">
            <v>[]</v>
          </cell>
          <cell r="X177">
            <v>0</v>
          </cell>
          <cell r="Y177" t="str">
            <v>[]</v>
          </cell>
          <cell r="Z177" t="str">
            <v>0,1,0</v>
          </cell>
          <cell r="AA177">
            <v>0</v>
          </cell>
          <cell r="AB177" t="str">
            <v>12</v>
          </cell>
          <cell r="AC177" t="str">
            <v>[]</v>
          </cell>
          <cell r="AD177" t="str">
            <v>[]</v>
          </cell>
          <cell r="AE177" t="str">
            <v>[]</v>
          </cell>
          <cell r="AF177" t="str">
            <v>yanglidaxian_skill01</v>
          </cell>
          <cell r="AG177" t="str">
            <v>respond_hp</v>
          </cell>
          <cell r="AH177" t="str">
            <v>[]</v>
          </cell>
          <cell r="AI177" t="str">
            <v>[]</v>
          </cell>
          <cell r="AJ177" t="str">
            <v>[]</v>
          </cell>
          <cell r="AK177" t="str">
            <v>[]</v>
          </cell>
          <cell r="AL177" t="str">
            <v>[]</v>
          </cell>
          <cell r="AM177" t="str">
            <v>huifuT3N0.5</v>
          </cell>
          <cell r="AN177">
            <v>2</v>
          </cell>
          <cell r="AO177">
            <v>0.7</v>
          </cell>
          <cell r="AP177" t="str">
            <v>[]</v>
          </cell>
          <cell r="AQ177" t="str">
            <v>9050</v>
          </cell>
          <cell r="AR177" t="str">
            <v>[]</v>
          </cell>
          <cell r="AS177" t="str">
            <v>[]</v>
          </cell>
          <cell r="AT177" t="str">
            <v>1115</v>
          </cell>
          <cell r="AU177" t="str">
            <v>3420</v>
          </cell>
          <cell r="AV177" t="str">
            <v>羊力大仙</v>
          </cell>
          <cell r="AW177" t="str">
            <v>11</v>
          </cell>
          <cell r="AX177">
            <v>1266</v>
          </cell>
          <cell r="AY177">
            <v>1</v>
          </cell>
          <cell r="BA177" t="str">
            <v>[]</v>
          </cell>
          <cell r="BE177" t="str">
            <v>[]</v>
          </cell>
          <cell r="BF177"/>
        </row>
        <row r="178">
          <cell r="A178" t="str">
            <v>yanglidaxian_skill021</v>
          </cell>
          <cell r="B178" t="str">
            <v>奥义·治愈之光</v>
          </cell>
          <cell r="C178" t="str">
            <v>为生命值百分比最低的友军释放治愈之光，恢复自身攻击力@s的生命值，并清除所有不利状态</v>
          </cell>
          <cell r="D178">
            <v>1268</v>
          </cell>
          <cell r="E178">
            <v>0</v>
          </cell>
          <cell r="F178" t="str">
            <v>[]</v>
          </cell>
          <cell r="G178" t="str">
            <v>羊力大仙技能2</v>
          </cell>
          <cell r="H178" t="str">
            <v>yanglidaxian_skill02</v>
          </cell>
          <cell r="I178" t="str">
            <v>[]</v>
          </cell>
          <cell r="J178">
            <v>1</v>
          </cell>
          <cell r="K178">
            <v>10</v>
          </cell>
          <cell r="L178" t="str">
            <v>[]</v>
          </cell>
          <cell r="M178">
            <v>2</v>
          </cell>
          <cell r="N178">
            <v>2</v>
          </cell>
          <cell r="O178">
            <v>1</v>
          </cell>
          <cell r="P178">
            <v>5</v>
          </cell>
          <cell r="Q178">
            <v>12</v>
          </cell>
          <cell r="R178">
            <v>3</v>
          </cell>
          <cell r="S178">
            <v>7</v>
          </cell>
          <cell r="T178">
            <v>1</v>
          </cell>
          <cell r="U178">
            <v>0</v>
          </cell>
          <cell r="V178">
            <v>0</v>
          </cell>
          <cell r="W178" t="str">
            <v>[]</v>
          </cell>
          <cell r="X178">
            <v>3</v>
          </cell>
          <cell r="Y178" t="str">
            <v>[]</v>
          </cell>
          <cell r="Z178" t="str">
            <v>0,1.667,0</v>
          </cell>
          <cell r="AA178">
            <v>0</v>
          </cell>
          <cell r="AB178">
            <v>12</v>
          </cell>
          <cell r="AC178" t="str">
            <v>[]</v>
          </cell>
          <cell r="AD178" t="str">
            <v>[]</v>
          </cell>
          <cell r="AE178" t="str">
            <v>[]</v>
          </cell>
          <cell r="AF178" t="str">
            <v>yanglidaxian_skill02_atk</v>
          </cell>
          <cell r="AG178" t="str">
            <v>yanglidaxian_skill02</v>
          </cell>
          <cell r="AH178" t="str">
            <v>[]</v>
          </cell>
          <cell r="AI178" t="str">
            <v>[]</v>
          </cell>
          <cell r="AJ178" t="str">
            <v>[]</v>
          </cell>
          <cell r="AK178" t="str">
            <v>jinghuaTN99P1</v>
          </cell>
          <cell r="AL178" t="str">
            <v>[]</v>
          </cell>
          <cell r="AM178" t="str">
            <v>[]</v>
          </cell>
          <cell r="AN178">
            <v>1</v>
          </cell>
          <cell r="AO178">
            <v>0.5</v>
          </cell>
          <cell r="AP178">
            <v>111506</v>
          </cell>
          <cell r="AQ178" t="str">
            <v>111506</v>
          </cell>
          <cell r="AR178" t="str">
            <v>[]</v>
          </cell>
          <cell r="AS178" t="str">
            <v>[]</v>
          </cell>
          <cell r="AT178" t="str">
            <v>1115</v>
          </cell>
          <cell r="AU178" t="str">
            <v>3430</v>
          </cell>
          <cell r="AV178" t="str">
            <v>羊力大仙</v>
          </cell>
          <cell r="AW178" t="str">
            <v>21</v>
          </cell>
          <cell r="AX178">
            <v>1268</v>
          </cell>
          <cell r="AY178">
            <v>1</v>
          </cell>
          <cell r="BA178" t="str">
            <v>[]</v>
          </cell>
          <cell r="BE178" t="str">
            <v>[]</v>
          </cell>
          <cell r="BF178"/>
        </row>
        <row r="179">
          <cell r="A179" t="str">
            <v>yanglidaxian_skill041</v>
          </cell>
          <cell r="B179" t="str">
            <v>奥义·灵能法球</v>
          </cell>
          <cell r="C179" t="str">
            <v>释放灵能，对全体友军每0.5秒产生相当于自身攻击力@s的治疗效果，持续3秒</v>
          </cell>
          <cell r="D179">
            <v>1270</v>
          </cell>
          <cell r="E179">
            <v>1</v>
          </cell>
          <cell r="F179" t="str">
            <v>boss_warning_juxing</v>
          </cell>
          <cell r="G179" t="str">
            <v>羊力大仙技能4</v>
          </cell>
          <cell r="H179" t="str">
            <v>yanglidaxian_skill04</v>
          </cell>
          <cell r="I179" t="str">
            <v>[]</v>
          </cell>
          <cell r="J179">
            <v>3</v>
          </cell>
          <cell r="K179">
            <v>10</v>
          </cell>
          <cell r="L179" t="str">
            <v>[]</v>
          </cell>
          <cell r="M179">
            <v>2</v>
          </cell>
          <cell r="N179">
            <v>2</v>
          </cell>
          <cell r="O179">
            <v>1</v>
          </cell>
          <cell r="P179">
            <v>5</v>
          </cell>
          <cell r="Q179">
            <v>12</v>
          </cell>
          <cell r="R179">
            <v>3</v>
          </cell>
          <cell r="S179" t="str">
            <v>2|10</v>
          </cell>
          <cell r="T179">
            <v>10</v>
          </cell>
          <cell r="U179">
            <v>0</v>
          </cell>
          <cell r="V179">
            <v>0</v>
          </cell>
          <cell r="W179" t="str">
            <v>[]</v>
          </cell>
          <cell r="X179">
            <v>3</v>
          </cell>
          <cell r="Y179" t="str">
            <v>[]</v>
          </cell>
          <cell r="Z179" t="str">
            <v>0,0.6,0.4</v>
          </cell>
          <cell r="AA179">
            <v>0</v>
          </cell>
          <cell r="AB179">
            <v>12</v>
          </cell>
          <cell r="AC179" t="str">
            <v>[]</v>
          </cell>
          <cell r="AD179" t="str">
            <v>[]</v>
          </cell>
          <cell r="AE179" t="str">
            <v>[]</v>
          </cell>
          <cell r="AF179" t="str">
            <v>yanglidaxian_skill04_f</v>
          </cell>
          <cell r="AG179" t="str">
            <v>yanglidaxian_skill04_b</v>
          </cell>
          <cell r="AH179" t="str">
            <v>[]</v>
          </cell>
          <cell r="AI179" t="str">
            <v>[]</v>
          </cell>
          <cell r="AJ179" t="str">
            <v>[]</v>
          </cell>
          <cell r="AK179" t="str">
            <v>[]</v>
          </cell>
          <cell r="AL179" t="str">
            <v>[]</v>
          </cell>
          <cell r="AM179" t="str">
            <v>huifuT3N0.3</v>
          </cell>
          <cell r="AN179">
            <v>2</v>
          </cell>
          <cell r="AO179">
            <v>1</v>
          </cell>
          <cell r="AP179">
            <v>111507</v>
          </cell>
          <cell r="AQ179" t="str">
            <v>9030</v>
          </cell>
          <cell r="AR179" t="str">
            <v>[]</v>
          </cell>
          <cell r="AS179" t="str">
            <v>[]</v>
          </cell>
          <cell r="AT179" t="str">
            <v>1115</v>
          </cell>
          <cell r="AU179" t="str">
            <v>3450</v>
          </cell>
          <cell r="AV179" t="str">
            <v>羊力大仙</v>
          </cell>
          <cell r="AW179" t="str">
            <v>41</v>
          </cell>
          <cell r="AX179">
            <v>1270</v>
          </cell>
          <cell r="AY179">
            <v>1</v>
          </cell>
          <cell r="BA179" t="str">
            <v>[]</v>
          </cell>
          <cell r="BE179" t="str">
            <v>[]</v>
          </cell>
          <cell r="BF179"/>
        </row>
        <row r="180">
          <cell r="A180" t="str">
            <v>liuermihou_attack</v>
          </cell>
          <cell r="B180" t="str">
            <v>六耳猕猴普攻</v>
          </cell>
          <cell r="C180" t="str">
            <v>普攻</v>
          </cell>
          <cell r="D180" t="str">
            <v>[]</v>
          </cell>
          <cell r="E180">
            <v>0</v>
          </cell>
          <cell r="F180" t="str">
            <v>[]</v>
          </cell>
          <cell r="G180" t="str">
            <v>近战攻击</v>
          </cell>
          <cell r="H180" t="str">
            <v>[]</v>
          </cell>
          <cell r="I180" t="str">
            <v>[]</v>
          </cell>
          <cell r="J180">
            <v>0</v>
          </cell>
          <cell r="K180">
            <v>1</v>
          </cell>
          <cell r="L180" t="str">
            <v>[]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3</v>
          </cell>
          <cell r="R180" t="str">
            <v>2|1</v>
          </cell>
          <cell r="S180" t="str">
            <v>2|6</v>
          </cell>
          <cell r="T180">
            <v>1</v>
          </cell>
          <cell r="U180">
            <v>1</v>
          </cell>
          <cell r="V180">
            <v>0</v>
          </cell>
          <cell r="W180" t="str">
            <v>[]</v>
          </cell>
          <cell r="X180">
            <v>0</v>
          </cell>
          <cell r="Y180" t="str">
            <v>[]</v>
          </cell>
          <cell r="Z180" t="str">
            <v>0,1,0</v>
          </cell>
          <cell r="AA180">
            <v>0</v>
          </cell>
          <cell r="AB180" t="str">
            <v>[]</v>
          </cell>
          <cell r="AC180" t="str">
            <v>[]</v>
          </cell>
          <cell r="AD180" t="str">
            <v>[]</v>
          </cell>
          <cell r="AE180" t="str">
            <v>[]</v>
          </cell>
          <cell r="AF180" t="str">
            <v>liuermihou_attack</v>
          </cell>
          <cell r="AG180" t="str">
            <v>common_hit_qinwuqi</v>
          </cell>
          <cell r="AH180" t="str">
            <v>[]</v>
          </cell>
          <cell r="AI180" t="str">
            <v>[]</v>
          </cell>
          <cell r="AJ180" t="str">
            <v>[]</v>
          </cell>
          <cell r="AK180" t="str">
            <v>[]</v>
          </cell>
          <cell r="AL180" t="str">
            <v>[]</v>
          </cell>
          <cell r="AM180" t="str">
            <v>[]</v>
          </cell>
          <cell r="AN180">
            <v>1</v>
          </cell>
          <cell r="AO180">
            <v>0.4</v>
          </cell>
          <cell r="AP180">
            <v>111700</v>
          </cell>
          <cell r="AQ180" t="str">
            <v>111700</v>
          </cell>
          <cell r="AR180" t="str">
            <v>[]</v>
          </cell>
          <cell r="AS180" t="str">
            <v>[]</v>
          </cell>
          <cell r="AT180" t="str">
            <v>1117</v>
          </cell>
          <cell r="AU180" t="str">
            <v>3460</v>
          </cell>
          <cell r="AV180" t="str">
            <v>近战攻击</v>
          </cell>
          <cell r="AW180" t="str">
            <v>ck</v>
          </cell>
          <cell r="AX180" t="str">
            <v>[]</v>
          </cell>
          <cell r="AY180">
            <v>1</v>
          </cell>
          <cell r="BA180" t="str">
            <v>[]</v>
          </cell>
          <cell r="BE180" t="str">
            <v>[]</v>
          </cell>
          <cell r="BF180"/>
        </row>
        <row r="181">
          <cell r="A181" t="str">
            <v>liuermihou_skill01</v>
          </cell>
          <cell r="B181" t="str">
            <v>玄光伏魔阵</v>
          </cell>
          <cell r="C181" t="str">
            <v>召唤玄光伏魔阵，对范围内敌人进行5次攻击，造成主角攻击力@s的法伤，并降低敌人命中率@s，持续3秒</v>
          </cell>
          <cell r="D181" t="str">
            <v>[]</v>
          </cell>
          <cell r="E181">
            <v>0</v>
          </cell>
          <cell r="F181" t="str">
            <v>[]</v>
          </cell>
          <cell r="G181" t="str">
            <v>六耳猕猴核心技能</v>
          </cell>
          <cell r="H181" t="str">
            <v>liuermihou_skill01</v>
          </cell>
          <cell r="I181" t="str">
            <v>liuermihou_skill01</v>
          </cell>
          <cell r="J181">
            <v>0</v>
          </cell>
          <cell r="K181">
            <v>10</v>
          </cell>
          <cell r="L181" t="str">
            <v>1|18</v>
          </cell>
          <cell r="M181">
            <v>2</v>
          </cell>
          <cell r="N181">
            <v>2</v>
          </cell>
          <cell r="O181">
            <v>2</v>
          </cell>
          <cell r="P181">
            <v>2</v>
          </cell>
          <cell r="Q181">
            <v>12</v>
          </cell>
          <cell r="R181" t="str">
            <v>2|1</v>
          </cell>
          <cell r="S181" t="str">
            <v>2</v>
          </cell>
          <cell r="T181">
            <v>10</v>
          </cell>
          <cell r="U181">
            <v>0</v>
          </cell>
          <cell r="V181">
            <v>0</v>
          </cell>
          <cell r="W181" t="str">
            <v>[]</v>
          </cell>
          <cell r="X181">
            <v>0</v>
          </cell>
          <cell r="Y181" t="str">
            <v>[]</v>
          </cell>
          <cell r="Z181" t="str">
            <v>0,1,0</v>
          </cell>
          <cell r="AA181">
            <v>0</v>
          </cell>
          <cell r="AB181" t="str">
            <v>12</v>
          </cell>
          <cell r="AC181" t="str">
            <v>[]</v>
          </cell>
          <cell r="AD181" t="str">
            <v>[]</v>
          </cell>
          <cell r="AE181" t="str">
            <v>[]</v>
          </cell>
          <cell r="AF181" t="str">
            <v>liuermihou_skill01</v>
          </cell>
          <cell r="AG181" t="str">
            <v>common_hit_qinwuqi</v>
          </cell>
          <cell r="AH181" t="str">
            <v>[]</v>
          </cell>
          <cell r="AI181" t="str">
            <v>[]</v>
          </cell>
          <cell r="AJ181" t="str">
            <v>[]</v>
          </cell>
          <cell r="AK181" t="str">
            <v>[]</v>
          </cell>
          <cell r="AL181" t="str">
            <v>[]</v>
          </cell>
          <cell r="AM181" t="str">
            <v>mingzhongdownT3N0.2</v>
          </cell>
          <cell r="AN181">
            <v>2</v>
          </cell>
          <cell r="AO181" t="str">
            <v>0.9,0.3,0.3,0.3,0.4</v>
          </cell>
          <cell r="AP181">
            <v>111701</v>
          </cell>
          <cell r="AQ181" t="str">
            <v>111701,9010</v>
          </cell>
          <cell r="AR181" t="str">
            <v>[]</v>
          </cell>
          <cell r="AS181" t="str">
            <v>[]</v>
          </cell>
          <cell r="AT181" t="str">
            <v>1117</v>
          </cell>
          <cell r="AU181" t="str">
            <v>3470</v>
          </cell>
          <cell r="AV181" t="str">
            <v>六耳猕猴</v>
          </cell>
          <cell r="AW181" t="str">
            <v>01</v>
          </cell>
          <cell r="AX181" t="str">
            <v>[]</v>
          </cell>
          <cell r="AY181">
            <v>5</v>
          </cell>
          <cell r="BA181" t="str">
            <v>[]</v>
          </cell>
          <cell r="BE181" t="str">
            <v>[]</v>
          </cell>
          <cell r="BF181"/>
        </row>
        <row r="182">
          <cell r="A182" t="str">
            <v>liuermihou_skill02</v>
          </cell>
          <cell r="B182" t="str">
            <v>灵猴重击</v>
          </cell>
          <cell r="C182" t="str">
            <v>舞剑对范围内敌人造成自身攻击力@s的法伤，同时提升自身@s闪避率，持续3秒</v>
          </cell>
          <cell r="D182" t="str">
            <v>[]</v>
          </cell>
          <cell r="E182">
            <v>2</v>
          </cell>
          <cell r="F182" t="str">
            <v>boss_warning_juxing</v>
          </cell>
          <cell r="G182" t="str">
            <v>猕猴技能2</v>
          </cell>
          <cell r="H182" t="str">
            <v>liuermihou_skill02</v>
          </cell>
          <cell r="I182" t="str">
            <v>[]</v>
          </cell>
          <cell r="J182">
            <v>1</v>
          </cell>
          <cell r="K182">
            <v>10</v>
          </cell>
          <cell r="L182" t="str">
            <v>[]</v>
          </cell>
          <cell r="M182">
            <v>2</v>
          </cell>
          <cell r="N182">
            <v>2</v>
          </cell>
          <cell r="O182">
            <v>1</v>
          </cell>
          <cell r="P182">
            <v>2</v>
          </cell>
          <cell r="Q182">
            <v>4</v>
          </cell>
          <cell r="R182" t="str">
            <v>2|1</v>
          </cell>
          <cell r="S182" t="str">
            <v>4|0.2</v>
          </cell>
          <cell r="T182">
            <v>1</v>
          </cell>
          <cell r="U182">
            <v>1</v>
          </cell>
          <cell r="V182">
            <v>0</v>
          </cell>
          <cell r="W182" t="str">
            <v>[]</v>
          </cell>
          <cell r="X182">
            <v>3</v>
          </cell>
          <cell r="Y182" t="str">
            <v>[]</v>
          </cell>
          <cell r="Z182" t="str">
            <v>0,2.0,0</v>
          </cell>
          <cell r="AA182">
            <v>0</v>
          </cell>
          <cell r="AB182">
            <v>6</v>
          </cell>
          <cell r="AC182" t="str">
            <v>[]</v>
          </cell>
          <cell r="AD182" t="str">
            <v>[]</v>
          </cell>
          <cell r="AE182" t="str">
            <v>liuermihou_skill02_wq</v>
          </cell>
          <cell r="AF182" t="str">
            <v>liuermihou_skill02</v>
          </cell>
          <cell r="AG182" t="str">
            <v>common_hit_qinwuqi</v>
          </cell>
          <cell r="AH182" t="str">
            <v>[]</v>
          </cell>
          <cell r="AI182" t="str">
            <v>[]</v>
          </cell>
          <cell r="AJ182" t="str">
            <v>[]</v>
          </cell>
          <cell r="AK182" t="str">
            <v>shock</v>
          </cell>
          <cell r="AL182" t="str">
            <v>shanbiupT3N0.3</v>
          </cell>
          <cell r="AM182" t="str">
            <v>[]</v>
          </cell>
          <cell r="AN182">
            <v>1</v>
          </cell>
          <cell r="AO182">
            <v>1.1000000000000001</v>
          </cell>
          <cell r="AP182">
            <v>111702</v>
          </cell>
          <cell r="AQ182" t="str">
            <v>111702,9030</v>
          </cell>
          <cell r="AR182" t="str">
            <v>[]</v>
          </cell>
          <cell r="AS182" t="str">
            <v>[]</v>
          </cell>
          <cell r="AT182" t="str">
            <v>1117</v>
          </cell>
          <cell r="AU182" t="str">
            <v>3480</v>
          </cell>
          <cell r="AV182" t="str">
            <v>六耳猕猴</v>
          </cell>
          <cell r="AW182" t="str">
            <v>02</v>
          </cell>
          <cell r="AX182" t="str">
            <v>[]</v>
          </cell>
          <cell r="AY182">
            <v>1</v>
          </cell>
          <cell r="BA182" t="str">
            <v>[]</v>
          </cell>
          <cell r="BE182" t="str">
            <v>[]</v>
          </cell>
          <cell r="BF182"/>
        </row>
        <row r="183">
          <cell r="A183" t="str">
            <v>liuermihou_skill03</v>
          </cell>
          <cell r="B183" t="str">
            <v>神行百变</v>
          </cell>
          <cell r="C183" t="str">
            <v>进入战斗场景时，提升自身闪避率@s</v>
          </cell>
          <cell r="D183">
            <v>1262</v>
          </cell>
          <cell r="E183">
            <v>0</v>
          </cell>
          <cell r="F183" t="str">
            <v>[]</v>
          </cell>
          <cell r="G183" t="str">
            <v>六耳猕猴被动技能</v>
          </cell>
          <cell r="H183" t="str">
            <v>shuangfang</v>
          </cell>
          <cell r="I183" t="str">
            <v>[]</v>
          </cell>
          <cell r="J183">
            <v>2</v>
          </cell>
          <cell r="K183">
            <v>10</v>
          </cell>
          <cell r="L183" t="str">
            <v>[]</v>
          </cell>
          <cell r="M183">
            <v>2</v>
          </cell>
          <cell r="N183">
            <v>2</v>
          </cell>
          <cell r="O183">
            <v>3</v>
          </cell>
          <cell r="P183">
            <v>0</v>
          </cell>
          <cell r="Q183">
            <v>12</v>
          </cell>
          <cell r="R183">
            <v>1</v>
          </cell>
          <cell r="S183" t="str">
            <v>4|0.2</v>
          </cell>
          <cell r="T183">
            <v>1</v>
          </cell>
          <cell r="U183">
            <v>0</v>
          </cell>
          <cell r="V183">
            <v>0</v>
          </cell>
          <cell r="W183" t="str">
            <v>[]</v>
          </cell>
          <cell r="X183">
            <v>0</v>
          </cell>
          <cell r="Y183" t="str">
            <v>[]</v>
          </cell>
          <cell r="Z183" t="str">
            <v>0,0,0</v>
          </cell>
          <cell r="AA183">
            <v>0</v>
          </cell>
          <cell r="AB183" t="str">
            <v>[]</v>
          </cell>
          <cell r="AC183" t="str">
            <v>[]</v>
          </cell>
          <cell r="AD183" t="str">
            <v>[]</v>
          </cell>
          <cell r="AE183" t="str">
            <v>[]</v>
          </cell>
          <cell r="AF183" t="str">
            <v>[]</v>
          </cell>
          <cell r="AG183" t="str">
            <v>[]</v>
          </cell>
          <cell r="AH183" t="str">
            <v>[]</v>
          </cell>
          <cell r="AI183" t="str">
            <v>[]</v>
          </cell>
          <cell r="AJ183" t="str">
            <v>[]</v>
          </cell>
          <cell r="AK183" t="str">
            <v>[]</v>
          </cell>
          <cell r="AL183" t="str">
            <v>shanbiupT3N0.2b</v>
          </cell>
          <cell r="AM183" t="str">
            <v>[]</v>
          </cell>
          <cell r="AN183">
            <v>0</v>
          </cell>
          <cell r="AO183" t="str">
            <v>[]</v>
          </cell>
          <cell r="AP183" t="str">
            <v>[]</v>
          </cell>
          <cell r="AQ183" t="str">
            <v>9020</v>
          </cell>
          <cell r="AR183" t="str">
            <v>[]</v>
          </cell>
          <cell r="AS183" t="str">
            <v>[]</v>
          </cell>
          <cell r="AT183" t="str">
            <v>9020</v>
          </cell>
          <cell r="AU183" t="str">
            <v>3490</v>
          </cell>
          <cell r="AV183" t="str">
            <v>六耳猕猴</v>
          </cell>
          <cell r="AW183" t="str">
            <v>03</v>
          </cell>
          <cell r="AX183">
            <v>1262</v>
          </cell>
          <cell r="AY183">
            <v>1</v>
          </cell>
          <cell r="BA183" t="str">
            <v>[]</v>
          </cell>
          <cell r="BE183" t="str">
            <v>[]</v>
          </cell>
          <cell r="BF183"/>
        </row>
        <row r="184">
          <cell r="A184" t="str">
            <v>liuermihou_skill04</v>
          </cell>
          <cell r="B184" t="str">
            <v>剑刃风暴</v>
          </cell>
          <cell r="C184" t="str">
            <v>轮舞巨剑形成龙卷风，对范围内敌人进行6次攻击，造成自身攻击力@s的法伤</v>
          </cell>
          <cell r="D184">
            <v>1264</v>
          </cell>
          <cell r="E184">
            <v>2</v>
          </cell>
          <cell r="F184" t="str">
            <v>boss_warning_yuanxing</v>
          </cell>
          <cell r="G184" t="str">
            <v>猕猴技能4</v>
          </cell>
          <cell r="H184" t="str">
            <v>liuermihou_skill04</v>
          </cell>
          <cell r="I184" t="str">
            <v>[]</v>
          </cell>
          <cell r="J184">
            <v>3</v>
          </cell>
          <cell r="K184">
            <v>10</v>
          </cell>
          <cell r="L184" t="str">
            <v>[]</v>
          </cell>
          <cell r="M184">
            <v>2</v>
          </cell>
          <cell r="N184">
            <v>2</v>
          </cell>
          <cell r="O184">
            <v>2</v>
          </cell>
          <cell r="P184">
            <v>2</v>
          </cell>
          <cell r="Q184">
            <v>4</v>
          </cell>
          <cell r="R184" t="str">
            <v>2|1</v>
          </cell>
          <cell r="S184" t="str">
            <v>2|6</v>
          </cell>
          <cell r="T184">
            <v>10</v>
          </cell>
          <cell r="U184">
            <v>1</v>
          </cell>
          <cell r="V184">
            <v>0</v>
          </cell>
          <cell r="W184" t="str">
            <v>[]</v>
          </cell>
          <cell r="X184">
            <v>3</v>
          </cell>
          <cell r="Y184" t="str">
            <v>[]</v>
          </cell>
          <cell r="Z184" t="str">
            <v>0,2.0,0</v>
          </cell>
          <cell r="AA184">
            <v>0</v>
          </cell>
          <cell r="AB184">
            <v>6</v>
          </cell>
          <cell r="AC184" t="str">
            <v>[]</v>
          </cell>
          <cell r="AD184" t="str">
            <v>[]</v>
          </cell>
          <cell r="AE184" t="str">
            <v>[]</v>
          </cell>
          <cell r="AF184" t="str">
            <v>liuermihou_skill04</v>
          </cell>
          <cell r="AG184" t="str">
            <v>common_hit_qinwuqi</v>
          </cell>
          <cell r="AH184" t="str">
            <v>[]</v>
          </cell>
          <cell r="AI184" t="str">
            <v>[]</v>
          </cell>
          <cell r="AJ184" t="str">
            <v>[]</v>
          </cell>
          <cell r="AK184" t="str">
            <v>[]</v>
          </cell>
          <cell r="AL184" t="str">
            <v>[]</v>
          </cell>
          <cell r="AM184" t="str">
            <v>[]</v>
          </cell>
          <cell r="AN184">
            <v>2</v>
          </cell>
          <cell r="AO184" t="str">
            <v>0.267,0.33,0.33,0.33,0.33,0.33</v>
          </cell>
          <cell r="AP184">
            <v>111704</v>
          </cell>
          <cell r="AQ184" t="str">
            <v>111704</v>
          </cell>
          <cell r="AR184" t="str">
            <v>[]</v>
          </cell>
          <cell r="AS184" t="str">
            <v>[]</v>
          </cell>
          <cell r="AT184" t="str">
            <v>1117</v>
          </cell>
          <cell r="AU184" t="str">
            <v>3500</v>
          </cell>
          <cell r="AV184" t="str">
            <v>六耳猕猴</v>
          </cell>
          <cell r="AW184" t="str">
            <v>04</v>
          </cell>
          <cell r="AX184">
            <v>1264</v>
          </cell>
          <cell r="AY184">
            <v>6</v>
          </cell>
          <cell r="BA184" t="str">
            <v>[]</v>
          </cell>
          <cell r="BE184" t="str">
            <v>[]</v>
          </cell>
          <cell r="BF184"/>
        </row>
        <row r="185">
          <cell r="A185" t="str">
            <v>liuermihou_skill011</v>
          </cell>
          <cell r="B185" t="str">
            <v>奥义·玄光伏魔阵</v>
          </cell>
          <cell r="C185" t="str">
            <v>召唤玄光伏魔阵，对范围内敌人进行5次攻击，造成主角攻击力@s的法伤，并降低敌人命中率@s，持续3秒</v>
          </cell>
          <cell r="D185">
            <v>1266</v>
          </cell>
          <cell r="E185">
            <v>0</v>
          </cell>
          <cell r="F185" t="str">
            <v>[]</v>
          </cell>
          <cell r="G185" t="str">
            <v>六耳猕猴核心技能</v>
          </cell>
          <cell r="H185" t="str">
            <v>liuermihou_skill01</v>
          </cell>
          <cell r="I185" t="str">
            <v>liuermihou_skill01</v>
          </cell>
          <cell r="J185">
            <v>0</v>
          </cell>
          <cell r="K185">
            <v>10</v>
          </cell>
          <cell r="L185" t="str">
            <v>1|18</v>
          </cell>
          <cell r="M185">
            <v>2</v>
          </cell>
          <cell r="N185">
            <v>2</v>
          </cell>
          <cell r="O185">
            <v>2</v>
          </cell>
          <cell r="P185">
            <v>2</v>
          </cell>
          <cell r="Q185">
            <v>12</v>
          </cell>
          <cell r="R185" t="str">
            <v>2|1</v>
          </cell>
          <cell r="S185" t="str">
            <v>2|6</v>
          </cell>
          <cell r="T185">
            <v>10</v>
          </cell>
          <cell r="U185">
            <v>0</v>
          </cell>
          <cell r="V185">
            <v>0</v>
          </cell>
          <cell r="W185" t="str">
            <v>[]</v>
          </cell>
          <cell r="X185">
            <v>0</v>
          </cell>
          <cell r="Y185" t="str">
            <v>[]</v>
          </cell>
          <cell r="Z185" t="str">
            <v>0,1,0</v>
          </cell>
          <cell r="AA185">
            <v>0</v>
          </cell>
          <cell r="AB185" t="str">
            <v>12</v>
          </cell>
          <cell r="AC185" t="str">
            <v>[]</v>
          </cell>
          <cell r="AD185" t="str">
            <v>[]</v>
          </cell>
          <cell r="AE185" t="str">
            <v>[]</v>
          </cell>
          <cell r="AF185" t="str">
            <v>liuermihou_skill01</v>
          </cell>
          <cell r="AG185" t="str">
            <v>common_hit_qinwuqi</v>
          </cell>
          <cell r="AH185" t="str">
            <v>[]</v>
          </cell>
          <cell r="AI185" t="str">
            <v>[]</v>
          </cell>
          <cell r="AJ185" t="str">
            <v>[]</v>
          </cell>
          <cell r="AK185" t="str">
            <v>[]</v>
          </cell>
          <cell r="AL185" t="str">
            <v>[]</v>
          </cell>
          <cell r="AM185" t="str">
            <v>mingzhongdownT3N0.2</v>
          </cell>
          <cell r="AN185">
            <v>2</v>
          </cell>
          <cell r="AO185" t="str">
            <v>0.9,0.3,0.3,0.3,0.4</v>
          </cell>
          <cell r="AP185">
            <v>111705</v>
          </cell>
          <cell r="AQ185" t="str">
            <v>111705,9010</v>
          </cell>
          <cell r="AR185" t="str">
            <v>[]</v>
          </cell>
          <cell r="AS185" t="str">
            <v>[]</v>
          </cell>
          <cell r="AT185" t="str">
            <v>1117</v>
          </cell>
          <cell r="AU185" t="str">
            <v>3470</v>
          </cell>
          <cell r="AV185" t="str">
            <v>六耳猕猴</v>
          </cell>
          <cell r="AW185" t="str">
            <v>11</v>
          </cell>
          <cell r="AX185">
            <v>1266</v>
          </cell>
          <cell r="AY185">
            <v>5</v>
          </cell>
          <cell r="BA185" t="str">
            <v>[]</v>
          </cell>
          <cell r="BE185" t="str">
            <v>[]</v>
          </cell>
          <cell r="BF185"/>
        </row>
        <row r="186">
          <cell r="A186" t="str">
            <v>liuermihou_skill021</v>
          </cell>
          <cell r="B186" t="str">
            <v>奥义·灵猴重击</v>
          </cell>
          <cell r="C186" t="str">
            <v>舞剑对范围内敌人造成自身攻击力@s的法伤，同时提升自身@s闪避率，持续3秒</v>
          </cell>
          <cell r="D186">
            <v>1268</v>
          </cell>
          <cell r="E186">
            <v>2</v>
          </cell>
          <cell r="F186" t="str">
            <v>boss_warning_juxing</v>
          </cell>
          <cell r="G186" t="str">
            <v>猕猴技能2</v>
          </cell>
          <cell r="H186" t="str">
            <v>liuermihou_skill02</v>
          </cell>
          <cell r="I186" t="str">
            <v>[]</v>
          </cell>
          <cell r="J186">
            <v>1</v>
          </cell>
          <cell r="K186">
            <v>10</v>
          </cell>
          <cell r="L186" t="str">
            <v>[]</v>
          </cell>
          <cell r="M186">
            <v>2</v>
          </cell>
          <cell r="N186">
            <v>2</v>
          </cell>
          <cell r="O186">
            <v>1</v>
          </cell>
          <cell r="P186">
            <v>2</v>
          </cell>
          <cell r="Q186">
            <v>4</v>
          </cell>
          <cell r="R186" t="str">
            <v>2|1</v>
          </cell>
          <cell r="S186" t="str">
            <v>4|0.2</v>
          </cell>
          <cell r="T186">
            <v>1</v>
          </cell>
          <cell r="U186">
            <v>1</v>
          </cell>
          <cell r="V186">
            <v>0</v>
          </cell>
          <cell r="W186" t="str">
            <v>[]</v>
          </cell>
          <cell r="X186">
            <v>3</v>
          </cell>
          <cell r="Y186" t="str">
            <v>[]</v>
          </cell>
          <cell r="Z186" t="str">
            <v>0,2.0,0</v>
          </cell>
          <cell r="AA186">
            <v>0</v>
          </cell>
          <cell r="AB186">
            <v>6</v>
          </cell>
          <cell r="AC186" t="str">
            <v>[]</v>
          </cell>
          <cell r="AD186" t="str">
            <v>[]</v>
          </cell>
          <cell r="AE186" t="str">
            <v>liuermihou_skill02_wq</v>
          </cell>
          <cell r="AF186" t="str">
            <v>liuermihou_skill02</v>
          </cell>
          <cell r="AG186" t="str">
            <v>common_hit_qinwuqi</v>
          </cell>
          <cell r="AH186" t="str">
            <v>[]</v>
          </cell>
          <cell r="AI186" t="str">
            <v>[]</v>
          </cell>
          <cell r="AJ186" t="str">
            <v>[]</v>
          </cell>
          <cell r="AK186" t="str">
            <v>shock</v>
          </cell>
          <cell r="AL186" t="str">
            <v>shanbiupT6N0.3</v>
          </cell>
          <cell r="AM186" t="str">
            <v>[]</v>
          </cell>
          <cell r="AN186">
            <v>1</v>
          </cell>
          <cell r="AO186">
            <v>1.1000000000000001</v>
          </cell>
          <cell r="AP186">
            <v>111706</v>
          </cell>
          <cell r="AQ186" t="str">
            <v>111706,9030</v>
          </cell>
          <cell r="AR186" t="str">
            <v>[]</v>
          </cell>
          <cell r="AS186" t="str">
            <v>[]</v>
          </cell>
          <cell r="AT186" t="str">
            <v>1117</v>
          </cell>
          <cell r="AU186" t="str">
            <v>3480</v>
          </cell>
          <cell r="AV186" t="str">
            <v>六耳猕猴</v>
          </cell>
          <cell r="AW186" t="str">
            <v>21</v>
          </cell>
          <cell r="AX186">
            <v>1268</v>
          </cell>
          <cell r="AY186">
            <v>1</v>
          </cell>
          <cell r="BA186" t="str">
            <v>[]</v>
          </cell>
          <cell r="BE186" t="str">
            <v>[]</v>
          </cell>
          <cell r="BF186"/>
        </row>
        <row r="187">
          <cell r="A187" t="str">
            <v>liuermihou_skill041</v>
          </cell>
          <cell r="B187" t="str">
            <v>奥义·剑刃风暴</v>
          </cell>
          <cell r="C187" t="str">
            <v>轮舞巨剑形成龙卷风，对范围内敌人进行6次攻击，造成自身攻击力@s的法伤</v>
          </cell>
          <cell r="D187">
            <v>1270</v>
          </cell>
          <cell r="E187">
            <v>2</v>
          </cell>
          <cell r="F187" t="str">
            <v>boss_warning_yuanxing</v>
          </cell>
          <cell r="G187" t="str">
            <v>猕猴技能4</v>
          </cell>
          <cell r="H187" t="str">
            <v>liuermihou_skill04</v>
          </cell>
          <cell r="I187" t="str">
            <v>[]</v>
          </cell>
          <cell r="J187">
            <v>3</v>
          </cell>
          <cell r="K187">
            <v>10</v>
          </cell>
          <cell r="L187" t="str">
            <v>[]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4</v>
          </cell>
          <cell r="R187" t="str">
            <v>2|1</v>
          </cell>
          <cell r="S187" t="str">
            <v>2|6</v>
          </cell>
          <cell r="T187">
            <v>10</v>
          </cell>
          <cell r="U187">
            <v>1</v>
          </cell>
          <cell r="V187">
            <v>0</v>
          </cell>
          <cell r="W187" t="str">
            <v>[]</v>
          </cell>
          <cell r="X187">
            <v>3</v>
          </cell>
          <cell r="Y187" t="str">
            <v>[]</v>
          </cell>
          <cell r="Z187" t="str">
            <v>0,2.0,0</v>
          </cell>
          <cell r="AA187">
            <v>0</v>
          </cell>
          <cell r="AB187">
            <v>6</v>
          </cell>
          <cell r="AC187" t="str">
            <v>[]</v>
          </cell>
          <cell r="AD187" t="str">
            <v>[]</v>
          </cell>
          <cell r="AE187" t="str">
            <v>[]</v>
          </cell>
          <cell r="AF187" t="str">
            <v>liuermihou_skill04</v>
          </cell>
          <cell r="AG187" t="str">
            <v>common_hit_qinwuqi</v>
          </cell>
          <cell r="AH187" t="str">
            <v>[]</v>
          </cell>
          <cell r="AI187" t="str">
            <v>[]</v>
          </cell>
          <cell r="AJ187" t="str">
            <v>[]</v>
          </cell>
          <cell r="AK187" t="str">
            <v>[]</v>
          </cell>
          <cell r="AL187" t="str">
            <v>[]</v>
          </cell>
          <cell r="AM187" t="str">
            <v>[]</v>
          </cell>
          <cell r="AN187">
            <v>2</v>
          </cell>
          <cell r="AO187" t="str">
            <v>0.267,0.33,0.33,0.33,0.33,0.33</v>
          </cell>
          <cell r="AP187">
            <v>111707</v>
          </cell>
          <cell r="AQ187" t="str">
            <v>111707</v>
          </cell>
          <cell r="AR187" t="str">
            <v>[]</v>
          </cell>
          <cell r="AS187" t="str">
            <v>[]</v>
          </cell>
          <cell r="AT187" t="str">
            <v>1117</v>
          </cell>
          <cell r="AU187" t="str">
            <v>3500</v>
          </cell>
          <cell r="AV187" t="str">
            <v>六耳猕猴</v>
          </cell>
          <cell r="AW187" t="str">
            <v>41</v>
          </cell>
          <cell r="AX187">
            <v>1270</v>
          </cell>
          <cell r="AY187">
            <v>6</v>
          </cell>
          <cell r="BA187" t="str">
            <v>[]</v>
          </cell>
          <cell r="BE187" t="str">
            <v>[]</v>
          </cell>
          <cell r="BF187"/>
        </row>
        <row r="188">
          <cell r="A188" t="str">
            <v>baigufuren_attack</v>
          </cell>
          <cell r="B188" t="str">
            <v>白骨夫人普攻</v>
          </cell>
          <cell r="C188" t="str">
            <v>普攻</v>
          </cell>
          <cell r="D188" t="str">
            <v>[]</v>
          </cell>
          <cell r="E188">
            <v>0</v>
          </cell>
          <cell r="F188" t="str">
            <v>[]</v>
          </cell>
          <cell r="G188" t="str">
            <v>白骨夫人远程攻击</v>
          </cell>
          <cell r="H188" t="str">
            <v>[]</v>
          </cell>
          <cell r="I188" t="str">
            <v>[]</v>
          </cell>
          <cell r="J188">
            <v>0</v>
          </cell>
          <cell r="K188">
            <v>1</v>
          </cell>
          <cell r="L188" t="str">
            <v>[]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10</v>
          </cell>
          <cell r="R188" t="str">
            <v>2|1</v>
          </cell>
          <cell r="S188" t="str">
            <v>4|0.2</v>
          </cell>
          <cell r="T188">
            <v>1</v>
          </cell>
          <cell r="U188">
            <v>1</v>
          </cell>
          <cell r="V188">
            <v>0</v>
          </cell>
          <cell r="W188" t="str">
            <v>[]</v>
          </cell>
          <cell r="X188">
            <v>0</v>
          </cell>
          <cell r="Y188" t="str">
            <v>[]</v>
          </cell>
          <cell r="Z188" t="str">
            <v>0,1,0</v>
          </cell>
          <cell r="AA188">
            <v>0</v>
          </cell>
          <cell r="AB188" t="str">
            <v>[]</v>
          </cell>
          <cell r="AC188" t="str">
            <v>[]</v>
          </cell>
          <cell r="AD188" t="str">
            <v>[]</v>
          </cell>
          <cell r="AE188" t="str">
            <v>[]</v>
          </cell>
          <cell r="AF188" t="str">
            <v>baigufuren_attack</v>
          </cell>
          <cell r="AG188" t="str">
            <v>common_hit_fashu</v>
          </cell>
          <cell r="AH188" t="str">
            <v>[]</v>
          </cell>
          <cell r="AI188" t="str">
            <v>[]</v>
          </cell>
          <cell r="AJ188" t="str">
            <v>[]</v>
          </cell>
          <cell r="AK188" t="str">
            <v>[]</v>
          </cell>
          <cell r="AL188" t="str">
            <v>[]</v>
          </cell>
          <cell r="AM188" t="str">
            <v>[]</v>
          </cell>
          <cell r="AN188">
            <v>2</v>
          </cell>
          <cell r="AO188" t="str">
            <v>[]</v>
          </cell>
          <cell r="AP188">
            <v>111600</v>
          </cell>
          <cell r="AQ188" t="str">
            <v>111600</v>
          </cell>
          <cell r="AR188" t="str">
            <v>[]</v>
          </cell>
          <cell r="AS188" t="str">
            <v>[]</v>
          </cell>
          <cell r="AT188" t="str">
            <v>1116</v>
          </cell>
          <cell r="AU188" t="str">
            <v>3510</v>
          </cell>
          <cell r="AV188" t="str">
            <v>白骨夫人远程攻击</v>
          </cell>
          <cell r="AW188" t="str">
            <v>ck</v>
          </cell>
          <cell r="AX188" t="str">
            <v>[]</v>
          </cell>
          <cell r="AY188">
            <v>1</v>
          </cell>
          <cell r="BA188" t="str">
            <v>[]</v>
          </cell>
          <cell r="BE188" t="str">
            <v>[]</v>
          </cell>
          <cell r="BF188"/>
        </row>
        <row r="189">
          <cell r="A189" t="str">
            <v>baigufuren_skill01</v>
          </cell>
          <cell r="B189" t="str">
            <v>枯骨逢春</v>
          </cell>
          <cell r="C189" t="str">
            <v>释放枯骨逢春秘法，治疗全体友军，每0.5秒恢复主角攻击力@s的生命值，持续3秒</v>
          </cell>
          <cell r="D189" t="str">
            <v>[]</v>
          </cell>
          <cell r="E189">
            <v>0</v>
          </cell>
          <cell r="F189">
            <v>0</v>
          </cell>
          <cell r="G189" t="str">
            <v>白骨夫人核心技能</v>
          </cell>
          <cell r="H189" t="str">
            <v>baigufuren_skill01</v>
          </cell>
          <cell r="I189" t="str">
            <v>baigufuren_skill01</v>
          </cell>
          <cell r="J189">
            <v>0</v>
          </cell>
          <cell r="K189">
            <v>10</v>
          </cell>
          <cell r="L189" t="str">
            <v>1|16</v>
          </cell>
          <cell r="M189">
            <v>2</v>
          </cell>
          <cell r="N189">
            <v>2</v>
          </cell>
          <cell r="O189">
            <v>2</v>
          </cell>
          <cell r="P189">
            <v>5</v>
          </cell>
          <cell r="Q189">
            <v>12</v>
          </cell>
          <cell r="R189">
            <v>3</v>
          </cell>
          <cell r="S189" t="str">
            <v>2|20</v>
          </cell>
          <cell r="T189">
            <v>10</v>
          </cell>
          <cell r="U189">
            <v>1</v>
          </cell>
          <cell r="V189">
            <v>0</v>
          </cell>
          <cell r="W189" t="str">
            <v>[]</v>
          </cell>
          <cell r="X189">
            <v>0</v>
          </cell>
          <cell r="Y189" t="str">
            <v>[]</v>
          </cell>
          <cell r="Z189" t="str">
            <v>0,1,0</v>
          </cell>
          <cell r="AA189">
            <v>0</v>
          </cell>
          <cell r="AB189" t="str">
            <v>12</v>
          </cell>
          <cell r="AC189" t="str">
            <v>[]</v>
          </cell>
          <cell r="AD189" t="str">
            <v>[]</v>
          </cell>
          <cell r="AE189" t="str">
            <v>[]</v>
          </cell>
          <cell r="AF189" t="str">
            <v>baigufuren_skill01</v>
          </cell>
          <cell r="AG189" t="str">
            <v>respond_hp</v>
          </cell>
          <cell r="AH189" t="str">
            <v>[]</v>
          </cell>
          <cell r="AI189" t="str">
            <v>[]</v>
          </cell>
          <cell r="AJ189" t="str">
            <v>[]</v>
          </cell>
          <cell r="AK189" t="str">
            <v>[]</v>
          </cell>
          <cell r="AL189" t="str">
            <v>[]</v>
          </cell>
          <cell r="AM189" t="str">
            <v>huifuT3N0.4</v>
          </cell>
          <cell r="AN189">
            <v>2</v>
          </cell>
          <cell r="AO189">
            <v>0.5</v>
          </cell>
          <cell r="AP189" t="str">
            <v>[]</v>
          </cell>
          <cell r="AQ189" t="str">
            <v>9040</v>
          </cell>
          <cell r="AR189" t="str">
            <v>[]</v>
          </cell>
          <cell r="AS189" t="str">
            <v>[]</v>
          </cell>
          <cell r="AT189" t="str">
            <v>3520</v>
          </cell>
          <cell r="AU189" t="str">
            <v>3520</v>
          </cell>
          <cell r="AV189" t="str">
            <v>白骨夫人</v>
          </cell>
          <cell r="AW189" t="str">
            <v>01</v>
          </cell>
          <cell r="AX189" t="str">
            <v>[]</v>
          </cell>
          <cell r="AY189">
            <v>1</v>
          </cell>
          <cell r="BA189" t="str">
            <v>[]</v>
          </cell>
          <cell r="BE189" t="str">
            <v>[]</v>
          </cell>
          <cell r="BF189"/>
        </row>
        <row r="190">
          <cell r="A190" t="str">
            <v>baigufuren_skill02</v>
          </cell>
          <cell r="B190" t="str">
            <v>嗜血充饥</v>
          </cell>
          <cell r="C190" t="str">
            <v>治疗生命值百分比最低的友军，恢复自身攻击力@s的生命值</v>
          </cell>
          <cell r="D190" t="str">
            <v>[]</v>
          </cell>
          <cell r="E190">
            <v>0</v>
          </cell>
          <cell r="F190" t="str">
            <v>[]</v>
          </cell>
          <cell r="G190" t="str">
            <v>白骨夫人技能2</v>
          </cell>
          <cell r="H190" t="str">
            <v>baigufuren_skill02</v>
          </cell>
          <cell r="I190" t="str">
            <v>baigufuren_skill02</v>
          </cell>
          <cell r="J190">
            <v>1</v>
          </cell>
          <cell r="K190">
            <v>10</v>
          </cell>
          <cell r="L190" t="str">
            <v>[]</v>
          </cell>
          <cell r="M190">
            <v>2</v>
          </cell>
          <cell r="N190">
            <v>2</v>
          </cell>
          <cell r="O190">
            <v>1</v>
          </cell>
          <cell r="P190">
            <v>5</v>
          </cell>
          <cell r="Q190">
            <v>12</v>
          </cell>
          <cell r="R190">
            <v>3</v>
          </cell>
          <cell r="S190">
            <v>7</v>
          </cell>
          <cell r="T190">
            <v>1</v>
          </cell>
          <cell r="U190">
            <v>1</v>
          </cell>
          <cell r="V190">
            <v>0</v>
          </cell>
          <cell r="W190" t="str">
            <v>[]</v>
          </cell>
          <cell r="X190">
            <v>3</v>
          </cell>
          <cell r="Y190" t="str">
            <v>[]</v>
          </cell>
          <cell r="Z190" t="str">
            <v>0,0.8,0.2</v>
          </cell>
          <cell r="AA190">
            <v>0</v>
          </cell>
          <cell r="AB190">
            <v>12</v>
          </cell>
          <cell r="AC190" t="str">
            <v>[]</v>
          </cell>
          <cell r="AD190" t="str">
            <v>[]</v>
          </cell>
          <cell r="AE190" t="str">
            <v>[]</v>
          </cell>
          <cell r="AF190" t="str">
            <v>baigufuren_skill02_blank</v>
          </cell>
          <cell r="AG190" t="str">
            <v>baigufuren_skill02,respond_hp</v>
          </cell>
          <cell r="AH190" t="str">
            <v>[]</v>
          </cell>
          <cell r="AI190" t="str">
            <v>[]</v>
          </cell>
          <cell r="AJ190" t="str">
            <v>[]</v>
          </cell>
          <cell r="AK190" t="str">
            <v>[]</v>
          </cell>
          <cell r="AL190" t="str">
            <v>[]</v>
          </cell>
          <cell r="AM190" t="str">
            <v>[]</v>
          </cell>
          <cell r="AN190">
            <v>1</v>
          </cell>
          <cell r="AO190">
            <v>1</v>
          </cell>
          <cell r="AP190">
            <v>111602</v>
          </cell>
          <cell r="AQ190" t="str">
            <v>111602</v>
          </cell>
          <cell r="AR190" t="str">
            <v>[]</v>
          </cell>
          <cell r="AS190" t="str">
            <v>[]</v>
          </cell>
          <cell r="AT190" t="str">
            <v>1116</v>
          </cell>
          <cell r="AU190" t="str">
            <v>3532</v>
          </cell>
          <cell r="AV190" t="str">
            <v>白骨夫人</v>
          </cell>
          <cell r="AW190" t="str">
            <v>02</v>
          </cell>
          <cell r="AX190" t="str">
            <v>[]</v>
          </cell>
          <cell r="AY190">
            <v>1</v>
          </cell>
          <cell r="BA190" t="str">
            <v>[]</v>
          </cell>
          <cell r="BE190" t="str">
            <v>[]</v>
          </cell>
          <cell r="BF190"/>
        </row>
        <row r="191">
          <cell r="A191" t="str">
            <v>baigufuren_skill03</v>
          </cell>
          <cell r="B191" t="str">
            <v>血界</v>
          </cell>
          <cell r="C191" t="str">
            <v>进入战斗场景时，提升全体友军闪避率@s</v>
          </cell>
          <cell r="D191">
            <v>1262</v>
          </cell>
          <cell r="E191">
            <v>0</v>
          </cell>
          <cell r="F191" t="str">
            <v>[]</v>
          </cell>
          <cell r="G191" t="str">
            <v>白骨夫人被动技能</v>
          </cell>
          <cell r="H191" t="str">
            <v>xixue</v>
          </cell>
          <cell r="I191" t="str">
            <v>[]</v>
          </cell>
          <cell r="J191">
            <v>2</v>
          </cell>
          <cell r="K191">
            <v>10</v>
          </cell>
          <cell r="L191" t="str">
            <v>[]</v>
          </cell>
          <cell r="M191">
            <v>2</v>
          </cell>
          <cell r="N191">
            <v>2</v>
          </cell>
          <cell r="O191">
            <v>3</v>
          </cell>
          <cell r="P191">
            <v>0</v>
          </cell>
          <cell r="Q191">
            <v>12</v>
          </cell>
          <cell r="R191">
            <v>3</v>
          </cell>
          <cell r="S191" t="str">
            <v>2|20</v>
          </cell>
          <cell r="T191">
            <v>10</v>
          </cell>
          <cell r="U191">
            <v>0</v>
          </cell>
          <cell r="V191">
            <v>0</v>
          </cell>
          <cell r="W191" t="str">
            <v>[]</v>
          </cell>
          <cell r="X191">
            <v>0</v>
          </cell>
          <cell r="Y191" t="str">
            <v>[]</v>
          </cell>
          <cell r="Z191" t="str">
            <v>0,0,0</v>
          </cell>
          <cell r="AA191">
            <v>0</v>
          </cell>
          <cell r="AB191" t="str">
            <v>[]</v>
          </cell>
          <cell r="AC191" t="str">
            <v>[]</v>
          </cell>
          <cell r="AD191" t="str">
            <v>[]</v>
          </cell>
          <cell r="AE191" t="str">
            <v>[]</v>
          </cell>
          <cell r="AF191" t="str">
            <v>[]</v>
          </cell>
          <cell r="AG191" t="str">
            <v>[]</v>
          </cell>
          <cell r="AH191" t="str">
            <v>[]</v>
          </cell>
          <cell r="AI191" t="str">
            <v>[]</v>
          </cell>
          <cell r="AJ191" t="str">
            <v>shenming10_higheff</v>
          </cell>
          <cell r="AK191" t="str">
            <v>[]</v>
          </cell>
          <cell r="AL191" t="str">
            <v>[]</v>
          </cell>
          <cell r="AM191" t="str">
            <v>[]</v>
          </cell>
          <cell r="AN191">
            <v>0</v>
          </cell>
          <cell r="AO191" t="str">
            <v>[]</v>
          </cell>
          <cell r="AP191" t="str">
            <v>[]</v>
          </cell>
          <cell r="AQ191" t="str">
            <v>9010</v>
          </cell>
          <cell r="AR191" t="str">
            <v>[]</v>
          </cell>
          <cell r="AS191" t="str">
            <v>[]</v>
          </cell>
          <cell r="AT191" t="str">
            <v>9010</v>
          </cell>
          <cell r="AU191" t="str">
            <v>3540</v>
          </cell>
          <cell r="AV191" t="str">
            <v>白骨夫人</v>
          </cell>
          <cell r="AW191" t="str">
            <v>03</v>
          </cell>
          <cell r="AX191">
            <v>1262</v>
          </cell>
          <cell r="AY191">
            <v>1</v>
          </cell>
          <cell r="BA191" t="str">
            <v>[]</v>
          </cell>
          <cell r="BE191" t="str">
            <v>[]</v>
          </cell>
          <cell r="BF191"/>
        </row>
        <row r="192">
          <cell r="A192" t="str">
            <v>baigufuren_skill04</v>
          </cell>
          <cell r="B192" t="str">
            <v>痛苦之灵</v>
          </cell>
          <cell r="C192" t="str">
            <v>将痛苦之灵附身在敌军身上，对范围内的敌人造成4次攻击力@s的法伤，每次攻击清除敌人1个增益状态</v>
          </cell>
          <cell r="D192">
            <v>1264</v>
          </cell>
          <cell r="E192">
            <v>0</v>
          </cell>
          <cell r="F192" t="str">
            <v>[]</v>
          </cell>
          <cell r="G192" t="str">
            <v>白骨夫人技能4</v>
          </cell>
          <cell r="H192" t="str">
            <v>baigufuren_skill04</v>
          </cell>
          <cell r="I192" t="str">
            <v>[]</v>
          </cell>
          <cell r="J192">
            <v>3</v>
          </cell>
          <cell r="K192">
            <v>10</v>
          </cell>
          <cell r="L192" t="str">
            <v>[]</v>
          </cell>
          <cell r="M192">
            <v>2</v>
          </cell>
          <cell r="N192">
            <v>2</v>
          </cell>
          <cell r="O192">
            <v>1</v>
          </cell>
          <cell r="P192">
            <v>2</v>
          </cell>
          <cell r="Q192">
            <v>12</v>
          </cell>
          <cell r="R192" t="str">
            <v>2|1</v>
          </cell>
          <cell r="S192" t="str">
            <v>2|6</v>
          </cell>
          <cell r="T192">
            <v>10</v>
          </cell>
          <cell r="U192">
            <v>1</v>
          </cell>
          <cell r="V192">
            <v>0</v>
          </cell>
          <cell r="W192" t="str">
            <v>[]</v>
          </cell>
          <cell r="X192">
            <v>3</v>
          </cell>
          <cell r="Y192" t="str">
            <v>[]</v>
          </cell>
          <cell r="Z192" t="str">
            <v>0,0.8,1.4</v>
          </cell>
          <cell r="AA192">
            <v>0</v>
          </cell>
          <cell r="AB192">
            <v>12</v>
          </cell>
          <cell r="AC192" t="str">
            <v>[]</v>
          </cell>
          <cell r="AD192" t="str">
            <v>[]</v>
          </cell>
          <cell r="AE192" t="str">
            <v>[]</v>
          </cell>
          <cell r="AF192" t="str">
            <v>baigufuren_skill04_ack</v>
          </cell>
          <cell r="AG192" t="str">
            <v>baigufuren_skill04</v>
          </cell>
          <cell r="AH192" t="str">
            <v>[]</v>
          </cell>
          <cell r="AI192" t="str">
            <v>[]</v>
          </cell>
          <cell r="AJ192" t="str">
            <v>[]</v>
          </cell>
          <cell r="AK192" t="str">
            <v>qusanTN1P1</v>
          </cell>
          <cell r="AL192" t="str">
            <v>[]</v>
          </cell>
          <cell r="AM192" t="str">
            <v>[]</v>
          </cell>
          <cell r="AN192">
            <v>1</v>
          </cell>
          <cell r="AO192" t="str">
            <v>1,0.2,0.2,0.2</v>
          </cell>
          <cell r="AP192">
            <v>111604</v>
          </cell>
          <cell r="AQ192" t="str">
            <v>111604</v>
          </cell>
          <cell r="AR192" t="str">
            <v>[]</v>
          </cell>
          <cell r="AS192" t="str">
            <v>[]</v>
          </cell>
          <cell r="AT192" t="str">
            <v>1116</v>
          </cell>
          <cell r="AU192" t="str">
            <v>3550</v>
          </cell>
          <cell r="AV192" t="str">
            <v>白骨夫人</v>
          </cell>
          <cell r="AW192" t="str">
            <v>04</v>
          </cell>
          <cell r="AX192">
            <v>1264</v>
          </cell>
          <cell r="AY192">
            <v>4</v>
          </cell>
          <cell r="BA192" t="str">
            <v>[]</v>
          </cell>
          <cell r="BE192" t="str">
            <v>[]</v>
          </cell>
          <cell r="BF192"/>
        </row>
        <row r="193">
          <cell r="A193" t="str">
            <v>baigufuren_skill011</v>
          </cell>
          <cell r="B193" t="str">
            <v>奥义·枯骨逢春</v>
          </cell>
          <cell r="C193" t="str">
            <v>释放枯骨逢春秘法，治疗全体友军，每0.5秒恢复主角攻击力@s的生命值，持续3秒</v>
          </cell>
          <cell r="D193">
            <v>1266</v>
          </cell>
          <cell r="E193">
            <v>0</v>
          </cell>
          <cell r="F193">
            <v>0</v>
          </cell>
          <cell r="G193" t="str">
            <v>白骨夫人核心技能</v>
          </cell>
          <cell r="H193" t="str">
            <v>baigufuren_skill01</v>
          </cell>
          <cell r="I193" t="str">
            <v>baigufuren_skill01</v>
          </cell>
          <cell r="J193">
            <v>0</v>
          </cell>
          <cell r="K193">
            <v>10</v>
          </cell>
          <cell r="L193" t="str">
            <v>1|16</v>
          </cell>
          <cell r="M193">
            <v>2</v>
          </cell>
          <cell r="N193">
            <v>2</v>
          </cell>
          <cell r="O193">
            <v>1</v>
          </cell>
          <cell r="P193">
            <v>5</v>
          </cell>
          <cell r="Q193">
            <v>12</v>
          </cell>
          <cell r="R193">
            <v>3</v>
          </cell>
          <cell r="S193" t="str">
            <v>2|20</v>
          </cell>
          <cell r="T193">
            <v>10</v>
          </cell>
          <cell r="U193">
            <v>1</v>
          </cell>
          <cell r="V193">
            <v>0</v>
          </cell>
          <cell r="W193" t="str">
            <v>[]</v>
          </cell>
          <cell r="X193">
            <v>0</v>
          </cell>
          <cell r="Y193" t="str">
            <v>[]</v>
          </cell>
          <cell r="Z193" t="str">
            <v>0,1,0</v>
          </cell>
          <cell r="AA193">
            <v>0</v>
          </cell>
          <cell r="AB193" t="str">
            <v>12</v>
          </cell>
          <cell r="AC193" t="str">
            <v>[]</v>
          </cell>
          <cell r="AD193" t="str">
            <v>[]</v>
          </cell>
          <cell r="AE193" t="str">
            <v>[]</v>
          </cell>
          <cell r="AF193" t="str">
            <v>baigufuren_skill01</v>
          </cell>
          <cell r="AG193" t="str">
            <v>respond_hp</v>
          </cell>
          <cell r="AH193" t="str">
            <v>[]</v>
          </cell>
          <cell r="AI193" t="str">
            <v>[]</v>
          </cell>
          <cell r="AJ193" t="str">
            <v>[]</v>
          </cell>
          <cell r="AK193" t="str">
            <v>[]</v>
          </cell>
          <cell r="AL193" t="str">
            <v>[]</v>
          </cell>
          <cell r="AM193" t="str">
            <v>huifuT3N0.5</v>
          </cell>
          <cell r="AN193">
            <v>1</v>
          </cell>
          <cell r="AO193">
            <v>1</v>
          </cell>
          <cell r="AP193" t="str">
            <v>[]</v>
          </cell>
          <cell r="AQ193" t="str">
            <v>9050</v>
          </cell>
          <cell r="AR193" t="str">
            <v>[]</v>
          </cell>
          <cell r="AS193" t="str">
            <v>[]</v>
          </cell>
          <cell r="AT193" t="str">
            <v>3520</v>
          </cell>
          <cell r="AU193" t="str">
            <v>3520</v>
          </cell>
          <cell r="AV193" t="str">
            <v>白骨夫人</v>
          </cell>
          <cell r="AW193" t="str">
            <v>11</v>
          </cell>
          <cell r="AX193">
            <v>1266</v>
          </cell>
          <cell r="AY193">
            <v>1</v>
          </cell>
          <cell r="BA193" t="str">
            <v>[]</v>
          </cell>
          <cell r="BE193" t="str">
            <v>[]</v>
          </cell>
          <cell r="BF193"/>
        </row>
        <row r="194">
          <cell r="A194" t="str">
            <v>baigufuren_skill021</v>
          </cell>
          <cell r="B194" t="str">
            <v>奥义·嗜血充饥</v>
          </cell>
          <cell r="C194" t="str">
            <v>治疗生命值百分比最低的友军，恢复自身攻击力@s的生命值</v>
          </cell>
          <cell r="D194">
            <v>1268</v>
          </cell>
          <cell r="E194">
            <v>0</v>
          </cell>
          <cell r="F194" t="str">
            <v>[]</v>
          </cell>
          <cell r="G194" t="str">
            <v>白骨夫人技能2</v>
          </cell>
          <cell r="H194" t="str">
            <v>baigufuren_skill02</v>
          </cell>
          <cell r="I194" t="str">
            <v>baigufuren_skill02</v>
          </cell>
          <cell r="J194">
            <v>1</v>
          </cell>
          <cell r="K194">
            <v>10</v>
          </cell>
          <cell r="L194" t="str">
            <v>[]</v>
          </cell>
          <cell r="M194">
            <v>2</v>
          </cell>
          <cell r="N194">
            <v>2</v>
          </cell>
          <cell r="O194">
            <v>1</v>
          </cell>
          <cell r="P194">
            <v>5</v>
          </cell>
          <cell r="Q194">
            <v>12</v>
          </cell>
          <cell r="R194">
            <v>3</v>
          </cell>
          <cell r="S194">
            <v>7</v>
          </cell>
          <cell r="T194">
            <v>1</v>
          </cell>
          <cell r="U194">
            <v>1</v>
          </cell>
          <cell r="V194">
            <v>0</v>
          </cell>
          <cell r="W194" t="str">
            <v>[]</v>
          </cell>
          <cell r="X194">
            <v>3</v>
          </cell>
          <cell r="Y194" t="str">
            <v>[]</v>
          </cell>
          <cell r="Z194" t="str">
            <v>0,0.8,0.2</v>
          </cell>
          <cell r="AA194">
            <v>0</v>
          </cell>
          <cell r="AB194">
            <v>12</v>
          </cell>
          <cell r="AC194" t="str">
            <v>[]</v>
          </cell>
          <cell r="AD194" t="str">
            <v>[]</v>
          </cell>
          <cell r="AE194" t="str">
            <v>[]</v>
          </cell>
          <cell r="AF194" t="str">
            <v>baigufuren_skill02_blank</v>
          </cell>
          <cell r="AG194" t="str">
            <v>baigufuren_skill02,respond_hp</v>
          </cell>
          <cell r="AH194" t="str">
            <v>[]</v>
          </cell>
          <cell r="AI194" t="str">
            <v>[]</v>
          </cell>
          <cell r="AJ194" t="str">
            <v>[]</v>
          </cell>
          <cell r="AK194" t="str">
            <v>[]</v>
          </cell>
          <cell r="AL194" t="str">
            <v>[]</v>
          </cell>
          <cell r="AM194" t="str">
            <v>[]</v>
          </cell>
          <cell r="AN194">
            <v>1</v>
          </cell>
          <cell r="AO194">
            <v>1</v>
          </cell>
          <cell r="AP194">
            <v>111606</v>
          </cell>
          <cell r="AQ194" t="str">
            <v>111606</v>
          </cell>
          <cell r="AR194" t="str">
            <v>[]</v>
          </cell>
          <cell r="AS194" t="str">
            <v>[]</v>
          </cell>
          <cell r="AT194" t="str">
            <v>1116</v>
          </cell>
          <cell r="AU194" t="str">
            <v>3532</v>
          </cell>
          <cell r="AV194" t="str">
            <v>白骨夫人</v>
          </cell>
          <cell r="AW194" t="str">
            <v>21</v>
          </cell>
          <cell r="AX194">
            <v>1268</v>
          </cell>
          <cell r="AY194">
            <v>1</v>
          </cell>
          <cell r="BA194" t="str">
            <v>[]</v>
          </cell>
          <cell r="BE194" t="str">
            <v>[]</v>
          </cell>
          <cell r="BF194"/>
        </row>
        <row r="195">
          <cell r="A195" t="str">
            <v>baigufuren_skill041</v>
          </cell>
          <cell r="B195" t="str">
            <v>奥义·痛苦之灵</v>
          </cell>
          <cell r="C195" t="str">
            <v>将痛苦之灵附身在敌军身上，对范围内的敌人造成4次攻击力@s的法伤，清除敌人所有增益状态</v>
          </cell>
          <cell r="D195">
            <v>1270</v>
          </cell>
          <cell r="E195">
            <v>0</v>
          </cell>
          <cell r="F195" t="str">
            <v>[]</v>
          </cell>
          <cell r="G195" t="str">
            <v>白骨夫人技能4</v>
          </cell>
          <cell r="H195" t="str">
            <v>baigufuren_skill04</v>
          </cell>
          <cell r="I195" t="str">
            <v>[]</v>
          </cell>
          <cell r="J195">
            <v>3</v>
          </cell>
          <cell r="K195">
            <v>10</v>
          </cell>
          <cell r="L195" t="str">
            <v>[]</v>
          </cell>
          <cell r="M195">
            <v>2</v>
          </cell>
          <cell r="N195">
            <v>2</v>
          </cell>
          <cell r="O195">
            <v>1</v>
          </cell>
          <cell r="P195">
            <v>2</v>
          </cell>
          <cell r="Q195">
            <v>12</v>
          </cell>
          <cell r="R195" t="str">
            <v>2|1</v>
          </cell>
          <cell r="S195" t="str">
            <v>2|6</v>
          </cell>
          <cell r="T195">
            <v>10</v>
          </cell>
          <cell r="U195">
            <v>0</v>
          </cell>
          <cell r="V195">
            <v>0</v>
          </cell>
          <cell r="W195" t="str">
            <v>[]</v>
          </cell>
          <cell r="X195">
            <v>3</v>
          </cell>
          <cell r="Y195" t="str">
            <v>[]</v>
          </cell>
          <cell r="Z195" t="str">
            <v>0,0.8,1.4</v>
          </cell>
          <cell r="AA195">
            <v>0</v>
          </cell>
          <cell r="AB195">
            <v>12</v>
          </cell>
          <cell r="AC195" t="str">
            <v>[]</v>
          </cell>
          <cell r="AD195" t="str">
            <v>[]</v>
          </cell>
          <cell r="AE195" t="str">
            <v>[]</v>
          </cell>
          <cell r="AF195" t="str">
            <v>baigufuren_skill04_ack</v>
          </cell>
          <cell r="AG195" t="str">
            <v>baigufuren_skill04</v>
          </cell>
          <cell r="AH195" t="str">
            <v>[]</v>
          </cell>
          <cell r="AI195" t="str">
            <v>[]</v>
          </cell>
          <cell r="AJ195" t="str">
            <v>[]</v>
          </cell>
          <cell r="AK195" t="str">
            <v>qusanTN99P1</v>
          </cell>
          <cell r="AL195" t="str">
            <v>[]</v>
          </cell>
          <cell r="AM195" t="str">
            <v>[]</v>
          </cell>
          <cell r="AN195">
            <v>2</v>
          </cell>
          <cell r="AO195" t="str">
            <v>1,0.2,0.2,0.2</v>
          </cell>
          <cell r="AP195">
            <v>111607</v>
          </cell>
          <cell r="AQ195" t="str">
            <v>111607</v>
          </cell>
          <cell r="AR195" t="str">
            <v>[]</v>
          </cell>
          <cell r="AS195" t="str">
            <v>[]</v>
          </cell>
          <cell r="AT195" t="str">
            <v>1116</v>
          </cell>
          <cell r="AU195" t="str">
            <v>3550</v>
          </cell>
          <cell r="AV195" t="str">
            <v>白骨夫人</v>
          </cell>
          <cell r="AW195" t="str">
            <v>41</v>
          </cell>
          <cell r="AX195">
            <v>1270</v>
          </cell>
          <cell r="AY195">
            <v>4</v>
          </cell>
          <cell r="BA195" t="str">
            <v>[]</v>
          </cell>
          <cell r="BE195" t="str">
            <v>[]</v>
          </cell>
          <cell r="BF195"/>
        </row>
        <row r="196">
          <cell r="A196" t="str">
            <v>xiaobailong_attack</v>
          </cell>
          <cell r="B196" t="str">
            <v>小白龙普攻</v>
          </cell>
          <cell r="C196" t="str">
            <v>普攻</v>
          </cell>
          <cell r="D196" t="str">
            <v>[]</v>
          </cell>
          <cell r="E196">
            <v>0</v>
          </cell>
          <cell r="F196" t="str">
            <v>[]</v>
          </cell>
          <cell r="G196" t="str">
            <v>近战攻击</v>
          </cell>
          <cell r="H196" t="str">
            <v>[]</v>
          </cell>
          <cell r="I196" t="str">
            <v>[]</v>
          </cell>
          <cell r="J196">
            <v>0</v>
          </cell>
          <cell r="K196">
            <v>1</v>
          </cell>
          <cell r="L196" t="str">
            <v>[]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3</v>
          </cell>
          <cell r="R196" t="str">
            <v>2|1</v>
          </cell>
          <cell r="S196" t="str">
            <v>4|0.2</v>
          </cell>
          <cell r="T196">
            <v>1</v>
          </cell>
          <cell r="U196">
            <v>1</v>
          </cell>
          <cell r="V196">
            <v>0</v>
          </cell>
          <cell r="W196" t="str">
            <v>[]</v>
          </cell>
          <cell r="X196">
            <v>0</v>
          </cell>
          <cell r="Y196" t="str">
            <v>[]</v>
          </cell>
          <cell r="Z196" t="str">
            <v>0,1,0</v>
          </cell>
          <cell r="AA196">
            <v>0</v>
          </cell>
          <cell r="AB196" t="str">
            <v>[]</v>
          </cell>
          <cell r="AC196" t="str">
            <v>[]</v>
          </cell>
          <cell r="AD196" t="str">
            <v>[]</v>
          </cell>
          <cell r="AE196" t="str">
            <v>[]</v>
          </cell>
          <cell r="AF196" t="str">
            <v>xiaobailong_attack</v>
          </cell>
          <cell r="AG196" t="str">
            <v>common_hit_zhongwuqi</v>
          </cell>
          <cell r="AH196" t="str">
            <v>[]</v>
          </cell>
          <cell r="AI196" t="str">
            <v>[]</v>
          </cell>
          <cell r="AJ196" t="str">
            <v>[]</v>
          </cell>
          <cell r="AK196" t="str">
            <v>jinghuaTN1P1</v>
          </cell>
          <cell r="AL196" t="str">
            <v>[]</v>
          </cell>
          <cell r="AM196" t="str">
            <v>[]</v>
          </cell>
          <cell r="AN196">
            <v>1</v>
          </cell>
          <cell r="AO196">
            <v>0.25</v>
          </cell>
          <cell r="AP196">
            <v>112300</v>
          </cell>
          <cell r="AQ196" t="str">
            <v>112300</v>
          </cell>
          <cell r="AR196" t="str">
            <v>[]</v>
          </cell>
          <cell r="AS196" t="str">
            <v>[]</v>
          </cell>
          <cell r="AT196" t="str">
            <v>1118</v>
          </cell>
          <cell r="AU196" t="str">
            <v>3610</v>
          </cell>
          <cell r="AV196" t="str">
            <v>近战攻击</v>
          </cell>
          <cell r="AW196" t="str">
            <v>ck</v>
          </cell>
          <cell r="AX196" t="str">
            <v>[]</v>
          </cell>
          <cell r="AY196">
            <v>1</v>
          </cell>
          <cell r="BA196" t="str">
            <v>[]</v>
          </cell>
          <cell r="BE196" t="str">
            <v>[]</v>
          </cell>
          <cell r="BF196"/>
        </row>
        <row r="197">
          <cell r="A197" t="str">
            <v>xiaobailong_attack02</v>
          </cell>
          <cell r="B197" t="str">
            <v>小白龙普攻</v>
          </cell>
          <cell r="C197" t="str">
            <v>普攻</v>
          </cell>
          <cell r="D197" t="str">
            <v>[]</v>
          </cell>
          <cell r="E197">
            <v>0</v>
          </cell>
          <cell r="F197" t="str">
            <v>[]</v>
          </cell>
          <cell r="G197" t="str">
            <v>近战攻击</v>
          </cell>
          <cell r="H197" t="str">
            <v>[]</v>
          </cell>
          <cell r="I197" t="str">
            <v>[]</v>
          </cell>
          <cell r="J197">
            <v>0</v>
          </cell>
          <cell r="K197">
            <v>1</v>
          </cell>
          <cell r="L197" t="str">
            <v>[]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3</v>
          </cell>
          <cell r="R197" t="str">
            <v>2|1</v>
          </cell>
          <cell r="S197" t="str">
            <v>4|0.2</v>
          </cell>
          <cell r="T197">
            <v>1</v>
          </cell>
          <cell r="U197">
            <v>1</v>
          </cell>
          <cell r="V197">
            <v>0</v>
          </cell>
          <cell r="W197" t="str">
            <v>[]</v>
          </cell>
          <cell r="X197">
            <v>0</v>
          </cell>
          <cell r="Y197" t="str">
            <v>[]</v>
          </cell>
          <cell r="Z197" t="str">
            <v>0,1,0</v>
          </cell>
          <cell r="AA197">
            <v>0</v>
          </cell>
          <cell r="AB197" t="str">
            <v>[]</v>
          </cell>
          <cell r="AC197" t="str">
            <v>[]</v>
          </cell>
          <cell r="AD197" t="str">
            <v>[]</v>
          </cell>
          <cell r="AE197" t="str">
            <v>[]</v>
          </cell>
          <cell r="AF197" t="str">
            <v>xiaobailong_attack02</v>
          </cell>
          <cell r="AG197" t="str">
            <v>common_hit_zhongwuqi</v>
          </cell>
          <cell r="AH197" t="str">
            <v>[]</v>
          </cell>
          <cell r="AI197" t="str">
            <v>[]</v>
          </cell>
          <cell r="AJ197" t="str">
            <v>[]</v>
          </cell>
          <cell r="AK197" t="str">
            <v>[]</v>
          </cell>
          <cell r="AL197" t="str">
            <v>[]</v>
          </cell>
          <cell r="AM197" t="str">
            <v>[]</v>
          </cell>
          <cell r="AN197">
            <v>1</v>
          </cell>
          <cell r="AO197">
            <v>0.25</v>
          </cell>
          <cell r="AP197">
            <v>112301</v>
          </cell>
          <cell r="AQ197" t="str">
            <v>112301</v>
          </cell>
          <cell r="AR197" t="str">
            <v>[]</v>
          </cell>
          <cell r="AS197" t="str">
            <v>[]</v>
          </cell>
          <cell r="AT197" t="str">
            <v>1118</v>
          </cell>
          <cell r="AU197" t="str">
            <v>3610</v>
          </cell>
          <cell r="AV197" t="str">
            <v>近战攻击</v>
          </cell>
          <cell r="AW197" t="str">
            <v>02</v>
          </cell>
          <cell r="AX197" t="str">
            <v>[]</v>
          </cell>
          <cell r="AY197">
            <v>1</v>
          </cell>
          <cell r="BA197" t="str">
            <v>[]</v>
          </cell>
          <cell r="BE197" t="str">
            <v>[]</v>
          </cell>
          <cell r="BF197"/>
        </row>
        <row r="198">
          <cell r="A198" t="str">
            <v>xiaobailong_attack03</v>
          </cell>
          <cell r="B198" t="str">
            <v>小白龙普攻</v>
          </cell>
          <cell r="C198" t="str">
            <v>普攻</v>
          </cell>
          <cell r="D198">
            <v>1262</v>
          </cell>
          <cell r="E198">
            <v>0</v>
          </cell>
          <cell r="F198" t="str">
            <v>[]</v>
          </cell>
          <cell r="G198" t="str">
            <v>近战攻击</v>
          </cell>
          <cell r="H198" t="str">
            <v>[]</v>
          </cell>
          <cell r="I198" t="str">
            <v>[]</v>
          </cell>
          <cell r="J198">
            <v>0</v>
          </cell>
          <cell r="K198">
            <v>1</v>
          </cell>
          <cell r="L198" t="str">
            <v>[]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3</v>
          </cell>
          <cell r="R198" t="str">
            <v>2|1</v>
          </cell>
          <cell r="S198" t="str">
            <v>4|0.2</v>
          </cell>
          <cell r="T198">
            <v>1</v>
          </cell>
          <cell r="U198">
            <v>1</v>
          </cell>
          <cell r="V198">
            <v>0</v>
          </cell>
          <cell r="W198" t="str">
            <v>[]</v>
          </cell>
          <cell r="X198">
            <v>0</v>
          </cell>
          <cell r="Y198" t="str">
            <v>[]</v>
          </cell>
          <cell r="Z198" t="str">
            <v>0,1,0</v>
          </cell>
          <cell r="AA198">
            <v>0</v>
          </cell>
          <cell r="AB198" t="str">
            <v>[]</v>
          </cell>
          <cell r="AC198" t="str">
            <v>[]</v>
          </cell>
          <cell r="AD198" t="str">
            <v>[]</v>
          </cell>
          <cell r="AE198" t="str">
            <v>[]</v>
          </cell>
          <cell r="AF198" t="str">
            <v>xiaobailong_attack03</v>
          </cell>
          <cell r="AG198" t="str">
            <v>common_hit_zhongwuqi</v>
          </cell>
          <cell r="AH198" t="str">
            <v>[]</v>
          </cell>
          <cell r="AI198" t="str">
            <v>[]</v>
          </cell>
          <cell r="AJ198" t="str">
            <v>[]</v>
          </cell>
          <cell r="AK198" t="str">
            <v>[]</v>
          </cell>
          <cell r="AL198" t="str">
            <v>[]</v>
          </cell>
          <cell r="AM198" t="str">
            <v>[]</v>
          </cell>
          <cell r="AN198">
            <v>1</v>
          </cell>
          <cell r="AO198">
            <v>0.25</v>
          </cell>
          <cell r="AP198">
            <v>112302</v>
          </cell>
          <cell r="AQ198" t="str">
            <v>112302</v>
          </cell>
          <cell r="AR198" t="str">
            <v>[]</v>
          </cell>
          <cell r="AS198" t="str">
            <v>[]</v>
          </cell>
          <cell r="AT198" t="str">
            <v>1118</v>
          </cell>
          <cell r="AU198" t="str">
            <v>3610</v>
          </cell>
          <cell r="AV198" t="str">
            <v>近战攻击</v>
          </cell>
          <cell r="AW198" t="str">
            <v>03</v>
          </cell>
          <cell r="AX198">
            <v>1262</v>
          </cell>
          <cell r="AY198">
            <v>1</v>
          </cell>
          <cell r="BA198" t="str">
            <v>[]</v>
          </cell>
          <cell r="BE198" t="str">
            <v>[]</v>
          </cell>
          <cell r="BF198"/>
        </row>
        <row r="199">
          <cell r="A199" t="str">
            <v>xiaobailong_skill01</v>
          </cell>
          <cell r="B199" t="str">
            <v>蛟龙出海</v>
          </cell>
          <cell r="C199" t="str">
            <v>召唤大型水龙卷，对范围内敌人进行3次攻击，造成主角攻击力@s的物伤</v>
          </cell>
          <cell r="D199" t="str">
            <v>[]</v>
          </cell>
          <cell r="E199">
            <v>0</v>
          </cell>
          <cell r="F199" t="str">
            <v>[]</v>
          </cell>
          <cell r="G199" t="str">
            <v>小白龙核心技能</v>
          </cell>
          <cell r="H199" t="str">
            <v>xiaobailong_skill01</v>
          </cell>
          <cell r="I199" t="str">
            <v>xiaobailong_skill01</v>
          </cell>
          <cell r="J199">
            <v>0</v>
          </cell>
          <cell r="K199">
            <v>10</v>
          </cell>
          <cell r="L199" t="str">
            <v>1|23</v>
          </cell>
          <cell r="M199">
            <v>2</v>
          </cell>
          <cell r="N199">
            <v>2</v>
          </cell>
          <cell r="O199">
            <v>2</v>
          </cell>
          <cell r="P199">
            <v>2</v>
          </cell>
          <cell r="Q199">
            <v>12</v>
          </cell>
          <cell r="R199" t="str">
            <v>2|1</v>
          </cell>
          <cell r="S199" t="str">
            <v>2|6</v>
          </cell>
          <cell r="T199">
            <v>10</v>
          </cell>
          <cell r="U199">
            <v>0</v>
          </cell>
          <cell r="V199">
            <v>0</v>
          </cell>
          <cell r="W199" t="str">
            <v>[]</v>
          </cell>
          <cell r="X199">
            <v>0</v>
          </cell>
          <cell r="Y199" t="str">
            <v>[]</v>
          </cell>
          <cell r="Z199" t="str">
            <v>0,1,0</v>
          </cell>
          <cell r="AA199">
            <v>0</v>
          </cell>
          <cell r="AB199" t="str">
            <v>12</v>
          </cell>
          <cell r="AC199" t="str">
            <v>[]</v>
          </cell>
          <cell r="AD199" t="str">
            <v>[]</v>
          </cell>
          <cell r="AE199" t="str">
            <v>[]</v>
          </cell>
          <cell r="AF199" t="str">
            <v>xiaobailong_skill01</v>
          </cell>
          <cell r="AG199" t="str">
            <v>common_hit_zhongwuqi</v>
          </cell>
          <cell r="AH199" t="str">
            <v>[]</v>
          </cell>
          <cell r="AI199" t="str">
            <v>[]</v>
          </cell>
          <cell r="AJ199" t="str">
            <v>[]</v>
          </cell>
          <cell r="AK199" t="str">
            <v>[]</v>
          </cell>
          <cell r="AL199" t="str">
            <v>[]</v>
          </cell>
          <cell r="AM199" t="str">
            <v>[]</v>
          </cell>
          <cell r="AN199">
            <v>1</v>
          </cell>
          <cell r="AO199" t="str">
            <v>0.7,0.5,0.3</v>
          </cell>
          <cell r="AP199">
            <v>112303</v>
          </cell>
          <cell r="AQ199" t="str">
            <v>112303</v>
          </cell>
          <cell r="AR199" t="str">
            <v>[]</v>
          </cell>
          <cell r="AS199" t="str">
            <v>[]</v>
          </cell>
          <cell r="AT199" t="str">
            <v>9010</v>
          </cell>
          <cell r="AU199" t="str">
            <v>3620</v>
          </cell>
          <cell r="AV199" t="str">
            <v>小白龙</v>
          </cell>
          <cell r="AW199" t="str">
            <v>01</v>
          </cell>
          <cell r="AX199" t="str">
            <v>[]</v>
          </cell>
          <cell r="AY199">
            <v>3</v>
          </cell>
          <cell r="BA199" t="str">
            <v>[]</v>
          </cell>
          <cell r="BE199" t="str">
            <v>[]</v>
          </cell>
          <cell r="BF199"/>
        </row>
        <row r="200">
          <cell r="A200" t="str">
            <v>xiaobailong_skill02</v>
          </cell>
          <cell r="B200" t="str">
            <v>神龙摆尾</v>
          </cell>
          <cell r="C200" t="str">
            <v>舞枪对范围内敌人进行2次攻击，造成自身攻击力@s的物伤，每次有11%的概率震晕目标</v>
          </cell>
          <cell r="D200" t="str">
            <v>[]</v>
          </cell>
          <cell r="E200">
            <v>2</v>
          </cell>
          <cell r="F200" t="str">
            <v>boss_warning_juxing</v>
          </cell>
          <cell r="G200" t="str">
            <v>小白龙技能2</v>
          </cell>
          <cell r="H200" t="str">
            <v>xiaobailong_skill02</v>
          </cell>
          <cell r="I200" t="str">
            <v>[]</v>
          </cell>
          <cell r="J200">
            <v>1</v>
          </cell>
          <cell r="K200">
            <v>10</v>
          </cell>
          <cell r="L200" t="str">
            <v>[]</v>
          </cell>
          <cell r="M200">
            <v>2</v>
          </cell>
          <cell r="N200">
            <v>2</v>
          </cell>
          <cell r="O200">
            <v>1</v>
          </cell>
          <cell r="P200">
            <v>2</v>
          </cell>
          <cell r="Q200">
            <v>4</v>
          </cell>
          <cell r="R200" t="str">
            <v>2|1</v>
          </cell>
          <cell r="S200" t="str">
            <v>4|0.2</v>
          </cell>
          <cell r="T200">
            <v>10</v>
          </cell>
          <cell r="U200">
            <v>0</v>
          </cell>
          <cell r="V200">
            <v>0</v>
          </cell>
          <cell r="W200" t="str">
            <v>[]</v>
          </cell>
          <cell r="X200">
            <v>3</v>
          </cell>
          <cell r="Y200" t="str">
            <v>[]</v>
          </cell>
          <cell r="Z200" t="str">
            <v>0,1.833,0</v>
          </cell>
          <cell r="AA200">
            <v>0</v>
          </cell>
          <cell r="AB200">
            <v>6</v>
          </cell>
          <cell r="AC200" t="str">
            <v>[]</v>
          </cell>
          <cell r="AD200" t="str">
            <v>[]</v>
          </cell>
          <cell r="AE200" t="str">
            <v>[]</v>
          </cell>
          <cell r="AF200" t="str">
            <v>xiaobailong_skill02</v>
          </cell>
          <cell r="AG200" t="str">
            <v>common_hit_zhongwuqi</v>
          </cell>
          <cell r="AH200" t="str">
            <v>[]</v>
          </cell>
          <cell r="AI200" t="str">
            <v>[]</v>
          </cell>
          <cell r="AJ200" t="str">
            <v>xiaobailong_zhenping_01,xiaobailong_zhenping</v>
          </cell>
          <cell r="AK200" t="str">
            <v>yunxuanT1NP0.1</v>
          </cell>
          <cell r="AL200" t="str">
            <v>[]</v>
          </cell>
          <cell r="AM200" t="str">
            <v>[]</v>
          </cell>
          <cell r="AN200">
            <v>1</v>
          </cell>
          <cell r="AO200" t="str">
            <v>0.367,0.667</v>
          </cell>
          <cell r="AP200">
            <v>112304</v>
          </cell>
          <cell r="AQ200" t="str">
            <v>112304</v>
          </cell>
          <cell r="AR200" t="str">
            <v>[]</v>
          </cell>
          <cell r="AS200" t="str">
            <v>[]</v>
          </cell>
          <cell r="AT200" t="str">
            <v>1118</v>
          </cell>
          <cell r="AU200" t="str">
            <v>3630</v>
          </cell>
          <cell r="AV200" t="str">
            <v>小白龙</v>
          </cell>
          <cell r="AW200" t="str">
            <v>02</v>
          </cell>
          <cell r="AX200" t="str">
            <v>[]</v>
          </cell>
          <cell r="AY200">
            <v>2</v>
          </cell>
          <cell r="AZ200">
            <v>0.2</v>
          </cell>
          <cell r="BA200">
            <v>0.106</v>
          </cell>
          <cell r="BB200" t="str">
            <v>眩晕</v>
          </cell>
          <cell r="BE200">
            <v>0.106</v>
          </cell>
          <cell r="BF200" t="str">
            <v>10</v>
          </cell>
        </row>
        <row r="201">
          <cell r="A201" t="str">
            <v>xiaobailong_skill03</v>
          </cell>
          <cell r="B201" t="str">
            <v>士气高涨</v>
          </cell>
          <cell r="C201" t="str">
            <v>进入战斗场景时，提高自身闪避@s</v>
          </cell>
          <cell r="D201">
            <v>1262</v>
          </cell>
          <cell r="E201">
            <v>0</v>
          </cell>
          <cell r="F201" t="str">
            <v>[]</v>
          </cell>
          <cell r="G201" t="str">
            <v>小白龙被动技能</v>
          </cell>
          <cell r="H201" t="str">
            <v>fagong</v>
          </cell>
          <cell r="I201" t="str">
            <v>[]</v>
          </cell>
          <cell r="J201">
            <v>2</v>
          </cell>
          <cell r="K201">
            <v>10</v>
          </cell>
          <cell r="L201" t="str">
            <v>[]</v>
          </cell>
          <cell r="M201">
            <v>2</v>
          </cell>
          <cell r="N201">
            <v>2</v>
          </cell>
          <cell r="O201">
            <v>3</v>
          </cell>
          <cell r="P201">
            <v>0</v>
          </cell>
          <cell r="Q201">
            <v>12</v>
          </cell>
          <cell r="R201">
            <v>1</v>
          </cell>
          <cell r="S201" t="str">
            <v>4|0.2</v>
          </cell>
          <cell r="T201">
            <v>1</v>
          </cell>
          <cell r="U201">
            <v>0</v>
          </cell>
          <cell r="V201">
            <v>0</v>
          </cell>
          <cell r="W201" t="str">
            <v>[]</v>
          </cell>
          <cell r="X201">
            <v>0</v>
          </cell>
          <cell r="Y201" t="str">
            <v>[]</v>
          </cell>
          <cell r="Z201" t="str">
            <v>0,0,0</v>
          </cell>
          <cell r="AA201">
            <v>0</v>
          </cell>
          <cell r="AB201" t="str">
            <v>[]</v>
          </cell>
          <cell r="AC201" t="str">
            <v>[]</v>
          </cell>
          <cell r="AD201" t="str">
            <v>[]</v>
          </cell>
          <cell r="AE201" t="str">
            <v>[]</v>
          </cell>
          <cell r="AF201" t="str">
            <v>[]</v>
          </cell>
          <cell r="AG201" t="str">
            <v>[]</v>
          </cell>
          <cell r="AH201" t="str">
            <v>[]</v>
          </cell>
          <cell r="AI201" t="str">
            <v>[]</v>
          </cell>
          <cell r="AJ201" t="str">
            <v>[]</v>
          </cell>
          <cell r="AK201" t="str">
            <v>[]</v>
          </cell>
          <cell r="AL201" t="str">
            <v>shanbiupT3N0.2b</v>
          </cell>
          <cell r="AM201" t="str">
            <v>[]</v>
          </cell>
          <cell r="AN201">
            <v>0</v>
          </cell>
          <cell r="AO201" t="str">
            <v>[]</v>
          </cell>
          <cell r="AP201" t="str">
            <v>[]</v>
          </cell>
          <cell r="AQ201" t="str">
            <v>9020</v>
          </cell>
          <cell r="AR201" t="str">
            <v>[]</v>
          </cell>
          <cell r="AS201" t="str">
            <v>[]</v>
          </cell>
          <cell r="AT201" t="str">
            <v>1123</v>
          </cell>
          <cell r="AU201" t="str">
            <v>3641</v>
          </cell>
          <cell r="AV201" t="str">
            <v>小白龙</v>
          </cell>
          <cell r="AW201" t="str">
            <v>03</v>
          </cell>
          <cell r="AX201">
            <v>1262</v>
          </cell>
          <cell r="AY201">
            <v>1</v>
          </cell>
          <cell r="BA201" t="str">
            <v>[]</v>
          </cell>
          <cell r="BE201" t="str">
            <v>[]</v>
          </cell>
          <cell r="BF201"/>
        </row>
        <row r="202">
          <cell r="A202" t="str">
            <v>xiaobailong_skill04</v>
          </cell>
          <cell r="B202" t="str">
            <v>豪龙胆</v>
          </cell>
          <cell r="C202" t="str">
            <v>舞枪直刺，对范围内敌人造成自身攻击力@s的物伤，同时提升自身暴击@s，持续3秒</v>
          </cell>
          <cell r="D202">
            <v>1264</v>
          </cell>
          <cell r="E202">
            <v>2</v>
          </cell>
          <cell r="F202" t="str">
            <v>boss_warning_juxing</v>
          </cell>
          <cell r="G202" t="str">
            <v>小白龙技能4</v>
          </cell>
          <cell r="H202" t="str">
            <v>xiaobailong_skill04</v>
          </cell>
          <cell r="I202" t="str">
            <v>[]</v>
          </cell>
          <cell r="J202">
            <v>3</v>
          </cell>
          <cell r="K202">
            <v>10</v>
          </cell>
          <cell r="L202" t="str">
            <v>[]</v>
          </cell>
          <cell r="M202">
            <v>2</v>
          </cell>
          <cell r="N202">
            <v>2</v>
          </cell>
          <cell r="O202">
            <v>1</v>
          </cell>
          <cell r="P202">
            <v>2</v>
          </cell>
          <cell r="Q202">
            <v>4</v>
          </cell>
          <cell r="R202" t="str">
            <v>2|1</v>
          </cell>
          <cell r="S202" t="str">
            <v>1|12|5</v>
          </cell>
          <cell r="T202">
            <v>10</v>
          </cell>
          <cell r="U202">
            <v>0</v>
          </cell>
          <cell r="V202">
            <v>0</v>
          </cell>
          <cell r="W202" t="str">
            <v>[]</v>
          </cell>
          <cell r="X202">
            <v>3</v>
          </cell>
          <cell r="Y202" t="str">
            <v>[]</v>
          </cell>
          <cell r="Z202" t="str">
            <v>0,2.333,0</v>
          </cell>
          <cell r="AA202">
            <v>0</v>
          </cell>
          <cell r="AB202">
            <v>6</v>
          </cell>
          <cell r="AC202" t="str">
            <v>[]</v>
          </cell>
          <cell r="AD202" t="str">
            <v>[]</v>
          </cell>
          <cell r="AE202" t="str">
            <v>[]</v>
          </cell>
          <cell r="AF202" t="str">
            <v>xiaobailong_skill04</v>
          </cell>
          <cell r="AG202" t="str">
            <v>common_hit_zhongwuqi</v>
          </cell>
          <cell r="AH202" t="str">
            <v>[]</v>
          </cell>
          <cell r="AI202" t="str">
            <v>[]</v>
          </cell>
          <cell r="AJ202" t="str">
            <v>xiaobailong_zhenping_02</v>
          </cell>
          <cell r="AK202" t="str">
            <v>[]</v>
          </cell>
          <cell r="AL202" t="str">
            <v>baojiupT3N0.2</v>
          </cell>
          <cell r="AM202" t="str">
            <v>[]</v>
          </cell>
          <cell r="AN202">
            <v>2</v>
          </cell>
          <cell r="AO202">
            <v>1.1000000000000001</v>
          </cell>
          <cell r="AP202">
            <v>112306</v>
          </cell>
          <cell r="AQ202" t="str">
            <v>112306,9030</v>
          </cell>
          <cell r="AR202" t="str">
            <v>[]</v>
          </cell>
          <cell r="AS202" t="str">
            <v>[]</v>
          </cell>
          <cell r="AT202" t="str">
            <v>1123</v>
          </cell>
          <cell r="AU202" t="str">
            <v>3650</v>
          </cell>
          <cell r="AV202" t="str">
            <v>小白龙</v>
          </cell>
          <cell r="AW202" t="str">
            <v>04</v>
          </cell>
          <cell r="AX202">
            <v>1264</v>
          </cell>
          <cell r="AY202">
            <v>1</v>
          </cell>
          <cell r="BA202" t="str">
            <v>[]</v>
          </cell>
          <cell r="BE202" t="str">
            <v>[]</v>
          </cell>
          <cell r="BF202"/>
        </row>
        <row r="203">
          <cell r="A203" t="str">
            <v>xiaobailong_skill011</v>
          </cell>
          <cell r="B203" t="str">
            <v>奥义·蛟龙出海</v>
          </cell>
          <cell r="C203" t="str">
            <v>召唤大型水龙卷，对范围内敌人进行3次攻击，造成主角攻击力@s的物伤</v>
          </cell>
          <cell r="D203">
            <v>1266</v>
          </cell>
          <cell r="E203">
            <v>0</v>
          </cell>
          <cell r="F203" t="str">
            <v>[]</v>
          </cell>
          <cell r="G203" t="str">
            <v>小白龙核心技能</v>
          </cell>
          <cell r="H203" t="str">
            <v>xiaobailong_skill01</v>
          </cell>
          <cell r="I203" t="str">
            <v>xiaobailong_skill01</v>
          </cell>
          <cell r="J203">
            <v>0</v>
          </cell>
          <cell r="K203">
            <v>10</v>
          </cell>
          <cell r="L203" t="str">
            <v>1|23</v>
          </cell>
          <cell r="M203">
            <v>2</v>
          </cell>
          <cell r="N203">
            <v>2</v>
          </cell>
          <cell r="O203">
            <v>2</v>
          </cell>
          <cell r="P203">
            <v>2</v>
          </cell>
          <cell r="Q203">
            <v>12</v>
          </cell>
          <cell r="R203" t="str">
            <v>2|1</v>
          </cell>
          <cell r="S203" t="str">
            <v>2|6</v>
          </cell>
          <cell r="T203">
            <v>10</v>
          </cell>
          <cell r="U203">
            <v>0</v>
          </cell>
          <cell r="V203">
            <v>0</v>
          </cell>
          <cell r="W203" t="str">
            <v>[]</v>
          </cell>
          <cell r="X203">
            <v>0</v>
          </cell>
          <cell r="Y203" t="str">
            <v>[]</v>
          </cell>
          <cell r="Z203" t="str">
            <v>0,1,0</v>
          </cell>
          <cell r="AA203">
            <v>0</v>
          </cell>
          <cell r="AB203" t="str">
            <v>12</v>
          </cell>
          <cell r="AC203" t="str">
            <v>[]</v>
          </cell>
          <cell r="AD203" t="str">
            <v>[]</v>
          </cell>
          <cell r="AE203" t="str">
            <v>[]</v>
          </cell>
          <cell r="AF203" t="str">
            <v>xiaobailong_skill01</v>
          </cell>
          <cell r="AG203" t="str">
            <v>common_hit_zhongwuqi</v>
          </cell>
          <cell r="AH203" t="str">
            <v>[]</v>
          </cell>
          <cell r="AI203" t="str">
            <v>[]</v>
          </cell>
          <cell r="AJ203" t="str">
            <v>[]</v>
          </cell>
          <cell r="AK203" t="str">
            <v>[]</v>
          </cell>
          <cell r="AL203" t="str">
            <v>[]</v>
          </cell>
          <cell r="AM203" t="str">
            <v>[]</v>
          </cell>
          <cell r="AN203">
            <v>2</v>
          </cell>
          <cell r="AO203" t="str">
            <v>0.7,0.5,0.3</v>
          </cell>
          <cell r="AP203">
            <v>112307</v>
          </cell>
          <cell r="AQ203" t="str">
            <v>112307</v>
          </cell>
          <cell r="AR203" t="str">
            <v>[]</v>
          </cell>
          <cell r="AS203" t="str">
            <v>[]</v>
          </cell>
          <cell r="AT203" t="str">
            <v>1123</v>
          </cell>
          <cell r="AU203" t="str">
            <v>3620</v>
          </cell>
          <cell r="AV203" t="str">
            <v>小白龙</v>
          </cell>
          <cell r="AW203" t="str">
            <v>11</v>
          </cell>
          <cell r="AX203">
            <v>1266</v>
          </cell>
          <cell r="AY203">
            <v>3</v>
          </cell>
          <cell r="BA203" t="str">
            <v>[]</v>
          </cell>
          <cell r="BE203" t="str">
            <v>[]</v>
          </cell>
          <cell r="BF203"/>
        </row>
        <row r="204">
          <cell r="A204" t="str">
            <v>xiaobailong_skill021</v>
          </cell>
          <cell r="B204" t="str">
            <v>奥义·神龙摆尾</v>
          </cell>
          <cell r="C204" t="str">
            <v>舞枪对范围内敌人进行2次攻击，造成自身攻击力@s的物伤，每次有23%的概率震晕目标</v>
          </cell>
          <cell r="D204">
            <v>1268</v>
          </cell>
          <cell r="E204">
            <v>2</v>
          </cell>
          <cell r="F204" t="str">
            <v>boss_warning_juxing</v>
          </cell>
          <cell r="G204" t="str">
            <v>小白龙技能2</v>
          </cell>
          <cell r="H204" t="str">
            <v>xiaobailong_skill02</v>
          </cell>
          <cell r="I204" t="str">
            <v>[]</v>
          </cell>
          <cell r="J204">
            <v>1</v>
          </cell>
          <cell r="K204">
            <v>10</v>
          </cell>
          <cell r="L204" t="str">
            <v>[]</v>
          </cell>
          <cell r="M204">
            <v>2</v>
          </cell>
          <cell r="N204">
            <v>2</v>
          </cell>
          <cell r="O204">
            <v>1</v>
          </cell>
          <cell r="P204">
            <v>2</v>
          </cell>
          <cell r="Q204">
            <v>4</v>
          </cell>
          <cell r="R204" t="str">
            <v>2|1</v>
          </cell>
          <cell r="S204" t="str">
            <v>4|0.2</v>
          </cell>
          <cell r="T204">
            <v>10</v>
          </cell>
          <cell r="U204">
            <v>0</v>
          </cell>
          <cell r="V204">
            <v>0</v>
          </cell>
          <cell r="W204" t="str">
            <v>[]</v>
          </cell>
          <cell r="X204">
            <v>3</v>
          </cell>
          <cell r="Y204" t="str">
            <v>[]</v>
          </cell>
          <cell r="Z204" t="str">
            <v>0,1.833,0</v>
          </cell>
          <cell r="AA204">
            <v>0</v>
          </cell>
          <cell r="AB204">
            <v>6</v>
          </cell>
          <cell r="AC204" t="str">
            <v>[]</v>
          </cell>
          <cell r="AD204" t="str">
            <v>[]</v>
          </cell>
          <cell r="AE204" t="str">
            <v>[]</v>
          </cell>
          <cell r="AF204" t="str">
            <v>xiaobailong_skill02</v>
          </cell>
          <cell r="AG204" t="str">
            <v>common_hit_zhongwuqi</v>
          </cell>
          <cell r="AH204" t="str">
            <v>[]</v>
          </cell>
          <cell r="AI204" t="str">
            <v>[]</v>
          </cell>
          <cell r="AJ204" t="str">
            <v>xiaobailong_zhenping_01,xiaobailong_zhenping</v>
          </cell>
          <cell r="AK204" t="str">
            <v>yunxuanT1NP0.2</v>
          </cell>
          <cell r="AL204" t="str">
            <v>[]</v>
          </cell>
          <cell r="AM204" t="str">
            <v>[]</v>
          </cell>
          <cell r="AN204">
            <v>1</v>
          </cell>
          <cell r="AO204" t="str">
            <v>0.367,0.667</v>
          </cell>
          <cell r="AP204">
            <v>112308</v>
          </cell>
          <cell r="AQ204" t="str">
            <v>112308</v>
          </cell>
          <cell r="AR204" t="str">
            <v>[]</v>
          </cell>
          <cell r="AS204" t="str">
            <v>[]</v>
          </cell>
          <cell r="AT204" t="str">
            <v>1123</v>
          </cell>
          <cell r="AU204" t="str">
            <v>3630</v>
          </cell>
          <cell r="AV204" t="str">
            <v>小白龙</v>
          </cell>
          <cell r="AW204" t="str">
            <v>21</v>
          </cell>
          <cell r="AX204">
            <v>1268</v>
          </cell>
          <cell r="AY204">
            <v>2</v>
          </cell>
          <cell r="AZ204">
            <v>0.4</v>
          </cell>
          <cell r="BA204">
            <v>0.22500000000000001</v>
          </cell>
          <cell r="BB204" t="str">
            <v>眩晕</v>
          </cell>
          <cell r="BE204">
            <v>0.22500000000000001</v>
          </cell>
          <cell r="BF204" t="str">
            <v>20</v>
          </cell>
        </row>
        <row r="205">
          <cell r="A205" t="str">
            <v>xiaobailong_skill041</v>
          </cell>
          <cell r="B205" t="str">
            <v>奥义·豪龙胆</v>
          </cell>
          <cell r="C205" t="str">
            <v>舞枪直刺，对范围内敌人造成自身攻击力@s的物伤，同时提升自身暴击@s，持续3秒</v>
          </cell>
          <cell r="D205">
            <v>1270</v>
          </cell>
          <cell r="E205">
            <v>2</v>
          </cell>
          <cell r="F205" t="str">
            <v>boss_warning_juxing</v>
          </cell>
          <cell r="G205" t="str">
            <v>小白龙技能4</v>
          </cell>
          <cell r="H205" t="str">
            <v>xiaobailong_skill04</v>
          </cell>
          <cell r="I205" t="str">
            <v>[]</v>
          </cell>
          <cell r="J205">
            <v>3</v>
          </cell>
          <cell r="K205">
            <v>10</v>
          </cell>
          <cell r="L205" t="str">
            <v>[]</v>
          </cell>
          <cell r="M205">
            <v>2</v>
          </cell>
          <cell r="N205">
            <v>2</v>
          </cell>
          <cell r="O205">
            <v>1</v>
          </cell>
          <cell r="P205">
            <v>2</v>
          </cell>
          <cell r="Q205">
            <v>4</v>
          </cell>
          <cell r="R205" t="str">
            <v>2|1</v>
          </cell>
          <cell r="S205" t="str">
            <v>1|12|5</v>
          </cell>
          <cell r="T205">
            <v>10</v>
          </cell>
          <cell r="U205">
            <v>0</v>
          </cell>
          <cell r="V205">
            <v>0</v>
          </cell>
          <cell r="W205" t="str">
            <v>[]</v>
          </cell>
          <cell r="X205">
            <v>3</v>
          </cell>
          <cell r="Y205" t="str">
            <v>[]</v>
          </cell>
          <cell r="Z205" t="str">
            <v>0,2.333,0</v>
          </cell>
          <cell r="AA205">
            <v>0</v>
          </cell>
          <cell r="AB205">
            <v>6</v>
          </cell>
          <cell r="AC205" t="str">
            <v>[]</v>
          </cell>
          <cell r="AD205" t="str">
            <v>[]</v>
          </cell>
          <cell r="AE205" t="str">
            <v>[]</v>
          </cell>
          <cell r="AF205" t="str">
            <v>xiaobailong_skill04</v>
          </cell>
          <cell r="AG205" t="str">
            <v>common_hit_zhongwuqi</v>
          </cell>
          <cell r="AH205" t="str">
            <v>[]</v>
          </cell>
          <cell r="AI205" t="str">
            <v>[]</v>
          </cell>
          <cell r="AJ205" t="str">
            <v>xiaobailong_zhenping_02</v>
          </cell>
          <cell r="AK205" t="str">
            <v>[]</v>
          </cell>
          <cell r="AL205" t="str">
            <v>baojiupT3N0.2</v>
          </cell>
          <cell r="AM205" t="str">
            <v>[]</v>
          </cell>
          <cell r="AN205">
            <v>2</v>
          </cell>
          <cell r="AO205">
            <v>1.1000000000000001</v>
          </cell>
          <cell r="AP205">
            <v>112309</v>
          </cell>
          <cell r="AQ205" t="str">
            <v>112309,9030</v>
          </cell>
          <cell r="AR205" t="str">
            <v>[]</v>
          </cell>
          <cell r="AS205" t="str">
            <v>[]</v>
          </cell>
          <cell r="AT205" t="str">
            <v>1123</v>
          </cell>
          <cell r="AU205" t="str">
            <v>3650</v>
          </cell>
          <cell r="AV205" t="str">
            <v>小白龙</v>
          </cell>
          <cell r="AW205" t="str">
            <v>41</v>
          </cell>
          <cell r="AX205">
            <v>1270</v>
          </cell>
          <cell r="AY205">
            <v>1</v>
          </cell>
          <cell r="BA205" t="str">
            <v>[]</v>
          </cell>
          <cell r="BE205" t="str">
            <v>[]</v>
          </cell>
          <cell r="BF205"/>
        </row>
        <row r="206">
          <cell r="A206" t="str">
            <v>shaheshang_attack</v>
          </cell>
          <cell r="B206" t="str">
            <v>沙和尚</v>
          </cell>
          <cell r="C206" t="str">
            <v>普攻</v>
          </cell>
          <cell r="D206" t="str">
            <v>[]</v>
          </cell>
          <cell r="E206">
            <v>0</v>
          </cell>
          <cell r="F206" t="str">
            <v>[]</v>
          </cell>
          <cell r="G206" t="str">
            <v>远程攻击</v>
          </cell>
          <cell r="H206" t="str">
            <v>[]</v>
          </cell>
          <cell r="I206" t="str">
            <v>[]</v>
          </cell>
          <cell r="J206">
            <v>0</v>
          </cell>
          <cell r="K206">
            <v>1</v>
          </cell>
          <cell r="L206" t="str">
            <v>[]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12</v>
          </cell>
          <cell r="R206" t="str">
            <v>2|1</v>
          </cell>
          <cell r="S206" t="str">
            <v>4|0.2</v>
          </cell>
          <cell r="T206">
            <v>1</v>
          </cell>
          <cell r="U206">
            <v>1</v>
          </cell>
          <cell r="V206">
            <v>0</v>
          </cell>
          <cell r="W206" t="str">
            <v>[]</v>
          </cell>
          <cell r="X206">
            <v>0</v>
          </cell>
          <cell r="Y206" t="str">
            <v>[]</v>
          </cell>
          <cell r="Z206" t="str">
            <v>0,1,0</v>
          </cell>
          <cell r="AA206">
            <v>0</v>
          </cell>
          <cell r="AB206" t="str">
            <v>[]</v>
          </cell>
          <cell r="AC206" t="str">
            <v>[]</v>
          </cell>
          <cell r="AD206" t="str">
            <v>[]</v>
          </cell>
          <cell r="AE206" t="str">
            <v>shaheshang_attack</v>
          </cell>
          <cell r="AF206" t="str">
            <v>shaheshang_attack_f</v>
          </cell>
          <cell r="AG206" t="str">
            <v>common_hit_zhongwuqi</v>
          </cell>
          <cell r="AH206" t="str">
            <v>[]</v>
          </cell>
          <cell r="AI206" t="str">
            <v>[]</v>
          </cell>
          <cell r="AJ206" t="str">
            <v>[]</v>
          </cell>
          <cell r="AK206" t="str">
            <v>[]</v>
          </cell>
          <cell r="AL206" t="str">
            <v>[]</v>
          </cell>
          <cell r="AM206" t="str">
            <v>[]</v>
          </cell>
          <cell r="AN206">
            <v>2</v>
          </cell>
          <cell r="AO206">
            <v>-2</v>
          </cell>
          <cell r="AP206">
            <v>112400</v>
          </cell>
          <cell r="AQ206" t="str">
            <v>112400</v>
          </cell>
          <cell r="AR206" t="str">
            <v>[]</v>
          </cell>
          <cell r="AS206" t="str">
            <v>[]</v>
          </cell>
          <cell r="AT206" t="str">
            <v>9020</v>
          </cell>
          <cell r="AU206" t="str">
            <v>3660</v>
          </cell>
          <cell r="AV206" t="str">
            <v>远程攻击</v>
          </cell>
          <cell r="AW206" t="str">
            <v>ck</v>
          </cell>
          <cell r="AX206" t="str">
            <v>[]</v>
          </cell>
          <cell r="AY206">
            <v>1</v>
          </cell>
          <cell r="BA206" t="str">
            <v>[]</v>
          </cell>
          <cell r="BE206" t="str">
            <v>[]</v>
          </cell>
          <cell r="BF206"/>
        </row>
        <row r="207">
          <cell r="A207" t="str">
            <v>shaheshang_skill01</v>
          </cell>
          <cell r="B207" t="str">
            <v>河神怒</v>
          </cell>
          <cell r="C207" t="str">
            <v>释放大范围水法，对范围内敌人造成主角攻击力@s的法伤,同时提升自身法伤@s，持续3秒，对处于流血状态的目标降低10%的物理防御</v>
          </cell>
          <cell r="D207" t="str">
            <v>[]</v>
          </cell>
          <cell r="E207">
            <v>0</v>
          </cell>
          <cell r="F207" t="str">
            <v>[]</v>
          </cell>
          <cell r="G207" t="str">
            <v>沙和尚核心技能</v>
          </cell>
          <cell r="H207" t="str">
            <v>shaheshang_skill01</v>
          </cell>
          <cell r="I207" t="str">
            <v>shaheshang_skill01</v>
          </cell>
          <cell r="J207">
            <v>0</v>
          </cell>
          <cell r="K207">
            <v>10</v>
          </cell>
          <cell r="L207" t="str">
            <v>1|22</v>
          </cell>
          <cell r="M207">
            <v>2</v>
          </cell>
          <cell r="N207">
            <v>2</v>
          </cell>
          <cell r="O207">
            <v>2</v>
          </cell>
          <cell r="P207">
            <v>2</v>
          </cell>
          <cell r="Q207">
            <v>12</v>
          </cell>
          <cell r="R207" t="str">
            <v>2|1</v>
          </cell>
          <cell r="S207" t="str">
            <v>2|6</v>
          </cell>
          <cell r="T207">
            <v>10</v>
          </cell>
          <cell r="U207">
            <v>1</v>
          </cell>
          <cell r="V207">
            <v>0</v>
          </cell>
          <cell r="W207" t="str">
            <v>[]</v>
          </cell>
          <cell r="X207">
            <v>0</v>
          </cell>
          <cell r="Y207" t="str">
            <v>[]</v>
          </cell>
          <cell r="Z207" t="str">
            <v>0,1,0</v>
          </cell>
          <cell r="AA207">
            <v>0</v>
          </cell>
          <cell r="AB207" t="str">
            <v>12</v>
          </cell>
          <cell r="AC207" t="str">
            <v>[]</v>
          </cell>
          <cell r="AD207" t="str">
            <v>[]</v>
          </cell>
          <cell r="AE207" t="str">
            <v>[]</v>
          </cell>
          <cell r="AF207" t="str">
            <v>shaheshang_skill01</v>
          </cell>
          <cell r="AG207" t="str">
            <v>common_hit_fashu</v>
          </cell>
          <cell r="AH207" t="str">
            <v>[]</v>
          </cell>
          <cell r="AI207" t="str">
            <v>[]</v>
          </cell>
          <cell r="AJ207" t="str">
            <v>[]</v>
          </cell>
          <cell r="AK207" t="str">
            <v>[]</v>
          </cell>
          <cell r="AL207" t="str">
            <v>yishangT3N0.15</v>
          </cell>
          <cell r="AM207" t="str">
            <v>[]</v>
          </cell>
          <cell r="AN207">
            <v>2</v>
          </cell>
          <cell r="AO207">
            <v>0.8</v>
          </cell>
          <cell r="AP207">
            <v>112401</v>
          </cell>
          <cell r="AQ207" t="str">
            <v>112401,9015</v>
          </cell>
          <cell r="AR207" t="str">
            <v>[]</v>
          </cell>
          <cell r="AS207" t="str">
            <v>lxjf10</v>
          </cell>
          <cell r="AT207" t="str">
            <v>1123</v>
          </cell>
          <cell r="AU207" t="str">
            <v>3670</v>
          </cell>
          <cell r="AV207" t="str">
            <v>沙和尚</v>
          </cell>
          <cell r="AW207" t="str">
            <v>01</v>
          </cell>
          <cell r="AX207" t="str">
            <v>[]</v>
          </cell>
          <cell r="AY207">
            <v>1</v>
          </cell>
          <cell r="BA207" t="str">
            <v>[]</v>
          </cell>
          <cell r="BE207" t="str">
            <v>[]</v>
          </cell>
          <cell r="BF207"/>
        </row>
        <row r="208">
          <cell r="A208" t="str">
            <v>shaheshang_skill02</v>
          </cell>
          <cell r="B208" t="str">
            <v>破浪流沙</v>
          </cell>
          <cell r="C208" t="str">
            <v>召唤巨浪，对范围内敌人进行2次攻击，造成自身攻击力@s的法伤，并使敌人受到的伤害增加@s，持续3秒</v>
          </cell>
          <cell r="D208" t="str">
            <v>[]</v>
          </cell>
          <cell r="E208">
            <v>2</v>
          </cell>
          <cell r="F208" t="str">
            <v>boss_warning_juxing</v>
          </cell>
          <cell r="G208" t="str">
            <v>沙和尚技能4</v>
          </cell>
          <cell r="H208" t="str">
            <v>shaheshang_skill04</v>
          </cell>
          <cell r="I208" t="str">
            <v>[]</v>
          </cell>
          <cell r="J208">
            <v>1</v>
          </cell>
          <cell r="K208">
            <v>10</v>
          </cell>
          <cell r="L208" t="str">
            <v>[]</v>
          </cell>
          <cell r="M208">
            <v>2</v>
          </cell>
          <cell r="N208">
            <v>2</v>
          </cell>
          <cell r="O208">
            <v>1</v>
          </cell>
          <cell r="P208">
            <v>2</v>
          </cell>
          <cell r="Q208">
            <v>12</v>
          </cell>
          <cell r="R208" t="str">
            <v>2|1</v>
          </cell>
          <cell r="S208" t="str">
            <v>2|6</v>
          </cell>
          <cell r="T208">
            <v>10</v>
          </cell>
          <cell r="U208">
            <v>1</v>
          </cell>
          <cell r="V208">
            <v>0</v>
          </cell>
          <cell r="W208" t="str">
            <v>[]</v>
          </cell>
          <cell r="X208">
            <v>3</v>
          </cell>
          <cell r="Y208" t="str">
            <v>[]</v>
          </cell>
          <cell r="Z208" t="str">
            <v>0,1.0,0</v>
          </cell>
          <cell r="AA208">
            <v>0</v>
          </cell>
          <cell r="AB208" t="str">
            <v>6</v>
          </cell>
          <cell r="AC208" t="str">
            <v>[]</v>
          </cell>
          <cell r="AD208" t="str">
            <v>[]</v>
          </cell>
          <cell r="AE208" t="str">
            <v>[]</v>
          </cell>
          <cell r="AF208" t="str">
            <v>shaheshang_skill02</v>
          </cell>
          <cell r="AG208" t="str">
            <v>common_hit_fashu</v>
          </cell>
          <cell r="AH208" t="str">
            <v>[]</v>
          </cell>
          <cell r="AI208" t="str">
            <v>[]</v>
          </cell>
          <cell r="AJ208" t="str">
            <v>[]</v>
          </cell>
          <cell r="AK208" t="str">
            <v>[]</v>
          </cell>
          <cell r="AL208" t="str">
            <v>[]</v>
          </cell>
          <cell r="AM208" t="str">
            <v>jiashangupT3N0.1</v>
          </cell>
          <cell r="AN208">
            <v>1</v>
          </cell>
          <cell r="AO208" t="str">
            <v>0.6,0.35</v>
          </cell>
          <cell r="AP208">
            <v>112402</v>
          </cell>
          <cell r="AQ208" t="str">
            <v>112402,9010</v>
          </cell>
          <cell r="AR208" t="str">
            <v>[]</v>
          </cell>
          <cell r="AS208" t="str">
            <v>[]</v>
          </cell>
          <cell r="AT208" t="str">
            <v>1123</v>
          </cell>
          <cell r="AU208" t="str">
            <v>3680</v>
          </cell>
          <cell r="AV208" t="str">
            <v>沙和尚</v>
          </cell>
          <cell r="AW208" t="str">
            <v>02</v>
          </cell>
          <cell r="AX208" t="str">
            <v>[]</v>
          </cell>
          <cell r="AY208">
            <v>2</v>
          </cell>
          <cell r="BA208" t="str">
            <v>[]</v>
          </cell>
          <cell r="BE208" t="str">
            <v>[]</v>
          </cell>
          <cell r="BF208"/>
        </row>
        <row r="209">
          <cell r="A209" t="str">
            <v>shaheshang_skill03</v>
          </cell>
          <cell r="B209" t="str">
            <v>如鱼得水</v>
          </cell>
          <cell r="C209" t="str">
            <v>进入战斗场景时，提升全体友军造成的伤害@s</v>
          </cell>
          <cell r="D209">
            <v>1262</v>
          </cell>
          <cell r="E209">
            <v>0</v>
          </cell>
          <cell r="F209" t="str">
            <v>[]</v>
          </cell>
          <cell r="G209" t="str">
            <v>紫霞仙子被动技能</v>
          </cell>
          <cell r="H209" t="str">
            <v>shuanggong</v>
          </cell>
          <cell r="I209" t="str">
            <v>[]</v>
          </cell>
          <cell r="J209">
            <v>2</v>
          </cell>
          <cell r="K209">
            <v>10</v>
          </cell>
          <cell r="L209" t="str">
            <v>[]</v>
          </cell>
          <cell r="M209">
            <v>2</v>
          </cell>
          <cell r="N209">
            <v>2</v>
          </cell>
          <cell r="O209">
            <v>3</v>
          </cell>
          <cell r="P209">
            <v>0</v>
          </cell>
          <cell r="Q209">
            <v>12</v>
          </cell>
          <cell r="R209">
            <v>3</v>
          </cell>
          <cell r="S209" t="str">
            <v>2|6</v>
          </cell>
          <cell r="T209">
            <v>10</v>
          </cell>
          <cell r="U209">
            <v>0</v>
          </cell>
          <cell r="V209">
            <v>0</v>
          </cell>
          <cell r="W209" t="str">
            <v>[]</v>
          </cell>
          <cell r="X209">
            <v>0</v>
          </cell>
          <cell r="Y209" t="str">
            <v>[]</v>
          </cell>
          <cell r="Z209" t="str">
            <v>0,0,0</v>
          </cell>
          <cell r="AA209">
            <v>0</v>
          </cell>
          <cell r="AB209" t="str">
            <v>[]</v>
          </cell>
          <cell r="AC209" t="str">
            <v>[]</v>
          </cell>
          <cell r="AD209" t="str">
            <v>[]</v>
          </cell>
          <cell r="AE209" t="str">
            <v>[]</v>
          </cell>
          <cell r="AF209" t="str">
            <v>[]</v>
          </cell>
          <cell r="AG209" t="str">
            <v>[]</v>
          </cell>
          <cell r="AH209" t="str">
            <v>[]</v>
          </cell>
          <cell r="AI209" t="str">
            <v>[]</v>
          </cell>
          <cell r="AJ209" t="str">
            <v>shanghai10_higheff</v>
          </cell>
          <cell r="AK209" t="str">
            <v>[]</v>
          </cell>
          <cell r="AL209" t="str">
            <v>[]</v>
          </cell>
          <cell r="AM209" t="str">
            <v>[]</v>
          </cell>
          <cell r="AN209">
            <v>0</v>
          </cell>
          <cell r="AO209" t="str">
            <v>[]</v>
          </cell>
          <cell r="AP209" t="str">
            <v>[]</v>
          </cell>
          <cell r="AQ209" t="str">
            <v>9010</v>
          </cell>
          <cell r="AR209" t="str">
            <v>[]</v>
          </cell>
          <cell r="AS209" t="str">
            <v>[]</v>
          </cell>
          <cell r="AT209" t="str">
            <v>1123</v>
          </cell>
          <cell r="AU209" t="str">
            <v>3690</v>
          </cell>
          <cell r="AV209" t="str">
            <v>沙和尚</v>
          </cell>
          <cell r="AW209" t="str">
            <v>03</v>
          </cell>
          <cell r="AX209">
            <v>1262</v>
          </cell>
          <cell r="AY209">
            <v>1</v>
          </cell>
          <cell r="BA209" t="str">
            <v>[]</v>
          </cell>
          <cell r="BE209" t="str">
            <v>[]</v>
          </cell>
          <cell r="BF209"/>
        </row>
        <row r="210">
          <cell r="A210" t="str">
            <v>shaheshang_skill04</v>
          </cell>
          <cell r="B210" t="str">
            <v>飞流击水</v>
          </cell>
          <cell r="C210" t="str">
            <v>引爆水流，对范围内敌人进行3次攻击，使敌人受到自身攻击力@s的法伤,并造成流血效果，持续6秒</v>
          </cell>
          <cell r="D210">
            <v>1264</v>
          </cell>
          <cell r="E210">
            <v>0</v>
          </cell>
          <cell r="F210" t="str">
            <v>[]</v>
          </cell>
          <cell r="G210" t="str">
            <v>沙和尚技能2</v>
          </cell>
          <cell r="H210" t="str">
            <v>shaheshang_skill02</v>
          </cell>
          <cell r="I210" t="str">
            <v>[]</v>
          </cell>
          <cell r="J210">
            <v>3</v>
          </cell>
          <cell r="K210">
            <v>10</v>
          </cell>
          <cell r="L210" t="str">
            <v>[]</v>
          </cell>
          <cell r="M210">
            <v>2</v>
          </cell>
          <cell r="N210">
            <v>2</v>
          </cell>
          <cell r="O210">
            <v>2</v>
          </cell>
          <cell r="P210">
            <v>2</v>
          </cell>
          <cell r="Q210">
            <v>12</v>
          </cell>
          <cell r="R210" t="str">
            <v>2|1</v>
          </cell>
          <cell r="S210" t="str">
            <v>2|6</v>
          </cell>
          <cell r="T210">
            <v>10</v>
          </cell>
          <cell r="U210">
            <v>1</v>
          </cell>
          <cell r="V210">
            <v>0</v>
          </cell>
          <cell r="W210" t="str">
            <v>[]</v>
          </cell>
          <cell r="X210">
            <v>3</v>
          </cell>
          <cell r="Y210" t="str">
            <v>[]</v>
          </cell>
          <cell r="Z210" t="str">
            <v>0,1.35,0</v>
          </cell>
          <cell r="AA210">
            <v>0</v>
          </cell>
          <cell r="AB210" t="str">
            <v>6</v>
          </cell>
          <cell r="AC210" t="str">
            <v>[]</v>
          </cell>
          <cell r="AD210" t="str">
            <v>[]</v>
          </cell>
          <cell r="AE210" t="str">
            <v>[]</v>
          </cell>
          <cell r="AF210" t="str">
            <v>shaheshang_skill04_ack</v>
          </cell>
          <cell r="AG210" t="str">
            <v>shaheshang_skill04</v>
          </cell>
          <cell r="AH210" t="str">
            <v>[]</v>
          </cell>
          <cell r="AI210" t="str">
            <v>[]</v>
          </cell>
          <cell r="AJ210" t="str">
            <v>[]</v>
          </cell>
          <cell r="AK210" t="str">
            <v>[]</v>
          </cell>
          <cell r="AL210" t="str">
            <v>[]</v>
          </cell>
          <cell r="AM210" t="str">
            <v>liuxueT6N0.1</v>
          </cell>
          <cell r="AN210">
            <v>1</v>
          </cell>
          <cell r="AO210" t="str">
            <v>1,0.1,0.1</v>
          </cell>
          <cell r="AP210">
            <v>112404</v>
          </cell>
          <cell r="AQ210" t="str">
            <v>112404</v>
          </cell>
          <cell r="AR210" t="str">
            <v>[]</v>
          </cell>
          <cell r="AS210" t="str">
            <v>[]</v>
          </cell>
          <cell r="AT210" t="str">
            <v>1123</v>
          </cell>
          <cell r="AU210" t="str">
            <v>3700</v>
          </cell>
          <cell r="AV210" t="str">
            <v>沙和尚</v>
          </cell>
          <cell r="AW210" t="str">
            <v>04</v>
          </cell>
          <cell r="AX210">
            <v>1264</v>
          </cell>
          <cell r="AY210">
            <v>3</v>
          </cell>
          <cell r="BA210" t="str">
            <v>[]</v>
          </cell>
          <cell r="BE210" t="str">
            <v>[]</v>
          </cell>
          <cell r="BF210"/>
        </row>
        <row r="211">
          <cell r="A211" t="str">
            <v>shaheshang_skill011</v>
          </cell>
          <cell r="B211" t="str">
            <v>奥义·河神怒</v>
          </cell>
          <cell r="C211" t="str">
            <v>释放大范围水法，对范围内敌人造成主角攻击力@s的法伤,同时提升自身法伤@s，持续3秒，对处于流血状态的目标降低20%的物理防御</v>
          </cell>
          <cell r="D211">
            <v>1266</v>
          </cell>
          <cell r="E211">
            <v>0</v>
          </cell>
          <cell r="F211" t="str">
            <v>[]</v>
          </cell>
          <cell r="G211" t="str">
            <v>沙和尚核心技能</v>
          </cell>
          <cell r="H211" t="str">
            <v>shaheshang_skill01</v>
          </cell>
          <cell r="I211" t="str">
            <v>shaheshang_skill01</v>
          </cell>
          <cell r="J211">
            <v>0</v>
          </cell>
          <cell r="K211">
            <v>10</v>
          </cell>
          <cell r="L211" t="str">
            <v>1|22</v>
          </cell>
          <cell r="M211">
            <v>2</v>
          </cell>
          <cell r="N211">
            <v>2</v>
          </cell>
          <cell r="O211">
            <v>2</v>
          </cell>
          <cell r="P211">
            <v>2</v>
          </cell>
          <cell r="Q211">
            <v>12</v>
          </cell>
          <cell r="R211" t="str">
            <v>2|1</v>
          </cell>
          <cell r="S211" t="str">
            <v>2|6</v>
          </cell>
          <cell r="T211">
            <v>10</v>
          </cell>
          <cell r="U211">
            <v>1</v>
          </cell>
          <cell r="V211">
            <v>0</v>
          </cell>
          <cell r="W211" t="str">
            <v>[]</v>
          </cell>
          <cell r="X211">
            <v>0</v>
          </cell>
          <cell r="Y211" t="str">
            <v>[]</v>
          </cell>
          <cell r="Z211" t="str">
            <v>0,1,0</v>
          </cell>
          <cell r="AA211">
            <v>0</v>
          </cell>
          <cell r="AB211" t="str">
            <v>12</v>
          </cell>
          <cell r="AC211" t="str">
            <v>[]</v>
          </cell>
          <cell r="AD211" t="str">
            <v>[]</v>
          </cell>
          <cell r="AE211" t="str">
            <v>[]</v>
          </cell>
          <cell r="AF211" t="str">
            <v>shaheshang_skill01</v>
          </cell>
          <cell r="AG211" t="str">
            <v>common_hit_fashu</v>
          </cell>
          <cell r="AH211" t="str">
            <v>[]</v>
          </cell>
          <cell r="AI211" t="str">
            <v>[]</v>
          </cell>
          <cell r="AJ211" t="str">
            <v>[]</v>
          </cell>
          <cell r="AK211" t="str">
            <v>[]</v>
          </cell>
          <cell r="AL211" t="str">
            <v>yishangT3N0.2</v>
          </cell>
          <cell r="AM211" t="str">
            <v>[]</v>
          </cell>
          <cell r="AN211">
            <v>2</v>
          </cell>
          <cell r="AO211">
            <v>0.8</v>
          </cell>
          <cell r="AP211">
            <v>112405</v>
          </cell>
          <cell r="AQ211" t="str">
            <v>112405,9020</v>
          </cell>
          <cell r="AR211" t="str">
            <v>[]</v>
          </cell>
          <cell r="AS211" t="str">
            <v>lxjf20</v>
          </cell>
          <cell r="AT211" t="str">
            <v>1124</v>
          </cell>
          <cell r="AU211" t="str">
            <v>3670</v>
          </cell>
          <cell r="AV211" t="str">
            <v>沙和尚</v>
          </cell>
          <cell r="AW211" t="str">
            <v>11</v>
          </cell>
          <cell r="AX211">
            <v>1266</v>
          </cell>
          <cell r="AY211">
            <v>1</v>
          </cell>
          <cell r="BA211" t="str">
            <v>[]</v>
          </cell>
          <cell r="BE211" t="str">
            <v>[]</v>
          </cell>
          <cell r="BF211"/>
        </row>
        <row r="212">
          <cell r="A212" t="str">
            <v>shaheshang_skill021</v>
          </cell>
          <cell r="B212" t="str">
            <v>奥义·破浪流沙</v>
          </cell>
          <cell r="C212" t="str">
            <v>召唤巨浪，对范围内敌人进行2次攻击，造成自身攻击力@s的法伤，并使敌人受到的伤害增加@s，持续3秒</v>
          </cell>
          <cell r="D212">
            <v>1268</v>
          </cell>
          <cell r="E212">
            <v>2</v>
          </cell>
          <cell r="F212" t="str">
            <v>boss_warning_juxing</v>
          </cell>
          <cell r="G212" t="str">
            <v>沙和尚技能4</v>
          </cell>
          <cell r="H212" t="str">
            <v>shaheshang_skill04</v>
          </cell>
          <cell r="I212" t="str">
            <v>[]</v>
          </cell>
          <cell r="J212">
            <v>1</v>
          </cell>
          <cell r="K212">
            <v>10</v>
          </cell>
          <cell r="L212" t="str">
            <v>[]</v>
          </cell>
          <cell r="M212">
            <v>2</v>
          </cell>
          <cell r="N212">
            <v>2</v>
          </cell>
          <cell r="O212">
            <v>2</v>
          </cell>
          <cell r="P212">
            <v>2</v>
          </cell>
          <cell r="Q212">
            <v>12</v>
          </cell>
          <cell r="R212" t="str">
            <v>2|1</v>
          </cell>
          <cell r="S212" t="str">
            <v>2|6</v>
          </cell>
          <cell r="T212">
            <v>10</v>
          </cell>
          <cell r="U212">
            <v>1</v>
          </cell>
          <cell r="V212">
            <v>0</v>
          </cell>
          <cell r="W212" t="str">
            <v>[]</v>
          </cell>
          <cell r="X212">
            <v>3</v>
          </cell>
          <cell r="Y212" t="str">
            <v>[]</v>
          </cell>
          <cell r="Z212" t="str">
            <v>0,1.0,0</v>
          </cell>
          <cell r="AA212">
            <v>0</v>
          </cell>
          <cell r="AB212" t="str">
            <v>6</v>
          </cell>
          <cell r="AC212" t="str">
            <v>[]</v>
          </cell>
          <cell r="AD212" t="str">
            <v>[]</v>
          </cell>
          <cell r="AE212" t="str">
            <v>[]</v>
          </cell>
          <cell r="AF212" t="str">
            <v>shaheshang_skill02</v>
          </cell>
          <cell r="AG212" t="str">
            <v>common_hit_fashu</v>
          </cell>
          <cell r="AH212" t="str">
            <v>[]</v>
          </cell>
          <cell r="AI212" t="str">
            <v>[]</v>
          </cell>
          <cell r="AJ212" t="str">
            <v>[]</v>
          </cell>
          <cell r="AK212" t="str">
            <v>[]</v>
          </cell>
          <cell r="AL212" t="str">
            <v>[]</v>
          </cell>
          <cell r="AM212" t="str">
            <v>jiashangupT3N0.2</v>
          </cell>
          <cell r="AN212">
            <v>1</v>
          </cell>
          <cell r="AO212" t="str">
            <v>0.6,0.35</v>
          </cell>
          <cell r="AP212">
            <v>112406</v>
          </cell>
          <cell r="AQ212" t="str">
            <v>112406,9015</v>
          </cell>
          <cell r="AR212" t="str">
            <v>[]</v>
          </cell>
          <cell r="AS212" t="str">
            <v>[]</v>
          </cell>
          <cell r="AT212" t="str">
            <v>1124</v>
          </cell>
          <cell r="AU212" t="str">
            <v>3680</v>
          </cell>
          <cell r="AV212" t="str">
            <v>沙和尚</v>
          </cell>
          <cell r="AW212" t="str">
            <v>21</v>
          </cell>
          <cell r="AX212">
            <v>1268</v>
          </cell>
          <cell r="AY212">
            <v>2</v>
          </cell>
          <cell r="BA212" t="str">
            <v>[]</v>
          </cell>
          <cell r="BE212" t="str">
            <v>[]</v>
          </cell>
          <cell r="BF212"/>
        </row>
        <row r="213">
          <cell r="A213" t="str">
            <v>shaheshang_skill041</v>
          </cell>
          <cell r="B213" t="str">
            <v>奥义·飞流击水</v>
          </cell>
          <cell r="C213" t="str">
            <v>引爆水流，对范围内敌人进行3次攻击，使敌人受到自身攻击力@s的法伤,并造成流血效果，持续6秒</v>
          </cell>
          <cell r="D213">
            <v>1270</v>
          </cell>
          <cell r="E213">
            <v>0</v>
          </cell>
          <cell r="F213" t="str">
            <v>[]</v>
          </cell>
          <cell r="G213" t="str">
            <v>沙和尚技能2</v>
          </cell>
          <cell r="H213" t="str">
            <v>shaheshang_skill02</v>
          </cell>
          <cell r="I213" t="str">
            <v>[]</v>
          </cell>
          <cell r="J213">
            <v>3</v>
          </cell>
          <cell r="K213">
            <v>10</v>
          </cell>
          <cell r="L213" t="str">
            <v>[]</v>
          </cell>
          <cell r="M213">
            <v>2</v>
          </cell>
          <cell r="N213">
            <v>2</v>
          </cell>
          <cell r="O213">
            <v>2</v>
          </cell>
          <cell r="P213">
            <v>2</v>
          </cell>
          <cell r="Q213">
            <v>12</v>
          </cell>
          <cell r="R213" t="str">
            <v>2|1</v>
          </cell>
          <cell r="S213" t="str">
            <v>2|6</v>
          </cell>
          <cell r="T213">
            <v>10</v>
          </cell>
          <cell r="U213">
            <v>1</v>
          </cell>
          <cell r="V213">
            <v>0</v>
          </cell>
          <cell r="W213" t="str">
            <v>[]</v>
          </cell>
          <cell r="X213">
            <v>3</v>
          </cell>
          <cell r="Y213" t="str">
            <v>[]</v>
          </cell>
          <cell r="Z213" t="str">
            <v>0,1.35,0</v>
          </cell>
          <cell r="AA213">
            <v>0</v>
          </cell>
          <cell r="AB213" t="str">
            <v>6</v>
          </cell>
          <cell r="AC213" t="str">
            <v>[]</v>
          </cell>
          <cell r="AD213" t="str">
            <v>[]</v>
          </cell>
          <cell r="AE213" t="str">
            <v>[]</v>
          </cell>
          <cell r="AF213" t="str">
            <v>shaheshang_skill04_ack</v>
          </cell>
          <cell r="AG213" t="str">
            <v>shaheshang_skill04</v>
          </cell>
          <cell r="AH213" t="str">
            <v>[]</v>
          </cell>
          <cell r="AI213" t="str">
            <v>[]</v>
          </cell>
          <cell r="AJ213" t="str">
            <v>[]</v>
          </cell>
          <cell r="AK213" t="str">
            <v>[]</v>
          </cell>
          <cell r="AL213" t="str">
            <v>[]</v>
          </cell>
          <cell r="AM213" t="str">
            <v>liuxueT6N0.2</v>
          </cell>
          <cell r="AN213">
            <v>1</v>
          </cell>
          <cell r="AO213" t="str">
            <v>1,0.1,0.1</v>
          </cell>
          <cell r="AP213">
            <v>112407</v>
          </cell>
          <cell r="AQ213" t="str">
            <v>112407</v>
          </cell>
          <cell r="AR213" t="str">
            <v>[]</v>
          </cell>
          <cell r="AS213" t="str">
            <v>[]</v>
          </cell>
          <cell r="AT213" t="str">
            <v>1124</v>
          </cell>
          <cell r="AU213" t="str">
            <v>3700</v>
          </cell>
          <cell r="AV213" t="str">
            <v>沙和尚</v>
          </cell>
          <cell r="AW213" t="str">
            <v>41</v>
          </cell>
          <cell r="AX213">
            <v>1270</v>
          </cell>
          <cell r="AY213">
            <v>3</v>
          </cell>
          <cell r="BA213" t="str">
            <v>[]</v>
          </cell>
          <cell r="BE213" t="str">
            <v>[]</v>
          </cell>
          <cell r="BF213"/>
        </row>
        <row r="214">
          <cell r="A214" t="str">
            <v>tangsanzang_attack</v>
          </cell>
          <cell r="B214" t="str">
            <v>唐三藏</v>
          </cell>
          <cell r="C214" t="str">
            <v>普攻</v>
          </cell>
          <cell r="D214" t="str">
            <v>[]</v>
          </cell>
          <cell r="E214">
            <v>0</v>
          </cell>
          <cell r="F214" t="str">
            <v>[]</v>
          </cell>
          <cell r="G214" t="str">
            <v>近战攻击</v>
          </cell>
          <cell r="H214" t="str">
            <v>[]</v>
          </cell>
          <cell r="I214" t="str">
            <v>[]</v>
          </cell>
          <cell r="J214">
            <v>0</v>
          </cell>
          <cell r="K214">
            <v>1</v>
          </cell>
          <cell r="L214" t="str">
            <v>[]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3</v>
          </cell>
          <cell r="R214" t="str">
            <v>2|1</v>
          </cell>
          <cell r="S214" t="str">
            <v>4|0.2</v>
          </cell>
          <cell r="T214">
            <v>1</v>
          </cell>
          <cell r="U214">
            <v>1</v>
          </cell>
          <cell r="V214">
            <v>0</v>
          </cell>
          <cell r="W214" t="str">
            <v>[]</v>
          </cell>
          <cell r="X214">
            <v>0</v>
          </cell>
          <cell r="Y214" t="str">
            <v>[]</v>
          </cell>
          <cell r="Z214" t="str">
            <v>0,1,0</v>
          </cell>
          <cell r="AA214">
            <v>0</v>
          </cell>
          <cell r="AB214" t="str">
            <v>[]</v>
          </cell>
          <cell r="AC214" t="str">
            <v>[]</v>
          </cell>
          <cell r="AD214" t="str">
            <v>[]</v>
          </cell>
          <cell r="AE214" t="str">
            <v>[]</v>
          </cell>
          <cell r="AF214" t="str">
            <v>tangsanzang_attack</v>
          </cell>
          <cell r="AG214" t="str">
            <v>common_hit_fashu</v>
          </cell>
          <cell r="AH214" t="str">
            <v>[]</v>
          </cell>
          <cell r="AI214" t="str">
            <v>[]</v>
          </cell>
          <cell r="AJ214" t="str">
            <v>[]</v>
          </cell>
          <cell r="AK214" t="str">
            <v>[]</v>
          </cell>
          <cell r="AL214" t="str">
            <v>[]</v>
          </cell>
          <cell r="AM214" t="str">
            <v>[]</v>
          </cell>
          <cell r="AN214">
            <v>1</v>
          </cell>
          <cell r="AO214">
            <v>0.5</v>
          </cell>
          <cell r="AP214">
            <v>112200</v>
          </cell>
          <cell r="AQ214" t="str">
            <v>112200</v>
          </cell>
          <cell r="AR214" t="str">
            <v>[]</v>
          </cell>
          <cell r="AS214" t="str">
            <v>[]</v>
          </cell>
          <cell r="AT214" t="str">
            <v>9010</v>
          </cell>
          <cell r="AU214" t="str">
            <v>3710</v>
          </cell>
          <cell r="AV214" t="str">
            <v>近战攻击</v>
          </cell>
          <cell r="AW214" t="str">
            <v>ck</v>
          </cell>
          <cell r="AX214" t="str">
            <v>[]</v>
          </cell>
          <cell r="AY214">
            <v>1</v>
          </cell>
          <cell r="BA214" t="str">
            <v>[]</v>
          </cell>
          <cell r="BE214" t="str">
            <v>[]</v>
          </cell>
          <cell r="BF214"/>
        </row>
        <row r="215">
          <cell r="A215" t="str">
            <v>tangsanzang_skill01</v>
          </cell>
          <cell r="B215" t="str">
            <v>我佛慈悲</v>
          </cell>
          <cell r="C215" t="str">
            <v>释放佛法为全体友军吸收伤害，最多为友军自身生命值上限@s，持续3秒</v>
          </cell>
          <cell r="D215" t="str">
            <v>[]</v>
          </cell>
          <cell r="E215">
            <v>0</v>
          </cell>
          <cell r="F215" t="str">
            <v>[]</v>
          </cell>
          <cell r="G215" t="str">
            <v>唐三藏核心技能</v>
          </cell>
          <cell r="H215" t="str">
            <v>tangsanzang_skill04</v>
          </cell>
          <cell r="I215" t="str">
            <v>tangsanzang_skill04</v>
          </cell>
          <cell r="J215">
            <v>0</v>
          </cell>
          <cell r="K215">
            <v>10</v>
          </cell>
          <cell r="L215" t="str">
            <v>1|24</v>
          </cell>
          <cell r="M215">
            <v>2</v>
          </cell>
          <cell r="N215">
            <v>2</v>
          </cell>
          <cell r="O215">
            <v>1</v>
          </cell>
          <cell r="P215">
            <v>4</v>
          </cell>
          <cell r="Q215">
            <v>12</v>
          </cell>
          <cell r="R215">
            <v>3</v>
          </cell>
          <cell r="S215" t="str">
            <v>2|10</v>
          </cell>
          <cell r="T215">
            <v>10</v>
          </cell>
          <cell r="U215">
            <v>1</v>
          </cell>
          <cell r="V215">
            <v>0</v>
          </cell>
          <cell r="W215" t="str">
            <v>[]</v>
          </cell>
          <cell r="X215">
            <v>0</v>
          </cell>
          <cell r="Y215">
            <v>0</v>
          </cell>
          <cell r="Z215" t="str">
            <v>0,1,0</v>
          </cell>
          <cell r="AA215">
            <v>0</v>
          </cell>
          <cell r="AB215" t="str">
            <v>12</v>
          </cell>
          <cell r="AC215" t="str">
            <v>[]</v>
          </cell>
          <cell r="AD215" t="str">
            <v>[]</v>
          </cell>
          <cell r="AE215" t="str">
            <v>[]</v>
          </cell>
          <cell r="AF215" t="str">
            <v>tangsanzang_skill01_ack</v>
          </cell>
          <cell r="AG215" t="str">
            <v>tangsanzang_skill01</v>
          </cell>
          <cell r="AH215" t="str">
            <v>[]</v>
          </cell>
          <cell r="AI215" t="str">
            <v>[]</v>
          </cell>
          <cell r="AJ215" t="str">
            <v>[]</v>
          </cell>
          <cell r="AK215" t="str">
            <v>shengminghudunT3N0.25P1</v>
          </cell>
          <cell r="AL215" t="str">
            <v>[]</v>
          </cell>
          <cell r="AM215" t="str">
            <v>[]</v>
          </cell>
          <cell r="AN215">
            <v>1</v>
          </cell>
          <cell r="AO215">
            <v>0.1</v>
          </cell>
          <cell r="AP215" t="str">
            <v>[]</v>
          </cell>
          <cell r="AQ215" t="str">
            <v>9025</v>
          </cell>
          <cell r="AR215" t="str">
            <v>[]</v>
          </cell>
          <cell r="AS215" t="str">
            <v>[]</v>
          </cell>
          <cell r="AT215" t="str">
            <v>1124</v>
          </cell>
          <cell r="AU215" t="str">
            <v>3720</v>
          </cell>
          <cell r="AV215" t="str">
            <v>唐三藏</v>
          </cell>
          <cell r="AW215" t="str">
            <v>01</v>
          </cell>
          <cell r="AX215" t="str">
            <v>[]</v>
          </cell>
          <cell r="AY215">
            <v>1</v>
          </cell>
          <cell r="BA215" t="str">
            <v>[]</v>
          </cell>
          <cell r="BE215" t="str">
            <v>[]</v>
          </cell>
          <cell r="BF215"/>
          <cell r="BO215">
            <v>0</v>
          </cell>
        </row>
        <row r="216">
          <cell r="A216" t="str">
            <v>tangsanzang_skill02</v>
          </cell>
          <cell r="B216" t="str">
            <v>佛光守护</v>
          </cell>
          <cell r="C216" t="str">
            <v>召唤佛光攻击目标，对范围内敌人造成自身攻击力@s的伤害，同时降低自身受到伤害@s，持续3秒</v>
          </cell>
          <cell r="D216" t="str">
            <v>[]</v>
          </cell>
          <cell r="E216">
            <v>0</v>
          </cell>
          <cell r="F216" t="str">
            <v>[]</v>
          </cell>
          <cell r="G216" t="str">
            <v>唐三藏技能2</v>
          </cell>
          <cell r="H216" t="str">
            <v>tangsanzang_skill01</v>
          </cell>
          <cell r="I216" t="str">
            <v>[]</v>
          </cell>
          <cell r="J216">
            <v>1</v>
          </cell>
          <cell r="K216">
            <v>10</v>
          </cell>
          <cell r="L216" t="str">
            <v>[]</v>
          </cell>
          <cell r="M216">
            <v>2</v>
          </cell>
          <cell r="N216">
            <v>2</v>
          </cell>
          <cell r="O216">
            <v>2</v>
          </cell>
          <cell r="P216">
            <v>2</v>
          </cell>
          <cell r="Q216">
            <v>12</v>
          </cell>
          <cell r="R216" t="str">
            <v>2|1</v>
          </cell>
          <cell r="S216" t="str">
            <v>2|6</v>
          </cell>
          <cell r="T216">
            <v>10</v>
          </cell>
          <cell r="U216">
            <v>0</v>
          </cell>
          <cell r="V216">
            <v>0</v>
          </cell>
          <cell r="W216" t="str">
            <v>[]</v>
          </cell>
          <cell r="X216">
            <v>3</v>
          </cell>
          <cell r="Y216" t="str">
            <v>[]</v>
          </cell>
          <cell r="Z216" t="str">
            <v>0,4,0</v>
          </cell>
          <cell r="AA216">
            <v>0</v>
          </cell>
          <cell r="AB216">
            <v>6</v>
          </cell>
          <cell r="AC216" t="str">
            <v>[]</v>
          </cell>
          <cell r="AD216" t="str">
            <v>[]</v>
          </cell>
          <cell r="AE216" t="str">
            <v>[]</v>
          </cell>
          <cell r="AF216" t="str">
            <v>tangsanzang_skill02</v>
          </cell>
          <cell r="AG216" t="str">
            <v>common_hit_fashu</v>
          </cell>
          <cell r="AH216" t="str">
            <v>[]</v>
          </cell>
          <cell r="AI216" t="str">
            <v>[]</v>
          </cell>
          <cell r="AJ216" t="str">
            <v>[]</v>
          </cell>
          <cell r="AK216" t="str">
            <v>[]</v>
          </cell>
          <cell r="AL216" t="str">
            <v>jianshangupT3N0.1</v>
          </cell>
          <cell r="AM216" t="str">
            <v>[]</v>
          </cell>
          <cell r="AN216">
            <v>1</v>
          </cell>
          <cell r="AO216">
            <v>0.3</v>
          </cell>
          <cell r="AP216">
            <v>112202</v>
          </cell>
          <cell r="AQ216" t="str">
            <v>112202,9010</v>
          </cell>
          <cell r="AR216" t="str">
            <v>[]</v>
          </cell>
          <cell r="AS216" t="str">
            <v>[]</v>
          </cell>
          <cell r="AT216" t="str">
            <v>1124</v>
          </cell>
          <cell r="AU216" t="str">
            <v>3730</v>
          </cell>
          <cell r="AV216" t="str">
            <v>唐三藏</v>
          </cell>
          <cell r="AW216" t="str">
            <v>02</v>
          </cell>
          <cell r="AX216" t="str">
            <v>[]</v>
          </cell>
          <cell r="AY216">
            <v>1</v>
          </cell>
          <cell r="BA216" t="str">
            <v>[]</v>
          </cell>
          <cell r="BE216" t="str">
            <v>[]</v>
          </cell>
          <cell r="BF216"/>
        </row>
        <row r="217">
          <cell r="A217" t="str">
            <v>tangsanzang_skill03</v>
          </cell>
          <cell r="B217" t="str">
            <v>肉身成佛</v>
          </cell>
          <cell r="C217" t="str">
            <v>进入战斗场景时，降低自身受到的伤害@s</v>
          </cell>
          <cell r="D217">
            <v>1262</v>
          </cell>
          <cell r="E217">
            <v>0</v>
          </cell>
          <cell r="F217" t="str">
            <v>[]</v>
          </cell>
          <cell r="G217" t="str">
            <v>唐三藏被动技能</v>
          </cell>
          <cell r="H217" t="str">
            <v>shuangfang</v>
          </cell>
          <cell r="I217" t="str">
            <v>[]</v>
          </cell>
          <cell r="J217">
            <v>2</v>
          </cell>
          <cell r="K217">
            <v>10</v>
          </cell>
          <cell r="L217" t="str">
            <v>[]</v>
          </cell>
          <cell r="M217">
            <v>2</v>
          </cell>
          <cell r="N217">
            <v>2</v>
          </cell>
          <cell r="O217">
            <v>3</v>
          </cell>
          <cell r="P217">
            <v>0</v>
          </cell>
          <cell r="Q217">
            <v>12</v>
          </cell>
          <cell r="R217">
            <v>1</v>
          </cell>
          <cell r="S217" t="str">
            <v>4|0.2</v>
          </cell>
          <cell r="T217">
            <v>10</v>
          </cell>
          <cell r="U217">
            <v>0</v>
          </cell>
          <cell r="V217">
            <v>0</v>
          </cell>
          <cell r="W217" t="str">
            <v>[]</v>
          </cell>
          <cell r="X217">
            <v>0</v>
          </cell>
          <cell r="Y217" t="str">
            <v>[]</v>
          </cell>
          <cell r="Z217" t="str">
            <v>0,0,0</v>
          </cell>
          <cell r="AA217">
            <v>0</v>
          </cell>
          <cell r="AB217" t="str">
            <v>[]</v>
          </cell>
          <cell r="AC217" t="str">
            <v>[]</v>
          </cell>
          <cell r="AD217" t="str">
            <v>[]</v>
          </cell>
          <cell r="AE217" t="str">
            <v>[]</v>
          </cell>
          <cell r="AF217" t="str">
            <v>[]</v>
          </cell>
          <cell r="AG217" t="str">
            <v>[]</v>
          </cell>
          <cell r="AH217" t="str">
            <v>[]</v>
          </cell>
          <cell r="AI217" t="str">
            <v>[]</v>
          </cell>
          <cell r="AJ217" t="str">
            <v>[]</v>
          </cell>
          <cell r="AK217" t="str">
            <v>[]</v>
          </cell>
          <cell r="AL217" t="str">
            <v>jianshangupT3N0.15b</v>
          </cell>
          <cell r="AM217" t="str">
            <v>[]</v>
          </cell>
          <cell r="AN217">
            <v>0</v>
          </cell>
          <cell r="AO217" t="str">
            <v>[]</v>
          </cell>
          <cell r="AP217" t="str">
            <v>[]</v>
          </cell>
          <cell r="AQ217" t="str">
            <v>9015</v>
          </cell>
          <cell r="AR217" t="str">
            <v>[]</v>
          </cell>
          <cell r="AS217" t="str">
            <v>[]</v>
          </cell>
          <cell r="AT217" t="str">
            <v>1124</v>
          </cell>
          <cell r="AU217" t="str">
            <v>3740</v>
          </cell>
          <cell r="AV217" t="str">
            <v>唐三藏</v>
          </cell>
          <cell r="AW217" t="str">
            <v>03</v>
          </cell>
          <cell r="AX217">
            <v>1262</v>
          </cell>
          <cell r="AY217">
            <v>1</v>
          </cell>
          <cell r="BA217" t="str">
            <v>[]</v>
          </cell>
          <cell r="BE217" t="str">
            <v>[]</v>
          </cell>
          <cell r="BF217"/>
        </row>
        <row r="218">
          <cell r="A218" t="str">
            <v>tangsanzang_skill04</v>
          </cell>
          <cell r="B218" t="str">
            <v>紧箍咒</v>
          </cell>
          <cell r="C218" t="str">
            <v>念起紧箍咒，对所有敌人造成自身攻击力@s的法伤，并有40%几率令目标昏迷2秒</v>
          </cell>
          <cell r="D218">
            <v>1264</v>
          </cell>
          <cell r="E218">
            <v>2</v>
          </cell>
          <cell r="F218" t="str">
            <v>boss_warning_yuanxing</v>
          </cell>
          <cell r="G218" t="str">
            <v>唐三藏技能4</v>
          </cell>
          <cell r="H218" t="str">
            <v>tangsanzang_skill02</v>
          </cell>
          <cell r="I218" t="str">
            <v>[]</v>
          </cell>
          <cell r="J218">
            <v>3</v>
          </cell>
          <cell r="K218">
            <v>10</v>
          </cell>
          <cell r="L218" t="str">
            <v>[]</v>
          </cell>
          <cell r="M218">
            <v>2</v>
          </cell>
          <cell r="N218">
            <v>2</v>
          </cell>
          <cell r="O218">
            <v>1</v>
          </cell>
          <cell r="P218">
            <v>2</v>
          </cell>
          <cell r="Q218">
            <v>12</v>
          </cell>
          <cell r="R218" t="str">
            <v>2|1</v>
          </cell>
          <cell r="S218" t="str">
            <v>2|6</v>
          </cell>
          <cell r="T218">
            <v>10</v>
          </cell>
          <cell r="U218">
            <v>1</v>
          </cell>
          <cell r="V218">
            <v>0</v>
          </cell>
          <cell r="W218" t="str">
            <v>[]</v>
          </cell>
          <cell r="X218">
            <v>3</v>
          </cell>
          <cell r="Y218" t="str">
            <v>[]</v>
          </cell>
          <cell r="Z218" t="str">
            <v>0,2,0</v>
          </cell>
          <cell r="AA218">
            <v>0</v>
          </cell>
          <cell r="AB218">
            <v>6</v>
          </cell>
          <cell r="AC218" t="str">
            <v>[]</v>
          </cell>
          <cell r="AD218" t="str">
            <v>[]</v>
          </cell>
          <cell r="AE218" t="str">
            <v>[]</v>
          </cell>
          <cell r="AF218" t="str">
            <v>tangsanzang_skill04</v>
          </cell>
          <cell r="AG218" t="str">
            <v>tangsanzang_skill04_b</v>
          </cell>
          <cell r="AH218" t="str">
            <v>[]</v>
          </cell>
          <cell r="AI218" t="str">
            <v>[]</v>
          </cell>
          <cell r="AJ218" t="str">
            <v>[]</v>
          </cell>
          <cell r="AK218" t="str">
            <v>yunxuanT1NP0.4</v>
          </cell>
          <cell r="AL218" t="str">
            <v>[]</v>
          </cell>
          <cell r="AM218" t="str">
            <v>[]</v>
          </cell>
          <cell r="AN218">
            <v>1</v>
          </cell>
          <cell r="AO218">
            <v>1.1000000000000001</v>
          </cell>
          <cell r="AP218">
            <v>112204</v>
          </cell>
          <cell r="AQ218" t="str">
            <v>112204</v>
          </cell>
          <cell r="AR218" t="str">
            <v>[]</v>
          </cell>
          <cell r="AS218" t="str">
            <v>[]</v>
          </cell>
          <cell r="AT218" t="str">
            <v>1124</v>
          </cell>
          <cell r="AU218" t="str">
            <v>3750</v>
          </cell>
          <cell r="AV218" t="str">
            <v>唐三藏</v>
          </cell>
          <cell r="AW218" t="str">
            <v>04</v>
          </cell>
          <cell r="AX218">
            <v>1264</v>
          </cell>
          <cell r="AY218">
            <v>1</v>
          </cell>
          <cell r="AZ218">
            <v>0.4</v>
          </cell>
          <cell r="BA218">
            <v>0.4</v>
          </cell>
          <cell r="BB218" t="str">
            <v>眩晕</v>
          </cell>
          <cell r="BE218">
            <v>0.4</v>
          </cell>
          <cell r="BF218" t="str">
            <v>40</v>
          </cell>
        </row>
        <row r="219">
          <cell r="A219" t="str">
            <v>tangsanzang_skill011</v>
          </cell>
          <cell r="B219" t="str">
            <v>奥义·我佛慈悲</v>
          </cell>
          <cell r="C219" t="str">
            <v>释放佛法为全体友军吸收伤害，最多为友军自身生命值上限@s，持续3秒</v>
          </cell>
          <cell r="D219">
            <v>1266</v>
          </cell>
          <cell r="E219">
            <v>0</v>
          </cell>
          <cell r="F219" t="str">
            <v>[]</v>
          </cell>
          <cell r="G219" t="str">
            <v>唐三藏核心技能</v>
          </cell>
          <cell r="H219" t="str">
            <v>tangsanzang_skill04</v>
          </cell>
          <cell r="I219" t="str">
            <v>tangsanzang_skill04</v>
          </cell>
          <cell r="J219">
            <v>0</v>
          </cell>
          <cell r="K219">
            <v>10</v>
          </cell>
          <cell r="L219" t="str">
            <v>1|24</v>
          </cell>
          <cell r="M219">
            <v>2</v>
          </cell>
          <cell r="N219">
            <v>2</v>
          </cell>
          <cell r="O219">
            <v>1</v>
          </cell>
          <cell r="P219">
            <v>4</v>
          </cell>
          <cell r="Q219">
            <v>12</v>
          </cell>
          <cell r="R219">
            <v>3</v>
          </cell>
          <cell r="S219" t="str">
            <v>2|10</v>
          </cell>
          <cell r="T219">
            <v>10</v>
          </cell>
          <cell r="U219">
            <v>0</v>
          </cell>
          <cell r="V219">
            <v>0</v>
          </cell>
          <cell r="W219" t="str">
            <v>[]</v>
          </cell>
          <cell r="X219">
            <v>0</v>
          </cell>
          <cell r="Y219">
            <v>0</v>
          </cell>
          <cell r="Z219" t="str">
            <v>0,1,0</v>
          </cell>
          <cell r="AA219">
            <v>0</v>
          </cell>
          <cell r="AB219" t="str">
            <v>12</v>
          </cell>
          <cell r="AC219" t="str">
            <v>[]</v>
          </cell>
          <cell r="AD219" t="str">
            <v>[]</v>
          </cell>
          <cell r="AE219" t="str">
            <v>[]</v>
          </cell>
          <cell r="AF219" t="str">
            <v>tangsanzang_skill01_ack</v>
          </cell>
          <cell r="AG219" t="str">
            <v>tangsanzang_skill01</v>
          </cell>
          <cell r="AH219" t="str">
            <v>[]</v>
          </cell>
          <cell r="AI219" t="str">
            <v>[]</v>
          </cell>
          <cell r="AJ219" t="str">
            <v>[]</v>
          </cell>
          <cell r="AK219" t="str">
            <v>shengminghudunT3N0.3P1</v>
          </cell>
          <cell r="AL219" t="str">
            <v>[]</v>
          </cell>
          <cell r="AM219" t="str">
            <v>[]</v>
          </cell>
          <cell r="AN219">
            <v>1</v>
          </cell>
          <cell r="AO219">
            <v>0.1</v>
          </cell>
          <cell r="AP219" t="str">
            <v>[]</v>
          </cell>
          <cell r="AQ219" t="str">
            <v>9030</v>
          </cell>
          <cell r="AR219" t="str">
            <v>[]</v>
          </cell>
          <cell r="AS219" t="str">
            <v>[]</v>
          </cell>
          <cell r="AT219" t="str">
            <v>1122</v>
          </cell>
          <cell r="AU219" t="str">
            <v>3720</v>
          </cell>
          <cell r="AV219" t="str">
            <v>唐三藏</v>
          </cell>
          <cell r="AW219" t="str">
            <v>11</v>
          </cell>
          <cell r="AX219">
            <v>1266</v>
          </cell>
          <cell r="AY219">
            <v>1</v>
          </cell>
          <cell r="BA219" t="str">
            <v>[]</v>
          </cell>
          <cell r="BE219" t="str">
            <v>[]</v>
          </cell>
          <cell r="BF219"/>
          <cell r="BO219">
            <v>0</v>
          </cell>
        </row>
        <row r="220">
          <cell r="A220" t="str">
            <v>tangsanzang_skill021</v>
          </cell>
          <cell r="B220" t="str">
            <v>奥义·佛光守护</v>
          </cell>
          <cell r="C220" t="str">
            <v>召唤佛光攻击目标，对范围内敌人造成自身攻击力@s的伤害，同时降低自身受到伤害@s，持续3秒</v>
          </cell>
          <cell r="D220">
            <v>1268</v>
          </cell>
          <cell r="E220">
            <v>0</v>
          </cell>
          <cell r="F220" t="str">
            <v>[]</v>
          </cell>
          <cell r="G220" t="str">
            <v>唐三藏技能2</v>
          </cell>
          <cell r="H220" t="str">
            <v>tangsanzang_skill01</v>
          </cell>
          <cell r="I220" t="str">
            <v>[]</v>
          </cell>
          <cell r="J220">
            <v>1</v>
          </cell>
          <cell r="K220">
            <v>10</v>
          </cell>
          <cell r="L220" t="str">
            <v>[]</v>
          </cell>
          <cell r="M220">
            <v>2</v>
          </cell>
          <cell r="N220">
            <v>2</v>
          </cell>
          <cell r="O220">
            <v>2</v>
          </cell>
          <cell r="P220">
            <v>2</v>
          </cell>
          <cell r="Q220">
            <v>12</v>
          </cell>
          <cell r="R220" t="str">
            <v>2|1</v>
          </cell>
          <cell r="S220" t="str">
            <v>2|6</v>
          </cell>
          <cell r="T220">
            <v>10</v>
          </cell>
          <cell r="U220">
            <v>0</v>
          </cell>
          <cell r="V220">
            <v>0</v>
          </cell>
          <cell r="W220" t="str">
            <v>[]</v>
          </cell>
          <cell r="X220">
            <v>3</v>
          </cell>
          <cell r="Y220" t="str">
            <v>[]</v>
          </cell>
          <cell r="Z220" t="str">
            <v>0,4,0</v>
          </cell>
          <cell r="AA220">
            <v>0</v>
          </cell>
          <cell r="AB220">
            <v>6</v>
          </cell>
          <cell r="AC220" t="str">
            <v>[]</v>
          </cell>
          <cell r="AD220" t="str">
            <v>[]</v>
          </cell>
          <cell r="AE220" t="str">
            <v>[]</v>
          </cell>
          <cell r="AF220" t="str">
            <v>tangsanzang_skill02</v>
          </cell>
          <cell r="AG220" t="str">
            <v>common_hit_fashu</v>
          </cell>
          <cell r="AH220" t="str">
            <v>[]</v>
          </cell>
          <cell r="AI220" t="str">
            <v>[]</v>
          </cell>
          <cell r="AJ220" t="str">
            <v>[]</v>
          </cell>
          <cell r="AK220" t="str">
            <v>[]</v>
          </cell>
          <cell r="AL220" t="str">
            <v>jianshangupT3N0.2</v>
          </cell>
          <cell r="AM220" t="str">
            <v>[]</v>
          </cell>
          <cell r="AN220">
            <v>1</v>
          </cell>
          <cell r="AO220">
            <v>0.3</v>
          </cell>
          <cell r="AP220">
            <v>112206</v>
          </cell>
          <cell r="AQ220" t="str">
            <v>112206,9020</v>
          </cell>
          <cell r="AR220" t="str">
            <v>[]</v>
          </cell>
          <cell r="AS220" t="str">
            <v>[]</v>
          </cell>
          <cell r="AT220" t="str">
            <v>9025</v>
          </cell>
          <cell r="AU220" t="str">
            <v>3730</v>
          </cell>
          <cell r="AV220" t="str">
            <v>唐三藏</v>
          </cell>
          <cell r="AW220" t="str">
            <v>21</v>
          </cell>
          <cell r="AX220">
            <v>1268</v>
          </cell>
          <cell r="AY220">
            <v>1</v>
          </cell>
          <cell r="BA220" t="str">
            <v>[]</v>
          </cell>
          <cell r="BE220" t="str">
            <v>[]</v>
          </cell>
          <cell r="BF220"/>
        </row>
        <row r="221">
          <cell r="A221" t="str">
            <v>tangsanzang_skill041</v>
          </cell>
          <cell r="B221" t="str">
            <v>奥义·欧理悠</v>
          </cell>
          <cell r="C221" t="str">
            <v>念起紧箍咒，对所有敌人造成3次自身攻击力@s的法伤，每次有20%几率令目标昏迷2秒</v>
          </cell>
          <cell r="D221">
            <v>1270</v>
          </cell>
          <cell r="E221">
            <v>2</v>
          </cell>
          <cell r="F221" t="str">
            <v>boss_warning_yuanxing</v>
          </cell>
          <cell r="G221" t="str">
            <v>唐三藏技能4</v>
          </cell>
          <cell r="H221" t="str">
            <v>tangsanzang_skill02</v>
          </cell>
          <cell r="I221" t="str">
            <v>[]</v>
          </cell>
          <cell r="J221">
            <v>3</v>
          </cell>
          <cell r="K221">
            <v>10</v>
          </cell>
          <cell r="L221" t="str">
            <v>[]</v>
          </cell>
          <cell r="M221">
            <v>2</v>
          </cell>
          <cell r="N221">
            <v>2</v>
          </cell>
          <cell r="O221">
            <v>1</v>
          </cell>
          <cell r="P221">
            <v>2</v>
          </cell>
          <cell r="Q221">
            <v>12</v>
          </cell>
          <cell r="R221" t="str">
            <v>2|1</v>
          </cell>
          <cell r="S221" t="str">
            <v>2|6</v>
          </cell>
          <cell r="T221">
            <v>10</v>
          </cell>
          <cell r="U221">
            <v>1</v>
          </cell>
          <cell r="V221">
            <v>0</v>
          </cell>
          <cell r="W221" t="str">
            <v>[]</v>
          </cell>
          <cell r="X221">
            <v>3</v>
          </cell>
          <cell r="Y221" t="str">
            <v>[]</v>
          </cell>
          <cell r="Z221" t="str">
            <v>0,2,0</v>
          </cell>
          <cell r="AA221">
            <v>0</v>
          </cell>
          <cell r="AB221">
            <v>6</v>
          </cell>
          <cell r="AC221" t="str">
            <v>[]</v>
          </cell>
          <cell r="AD221" t="str">
            <v>[]</v>
          </cell>
          <cell r="AE221" t="str">
            <v>[]</v>
          </cell>
          <cell r="AF221" t="str">
            <v>tangsanzang_skill04</v>
          </cell>
          <cell r="AG221" t="str">
            <v>tangsanzang_skill04_b</v>
          </cell>
          <cell r="AH221" t="str">
            <v>[]</v>
          </cell>
          <cell r="AI221" t="str">
            <v>[]</v>
          </cell>
          <cell r="AJ221" t="str">
            <v>[]</v>
          </cell>
          <cell r="AK221" t="str">
            <v>yunxuanT1NP0.2</v>
          </cell>
          <cell r="AL221" t="str">
            <v>[]</v>
          </cell>
          <cell r="AM221" t="str">
            <v>[]</v>
          </cell>
          <cell r="AN221">
            <v>1</v>
          </cell>
          <cell r="AO221" t="str">
            <v>1.1,0.5,0.5</v>
          </cell>
          <cell r="AP221">
            <v>112207</v>
          </cell>
          <cell r="AQ221" t="str">
            <v>112207</v>
          </cell>
          <cell r="AR221" t="str">
            <v>[]</v>
          </cell>
          <cell r="AS221" t="str">
            <v>[]</v>
          </cell>
          <cell r="AT221" t="str">
            <v>9010</v>
          </cell>
          <cell r="AU221" t="str">
            <v>3750</v>
          </cell>
          <cell r="AV221" t="str">
            <v>唐三藏</v>
          </cell>
          <cell r="AW221" t="str">
            <v>41</v>
          </cell>
          <cell r="AX221">
            <v>1270</v>
          </cell>
          <cell r="AY221">
            <v>3</v>
          </cell>
          <cell r="AZ221">
            <v>0.4</v>
          </cell>
          <cell r="BA221">
            <v>0.157</v>
          </cell>
          <cell r="BB221" t="str">
            <v>眩晕</v>
          </cell>
          <cell r="BE221">
            <v>0.157</v>
          </cell>
          <cell r="BF221" t="str">
            <v>20</v>
          </cell>
        </row>
        <row r="222">
          <cell r="A222" t="str">
            <v>jiaye_attack</v>
          </cell>
          <cell r="B222" t="str">
            <v>迦叶</v>
          </cell>
          <cell r="C222" t="str">
            <v>普攻</v>
          </cell>
          <cell r="D222" t="str">
            <v>[]</v>
          </cell>
          <cell r="E222">
            <v>0</v>
          </cell>
          <cell r="F222" t="str">
            <v>[]</v>
          </cell>
          <cell r="G222" t="str">
            <v>近战攻击</v>
          </cell>
          <cell r="H222" t="str">
            <v>[]</v>
          </cell>
          <cell r="I222" t="str">
            <v>[]</v>
          </cell>
          <cell r="J222">
            <v>0</v>
          </cell>
          <cell r="K222">
            <v>1</v>
          </cell>
          <cell r="L222" t="str">
            <v>[]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3</v>
          </cell>
          <cell r="R222" t="str">
            <v>2|1</v>
          </cell>
          <cell r="S222" t="str">
            <v>4|0.2</v>
          </cell>
          <cell r="T222">
            <v>1</v>
          </cell>
          <cell r="U222">
            <v>1</v>
          </cell>
          <cell r="V222">
            <v>0</v>
          </cell>
          <cell r="W222" t="str">
            <v>[]</v>
          </cell>
          <cell r="X222">
            <v>0</v>
          </cell>
          <cell r="Y222" t="str">
            <v>[]</v>
          </cell>
          <cell r="Z222" t="str">
            <v>0,1,0</v>
          </cell>
          <cell r="AA222">
            <v>0</v>
          </cell>
          <cell r="AB222" t="str">
            <v>[]</v>
          </cell>
          <cell r="AC222" t="str">
            <v>[]</v>
          </cell>
          <cell r="AD222" t="str">
            <v>[]</v>
          </cell>
          <cell r="AE222" t="str">
            <v>[]</v>
          </cell>
          <cell r="AF222" t="str">
            <v>jiaye_attack</v>
          </cell>
          <cell r="AG222" t="str">
            <v>common_hit_dunqi</v>
          </cell>
          <cell r="AH222" t="str">
            <v>[]</v>
          </cell>
          <cell r="AI222" t="str">
            <v>[]</v>
          </cell>
          <cell r="AJ222" t="str">
            <v>[]</v>
          </cell>
          <cell r="AK222" t="str">
            <v>[]</v>
          </cell>
          <cell r="AL222" t="str">
            <v>[]</v>
          </cell>
          <cell r="AM222" t="str">
            <v>[]</v>
          </cell>
          <cell r="AN222">
            <v>1</v>
          </cell>
          <cell r="AO222">
            <v>0.3</v>
          </cell>
          <cell r="AP222">
            <v>112500</v>
          </cell>
          <cell r="AQ222" t="str">
            <v>112500</v>
          </cell>
          <cell r="AR222" t="str">
            <v>[]</v>
          </cell>
          <cell r="AS222" t="str">
            <v>[]</v>
          </cell>
          <cell r="AT222" t="str">
            <v>9015</v>
          </cell>
          <cell r="AU222" t="str">
            <v>3760</v>
          </cell>
          <cell r="AV222" t="str">
            <v>近战攻击</v>
          </cell>
          <cell r="AW222" t="str">
            <v>ck</v>
          </cell>
          <cell r="AX222" t="str">
            <v>[]</v>
          </cell>
          <cell r="AY222">
            <v>1</v>
          </cell>
          <cell r="BA222" t="str">
            <v>[]</v>
          </cell>
          <cell r="BE222" t="str">
            <v>[]</v>
          </cell>
          <cell r="BF222"/>
        </row>
        <row r="223">
          <cell r="A223" t="str">
            <v>jiaye_skill01</v>
          </cell>
          <cell r="B223" t="str">
            <v>天罡正气</v>
          </cell>
          <cell r="C223" t="str">
            <v>释放天罡正气护盾，降低全体友军受到的伤害@s，持续3秒</v>
          </cell>
          <cell r="D223" t="str">
            <v>[]</v>
          </cell>
          <cell r="E223">
            <v>0</v>
          </cell>
          <cell r="F223" t="str">
            <v>[]</v>
          </cell>
          <cell r="G223" t="str">
            <v>迦叶核心技能</v>
          </cell>
          <cell r="H223" t="str">
            <v>jiaye_skill01</v>
          </cell>
          <cell r="I223" t="str">
            <v>jiaye_skill01</v>
          </cell>
          <cell r="J223">
            <v>0</v>
          </cell>
          <cell r="K223">
            <v>10</v>
          </cell>
          <cell r="L223" t="str">
            <v>1|9</v>
          </cell>
          <cell r="M223">
            <v>2</v>
          </cell>
          <cell r="N223">
            <v>2</v>
          </cell>
          <cell r="O223">
            <v>1</v>
          </cell>
          <cell r="P223">
            <v>4</v>
          </cell>
          <cell r="Q223">
            <v>12</v>
          </cell>
          <cell r="R223">
            <v>3</v>
          </cell>
          <cell r="S223">
            <v>5</v>
          </cell>
          <cell r="T223">
            <v>10</v>
          </cell>
          <cell r="U223">
            <v>0</v>
          </cell>
          <cell r="V223">
            <v>0</v>
          </cell>
          <cell r="W223" t="str">
            <v>[]</v>
          </cell>
          <cell r="X223">
            <v>0</v>
          </cell>
          <cell r="Y223" t="str">
            <v>[]</v>
          </cell>
          <cell r="Z223" t="str">
            <v>0,1,0</v>
          </cell>
          <cell r="AA223">
            <v>0</v>
          </cell>
          <cell r="AB223" t="str">
            <v>12</v>
          </cell>
          <cell r="AC223" t="str">
            <v>[]</v>
          </cell>
          <cell r="AD223" t="str">
            <v>[]</v>
          </cell>
          <cell r="AE223" t="str">
            <v>[]</v>
          </cell>
          <cell r="AF223" t="str">
            <v>jiaye_skill01</v>
          </cell>
          <cell r="AG223" t="str">
            <v>jiaye_skill01_d</v>
          </cell>
          <cell r="AH223" t="str">
            <v>[]</v>
          </cell>
          <cell r="AI223" t="str">
            <v>[]</v>
          </cell>
          <cell r="AJ223" t="str">
            <v>[]</v>
          </cell>
          <cell r="AK223" t="str">
            <v>[]</v>
          </cell>
          <cell r="AL223" t="str">
            <v>[]</v>
          </cell>
          <cell r="AM223" t="str">
            <v>jianshangupT3N0.2</v>
          </cell>
          <cell r="AN223">
            <v>1</v>
          </cell>
          <cell r="AO223">
            <v>0.1</v>
          </cell>
          <cell r="AP223" t="str">
            <v>[]</v>
          </cell>
          <cell r="AQ223" t="str">
            <v>9020</v>
          </cell>
          <cell r="AR223" t="str">
            <v>[]</v>
          </cell>
          <cell r="AS223" t="str">
            <v>[]</v>
          </cell>
          <cell r="AT223" t="str">
            <v>1122</v>
          </cell>
          <cell r="AU223" t="str">
            <v>3770</v>
          </cell>
          <cell r="AV223" t="str">
            <v>迦叶</v>
          </cell>
          <cell r="AW223" t="str">
            <v>01</v>
          </cell>
          <cell r="AX223" t="str">
            <v>[]</v>
          </cell>
          <cell r="AY223">
            <v>1</v>
          </cell>
          <cell r="BA223" t="str">
            <v>[]</v>
          </cell>
          <cell r="BE223" t="str">
            <v>[]</v>
          </cell>
          <cell r="BF223"/>
        </row>
        <row r="224">
          <cell r="A224" t="str">
            <v>jiaye_skill02</v>
          </cell>
          <cell r="B224" t="str">
            <v>贯日神拳</v>
          </cell>
          <cell r="C224" t="str">
            <v>蓄力挥拳，对范围内敌人进行3次攻击，每次有11%的概率击晕对手</v>
          </cell>
          <cell r="D224" t="str">
            <v>[]</v>
          </cell>
          <cell r="E224">
            <v>2</v>
          </cell>
          <cell r="F224" t="str">
            <v>boss_warning_shanxing90</v>
          </cell>
          <cell r="G224" t="str">
            <v>迦叶技能2</v>
          </cell>
          <cell r="H224" t="str">
            <v>jiaye_skill02</v>
          </cell>
          <cell r="I224" t="str">
            <v>[]</v>
          </cell>
          <cell r="J224">
            <v>1</v>
          </cell>
          <cell r="K224">
            <v>10</v>
          </cell>
          <cell r="L224" t="str">
            <v>[]</v>
          </cell>
          <cell r="M224">
            <v>2</v>
          </cell>
          <cell r="N224">
            <v>2</v>
          </cell>
          <cell r="O224">
            <v>1</v>
          </cell>
          <cell r="P224">
            <v>2</v>
          </cell>
          <cell r="Q224">
            <v>4</v>
          </cell>
          <cell r="R224" t="str">
            <v>2|1</v>
          </cell>
          <cell r="S224" t="str">
            <v>3|6|60</v>
          </cell>
          <cell r="T224">
            <v>10</v>
          </cell>
          <cell r="U224">
            <v>0</v>
          </cell>
          <cell r="V224">
            <v>0</v>
          </cell>
          <cell r="W224" t="str">
            <v>[]</v>
          </cell>
          <cell r="X224">
            <v>3</v>
          </cell>
          <cell r="Y224" t="str">
            <v>[]</v>
          </cell>
          <cell r="Z224" t="str">
            <v>0,2.63,0</v>
          </cell>
          <cell r="AA224">
            <v>0</v>
          </cell>
          <cell r="AB224">
            <v>6</v>
          </cell>
          <cell r="AC224" t="str">
            <v>[]</v>
          </cell>
          <cell r="AD224" t="str">
            <v>[]</v>
          </cell>
          <cell r="AE224" t="str">
            <v>[]</v>
          </cell>
          <cell r="AF224" t="str">
            <v>jiaye_skill02</v>
          </cell>
          <cell r="AG224" t="str">
            <v>common_hit_dunqi</v>
          </cell>
          <cell r="AH224" t="str">
            <v>[]</v>
          </cell>
          <cell r="AI224" t="str">
            <v>[]</v>
          </cell>
          <cell r="AJ224" t="str">
            <v>[]</v>
          </cell>
          <cell r="AK224" t="str">
            <v>yunxuanT1NP0.1</v>
          </cell>
          <cell r="AL224" t="str">
            <v>[]</v>
          </cell>
          <cell r="AM224" t="str">
            <v>[]</v>
          </cell>
          <cell r="AN224">
            <v>1</v>
          </cell>
          <cell r="AO224" t="str">
            <v>0.2,0.3,1.9</v>
          </cell>
          <cell r="AP224">
            <v>112502</v>
          </cell>
          <cell r="AQ224" t="str">
            <v>112502</v>
          </cell>
          <cell r="AR224" t="str">
            <v>[]</v>
          </cell>
          <cell r="AS224" t="str">
            <v>[]</v>
          </cell>
          <cell r="AT224" t="str">
            <v>9030</v>
          </cell>
          <cell r="AU224" t="str">
            <v>3780</v>
          </cell>
          <cell r="AV224" t="str">
            <v>迦叶</v>
          </cell>
          <cell r="AW224" t="str">
            <v>02</v>
          </cell>
          <cell r="AX224" t="str">
            <v>[]</v>
          </cell>
          <cell r="AY224">
            <v>3</v>
          </cell>
          <cell r="AZ224">
            <v>0.3</v>
          </cell>
          <cell r="BA224">
            <v>0.112</v>
          </cell>
          <cell r="BB224" t="str">
            <v>眩晕</v>
          </cell>
          <cell r="BE224">
            <v>0.112</v>
          </cell>
          <cell r="BF224" t="str">
            <v>10</v>
          </cell>
        </row>
        <row r="225">
          <cell r="A225" t="str">
            <v>jiaye_skill03</v>
          </cell>
          <cell r="B225" t="str">
            <v>根骨超群</v>
          </cell>
          <cell r="C225" t="str">
            <v>进入战斗场景时，提升自身生命值上限@s</v>
          </cell>
          <cell r="D225">
            <v>1262</v>
          </cell>
          <cell r="E225">
            <v>0</v>
          </cell>
          <cell r="F225" t="str">
            <v>[]</v>
          </cell>
          <cell r="G225" t="str">
            <v>迦叶被动技能</v>
          </cell>
          <cell r="H225" t="str">
            <v>shuangfang</v>
          </cell>
          <cell r="I225" t="str">
            <v>[]</v>
          </cell>
          <cell r="J225">
            <v>2</v>
          </cell>
          <cell r="K225">
            <v>10</v>
          </cell>
          <cell r="L225" t="str">
            <v>[]</v>
          </cell>
          <cell r="M225">
            <v>2</v>
          </cell>
          <cell r="N225">
            <v>2</v>
          </cell>
          <cell r="O225">
            <v>3</v>
          </cell>
          <cell r="P225">
            <v>0</v>
          </cell>
          <cell r="Q225">
            <v>12</v>
          </cell>
          <cell r="R225">
            <v>1</v>
          </cell>
          <cell r="S225" t="str">
            <v>4|0.2</v>
          </cell>
          <cell r="T225">
            <v>10</v>
          </cell>
          <cell r="U225">
            <v>0</v>
          </cell>
          <cell r="V225">
            <v>0</v>
          </cell>
          <cell r="W225" t="str">
            <v>[]</v>
          </cell>
          <cell r="X225">
            <v>0</v>
          </cell>
          <cell r="Y225" t="str">
            <v>[]</v>
          </cell>
          <cell r="Z225" t="str">
            <v>0,0,0</v>
          </cell>
          <cell r="AA225">
            <v>0</v>
          </cell>
          <cell r="AB225" t="str">
            <v>[]</v>
          </cell>
          <cell r="AC225" t="str">
            <v>[]</v>
          </cell>
          <cell r="AD225" t="str">
            <v>[]</v>
          </cell>
          <cell r="AE225" t="str">
            <v>[]</v>
          </cell>
          <cell r="AF225" t="str">
            <v>[]</v>
          </cell>
          <cell r="AG225" t="str">
            <v>[]</v>
          </cell>
          <cell r="AH225" t="str">
            <v>[]</v>
          </cell>
          <cell r="AI225" t="str">
            <v>[]</v>
          </cell>
          <cell r="AJ225" t="str">
            <v>[]</v>
          </cell>
          <cell r="AK225" t="str">
            <v>[]</v>
          </cell>
          <cell r="AL225" t="str">
            <v>hpupTN0.2b</v>
          </cell>
          <cell r="AM225" t="str">
            <v>[]</v>
          </cell>
          <cell r="AN225">
            <v>0</v>
          </cell>
          <cell r="AO225" t="str">
            <v>[]</v>
          </cell>
          <cell r="AP225" t="str">
            <v>[]</v>
          </cell>
          <cell r="AQ225" t="str">
            <v>9020</v>
          </cell>
          <cell r="AR225" t="str">
            <v>[]</v>
          </cell>
          <cell r="AS225" t="str">
            <v>[]</v>
          </cell>
          <cell r="AT225" t="str">
            <v>9020</v>
          </cell>
          <cell r="AU225" t="str">
            <v>3791</v>
          </cell>
          <cell r="AV225" t="str">
            <v>迦叶</v>
          </cell>
          <cell r="AW225" t="str">
            <v>03</v>
          </cell>
          <cell r="AX225">
            <v>1262</v>
          </cell>
          <cell r="AY225">
            <v>1</v>
          </cell>
          <cell r="BA225" t="str">
            <v>[]</v>
          </cell>
          <cell r="BE225" t="str">
            <v>[]</v>
          </cell>
          <cell r="BF225"/>
        </row>
        <row r="226">
          <cell r="A226" t="str">
            <v>jiaye_skill04</v>
          </cell>
          <cell r="B226" t="str">
            <v>佛祖保佑</v>
          </cell>
          <cell r="C226" t="str">
            <v>用佛光治疗自身，每0.5秒恢复自身生命值上限2%的生命值，持续2秒</v>
          </cell>
          <cell r="D226">
            <v>1264</v>
          </cell>
          <cell r="E226">
            <v>0</v>
          </cell>
          <cell r="F226" t="str">
            <v>[]</v>
          </cell>
          <cell r="G226" t="str">
            <v>迦叶技能4</v>
          </cell>
          <cell r="H226" t="str">
            <v>jiaye_skill04</v>
          </cell>
          <cell r="I226" t="str">
            <v>[]</v>
          </cell>
          <cell r="J226">
            <v>3</v>
          </cell>
          <cell r="K226">
            <v>10</v>
          </cell>
          <cell r="L226" t="str">
            <v>[]</v>
          </cell>
          <cell r="M226">
            <v>2</v>
          </cell>
          <cell r="N226">
            <v>2</v>
          </cell>
          <cell r="O226">
            <v>1</v>
          </cell>
          <cell r="P226">
            <v>5</v>
          </cell>
          <cell r="Q226">
            <v>4</v>
          </cell>
          <cell r="R226">
            <v>1</v>
          </cell>
          <cell r="S226" t="str">
            <v>4|0.2</v>
          </cell>
          <cell r="T226">
            <v>1</v>
          </cell>
          <cell r="U226">
            <v>0</v>
          </cell>
          <cell r="V226">
            <v>0</v>
          </cell>
          <cell r="W226" t="str">
            <v>[]</v>
          </cell>
          <cell r="X226">
            <v>3</v>
          </cell>
          <cell r="Y226" t="str">
            <v>[]</v>
          </cell>
          <cell r="Z226" t="str">
            <v>0,1,0</v>
          </cell>
          <cell r="AA226">
            <v>0</v>
          </cell>
          <cell r="AB226">
            <v>6</v>
          </cell>
          <cell r="AC226" t="str">
            <v>[]</v>
          </cell>
          <cell r="AD226" t="str">
            <v>[]</v>
          </cell>
          <cell r="AE226" t="str">
            <v>[]</v>
          </cell>
          <cell r="AF226" t="str">
            <v>jiaye_skill04</v>
          </cell>
          <cell r="AG226" t="str">
            <v>jiaye_skill04</v>
          </cell>
          <cell r="AH226" t="str">
            <v>[]</v>
          </cell>
          <cell r="AI226" t="str">
            <v>[]</v>
          </cell>
          <cell r="AJ226" t="str">
            <v>[]</v>
          </cell>
          <cell r="AK226" t="str">
            <v>[]</v>
          </cell>
          <cell r="AL226" t="str">
            <v>hpmaxhuifu2T2</v>
          </cell>
          <cell r="AM226" t="str">
            <v>[]</v>
          </cell>
          <cell r="AN226">
            <v>1</v>
          </cell>
          <cell r="AO226">
            <v>1</v>
          </cell>
          <cell r="AP226" t="str">
            <v>[]</v>
          </cell>
          <cell r="AQ226" t="str">
            <v>9002</v>
          </cell>
          <cell r="AR226" t="str">
            <v>[]</v>
          </cell>
          <cell r="AS226" t="str">
            <v>[]</v>
          </cell>
          <cell r="AT226" t="str">
            <v>1122</v>
          </cell>
          <cell r="AU226" t="str">
            <v>3800</v>
          </cell>
          <cell r="AV226" t="str">
            <v>迦叶</v>
          </cell>
          <cell r="AW226" t="str">
            <v>04</v>
          </cell>
          <cell r="AX226">
            <v>1264</v>
          </cell>
          <cell r="AY226">
            <v>1</v>
          </cell>
          <cell r="BA226" t="str">
            <v>[]</v>
          </cell>
          <cell r="BE226" t="str">
            <v>[]</v>
          </cell>
          <cell r="BF226"/>
        </row>
        <row r="227">
          <cell r="A227" t="str">
            <v>jiaye_skill011</v>
          </cell>
          <cell r="B227" t="str">
            <v>奥义·天罡正气</v>
          </cell>
          <cell r="C227" t="str">
            <v>释放天罡正气护盾，降低全体友军受到的伤害@s，持续6秒</v>
          </cell>
          <cell r="D227">
            <v>1266</v>
          </cell>
          <cell r="E227">
            <v>0</v>
          </cell>
          <cell r="F227" t="str">
            <v>[]</v>
          </cell>
          <cell r="G227" t="str">
            <v>迦叶核心技能</v>
          </cell>
          <cell r="H227" t="str">
            <v>jiaye_skill01</v>
          </cell>
          <cell r="I227" t="str">
            <v>jiaye_skill01</v>
          </cell>
          <cell r="J227">
            <v>0</v>
          </cell>
          <cell r="K227">
            <v>10</v>
          </cell>
          <cell r="L227" t="str">
            <v>1|9</v>
          </cell>
          <cell r="M227">
            <v>2</v>
          </cell>
          <cell r="N227">
            <v>2</v>
          </cell>
          <cell r="O227">
            <v>1</v>
          </cell>
          <cell r="P227">
            <v>4</v>
          </cell>
          <cell r="Q227">
            <v>12</v>
          </cell>
          <cell r="R227">
            <v>3</v>
          </cell>
          <cell r="S227">
            <v>5</v>
          </cell>
          <cell r="T227">
            <v>10</v>
          </cell>
          <cell r="U227">
            <v>0</v>
          </cell>
          <cell r="V227">
            <v>0</v>
          </cell>
          <cell r="W227" t="str">
            <v>[]</v>
          </cell>
          <cell r="X227">
            <v>0</v>
          </cell>
          <cell r="Y227" t="str">
            <v>[]</v>
          </cell>
          <cell r="Z227" t="str">
            <v>0,1,0</v>
          </cell>
          <cell r="AA227">
            <v>0</v>
          </cell>
          <cell r="AB227" t="str">
            <v>12</v>
          </cell>
          <cell r="AC227" t="str">
            <v>[]</v>
          </cell>
          <cell r="AD227" t="str">
            <v>[]</v>
          </cell>
          <cell r="AE227" t="str">
            <v>[]</v>
          </cell>
          <cell r="AF227" t="str">
            <v>jiaye_skill01</v>
          </cell>
          <cell r="AG227" t="str">
            <v>jiaye_skill01_d</v>
          </cell>
          <cell r="AH227" t="str">
            <v>[]</v>
          </cell>
          <cell r="AI227" t="str">
            <v>[]</v>
          </cell>
          <cell r="AJ227" t="str">
            <v>[]</v>
          </cell>
          <cell r="AK227" t="str">
            <v>[]</v>
          </cell>
          <cell r="AL227" t="str">
            <v>[]</v>
          </cell>
          <cell r="AM227" t="str">
            <v>jianshangupT6N0.2</v>
          </cell>
          <cell r="AN227">
            <v>1</v>
          </cell>
          <cell r="AO227">
            <v>0.1</v>
          </cell>
          <cell r="AP227" t="str">
            <v>[]</v>
          </cell>
          <cell r="AQ227" t="str">
            <v>9020</v>
          </cell>
          <cell r="AR227" t="str">
            <v>[]</v>
          </cell>
          <cell r="AS227" t="str">
            <v>[]</v>
          </cell>
          <cell r="AT227" t="str">
            <v>1125</v>
          </cell>
          <cell r="AU227" t="str">
            <v>3770</v>
          </cell>
          <cell r="AV227" t="str">
            <v>迦叶</v>
          </cell>
          <cell r="AW227" t="str">
            <v>11</v>
          </cell>
          <cell r="AX227">
            <v>1266</v>
          </cell>
          <cell r="AY227">
            <v>1</v>
          </cell>
          <cell r="BA227" t="str">
            <v>[]</v>
          </cell>
          <cell r="BE227" t="str">
            <v>[]</v>
          </cell>
          <cell r="BF227"/>
        </row>
        <row r="228">
          <cell r="A228" t="str">
            <v>jiaye_skill021</v>
          </cell>
          <cell r="B228" t="str">
            <v>奥义·贯日神拳</v>
          </cell>
          <cell r="C228" t="str">
            <v>蓄力挥拳，对范围内敌人进行3次攻击，造成自身攻击力@s的物伤，每次有27%的概率击晕对手</v>
          </cell>
          <cell r="D228">
            <v>1268</v>
          </cell>
          <cell r="E228">
            <v>2</v>
          </cell>
          <cell r="F228" t="str">
            <v>boss_warning_shanxing90</v>
          </cell>
          <cell r="G228" t="str">
            <v>迦叶技能2</v>
          </cell>
          <cell r="H228" t="str">
            <v>jiaye_skill02</v>
          </cell>
          <cell r="I228" t="str">
            <v>[]</v>
          </cell>
          <cell r="J228">
            <v>1</v>
          </cell>
          <cell r="K228">
            <v>10</v>
          </cell>
          <cell r="L228" t="str">
            <v>[]</v>
          </cell>
          <cell r="M228">
            <v>2</v>
          </cell>
          <cell r="N228">
            <v>2</v>
          </cell>
          <cell r="O228">
            <v>1</v>
          </cell>
          <cell r="P228">
            <v>2</v>
          </cell>
          <cell r="Q228">
            <v>4</v>
          </cell>
          <cell r="R228" t="str">
            <v>2|1</v>
          </cell>
          <cell r="S228" t="str">
            <v>3|6|60</v>
          </cell>
          <cell r="T228">
            <v>10</v>
          </cell>
          <cell r="U228">
            <v>0</v>
          </cell>
          <cell r="V228">
            <v>0</v>
          </cell>
          <cell r="W228" t="str">
            <v>[]</v>
          </cell>
          <cell r="X228">
            <v>3</v>
          </cell>
          <cell r="Y228" t="str">
            <v>[]</v>
          </cell>
          <cell r="Z228" t="str">
            <v>0,2.63,0</v>
          </cell>
          <cell r="AA228">
            <v>0</v>
          </cell>
          <cell r="AB228">
            <v>6</v>
          </cell>
          <cell r="AC228" t="str">
            <v>[]</v>
          </cell>
          <cell r="AD228" t="str">
            <v>[]</v>
          </cell>
          <cell r="AE228" t="str">
            <v>[]</v>
          </cell>
          <cell r="AF228" t="str">
            <v>jiaye_skill02</v>
          </cell>
          <cell r="AG228" t="str">
            <v>common_hit_dunqi</v>
          </cell>
          <cell r="AH228" t="str">
            <v>[]</v>
          </cell>
          <cell r="AI228" t="str">
            <v>[]</v>
          </cell>
          <cell r="AJ228" t="str">
            <v>[]</v>
          </cell>
          <cell r="AK228" t="str">
            <v>yunxuanT1NP0.3</v>
          </cell>
          <cell r="AL228" t="str">
            <v>[]</v>
          </cell>
          <cell r="AM228" t="str">
            <v>[]</v>
          </cell>
          <cell r="AN228">
            <v>1</v>
          </cell>
          <cell r="AO228" t="str">
            <v>0.2,0.3,1.9</v>
          </cell>
          <cell r="AP228">
            <v>112506</v>
          </cell>
          <cell r="AQ228" t="str">
            <v>112506</v>
          </cell>
          <cell r="AR228" t="str">
            <v>[]</v>
          </cell>
          <cell r="AS228" t="str">
            <v>[]</v>
          </cell>
          <cell r="AT228" t="str">
            <v>9020</v>
          </cell>
          <cell r="AU228" t="str">
            <v>3780</v>
          </cell>
          <cell r="AV228" t="str">
            <v>迦叶</v>
          </cell>
          <cell r="AW228" t="str">
            <v>21</v>
          </cell>
          <cell r="AX228">
            <v>1268</v>
          </cell>
          <cell r="AY228">
            <v>3</v>
          </cell>
          <cell r="AZ228">
            <v>0.6</v>
          </cell>
          <cell r="BA228">
            <v>0.26400000000000001</v>
          </cell>
          <cell r="BB228" t="str">
            <v>眩晕</v>
          </cell>
          <cell r="BE228">
            <v>0.26400000000000001</v>
          </cell>
          <cell r="BF228" t="str">
            <v>30</v>
          </cell>
        </row>
        <row r="229">
          <cell r="A229" t="str">
            <v>jiaye_skill041</v>
          </cell>
          <cell r="B229" t="str">
            <v>奥义·佛祖保佑</v>
          </cell>
          <cell r="C229" t="str">
            <v>用佛光治疗自身，每0.5秒恢复自身生命值上限2%的生命值，持续2秒</v>
          </cell>
          <cell r="D229">
            <v>1270</v>
          </cell>
          <cell r="E229">
            <v>0</v>
          </cell>
          <cell r="F229" t="str">
            <v>[]</v>
          </cell>
          <cell r="G229" t="str">
            <v>迦叶技能4</v>
          </cell>
          <cell r="H229" t="str">
            <v>jiaye_skill04</v>
          </cell>
          <cell r="I229" t="str">
            <v>[]</v>
          </cell>
          <cell r="J229">
            <v>3</v>
          </cell>
          <cell r="K229">
            <v>10</v>
          </cell>
          <cell r="L229" t="str">
            <v>[]</v>
          </cell>
          <cell r="M229">
            <v>2</v>
          </cell>
          <cell r="N229">
            <v>2</v>
          </cell>
          <cell r="O229">
            <v>1</v>
          </cell>
          <cell r="P229">
            <v>5</v>
          </cell>
          <cell r="Q229">
            <v>4</v>
          </cell>
          <cell r="R229">
            <v>3</v>
          </cell>
          <cell r="S229" t="str">
            <v>4|0.2</v>
          </cell>
          <cell r="T229">
            <v>10</v>
          </cell>
          <cell r="U229">
            <v>1</v>
          </cell>
          <cell r="V229">
            <v>0</v>
          </cell>
          <cell r="W229" t="str">
            <v>[]</v>
          </cell>
          <cell r="X229">
            <v>3</v>
          </cell>
          <cell r="Y229" t="str">
            <v>[]</v>
          </cell>
          <cell r="Z229" t="str">
            <v>0,1,0</v>
          </cell>
          <cell r="AA229">
            <v>0</v>
          </cell>
          <cell r="AB229">
            <v>6</v>
          </cell>
          <cell r="AC229" t="str">
            <v>[]</v>
          </cell>
          <cell r="AD229" t="str">
            <v>[]</v>
          </cell>
          <cell r="AE229" t="str">
            <v>[]</v>
          </cell>
          <cell r="AF229" t="str">
            <v>jiaye_skill04</v>
          </cell>
          <cell r="AG229" t="str">
            <v>respond_hp</v>
          </cell>
          <cell r="AH229" t="str">
            <v>[]</v>
          </cell>
          <cell r="AI229" t="str">
            <v>[]</v>
          </cell>
          <cell r="AJ229" t="str">
            <v>[]</v>
          </cell>
          <cell r="AK229" t="str">
            <v>[]</v>
          </cell>
          <cell r="AL229" t="str">
            <v>hpmaxhuifu3T2</v>
          </cell>
          <cell r="AM229" t="str">
            <v>[]</v>
          </cell>
          <cell r="AN229">
            <v>1</v>
          </cell>
          <cell r="AO229">
            <v>1</v>
          </cell>
          <cell r="AP229" t="str">
            <v>[]</v>
          </cell>
          <cell r="AQ229" t="str">
            <v>9003</v>
          </cell>
          <cell r="AR229" t="str">
            <v>[]</v>
          </cell>
          <cell r="AS229" t="str">
            <v>[]</v>
          </cell>
          <cell r="AT229" t="str">
            <v>1125</v>
          </cell>
          <cell r="AU229" t="str">
            <v>3800</v>
          </cell>
          <cell r="AV229" t="str">
            <v>迦叶</v>
          </cell>
          <cell r="AW229" t="str">
            <v>41</v>
          </cell>
          <cell r="AX229">
            <v>1270</v>
          </cell>
          <cell r="AY229">
            <v>1</v>
          </cell>
          <cell r="BA229" t="str">
            <v>[]</v>
          </cell>
          <cell r="BE229" t="str">
            <v>[]</v>
          </cell>
          <cell r="BF229"/>
        </row>
        <row r="230">
          <cell r="A230" t="str">
            <v>wenshupusa_attack</v>
          </cell>
          <cell r="B230" t="str">
            <v>文殊菩萨</v>
          </cell>
          <cell r="C230" t="str">
            <v>普攻</v>
          </cell>
          <cell r="D230" t="str">
            <v>[]</v>
          </cell>
          <cell r="E230">
            <v>0</v>
          </cell>
          <cell r="F230" t="str">
            <v>[]</v>
          </cell>
          <cell r="G230" t="str">
            <v>文殊菩萨远程攻击</v>
          </cell>
          <cell r="H230" t="str">
            <v>[]</v>
          </cell>
          <cell r="I230" t="str">
            <v>[]</v>
          </cell>
          <cell r="J230">
            <v>0</v>
          </cell>
          <cell r="K230">
            <v>1</v>
          </cell>
          <cell r="L230" t="str">
            <v>[]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12</v>
          </cell>
          <cell r="R230" t="str">
            <v>2|1</v>
          </cell>
          <cell r="S230" t="str">
            <v>4|0.2</v>
          </cell>
          <cell r="T230">
            <v>1</v>
          </cell>
          <cell r="U230">
            <v>1</v>
          </cell>
          <cell r="V230">
            <v>0</v>
          </cell>
          <cell r="W230" t="str">
            <v>[]</v>
          </cell>
          <cell r="X230">
            <v>0</v>
          </cell>
          <cell r="Y230" t="str">
            <v>[]</v>
          </cell>
          <cell r="Z230" t="str">
            <v>0,1,0</v>
          </cell>
          <cell r="AA230">
            <v>0</v>
          </cell>
          <cell r="AB230" t="str">
            <v>[]</v>
          </cell>
          <cell r="AC230" t="str">
            <v>[]</v>
          </cell>
          <cell r="AD230" t="str">
            <v>[]</v>
          </cell>
          <cell r="AE230" t="str">
            <v>wenshupusa_attack</v>
          </cell>
          <cell r="AF230" t="str">
            <v>wenshupusa_attack_f</v>
          </cell>
          <cell r="AG230" t="str">
            <v>common_hit_fashu</v>
          </cell>
          <cell r="AH230" t="str">
            <v>[]</v>
          </cell>
          <cell r="AI230" t="str">
            <v>[]</v>
          </cell>
          <cell r="AJ230" t="str">
            <v>[]</v>
          </cell>
          <cell r="AK230" t="str">
            <v>[]</v>
          </cell>
          <cell r="AL230" t="str">
            <v>[]</v>
          </cell>
          <cell r="AM230" t="str">
            <v>[]</v>
          </cell>
          <cell r="AN230">
            <v>2</v>
          </cell>
          <cell r="AO230">
            <v>-2</v>
          </cell>
          <cell r="AP230">
            <v>112600</v>
          </cell>
          <cell r="AQ230" t="str">
            <v>112600</v>
          </cell>
          <cell r="AR230" t="str">
            <v>[]</v>
          </cell>
          <cell r="AS230" t="str">
            <v>[]</v>
          </cell>
          <cell r="AT230" t="str">
            <v>9020</v>
          </cell>
          <cell r="AU230" t="str">
            <v>3810</v>
          </cell>
          <cell r="AV230" t="str">
            <v>文殊菩萨远程攻击</v>
          </cell>
          <cell r="AW230" t="str">
            <v>ck</v>
          </cell>
          <cell r="AX230" t="str">
            <v>[]</v>
          </cell>
          <cell r="AY230">
            <v>1</v>
          </cell>
          <cell r="BA230" t="str">
            <v>[]</v>
          </cell>
          <cell r="BE230" t="str">
            <v>[]</v>
          </cell>
          <cell r="BF230"/>
        </row>
        <row r="231">
          <cell r="A231" t="str">
            <v>wenshupusa_skill01</v>
          </cell>
          <cell r="B231" t="str">
            <v>大治疗波</v>
          </cell>
          <cell r="C231" t="str">
            <v>释放大范围佛光治疗全体友军，每0.5秒恢复主角攻击力@s的生命值，持续3秒</v>
          </cell>
          <cell r="D231" t="str">
            <v>[]</v>
          </cell>
          <cell r="E231">
            <v>0</v>
          </cell>
          <cell r="F231" t="str">
            <v>[]</v>
          </cell>
          <cell r="G231" t="str">
            <v>文殊菩萨核心技能</v>
          </cell>
          <cell r="H231" t="str">
            <v>wenshupusa_skill01</v>
          </cell>
          <cell r="I231" t="str">
            <v>wenshupusa_skill01</v>
          </cell>
          <cell r="J231">
            <v>0</v>
          </cell>
          <cell r="K231">
            <v>10</v>
          </cell>
          <cell r="L231" t="str">
            <v>1|26</v>
          </cell>
          <cell r="M231">
            <v>2</v>
          </cell>
          <cell r="N231">
            <v>2</v>
          </cell>
          <cell r="O231">
            <v>2</v>
          </cell>
          <cell r="P231">
            <v>5</v>
          </cell>
          <cell r="Q231">
            <v>12</v>
          </cell>
          <cell r="R231" t="str">
            <v>3|1</v>
          </cell>
          <cell r="S231" t="str">
            <v>2|20</v>
          </cell>
          <cell r="T231">
            <v>10</v>
          </cell>
          <cell r="U231">
            <v>1</v>
          </cell>
          <cell r="V231">
            <v>0</v>
          </cell>
          <cell r="W231" t="str">
            <v>[]</v>
          </cell>
          <cell r="X231">
            <v>0</v>
          </cell>
          <cell r="Y231" t="str">
            <v>[]</v>
          </cell>
          <cell r="Z231" t="str">
            <v>0,1,0</v>
          </cell>
          <cell r="AA231">
            <v>0</v>
          </cell>
          <cell r="AB231" t="str">
            <v>12</v>
          </cell>
          <cell r="AC231" t="str">
            <v>[]</v>
          </cell>
          <cell r="AD231" t="str">
            <v>[]</v>
          </cell>
          <cell r="AE231" t="str">
            <v>[]</v>
          </cell>
          <cell r="AF231" t="str">
            <v>wenshupusa_skill01</v>
          </cell>
          <cell r="AG231" t="str">
            <v>respond_hp</v>
          </cell>
          <cell r="AH231" t="str">
            <v>[]</v>
          </cell>
          <cell r="AI231" t="str">
            <v>[]</v>
          </cell>
          <cell r="AJ231" t="str">
            <v>[]</v>
          </cell>
          <cell r="AK231" t="str">
            <v>[]</v>
          </cell>
          <cell r="AL231" t="str">
            <v>[]</v>
          </cell>
          <cell r="AM231" t="str">
            <v>huifuT3N0.4</v>
          </cell>
          <cell r="AN231">
            <v>2</v>
          </cell>
          <cell r="AO231">
            <v>0.5</v>
          </cell>
          <cell r="AP231" t="str">
            <v>[]</v>
          </cell>
          <cell r="AQ231" t="str">
            <v>9040</v>
          </cell>
          <cell r="AR231" t="str">
            <v>[]</v>
          </cell>
          <cell r="AS231" t="str">
            <v>[]</v>
          </cell>
          <cell r="AT231" t="str">
            <v>1125</v>
          </cell>
          <cell r="AU231" t="str">
            <v>3820</v>
          </cell>
          <cell r="AV231" t="str">
            <v>文殊菩萨</v>
          </cell>
          <cell r="AW231" t="str">
            <v>01</v>
          </cell>
          <cell r="AX231" t="str">
            <v>[]</v>
          </cell>
          <cell r="AY231">
            <v>1</v>
          </cell>
          <cell r="BA231" t="str">
            <v>[]</v>
          </cell>
          <cell r="BE231" t="str">
            <v>[]</v>
          </cell>
          <cell r="BF231"/>
        </row>
        <row r="232">
          <cell r="A232" t="str">
            <v>wenshupusa_skill02</v>
          </cell>
          <cell r="B232" t="str">
            <v>大治疗阵</v>
          </cell>
          <cell r="C232" t="str">
            <v>召唤佛光治疗阵，治疗生命值百分比最低的友军，恢复自身攻击力@s的生命值</v>
          </cell>
          <cell r="D232" t="str">
            <v>[]</v>
          </cell>
          <cell r="E232">
            <v>0</v>
          </cell>
          <cell r="F232" t="str">
            <v>[]</v>
          </cell>
          <cell r="G232" t="str">
            <v>文殊菩萨技能1</v>
          </cell>
          <cell r="H232" t="str">
            <v>wenshupusa_skill02</v>
          </cell>
          <cell r="I232" t="str">
            <v>[]</v>
          </cell>
          <cell r="J232">
            <v>1</v>
          </cell>
          <cell r="K232">
            <v>10</v>
          </cell>
          <cell r="L232" t="str">
            <v>[]</v>
          </cell>
          <cell r="M232">
            <v>2</v>
          </cell>
          <cell r="N232">
            <v>2</v>
          </cell>
          <cell r="O232">
            <v>1</v>
          </cell>
          <cell r="P232">
            <v>5</v>
          </cell>
          <cell r="Q232">
            <v>12</v>
          </cell>
          <cell r="R232" t="str">
            <v>3|1</v>
          </cell>
          <cell r="S232" t="str">
            <v>2|20</v>
          </cell>
          <cell r="T232">
            <v>10</v>
          </cell>
          <cell r="U232">
            <v>0</v>
          </cell>
          <cell r="V232">
            <v>0</v>
          </cell>
          <cell r="W232" t="str">
            <v>[]</v>
          </cell>
          <cell r="X232">
            <v>3</v>
          </cell>
          <cell r="Y232" t="str">
            <v>[]</v>
          </cell>
          <cell r="Z232" t="str">
            <v>0.733,3,0.34</v>
          </cell>
          <cell r="AA232">
            <v>0</v>
          </cell>
          <cell r="AB232">
            <v>12</v>
          </cell>
          <cell r="AC232" t="str">
            <v>[]</v>
          </cell>
          <cell r="AD232" t="str">
            <v>[]</v>
          </cell>
          <cell r="AE232" t="str">
            <v>[]</v>
          </cell>
          <cell r="AF232" t="str">
            <v>wenshupusa_skill02</v>
          </cell>
          <cell r="AG232" t="str">
            <v>respond_hp</v>
          </cell>
          <cell r="AH232" t="str">
            <v>[]</v>
          </cell>
          <cell r="AI232" t="str">
            <v>[]</v>
          </cell>
          <cell r="AJ232" t="str">
            <v>[]</v>
          </cell>
          <cell r="AK232" t="str">
            <v>[]</v>
          </cell>
          <cell r="AL232" t="str">
            <v>[]</v>
          </cell>
          <cell r="AM232" t="str">
            <v>[]</v>
          </cell>
          <cell r="AN232">
            <v>2</v>
          </cell>
          <cell r="AO232">
            <v>1</v>
          </cell>
          <cell r="AP232">
            <v>112602</v>
          </cell>
          <cell r="AQ232" t="str">
            <v>112602</v>
          </cell>
          <cell r="AR232" t="str">
            <v>[]</v>
          </cell>
          <cell r="AS232" t="str">
            <v>[]</v>
          </cell>
          <cell r="AT232" t="str">
            <v>9020</v>
          </cell>
          <cell r="AU232" t="str">
            <v>3830</v>
          </cell>
          <cell r="AV232" t="str">
            <v>文殊菩萨</v>
          </cell>
          <cell r="AW232" t="str">
            <v>02</v>
          </cell>
          <cell r="AX232" t="str">
            <v>[]</v>
          </cell>
          <cell r="AY232">
            <v>1</v>
          </cell>
          <cell r="BA232" t="str">
            <v>[]</v>
          </cell>
          <cell r="BE232" t="str">
            <v>[]</v>
          </cell>
          <cell r="BF232"/>
        </row>
        <row r="233">
          <cell r="A233" t="str">
            <v>wenshupusa_skill03</v>
          </cell>
          <cell r="B233" t="str">
            <v>普度众生</v>
          </cell>
          <cell r="C233" t="str">
            <v>进入战斗场景时，提升全体友军闪避率@s</v>
          </cell>
          <cell r="D233">
            <v>1262</v>
          </cell>
          <cell r="E233">
            <v>0</v>
          </cell>
          <cell r="F233" t="str">
            <v>[]</v>
          </cell>
          <cell r="G233" t="str">
            <v>文殊菩萨被动技能</v>
          </cell>
          <cell r="H233" t="str">
            <v>fagong</v>
          </cell>
          <cell r="I233" t="str">
            <v>[]</v>
          </cell>
          <cell r="J233">
            <v>2</v>
          </cell>
          <cell r="K233">
            <v>10</v>
          </cell>
          <cell r="L233" t="str">
            <v>[]</v>
          </cell>
          <cell r="M233">
            <v>2</v>
          </cell>
          <cell r="N233">
            <v>2</v>
          </cell>
          <cell r="O233">
            <v>3</v>
          </cell>
          <cell r="P233">
            <v>0</v>
          </cell>
          <cell r="Q233">
            <v>12</v>
          </cell>
          <cell r="R233">
            <v>3</v>
          </cell>
          <cell r="S233" t="str">
            <v>2|20</v>
          </cell>
          <cell r="T233">
            <v>10</v>
          </cell>
          <cell r="U233">
            <v>0</v>
          </cell>
          <cell r="V233">
            <v>0</v>
          </cell>
          <cell r="W233" t="str">
            <v>[]</v>
          </cell>
          <cell r="X233">
            <v>0</v>
          </cell>
          <cell r="Y233" t="str">
            <v>[]</v>
          </cell>
          <cell r="Z233" t="str">
            <v>0,0,0</v>
          </cell>
          <cell r="AA233">
            <v>0</v>
          </cell>
          <cell r="AB233" t="str">
            <v>[]</v>
          </cell>
          <cell r="AC233" t="str">
            <v>[]</v>
          </cell>
          <cell r="AD233" t="str">
            <v>[]</v>
          </cell>
          <cell r="AE233" t="str">
            <v>[]</v>
          </cell>
          <cell r="AF233" t="str">
            <v>[]</v>
          </cell>
          <cell r="AG233" t="str">
            <v>[]</v>
          </cell>
          <cell r="AH233" t="str">
            <v>[]</v>
          </cell>
          <cell r="AI233" t="str">
            <v>[]</v>
          </cell>
          <cell r="AJ233" t="str">
            <v>shenming10_higheff</v>
          </cell>
          <cell r="AK233" t="str">
            <v>[]</v>
          </cell>
          <cell r="AL233" t="str">
            <v>[]</v>
          </cell>
          <cell r="AM233" t="str">
            <v>[]</v>
          </cell>
          <cell r="AN233">
            <v>0</v>
          </cell>
          <cell r="AO233" t="str">
            <v>[]</v>
          </cell>
          <cell r="AP233" t="str">
            <v>[]</v>
          </cell>
          <cell r="AQ233" t="str">
            <v>9010</v>
          </cell>
          <cell r="AR233" t="str">
            <v>[]</v>
          </cell>
          <cell r="AS233" t="str">
            <v>[]</v>
          </cell>
          <cell r="AT233" t="str">
            <v>1125</v>
          </cell>
          <cell r="AU233" t="str">
            <v>3840</v>
          </cell>
          <cell r="AV233" t="str">
            <v>文殊菩萨</v>
          </cell>
          <cell r="AW233" t="str">
            <v>03</v>
          </cell>
          <cell r="AX233">
            <v>1262</v>
          </cell>
          <cell r="AY233">
            <v>1</v>
          </cell>
          <cell r="BA233" t="str">
            <v>[]</v>
          </cell>
          <cell r="BE233" t="str">
            <v>[]</v>
          </cell>
          <cell r="BF233"/>
        </row>
        <row r="234">
          <cell r="A234" t="str">
            <v>wenshupusa_skill04</v>
          </cell>
          <cell r="B234" t="str">
            <v>梵音领域</v>
          </cell>
          <cell r="C234" t="str">
            <v>召唤无数经文，对范围内敌人进行3次攻击，造成攻击力@s的法伤，每次攻击清除敌人1个增益状态</v>
          </cell>
          <cell r="D234">
            <v>1264</v>
          </cell>
          <cell r="E234">
            <v>2</v>
          </cell>
          <cell r="F234" t="str">
            <v>boss_warning_juxing</v>
          </cell>
          <cell r="G234" t="str">
            <v>文殊菩萨技能2</v>
          </cell>
          <cell r="H234" t="str">
            <v>wenshupusa_skill04</v>
          </cell>
          <cell r="I234" t="str">
            <v>[]</v>
          </cell>
          <cell r="J234">
            <v>3</v>
          </cell>
          <cell r="K234">
            <v>10</v>
          </cell>
          <cell r="L234" t="str">
            <v>[]</v>
          </cell>
          <cell r="M234">
            <v>2</v>
          </cell>
          <cell r="N234">
            <v>2</v>
          </cell>
          <cell r="O234">
            <v>1</v>
          </cell>
          <cell r="P234">
            <v>2</v>
          </cell>
          <cell r="Q234">
            <v>4</v>
          </cell>
          <cell r="R234" t="str">
            <v>2|1</v>
          </cell>
          <cell r="S234" t="str">
            <v>1|10|6</v>
          </cell>
          <cell r="T234">
            <v>10</v>
          </cell>
          <cell r="U234">
            <v>0</v>
          </cell>
          <cell r="V234">
            <v>0</v>
          </cell>
          <cell r="W234" t="str">
            <v>[]</v>
          </cell>
          <cell r="X234">
            <v>3</v>
          </cell>
          <cell r="Y234" t="str">
            <v>[]</v>
          </cell>
          <cell r="Z234" t="str">
            <v>0,1.367,0</v>
          </cell>
          <cell r="AA234">
            <v>0</v>
          </cell>
          <cell r="AB234">
            <v>12</v>
          </cell>
          <cell r="AC234" t="str">
            <v>[]</v>
          </cell>
          <cell r="AD234" t="str">
            <v>[]</v>
          </cell>
          <cell r="AE234" t="str">
            <v>[]</v>
          </cell>
          <cell r="AF234" t="str">
            <v>wenshupusa_skill04</v>
          </cell>
          <cell r="AG234" t="str">
            <v>common_hit_fashu</v>
          </cell>
          <cell r="AH234" t="str">
            <v>[]</v>
          </cell>
          <cell r="AI234" t="str">
            <v>[]</v>
          </cell>
          <cell r="AJ234" t="str">
            <v>[]</v>
          </cell>
          <cell r="AK234" t="str">
            <v>qusanTN1P1</v>
          </cell>
          <cell r="AL234" t="str">
            <v>[]</v>
          </cell>
          <cell r="AM234" t="str">
            <v>[]</v>
          </cell>
          <cell r="AN234">
            <v>2</v>
          </cell>
          <cell r="AO234" t="str">
            <v>1.8,0.7,0.7</v>
          </cell>
          <cell r="AP234">
            <v>112604</v>
          </cell>
          <cell r="AQ234" t="str">
            <v>112604</v>
          </cell>
          <cell r="AR234" t="str">
            <v>[]</v>
          </cell>
          <cell r="AS234" t="str">
            <v>[]</v>
          </cell>
          <cell r="AT234" t="str">
            <v>1125</v>
          </cell>
          <cell r="AU234" t="str">
            <v>3850</v>
          </cell>
          <cell r="AV234" t="str">
            <v>文殊菩萨</v>
          </cell>
          <cell r="AW234" t="str">
            <v>04</v>
          </cell>
          <cell r="AX234">
            <v>1264</v>
          </cell>
          <cell r="AY234">
            <v>3</v>
          </cell>
          <cell r="BA234" t="str">
            <v>[]</v>
          </cell>
          <cell r="BE234" t="str">
            <v>[]</v>
          </cell>
          <cell r="BF234"/>
        </row>
        <row r="235">
          <cell r="A235" t="str">
            <v>wenshupusa_skill011</v>
          </cell>
          <cell r="B235" t="str">
            <v>奥义·大治疗波</v>
          </cell>
          <cell r="C235" t="str">
            <v>释放大范围佛光治疗全体友军，每0.5秒恢复主角攻击力@s的生命值，持续3秒</v>
          </cell>
          <cell r="D235">
            <v>1266</v>
          </cell>
          <cell r="E235">
            <v>0</v>
          </cell>
          <cell r="F235" t="str">
            <v>[]</v>
          </cell>
          <cell r="G235" t="str">
            <v>文殊菩萨核心技能</v>
          </cell>
          <cell r="H235" t="str">
            <v>wenshupusa_skill01</v>
          </cell>
          <cell r="I235" t="str">
            <v>wenshupusa_skill01</v>
          </cell>
          <cell r="J235">
            <v>0</v>
          </cell>
          <cell r="K235">
            <v>10</v>
          </cell>
          <cell r="L235" t="str">
            <v>1|26</v>
          </cell>
          <cell r="M235">
            <v>2</v>
          </cell>
          <cell r="N235">
            <v>2</v>
          </cell>
          <cell r="O235">
            <v>2</v>
          </cell>
          <cell r="P235">
            <v>5</v>
          </cell>
          <cell r="Q235">
            <v>12</v>
          </cell>
          <cell r="R235" t="str">
            <v>3|1</v>
          </cell>
          <cell r="S235" t="str">
            <v>2|20</v>
          </cell>
          <cell r="T235">
            <v>10</v>
          </cell>
          <cell r="U235">
            <v>1</v>
          </cell>
          <cell r="V235">
            <v>0</v>
          </cell>
          <cell r="W235" t="str">
            <v>[]</v>
          </cell>
          <cell r="X235">
            <v>0</v>
          </cell>
          <cell r="Y235" t="str">
            <v>[]</v>
          </cell>
          <cell r="Z235" t="str">
            <v>0,1,0</v>
          </cell>
          <cell r="AA235">
            <v>0</v>
          </cell>
          <cell r="AB235" t="str">
            <v>12</v>
          </cell>
          <cell r="AC235" t="str">
            <v>[]</v>
          </cell>
          <cell r="AD235" t="str">
            <v>[]</v>
          </cell>
          <cell r="AE235" t="str">
            <v>[]</v>
          </cell>
          <cell r="AF235" t="str">
            <v>wenshupusa_skill01</v>
          </cell>
          <cell r="AG235" t="str">
            <v>respond_hp</v>
          </cell>
          <cell r="AH235" t="str">
            <v>[]</v>
          </cell>
          <cell r="AI235" t="str">
            <v>[]</v>
          </cell>
          <cell r="AJ235" t="str">
            <v>[]</v>
          </cell>
          <cell r="AK235" t="str">
            <v>[]</v>
          </cell>
          <cell r="AL235" t="str">
            <v>[]</v>
          </cell>
          <cell r="AM235" t="str">
            <v>huifuT3N0.5</v>
          </cell>
          <cell r="AN235">
            <v>2</v>
          </cell>
          <cell r="AO235">
            <v>0.5</v>
          </cell>
          <cell r="AP235" t="str">
            <v>[]</v>
          </cell>
          <cell r="AQ235" t="str">
            <v>9050</v>
          </cell>
          <cell r="AR235" t="str">
            <v>[]</v>
          </cell>
          <cell r="AS235" t="str">
            <v>[]</v>
          </cell>
          <cell r="AT235" t="str">
            <v>1126</v>
          </cell>
          <cell r="AU235" t="str">
            <v>3820</v>
          </cell>
          <cell r="AV235" t="str">
            <v>文殊菩萨</v>
          </cell>
          <cell r="AW235" t="str">
            <v>11</v>
          </cell>
          <cell r="AX235">
            <v>1266</v>
          </cell>
          <cell r="AY235">
            <v>1</v>
          </cell>
          <cell r="BA235" t="str">
            <v>[]</v>
          </cell>
          <cell r="BE235" t="str">
            <v>[]</v>
          </cell>
          <cell r="BF235"/>
        </row>
        <row r="236">
          <cell r="A236" t="str">
            <v>wenshupusa_skill021</v>
          </cell>
          <cell r="B236" t="str">
            <v>奥义·大治疗阵</v>
          </cell>
          <cell r="C236" t="str">
            <v>召唤佛光治疗阵，治疗生命值百分比最低的友军，恢复自身攻击力@s的生命值</v>
          </cell>
          <cell r="D236">
            <v>1268</v>
          </cell>
          <cell r="E236">
            <v>0</v>
          </cell>
          <cell r="F236" t="str">
            <v>[]</v>
          </cell>
          <cell r="G236" t="str">
            <v>文殊菩萨技能1</v>
          </cell>
          <cell r="H236" t="str">
            <v>wenshupusa_skill02</v>
          </cell>
          <cell r="I236" t="str">
            <v>[]</v>
          </cell>
          <cell r="J236">
            <v>1</v>
          </cell>
          <cell r="K236">
            <v>10</v>
          </cell>
          <cell r="L236" t="str">
            <v>[]</v>
          </cell>
          <cell r="M236">
            <v>2</v>
          </cell>
          <cell r="N236">
            <v>2</v>
          </cell>
          <cell r="O236">
            <v>1</v>
          </cell>
          <cell r="P236">
            <v>5</v>
          </cell>
          <cell r="Q236">
            <v>12</v>
          </cell>
          <cell r="R236" t="str">
            <v>3|1</v>
          </cell>
          <cell r="S236" t="str">
            <v>2|20</v>
          </cell>
          <cell r="T236">
            <v>10</v>
          </cell>
          <cell r="U236">
            <v>0</v>
          </cell>
          <cell r="V236">
            <v>0</v>
          </cell>
          <cell r="W236" t="str">
            <v>[]</v>
          </cell>
          <cell r="X236">
            <v>3</v>
          </cell>
          <cell r="Y236" t="str">
            <v>[]</v>
          </cell>
          <cell r="Z236" t="str">
            <v>0.733,3,0.34</v>
          </cell>
          <cell r="AA236">
            <v>0</v>
          </cell>
          <cell r="AB236">
            <v>12</v>
          </cell>
          <cell r="AC236" t="str">
            <v>[]</v>
          </cell>
          <cell r="AD236" t="str">
            <v>[]</v>
          </cell>
          <cell r="AE236" t="str">
            <v>[]</v>
          </cell>
          <cell r="AF236" t="str">
            <v>wenshupusa_skill02</v>
          </cell>
          <cell r="AG236" t="str">
            <v>respond_hp</v>
          </cell>
          <cell r="AH236" t="str">
            <v>[]</v>
          </cell>
          <cell r="AI236" t="str">
            <v>[]</v>
          </cell>
          <cell r="AJ236" t="str">
            <v>[]</v>
          </cell>
          <cell r="AK236" t="str">
            <v>[]</v>
          </cell>
          <cell r="AL236" t="str">
            <v>[]</v>
          </cell>
          <cell r="AM236" t="str">
            <v>[]</v>
          </cell>
          <cell r="AN236">
            <v>2</v>
          </cell>
          <cell r="AO236">
            <v>1</v>
          </cell>
          <cell r="AP236">
            <v>112606</v>
          </cell>
          <cell r="AQ236" t="str">
            <v>112606</v>
          </cell>
          <cell r="AR236" t="str">
            <v>[]</v>
          </cell>
          <cell r="AS236" t="str">
            <v>[]</v>
          </cell>
          <cell r="AT236" t="str">
            <v>1126</v>
          </cell>
          <cell r="AU236" t="str">
            <v>3830</v>
          </cell>
          <cell r="AV236" t="str">
            <v>文殊菩萨</v>
          </cell>
          <cell r="AW236" t="str">
            <v>21</v>
          </cell>
          <cell r="AX236">
            <v>1268</v>
          </cell>
          <cell r="AY236">
            <v>1</v>
          </cell>
          <cell r="BA236" t="str">
            <v>[]</v>
          </cell>
          <cell r="BE236" t="str">
            <v>[]</v>
          </cell>
          <cell r="BF236"/>
        </row>
        <row r="237">
          <cell r="A237" t="str">
            <v>wenshupusa_skill041</v>
          </cell>
          <cell r="B237" t="str">
            <v>奥义·梵音领域</v>
          </cell>
          <cell r="C237" t="str">
            <v>召唤无数经文，对范围内敌人进行3次攻击，造成攻击力@s的法伤，并清除敌人所有增益状态</v>
          </cell>
          <cell r="D237">
            <v>1270</v>
          </cell>
          <cell r="E237">
            <v>2</v>
          </cell>
          <cell r="F237" t="str">
            <v>boss_warning_juxing</v>
          </cell>
          <cell r="G237" t="str">
            <v>文殊菩萨技能2</v>
          </cell>
          <cell r="H237" t="str">
            <v>wenshupusa_skill04</v>
          </cell>
          <cell r="I237" t="str">
            <v>[]</v>
          </cell>
          <cell r="J237">
            <v>3</v>
          </cell>
          <cell r="K237">
            <v>10</v>
          </cell>
          <cell r="L237" t="str">
            <v>[]</v>
          </cell>
          <cell r="M237">
            <v>2</v>
          </cell>
          <cell r="N237">
            <v>2</v>
          </cell>
          <cell r="O237">
            <v>1</v>
          </cell>
          <cell r="P237">
            <v>2</v>
          </cell>
          <cell r="Q237">
            <v>4</v>
          </cell>
          <cell r="R237" t="str">
            <v>2|1</v>
          </cell>
          <cell r="S237" t="str">
            <v>1|10|6</v>
          </cell>
          <cell r="T237">
            <v>10</v>
          </cell>
          <cell r="U237">
            <v>0</v>
          </cell>
          <cell r="V237">
            <v>0</v>
          </cell>
          <cell r="W237" t="str">
            <v>[]</v>
          </cell>
          <cell r="X237">
            <v>3</v>
          </cell>
          <cell r="Y237" t="str">
            <v>[]</v>
          </cell>
          <cell r="Z237" t="str">
            <v>0,1.367,0</v>
          </cell>
          <cell r="AA237">
            <v>0</v>
          </cell>
          <cell r="AB237">
            <v>12</v>
          </cell>
          <cell r="AC237" t="str">
            <v>[]</v>
          </cell>
          <cell r="AD237" t="str">
            <v>[]</v>
          </cell>
          <cell r="AE237" t="str">
            <v>[]</v>
          </cell>
          <cell r="AF237" t="str">
            <v>wenshupusa_skill04</v>
          </cell>
          <cell r="AG237" t="str">
            <v>common_hit_fashu</v>
          </cell>
          <cell r="AH237" t="str">
            <v>[]</v>
          </cell>
          <cell r="AI237" t="str">
            <v>[]</v>
          </cell>
          <cell r="AJ237" t="str">
            <v>[]</v>
          </cell>
          <cell r="AK237" t="str">
            <v>qusanTN99P1</v>
          </cell>
          <cell r="AL237" t="str">
            <v>[]</v>
          </cell>
          <cell r="AM237" t="str">
            <v>[]</v>
          </cell>
          <cell r="AN237">
            <v>2</v>
          </cell>
          <cell r="AO237" t="str">
            <v>1.8,0.7,0.7</v>
          </cell>
          <cell r="AP237">
            <v>112607</v>
          </cell>
          <cell r="AQ237" t="str">
            <v>112607</v>
          </cell>
          <cell r="AR237" t="str">
            <v>[]</v>
          </cell>
          <cell r="AS237" t="str">
            <v>[]</v>
          </cell>
          <cell r="AT237" t="str">
            <v>1126</v>
          </cell>
          <cell r="AU237" t="str">
            <v>3850</v>
          </cell>
          <cell r="AV237" t="str">
            <v>文殊菩萨</v>
          </cell>
          <cell r="AW237" t="str">
            <v>41</v>
          </cell>
          <cell r="AX237">
            <v>1270</v>
          </cell>
          <cell r="AY237">
            <v>3</v>
          </cell>
          <cell r="BA237" t="str">
            <v>[]</v>
          </cell>
          <cell r="BE237" t="str">
            <v>[]</v>
          </cell>
          <cell r="BF237"/>
        </row>
        <row r="238">
          <cell r="A238" t="str">
            <v>milefo_attack</v>
          </cell>
          <cell r="B238" t="str">
            <v>弥勒佛</v>
          </cell>
          <cell r="C238" t="str">
            <v>普攻</v>
          </cell>
          <cell r="D238" t="str">
            <v>[]</v>
          </cell>
          <cell r="E238">
            <v>0</v>
          </cell>
          <cell r="F238" t="str">
            <v>[]</v>
          </cell>
          <cell r="G238" t="str">
            <v>弥勒佛远程法术</v>
          </cell>
          <cell r="H238" t="str">
            <v>[]</v>
          </cell>
          <cell r="I238" t="str">
            <v>[]</v>
          </cell>
          <cell r="J238">
            <v>0</v>
          </cell>
          <cell r="K238">
            <v>1</v>
          </cell>
          <cell r="L238" t="str">
            <v>[]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12</v>
          </cell>
          <cell r="R238" t="str">
            <v>2|1</v>
          </cell>
          <cell r="S238" t="str">
            <v>4|0.2</v>
          </cell>
          <cell r="T238">
            <v>1</v>
          </cell>
          <cell r="U238">
            <v>1</v>
          </cell>
          <cell r="V238">
            <v>0</v>
          </cell>
          <cell r="W238" t="str">
            <v>[]</v>
          </cell>
          <cell r="X238">
            <v>0</v>
          </cell>
          <cell r="Y238" t="str">
            <v>[]</v>
          </cell>
          <cell r="Z238" t="str">
            <v>0,1,0</v>
          </cell>
          <cell r="AA238">
            <v>0</v>
          </cell>
          <cell r="AB238" t="str">
            <v>[]</v>
          </cell>
          <cell r="AC238" t="str">
            <v>[]</v>
          </cell>
          <cell r="AD238" t="str">
            <v>[]</v>
          </cell>
          <cell r="AE238" t="str">
            <v>[]</v>
          </cell>
          <cell r="AF238" t="str">
            <v>milefo_attack</v>
          </cell>
          <cell r="AG238" t="str">
            <v>common_hit_fashu</v>
          </cell>
          <cell r="AH238" t="str">
            <v>[]</v>
          </cell>
          <cell r="AI238" t="str">
            <v>[]</v>
          </cell>
          <cell r="AJ238" t="str">
            <v>[]</v>
          </cell>
          <cell r="AK238" t="str">
            <v>[]</v>
          </cell>
          <cell r="AL238" t="str">
            <v>[]</v>
          </cell>
          <cell r="AM238" t="str">
            <v>[]</v>
          </cell>
          <cell r="AN238">
            <v>2</v>
          </cell>
          <cell r="AO238">
            <v>0.2</v>
          </cell>
          <cell r="AP238">
            <v>112700</v>
          </cell>
          <cell r="AQ238" t="str">
            <v>112700</v>
          </cell>
          <cell r="AR238" t="str">
            <v>[]</v>
          </cell>
          <cell r="AS238" t="str">
            <v>[]</v>
          </cell>
          <cell r="AT238" t="str">
            <v>9010</v>
          </cell>
          <cell r="AU238" t="str">
            <v>3860</v>
          </cell>
          <cell r="AV238" t="str">
            <v>弥勒佛远程法术</v>
          </cell>
          <cell r="AW238" t="str">
            <v>ck</v>
          </cell>
          <cell r="AX238" t="str">
            <v>[]</v>
          </cell>
          <cell r="AY238">
            <v>1</v>
          </cell>
          <cell r="BA238" t="str">
            <v>[]</v>
          </cell>
          <cell r="BE238" t="str">
            <v>[]</v>
          </cell>
          <cell r="BF238"/>
        </row>
        <row r="239">
          <cell r="A239" t="str">
            <v>milefo_attack02</v>
          </cell>
          <cell r="B239" t="str">
            <v>弥勒佛</v>
          </cell>
          <cell r="C239" t="str">
            <v>普攻</v>
          </cell>
          <cell r="D239" t="str">
            <v>[]</v>
          </cell>
          <cell r="E239">
            <v>0</v>
          </cell>
          <cell r="F239" t="str">
            <v>[]</v>
          </cell>
          <cell r="G239" t="str">
            <v>弥勒佛远程法术</v>
          </cell>
          <cell r="H239" t="str">
            <v>[]</v>
          </cell>
          <cell r="I239" t="str">
            <v>[]</v>
          </cell>
          <cell r="J239">
            <v>0</v>
          </cell>
          <cell r="K239">
            <v>1</v>
          </cell>
          <cell r="L239" t="str">
            <v>[]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12</v>
          </cell>
          <cell r="R239" t="str">
            <v>2|1</v>
          </cell>
          <cell r="S239" t="str">
            <v>4|0.2</v>
          </cell>
          <cell r="T239">
            <v>1</v>
          </cell>
          <cell r="U239">
            <v>1</v>
          </cell>
          <cell r="V239">
            <v>0</v>
          </cell>
          <cell r="W239" t="str">
            <v>[]</v>
          </cell>
          <cell r="X239">
            <v>0</v>
          </cell>
          <cell r="Y239" t="str">
            <v>[]</v>
          </cell>
          <cell r="Z239" t="str">
            <v>0,1,0</v>
          </cell>
          <cell r="AA239">
            <v>0</v>
          </cell>
          <cell r="AB239" t="str">
            <v>[]</v>
          </cell>
          <cell r="AC239" t="str">
            <v>[]</v>
          </cell>
          <cell r="AD239" t="str">
            <v>[]</v>
          </cell>
          <cell r="AE239" t="str">
            <v>[]</v>
          </cell>
          <cell r="AF239" t="str">
            <v>milefo_attack02</v>
          </cell>
          <cell r="AG239" t="str">
            <v>common_hit_fashu</v>
          </cell>
          <cell r="AH239" t="str">
            <v>[]</v>
          </cell>
          <cell r="AI239" t="str">
            <v>[]</v>
          </cell>
          <cell r="AJ239" t="str">
            <v>[]</v>
          </cell>
          <cell r="AK239" t="str">
            <v>[]</v>
          </cell>
          <cell r="AL239" t="str">
            <v>[]</v>
          </cell>
          <cell r="AM239" t="str">
            <v>[]</v>
          </cell>
          <cell r="AN239">
            <v>2</v>
          </cell>
          <cell r="AO239" t="str">
            <v>[]</v>
          </cell>
          <cell r="AP239">
            <v>112701</v>
          </cell>
          <cell r="AQ239" t="str">
            <v>112701</v>
          </cell>
          <cell r="AR239" t="str">
            <v>[]</v>
          </cell>
          <cell r="AS239" t="str">
            <v>[]</v>
          </cell>
          <cell r="AT239" t="str">
            <v>1126</v>
          </cell>
          <cell r="AU239" t="str">
            <v>3860</v>
          </cell>
          <cell r="AV239" t="str">
            <v>弥勒佛远程法术</v>
          </cell>
          <cell r="AW239" t="str">
            <v>02</v>
          </cell>
          <cell r="AX239" t="str">
            <v>[]</v>
          </cell>
          <cell r="AY239">
            <v>1</v>
          </cell>
          <cell r="BA239" t="str">
            <v>[]</v>
          </cell>
          <cell r="BE239" t="str">
            <v>[]</v>
          </cell>
          <cell r="BF239"/>
        </row>
        <row r="240">
          <cell r="A240" t="str">
            <v>milefo_attack03</v>
          </cell>
          <cell r="B240" t="str">
            <v>弥勒佛</v>
          </cell>
          <cell r="C240" t="str">
            <v>普攻</v>
          </cell>
          <cell r="D240">
            <v>1262</v>
          </cell>
          <cell r="E240">
            <v>0</v>
          </cell>
          <cell r="F240" t="str">
            <v>[]</v>
          </cell>
          <cell r="G240" t="str">
            <v>弥勒佛远程法术</v>
          </cell>
          <cell r="H240" t="str">
            <v>[]</v>
          </cell>
          <cell r="I240" t="str">
            <v>[]</v>
          </cell>
          <cell r="J240">
            <v>0</v>
          </cell>
          <cell r="K240">
            <v>1</v>
          </cell>
          <cell r="L240" t="str">
            <v>[]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12</v>
          </cell>
          <cell r="R240" t="str">
            <v>2|1</v>
          </cell>
          <cell r="S240" t="str">
            <v>4|0.2</v>
          </cell>
          <cell r="T240">
            <v>1</v>
          </cell>
          <cell r="U240">
            <v>1</v>
          </cell>
          <cell r="V240">
            <v>0</v>
          </cell>
          <cell r="W240" t="str">
            <v>[]</v>
          </cell>
          <cell r="X240">
            <v>0</v>
          </cell>
          <cell r="Y240" t="str">
            <v>[]</v>
          </cell>
          <cell r="Z240" t="str">
            <v>0,1,0</v>
          </cell>
          <cell r="AA240">
            <v>0</v>
          </cell>
          <cell r="AB240" t="str">
            <v>[]</v>
          </cell>
          <cell r="AC240" t="str">
            <v>[]</v>
          </cell>
          <cell r="AD240" t="str">
            <v>[]</v>
          </cell>
          <cell r="AE240" t="str">
            <v>[]</v>
          </cell>
          <cell r="AF240" t="str">
            <v>milefo_attack03</v>
          </cell>
          <cell r="AG240" t="str">
            <v>common_hit_fashu</v>
          </cell>
          <cell r="AH240" t="str">
            <v>[]</v>
          </cell>
          <cell r="AI240" t="str">
            <v>[]</v>
          </cell>
          <cell r="AJ240" t="str">
            <v>[]</v>
          </cell>
          <cell r="AK240" t="str">
            <v>[]</v>
          </cell>
          <cell r="AL240" t="str">
            <v>[]</v>
          </cell>
          <cell r="AM240" t="str">
            <v>[]</v>
          </cell>
          <cell r="AN240">
            <v>2</v>
          </cell>
          <cell r="AO240" t="str">
            <v>[]</v>
          </cell>
          <cell r="AP240">
            <v>112702</v>
          </cell>
          <cell r="AQ240" t="str">
            <v>112702</v>
          </cell>
          <cell r="AR240" t="str">
            <v>[]</v>
          </cell>
          <cell r="AS240" t="str">
            <v>[]</v>
          </cell>
          <cell r="AT240" t="str">
            <v>1126</v>
          </cell>
          <cell r="AU240" t="str">
            <v>3860</v>
          </cell>
          <cell r="AV240" t="str">
            <v>弥勒佛远程法术</v>
          </cell>
          <cell r="AW240" t="str">
            <v>03</v>
          </cell>
          <cell r="AX240">
            <v>1262</v>
          </cell>
          <cell r="AY240">
            <v>1</v>
          </cell>
          <cell r="BA240" t="str">
            <v>[]</v>
          </cell>
          <cell r="BE240" t="str">
            <v>[]</v>
          </cell>
          <cell r="BF240"/>
        </row>
        <row r="241">
          <cell r="A241" t="str">
            <v>milefo_skill01</v>
          </cell>
          <cell r="B241" t="str">
            <v>慈心三昧</v>
          </cell>
          <cell r="C241" t="str">
            <v>为全体友军召唤护体光球吸收伤害，最多为友军自身生命值上限@s，持续3秒</v>
          </cell>
          <cell r="D241" t="str">
            <v>[]</v>
          </cell>
          <cell r="E241">
            <v>0</v>
          </cell>
          <cell r="F241" t="str">
            <v>[]</v>
          </cell>
          <cell r="G241" t="str">
            <v>弥勒佛核心技能</v>
          </cell>
          <cell r="H241" t="str">
            <v>milefo_skill01</v>
          </cell>
          <cell r="I241" t="str">
            <v>milefo_skill01</v>
          </cell>
          <cell r="J241">
            <v>0</v>
          </cell>
          <cell r="K241">
            <v>10</v>
          </cell>
          <cell r="L241" t="str">
            <v>1|27</v>
          </cell>
          <cell r="M241">
            <v>2</v>
          </cell>
          <cell r="N241">
            <v>2</v>
          </cell>
          <cell r="O241">
            <v>1</v>
          </cell>
          <cell r="P241">
            <v>4</v>
          </cell>
          <cell r="Q241">
            <v>12</v>
          </cell>
          <cell r="R241" t="str">
            <v>3|1</v>
          </cell>
          <cell r="S241" t="str">
            <v>2|20</v>
          </cell>
          <cell r="T241">
            <v>10</v>
          </cell>
          <cell r="U241">
            <v>0</v>
          </cell>
          <cell r="V241">
            <v>0</v>
          </cell>
          <cell r="W241" t="str">
            <v>[]</v>
          </cell>
          <cell r="X241">
            <v>0</v>
          </cell>
          <cell r="Y241" t="str">
            <v>[]</v>
          </cell>
          <cell r="Z241" t="str">
            <v>0,1,0</v>
          </cell>
          <cell r="AA241">
            <v>0</v>
          </cell>
          <cell r="AB241" t="str">
            <v>12</v>
          </cell>
          <cell r="AC241" t="str">
            <v>[]</v>
          </cell>
          <cell r="AD241" t="str">
            <v>[]</v>
          </cell>
          <cell r="AE241" t="str">
            <v>[]</v>
          </cell>
          <cell r="AF241" t="str">
            <v>milefo_skill01_q</v>
          </cell>
          <cell r="AG241" t="str">
            <v>milefo_skill01</v>
          </cell>
          <cell r="AH241" t="str">
            <v>[]</v>
          </cell>
          <cell r="AI241" t="str">
            <v>[]</v>
          </cell>
          <cell r="AJ241" t="str">
            <v>[]</v>
          </cell>
          <cell r="AK241" t="str">
            <v>shengminghudunT3N0.3P1</v>
          </cell>
          <cell r="AL241" t="str">
            <v>[]</v>
          </cell>
          <cell r="AM241" t="str">
            <v>[]</v>
          </cell>
          <cell r="AN241">
            <v>2</v>
          </cell>
          <cell r="AO241">
            <v>0.6</v>
          </cell>
          <cell r="AP241" t="str">
            <v>[]</v>
          </cell>
          <cell r="AQ241" t="str">
            <v>9030</v>
          </cell>
          <cell r="AR241" t="str">
            <v>[]</v>
          </cell>
          <cell r="AS241" t="str">
            <v>[]</v>
          </cell>
          <cell r="AT241" t="str">
            <v>1126</v>
          </cell>
          <cell r="AU241" t="str">
            <v>3870</v>
          </cell>
          <cell r="AV241" t="str">
            <v>弥勒佛</v>
          </cell>
          <cell r="AW241" t="str">
            <v>01</v>
          </cell>
          <cell r="AX241" t="str">
            <v>[]</v>
          </cell>
          <cell r="AY241">
            <v>1</v>
          </cell>
          <cell r="BA241" t="str">
            <v>[]</v>
          </cell>
          <cell r="BE241" t="str">
            <v>[]</v>
          </cell>
          <cell r="BF241"/>
        </row>
        <row r="242">
          <cell r="A242" t="str">
            <v>milefo_skill02</v>
          </cell>
          <cell r="B242" t="str">
            <v>佛光普照</v>
          </cell>
          <cell r="C242" t="str">
            <v>用佛光普照大地，对范围内敌人造成自身攻击力@s的物伤，嘲讽并降低敌人造成的伤害@s，持续3秒[嘲讽强制敌人使用普攻攻击自己,同时提升自身大量仇恨值]</v>
          </cell>
          <cell r="D242" t="str">
            <v>[]</v>
          </cell>
          <cell r="E242">
            <v>0</v>
          </cell>
          <cell r="F242" t="str">
            <v>[]</v>
          </cell>
          <cell r="G242" t="str">
            <v>弥勒佛技能2</v>
          </cell>
          <cell r="H242" t="str">
            <v>milefo_skill02</v>
          </cell>
          <cell r="I242" t="str">
            <v>[]</v>
          </cell>
          <cell r="J242">
            <v>1</v>
          </cell>
          <cell r="K242">
            <v>10</v>
          </cell>
          <cell r="L242" t="str">
            <v>[]</v>
          </cell>
          <cell r="M242">
            <v>2</v>
          </cell>
          <cell r="N242">
            <v>2</v>
          </cell>
          <cell r="O242">
            <v>1</v>
          </cell>
          <cell r="P242">
            <v>2</v>
          </cell>
          <cell r="Q242">
            <v>12</v>
          </cell>
          <cell r="R242" t="str">
            <v>2|1</v>
          </cell>
          <cell r="S242" t="str">
            <v>2|6</v>
          </cell>
          <cell r="T242">
            <v>10</v>
          </cell>
          <cell r="U242">
            <v>0</v>
          </cell>
          <cell r="V242">
            <v>0</v>
          </cell>
          <cell r="W242" t="str">
            <v>[]</v>
          </cell>
          <cell r="X242">
            <v>3</v>
          </cell>
          <cell r="Y242" t="str">
            <v>[]</v>
          </cell>
          <cell r="Z242" t="str">
            <v>0,2,0</v>
          </cell>
          <cell r="AA242">
            <v>0</v>
          </cell>
          <cell r="AB242">
            <v>6</v>
          </cell>
          <cell r="AC242" t="str">
            <v>[]</v>
          </cell>
          <cell r="AD242" t="str">
            <v>[]</v>
          </cell>
          <cell r="AE242" t="str">
            <v>[]</v>
          </cell>
          <cell r="AF242" t="str">
            <v>milefo_skill02</v>
          </cell>
          <cell r="AG242" t="str">
            <v>[]</v>
          </cell>
          <cell r="AH242" t="str">
            <v>[]</v>
          </cell>
          <cell r="AI242" t="str">
            <v>[]</v>
          </cell>
          <cell r="AJ242" t="str">
            <v>[]</v>
          </cell>
          <cell r="AK242" t="str">
            <v>chaofengT2NP1</v>
          </cell>
          <cell r="AL242" t="str">
            <v>[]</v>
          </cell>
          <cell r="AM242" t="str">
            <v>xuruoT3N0.1</v>
          </cell>
          <cell r="AN242">
            <v>1</v>
          </cell>
          <cell r="AO242">
            <v>2.5</v>
          </cell>
          <cell r="AP242">
            <v>112704</v>
          </cell>
          <cell r="AQ242" t="str">
            <v>112704,9010</v>
          </cell>
          <cell r="AR242" t="str">
            <v>[]</v>
          </cell>
          <cell r="AS242" t="str">
            <v>[]</v>
          </cell>
          <cell r="AT242" t="str">
            <v>1126</v>
          </cell>
          <cell r="AU242" t="str">
            <v>3880</v>
          </cell>
          <cell r="AV242" t="str">
            <v>弥勒佛</v>
          </cell>
          <cell r="AW242" t="str">
            <v>02</v>
          </cell>
          <cell r="AX242" t="str">
            <v>[]</v>
          </cell>
          <cell r="AY242">
            <v>1</v>
          </cell>
          <cell r="BA242" t="str">
            <v>[]</v>
          </cell>
          <cell r="BE242" t="str">
            <v>[]</v>
          </cell>
          <cell r="BF242"/>
        </row>
        <row r="243">
          <cell r="A243" t="str">
            <v>milefo_skill03</v>
          </cell>
          <cell r="B243" t="str">
            <v>强身健体</v>
          </cell>
          <cell r="C243" t="str">
            <v>进入战斗场景时，提升自身生命值上限@s</v>
          </cell>
          <cell r="D243">
            <v>1262</v>
          </cell>
          <cell r="E243">
            <v>0</v>
          </cell>
          <cell r="F243" t="str">
            <v>[]</v>
          </cell>
          <cell r="G243" t="str">
            <v>弥勒佛被动技能</v>
          </cell>
          <cell r="H243" t="str">
            <v>shuangfang</v>
          </cell>
          <cell r="I243" t="str">
            <v>[]</v>
          </cell>
          <cell r="J243">
            <v>2</v>
          </cell>
          <cell r="K243">
            <v>10</v>
          </cell>
          <cell r="L243" t="str">
            <v>[]</v>
          </cell>
          <cell r="M243">
            <v>2</v>
          </cell>
          <cell r="N243">
            <v>2</v>
          </cell>
          <cell r="O243">
            <v>3</v>
          </cell>
          <cell r="P243">
            <v>0</v>
          </cell>
          <cell r="Q243">
            <v>12</v>
          </cell>
          <cell r="R243">
            <v>1</v>
          </cell>
          <cell r="S243" t="str">
            <v>4|0.2</v>
          </cell>
          <cell r="T243">
            <v>1</v>
          </cell>
          <cell r="U243">
            <v>0</v>
          </cell>
          <cell r="V243">
            <v>0</v>
          </cell>
          <cell r="W243" t="str">
            <v>[]</v>
          </cell>
          <cell r="X243">
            <v>0</v>
          </cell>
          <cell r="Y243" t="str">
            <v>[]</v>
          </cell>
          <cell r="Z243" t="str">
            <v>0,0,0</v>
          </cell>
          <cell r="AA243">
            <v>0</v>
          </cell>
          <cell r="AB243" t="str">
            <v>[]</v>
          </cell>
          <cell r="AC243" t="str">
            <v>[]</v>
          </cell>
          <cell r="AD243" t="str">
            <v>[]</v>
          </cell>
          <cell r="AE243" t="str">
            <v>[]</v>
          </cell>
          <cell r="AF243" t="str">
            <v>[]</v>
          </cell>
          <cell r="AG243" t="str">
            <v>[]</v>
          </cell>
          <cell r="AH243" t="str">
            <v>[]</v>
          </cell>
          <cell r="AI243" t="str">
            <v>[]</v>
          </cell>
          <cell r="AJ243" t="str">
            <v>[]</v>
          </cell>
          <cell r="AK243" t="str">
            <v>[]</v>
          </cell>
          <cell r="AL243" t="str">
            <v>hpupTN0.2b</v>
          </cell>
          <cell r="AM243" t="str">
            <v>[]</v>
          </cell>
          <cell r="AN243">
            <v>0</v>
          </cell>
          <cell r="AO243" t="str">
            <v>[]</v>
          </cell>
          <cell r="AP243" t="str">
            <v>[]</v>
          </cell>
          <cell r="AQ243" t="str">
            <v>9020</v>
          </cell>
          <cell r="AR243" t="str">
            <v>[]</v>
          </cell>
          <cell r="AS243" t="str">
            <v>[]</v>
          </cell>
          <cell r="AT243" t="str">
            <v>1127</v>
          </cell>
          <cell r="AU243" t="str">
            <v>3890</v>
          </cell>
          <cell r="AV243" t="str">
            <v>弥勒佛</v>
          </cell>
          <cell r="AW243" t="str">
            <v>03</v>
          </cell>
          <cell r="AX243">
            <v>1262</v>
          </cell>
          <cell r="AY243">
            <v>1</v>
          </cell>
          <cell r="BA243" t="str">
            <v>[]</v>
          </cell>
          <cell r="BE243" t="str">
            <v>[]</v>
          </cell>
          <cell r="BF243"/>
        </row>
        <row r="244">
          <cell r="A244" t="str">
            <v>milefo_skill04</v>
          </cell>
          <cell r="B244" t="str">
            <v>和乐善生</v>
          </cell>
          <cell r="C244" t="str">
            <v>用佛法治疗自身，每0.5秒恢复自身生命值上限@s的生命值，持续2秒，并清除自身一个不利状态</v>
          </cell>
          <cell r="D244">
            <v>1264</v>
          </cell>
          <cell r="E244">
            <v>0</v>
          </cell>
          <cell r="F244" t="str">
            <v>[]</v>
          </cell>
          <cell r="G244" t="str">
            <v>弥勒佛技能4</v>
          </cell>
          <cell r="H244" t="str">
            <v>milefo_skill04</v>
          </cell>
          <cell r="I244" t="str">
            <v>[]</v>
          </cell>
          <cell r="J244">
            <v>3</v>
          </cell>
          <cell r="K244">
            <v>10</v>
          </cell>
          <cell r="L244" t="str">
            <v>[]</v>
          </cell>
          <cell r="M244">
            <v>2</v>
          </cell>
          <cell r="N244">
            <v>2</v>
          </cell>
          <cell r="O244">
            <v>1</v>
          </cell>
          <cell r="P244">
            <v>5</v>
          </cell>
          <cell r="Q244">
            <v>12</v>
          </cell>
          <cell r="R244">
            <v>1</v>
          </cell>
          <cell r="S244" t="str">
            <v>4|0.2</v>
          </cell>
          <cell r="T244">
            <v>1</v>
          </cell>
          <cell r="U244">
            <v>0</v>
          </cell>
          <cell r="V244">
            <v>0</v>
          </cell>
          <cell r="W244" t="str">
            <v>[]</v>
          </cell>
          <cell r="X244">
            <v>3</v>
          </cell>
          <cell r="Y244" t="str">
            <v>[]</v>
          </cell>
          <cell r="Z244" t="str">
            <v>1.2,1.267,0</v>
          </cell>
          <cell r="AA244">
            <v>0</v>
          </cell>
          <cell r="AB244">
            <v>6</v>
          </cell>
          <cell r="AC244" t="str">
            <v>[]</v>
          </cell>
          <cell r="AD244" t="str">
            <v>[]</v>
          </cell>
          <cell r="AE244" t="str">
            <v>[]</v>
          </cell>
          <cell r="AF244" t="str">
            <v>milefo_skill04</v>
          </cell>
          <cell r="AG244" t="str">
            <v>respond_hp</v>
          </cell>
          <cell r="AH244" t="str">
            <v>[]</v>
          </cell>
          <cell r="AI244" t="str">
            <v>[]</v>
          </cell>
          <cell r="AJ244" t="str">
            <v>jinghuaTN1P1</v>
          </cell>
          <cell r="AK244" t="str">
            <v>[]</v>
          </cell>
          <cell r="AL244" t="str">
            <v>hpmaxhuifu2</v>
          </cell>
          <cell r="AM244" t="str">
            <v>[]</v>
          </cell>
          <cell r="AN244">
            <v>1</v>
          </cell>
          <cell r="AO244">
            <v>1.3</v>
          </cell>
          <cell r="AP244" t="str">
            <v>[]</v>
          </cell>
          <cell r="AQ244" t="str">
            <v>9002</v>
          </cell>
          <cell r="AR244" t="str">
            <v>[]</v>
          </cell>
          <cell r="AS244" t="str">
            <v>[]</v>
          </cell>
          <cell r="AT244" t="str">
            <v>1127</v>
          </cell>
          <cell r="AU244" t="str">
            <v>3900</v>
          </cell>
          <cell r="AV244" t="str">
            <v>弥勒佛</v>
          </cell>
          <cell r="AW244" t="str">
            <v>04</v>
          </cell>
          <cell r="AX244">
            <v>1264</v>
          </cell>
          <cell r="AY244">
            <v>1</v>
          </cell>
          <cell r="BA244" t="str">
            <v>[]</v>
          </cell>
          <cell r="BE244" t="str">
            <v>[]</v>
          </cell>
          <cell r="BF244"/>
        </row>
        <row r="245">
          <cell r="A245" t="str">
            <v>milefo_skill011</v>
          </cell>
          <cell r="B245" t="str">
            <v>奥义·慈心三昧</v>
          </cell>
          <cell r="C245" t="str">
            <v>为全体友军召唤护体光球吸收伤害，最多为友军自身生命值上限@s，持续3秒</v>
          </cell>
          <cell r="D245">
            <v>1266</v>
          </cell>
          <cell r="E245">
            <v>0</v>
          </cell>
          <cell r="F245" t="str">
            <v>[]</v>
          </cell>
          <cell r="G245" t="str">
            <v>弥勒佛核心技能</v>
          </cell>
          <cell r="H245" t="str">
            <v>milefo_skill01</v>
          </cell>
          <cell r="I245" t="str">
            <v>milefo_skill01</v>
          </cell>
          <cell r="J245">
            <v>0</v>
          </cell>
          <cell r="K245">
            <v>10</v>
          </cell>
          <cell r="L245" t="str">
            <v>1|27</v>
          </cell>
          <cell r="M245">
            <v>2</v>
          </cell>
          <cell r="N245">
            <v>2</v>
          </cell>
          <cell r="O245">
            <v>1</v>
          </cell>
          <cell r="P245">
            <v>4</v>
          </cell>
          <cell r="Q245">
            <v>12</v>
          </cell>
          <cell r="R245">
            <v>3</v>
          </cell>
          <cell r="S245" t="str">
            <v>2|20</v>
          </cell>
          <cell r="T245">
            <v>10</v>
          </cell>
          <cell r="U245">
            <v>0</v>
          </cell>
          <cell r="V245">
            <v>0</v>
          </cell>
          <cell r="W245" t="str">
            <v>[]</v>
          </cell>
          <cell r="X245">
            <v>0</v>
          </cell>
          <cell r="Y245" t="str">
            <v>[]</v>
          </cell>
          <cell r="Z245" t="str">
            <v>0,1,0</v>
          </cell>
          <cell r="AA245">
            <v>0</v>
          </cell>
          <cell r="AB245" t="str">
            <v>12</v>
          </cell>
          <cell r="AC245" t="str">
            <v>[]</v>
          </cell>
          <cell r="AD245" t="str">
            <v>[]</v>
          </cell>
          <cell r="AE245" t="str">
            <v>[]</v>
          </cell>
          <cell r="AF245" t="str">
            <v>milefo_skill01_q</v>
          </cell>
          <cell r="AG245" t="str">
            <v>milefo_skill01</v>
          </cell>
          <cell r="AH245" t="str">
            <v>[]</v>
          </cell>
          <cell r="AI245" t="str">
            <v>[]</v>
          </cell>
          <cell r="AJ245" t="str">
            <v>[]</v>
          </cell>
          <cell r="AK245" t="str">
            <v>shengminghudunT3N0.4P1</v>
          </cell>
          <cell r="AL245" t="str">
            <v>[]</v>
          </cell>
          <cell r="AM245" t="str">
            <v>[]</v>
          </cell>
          <cell r="AN245">
            <v>1</v>
          </cell>
          <cell r="AO245">
            <v>0.6</v>
          </cell>
          <cell r="AP245" t="str">
            <v>[]</v>
          </cell>
          <cell r="AQ245" t="str">
            <v>9040</v>
          </cell>
          <cell r="AR245" t="str">
            <v>[]</v>
          </cell>
          <cell r="AS245" t="str">
            <v>[]</v>
          </cell>
          <cell r="AT245" t="str">
            <v>1127</v>
          </cell>
          <cell r="AU245" t="str">
            <v>3870</v>
          </cell>
          <cell r="AV245" t="str">
            <v>弥勒佛</v>
          </cell>
          <cell r="AW245" t="str">
            <v>11</v>
          </cell>
          <cell r="AX245">
            <v>1266</v>
          </cell>
          <cell r="AY245">
            <v>1</v>
          </cell>
          <cell r="BA245" t="str">
            <v>[]</v>
          </cell>
          <cell r="BE245" t="str">
            <v>[]</v>
          </cell>
          <cell r="BF245"/>
        </row>
        <row r="246">
          <cell r="A246" t="str">
            <v>milefo_skill021</v>
          </cell>
          <cell r="B246" t="str">
            <v>奥义·佛光普照</v>
          </cell>
          <cell r="C246" t="str">
            <v>用佛光普照大地，对范围内敌人造成自身攻击力@s的物伤，嘲讽并降低敌人造成的伤害@s，持续3秒[嘲讽强制敌人使用普攻攻击自己,同时提升自身大量仇恨值]</v>
          </cell>
          <cell r="D246">
            <v>1268</v>
          </cell>
          <cell r="E246">
            <v>0</v>
          </cell>
          <cell r="F246" t="str">
            <v>[]</v>
          </cell>
          <cell r="G246" t="str">
            <v>弥勒佛技能2</v>
          </cell>
          <cell r="H246" t="str">
            <v>milefo_skill02</v>
          </cell>
          <cell r="I246" t="str">
            <v>[]</v>
          </cell>
          <cell r="J246">
            <v>1</v>
          </cell>
          <cell r="K246">
            <v>10</v>
          </cell>
          <cell r="L246" t="str">
            <v>[]</v>
          </cell>
          <cell r="M246">
            <v>2</v>
          </cell>
          <cell r="N246">
            <v>2</v>
          </cell>
          <cell r="O246">
            <v>1</v>
          </cell>
          <cell r="P246">
            <v>2</v>
          </cell>
          <cell r="Q246">
            <v>12</v>
          </cell>
          <cell r="R246" t="str">
            <v>2|1</v>
          </cell>
          <cell r="S246" t="str">
            <v>2|6</v>
          </cell>
          <cell r="T246">
            <v>10</v>
          </cell>
          <cell r="U246">
            <v>0</v>
          </cell>
          <cell r="V246">
            <v>0</v>
          </cell>
          <cell r="W246" t="str">
            <v>[]</v>
          </cell>
          <cell r="X246">
            <v>3</v>
          </cell>
          <cell r="Y246" t="str">
            <v>[]</v>
          </cell>
          <cell r="Z246" t="str">
            <v>1.2,1.667,0</v>
          </cell>
          <cell r="AA246">
            <v>0</v>
          </cell>
          <cell r="AB246">
            <v>6</v>
          </cell>
          <cell r="AC246" t="str">
            <v>[]</v>
          </cell>
          <cell r="AD246" t="str">
            <v>[]</v>
          </cell>
          <cell r="AE246" t="str">
            <v>[]</v>
          </cell>
          <cell r="AF246" t="str">
            <v>milefo_skill02</v>
          </cell>
          <cell r="AG246" t="str">
            <v>[]</v>
          </cell>
          <cell r="AH246" t="str">
            <v>[]</v>
          </cell>
          <cell r="AI246" t="str">
            <v>[]</v>
          </cell>
          <cell r="AJ246" t="str">
            <v>[]</v>
          </cell>
          <cell r="AK246" t="str">
            <v>chaofengT2NP1</v>
          </cell>
          <cell r="AL246" t="str">
            <v>[]</v>
          </cell>
          <cell r="AM246" t="str">
            <v>xuruoT3N0.15</v>
          </cell>
          <cell r="AN246">
            <v>1</v>
          </cell>
          <cell r="AO246">
            <v>2.5</v>
          </cell>
          <cell r="AP246">
            <v>112708</v>
          </cell>
          <cell r="AQ246" t="str">
            <v>112708,9015</v>
          </cell>
          <cell r="AR246" t="str">
            <v>[]</v>
          </cell>
          <cell r="AS246" t="str">
            <v>[]</v>
          </cell>
          <cell r="AT246" t="str">
            <v>9030</v>
          </cell>
          <cell r="AU246" t="str">
            <v>3880</v>
          </cell>
          <cell r="AV246" t="str">
            <v>弥勒佛</v>
          </cell>
          <cell r="AW246" t="str">
            <v>21</v>
          </cell>
          <cell r="AX246">
            <v>1268</v>
          </cell>
          <cell r="AY246">
            <v>1</v>
          </cell>
          <cell r="BA246" t="str">
            <v>[]</v>
          </cell>
          <cell r="BE246" t="str">
            <v>[]</v>
          </cell>
          <cell r="BF246"/>
        </row>
        <row r="247">
          <cell r="A247" t="str">
            <v>milefo_skill041</v>
          </cell>
          <cell r="B247" t="str">
            <v>奥义·和乐善生</v>
          </cell>
          <cell r="C247" t="str">
            <v>用佛法治疗自身，每0.5秒恢复自身生命值上限@s的生命值，持续2秒，并清除自身所有不利状态</v>
          </cell>
          <cell r="D247">
            <v>1270</v>
          </cell>
          <cell r="E247">
            <v>0</v>
          </cell>
          <cell r="F247" t="str">
            <v>[]</v>
          </cell>
          <cell r="G247" t="str">
            <v>弥勒佛技能4</v>
          </cell>
          <cell r="H247" t="str">
            <v>milefo_skill04</v>
          </cell>
          <cell r="I247" t="str">
            <v>[]</v>
          </cell>
          <cell r="J247">
            <v>3</v>
          </cell>
          <cell r="K247">
            <v>10</v>
          </cell>
          <cell r="L247" t="str">
            <v>[]</v>
          </cell>
          <cell r="M247">
            <v>2</v>
          </cell>
          <cell r="N247">
            <v>2</v>
          </cell>
          <cell r="O247">
            <v>1</v>
          </cell>
          <cell r="P247">
            <v>5</v>
          </cell>
          <cell r="Q247">
            <v>12</v>
          </cell>
          <cell r="R247">
            <v>1</v>
          </cell>
          <cell r="S247" t="str">
            <v>4|0.2</v>
          </cell>
          <cell r="T247">
            <v>10</v>
          </cell>
          <cell r="U247">
            <v>0</v>
          </cell>
          <cell r="V247">
            <v>0</v>
          </cell>
          <cell r="W247" t="str">
            <v>[]</v>
          </cell>
          <cell r="X247">
            <v>3</v>
          </cell>
          <cell r="Y247" t="str">
            <v>[]</v>
          </cell>
          <cell r="Z247" t="str">
            <v>1.2,1.267,0</v>
          </cell>
          <cell r="AA247">
            <v>0</v>
          </cell>
          <cell r="AB247">
            <v>6</v>
          </cell>
          <cell r="AC247" t="str">
            <v>[]</v>
          </cell>
          <cell r="AD247" t="str">
            <v>[]</v>
          </cell>
          <cell r="AE247" t="str">
            <v>[]</v>
          </cell>
          <cell r="AF247" t="str">
            <v>milefo_skill04</v>
          </cell>
          <cell r="AG247" t="str">
            <v>respond_hp</v>
          </cell>
          <cell r="AH247" t="str">
            <v>[]</v>
          </cell>
          <cell r="AI247" t="str">
            <v>[]</v>
          </cell>
          <cell r="AJ247" t="str">
            <v>jinghuaTN99P1</v>
          </cell>
          <cell r="AK247" t="str">
            <v>[]</v>
          </cell>
          <cell r="AL247" t="str">
            <v>hpmaxhuifu3</v>
          </cell>
          <cell r="AM247" t="str">
            <v>[]</v>
          </cell>
          <cell r="AN247">
            <v>1</v>
          </cell>
          <cell r="AO247">
            <v>1.3</v>
          </cell>
          <cell r="AP247" t="str">
            <v>[]</v>
          </cell>
          <cell r="AQ247" t="str">
            <v>9003</v>
          </cell>
          <cell r="AR247" t="str">
            <v>[]</v>
          </cell>
          <cell r="AS247" t="str">
            <v>[]</v>
          </cell>
          <cell r="AT247" t="str">
            <v>1127</v>
          </cell>
          <cell r="AU247" t="str">
            <v>3900</v>
          </cell>
          <cell r="AV247" t="str">
            <v>弥勒佛</v>
          </cell>
          <cell r="AW247" t="str">
            <v>41</v>
          </cell>
          <cell r="AX247">
            <v>1270</v>
          </cell>
          <cell r="AY247">
            <v>1</v>
          </cell>
          <cell r="BA247" t="str">
            <v>[]</v>
          </cell>
          <cell r="BE247" t="str">
            <v>[]</v>
          </cell>
          <cell r="BF247"/>
        </row>
        <row r="248">
          <cell r="A248" t="str">
            <v>donghailongwang_attack</v>
          </cell>
          <cell r="B248" t="str">
            <v>东海龙王普攻</v>
          </cell>
          <cell r="C248" t="str">
            <v>普攻</v>
          </cell>
          <cell r="D248" t="str">
            <v>[]</v>
          </cell>
          <cell r="E248">
            <v>0</v>
          </cell>
          <cell r="F248" t="str">
            <v>[]</v>
          </cell>
          <cell r="G248" t="str">
            <v>近战攻击</v>
          </cell>
          <cell r="H248" t="str">
            <v>[]</v>
          </cell>
          <cell r="I248" t="str">
            <v>[]</v>
          </cell>
          <cell r="J248">
            <v>0</v>
          </cell>
          <cell r="K248">
            <v>1</v>
          </cell>
          <cell r="L248" t="str">
            <v>[]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3</v>
          </cell>
          <cell r="R248" t="str">
            <v>2|1</v>
          </cell>
          <cell r="S248" t="str">
            <v>4|0.2</v>
          </cell>
          <cell r="T248">
            <v>1</v>
          </cell>
          <cell r="U248">
            <v>1</v>
          </cell>
          <cell r="V248">
            <v>0</v>
          </cell>
          <cell r="W248" t="str">
            <v>[]</v>
          </cell>
          <cell r="X248">
            <v>0</v>
          </cell>
          <cell r="Y248" t="str">
            <v>[]</v>
          </cell>
          <cell r="Z248" t="str">
            <v>0,1,0</v>
          </cell>
          <cell r="AA248">
            <v>0</v>
          </cell>
          <cell r="AB248" t="str">
            <v>[]</v>
          </cell>
          <cell r="AC248" t="str">
            <v>[]</v>
          </cell>
          <cell r="AD248" t="str">
            <v>[]</v>
          </cell>
          <cell r="AE248" t="str">
            <v>[]</v>
          </cell>
          <cell r="AF248" t="str">
            <v>donghailongwang_attack</v>
          </cell>
          <cell r="AG248" t="str">
            <v>common_hit_dunqi</v>
          </cell>
          <cell r="AH248" t="str">
            <v>[]</v>
          </cell>
          <cell r="AI248" t="str">
            <v>[]</v>
          </cell>
          <cell r="AJ248" t="str">
            <v>qusanTN99P1</v>
          </cell>
          <cell r="AK248" t="str">
            <v>[]</v>
          </cell>
          <cell r="AL248" t="str">
            <v>hpmaxhuifu3</v>
          </cell>
          <cell r="AM248" t="str">
            <v>[]</v>
          </cell>
          <cell r="AN248">
            <v>1</v>
          </cell>
          <cell r="AO248">
            <v>0.3</v>
          </cell>
          <cell r="AP248">
            <v>113500</v>
          </cell>
          <cell r="AQ248" t="str">
            <v>113500</v>
          </cell>
          <cell r="AR248" t="str">
            <v>[]</v>
          </cell>
          <cell r="AS248" t="str">
            <v>[]</v>
          </cell>
          <cell r="AT248" t="str">
            <v>9020</v>
          </cell>
          <cell r="AU248" t="str">
            <v>4110</v>
          </cell>
          <cell r="AV248" t="str">
            <v>近战攻击</v>
          </cell>
          <cell r="AW248" t="str">
            <v>ck</v>
          </cell>
          <cell r="AX248" t="str">
            <v>[]</v>
          </cell>
          <cell r="AY248">
            <v>1</v>
          </cell>
          <cell r="BA248" t="str">
            <v>[]</v>
          </cell>
          <cell r="BE248" t="str">
            <v>[]</v>
          </cell>
          <cell r="BF248"/>
        </row>
        <row r="249">
          <cell r="A249" t="str">
            <v>donghailongwang_skill01</v>
          </cell>
          <cell r="B249" t="str">
            <v>千年龙鳞</v>
          </cell>
          <cell r="C249" t="str">
            <v>召唤龙王千年龙鳞护体，降低全体友军受到的伤害@s，并进入霸体状态，持续3秒[霸体状态无视控制和减益效果]</v>
          </cell>
          <cell r="D249" t="str">
            <v>[]</v>
          </cell>
          <cell r="E249">
            <v>0</v>
          </cell>
          <cell r="F249" t="str">
            <v>[]</v>
          </cell>
          <cell r="G249" t="str">
            <v>东海龙王核心技能</v>
          </cell>
          <cell r="H249" t="str">
            <v>donghailongwang_skill01</v>
          </cell>
          <cell r="I249" t="str">
            <v>donghailongwang_skill01</v>
          </cell>
          <cell r="J249">
            <v>0</v>
          </cell>
          <cell r="K249">
            <v>10</v>
          </cell>
          <cell r="L249" t="str">
            <v>1|35</v>
          </cell>
          <cell r="M249">
            <v>2</v>
          </cell>
          <cell r="N249">
            <v>2</v>
          </cell>
          <cell r="O249">
            <v>1</v>
          </cell>
          <cell r="P249">
            <v>4</v>
          </cell>
          <cell r="Q249">
            <v>12</v>
          </cell>
          <cell r="R249">
            <v>3</v>
          </cell>
          <cell r="S249">
            <v>5</v>
          </cell>
          <cell r="T249">
            <v>10</v>
          </cell>
          <cell r="U249">
            <v>0</v>
          </cell>
          <cell r="V249">
            <v>0</v>
          </cell>
          <cell r="W249" t="str">
            <v>[]</v>
          </cell>
          <cell r="X249">
            <v>0</v>
          </cell>
          <cell r="Y249" t="str">
            <v>[]</v>
          </cell>
          <cell r="Z249" t="str">
            <v>0,1,0</v>
          </cell>
          <cell r="AA249">
            <v>0</v>
          </cell>
          <cell r="AB249" t="str">
            <v>12</v>
          </cell>
          <cell r="AC249" t="str">
            <v>[]</v>
          </cell>
          <cell r="AD249" t="str">
            <v>[]</v>
          </cell>
          <cell r="AE249" t="str">
            <v>[]</v>
          </cell>
          <cell r="AF249" t="str">
            <v>donghailongwang_skill01_atk</v>
          </cell>
          <cell r="AG249" t="str">
            <v>donghailongwang_skill01</v>
          </cell>
          <cell r="AH249" t="str">
            <v>[]</v>
          </cell>
          <cell r="AI249" t="str">
            <v>[]</v>
          </cell>
          <cell r="AJ249" t="str">
            <v>batiT3NP1</v>
          </cell>
          <cell r="AK249" t="str">
            <v>shengminghudunT3N0.3P1</v>
          </cell>
          <cell r="AL249" t="str">
            <v>[]</v>
          </cell>
          <cell r="AM249" t="str">
            <v>[]</v>
          </cell>
          <cell r="AN249">
            <v>1</v>
          </cell>
          <cell r="AO249">
            <v>0.5</v>
          </cell>
          <cell r="AP249" t="str">
            <v>[]</v>
          </cell>
          <cell r="AQ249" t="str">
            <v>9020</v>
          </cell>
          <cell r="AR249" t="str">
            <v>[]</v>
          </cell>
          <cell r="AS249" t="str">
            <v>[]</v>
          </cell>
          <cell r="AT249" t="str">
            <v>1127</v>
          </cell>
          <cell r="AU249" t="str">
            <v>4120</v>
          </cell>
          <cell r="AV249" t="str">
            <v>东海龙王</v>
          </cell>
          <cell r="AW249" t="str">
            <v>01</v>
          </cell>
          <cell r="AX249" t="str">
            <v>[]</v>
          </cell>
          <cell r="AY249">
            <v>1</v>
          </cell>
          <cell r="BA249" t="str">
            <v>[]</v>
          </cell>
          <cell r="BE249" t="str">
            <v>[]</v>
          </cell>
          <cell r="BF249"/>
        </row>
        <row r="250">
          <cell r="A250" t="str">
            <v>donghailongwang_skill02</v>
          </cell>
          <cell r="B250" t="str">
            <v>海龙咆哮</v>
          </cell>
          <cell r="C250" t="str">
            <v>向前方发射水炮，对范围内敌人造成自身攻击力@s的物伤，20%几率冰冻目标2秒</v>
          </cell>
          <cell r="D250" t="str">
            <v>[]</v>
          </cell>
          <cell r="E250">
            <v>2</v>
          </cell>
          <cell r="F250" t="str">
            <v>boss_warning_juxing</v>
          </cell>
          <cell r="G250" t="str">
            <v>东海龙王技能2</v>
          </cell>
          <cell r="H250" t="str">
            <v>donghailongwang_skill02</v>
          </cell>
          <cell r="I250" t="str">
            <v>[]</v>
          </cell>
          <cell r="J250">
            <v>1</v>
          </cell>
          <cell r="K250">
            <v>10</v>
          </cell>
          <cell r="L250" t="str">
            <v>[]</v>
          </cell>
          <cell r="M250">
            <v>2</v>
          </cell>
          <cell r="N250">
            <v>2</v>
          </cell>
          <cell r="O250">
            <v>1</v>
          </cell>
          <cell r="P250">
            <v>2</v>
          </cell>
          <cell r="Q250">
            <v>4</v>
          </cell>
          <cell r="R250" t="str">
            <v>2|1</v>
          </cell>
          <cell r="S250" t="str">
            <v>1|10|4</v>
          </cell>
          <cell r="T250">
            <v>10</v>
          </cell>
          <cell r="U250">
            <v>0</v>
          </cell>
          <cell r="V250">
            <v>0</v>
          </cell>
          <cell r="W250" t="str">
            <v>[]</v>
          </cell>
          <cell r="X250">
            <v>3</v>
          </cell>
          <cell r="Y250" t="str">
            <v>[]</v>
          </cell>
          <cell r="Z250" t="str">
            <v>0,0.76,0.5</v>
          </cell>
          <cell r="AA250">
            <v>0</v>
          </cell>
          <cell r="AB250">
            <v>6</v>
          </cell>
          <cell r="AC250" t="str">
            <v>[]</v>
          </cell>
          <cell r="AD250" t="str">
            <v>[]</v>
          </cell>
          <cell r="AE250" t="str">
            <v>[]</v>
          </cell>
          <cell r="AF250" t="str">
            <v>donghailongwang_skill02</v>
          </cell>
          <cell r="AG250" t="str">
            <v>[]</v>
          </cell>
          <cell r="AH250" t="str">
            <v>[]</v>
          </cell>
          <cell r="AI250" t="str">
            <v>[]</v>
          </cell>
          <cell r="AJ250" t="str">
            <v>[]</v>
          </cell>
          <cell r="AK250" t="str">
            <v>bingdongT1NP0.2</v>
          </cell>
          <cell r="AL250" t="str">
            <v>[]</v>
          </cell>
          <cell r="AM250" t="str">
            <v>[]</v>
          </cell>
          <cell r="AN250">
            <v>2</v>
          </cell>
          <cell r="AO250">
            <v>1.1000000000000001</v>
          </cell>
          <cell r="AP250">
            <v>113502</v>
          </cell>
          <cell r="AQ250" t="str">
            <v>113502</v>
          </cell>
          <cell r="AR250" t="str">
            <v>[]</v>
          </cell>
          <cell r="AS250" t="str">
            <v>[]</v>
          </cell>
          <cell r="AT250" t="str">
            <v>9040</v>
          </cell>
          <cell r="AU250" t="str">
            <v>4130</v>
          </cell>
          <cell r="AV250" t="str">
            <v>东海龙王</v>
          </cell>
          <cell r="AW250" t="str">
            <v>02</v>
          </cell>
          <cell r="AX250" t="str">
            <v>[]</v>
          </cell>
          <cell r="AY250">
            <v>1</v>
          </cell>
          <cell r="AZ250">
            <v>0.2</v>
          </cell>
          <cell r="BA250">
            <v>0.2</v>
          </cell>
          <cell r="BE250">
            <v>0.2</v>
          </cell>
          <cell r="BF250"/>
        </row>
        <row r="251">
          <cell r="A251" t="str">
            <v>donghailongwang_skill03</v>
          </cell>
          <cell r="B251" t="str">
            <v>深海护盾</v>
          </cell>
          <cell r="C251" t="str">
            <v>进入战斗场景时，降低自身受到的伤害@s</v>
          </cell>
          <cell r="D251">
            <v>1262</v>
          </cell>
          <cell r="E251">
            <v>0</v>
          </cell>
          <cell r="F251" t="str">
            <v>[]</v>
          </cell>
          <cell r="G251" t="str">
            <v>东海龙王被动技能</v>
          </cell>
          <cell r="H251" t="str">
            <v>shuangfang</v>
          </cell>
          <cell r="I251" t="str">
            <v>[]</v>
          </cell>
          <cell r="J251">
            <v>2</v>
          </cell>
          <cell r="K251">
            <v>10</v>
          </cell>
          <cell r="L251" t="str">
            <v>[]</v>
          </cell>
          <cell r="M251">
            <v>2</v>
          </cell>
          <cell r="N251">
            <v>2</v>
          </cell>
          <cell r="O251">
            <v>3</v>
          </cell>
          <cell r="P251">
            <v>0</v>
          </cell>
          <cell r="Q251">
            <v>12</v>
          </cell>
          <cell r="R251">
            <v>1</v>
          </cell>
          <cell r="S251" t="str">
            <v>4|0.2</v>
          </cell>
          <cell r="T251">
            <v>10</v>
          </cell>
          <cell r="U251">
            <v>0</v>
          </cell>
          <cell r="V251">
            <v>0</v>
          </cell>
          <cell r="W251" t="str">
            <v>[]</v>
          </cell>
          <cell r="X251">
            <v>0</v>
          </cell>
          <cell r="Y251" t="str">
            <v>[]</v>
          </cell>
          <cell r="Z251" t="str">
            <v>0,0,0</v>
          </cell>
          <cell r="AA251">
            <v>0</v>
          </cell>
          <cell r="AB251" t="str">
            <v>[]</v>
          </cell>
          <cell r="AC251" t="str">
            <v>[]</v>
          </cell>
          <cell r="AD251" t="str">
            <v>[]</v>
          </cell>
          <cell r="AE251" t="str">
            <v>[]</v>
          </cell>
          <cell r="AF251" t="str">
            <v>[]</v>
          </cell>
          <cell r="AG251" t="str">
            <v>[]</v>
          </cell>
          <cell r="AH251" t="str">
            <v>[]</v>
          </cell>
          <cell r="AI251" t="str">
            <v>[]</v>
          </cell>
          <cell r="AJ251" t="str">
            <v>[]</v>
          </cell>
          <cell r="AK251" t="str">
            <v>[]</v>
          </cell>
          <cell r="AL251" t="str">
            <v>hpupTN0.2b</v>
          </cell>
          <cell r="AM251" t="str">
            <v>[]</v>
          </cell>
          <cell r="AN251">
            <v>0</v>
          </cell>
          <cell r="AO251" t="str">
            <v>[]</v>
          </cell>
          <cell r="AP251" t="str">
            <v>[]</v>
          </cell>
          <cell r="AQ251" t="str">
            <v>9015</v>
          </cell>
          <cell r="AR251" t="str">
            <v>[]</v>
          </cell>
          <cell r="AS251" t="str">
            <v>[]</v>
          </cell>
          <cell r="AT251" t="str">
            <v>1127</v>
          </cell>
          <cell r="AU251" t="str">
            <v>4140</v>
          </cell>
          <cell r="AV251" t="str">
            <v>东海龙王</v>
          </cell>
          <cell r="AW251" t="str">
            <v>03</v>
          </cell>
          <cell r="AX251">
            <v>1262</v>
          </cell>
          <cell r="AY251">
            <v>1</v>
          </cell>
          <cell r="BA251" t="str">
            <v>[]</v>
          </cell>
          <cell r="BE251" t="str">
            <v>[]</v>
          </cell>
          <cell r="BF251"/>
        </row>
        <row r="252">
          <cell r="A252" t="str">
            <v>donghailongwang_skill04</v>
          </cell>
          <cell r="B252" t="str">
            <v>深海问候</v>
          </cell>
          <cell r="C252" t="str">
            <v>操控海水，对范围内敌人造成自身攻击力@s的物伤</v>
          </cell>
          <cell r="D252">
            <v>1264</v>
          </cell>
          <cell r="E252">
            <v>2</v>
          </cell>
          <cell r="F252" t="str">
            <v>boss_warning_yuanxing</v>
          </cell>
          <cell r="G252" t="str">
            <v>东海龙王技能4</v>
          </cell>
          <cell r="H252" t="str">
            <v>donghailongwang_skill04</v>
          </cell>
          <cell r="I252" t="str">
            <v>[]</v>
          </cell>
          <cell r="J252">
            <v>3</v>
          </cell>
          <cell r="K252">
            <v>10</v>
          </cell>
          <cell r="L252" t="str">
            <v>[]</v>
          </cell>
          <cell r="M252">
            <v>2</v>
          </cell>
          <cell r="N252">
            <v>2</v>
          </cell>
          <cell r="O252">
            <v>1</v>
          </cell>
          <cell r="P252">
            <v>2</v>
          </cell>
          <cell r="Q252">
            <v>4</v>
          </cell>
          <cell r="R252" t="str">
            <v>2|1</v>
          </cell>
          <cell r="S252" t="str">
            <v>2|6</v>
          </cell>
          <cell r="T252">
            <v>10</v>
          </cell>
          <cell r="U252">
            <v>0</v>
          </cell>
          <cell r="V252">
            <v>0</v>
          </cell>
          <cell r="W252" t="str">
            <v>[]</v>
          </cell>
          <cell r="X252">
            <v>3</v>
          </cell>
          <cell r="Y252" t="str">
            <v>[]</v>
          </cell>
          <cell r="Z252" t="str">
            <v>0,1.1,0.66</v>
          </cell>
          <cell r="AA252">
            <v>0</v>
          </cell>
          <cell r="AB252">
            <v>6</v>
          </cell>
          <cell r="AC252" t="str">
            <v>[]</v>
          </cell>
          <cell r="AD252" t="str">
            <v>[]</v>
          </cell>
          <cell r="AE252" t="str">
            <v>[]</v>
          </cell>
          <cell r="AF252" t="str">
            <v>donghailongwang_skill04</v>
          </cell>
          <cell r="AG252" t="str">
            <v>[]</v>
          </cell>
          <cell r="AH252" t="str">
            <v>[]</v>
          </cell>
          <cell r="AI252" t="str">
            <v>[]</v>
          </cell>
          <cell r="AJ252" t="str">
            <v>donghailongwang_zhenping</v>
          </cell>
          <cell r="AK252" t="str">
            <v>[]</v>
          </cell>
          <cell r="AL252" t="str">
            <v>hpmaxhuifu2T2</v>
          </cell>
          <cell r="AM252" t="str">
            <v>[]</v>
          </cell>
          <cell r="AN252">
            <v>2</v>
          </cell>
          <cell r="AO252">
            <v>1.1000000000000001</v>
          </cell>
          <cell r="AP252">
            <v>113504</v>
          </cell>
          <cell r="AQ252" t="str">
            <v>113504</v>
          </cell>
          <cell r="AR252" t="str">
            <v>[]</v>
          </cell>
          <cell r="AS252" t="str">
            <v>[]</v>
          </cell>
          <cell r="AT252" t="str">
            <v>1127</v>
          </cell>
          <cell r="AU252" t="str">
            <v>4150</v>
          </cell>
          <cell r="AV252" t="str">
            <v>东海龙王</v>
          </cell>
          <cell r="AW252" t="str">
            <v>04</v>
          </cell>
          <cell r="AX252">
            <v>1264</v>
          </cell>
          <cell r="AY252">
            <v>1</v>
          </cell>
          <cell r="BA252" t="str">
            <v>[]</v>
          </cell>
          <cell r="BE252" t="str">
            <v>[]</v>
          </cell>
          <cell r="BF252"/>
        </row>
        <row r="253">
          <cell r="A253" t="str">
            <v>donghailongwang_skill011</v>
          </cell>
          <cell r="B253" t="str">
            <v>奥义·千年龙鳞</v>
          </cell>
          <cell r="C253" t="str">
            <v>召唤龙王千年龙鳞护体，降低全体友军受到的伤害@s，并进入霸体状态，持续3秒[霸体状态无视控制和减益效果]</v>
          </cell>
          <cell r="D253">
            <v>1266</v>
          </cell>
          <cell r="E253">
            <v>0</v>
          </cell>
          <cell r="F253" t="str">
            <v>[]</v>
          </cell>
          <cell r="G253" t="str">
            <v>东海龙王核心技能</v>
          </cell>
          <cell r="H253" t="str">
            <v>donghailongwang_skill01</v>
          </cell>
          <cell r="I253" t="str">
            <v>donghailongwang_skill01</v>
          </cell>
          <cell r="J253">
            <v>0</v>
          </cell>
          <cell r="K253">
            <v>10</v>
          </cell>
          <cell r="L253" t="str">
            <v>1|35</v>
          </cell>
          <cell r="M253">
            <v>2</v>
          </cell>
          <cell r="N253">
            <v>2</v>
          </cell>
          <cell r="O253">
            <v>1</v>
          </cell>
          <cell r="P253">
            <v>4</v>
          </cell>
          <cell r="Q253">
            <v>12</v>
          </cell>
          <cell r="R253">
            <v>3</v>
          </cell>
          <cell r="S253">
            <v>5</v>
          </cell>
          <cell r="T253">
            <v>10</v>
          </cell>
          <cell r="U253">
            <v>0</v>
          </cell>
          <cell r="V253">
            <v>0</v>
          </cell>
          <cell r="W253" t="str">
            <v>[]</v>
          </cell>
          <cell r="X253">
            <v>0</v>
          </cell>
          <cell r="Y253" t="str">
            <v>[]</v>
          </cell>
          <cell r="Z253" t="str">
            <v>0,1,0</v>
          </cell>
          <cell r="AA253">
            <v>0</v>
          </cell>
          <cell r="AB253" t="str">
            <v>12</v>
          </cell>
          <cell r="AC253" t="str">
            <v>[]</v>
          </cell>
          <cell r="AD253" t="str">
            <v>[]</v>
          </cell>
          <cell r="AE253" t="str">
            <v>[]</v>
          </cell>
          <cell r="AF253" t="str">
            <v>donghailongwang_skill01_atk</v>
          </cell>
          <cell r="AG253" t="str">
            <v>donghailongwang_skill01</v>
          </cell>
          <cell r="AH253" t="str">
            <v>[]</v>
          </cell>
          <cell r="AI253" t="str">
            <v>[]</v>
          </cell>
          <cell r="AJ253" t="str">
            <v>batiT3NP1</v>
          </cell>
          <cell r="AK253" t="str">
            <v>[]</v>
          </cell>
          <cell r="AL253" t="str">
            <v>[]</v>
          </cell>
          <cell r="AM253" t="str">
            <v>[]</v>
          </cell>
          <cell r="AN253">
            <v>1</v>
          </cell>
          <cell r="AO253">
            <v>0.5</v>
          </cell>
          <cell r="AP253" t="str">
            <v>[]</v>
          </cell>
          <cell r="AQ253" t="str">
            <v>9030</v>
          </cell>
          <cell r="AR253" t="str">
            <v>[]</v>
          </cell>
          <cell r="AS253" t="str">
            <v>[]</v>
          </cell>
          <cell r="AT253" t="str">
            <v>1204</v>
          </cell>
          <cell r="AU253" t="str">
            <v>4120</v>
          </cell>
          <cell r="AV253" t="str">
            <v>东海龙王</v>
          </cell>
          <cell r="AW253" t="str">
            <v>11</v>
          </cell>
          <cell r="AX253">
            <v>1266</v>
          </cell>
          <cell r="AY253">
            <v>1</v>
          </cell>
          <cell r="BA253" t="str">
            <v>[]</v>
          </cell>
          <cell r="BE253" t="str">
            <v>[]</v>
          </cell>
          <cell r="BF253"/>
        </row>
        <row r="254">
          <cell r="A254" t="str">
            <v>donghailongwang_skill021</v>
          </cell>
          <cell r="B254" t="str">
            <v>奥义·海龙咆哮</v>
          </cell>
          <cell r="C254" t="str">
            <v>向前方发射水炮，对范围内敌人造成自身攻击力@s的物伤，40%几率冰冻目标2秒</v>
          </cell>
          <cell r="D254">
            <v>1268</v>
          </cell>
          <cell r="E254">
            <v>2</v>
          </cell>
          <cell r="F254" t="str">
            <v>boss_warning_juxing</v>
          </cell>
          <cell r="G254" t="str">
            <v>东海龙王技能2</v>
          </cell>
          <cell r="H254" t="str">
            <v>donghailongwang_skill02</v>
          </cell>
          <cell r="I254" t="str">
            <v>[]</v>
          </cell>
          <cell r="J254">
            <v>1</v>
          </cell>
          <cell r="K254">
            <v>10</v>
          </cell>
          <cell r="L254" t="str">
            <v>[]</v>
          </cell>
          <cell r="M254">
            <v>2</v>
          </cell>
          <cell r="N254">
            <v>2</v>
          </cell>
          <cell r="O254">
            <v>1</v>
          </cell>
          <cell r="P254">
            <v>2</v>
          </cell>
          <cell r="Q254">
            <v>4</v>
          </cell>
          <cell r="R254" t="str">
            <v>2|1</v>
          </cell>
          <cell r="S254" t="str">
            <v>1|10|4</v>
          </cell>
          <cell r="T254">
            <v>10</v>
          </cell>
          <cell r="U254">
            <v>0</v>
          </cell>
          <cell r="V254">
            <v>0</v>
          </cell>
          <cell r="W254" t="str">
            <v>[]</v>
          </cell>
          <cell r="X254">
            <v>3</v>
          </cell>
          <cell r="Y254" t="str">
            <v>[]</v>
          </cell>
          <cell r="Z254" t="str">
            <v>0,0.76,0.5</v>
          </cell>
          <cell r="AA254">
            <v>0</v>
          </cell>
          <cell r="AB254">
            <v>6</v>
          </cell>
          <cell r="AC254" t="str">
            <v>[]</v>
          </cell>
          <cell r="AD254" t="str">
            <v>[]</v>
          </cell>
          <cell r="AE254" t="str">
            <v>[]</v>
          </cell>
          <cell r="AF254" t="str">
            <v>donghailongwang_skill02</v>
          </cell>
          <cell r="AG254" t="str">
            <v>[]</v>
          </cell>
          <cell r="AH254" t="str">
            <v>[]</v>
          </cell>
          <cell r="AI254" t="str">
            <v>[]</v>
          </cell>
          <cell r="AJ254" t="str">
            <v>[]</v>
          </cell>
          <cell r="AK254" t="str">
            <v>bingdongT1NP0.4</v>
          </cell>
          <cell r="AL254" t="str">
            <v>[]</v>
          </cell>
          <cell r="AM254" t="str">
            <v>[]</v>
          </cell>
          <cell r="AN254">
            <v>2</v>
          </cell>
          <cell r="AO254">
            <v>1.1000000000000001</v>
          </cell>
          <cell r="AP254">
            <v>113506</v>
          </cell>
          <cell r="AQ254" t="str">
            <v>113506</v>
          </cell>
          <cell r="AR254" t="str">
            <v>[]</v>
          </cell>
          <cell r="AS254" t="str">
            <v>[]</v>
          </cell>
          <cell r="AT254" t="str">
            <v>1204</v>
          </cell>
          <cell r="AU254" t="str">
            <v>4130</v>
          </cell>
          <cell r="AV254" t="str">
            <v>东海龙王</v>
          </cell>
          <cell r="AW254" t="str">
            <v>21</v>
          </cell>
          <cell r="AX254">
            <v>1268</v>
          </cell>
          <cell r="AY254">
            <v>1</v>
          </cell>
          <cell r="AZ254">
            <v>0.4</v>
          </cell>
          <cell r="BA254">
            <v>0.4</v>
          </cell>
          <cell r="BE254">
            <v>0.4</v>
          </cell>
          <cell r="BF254"/>
        </row>
        <row r="255">
          <cell r="A255" t="str">
            <v>donghailongwang_skill041</v>
          </cell>
          <cell r="B255" t="str">
            <v>奥义·深海问候</v>
          </cell>
          <cell r="C255" t="str">
            <v>操控海水，对范围内敌人造成自身攻击力@s的物伤</v>
          </cell>
          <cell r="D255">
            <v>1270</v>
          </cell>
          <cell r="E255">
            <v>2</v>
          </cell>
          <cell r="F255" t="str">
            <v>boss_warning_yuanxing</v>
          </cell>
          <cell r="G255" t="str">
            <v>东海龙王技能4</v>
          </cell>
          <cell r="H255" t="str">
            <v>donghailongwang_skill04</v>
          </cell>
          <cell r="I255" t="str">
            <v>[]</v>
          </cell>
          <cell r="J255">
            <v>3</v>
          </cell>
          <cell r="K255">
            <v>10</v>
          </cell>
          <cell r="L255" t="str">
            <v>[]</v>
          </cell>
          <cell r="M255">
            <v>2</v>
          </cell>
          <cell r="N255">
            <v>2</v>
          </cell>
          <cell r="O255">
            <v>1</v>
          </cell>
          <cell r="P255">
            <v>2</v>
          </cell>
          <cell r="Q255">
            <v>4</v>
          </cell>
          <cell r="R255" t="str">
            <v>2|1</v>
          </cell>
          <cell r="S255" t="str">
            <v>2|6</v>
          </cell>
          <cell r="T255">
            <v>10</v>
          </cell>
          <cell r="U255">
            <v>0</v>
          </cell>
          <cell r="V255">
            <v>0</v>
          </cell>
          <cell r="W255" t="str">
            <v>[]</v>
          </cell>
          <cell r="X255">
            <v>3</v>
          </cell>
          <cell r="Y255" t="str">
            <v>[]</v>
          </cell>
          <cell r="Z255" t="str">
            <v>0,1.1,0.66</v>
          </cell>
          <cell r="AA255">
            <v>0</v>
          </cell>
          <cell r="AB255">
            <v>6</v>
          </cell>
          <cell r="AC255" t="str">
            <v>[]</v>
          </cell>
          <cell r="AD255" t="str">
            <v>[]</v>
          </cell>
          <cell r="AE255" t="str">
            <v>[]</v>
          </cell>
          <cell r="AF255" t="str">
            <v>donghailongwang_skill04</v>
          </cell>
          <cell r="AG255" t="str">
            <v>[]</v>
          </cell>
          <cell r="AH255" t="str">
            <v>[]</v>
          </cell>
          <cell r="AI255" t="str">
            <v>[]</v>
          </cell>
          <cell r="AJ255" t="str">
            <v>donghailongwang_zhenping</v>
          </cell>
          <cell r="AK255" t="str">
            <v>[]</v>
          </cell>
          <cell r="AL255" t="str">
            <v>hpmaxhuifu3T2</v>
          </cell>
          <cell r="AM255" t="str">
            <v>[]</v>
          </cell>
          <cell r="AN255">
            <v>2</v>
          </cell>
          <cell r="AO255">
            <v>1.1000000000000001</v>
          </cell>
          <cell r="AP255">
            <v>113507</v>
          </cell>
          <cell r="AQ255" t="str">
            <v>113507</v>
          </cell>
          <cell r="AR255" t="str">
            <v>[]</v>
          </cell>
          <cell r="AS255" t="str">
            <v>[]</v>
          </cell>
          <cell r="AT255" t="str">
            <v>1204</v>
          </cell>
          <cell r="AU255" t="str">
            <v>4150</v>
          </cell>
          <cell r="AV255" t="str">
            <v>东海龙王</v>
          </cell>
          <cell r="AW255" t="str">
            <v>41</v>
          </cell>
          <cell r="AX255">
            <v>1270</v>
          </cell>
          <cell r="AY255">
            <v>1</v>
          </cell>
          <cell r="BA255" t="str">
            <v>[]</v>
          </cell>
          <cell r="BE255" t="str">
            <v>[]</v>
          </cell>
          <cell r="BF255"/>
        </row>
        <row r="256">
          <cell r="A256" t="str">
            <v>zhizhujing_attack</v>
          </cell>
          <cell r="B256" t="str">
            <v>蜘蛛精</v>
          </cell>
          <cell r="C256" t="str">
            <v>普攻</v>
          </cell>
          <cell r="D256" t="str">
            <v>[]</v>
          </cell>
          <cell r="E256">
            <v>0</v>
          </cell>
          <cell r="F256" t="str">
            <v>[]</v>
          </cell>
          <cell r="G256" t="str">
            <v>蜘蛛精远程攻击</v>
          </cell>
          <cell r="H256" t="str">
            <v>[]</v>
          </cell>
          <cell r="I256" t="str">
            <v>[]</v>
          </cell>
          <cell r="J256">
            <v>0</v>
          </cell>
          <cell r="K256">
            <v>1</v>
          </cell>
          <cell r="L256" t="str">
            <v>[]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10</v>
          </cell>
          <cell r="R256" t="str">
            <v>2|1</v>
          </cell>
          <cell r="S256" t="str">
            <v>4|0.2</v>
          </cell>
          <cell r="T256">
            <v>1</v>
          </cell>
          <cell r="U256">
            <v>1</v>
          </cell>
          <cell r="V256">
            <v>0</v>
          </cell>
          <cell r="W256" t="str">
            <v>[]</v>
          </cell>
          <cell r="X256">
            <v>0</v>
          </cell>
          <cell r="Y256" t="str">
            <v>[]</v>
          </cell>
          <cell r="Z256" t="str">
            <v>0,1,0</v>
          </cell>
          <cell r="AA256">
            <v>0</v>
          </cell>
          <cell r="AB256" t="str">
            <v>[]</v>
          </cell>
          <cell r="AC256" t="str">
            <v>[]</v>
          </cell>
          <cell r="AD256" t="str">
            <v>[]</v>
          </cell>
          <cell r="AE256" t="str">
            <v>[]</v>
          </cell>
          <cell r="AF256" t="str">
            <v>zhizhujing_attack</v>
          </cell>
          <cell r="AG256" t="str">
            <v>common_hit_fashu</v>
          </cell>
          <cell r="AH256" t="str">
            <v>[]</v>
          </cell>
          <cell r="AI256" t="str">
            <v>[]</v>
          </cell>
          <cell r="AJ256" t="str">
            <v>[]</v>
          </cell>
          <cell r="AK256" t="str">
            <v>[]</v>
          </cell>
          <cell r="AL256" t="str">
            <v>[]</v>
          </cell>
          <cell r="AM256" t="str">
            <v>[]</v>
          </cell>
          <cell r="AN256">
            <v>2</v>
          </cell>
          <cell r="AO256" t="str">
            <v>[]</v>
          </cell>
          <cell r="AP256">
            <v>113700</v>
          </cell>
          <cell r="AQ256" t="str">
            <v>113700</v>
          </cell>
          <cell r="AR256" t="str">
            <v>[]</v>
          </cell>
          <cell r="AS256" t="str">
            <v>[]</v>
          </cell>
          <cell r="AT256" t="str">
            <v>3940</v>
          </cell>
          <cell r="AU256" t="str">
            <v>4260</v>
          </cell>
          <cell r="AV256" t="str">
            <v>蜘蛛精远程攻击</v>
          </cell>
          <cell r="AW256" t="str">
            <v>ck</v>
          </cell>
          <cell r="AX256" t="str">
            <v>[]</v>
          </cell>
          <cell r="AY256">
            <v>1</v>
          </cell>
          <cell r="BA256" t="str">
            <v>[]</v>
          </cell>
          <cell r="BE256" t="str">
            <v>[]</v>
          </cell>
          <cell r="BF256"/>
        </row>
        <row r="257">
          <cell r="A257" t="str">
            <v>zhizhujing_skill01</v>
          </cell>
          <cell r="B257" t="str">
            <v>天罗地网</v>
          </cell>
          <cell r="C257" t="str">
            <v>召唤蛛群结网向敌军推进攻击敌军，对范围内敌人造成主角攻击力@s的物伤</v>
          </cell>
          <cell r="D257" t="str">
            <v>[]</v>
          </cell>
          <cell r="E257">
            <v>0</v>
          </cell>
          <cell r="F257" t="str">
            <v>[]</v>
          </cell>
          <cell r="G257" t="str">
            <v>毒箭雨</v>
          </cell>
          <cell r="H257" t="str">
            <v>zhizhujing_skill01</v>
          </cell>
          <cell r="I257" t="str">
            <v>zhizhujing_skill01</v>
          </cell>
          <cell r="J257">
            <v>0</v>
          </cell>
          <cell r="K257">
            <v>10</v>
          </cell>
          <cell r="L257" t="str">
            <v>1|37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12</v>
          </cell>
          <cell r="R257" t="str">
            <v>2|1</v>
          </cell>
          <cell r="S257" t="str">
            <v>1|8|8</v>
          </cell>
          <cell r="T257">
            <v>10</v>
          </cell>
          <cell r="U257">
            <v>0</v>
          </cell>
          <cell r="V257">
            <v>0</v>
          </cell>
          <cell r="W257" t="str">
            <v>[]</v>
          </cell>
          <cell r="X257">
            <v>0</v>
          </cell>
          <cell r="Y257" t="str">
            <v>[]</v>
          </cell>
          <cell r="Z257" t="str">
            <v>0,1,0</v>
          </cell>
          <cell r="AA257">
            <v>0</v>
          </cell>
          <cell r="AB257" t="str">
            <v>12</v>
          </cell>
          <cell r="AC257" t="str">
            <v>[]</v>
          </cell>
          <cell r="AD257" t="str">
            <v>[]</v>
          </cell>
          <cell r="AE257" t="str">
            <v>[]</v>
          </cell>
          <cell r="AF257" t="str">
            <v>zhizhujing_skill01</v>
          </cell>
          <cell r="AG257" t="str">
            <v>zhizhujing_skill01_b</v>
          </cell>
          <cell r="AH257" t="str">
            <v>[]</v>
          </cell>
          <cell r="AI257" t="str">
            <v>[]</v>
          </cell>
          <cell r="AJ257" t="str">
            <v>[]</v>
          </cell>
          <cell r="AK257" t="str">
            <v>[]</v>
          </cell>
          <cell r="AL257" t="str">
            <v>[]</v>
          </cell>
          <cell r="AM257" t="str">
            <v>[]</v>
          </cell>
          <cell r="AN257">
            <v>2</v>
          </cell>
          <cell r="AO257">
            <v>-4</v>
          </cell>
          <cell r="AP257">
            <v>113701</v>
          </cell>
          <cell r="AQ257" t="str">
            <v>113701</v>
          </cell>
          <cell r="AR257" t="str">
            <v>[]</v>
          </cell>
          <cell r="AS257" t="str">
            <v>[]</v>
          </cell>
          <cell r="AT257" t="str">
            <v>1204</v>
          </cell>
          <cell r="AU257" t="str">
            <v>4270</v>
          </cell>
          <cell r="AV257" t="str">
            <v>蜘蛛精</v>
          </cell>
          <cell r="AW257" t="str">
            <v>01</v>
          </cell>
          <cell r="AX257" t="str">
            <v>[]</v>
          </cell>
          <cell r="AY257">
            <v>1</v>
          </cell>
          <cell r="BA257" t="str">
            <v>[]</v>
          </cell>
          <cell r="BE257" t="str">
            <v>[]</v>
          </cell>
          <cell r="BF257"/>
        </row>
        <row r="258">
          <cell r="A258" t="str">
            <v>zhizhujing_skill02</v>
          </cell>
          <cell r="B258" t="str">
            <v>蛛后附身</v>
          </cell>
          <cell r="C258" t="str">
            <v>将自身蛛后魔力赋予友军，提升全体友军攻速@s，持续3秒</v>
          </cell>
          <cell r="D258" t="str">
            <v>[]</v>
          </cell>
          <cell r="E258">
            <v>0</v>
          </cell>
          <cell r="F258" t="str">
            <v>[]</v>
          </cell>
          <cell r="G258" t="str">
            <v>蜘蛛精技能2</v>
          </cell>
          <cell r="H258" t="str">
            <v>zhizhujing_skill02</v>
          </cell>
          <cell r="I258" t="str">
            <v>[]</v>
          </cell>
          <cell r="J258">
            <v>1</v>
          </cell>
          <cell r="K258">
            <v>10</v>
          </cell>
          <cell r="L258" t="str">
            <v>[]</v>
          </cell>
          <cell r="M258">
            <v>2</v>
          </cell>
          <cell r="N258">
            <v>2</v>
          </cell>
          <cell r="O258">
            <v>1</v>
          </cell>
          <cell r="P258">
            <v>4</v>
          </cell>
          <cell r="Q258">
            <v>12</v>
          </cell>
          <cell r="R258">
            <v>3</v>
          </cell>
          <cell r="S258" t="str">
            <v>2|20</v>
          </cell>
          <cell r="T258">
            <v>10</v>
          </cell>
          <cell r="U258">
            <v>0</v>
          </cell>
          <cell r="V258">
            <v>0</v>
          </cell>
          <cell r="W258" t="str">
            <v>[]</v>
          </cell>
          <cell r="X258">
            <v>3</v>
          </cell>
          <cell r="Y258" t="str">
            <v>[]</v>
          </cell>
          <cell r="Z258" t="str">
            <v>0,1.567,0</v>
          </cell>
          <cell r="AA258">
            <v>0</v>
          </cell>
          <cell r="AB258">
            <v>6</v>
          </cell>
          <cell r="AC258" t="str">
            <v>[]</v>
          </cell>
          <cell r="AD258" t="str">
            <v>[]</v>
          </cell>
          <cell r="AE258" t="str">
            <v>[]</v>
          </cell>
          <cell r="AF258" t="str">
            <v>zhizhujing_skill02</v>
          </cell>
          <cell r="AG258" t="str">
            <v>zhizhujing_skill02_b</v>
          </cell>
          <cell r="AH258" t="str">
            <v>[]</v>
          </cell>
          <cell r="AI258" t="str">
            <v>[]</v>
          </cell>
          <cell r="AJ258" t="str">
            <v>[]</v>
          </cell>
          <cell r="AK258" t="str">
            <v>[]</v>
          </cell>
          <cell r="AL258" t="str">
            <v>[]</v>
          </cell>
          <cell r="AM258" t="str">
            <v>gongsuupT3N0.15</v>
          </cell>
          <cell r="AN258">
            <v>2</v>
          </cell>
          <cell r="AO258">
            <v>1.1000000000000001</v>
          </cell>
          <cell r="AP258" t="str">
            <v>[]</v>
          </cell>
          <cell r="AQ258" t="str">
            <v>9015</v>
          </cell>
          <cell r="AR258" t="str">
            <v>[]</v>
          </cell>
          <cell r="AS258" t="str">
            <v>[]</v>
          </cell>
          <cell r="AT258" t="str">
            <v>1206</v>
          </cell>
          <cell r="AU258" t="str">
            <v>4280</v>
          </cell>
          <cell r="AV258" t="str">
            <v>蜘蛛精</v>
          </cell>
          <cell r="AW258" t="str">
            <v>02</v>
          </cell>
          <cell r="AX258" t="str">
            <v>[]</v>
          </cell>
          <cell r="AY258">
            <v>1</v>
          </cell>
          <cell r="BA258" t="str">
            <v>[]</v>
          </cell>
          <cell r="BE258" t="str">
            <v>[]</v>
          </cell>
          <cell r="BF258"/>
        </row>
        <row r="259">
          <cell r="A259" t="str">
            <v>zhizhujing_skill03</v>
          </cell>
          <cell r="B259" t="str">
            <v>剧毒无比</v>
          </cell>
          <cell r="C259" t="str">
            <v>进入战斗场景时，提高自身闪避@s</v>
          </cell>
          <cell r="D259">
            <v>1262</v>
          </cell>
          <cell r="E259">
            <v>0</v>
          </cell>
          <cell r="F259" t="str">
            <v>[]</v>
          </cell>
          <cell r="G259" t="str">
            <v>蜘蛛精被动技能</v>
          </cell>
          <cell r="H259" t="str">
            <v>fagong</v>
          </cell>
          <cell r="I259" t="str">
            <v>[]</v>
          </cell>
          <cell r="J259">
            <v>2</v>
          </cell>
          <cell r="K259">
            <v>10</v>
          </cell>
          <cell r="L259" t="str">
            <v>[]</v>
          </cell>
          <cell r="M259">
            <v>2</v>
          </cell>
          <cell r="N259">
            <v>2</v>
          </cell>
          <cell r="O259">
            <v>3</v>
          </cell>
          <cell r="P259">
            <v>0</v>
          </cell>
          <cell r="Q259">
            <v>12</v>
          </cell>
          <cell r="R259">
            <v>3</v>
          </cell>
          <cell r="S259">
            <v>5</v>
          </cell>
          <cell r="T259">
            <v>10</v>
          </cell>
          <cell r="U259">
            <v>0</v>
          </cell>
          <cell r="V259">
            <v>0</v>
          </cell>
          <cell r="W259" t="str">
            <v>[]</v>
          </cell>
          <cell r="X259">
            <v>0</v>
          </cell>
          <cell r="Y259" t="str">
            <v>[]</v>
          </cell>
          <cell r="Z259" t="str">
            <v>0,0,0</v>
          </cell>
          <cell r="AA259">
            <v>0</v>
          </cell>
          <cell r="AB259" t="str">
            <v>[]</v>
          </cell>
          <cell r="AC259" t="str">
            <v>[]</v>
          </cell>
          <cell r="AD259" t="str">
            <v>[]</v>
          </cell>
          <cell r="AE259" t="str">
            <v>[]</v>
          </cell>
          <cell r="AF259" t="str">
            <v>[]</v>
          </cell>
          <cell r="AG259" t="str">
            <v>[]</v>
          </cell>
          <cell r="AH259" t="str">
            <v>[]</v>
          </cell>
          <cell r="AI259" t="str">
            <v>[]</v>
          </cell>
          <cell r="AJ259" t="str">
            <v>[]</v>
          </cell>
          <cell r="AK259" t="str">
            <v>[]</v>
          </cell>
          <cell r="AL259" t="str">
            <v>shanbiupT3N0.2b</v>
          </cell>
          <cell r="AM259" t="str">
            <v>gongjiupT3N0.1b</v>
          </cell>
          <cell r="AN259">
            <v>0</v>
          </cell>
          <cell r="AO259" t="str">
            <v>[]</v>
          </cell>
          <cell r="AP259" t="str">
            <v>[]</v>
          </cell>
          <cell r="AQ259" t="str">
            <v>9020</v>
          </cell>
          <cell r="AR259" t="str">
            <v>[]</v>
          </cell>
          <cell r="AS259" t="str">
            <v>[]</v>
          </cell>
          <cell r="AT259" t="str">
            <v>1206</v>
          </cell>
          <cell r="AU259" t="str">
            <v>4290</v>
          </cell>
          <cell r="AV259" t="str">
            <v>蜘蛛精</v>
          </cell>
          <cell r="AW259" t="str">
            <v>03</v>
          </cell>
          <cell r="AX259">
            <v>1262</v>
          </cell>
          <cell r="AY259">
            <v>1</v>
          </cell>
          <cell r="BA259" t="str">
            <v>[]</v>
          </cell>
          <cell r="BE259" t="str">
            <v>[]</v>
          </cell>
          <cell r="BF259"/>
        </row>
        <row r="260">
          <cell r="A260" t="str">
            <v>zhizhujing_skill04</v>
          </cell>
          <cell r="B260" t="str">
            <v>魔蛛绝杀</v>
          </cell>
          <cell r="C260" t="str">
            <v>用自身剧毒对范围内敌人造成自身攻击力@s的物伤，并使敌人中毒，持续6秒</v>
          </cell>
          <cell r="D260">
            <v>1264</v>
          </cell>
          <cell r="E260">
            <v>1</v>
          </cell>
          <cell r="F260" t="str">
            <v>boss_warning_yuanxing</v>
          </cell>
          <cell r="G260" t="str">
            <v>蜘蛛精技能4</v>
          </cell>
          <cell r="H260" t="str">
            <v>zhizhujing_skill04</v>
          </cell>
          <cell r="I260" t="str">
            <v>[]</v>
          </cell>
          <cell r="J260">
            <v>3</v>
          </cell>
          <cell r="K260">
            <v>10</v>
          </cell>
          <cell r="L260" t="str">
            <v>[]</v>
          </cell>
          <cell r="M260">
            <v>2</v>
          </cell>
          <cell r="N260">
            <v>2</v>
          </cell>
          <cell r="O260">
            <v>2</v>
          </cell>
          <cell r="P260">
            <v>2</v>
          </cell>
          <cell r="Q260">
            <v>12</v>
          </cell>
          <cell r="R260" t="str">
            <v>2|1</v>
          </cell>
          <cell r="S260" t="str">
            <v>2|6</v>
          </cell>
          <cell r="T260">
            <v>10</v>
          </cell>
          <cell r="U260">
            <v>0</v>
          </cell>
          <cell r="V260">
            <v>0</v>
          </cell>
          <cell r="W260" t="str">
            <v>[]</v>
          </cell>
          <cell r="X260">
            <v>3</v>
          </cell>
          <cell r="Y260" t="str">
            <v>[]</v>
          </cell>
          <cell r="Z260" t="str">
            <v>0,1.533,0</v>
          </cell>
          <cell r="AA260">
            <v>0</v>
          </cell>
          <cell r="AB260">
            <v>6</v>
          </cell>
          <cell r="AC260" t="str">
            <v>[]</v>
          </cell>
          <cell r="AD260" t="str">
            <v>[]</v>
          </cell>
          <cell r="AE260" t="str">
            <v>[]</v>
          </cell>
          <cell r="AF260" t="str">
            <v>zhizhujing_skill04</v>
          </cell>
          <cell r="AG260" t="str">
            <v>common_hit_fashu</v>
          </cell>
          <cell r="AH260" t="str">
            <v>[]</v>
          </cell>
          <cell r="AI260" t="str">
            <v>[]</v>
          </cell>
          <cell r="AJ260" t="str">
            <v>[]</v>
          </cell>
          <cell r="AK260" t="str">
            <v>[]</v>
          </cell>
          <cell r="AL260" t="str">
            <v>[]</v>
          </cell>
          <cell r="AM260" t="str">
            <v>zhongduT6N0.1</v>
          </cell>
          <cell r="AN260">
            <v>2</v>
          </cell>
          <cell r="AO260">
            <v>-4</v>
          </cell>
          <cell r="AP260">
            <v>113704</v>
          </cell>
          <cell r="AQ260" t="str">
            <v>113704</v>
          </cell>
          <cell r="AR260" t="str">
            <v>[]</v>
          </cell>
          <cell r="AS260" t="str">
            <v>[]</v>
          </cell>
          <cell r="AT260" t="str">
            <v>1206</v>
          </cell>
          <cell r="AU260" t="str">
            <v>4300</v>
          </cell>
          <cell r="AV260" t="str">
            <v>蜘蛛精</v>
          </cell>
          <cell r="AW260" t="str">
            <v>04</v>
          </cell>
          <cell r="AX260">
            <v>1264</v>
          </cell>
          <cell r="AY260">
            <v>1</v>
          </cell>
          <cell r="BA260" t="str">
            <v>[]</v>
          </cell>
          <cell r="BE260" t="str">
            <v>[]</v>
          </cell>
          <cell r="BF260"/>
        </row>
        <row r="261">
          <cell r="A261" t="str">
            <v>zhizhujing_skill011</v>
          </cell>
          <cell r="B261" t="str">
            <v>天罗地网</v>
          </cell>
          <cell r="C261" t="str">
            <v>召唤蛛群结网向敌军推进攻击敌军，对范围内敌人造成主角攻击力@s的物伤</v>
          </cell>
          <cell r="D261">
            <v>1266</v>
          </cell>
          <cell r="E261">
            <v>0</v>
          </cell>
          <cell r="F261" t="str">
            <v>[]</v>
          </cell>
          <cell r="G261" t="str">
            <v>毒箭雨</v>
          </cell>
          <cell r="H261" t="str">
            <v>zhizhujing_skill01</v>
          </cell>
          <cell r="I261" t="str">
            <v>zhizhujing_skill01</v>
          </cell>
          <cell r="J261">
            <v>0</v>
          </cell>
          <cell r="K261">
            <v>10</v>
          </cell>
          <cell r="L261" t="str">
            <v>1|37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  <cell r="Q261">
            <v>12</v>
          </cell>
          <cell r="R261" t="str">
            <v>2|1</v>
          </cell>
          <cell r="S261" t="str">
            <v>1|8|8</v>
          </cell>
          <cell r="T261">
            <v>10</v>
          </cell>
          <cell r="U261">
            <v>0</v>
          </cell>
          <cell r="V261">
            <v>0</v>
          </cell>
          <cell r="W261" t="str">
            <v>[]</v>
          </cell>
          <cell r="X261">
            <v>0</v>
          </cell>
          <cell r="Y261" t="str">
            <v>[]</v>
          </cell>
          <cell r="Z261" t="str">
            <v>0,1,0</v>
          </cell>
          <cell r="AA261">
            <v>0</v>
          </cell>
          <cell r="AB261" t="str">
            <v>12</v>
          </cell>
          <cell r="AC261" t="str">
            <v>[]</v>
          </cell>
          <cell r="AD261" t="str">
            <v>[]</v>
          </cell>
          <cell r="AE261" t="str">
            <v>[]</v>
          </cell>
          <cell r="AF261" t="str">
            <v>zhizhujing_skill01</v>
          </cell>
          <cell r="AG261" t="str">
            <v>zhizhujing_skill01_b</v>
          </cell>
          <cell r="AH261" t="str">
            <v>[]</v>
          </cell>
          <cell r="AI261" t="str">
            <v>[]</v>
          </cell>
          <cell r="AJ261" t="str">
            <v>[]</v>
          </cell>
          <cell r="AK261" t="str">
            <v>[]</v>
          </cell>
          <cell r="AL261" t="str">
            <v>[]</v>
          </cell>
          <cell r="AM261" t="str">
            <v>[]</v>
          </cell>
          <cell r="AN261">
            <v>2</v>
          </cell>
          <cell r="AO261">
            <v>0.6</v>
          </cell>
          <cell r="AP261">
            <v>113705</v>
          </cell>
          <cell r="AQ261" t="str">
            <v>113705</v>
          </cell>
          <cell r="AR261" t="str">
            <v>[]</v>
          </cell>
          <cell r="AS261" t="str">
            <v>[]</v>
          </cell>
          <cell r="AT261" t="str">
            <v>3990</v>
          </cell>
          <cell r="AU261" t="str">
            <v>4270</v>
          </cell>
          <cell r="AV261" t="str">
            <v>蜘蛛精</v>
          </cell>
          <cell r="AW261" t="str">
            <v>11</v>
          </cell>
          <cell r="AX261">
            <v>1266</v>
          </cell>
          <cell r="AY261">
            <v>1</v>
          </cell>
          <cell r="BA261" t="str">
            <v>[]</v>
          </cell>
          <cell r="BE261" t="str">
            <v>[]</v>
          </cell>
          <cell r="BF261"/>
        </row>
        <row r="262">
          <cell r="A262" t="str">
            <v>zhizhujing_skill021</v>
          </cell>
          <cell r="B262" t="str">
            <v>蛛后附身</v>
          </cell>
          <cell r="C262" t="str">
            <v>将自身蛛后魔力赋予友军，提升全体友军攻速@s，持续3秒</v>
          </cell>
          <cell r="D262">
            <v>1268</v>
          </cell>
          <cell r="E262">
            <v>0</v>
          </cell>
          <cell r="F262" t="str">
            <v>[]</v>
          </cell>
          <cell r="G262" t="str">
            <v>蜘蛛精技能2</v>
          </cell>
          <cell r="H262" t="str">
            <v>zhizhujing_skill02</v>
          </cell>
          <cell r="I262" t="str">
            <v>[]</v>
          </cell>
          <cell r="J262">
            <v>1</v>
          </cell>
          <cell r="K262">
            <v>10</v>
          </cell>
          <cell r="L262" t="str">
            <v>[]</v>
          </cell>
          <cell r="M262">
            <v>2</v>
          </cell>
          <cell r="N262">
            <v>2</v>
          </cell>
          <cell r="O262">
            <v>1</v>
          </cell>
          <cell r="P262">
            <v>4</v>
          </cell>
          <cell r="Q262">
            <v>12</v>
          </cell>
          <cell r="R262">
            <v>3</v>
          </cell>
          <cell r="S262" t="str">
            <v>2|20</v>
          </cell>
          <cell r="T262">
            <v>10</v>
          </cell>
          <cell r="U262">
            <v>0</v>
          </cell>
          <cell r="V262">
            <v>0</v>
          </cell>
          <cell r="W262" t="str">
            <v>[]</v>
          </cell>
          <cell r="X262">
            <v>3</v>
          </cell>
          <cell r="Y262" t="str">
            <v>[]</v>
          </cell>
          <cell r="Z262" t="str">
            <v>0,1.567,0</v>
          </cell>
          <cell r="AA262">
            <v>0</v>
          </cell>
          <cell r="AB262">
            <v>6</v>
          </cell>
          <cell r="AC262" t="str">
            <v>[]</v>
          </cell>
          <cell r="AD262" t="str">
            <v>[]</v>
          </cell>
          <cell r="AE262" t="str">
            <v>[]</v>
          </cell>
          <cell r="AF262" t="str">
            <v>zhizhujing_skill02</v>
          </cell>
          <cell r="AG262" t="str">
            <v>zhizhujing_skill02_b</v>
          </cell>
          <cell r="AH262" t="str">
            <v>[]</v>
          </cell>
          <cell r="AI262" t="str">
            <v>[]</v>
          </cell>
          <cell r="AJ262" t="str">
            <v>[]</v>
          </cell>
          <cell r="AK262" t="str">
            <v>[]</v>
          </cell>
          <cell r="AL262" t="str">
            <v>[]</v>
          </cell>
          <cell r="AM262" t="str">
            <v>gongsuupT6N0.15</v>
          </cell>
          <cell r="AN262">
            <v>2</v>
          </cell>
          <cell r="AO262">
            <v>1.1000000000000001</v>
          </cell>
          <cell r="AP262" t="str">
            <v>[]</v>
          </cell>
          <cell r="AQ262" t="str">
            <v>9015</v>
          </cell>
          <cell r="AR262" t="str">
            <v>[]</v>
          </cell>
          <cell r="AS262" t="str">
            <v>[]</v>
          </cell>
          <cell r="AT262" t="str">
            <v>1206</v>
          </cell>
          <cell r="AU262" t="str">
            <v>4280</v>
          </cell>
          <cell r="AV262" t="str">
            <v>蜘蛛精</v>
          </cell>
          <cell r="AW262" t="str">
            <v>21</v>
          </cell>
          <cell r="AX262">
            <v>1268</v>
          </cell>
          <cell r="AY262">
            <v>1</v>
          </cell>
          <cell r="BA262" t="str">
            <v>[]</v>
          </cell>
          <cell r="BE262" t="str">
            <v>[]</v>
          </cell>
          <cell r="BF262"/>
        </row>
        <row r="263">
          <cell r="A263" t="str">
            <v>zhizhujing_skill041</v>
          </cell>
          <cell r="B263" t="str">
            <v>魔蛛绝杀</v>
          </cell>
          <cell r="C263" t="str">
            <v>用自身剧毒对范围内敌人造成自身攻击力@s的物伤，并使敌人中毒，持续6秒</v>
          </cell>
          <cell r="D263">
            <v>1270</v>
          </cell>
          <cell r="E263">
            <v>1</v>
          </cell>
          <cell r="F263" t="str">
            <v>boss_warning_yuanxing</v>
          </cell>
          <cell r="G263" t="str">
            <v>蜘蛛精技能4</v>
          </cell>
          <cell r="H263" t="str">
            <v>zhizhujing_skill04</v>
          </cell>
          <cell r="I263" t="str">
            <v>[]</v>
          </cell>
          <cell r="J263">
            <v>3</v>
          </cell>
          <cell r="K263">
            <v>10</v>
          </cell>
          <cell r="L263" t="str">
            <v>[]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12</v>
          </cell>
          <cell r="R263" t="str">
            <v>2|1</v>
          </cell>
          <cell r="S263" t="str">
            <v>2|6</v>
          </cell>
          <cell r="T263">
            <v>10</v>
          </cell>
          <cell r="U263">
            <v>0</v>
          </cell>
          <cell r="V263">
            <v>0</v>
          </cell>
          <cell r="W263" t="str">
            <v>[]</v>
          </cell>
          <cell r="X263">
            <v>3</v>
          </cell>
          <cell r="Y263" t="str">
            <v>[]</v>
          </cell>
          <cell r="Z263" t="str">
            <v>0,1.533,0</v>
          </cell>
          <cell r="AA263">
            <v>0</v>
          </cell>
          <cell r="AB263">
            <v>6</v>
          </cell>
          <cell r="AC263" t="str">
            <v>[]</v>
          </cell>
          <cell r="AD263" t="str">
            <v>[]</v>
          </cell>
          <cell r="AE263" t="str">
            <v>[]</v>
          </cell>
          <cell r="AF263" t="str">
            <v>zhizhujing_skill04</v>
          </cell>
          <cell r="AG263" t="str">
            <v>common_hit_fashu</v>
          </cell>
          <cell r="AH263" t="str">
            <v>[]</v>
          </cell>
          <cell r="AI263" t="str">
            <v>[]</v>
          </cell>
          <cell r="AJ263" t="str">
            <v>[]</v>
          </cell>
          <cell r="AK263" t="str">
            <v>[]</v>
          </cell>
          <cell r="AL263" t="str">
            <v>[]</v>
          </cell>
          <cell r="AM263" t="str">
            <v>zhongduT6N0.1</v>
          </cell>
          <cell r="AN263">
            <v>2</v>
          </cell>
          <cell r="AO263">
            <v>0.63300000000000001</v>
          </cell>
          <cell r="AP263">
            <v>113707</v>
          </cell>
          <cell r="AQ263" t="str">
            <v>113707</v>
          </cell>
          <cell r="AR263" t="str">
            <v>[]</v>
          </cell>
          <cell r="AS263" t="str">
            <v>[]</v>
          </cell>
          <cell r="AT263" t="str">
            <v>1133</v>
          </cell>
          <cell r="AU263" t="str">
            <v>4300</v>
          </cell>
          <cell r="AV263" t="str">
            <v>蜘蛛精</v>
          </cell>
          <cell r="AW263" t="str">
            <v>41</v>
          </cell>
          <cell r="AX263">
            <v>1270</v>
          </cell>
          <cell r="AY263">
            <v>1</v>
          </cell>
          <cell r="BA263" t="str">
            <v>[]</v>
          </cell>
          <cell r="BE263" t="str">
            <v>[]</v>
          </cell>
          <cell r="BF263"/>
        </row>
        <row r="264">
          <cell r="A264" t="str">
            <v>hunshimowang_attack</v>
          </cell>
          <cell r="B264" t="str">
            <v>普攻</v>
          </cell>
          <cell r="C264" t="str">
            <v>普攻</v>
          </cell>
          <cell r="D264" t="str">
            <v>[]</v>
          </cell>
          <cell r="E264">
            <v>0</v>
          </cell>
          <cell r="F264" t="str">
            <v>[]</v>
          </cell>
          <cell r="G264" t="str">
            <v>近战攻击</v>
          </cell>
          <cell r="H264" t="str">
            <v>[]</v>
          </cell>
          <cell r="I264" t="str">
            <v>[]</v>
          </cell>
          <cell r="J264">
            <v>0</v>
          </cell>
          <cell r="K264">
            <v>1</v>
          </cell>
          <cell r="L264" t="str">
            <v>[]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3</v>
          </cell>
          <cell r="R264" t="str">
            <v>2|1</v>
          </cell>
          <cell r="S264" t="str">
            <v>4|0.2</v>
          </cell>
          <cell r="T264">
            <v>1</v>
          </cell>
          <cell r="U264">
            <v>1</v>
          </cell>
          <cell r="V264">
            <v>0</v>
          </cell>
          <cell r="W264" t="str">
            <v>[]</v>
          </cell>
          <cell r="X264">
            <v>0</v>
          </cell>
          <cell r="Y264" t="str">
            <v>[]</v>
          </cell>
          <cell r="Z264" t="str">
            <v>0,1,0</v>
          </cell>
          <cell r="AA264">
            <v>0</v>
          </cell>
          <cell r="AB264" t="str">
            <v>[]</v>
          </cell>
          <cell r="AC264" t="str">
            <v>[]</v>
          </cell>
          <cell r="AD264" t="str">
            <v>[]</v>
          </cell>
          <cell r="AE264" t="str">
            <v>[]</v>
          </cell>
          <cell r="AF264" t="str">
            <v>hunshimowang_attack</v>
          </cell>
          <cell r="AG264" t="str">
            <v>common_hit_dunqi</v>
          </cell>
          <cell r="AH264" t="str">
            <v>[]</v>
          </cell>
          <cell r="AI264" t="str">
            <v>[]</v>
          </cell>
          <cell r="AJ264" t="str">
            <v>[]</v>
          </cell>
          <cell r="AK264" t="str">
            <v>[]</v>
          </cell>
          <cell r="AL264" t="str">
            <v>[]</v>
          </cell>
          <cell r="AM264" t="str">
            <v>[]</v>
          </cell>
          <cell r="AN264">
            <v>1</v>
          </cell>
          <cell r="AO264">
            <v>0.38</v>
          </cell>
          <cell r="AP264">
            <v>113200</v>
          </cell>
          <cell r="AQ264" t="str">
            <v>113200</v>
          </cell>
          <cell r="AR264" t="str">
            <v>[]</v>
          </cell>
          <cell r="AS264" t="str">
            <v>[]</v>
          </cell>
          <cell r="AT264" t="str">
            <v>1133</v>
          </cell>
          <cell r="AU264" t="str">
            <v>4310</v>
          </cell>
          <cell r="AV264" t="str">
            <v>近战攻击</v>
          </cell>
          <cell r="AW264" t="str">
            <v>ck</v>
          </cell>
          <cell r="AX264" t="str">
            <v>[]</v>
          </cell>
          <cell r="AY264">
            <v>1</v>
          </cell>
          <cell r="BA264" t="str">
            <v>[]</v>
          </cell>
          <cell r="BE264" t="str">
            <v>[]</v>
          </cell>
          <cell r="BF264"/>
        </row>
        <row r="265">
          <cell r="A265" t="str">
            <v>hunshimowang_skill01</v>
          </cell>
          <cell r="B265" t="str">
            <v>飞沙走石</v>
          </cell>
          <cell r="C265" t="str">
            <v>召唤沙石漩涡，对范围内敌人造成主角攻击力@s的物伤，并降低敌人@s命中率，持续3秒</v>
          </cell>
          <cell r="D265" t="str">
            <v>[]</v>
          </cell>
          <cell r="E265">
            <v>0</v>
          </cell>
          <cell r="F265" t="str">
            <v>[]</v>
          </cell>
          <cell r="G265" t="str">
            <v>飞沙走石</v>
          </cell>
          <cell r="H265" t="str">
            <v>feishazoushi</v>
          </cell>
          <cell r="I265" t="str">
            <v>feishazoushi</v>
          </cell>
          <cell r="J265">
            <v>0</v>
          </cell>
          <cell r="K265">
            <v>10</v>
          </cell>
          <cell r="L265" t="str">
            <v>1|32</v>
          </cell>
          <cell r="M265">
            <v>2</v>
          </cell>
          <cell r="N265">
            <v>2</v>
          </cell>
          <cell r="O265">
            <v>2</v>
          </cell>
          <cell r="P265">
            <v>2</v>
          </cell>
          <cell r="Q265">
            <v>12</v>
          </cell>
          <cell r="R265" t="str">
            <v>2|1</v>
          </cell>
          <cell r="S265" t="str">
            <v>2|6</v>
          </cell>
          <cell r="T265">
            <v>10</v>
          </cell>
          <cell r="U265">
            <v>0</v>
          </cell>
          <cell r="V265">
            <v>0</v>
          </cell>
          <cell r="W265" t="str">
            <v>[]</v>
          </cell>
          <cell r="X265">
            <v>0</v>
          </cell>
          <cell r="Y265" t="str">
            <v>[]</v>
          </cell>
          <cell r="Z265" t="str">
            <v>0,1,0</v>
          </cell>
          <cell r="AA265">
            <v>0</v>
          </cell>
          <cell r="AB265" t="str">
            <v>12</v>
          </cell>
          <cell r="AC265" t="str">
            <v>[]</v>
          </cell>
          <cell r="AD265" t="str">
            <v>[]</v>
          </cell>
          <cell r="AE265" t="str">
            <v>[]</v>
          </cell>
          <cell r="AF265" t="str">
            <v>hunshimowang_skill01</v>
          </cell>
          <cell r="AG265" t="str">
            <v>common_hit_dunqi</v>
          </cell>
          <cell r="AH265" t="str">
            <v>[]</v>
          </cell>
          <cell r="AI265" t="str">
            <v>[]</v>
          </cell>
          <cell r="AJ265" t="str">
            <v>[]</v>
          </cell>
          <cell r="AK265" t="str">
            <v>[]</v>
          </cell>
          <cell r="AL265" t="str">
            <v>[]</v>
          </cell>
          <cell r="AM265" t="str">
            <v>mingzhongdownT3N0.2</v>
          </cell>
          <cell r="AN265">
            <v>1</v>
          </cell>
          <cell r="AO265">
            <v>0.5</v>
          </cell>
          <cell r="AP265">
            <v>113201</v>
          </cell>
          <cell r="AQ265" t="str">
            <v>113201,9020</v>
          </cell>
          <cell r="AR265" t="str">
            <v>[]</v>
          </cell>
          <cell r="AS265" t="str">
            <v>[]</v>
          </cell>
          <cell r="AT265" t="str">
            <v>1133</v>
          </cell>
          <cell r="AU265" t="str">
            <v>4320</v>
          </cell>
          <cell r="AV265" t="str">
            <v>混世魔王</v>
          </cell>
          <cell r="AW265" t="str">
            <v>01</v>
          </cell>
          <cell r="AX265" t="str">
            <v>[]</v>
          </cell>
          <cell r="AY265">
            <v>1</v>
          </cell>
          <cell r="BA265" t="str">
            <v>[]</v>
          </cell>
          <cell r="BE265" t="str">
            <v>[]</v>
          </cell>
          <cell r="BF265"/>
        </row>
        <row r="266">
          <cell r="A266" t="str">
            <v>hunshimowang_skill02</v>
          </cell>
          <cell r="B266" t="str">
            <v>狼牙重击</v>
          </cell>
          <cell r="C266" t="str">
            <v>挥舞狼牙棒对单体敌人造成自身攻击力@s的物伤</v>
          </cell>
          <cell r="D266" t="str">
            <v>[]</v>
          </cell>
          <cell r="E266">
            <v>2</v>
          </cell>
          <cell r="F266" t="str">
            <v>boss_warning_juxing</v>
          </cell>
          <cell r="G266" t="str">
            <v>混世魔王技能2</v>
          </cell>
          <cell r="H266" t="str">
            <v>hunshimowang_skill02</v>
          </cell>
          <cell r="I266" t="str">
            <v>[]</v>
          </cell>
          <cell r="J266">
            <v>1</v>
          </cell>
          <cell r="K266">
            <v>10</v>
          </cell>
          <cell r="L266" t="str">
            <v>[]</v>
          </cell>
          <cell r="M266">
            <v>2</v>
          </cell>
          <cell r="N266">
            <v>2</v>
          </cell>
          <cell r="O266">
            <v>1</v>
          </cell>
          <cell r="P266">
            <v>2</v>
          </cell>
          <cell r="Q266">
            <v>4</v>
          </cell>
          <cell r="R266" t="str">
            <v>2|1</v>
          </cell>
          <cell r="S266" t="str">
            <v>4|0.2</v>
          </cell>
          <cell r="T266">
            <v>1</v>
          </cell>
          <cell r="U266">
            <v>1</v>
          </cell>
          <cell r="V266">
            <v>0</v>
          </cell>
          <cell r="W266" t="str">
            <v>[]</v>
          </cell>
          <cell r="X266">
            <v>3</v>
          </cell>
          <cell r="Y266" t="str">
            <v>[]</v>
          </cell>
          <cell r="Z266" t="str">
            <v>0,2.0,0</v>
          </cell>
          <cell r="AA266">
            <v>0</v>
          </cell>
          <cell r="AB266">
            <v>6</v>
          </cell>
          <cell r="AC266" t="str">
            <v>[]</v>
          </cell>
          <cell r="AD266" t="str">
            <v>[]</v>
          </cell>
          <cell r="AE266" t="str">
            <v>[]</v>
          </cell>
          <cell r="AF266" t="str">
            <v>hunshimowang_skill02</v>
          </cell>
          <cell r="AG266" t="str">
            <v>common_hit_dunqi</v>
          </cell>
          <cell r="AH266" t="str">
            <v>[]</v>
          </cell>
          <cell r="AI266" t="str">
            <v>[]</v>
          </cell>
          <cell r="AJ266" t="str">
            <v>hunshimowang_zhenping</v>
          </cell>
          <cell r="AK266" t="str">
            <v>[]</v>
          </cell>
          <cell r="AL266" t="str">
            <v>[]</v>
          </cell>
          <cell r="AM266" t="str">
            <v>[]</v>
          </cell>
          <cell r="AN266">
            <v>1</v>
          </cell>
          <cell r="AO266">
            <v>1.2</v>
          </cell>
          <cell r="AP266">
            <v>113202</v>
          </cell>
          <cell r="AQ266" t="str">
            <v>113202</v>
          </cell>
          <cell r="AR266" t="str">
            <v>[]</v>
          </cell>
          <cell r="AS266" t="str">
            <v>[]</v>
          </cell>
          <cell r="AT266" t="str">
            <v>4090</v>
          </cell>
          <cell r="AU266" t="str">
            <v>4330</v>
          </cell>
          <cell r="AV266" t="str">
            <v>混世魔王</v>
          </cell>
          <cell r="AW266" t="str">
            <v>02</v>
          </cell>
          <cell r="AX266" t="str">
            <v>[]</v>
          </cell>
          <cell r="AY266">
            <v>1</v>
          </cell>
          <cell r="BA266" t="str">
            <v>[]</v>
          </cell>
          <cell r="BE266" t="str">
            <v>[]</v>
          </cell>
          <cell r="BF266"/>
        </row>
        <row r="267">
          <cell r="A267" t="str">
            <v>hunshimowang_skill03</v>
          </cell>
          <cell r="B267" t="str">
            <v>筋肉</v>
          </cell>
          <cell r="C267" t="str">
            <v>进入战斗场景后，降低自身受到伤害@s</v>
          </cell>
          <cell r="D267">
            <v>1262</v>
          </cell>
          <cell r="E267">
            <v>0</v>
          </cell>
          <cell r="F267" t="str">
            <v>[]</v>
          </cell>
          <cell r="G267" t="str">
            <v>混世魔王被动技能</v>
          </cell>
          <cell r="H267" t="str">
            <v>fanshang</v>
          </cell>
          <cell r="I267" t="str">
            <v>[]</v>
          </cell>
          <cell r="J267">
            <v>2</v>
          </cell>
          <cell r="K267">
            <v>10</v>
          </cell>
          <cell r="L267" t="str">
            <v>[]</v>
          </cell>
          <cell r="M267">
            <v>2</v>
          </cell>
          <cell r="N267">
            <v>2</v>
          </cell>
          <cell r="O267">
            <v>3</v>
          </cell>
          <cell r="P267">
            <v>0</v>
          </cell>
          <cell r="Q267">
            <v>12</v>
          </cell>
          <cell r="R267">
            <v>1</v>
          </cell>
          <cell r="S267" t="str">
            <v>4|0.2</v>
          </cell>
          <cell r="T267">
            <v>1</v>
          </cell>
          <cell r="U267">
            <v>0</v>
          </cell>
          <cell r="V267">
            <v>0</v>
          </cell>
          <cell r="W267" t="str">
            <v>[]</v>
          </cell>
          <cell r="X267">
            <v>0</v>
          </cell>
          <cell r="Y267" t="str">
            <v>[]</v>
          </cell>
          <cell r="Z267" t="str">
            <v>0,0,0</v>
          </cell>
          <cell r="AA267">
            <v>0</v>
          </cell>
          <cell r="AB267" t="str">
            <v>[]</v>
          </cell>
          <cell r="AC267" t="str">
            <v>[]</v>
          </cell>
          <cell r="AD267" t="str">
            <v>[]</v>
          </cell>
          <cell r="AE267" t="str">
            <v>[]</v>
          </cell>
          <cell r="AF267" t="str">
            <v>[]</v>
          </cell>
          <cell r="AG267" t="str">
            <v>[]</v>
          </cell>
          <cell r="AH267" t="str">
            <v>[]</v>
          </cell>
          <cell r="AI267" t="str">
            <v>[]</v>
          </cell>
          <cell r="AJ267" t="str">
            <v>[]</v>
          </cell>
          <cell r="AK267" t="str">
            <v>[]</v>
          </cell>
          <cell r="AL267" t="str">
            <v>hpupTN0.2b</v>
          </cell>
          <cell r="AM267" t="str">
            <v>[]</v>
          </cell>
          <cell r="AN267">
            <v>0</v>
          </cell>
          <cell r="AO267" t="str">
            <v>[]</v>
          </cell>
          <cell r="AP267" t="str">
            <v>[]</v>
          </cell>
          <cell r="AQ267" t="str">
            <v>9020</v>
          </cell>
          <cell r="AR267" t="str">
            <v>[]</v>
          </cell>
          <cell r="AS267" t="str">
            <v>[]</v>
          </cell>
          <cell r="AT267" t="str">
            <v>1133</v>
          </cell>
          <cell r="AU267" t="str">
            <v>4340</v>
          </cell>
          <cell r="AV267" t="str">
            <v>混世魔王</v>
          </cell>
          <cell r="AW267" t="str">
            <v>03</v>
          </cell>
          <cell r="AX267">
            <v>1262</v>
          </cell>
          <cell r="AY267">
            <v>1</v>
          </cell>
          <cell r="BA267" t="str">
            <v>[]</v>
          </cell>
          <cell r="BE267" t="str">
            <v>[]</v>
          </cell>
          <cell r="BF267"/>
        </row>
        <row r="268">
          <cell r="A268" t="str">
            <v>hunshimowang_skill04</v>
          </cell>
          <cell r="B268" t="str">
            <v>野蛮冲撞</v>
          </cell>
          <cell r="C268" t="str">
            <v>发动短距离重逢，对范围内敌人造成自身攻击力@s的物伤，40%的概率撞晕对手</v>
          </cell>
          <cell r="D268">
            <v>1264</v>
          </cell>
          <cell r="E268">
            <v>2</v>
          </cell>
          <cell r="F268" t="str">
            <v>boss_warning_juxing</v>
          </cell>
          <cell r="G268" t="str">
            <v>混世魔王技能4</v>
          </cell>
          <cell r="H268" t="str">
            <v>hunshimowang_skill04</v>
          </cell>
          <cell r="I268" t="str">
            <v>[]</v>
          </cell>
          <cell r="J268">
            <v>3</v>
          </cell>
          <cell r="K268">
            <v>10</v>
          </cell>
          <cell r="L268" t="str">
            <v>[]</v>
          </cell>
          <cell r="M268">
            <v>2</v>
          </cell>
          <cell r="N268">
            <v>2</v>
          </cell>
          <cell r="O268">
            <v>1</v>
          </cell>
          <cell r="P268">
            <v>2</v>
          </cell>
          <cell r="Q268">
            <v>4</v>
          </cell>
          <cell r="R268" t="str">
            <v>2|1</v>
          </cell>
          <cell r="S268" t="str">
            <v>4|0.2</v>
          </cell>
          <cell r="T268">
            <v>1</v>
          </cell>
          <cell r="U268">
            <v>1</v>
          </cell>
          <cell r="V268">
            <v>0</v>
          </cell>
          <cell r="W268" t="str">
            <v>[]</v>
          </cell>
          <cell r="X268">
            <v>3</v>
          </cell>
          <cell r="Y268" t="str">
            <v>[]</v>
          </cell>
          <cell r="Z268" t="str">
            <v>0,2,0</v>
          </cell>
          <cell r="AA268">
            <v>0</v>
          </cell>
          <cell r="AB268">
            <v>6</v>
          </cell>
          <cell r="AC268" t="str">
            <v>[]</v>
          </cell>
          <cell r="AD268" t="str">
            <v>[]</v>
          </cell>
          <cell r="AE268" t="str">
            <v>[]</v>
          </cell>
          <cell r="AF268" t="str">
            <v>hunshimowang_skill04</v>
          </cell>
          <cell r="AG268" t="str">
            <v>common_hit_dunqi</v>
          </cell>
          <cell r="AH268" t="str">
            <v>[]</v>
          </cell>
          <cell r="AI268" t="str">
            <v>[]</v>
          </cell>
          <cell r="AJ268" t="str">
            <v>[]</v>
          </cell>
          <cell r="AK268" t="str">
            <v>yunxuanT1NP0.4</v>
          </cell>
          <cell r="AL268" t="str">
            <v>hpmaxhuifu2T2</v>
          </cell>
          <cell r="AM268" t="str">
            <v>[]</v>
          </cell>
          <cell r="AN268">
            <v>1</v>
          </cell>
          <cell r="AO268">
            <v>0.3</v>
          </cell>
          <cell r="AP268">
            <v>113204</v>
          </cell>
          <cell r="AQ268" t="str">
            <v>113204</v>
          </cell>
          <cell r="AR268" t="str">
            <v>[]</v>
          </cell>
          <cell r="AS268" t="str">
            <v>[]</v>
          </cell>
          <cell r="AT268" t="str">
            <v>1135</v>
          </cell>
          <cell r="AU268" t="str">
            <v>4350</v>
          </cell>
          <cell r="AV268" t="str">
            <v>混世魔王</v>
          </cell>
          <cell r="AW268" t="str">
            <v>04</v>
          </cell>
          <cell r="AX268">
            <v>1264</v>
          </cell>
          <cell r="AY268">
            <v>1</v>
          </cell>
          <cell r="AZ268">
            <v>0.4</v>
          </cell>
          <cell r="BA268">
            <v>0.4</v>
          </cell>
          <cell r="BE268">
            <v>0.4</v>
          </cell>
          <cell r="BF268"/>
        </row>
        <row r="269">
          <cell r="A269" t="str">
            <v>hunshimowang_skill011</v>
          </cell>
          <cell r="B269" t="str">
            <v>奥义·飞沙走石</v>
          </cell>
          <cell r="C269" t="str">
            <v>召唤沙石漩涡，对范围内敌人造成主角攻击力@s的物伤，并降低敌人@s命中率，持续3秒</v>
          </cell>
          <cell r="D269">
            <v>1266</v>
          </cell>
          <cell r="E269">
            <v>0</v>
          </cell>
          <cell r="F269" t="str">
            <v>[]</v>
          </cell>
          <cell r="G269" t="str">
            <v>飞沙走石</v>
          </cell>
          <cell r="H269" t="str">
            <v>feishazoushi</v>
          </cell>
          <cell r="I269" t="str">
            <v>feishazoushi</v>
          </cell>
          <cell r="J269">
            <v>0</v>
          </cell>
          <cell r="K269">
            <v>10</v>
          </cell>
          <cell r="L269" t="str">
            <v>1|32</v>
          </cell>
          <cell r="M269">
            <v>2</v>
          </cell>
          <cell r="N269">
            <v>2</v>
          </cell>
          <cell r="O269">
            <v>2</v>
          </cell>
          <cell r="P269">
            <v>2</v>
          </cell>
          <cell r="Q269">
            <v>12</v>
          </cell>
          <cell r="R269" t="str">
            <v>2|1</v>
          </cell>
          <cell r="S269" t="str">
            <v>2|6</v>
          </cell>
          <cell r="T269">
            <v>10</v>
          </cell>
          <cell r="U269">
            <v>0</v>
          </cell>
          <cell r="V269">
            <v>0</v>
          </cell>
          <cell r="W269" t="str">
            <v>[]</v>
          </cell>
          <cell r="X269">
            <v>0</v>
          </cell>
          <cell r="Y269" t="str">
            <v>[]</v>
          </cell>
          <cell r="Z269" t="str">
            <v>0,1,0</v>
          </cell>
          <cell r="AA269">
            <v>0</v>
          </cell>
          <cell r="AB269" t="str">
            <v>12</v>
          </cell>
          <cell r="AC269" t="str">
            <v>[]</v>
          </cell>
          <cell r="AD269" t="str">
            <v>[]</v>
          </cell>
          <cell r="AE269" t="str">
            <v>[]</v>
          </cell>
          <cell r="AF269" t="str">
            <v>hunshimowang_skill01</v>
          </cell>
          <cell r="AG269" t="str">
            <v>common_hit_dunqi</v>
          </cell>
          <cell r="AH269" t="str">
            <v>[]</v>
          </cell>
          <cell r="AI269" t="str">
            <v>[]</v>
          </cell>
          <cell r="AJ269" t="str">
            <v>[]</v>
          </cell>
          <cell r="AK269" t="str">
            <v>[]</v>
          </cell>
          <cell r="AL269" t="str">
            <v>[]</v>
          </cell>
          <cell r="AM269" t="str">
            <v>mingzhongdownT3N0.2</v>
          </cell>
          <cell r="AN269">
            <v>1</v>
          </cell>
          <cell r="AO269">
            <v>0.5</v>
          </cell>
          <cell r="AP269">
            <v>113205</v>
          </cell>
          <cell r="AQ269" t="str">
            <v>113205,9020</v>
          </cell>
          <cell r="AR269" t="str">
            <v>[]</v>
          </cell>
          <cell r="AS269" t="str">
            <v>[]</v>
          </cell>
          <cell r="AT269" t="str">
            <v>9020</v>
          </cell>
          <cell r="AU269" t="str">
            <v>4320</v>
          </cell>
          <cell r="AV269" t="str">
            <v>混世魔王</v>
          </cell>
          <cell r="AW269" t="str">
            <v>11</v>
          </cell>
          <cell r="AX269">
            <v>1266</v>
          </cell>
          <cell r="AY269">
            <v>1</v>
          </cell>
          <cell r="BA269" t="str">
            <v>[]</v>
          </cell>
          <cell r="BE269" t="str">
            <v>[]</v>
          </cell>
          <cell r="BF269"/>
        </row>
        <row r="270">
          <cell r="A270" t="str">
            <v>hunshimowang_skill021</v>
          </cell>
          <cell r="B270" t="str">
            <v>奥义·狼牙重击</v>
          </cell>
          <cell r="C270" t="str">
            <v>挥舞狼牙棒对单体敌人造成自身攻击力@s的物伤</v>
          </cell>
          <cell r="D270">
            <v>1268</v>
          </cell>
          <cell r="E270">
            <v>2</v>
          </cell>
          <cell r="F270" t="str">
            <v>boss_warning_juxing</v>
          </cell>
          <cell r="G270" t="str">
            <v>混世魔王技能2</v>
          </cell>
          <cell r="H270" t="str">
            <v>hunshimowang_skill02</v>
          </cell>
          <cell r="I270" t="str">
            <v>[]</v>
          </cell>
          <cell r="J270">
            <v>1</v>
          </cell>
          <cell r="K270">
            <v>10</v>
          </cell>
          <cell r="L270" t="str">
            <v>[]</v>
          </cell>
          <cell r="M270">
            <v>2</v>
          </cell>
          <cell r="N270">
            <v>2</v>
          </cell>
          <cell r="O270">
            <v>1</v>
          </cell>
          <cell r="P270">
            <v>2</v>
          </cell>
          <cell r="Q270">
            <v>4</v>
          </cell>
          <cell r="R270" t="str">
            <v>2|1</v>
          </cell>
          <cell r="S270" t="str">
            <v>4|0.2</v>
          </cell>
          <cell r="T270">
            <v>1</v>
          </cell>
          <cell r="U270">
            <v>1</v>
          </cell>
          <cell r="V270">
            <v>0</v>
          </cell>
          <cell r="W270" t="str">
            <v>[]</v>
          </cell>
          <cell r="X270">
            <v>3</v>
          </cell>
          <cell r="Y270" t="str">
            <v>[]</v>
          </cell>
          <cell r="Z270" t="str">
            <v>0,2.0,0</v>
          </cell>
          <cell r="AA270">
            <v>0</v>
          </cell>
          <cell r="AB270">
            <v>6</v>
          </cell>
          <cell r="AC270" t="str">
            <v>[]</v>
          </cell>
          <cell r="AD270" t="str">
            <v>[]</v>
          </cell>
          <cell r="AE270" t="str">
            <v>[]</v>
          </cell>
          <cell r="AF270" t="str">
            <v>hunshimowang_skill02</v>
          </cell>
          <cell r="AG270" t="str">
            <v>common_hit_dunqi</v>
          </cell>
          <cell r="AH270" t="str">
            <v>[]</v>
          </cell>
          <cell r="AI270" t="str">
            <v>[]</v>
          </cell>
          <cell r="AJ270" t="str">
            <v>hunshimowang_zhenping</v>
          </cell>
          <cell r="AK270" t="str">
            <v>[]</v>
          </cell>
          <cell r="AL270" t="str">
            <v>[]</v>
          </cell>
          <cell r="AM270" t="str">
            <v>[]</v>
          </cell>
          <cell r="AN270">
            <v>1</v>
          </cell>
          <cell r="AO270">
            <v>1.2</v>
          </cell>
          <cell r="AP270">
            <v>113206</v>
          </cell>
          <cell r="AQ270" t="str">
            <v>113206</v>
          </cell>
          <cell r="AR270" t="str">
            <v>[]</v>
          </cell>
          <cell r="AS270" t="str">
            <v>[]</v>
          </cell>
          <cell r="AT270" t="str">
            <v>1135</v>
          </cell>
          <cell r="AU270" t="str">
            <v>4330</v>
          </cell>
          <cell r="AV270" t="str">
            <v>混世魔王</v>
          </cell>
          <cell r="AW270" t="str">
            <v>21</v>
          </cell>
          <cell r="AX270">
            <v>1268</v>
          </cell>
          <cell r="AY270">
            <v>1</v>
          </cell>
          <cell r="BA270" t="str">
            <v>[]</v>
          </cell>
          <cell r="BE270" t="str">
            <v>[]</v>
          </cell>
          <cell r="BF270"/>
        </row>
        <row r="271">
          <cell r="A271" t="str">
            <v>hunshimowang_skill041</v>
          </cell>
          <cell r="B271" t="str">
            <v>奥义·野蛮冲撞</v>
          </cell>
          <cell r="C271" t="str">
            <v>发动短距离重逢，对范围内敌人造成自身攻击力@s的物伤，60%的概率撞晕对手</v>
          </cell>
          <cell r="D271">
            <v>1270</v>
          </cell>
          <cell r="E271">
            <v>2</v>
          </cell>
          <cell r="F271" t="str">
            <v>boss_warning_juxing</v>
          </cell>
          <cell r="G271" t="str">
            <v>混世魔王技能4</v>
          </cell>
          <cell r="H271" t="str">
            <v>hunshimowang_skill04</v>
          </cell>
          <cell r="I271" t="str">
            <v>[]</v>
          </cell>
          <cell r="J271">
            <v>3</v>
          </cell>
          <cell r="K271">
            <v>10</v>
          </cell>
          <cell r="L271" t="str">
            <v>[]</v>
          </cell>
          <cell r="M271">
            <v>2</v>
          </cell>
          <cell r="N271">
            <v>2</v>
          </cell>
          <cell r="O271">
            <v>1</v>
          </cell>
          <cell r="P271">
            <v>2</v>
          </cell>
          <cell r="Q271">
            <v>4</v>
          </cell>
          <cell r="R271" t="str">
            <v>2|1</v>
          </cell>
          <cell r="S271" t="str">
            <v>4|0.2</v>
          </cell>
          <cell r="T271">
            <v>1</v>
          </cell>
          <cell r="U271">
            <v>1</v>
          </cell>
          <cell r="V271">
            <v>0</v>
          </cell>
          <cell r="W271" t="str">
            <v>[]</v>
          </cell>
          <cell r="X271">
            <v>3</v>
          </cell>
          <cell r="Y271" t="str">
            <v>[]</v>
          </cell>
          <cell r="Z271" t="str">
            <v>0,2,0</v>
          </cell>
          <cell r="AA271">
            <v>0</v>
          </cell>
          <cell r="AB271">
            <v>6</v>
          </cell>
          <cell r="AC271" t="str">
            <v>[]</v>
          </cell>
          <cell r="AD271" t="str">
            <v>[]</v>
          </cell>
          <cell r="AE271" t="str">
            <v>[]</v>
          </cell>
          <cell r="AF271" t="str">
            <v>hunshimowang_skill04</v>
          </cell>
          <cell r="AG271" t="str">
            <v>common_hit_dunqi</v>
          </cell>
          <cell r="AH271" t="str">
            <v>[]</v>
          </cell>
          <cell r="AI271" t="str">
            <v>[]</v>
          </cell>
          <cell r="AJ271" t="str">
            <v>[]</v>
          </cell>
          <cell r="AK271" t="str">
            <v>yunxuanT1NP0.6</v>
          </cell>
          <cell r="AL271" t="str">
            <v>hpmaxhuifu3T2</v>
          </cell>
          <cell r="AM271" t="str">
            <v>[]</v>
          </cell>
          <cell r="AN271">
            <v>1</v>
          </cell>
          <cell r="AO271">
            <v>0.3</v>
          </cell>
          <cell r="AP271">
            <v>113207</v>
          </cell>
          <cell r="AQ271" t="str">
            <v>113207</v>
          </cell>
          <cell r="AR271" t="str">
            <v>[]</v>
          </cell>
          <cell r="AS271" t="str">
            <v>[]</v>
          </cell>
          <cell r="AT271" t="str">
            <v>9015</v>
          </cell>
          <cell r="AU271" t="str">
            <v>4350</v>
          </cell>
          <cell r="AV271" t="str">
            <v>混世魔王</v>
          </cell>
          <cell r="AW271" t="str">
            <v>41</v>
          </cell>
          <cell r="AX271">
            <v>1270</v>
          </cell>
          <cell r="AY271">
            <v>1</v>
          </cell>
          <cell r="AZ271">
            <v>0.6</v>
          </cell>
          <cell r="BA271">
            <v>0.6</v>
          </cell>
          <cell r="BE271">
            <v>0.6</v>
          </cell>
          <cell r="BF271"/>
        </row>
        <row r="272">
          <cell r="A272" t="str">
            <v>xiezijing_attack</v>
          </cell>
          <cell r="B272" t="str">
            <v>蝎子精</v>
          </cell>
          <cell r="C272" t="str">
            <v>普攻</v>
          </cell>
          <cell r="D272" t="str">
            <v>[]</v>
          </cell>
          <cell r="E272">
            <v>0</v>
          </cell>
          <cell r="F272" t="str">
            <v>[]</v>
          </cell>
          <cell r="G272" t="str">
            <v>蝎子精远程攻击</v>
          </cell>
          <cell r="H272" t="str">
            <v>[]</v>
          </cell>
          <cell r="I272" t="str">
            <v>[]</v>
          </cell>
          <cell r="J272">
            <v>0</v>
          </cell>
          <cell r="K272">
            <v>1</v>
          </cell>
          <cell r="L272" t="str">
            <v>[]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10</v>
          </cell>
          <cell r="R272" t="str">
            <v>2|1</v>
          </cell>
          <cell r="S272" t="str">
            <v>4|0.2</v>
          </cell>
          <cell r="T272">
            <v>1</v>
          </cell>
          <cell r="U272">
            <v>1</v>
          </cell>
          <cell r="V272">
            <v>0</v>
          </cell>
          <cell r="W272" t="str">
            <v>[]</v>
          </cell>
          <cell r="X272">
            <v>0</v>
          </cell>
          <cell r="Y272" t="str">
            <v>[]</v>
          </cell>
          <cell r="Z272" t="str">
            <v>0,1,0</v>
          </cell>
          <cell r="AA272">
            <v>0</v>
          </cell>
          <cell r="AB272" t="str">
            <v>[]</v>
          </cell>
          <cell r="AC272" t="str">
            <v>[]</v>
          </cell>
          <cell r="AD272" t="str">
            <v>[]</v>
          </cell>
          <cell r="AE272" t="str">
            <v>[]</v>
          </cell>
          <cell r="AF272" t="str">
            <v>xiezijing_attack</v>
          </cell>
          <cell r="AG272" t="str">
            <v>common_hit_fashu</v>
          </cell>
          <cell r="AH272" t="str">
            <v>[]</v>
          </cell>
          <cell r="AI272" t="str">
            <v>[]</v>
          </cell>
          <cell r="AJ272" t="str">
            <v>[]</v>
          </cell>
          <cell r="AK272" t="str">
            <v>[]</v>
          </cell>
          <cell r="AL272" t="str">
            <v>[]</v>
          </cell>
          <cell r="AM272" t="str">
            <v>[]</v>
          </cell>
          <cell r="AN272">
            <v>2</v>
          </cell>
          <cell r="AO272" t="str">
            <v>[]</v>
          </cell>
          <cell r="AP272">
            <v>113100</v>
          </cell>
          <cell r="AQ272" t="str">
            <v>113100</v>
          </cell>
          <cell r="AR272" t="str">
            <v>[]</v>
          </cell>
          <cell r="AS272" t="str">
            <v>[]</v>
          </cell>
          <cell r="AT272" t="str">
            <v>1135</v>
          </cell>
          <cell r="AU272" t="str">
            <v>4560</v>
          </cell>
          <cell r="AV272" t="str">
            <v>蝎子精远程攻击</v>
          </cell>
          <cell r="AW272" t="str">
            <v>ck</v>
          </cell>
          <cell r="AX272" t="str">
            <v>[]</v>
          </cell>
          <cell r="AY272">
            <v>1</v>
          </cell>
          <cell r="BA272" t="str">
            <v>[]</v>
          </cell>
          <cell r="BE272" t="str">
            <v>[]</v>
          </cell>
          <cell r="BF272"/>
        </row>
        <row r="273">
          <cell r="A273" t="str">
            <v>xiezijing_skill01</v>
          </cell>
          <cell r="B273" t="str">
            <v>魔音灌耳</v>
          </cell>
          <cell r="C273" t="str">
            <v>释放弹奏的魔音，对全体敌人造成主角攻击力@s的法伤</v>
          </cell>
          <cell r="D273" t="str">
            <v>[]</v>
          </cell>
          <cell r="E273">
            <v>0</v>
          </cell>
          <cell r="F273" t="str">
            <v>[]</v>
          </cell>
          <cell r="G273" t="str">
            <v>蝎子精核心技能</v>
          </cell>
          <cell r="H273" t="str">
            <v>xiezijing_skill01</v>
          </cell>
          <cell r="I273" t="str">
            <v>xiezijing_skill01</v>
          </cell>
          <cell r="J273">
            <v>0</v>
          </cell>
          <cell r="K273">
            <v>10</v>
          </cell>
          <cell r="L273" t="str">
            <v>1|47</v>
          </cell>
          <cell r="M273">
            <v>2</v>
          </cell>
          <cell r="N273">
            <v>2</v>
          </cell>
          <cell r="O273">
            <v>1</v>
          </cell>
          <cell r="P273">
            <v>2</v>
          </cell>
          <cell r="Q273">
            <v>12</v>
          </cell>
          <cell r="R273" t="str">
            <v>2|1</v>
          </cell>
          <cell r="S273" t="str">
            <v>2|6</v>
          </cell>
          <cell r="T273">
            <v>10</v>
          </cell>
          <cell r="U273">
            <v>0</v>
          </cell>
          <cell r="V273">
            <v>0</v>
          </cell>
          <cell r="W273" t="str">
            <v>[]</v>
          </cell>
          <cell r="X273">
            <v>0</v>
          </cell>
          <cell r="Y273" t="str">
            <v>[]</v>
          </cell>
          <cell r="Z273" t="str">
            <v>0,1,0</v>
          </cell>
          <cell r="AA273">
            <v>0</v>
          </cell>
          <cell r="AB273" t="str">
            <v>12</v>
          </cell>
          <cell r="AC273" t="str">
            <v>[]</v>
          </cell>
          <cell r="AD273" t="str">
            <v>[]</v>
          </cell>
          <cell r="AE273" t="str">
            <v>[]</v>
          </cell>
          <cell r="AF273" t="str">
            <v>xiezijing_skill01</v>
          </cell>
          <cell r="AG273" t="str">
            <v>[]</v>
          </cell>
          <cell r="AH273" t="str">
            <v>[]</v>
          </cell>
          <cell r="AI273" t="str">
            <v>[]</v>
          </cell>
          <cell r="AJ273" t="str">
            <v>[]</v>
          </cell>
          <cell r="AK273" t="str">
            <v>[]</v>
          </cell>
          <cell r="AL273" t="str">
            <v>[]</v>
          </cell>
          <cell r="AM273" t="str">
            <v>[]</v>
          </cell>
          <cell r="AN273">
            <v>2</v>
          </cell>
          <cell r="AO273">
            <v>-2</v>
          </cell>
          <cell r="AP273">
            <v>113101</v>
          </cell>
          <cell r="AQ273" t="str">
            <v>113101</v>
          </cell>
          <cell r="AR273" t="str">
            <v>[]</v>
          </cell>
          <cell r="AS273" t="str">
            <v>[]</v>
          </cell>
          <cell r="AT273" t="str">
            <v>9030</v>
          </cell>
          <cell r="AU273" t="str">
            <v>4574</v>
          </cell>
          <cell r="AV273" t="str">
            <v>蝎子精</v>
          </cell>
          <cell r="AW273" t="str">
            <v>01</v>
          </cell>
          <cell r="AX273" t="str">
            <v>[]</v>
          </cell>
          <cell r="AY273">
            <v>1</v>
          </cell>
          <cell r="BA273" t="str">
            <v>[]</v>
          </cell>
          <cell r="BE273" t="str">
            <v>[]</v>
          </cell>
          <cell r="BF273"/>
        </row>
        <row r="274">
          <cell r="A274" t="str">
            <v>xiezijing_skill02</v>
          </cell>
          <cell r="B274" t="str">
            <v>彩云流风</v>
          </cell>
          <cell r="C274" t="str">
            <v>拨弦产生一道旋风，对范围内敌人造成自身攻击力@s的法伤，20%的概率魅惑目标2秒[被魅惑目标攻击敌方同伴]</v>
          </cell>
          <cell r="D274" t="str">
            <v>[]</v>
          </cell>
          <cell r="E274">
            <v>2</v>
          </cell>
          <cell r="F274" t="str">
            <v>boss_warning_juxing</v>
          </cell>
          <cell r="G274" t="str">
            <v>蝎子精技能2</v>
          </cell>
          <cell r="H274" t="str">
            <v>xiezijing_skill02</v>
          </cell>
          <cell r="I274" t="str">
            <v>[]</v>
          </cell>
          <cell r="J274">
            <v>1</v>
          </cell>
          <cell r="K274">
            <v>10</v>
          </cell>
          <cell r="L274" t="str">
            <v>[]</v>
          </cell>
          <cell r="M274">
            <v>2</v>
          </cell>
          <cell r="N274">
            <v>2</v>
          </cell>
          <cell r="O274">
            <v>1</v>
          </cell>
          <cell r="P274">
            <v>2</v>
          </cell>
          <cell r="Q274">
            <v>12</v>
          </cell>
          <cell r="R274" t="str">
            <v>2|1</v>
          </cell>
          <cell r="S274" t="str">
            <v>1|10|6</v>
          </cell>
          <cell r="T274">
            <v>10</v>
          </cell>
          <cell r="U274">
            <v>1</v>
          </cell>
          <cell r="V274">
            <v>0</v>
          </cell>
          <cell r="W274" t="str">
            <v>[]</v>
          </cell>
          <cell r="X274">
            <v>3</v>
          </cell>
          <cell r="Y274" t="str">
            <v>[]</v>
          </cell>
          <cell r="Z274" t="str">
            <v>0,2,0</v>
          </cell>
          <cell r="AA274">
            <v>0</v>
          </cell>
          <cell r="AB274">
            <v>6</v>
          </cell>
          <cell r="AC274" t="str">
            <v>[]</v>
          </cell>
          <cell r="AD274" t="str">
            <v>[]</v>
          </cell>
          <cell r="AE274" t="str">
            <v>[]</v>
          </cell>
          <cell r="AF274" t="str">
            <v>xiezijing_skill02</v>
          </cell>
          <cell r="AG274" t="str">
            <v>common_hit_fashu</v>
          </cell>
          <cell r="AH274" t="str">
            <v>[]</v>
          </cell>
          <cell r="AI274" t="str">
            <v>[]</v>
          </cell>
          <cell r="AJ274" t="str">
            <v>[]</v>
          </cell>
          <cell r="AK274" t="str">
            <v>meihuoT2NP0.2</v>
          </cell>
          <cell r="AL274" t="str">
            <v>[]</v>
          </cell>
          <cell r="AM274" t="str">
            <v>[]</v>
          </cell>
          <cell r="AN274">
            <v>1</v>
          </cell>
          <cell r="AO274">
            <v>0.5</v>
          </cell>
          <cell r="AP274">
            <v>113102</v>
          </cell>
          <cell r="AQ274" t="str">
            <v>113102</v>
          </cell>
          <cell r="AR274" t="str">
            <v>[]</v>
          </cell>
          <cell r="AS274" t="str">
            <v>[]</v>
          </cell>
          <cell r="AT274" t="str">
            <v>1135</v>
          </cell>
          <cell r="AU274" t="str">
            <v>4580</v>
          </cell>
          <cell r="AV274" t="str">
            <v>蝎子精</v>
          </cell>
          <cell r="AW274" t="str">
            <v>02</v>
          </cell>
          <cell r="AX274" t="str">
            <v>[]</v>
          </cell>
          <cell r="AY274">
            <v>1</v>
          </cell>
          <cell r="AZ274">
            <v>0.2</v>
          </cell>
          <cell r="BA274">
            <v>0.2</v>
          </cell>
          <cell r="BE274">
            <v>0.2</v>
          </cell>
          <cell r="BF274"/>
        </row>
        <row r="275">
          <cell r="A275" t="str">
            <v>xiezijing_skill03</v>
          </cell>
          <cell r="B275" t="str">
            <v>蝎尾</v>
          </cell>
          <cell r="C275" t="str">
            <v>进入战斗场景时，提升自身暴击率@s</v>
          </cell>
          <cell r="D275">
            <v>1262</v>
          </cell>
          <cell r="E275">
            <v>0</v>
          </cell>
          <cell r="F275" t="str">
            <v>[]</v>
          </cell>
          <cell r="G275" t="str">
            <v>蝎子精被动技能</v>
          </cell>
          <cell r="H275" t="str">
            <v>jianqi</v>
          </cell>
          <cell r="I275" t="str">
            <v>[]</v>
          </cell>
          <cell r="J275">
            <v>2</v>
          </cell>
          <cell r="K275">
            <v>10</v>
          </cell>
          <cell r="L275" t="str">
            <v>[]</v>
          </cell>
          <cell r="M275">
            <v>2</v>
          </cell>
          <cell r="N275">
            <v>2</v>
          </cell>
          <cell r="O275">
            <v>3</v>
          </cell>
          <cell r="P275">
            <v>0</v>
          </cell>
          <cell r="Q275">
            <v>12</v>
          </cell>
          <cell r="R275">
            <v>1</v>
          </cell>
          <cell r="S275" t="str">
            <v>4|0.2</v>
          </cell>
          <cell r="T275">
            <v>10</v>
          </cell>
          <cell r="U275">
            <v>0</v>
          </cell>
          <cell r="V275">
            <v>0</v>
          </cell>
          <cell r="W275" t="str">
            <v>[]</v>
          </cell>
          <cell r="X275">
            <v>0</v>
          </cell>
          <cell r="Y275" t="str">
            <v>[]</v>
          </cell>
          <cell r="Z275" t="str">
            <v>0,0,0</v>
          </cell>
          <cell r="AA275">
            <v>0</v>
          </cell>
          <cell r="AB275" t="str">
            <v>[]</v>
          </cell>
          <cell r="AC275" t="str">
            <v>[]</v>
          </cell>
          <cell r="AD275" t="str">
            <v>[]</v>
          </cell>
          <cell r="AE275" t="str">
            <v>[]</v>
          </cell>
          <cell r="AF275" t="str">
            <v>[]</v>
          </cell>
          <cell r="AG275" t="str">
            <v>[]</v>
          </cell>
          <cell r="AH275" t="str">
            <v>[]</v>
          </cell>
          <cell r="AI275" t="str">
            <v>[]</v>
          </cell>
          <cell r="AJ275" t="str">
            <v>[]</v>
          </cell>
          <cell r="AK275" t="str">
            <v>[]</v>
          </cell>
          <cell r="AL275" t="str">
            <v>baojiupT6N0.2b</v>
          </cell>
          <cell r="AM275" t="str">
            <v>[]</v>
          </cell>
          <cell r="AN275">
            <v>0</v>
          </cell>
          <cell r="AO275" t="str">
            <v>[]</v>
          </cell>
          <cell r="AP275" t="str">
            <v>[]</v>
          </cell>
          <cell r="AQ275" t="str">
            <v>9015</v>
          </cell>
          <cell r="AR275" t="str">
            <v>[]</v>
          </cell>
          <cell r="AS275" t="str">
            <v>[]</v>
          </cell>
          <cell r="AT275" t="str">
            <v>1135</v>
          </cell>
          <cell r="AU275" t="str">
            <v>4591</v>
          </cell>
          <cell r="AV275" t="str">
            <v>蝎子精</v>
          </cell>
          <cell r="AW275" t="str">
            <v>03</v>
          </cell>
          <cell r="AX275">
            <v>1262</v>
          </cell>
          <cell r="AY275">
            <v>1</v>
          </cell>
          <cell r="BA275" t="str">
            <v>[]</v>
          </cell>
          <cell r="BE275" t="str">
            <v>[]</v>
          </cell>
          <cell r="BF275"/>
        </row>
        <row r="276">
          <cell r="A276" t="str">
            <v>xiezijing_skill04</v>
          </cell>
          <cell r="B276" t="str">
            <v>魔蝎毒刺</v>
          </cell>
          <cell r="C276" t="str">
            <v>发射自身毒刺，对范围内敌人造成自身攻击力@s的法伤，并使敌人中毒，持续6秒</v>
          </cell>
          <cell r="D276">
            <v>1264</v>
          </cell>
          <cell r="E276">
            <v>2</v>
          </cell>
          <cell r="F276" t="str">
            <v>boss_warning_shanxing90</v>
          </cell>
          <cell r="G276" t="str">
            <v>蝎子精技能4</v>
          </cell>
          <cell r="H276" t="str">
            <v>xiezijing_skill04</v>
          </cell>
          <cell r="I276" t="str">
            <v>[]</v>
          </cell>
          <cell r="J276">
            <v>3</v>
          </cell>
          <cell r="K276">
            <v>10</v>
          </cell>
          <cell r="L276" t="str">
            <v>[]</v>
          </cell>
          <cell r="M276">
            <v>2</v>
          </cell>
          <cell r="N276">
            <v>2</v>
          </cell>
          <cell r="O276">
            <v>1</v>
          </cell>
          <cell r="P276">
            <v>2</v>
          </cell>
          <cell r="Q276">
            <v>12</v>
          </cell>
          <cell r="R276" t="str">
            <v>2|1</v>
          </cell>
          <cell r="S276" t="str">
            <v>4|0.2</v>
          </cell>
          <cell r="T276">
            <v>10</v>
          </cell>
          <cell r="U276">
            <v>1</v>
          </cell>
          <cell r="V276">
            <v>0</v>
          </cell>
          <cell r="W276" t="str">
            <v>[]</v>
          </cell>
          <cell r="X276">
            <v>3</v>
          </cell>
          <cell r="Y276" t="str">
            <v>[]</v>
          </cell>
          <cell r="Z276" t="str">
            <v>0,1.167,0</v>
          </cell>
          <cell r="AA276">
            <v>0</v>
          </cell>
          <cell r="AB276">
            <v>6</v>
          </cell>
          <cell r="AC276" t="str">
            <v>[]</v>
          </cell>
          <cell r="AD276" t="str">
            <v>[]</v>
          </cell>
          <cell r="AE276" t="str">
            <v>[]</v>
          </cell>
          <cell r="AF276" t="str">
            <v>xiezijing_skill04</v>
          </cell>
          <cell r="AG276" t="str">
            <v>xiezijing_skill04_b</v>
          </cell>
          <cell r="AH276" t="str">
            <v>[]</v>
          </cell>
          <cell r="AI276" t="str">
            <v>[]</v>
          </cell>
          <cell r="AJ276" t="str">
            <v>[]</v>
          </cell>
          <cell r="AK276" t="str">
            <v>[]</v>
          </cell>
          <cell r="AL276" t="str">
            <v>[]</v>
          </cell>
          <cell r="AM276" t="str">
            <v>zhongduT6N0.1</v>
          </cell>
          <cell r="AN276">
            <v>2</v>
          </cell>
          <cell r="AO276">
            <v>-2</v>
          </cell>
          <cell r="AP276">
            <v>113104</v>
          </cell>
          <cell r="AQ276" t="str">
            <v>113104</v>
          </cell>
          <cell r="AR276" t="str">
            <v>[]</v>
          </cell>
          <cell r="AS276" t="str">
            <v>[]</v>
          </cell>
          <cell r="AT276" t="str">
            <v>1134</v>
          </cell>
          <cell r="AU276" t="str">
            <v>4600</v>
          </cell>
          <cell r="AV276" t="str">
            <v>蝎子精</v>
          </cell>
          <cell r="AW276" t="str">
            <v>04</v>
          </cell>
          <cell r="AX276">
            <v>1264</v>
          </cell>
          <cell r="AY276">
            <v>1</v>
          </cell>
          <cell r="BA276" t="str">
            <v>[]</v>
          </cell>
          <cell r="BE276" t="str">
            <v>[]</v>
          </cell>
          <cell r="BF276"/>
        </row>
        <row r="277">
          <cell r="A277" t="str">
            <v>xiezijing_skill011</v>
          </cell>
          <cell r="B277" t="str">
            <v>奥义·魔音灌耳</v>
          </cell>
          <cell r="C277" t="str">
            <v>释放弹奏的魔音，对全体敌人造成主角攻击力@s的法伤</v>
          </cell>
          <cell r="D277">
            <v>1266</v>
          </cell>
          <cell r="E277">
            <v>0</v>
          </cell>
          <cell r="F277" t="str">
            <v>[]</v>
          </cell>
          <cell r="G277" t="str">
            <v>蝎子精核心技能</v>
          </cell>
          <cell r="H277" t="str">
            <v>xiezijing_skill01</v>
          </cell>
          <cell r="I277" t="str">
            <v>xiezijing_skill01</v>
          </cell>
          <cell r="J277">
            <v>0</v>
          </cell>
          <cell r="K277">
            <v>10</v>
          </cell>
          <cell r="L277" t="str">
            <v>1|47</v>
          </cell>
          <cell r="M277">
            <v>2</v>
          </cell>
          <cell r="N277">
            <v>2</v>
          </cell>
          <cell r="O277">
            <v>1</v>
          </cell>
          <cell r="P277">
            <v>2</v>
          </cell>
          <cell r="Q277">
            <v>12</v>
          </cell>
          <cell r="R277" t="str">
            <v>2|1</v>
          </cell>
          <cell r="S277" t="str">
            <v>2|6</v>
          </cell>
          <cell r="T277">
            <v>10</v>
          </cell>
          <cell r="U277">
            <v>0</v>
          </cell>
          <cell r="V277">
            <v>0</v>
          </cell>
          <cell r="W277" t="str">
            <v>[]</v>
          </cell>
          <cell r="X277">
            <v>0</v>
          </cell>
          <cell r="Y277" t="str">
            <v>[]</v>
          </cell>
          <cell r="Z277" t="str">
            <v>0,1,0</v>
          </cell>
          <cell r="AA277">
            <v>0</v>
          </cell>
          <cell r="AB277" t="str">
            <v>12</v>
          </cell>
          <cell r="AC277" t="str">
            <v>[]</v>
          </cell>
          <cell r="AD277" t="str">
            <v>[]</v>
          </cell>
          <cell r="AE277" t="str">
            <v>[]</v>
          </cell>
          <cell r="AF277" t="str">
            <v>xiezijing_skill01</v>
          </cell>
          <cell r="AG277" t="str">
            <v>[]</v>
          </cell>
          <cell r="AH277" t="str">
            <v>[]</v>
          </cell>
          <cell r="AI277" t="str">
            <v>[]</v>
          </cell>
          <cell r="AJ277" t="str">
            <v>[]</v>
          </cell>
          <cell r="AK277" t="str">
            <v>[]</v>
          </cell>
          <cell r="AL277" t="str">
            <v>[]</v>
          </cell>
          <cell r="AM277" t="str">
            <v>[]</v>
          </cell>
          <cell r="AN277">
            <v>2</v>
          </cell>
          <cell r="AO277">
            <v>-2</v>
          </cell>
          <cell r="AP277">
            <v>113105</v>
          </cell>
          <cell r="AQ277" t="str">
            <v>113105</v>
          </cell>
          <cell r="AR277" t="str">
            <v>[]</v>
          </cell>
          <cell r="AS277" t="str">
            <v>[]</v>
          </cell>
          <cell r="AT277" t="str">
            <v>1134</v>
          </cell>
          <cell r="AU277" t="str">
            <v>4574</v>
          </cell>
          <cell r="AV277" t="str">
            <v>蝎子精</v>
          </cell>
          <cell r="AW277" t="str">
            <v>11</v>
          </cell>
          <cell r="AX277">
            <v>1266</v>
          </cell>
          <cell r="AY277">
            <v>1</v>
          </cell>
          <cell r="BA277" t="str">
            <v>[]</v>
          </cell>
          <cell r="BE277" t="str">
            <v>[]</v>
          </cell>
          <cell r="BF277"/>
        </row>
        <row r="278">
          <cell r="A278" t="str">
            <v>xiezijing_skill021</v>
          </cell>
          <cell r="B278" t="str">
            <v>奥义·彩云流风</v>
          </cell>
          <cell r="C278" t="str">
            <v>拨弦产生一道旋风，对范围内敌人造成自身攻击力@s的法伤，40%的概率魅惑目标2秒[被魅惑目标攻击敌方同伴]</v>
          </cell>
          <cell r="D278">
            <v>1268</v>
          </cell>
          <cell r="E278">
            <v>2</v>
          </cell>
          <cell r="F278" t="str">
            <v>boss_warning_juxing</v>
          </cell>
          <cell r="G278" t="str">
            <v>蝎子精技能2</v>
          </cell>
          <cell r="H278" t="str">
            <v>xiezijing_skill02</v>
          </cell>
          <cell r="I278" t="str">
            <v>[]</v>
          </cell>
          <cell r="J278">
            <v>1</v>
          </cell>
          <cell r="K278">
            <v>10</v>
          </cell>
          <cell r="L278" t="str">
            <v>[]</v>
          </cell>
          <cell r="M278">
            <v>2</v>
          </cell>
          <cell r="N278">
            <v>2</v>
          </cell>
          <cell r="O278">
            <v>1</v>
          </cell>
          <cell r="P278">
            <v>2</v>
          </cell>
          <cell r="Q278">
            <v>12</v>
          </cell>
          <cell r="R278" t="str">
            <v>2|1</v>
          </cell>
          <cell r="S278" t="str">
            <v>1|10|6</v>
          </cell>
          <cell r="T278">
            <v>10</v>
          </cell>
          <cell r="U278">
            <v>1</v>
          </cell>
          <cell r="V278">
            <v>0</v>
          </cell>
          <cell r="W278" t="str">
            <v>[]</v>
          </cell>
          <cell r="X278">
            <v>3</v>
          </cell>
          <cell r="Y278" t="str">
            <v>[]</v>
          </cell>
          <cell r="Z278" t="str">
            <v>0,2,0</v>
          </cell>
          <cell r="AA278">
            <v>0</v>
          </cell>
          <cell r="AB278">
            <v>6</v>
          </cell>
          <cell r="AC278" t="str">
            <v>[]</v>
          </cell>
          <cell r="AD278" t="str">
            <v>[]</v>
          </cell>
          <cell r="AE278" t="str">
            <v>[]</v>
          </cell>
          <cell r="AF278" t="str">
            <v>xiezijing_skill02</v>
          </cell>
          <cell r="AG278" t="str">
            <v>common_hit_fashu</v>
          </cell>
          <cell r="AH278" t="str">
            <v>[]</v>
          </cell>
          <cell r="AI278" t="str">
            <v>[]</v>
          </cell>
          <cell r="AJ278" t="str">
            <v>[]</v>
          </cell>
          <cell r="AK278" t="str">
            <v>meihuoT2NP0.4</v>
          </cell>
          <cell r="AL278" t="str">
            <v>[]</v>
          </cell>
          <cell r="AM278" t="str">
            <v>[]</v>
          </cell>
          <cell r="AN278">
            <v>1</v>
          </cell>
          <cell r="AO278">
            <v>0.5</v>
          </cell>
          <cell r="AP278">
            <v>113106</v>
          </cell>
          <cell r="AQ278" t="str">
            <v>113106</v>
          </cell>
          <cell r="AR278" t="str">
            <v>[]</v>
          </cell>
          <cell r="AS278" t="str">
            <v>[]</v>
          </cell>
          <cell r="AT278" t="str">
            <v>4180</v>
          </cell>
          <cell r="AU278" t="str">
            <v>4580</v>
          </cell>
          <cell r="AV278" t="str">
            <v>蝎子精</v>
          </cell>
          <cell r="AW278" t="str">
            <v>21</v>
          </cell>
          <cell r="AX278">
            <v>1268</v>
          </cell>
          <cell r="AY278">
            <v>1</v>
          </cell>
          <cell r="AZ278">
            <v>0.4</v>
          </cell>
          <cell r="BA278">
            <v>0.4</v>
          </cell>
          <cell r="BE278">
            <v>0.4</v>
          </cell>
          <cell r="BF278"/>
        </row>
        <row r="279">
          <cell r="A279" t="str">
            <v>xiezijing_skill041</v>
          </cell>
          <cell r="B279" t="str">
            <v>奥义·魔蝎毒刺</v>
          </cell>
          <cell r="C279" t="str">
            <v>发射自身毒刺，对范围内敌人造成自身攻击力@s的法伤，并使敌人中毒，持续6秒</v>
          </cell>
          <cell r="D279">
            <v>1270</v>
          </cell>
          <cell r="E279">
            <v>2</v>
          </cell>
          <cell r="F279" t="str">
            <v>boss_warning_shanxing90</v>
          </cell>
          <cell r="G279" t="str">
            <v>蝎子精技能4</v>
          </cell>
          <cell r="H279" t="str">
            <v>xiezijing_skill04</v>
          </cell>
          <cell r="I279" t="str">
            <v>[]</v>
          </cell>
          <cell r="J279">
            <v>3</v>
          </cell>
          <cell r="K279">
            <v>10</v>
          </cell>
          <cell r="L279" t="str">
            <v>[]</v>
          </cell>
          <cell r="M279">
            <v>2</v>
          </cell>
          <cell r="N279">
            <v>2</v>
          </cell>
          <cell r="O279">
            <v>1</v>
          </cell>
          <cell r="P279">
            <v>2</v>
          </cell>
          <cell r="Q279">
            <v>12</v>
          </cell>
          <cell r="R279" t="str">
            <v>2|1</v>
          </cell>
          <cell r="S279" t="str">
            <v>4|0.2</v>
          </cell>
          <cell r="T279">
            <v>10</v>
          </cell>
          <cell r="U279">
            <v>1</v>
          </cell>
          <cell r="V279">
            <v>0</v>
          </cell>
          <cell r="W279" t="str">
            <v>[]</v>
          </cell>
          <cell r="X279">
            <v>3</v>
          </cell>
          <cell r="Y279" t="str">
            <v>[]</v>
          </cell>
          <cell r="Z279" t="str">
            <v>0,1.167,0</v>
          </cell>
          <cell r="AA279">
            <v>0</v>
          </cell>
          <cell r="AB279">
            <v>6</v>
          </cell>
          <cell r="AC279" t="str">
            <v>[]</v>
          </cell>
          <cell r="AD279" t="str">
            <v>[]</v>
          </cell>
          <cell r="AE279" t="str">
            <v>[]</v>
          </cell>
          <cell r="AF279" t="str">
            <v>xiezijing_skill04</v>
          </cell>
          <cell r="AG279" t="str">
            <v>xiezijing_skill04_b</v>
          </cell>
          <cell r="AH279" t="str">
            <v>[]</v>
          </cell>
          <cell r="AI279" t="str">
            <v>[]</v>
          </cell>
          <cell r="AJ279" t="str">
            <v>[]</v>
          </cell>
          <cell r="AK279" t="str">
            <v>[]</v>
          </cell>
          <cell r="AL279" t="str">
            <v>[]</v>
          </cell>
          <cell r="AM279" t="str">
            <v>zhongduT6N0.1</v>
          </cell>
          <cell r="AN279">
            <v>2</v>
          </cell>
          <cell r="AO279">
            <v>-2</v>
          </cell>
          <cell r="AP279">
            <v>113107</v>
          </cell>
          <cell r="AQ279" t="str">
            <v>113107</v>
          </cell>
          <cell r="AR279" t="str">
            <v>[]</v>
          </cell>
          <cell r="AS279" t="str">
            <v>[]</v>
          </cell>
          <cell r="AT279" t="str">
            <v>4190</v>
          </cell>
          <cell r="AU279" t="str">
            <v>4600</v>
          </cell>
          <cell r="AV279" t="str">
            <v>蝎子精</v>
          </cell>
          <cell r="AW279" t="str">
            <v>41</v>
          </cell>
          <cell r="AX279">
            <v>1270</v>
          </cell>
          <cell r="AY279">
            <v>1</v>
          </cell>
          <cell r="BA279" t="str">
            <v>[]</v>
          </cell>
          <cell r="BE279" t="str">
            <v>[]</v>
          </cell>
          <cell r="BF279"/>
        </row>
        <row r="280">
          <cell r="A280" t="str">
            <v>yanluowang_attack</v>
          </cell>
          <cell r="B280" t="str">
            <v>阎罗王</v>
          </cell>
          <cell r="C280" t="str">
            <v>普攻</v>
          </cell>
          <cell r="D280" t="str">
            <v>[]</v>
          </cell>
          <cell r="E280">
            <v>0</v>
          </cell>
          <cell r="F280" t="str">
            <v>[]</v>
          </cell>
          <cell r="G280" t="str">
            <v>近战攻击</v>
          </cell>
          <cell r="H280" t="str">
            <v>[]</v>
          </cell>
          <cell r="I280" t="str">
            <v>[]</v>
          </cell>
          <cell r="J280">
            <v>0</v>
          </cell>
          <cell r="K280">
            <v>1</v>
          </cell>
          <cell r="L280" t="str">
            <v>[]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3</v>
          </cell>
          <cell r="R280" t="str">
            <v>2|1</v>
          </cell>
          <cell r="S280" t="str">
            <v>4|0.2</v>
          </cell>
          <cell r="T280">
            <v>1</v>
          </cell>
          <cell r="U280">
            <v>1</v>
          </cell>
          <cell r="V280">
            <v>0</v>
          </cell>
          <cell r="W280" t="str">
            <v>[]</v>
          </cell>
          <cell r="X280">
            <v>0</v>
          </cell>
          <cell r="Y280" t="str">
            <v>[]</v>
          </cell>
          <cell r="Z280" t="str">
            <v>0,1,0</v>
          </cell>
          <cell r="AA280">
            <v>0</v>
          </cell>
          <cell r="AB280" t="str">
            <v>[]</v>
          </cell>
          <cell r="AC280" t="str">
            <v>[]</v>
          </cell>
          <cell r="AD280" t="str">
            <v>[]</v>
          </cell>
          <cell r="AE280" t="str">
            <v>[]</v>
          </cell>
          <cell r="AF280" t="str">
            <v>yanluowang_attack</v>
          </cell>
          <cell r="AG280" t="str">
            <v>common_hit_fashu</v>
          </cell>
          <cell r="AH280" t="str">
            <v>[]</v>
          </cell>
          <cell r="AI280" t="str">
            <v>[]</v>
          </cell>
          <cell r="AJ280" t="str">
            <v>[]</v>
          </cell>
          <cell r="AK280" t="str">
            <v>[]</v>
          </cell>
          <cell r="AL280" t="str">
            <v>[]</v>
          </cell>
          <cell r="AM280" t="str">
            <v>[]</v>
          </cell>
          <cell r="AN280">
            <v>2</v>
          </cell>
          <cell r="AO280" t="str">
            <v>-2</v>
          </cell>
          <cell r="AP280">
            <v>120100</v>
          </cell>
          <cell r="AQ280" t="str">
            <v>120100</v>
          </cell>
          <cell r="AR280" t="str">
            <v>[]</v>
          </cell>
          <cell r="AS280" t="str">
            <v>[]</v>
          </cell>
          <cell r="AT280" t="str">
            <v>1134</v>
          </cell>
          <cell r="AU280" t="str">
            <v>6060</v>
          </cell>
          <cell r="AV280" t="str">
            <v>近战攻击</v>
          </cell>
          <cell r="AW280" t="str">
            <v>ck</v>
          </cell>
          <cell r="AX280" t="str">
            <v>[]</v>
          </cell>
          <cell r="AY280">
            <v>1</v>
          </cell>
          <cell r="BA280" t="str">
            <v>[]</v>
          </cell>
          <cell r="BE280" t="str">
            <v>[]</v>
          </cell>
          <cell r="BF280"/>
        </row>
        <row r="281">
          <cell r="A281" t="str">
            <v>yanluowang_skill01</v>
          </cell>
          <cell r="B281" t="str">
            <v>冥域鬼火</v>
          </cell>
          <cell r="C281" t="str">
            <v>召唤冥域鬼火灼烧敌军，对范围内敌人造成主角攻击力@s的法伤，并造成灼烧效果，持续6秒</v>
          </cell>
          <cell r="D281" t="str">
            <v>[]</v>
          </cell>
          <cell r="E281">
            <v>0</v>
          </cell>
          <cell r="F281" t="str">
            <v>[]</v>
          </cell>
          <cell r="G281" t="str">
            <v>阎罗王核心技能</v>
          </cell>
          <cell r="H281" t="str">
            <v>yanluowang_skill01</v>
          </cell>
          <cell r="I281" t="str">
            <v>yanluowang_skill01</v>
          </cell>
          <cell r="J281">
            <v>0</v>
          </cell>
          <cell r="K281">
            <v>10</v>
          </cell>
          <cell r="L281" t="str">
            <v>1|29</v>
          </cell>
          <cell r="M281">
            <v>2</v>
          </cell>
          <cell r="N281">
            <v>2</v>
          </cell>
          <cell r="O281">
            <v>2</v>
          </cell>
          <cell r="P281">
            <v>2</v>
          </cell>
          <cell r="Q281">
            <v>12</v>
          </cell>
          <cell r="R281" t="str">
            <v>2|1</v>
          </cell>
          <cell r="S281" t="str">
            <v>2|6</v>
          </cell>
          <cell r="T281">
            <v>10</v>
          </cell>
          <cell r="U281">
            <v>1</v>
          </cell>
          <cell r="V281">
            <v>0</v>
          </cell>
          <cell r="W281" t="str">
            <v>[]</v>
          </cell>
          <cell r="X281">
            <v>0</v>
          </cell>
          <cell r="Y281" t="str">
            <v>[]</v>
          </cell>
          <cell r="Z281" t="str">
            <v>0,1,0</v>
          </cell>
          <cell r="AA281">
            <v>0</v>
          </cell>
          <cell r="AB281" t="str">
            <v>12</v>
          </cell>
          <cell r="AC281" t="str">
            <v>[]</v>
          </cell>
          <cell r="AD281" t="str">
            <v>[]</v>
          </cell>
          <cell r="AE281" t="str">
            <v>[]</v>
          </cell>
          <cell r="AF281" t="str">
            <v>yanluowang_skill01_atk</v>
          </cell>
          <cell r="AG281" t="str">
            <v>yanluowang_skill01</v>
          </cell>
          <cell r="AH281" t="str">
            <v>[]</v>
          </cell>
          <cell r="AI281" t="str">
            <v>[]</v>
          </cell>
          <cell r="AJ281" t="str">
            <v>yanluowang_zhenping_01</v>
          </cell>
          <cell r="AK281" t="str">
            <v>[]</v>
          </cell>
          <cell r="AL281" t="str">
            <v>[]</v>
          </cell>
          <cell r="AM281" t="str">
            <v>zhuoshaoT6N0.1</v>
          </cell>
          <cell r="AN281">
            <v>2</v>
          </cell>
          <cell r="AO281" t="str">
            <v>0.85</v>
          </cell>
          <cell r="AP281">
            <v>120101</v>
          </cell>
          <cell r="AQ281" t="str">
            <v>120101</v>
          </cell>
          <cell r="AR281" t="str">
            <v>[]</v>
          </cell>
          <cell r="AS281" t="str">
            <v>[]</v>
          </cell>
          <cell r="AT281" t="str">
            <v>1141</v>
          </cell>
          <cell r="AU281" t="str">
            <v>6070</v>
          </cell>
          <cell r="AV281" t="str">
            <v>阎罗王</v>
          </cell>
          <cell r="AW281" t="str">
            <v>01</v>
          </cell>
          <cell r="AX281" t="str">
            <v>[]</v>
          </cell>
          <cell r="AY281">
            <v>1</v>
          </cell>
          <cell r="BA281" t="str">
            <v>[]</v>
          </cell>
          <cell r="BE281" t="str">
            <v>[]</v>
          </cell>
          <cell r="BF281"/>
        </row>
        <row r="282">
          <cell r="A282" t="str">
            <v>yanluowang_skill02</v>
          </cell>
          <cell r="B282" t="str">
            <v>判官笔</v>
          </cell>
          <cell r="C282" t="str">
            <v>用判官笔为敌军写下死亡宣告，对范围内敌人造成攻击力@s的法伤</v>
          </cell>
          <cell r="D282" t="str">
            <v>[]</v>
          </cell>
          <cell r="E282">
            <v>2</v>
          </cell>
          <cell r="F282" t="str">
            <v>boss_warning_juxing</v>
          </cell>
          <cell r="G282" t="str">
            <v>银角大王技能2</v>
          </cell>
          <cell r="H282" t="str">
            <v>yanluowang_skill02</v>
          </cell>
          <cell r="I282" t="str">
            <v>[]</v>
          </cell>
          <cell r="J282">
            <v>1</v>
          </cell>
          <cell r="K282">
            <v>10</v>
          </cell>
          <cell r="L282" t="str">
            <v>[]</v>
          </cell>
          <cell r="M282">
            <v>2</v>
          </cell>
          <cell r="N282">
            <v>2</v>
          </cell>
          <cell r="O282">
            <v>1</v>
          </cell>
          <cell r="P282">
            <v>2</v>
          </cell>
          <cell r="Q282">
            <v>4</v>
          </cell>
          <cell r="R282" t="str">
            <v>2|1</v>
          </cell>
          <cell r="S282" t="str">
            <v>1|10|6</v>
          </cell>
          <cell r="T282">
            <v>10</v>
          </cell>
          <cell r="U282">
            <v>0</v>
          </cell>
          <cell r="V282">
            <v>0</v>
          </cell>
          <cell r="W282" t="str">
            <v>[]</v>
          </cell>
          <cell r="X282">
            <v>3</v>
          </cell>
          <cell r="Y282" t="str">
            <v>[]</v>
          </cell>
          <cell r="Z282" t="str">
            <v>0,1.433,0</v>
          </cell>
          <cell r="AA282">
            <v>0</v>
          </cell>
          <cell r="AB282">
            <v>6</v>
          </cell>
          <cell r="AC282" t="str">
            <v>[]</v>
          </cell>
          <cell r="AD282" t="str">
            <v>[]</v>
          </cell>
          <cell r="AE282" t="str">
            <v>[]</v>
          </cell>
          <cell r="AF282" t="str">
            <v>yanluowang_skill02</v>
          </cell>
          <cell r="AG282" t="str">
            <v>[]</v>
          </cell>
          <cell r="AH282" t="str">
            <v>[]</v>
          </cell>
          <cell r="AI282" t="str">
            <v>[]</v>
          </cell>
          <cell r="AJ282" t="str">
            <v>yanluowang_zhenping_02</v>
          </cell>
          <cell r="AK282" t="str">
            <v>[]</v>
          </cell>
          <cell r="AL282" t="str">
            <v>[]</v>
          </cell>
          <cell r="AM282" t="str">
            <v>[]</v>
          </cell>
          <cell r="AN282">
            <v>2</v>
          </cell>
          <cell r="AO282" t="str">
            <v>0.5</v>
          </cell>
          <cell r="AP282">
            <v>120102</v>
          </cell>
          <cell r="AQ282" t="str">
            <v>120102</v>
          </cell>
          <cell r="AR282" t="str">
            <v>[]</v>
          </cell>
          <cell r="AS282" t="str">
            <v>[]</v>
          </cell>
          <cell r="AT282" t="str">
            <v>1141</v>
          </cell>
          <cell r="AU282" t="str">
            <v>6080</v>
          </cell>
          <cell r="AV282" t="str">
            <v>阎罗王</v>
          </cell>
          <cell r="AW282" t="str">
            <v>02</v>
          </cell>
          <cell r="AX282" t="str">
            <v>[]</v>
          </cell>
          <cell r="AY282">
            <v>1</v>
          </cell>
          <cell r="BA282" t="str">
            <v>[]</v>
          </cell>
          <cell r="BE282" t="str">
            <v>[]</v>
          </cell>
          <cell r="BF282"/>
        </row>
        <row r="283">
          <cell r="A283" t="str">
            <v>yanluowang_skill03</v>
          </cell>
          <cell r="B283" t="str">
            <v>掌控生死</v>
          </cell>
          <cell r="C283" t="str">
            <v>进入战斗场景时，提升自身暴击率@s</v>
          </cell>
          <cell r="D283">
            <v>1262</v>
          </cell>
          <cell r="E283">
            <v>0</v>
          </cell>
          <cell r="F283" t="str">
            <v>[]</v>
          </cell>
          <cell r="G283" t="str">
            <v>阎罗王被动技能</v>
          </cell>
          <cell r="H283" t="str">
            <v>zhuoshao</v>
          </cell>
          <cell r="I283" t="str">
            <v>[]</v>
          </cell>
          <cell r="J283">
            <v>2</v>
          </cell>
          <cell r="K283">
            <v>10</v>
          </cell>
          <cell r="L283" t="str">
            <v>[]</v>
          </cell>
          <cell r="M283">
            <v>2</v>
          </cell>
          <cell r="N283">
            <v>2</v>
          </cell>
          <cell r="O283">
            <v>3</v>
          </cell>
          <cell r="P283">
            <v>0</v>
          </cell>
          <cell r="Q283">
            <v>12</v>
          </cell>
          <cell r="R283">
            <v>3</v>
          </cell>
          <cell r="S283">
            <v>5</v>
          </cell>
          <cell r="T283">
            <v>10</v>
          </cell>
          <cell r="U283">
            <v>0</v>
          </cell>
          <cell r="V283">
            <v>0</v>
          </cell>
          <cell r="W283" t="str">
            <v>[]</v>
          </cell>
          <cell r="X283">
            <v>0</v>
          </cell>
          <cell r="Y283" t="str">
            <v>[]</v>
          </cell>
          <cell r="Z283" t="str">
            <v>0,0,0</v>
          </cell>
          <cell r="AA283">
            <v>0</v>
          </cell>
          <cell r="AB283" t="str">
            <v>[]</v>
          </cell>
          <cell r="AC283" t="str">
            <v>[]</v>
          </cell>
          <cell r="AD283" t="str">
            <v>[]</v>
          </cell>
          <cell r="AE283" t="str">
            <v>[]</v>
          </cell>
          <cell r="AF283" t="str">
            <v>[]</v>
          </cell>
          <cell r="AG283" t="str">
            <v>[]</v>
          </cell>
          <cell r="AH283" t="str">
            <v>[]</v>
          </cell>
          <cell r="AI283" t="str">
            <v>[]</v>
          </cell>
          <cell r="AJ283" t="str">
            <v>[]</v>
          </cell>
          <cell r="AK283" t="str">
            <v>[]</v>
          </cell>
          <cell r="AL283" t="str">
            <v>baojiupT6N0.2b</v>
          </cell>
          <cell r="AM283" t="str">
            <v>[]</v>
          </cell>
          <cell r="AN283">
            <v>0</v>
          </cell>
          <cell r="AO283" t="str">
            <v>[]</v>
          </cell>
          <cell r="AP283" t="str">
            <v>[]</v>
          </cell>
          <cell r="AQ283" t="str">
            <v>9015</v>
          </cell>
          <cell r="AR283" t="str">
            <v>[]</v>
          </cell>
          <cell r="AS283" t="str">
            <v>[]</v>
          </cell>
          <cell r="AT283" t="str">
            <v>1141</v>
          </cell>
          <cell r="AU283" t="str">
            <v>6090</v>
          </cell>
          <cell r="AV283" t="str">
            <v>阎罗王</v>
          </cell>
          <cell r="AW283" t="str">
            <v>03</v>
          </cell>
          <cell r="AX283">
            <v>1262</v>
          </cell>
          <cell r="AY283">
            <v>1</v>
          </cell>
          <cell r="BA283" t="str">
            <v>[]</v>
          </cell>
          <cell r="BE283" t="str">
            <v>[]</v>
          </cell>
          <cell r="BF283"/>
        </row>
        <row r="284">
          <cell r="A284" t="str">
            <v>yanluowang_skill04</v>
          </cell>
          <cell r="B284" t="str">
            <v>生死令</v>
          </cell>
          <cell r="C284" t="str">
            <v>用生死令召唤地狱火，对范围内敌人造成自身攻击力@s的法伤，并使敌人所受伤害提升@s，持续3秒</v>
          </cell>
          <cell r="D284">
            <v>1264</v>
          </cell>
          <cell r="E284">
            <v>1</v>
          </cell>
          <cell r="F284" t="str">
            <v>boss_warning_yuanxing</v>
          </cell>
          <cell r="G284" t="str">
            <v>银角大王技能4</v>
          </cell>
          <cell r="H284" t="str">
            <v>yanluowang_skill04</v>
          </cell>
          <cell r="I284" t="str">
            <v>[]</v>
          </cell>
          <cell r="J284">
            <v>3</v>
          </cell>
          <cell r="K284">
            <v>10</v>
          </cell>
          <cell r="L284" t="str">
            <v>[]</v>
          </cell>
          <cell r="M284">
            <v>2</v>
          </cell>
          <cell r="N284">
            <v>2</v>
          </cell>
          <cell r="O284">
            <v>1</v>
          </cell>
          <cell r="P284">
            <v>2</v>
          </cell>
          <cell r="Q284">
            <v>12</v>
          </cell>
          <cell r="R284" t="str">
            <v>2|1</v>
          </cell>
          <cell r="S284" t="str">
            <v>2|6</v>
          </cell>
          <cell r="T284">
            <v>10</v>
          </cell>
          <cell r="U284">
            <v>1</v>
          </cell>
          <cell r="V284">
            <v>0</v>
          </cell>
          <cell r="W284" t="str">
            <v>[]</v>
          </cell>
          <cell r="X284">
            <v>3</v>
          </cell>
          <cell r="Y284" t="str">
            <v>[]</v>
          </cell>
          <cell r="Z284" t="str">
            <v>0,2.77,0</v>
          </cell>
          <cell r="AA284">
            <v>0</v>
          </cell>
          <cell r="AB284">
            <v>6</v>
          </cell>
          <cell r="AC284" t="str">
            <v>[]</v>
          </cell>
          <cell r="AD284" t="str">
            <v>[]</v>
          </cell>
          <cell r="AE284" t="str">
            <v>yanluowang_skill04</v>
          </cell>
          <cell r="AF284" t="str">
            <v>yanluowang_skill04_f</v>
          </cell>
          <cell r="AG284" t="str">
            <v>yanluowang_skill04_b,yanluowang_skill04_bb</v>
          </cell>
          <cell r="AH284" t="str">
            <v>[]</v>
          </cell>
          <cell r="AI284" t="str">
            <v>[]</v>
          </cell>
          <cell r="AJ284" t="str">
            <v>[]</v>
          </cell>
          <cell r="AK284" t="str">
            <v>[]</v>
          </cell>
          <cell r="AL284" t="str">
            <v>[]</v>
          </cell>
          <cell r="AM284" t="str">
            <v>jiashangupT3N0.1</v>
          </cell>
          <cell r="AN284">
            <v>2</v>
          </cell>
          <cell r="AO284" t="str">
            <v>-2</v>
          </cell>
          <cell r="AP284">
            <v>120104</v>
          </cell>
          <cell r="AQ284" t="str">
            <v>120104,9010</v>
          </cell>
          <cell r="AR284" t="str">
            <v>[]</v>
          </cell>
          <cell r="AS284" t="str">
            <v>[]</v>
          </cell>
          <cell r="AT284" t="str">
            <v>4241</v>
          </cell>
          <cell r="AU284" t="str">
            <v>6100</v>
          </cell>
          <cell r="AV284" t="str">
            <v>阎罗王</v>
          </cell>
          <cell r="AW284" t="str">
            <v>04</v>
          </cell>
          <cell r="AX284">
            <v>1264</v>
          </cell>
          <cell r="AY284">
            <v>1</v>
          </cell>
          <cell r="BA284" t="str">
            <v>[]</v>
          </cell>
          <cell r="BE284" t="str">
            <v>[]</v>
          </cell>
          <cell r="BF284"/>
        </row>
        <row r="285">
          <cell r="A285" t="str">
            <v>yanluowang_skill011</v>
          </cell>
          <cell r="B285" t="str">
            <v>奥义·冥域鬼火</v>
          </cell>
          <cell r="C285" t="str">
            <v>召唤冥域鬼火灼烧敌军，对范围内敌人造成主角攻击力@s的法伤，并造成灼烧效果，持续6秒</v>
          </cell>
          <cell r="D285">
            <v>1266</v>
          </cell>
          <cell r="E285">
            <v>0</v>
          </cell>
          <cell r="F285" t="str">
            <v>[]</v>
          </cell>
          <cell r="G285" t="str">
            <v>阎罗王核心技能</v>
          </cell>
          <cell r="H285" t="str">
            <v>yanluowang_skill01</v>
          </cell>
          <cell r="I285" t="str">
            <v>yanluowang_skill01</v>
          </cell>
          <cell r="J285">
            <v>0</v>
          </cell>
          <cell r="K285">
            <v>10</v>
          </cell>
          <cell r="L285" t="str">
            <v>1|29</v>
          </cell>
          <cell r="M285">
            <v>2</v>
          </cell>
          <cell r="N285">
            <v>2</v>
          </cell>
          <cell r="O285">
            <v>1</v>
          </cell>
          <cell r="P285">
            <v>2</v>
          </cell>
          <cell r="Q285">
            <v>12</v>
          </cell>
          <cell r="R285" t="str">
            <v>2|1</v>
          </cell>
          <cell r="S285" t="str">
            <v>2|6</v>
          </cell>
          <cell r="T285">
            <v>10</v>
          </cell>
          <cell r="U285">
            <v>1</v>
          </cell>
          <cell r="V285">
            <v>0</v>
          </cell>
          <cell r="W285" t="str">
            <v>[]</v>
          </cell>
          <cell r="X285">
            <v>0</v>
          </cell>
          <cell r="Y285" t="str">
            <v>[]</v>
          </cell>
          <cell r="Z285" t="str">
            <v>0,1,0</v>
          </cell>
          <cell r="AA285">
            <v>0</v>
          </cell>
          <cell r="AB285" t="str">
            <v>12</v>
          </cell>
          <cell r="AC285" t="str">
            <v>[]</v>
          </cell>
          <cell r="AD285" t="str">
            <v>[]</v>
          </cell>
          <cell r="AE285" t="str">
            <v>[]</v>
          </cell>
          <cell r="AF285" t="str">
            <v>yanluowang_skill01_atk</v>
          </cell>
          <cell r="AG285" t="str">
            <v>yanluowang_skill01</v>
          </cell>
          <cell r="AH285" t="str">
            <v>[]</v>
          </cell>
          <cell r="AI285" t="str">
            <v>[]</v>
          </cell>
          <cell r="AJ285" t="str">
            <v>yanluowang_zhenping_01</v>
          </cell>
          <cell r="AK285" t="str">
            <v>[]</v>
          </cell>
          <cell r="AL285" t="str">
            <v>[]</v>
          </cell>
          <cell r="AM285" t="str">
            <v>zhuoshaoT6N0.1</v>
          </cell>
          <cell r="AN285">
            <v>2</v>
          </cell>
          <cell r="AO285" t="str">
            <v>0.85</v>
          </cell>
          <cell r="AP285">
            <v>120105</v>
          </cell>
          <cell r="AQ285" t="str">
            <v>120105</v>
          </cell>
          <cell r="AR285" t="str">
            <v>[]</v>
          </cell>
          <cell r="AS285" t="str">
            <v>[]</v>
          </cell>
          <cell r="AT285" t="str">
            <v>1141</v>
          </cell>
          <cell r="AU285" t="str">
            <v>6070</v>
          </cell>
          <cell r="AV285" t="str">
            <v>阎罗王</v>
          </cell>
          <cell r="AW285" t="str">
            <v>11</v>
          </cell>
          <cell r="AX285">
            <v>1266</v>
          </cell>
          <cell r="AY285">
            <v>1</v>
          </cell>
          <cell r="BA285" t="str">
            <v>[]</v>
          </cell>
          <cell r="BE285" t="str">
            <v>[]</v>
          </cell>
          <cell r="BF285"/>
        </row>
        <row r="286">
          <cell r="A286" t="str">
            <v>yanluowang_skill021</v>
          </cell>
          <cell r="B286" t="str">
            <v>奥义·判官笔</v>
          </cell>
          <cell r="C286" t="str">
            <v>用判官笔为敌军写下死亡宣告，对范围内敌人造成攻击力@s的法伤</v>
          </cell>
          <cell r="D286">
            <v>1268</v>
          </cell>
          <cell r="E286">
            <v>2</v>
          </cell>
          <cell r="F286" t="str">
            <v>boss_warning_juxing</v>
          </cell>
          <cell r="G286" t="str">
            <v>银角大王技能2</v>
          </cell>
          <cell r="H286" t="str">
            <v>yanluowang_skill02</v>
          </cell>
          <cell r="I286" t="str">
            <v>[]</v>
          </cell>
          <cell r="J286">
            <v>1</v>
          </cell>
          <cell r="K286">
            <v>10</v>
          </cell>
          <cell r="L286" t="str">
            <v>[]</v>
          </cell>
          <cell r="M286">
            <v>2</v>
          </cell>
          <cell r="N286">
            <v>2</v>
          </cell>
          <cell r="O286">
            <v>1</v>
          </cell>
          <cell r="P286">
            <v>2</v>
          </cell>
          <cell r="Q286">
            <v>4</v>
          </cell>
          <cell r="R286" t="str">
            <v>2|1</v>
          </cell>
          <cell r="S286" t="str">
            <v>1|10|6</v>
          </cell>
          <cell r="T286">
            <v>10</v>
          </cell>
          <cell r="U286">
            <v>0</v>
          </cell>
          <cell r="V286">
            <v>0</v>
          </cell>
          <cell r="W286" t="str">
            <v>[]</v>
          </cell>
          <cell r="X286">
            <v>3</v>
          </cell>
          <cell r="Y286" t="str">
            <v>[]</v>
          </cell>
          <cell r="Z286" t="str">
            <v>0,1.433,0</v>
          </cell>
          <cell r="AA286">
            <v>0</v>
          </cell>
          <cell r="AB286">
            <v>6</v>
          </cell>
          <cell r="AC286" t="str">
            <v>[]</v>
          </cell>
          <cell r="AD286" t="str">
            <v>[]</v>
          </cell>
          <cell r="AE286" t="str">
            <v>[]</v>
          </cell>
          <cell r="AF286" t="str">
            <v>yanluowang_skill02</v>
          </cell>
          <cell r="AG286" t="str">
            <v>[]</v>
          </cell>
          <cell r="AH286" t="str">
            <v>[]</v>
          </cell>
          <cell r="AI286" t="str">
            <v>[]</v>
          </cell>
          <cell r="AJ286" t="str">
            <v>yanluowang_zhenping_02</v>
          </cell>
          <cell r="AK286" t="str">
            <v>[]</v>
          </cell>
          <cell r="AL286" t="str">
            <v>[]</v>
          </cell>
          <cell r="AM286" t="str">
            <v>[]</v>
          </cell>
          <cell r="AN286">
            <v>2</v>
          </cell>
          <cell r="AO286" t="str">
            <v>0.5</v>
          </cell>
          <cell r="AP286">
            <v>120106</v>
          </cell>
          <cell r="AQ286" t="str">
            <v>120106</v>
          </cell>
          <cell r="AR286" t="str">
            <v>[]</v>
          </cell>
          <cell r="AS286" t="str">
            <v>[]</v>
          </cell>
          <cell r="AT286" t="str">
            <v>1137</v>
          </cell>
          <cell r="AU286" t="str">
            <v>6080</v>
          </cell>
          <cell r="AV286" t="str">
            <v>阎罗王</v>
          </cell>
          <cell r="AW286" t="str">
            <v>21</v>
          </cell>
          <cell r="AX286">
            <v>1268</v>
          </cell>
          <cell r="AY286">
            <v>1</v>
          </cell>
          <cell r="BA286" t="str">
            <v>[]</v>
          </cell>
          <cell r="BE286" t="str">
            <v>[]</v>
          </cell>
          <cell r="BF286"/>
        </row>
        <row r="287">
          <cell r="A287" t="str">
            <v>yanluowang_skill041</v>
          </cell>
          <cell r="B287" t="str">
            <v>奥义·生死令</v>
          </cell>
          <cell r="C287" t="str">
            <v>用生死令召唤地狱火，对范围内敌人造成自身攻击力@s的法伤，并使敌人所受伤害提升@s，持续3秒</v>
          </cell>
          <cell r="D287">
            <v>1270</v>
          </cell>
          <cell r="E287">
            <v>1</v>
          </cell>
          <cell r="F287" t="str">
            <v>boss_warning_yuanxing</v>
          </cell>
          <cell r="G287" t="str">
            <v>银角大王技能4</v>
          </cell>
          <cell r="H287" t="str">
            <v>yanluowang_skill04</v>
          </cell>
          <cell r="I287" t="str">
            <v>[]</v>
          </cell>
          <cell r="J287">
            <v>3</v>
          </cell>
          <cell r="K287">
            <v>10</v>
          </cell>
          <cell r="L287" t="str">
            <v>[]</v>
          </cell>
          <cell r="M287">
            <v>2</v>
          </cell>
          <cell r="N287">
            <v>2</v>
          </cell>
          <cell r="O287">
            <v>1</v>
          </cell>
          <cell r="P287">
            <v>2</v>
          </cell>
          <cell r="Q287">
            <v>12</v>
          </cell>
          <cell r="R287" t="str">
            <v>2|1</v>
          </cell>
          <cell r="S287" t="str">
            <v>2|6</v>
          </cell>
          <cell r="T287">
            <v>10</v>
          </cell>
          <cell r="U287">
            <v>1</v>
          </cell>
          <cell r="V287">
            <v>0</v>
          </cell>
          <cell r="W287" t="str">
            <v>[]</v>
          </cell>
          <cell r="X287">
            <v>3</v>
          </cell>
          <cell r="Y287" t="str">
            <v>[]</v>
          </cell>
          <cell r="Z287" t="str">
            <v>0,2.77,0</v>
          </cell>
          <cell r="AA287">
            <v>0</v>
          </cell>
          <cell r="AB287">
            <v>6</v>
          </cell>
          <cell r="AC287" t="str">
            <v>[]</v>
          </cell>
          <cell r="AD287" t="str">
            <v>[]</v>
          </cell>
          <cell r="AE287" t="str">
            <v>yanluowang_skill04</v>
          </cell>
          <cell r="AF287" t="str">
            <v>yanluowang_skill04_f</v>
          </cell>
          <cell r="AG287" t="str">
            <v>yanluowang_skill04_b,yanluowang_skill04_bb</v>
          </cell>
          <cell r="AH287" t="str">
            <v>[]</v>
          </cell>
          <cell r="AI287" t="str">
            <v>[]</v>
          </cell>
          <cell r="AJ287" t="str">
            <v>[]</v>
          </cell>
          <cell r="AK287" t="str">
            <v>[]</v>
          </cell>
          <cell r="AL287" t="str">
            <v>[]</v>
          </cell>
          <cell r="AM287" t="str">
            <v>jiashangupT3N0.1</v>
          </cell>
          <cell r="AN287">
            <v>2</v>
          </cell>
          <cell r="AO287" t="str">
            <v>-2</v>
          </cell>
          <cell r="AP287">
            <v>120107</v>
          </cell>
          <cell r="AQ287" t="str">
            <v>120107,9015</v>
          </cell>
          <cell r="AR287" t="str">
            <v>[]</v>
          </cell>
          <cell r="AS287" t="str">
            <v>[]</v>
          </cell>
          <cell r="AT287" t="str">
            <v>1137</v>
          </cell>
          <cell r="AU287" t="str">
            <v>6100</v>
          </cell>
          <cell r="AV287" t="str">
            <v>阎罗王</v>
          </cell>
          <cell r="AW287" t="str">
            <v>41</v>
          </cell>
          <cell r="AX287">
            <v>1270</v>
          </cell>
          <cell r="AY287">
            <v>1</v>
          </cell>
          <cell r="BA287" t="str">
            <v>[]</v>
          </cell>
          <cell r="BE287" t="str">
            <v>[]</v>
          </cell>
          <cell r="BF287"/>
        </row>
        <row r="288">
          <cell r="A288" t="str">
            <v>yinhunxianzi_attack</v>
          </cell>
          <cell r="B288" t="str">
            <v>引魂仙子</v>
          </cell>
          <cell r="C288" t="str">
            <v>普攻</v>
          </cell>
          <cell r="D288" t="str">
            <v>[]</v>
          </cell>
          <cell r="E288">
            <v>0</v>
          </cell>
          <cell r="F288" t="str">
            <v>[]</v>
          </cell>
          <cell r="G288" t="str">
            <v>引魂仙子远程攻击</v>
          </cell>
          <cell r="H288" t="str">
            <v>[]</v>
          </cell>
          <cell r="I288" t="str">
            <v>[]</v>
          </cell>
          <cell r="J288">
            <v>0</v>
          </cell>
          <cell r="K288">
            <v>1</v>
          </cell>
          <cell r="L288" t="str">
            <v>[]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10</v>
          </cell>
          <cell r="R288" t="str">
            <v>2|1</v>
          </cell>
          <cell r="S288" t="str">
            <v>4|0.2</v>
          </cell>
          <cell r="T288">
            <v>1</v>
          </cell>
          <cell r="U288">
            <v>1</v>
          </cell>
          <cell r="V288">
            <v>0</v>
          </cell>
          <cell r="W288" t="str">
            <v>[]</v>
          </cell>
          <cell r="X288">
            <v>0</v>
          </cell>
          <cell r="Y288" t="str">
            <v>[]</v>
          </cell>
          <cell r="Z288" t="str">
            <v>0,1,0</v>
          </cell>
          <cell r="AA288">
            <v>0</v>
          </cell>
          <cell r="AB288" t="str">
            <v>[]</v>
          </cell>
          <cell r="AC288" t="str">
            <v>[]</v>
          </cell>
          <cell r="AD288" t="str">
            <v>[]</v>
          </cell>
          <cell r="AE288" t="str">
            <v>[]</v>
          </cell>
          <cell r="AF288" t="str">
            <v>yinhunxianzi_attack</v>
          </cell>
          <cell r="AG288" t="str">
            <v>common_hit_fashu</v>
          </cell>
          <cell r="AH288" t="str">
            <v>[]</v>
          </cell>
          <cell r="AI288" t="str">
            <v>[]</v>
          </cell>
          <cell r="AJ288" t="str">
            <v>[]</v>
          </cell>
          <cell r="AK288" t="str">
            <v>[]</v>
          </cell>
          <cell r="AL288" t="str">
            <v>[]</v>
          </cell>
          <cell r="AM288" t="str">
            <v>[]</v>
          </cell>
          <cell r="AN288">
            <v>2</v>
          </cell>
          <cell r="AO288" t="str">
            <v>[]</v>
          </cell>
          <cell r="AP288">
            <v>120700</v>
          </cell>
          <cell r="AQ288" t="str">
            <v>120700</v>
          </cell>
          <cell r="AR288" t="str">
            <v>[]</v>
          </cell>
          <cell r="AS288" t="str">
            <v>[]</v>
          </cell>
          <cell r="AT288" t="str">
            <v>9015</v>
          </cell>
          <cell r="AU288" t="str">
            <v>6110</v>
          </cell>
          <cell r="AV288" t="str">
            <v>引魂仙子远程攻击</v>
          </cell>
          <cell r="AW288" t="str">
            <v>ck</v>
          </cell>
          <cell r="AX288" t="str">
            <v>[]</v>
          </cell>
          <cell r="AY288">
            <v>1</v>
          </cell>
          <cell r="BA288" t="str">
            <v>[]</v>
          </cell>
          <cell r="BE288" t="str">
            <v>[]</v>
          </cell>
          <cell r="BF288"/>
        </row>
        <row r="289">
          <cell r="A289" t="str">
            <v>yinhunxianzi_skill01</v>
          </cell>
          <cell r="B289" t="str">
            <v>灯引百魂</v>
          </cell>
          <cell r="C289" t="str">
            <v>用魂灯召唤百魂，对范围内敌人进行3次攻击，造成主角攻击@s的法伤</v>
          </cell>
          <cell r="D289" t="str">
            <v>[]</v>
          </cell>
          <cell r="E289">
            <v>0</v>
          </cell>
          <cell r="F289" t="str">
            <v>[]</v>
          </cell>
          <cell r="G289" t="str">
            <v>引魂仙子核心技能1</v>
          </cell>
          <cell r="H289" t="str">
            <v>yinhunxianzi_skill01</v>
          </cell>
          <cell r="I289" t="str">
            <v>yinhunxianzi_skill01</v>
          </cell>
          <cell r="J289">
            <v>0</v>
          </cell>
          <cell r="K289">
            <v>10</v>
          </cell>
          <cell r="L289" t="str">
            <v>1|41</v>
          </cell>
          <cell r="M289">
            <v>2</v>
          </cell>
          <cell r="N289">
            <v>2</v>
          </cell>
          <cell r="O289">
            <v>2</v>
          </cell>
          <cell r="P289">
            <v>2</v>
          </cell>
          <cell r="Q289">
            <v>12</v>
          </cell>
          <cell r="R289" t="str">
            <v>2|1</v>
          </cell>
          <cell r="S289" t="str">
            <v>2|6</v>
          </cell>
          <cell r="T289">
            <v>10</v>
          </cell>
          <cell r="U289">
            <v>0</v>
          </cell>
          <cell r="V289">
            <v>0</v>
          </cell>
          <cell r="W289" t="str">
            <v>[]</v>
          </cell>
          <cell r="X289">
            <v>0</v>
          </cell>
          <cell r="Y289" t="str">
            <v>[]</v>
          </cell>
          <cell r="Z289" t="str">
            <v>0,1,0</v>
          </cell>
          <cell r="AA289">
            <v>0</v>
          </cell>
          <cell r="AB289" t="str">
            <v>12</v>
          </cell>
          <cell r="AC289" t="str">
            <v>[]</v>
          </cell>
          <cell r="AD289" t="str">
            <v>[]</v>
          </cell>
          <cell r="AE289" t="str">
            <v>[]</v>
          </cell>
          <cell r="AF289" t="str">
            <v>yinhunxianzi_skill01</v>
          </cell>
          <cell r="AG289" t="str">
            <v>[]</v>
          </cell>
          <cell r="AH289" t="str">
            <v>[]</v>
          </cell>
          <cell r="AI289" t="str">
            <v>[]</v>
          </cell>
          <cell r="AJ289" t="str">
            <v>[]</v>
          </cell>
          <cell r="AK289" t="str">
            <v>[]</v>
          </cell>
          <cell r="AL289" t="str">
            <v>[]</v>
          </cell>
          <cell r="AM289" t="str">
            <v>[]</v>
          </cell>
          <cell r="AN289">
            <v>2</v>
          </cell>
          <cell r="AO289" t="str">
            <v>1,0.5,0.5</v>
          </cell>
          <cell r="AP289">
            <v>120701</v>
          </cell>
          <cell r="AQ289" t="str">
            <v>120701</v>
          </cell>
          <cell r="AR289" t="str">
            <v>[]</v>
          </cell>
          <cell r="AS289" t="str">
            <v>[]</v>
          </cell>
          <cell r="AT289" t="str">
            <v>9020</v>
          </cell>
          <cell r="AU289" t="str">
            <v>6120</v>
          </cell>
          <cell r="AV289" t="str">
            <v>引魂仙子</v>
          </cell>
          <cell r="AW289" t="str">
            <v>01</v>
          </cell>
          <cell r="AX289" t="str">
            <v>[]</v>
          </cell>
          <cell r="AY289">
            <v>3</v>
          </cell>
          <cell r="BA289" t="str">
            <v>[]</v>
          </cell>
          <cell r="BE289" t="str">
            <v>[]</v>
          </cell>
          <cell r="BF289"/>
        </row>
        <row r="290">
          <cell r="A290" t="str">
            <v>yinhunxianzi_skill02</v>
          </cell>
          <cell r="B290" t="str">
            <v>狂暴木桩</v>
          </cell>
          <cell r="C290" t="str">
            <v>引爆咒魂，对范围内敌人造成自身攻击力@s的法伤，并击飞敌人</v>
          </cell>
          <cell r="D290" t="str">
            <v>[]</v>
          </cell>
          <cell r="E290">
            <v>1</v>
          </cell>
          <cell r="F290" t="str">
            <v>boss_warning_yuanxing</v>
          </cell>
          <cell r="G290" t="str">
            <v>引魂仙子技能2</v>
          </cell>
          <cell r="H290" t="str">
            <v>yinhunxianzi_skill02</v>
          </cell>
          <cell r="I290" t="str">
            <v>[]</v>
          </cell>
          <cell r="J290">
            <v>1</v>
          </cell>
          <cell r="K290">
            <v>10</v>
          </cell>
          <cell r="L290" t="str">
            <v>[]</v>
          </cell>
          <cell r="M290">
            <v>2</v>
          </cell>
          <cell r="N290">
            <v>2</v>
          </cell>
          <cell r="O290">
            <v>1</v>
          </cell>
          <cell r="P290">
            <v>2</v>
          </cell>
          <cell r="Q290">
            <v>12</v>
          </cell>
          <cell r="R290" t="str">
            <v>2|1</v>
          </cell>
          <cell r="S290" t="str">
            <v>2|4</v>
          </cell>
          <cell r="T290">
            <v>10</v>
          </cell>
          <cell r="U290">
            <v>0</v>
          </cell>
          <cell r="V290">
            <v>0</v>
          </cell>
          <cell r="W290" t="str">
            <v>[]</v>
          </cell>
          <cell r="X290">
            <v>3</v>
          </cell>
          <cell r="Y290" t="str">
            <v>[]</v>
          </cell>
          <cell r="Z290" t="str">
            <v>0,2.167,0</v>
          </cell>
          <cell r="AA290">
            <v>0</v>
          </cell>
          <cell r="AB290">
            <v>6</v>
          </cell>
          <cell r="AC290" t="str">
            <v>[]</v>
          </cell>
          <cell r="AD290" t="str">
            <v>[]</v>
          </cell>
          <cell r="AE290" t="str">
            <v>yinhunxianzi_skill02_q</v>
          </cell>
          <cell r="AF290" t="str">
            <v>yinhunxianzi_skill02</v>
          </cell>
          <cell r="AG290" t="str">
            <v>common_hit_fashu</v>
          </cell>
          <cell r="AH290" t="str">
            <v>[]</v>
          </cell>
          <cell r="AI290" t="str">
            <v>[]</v>
          </cell>
          <cell r="AJ290" t="str">
            <v>youyinhun_zhenping</v>
          </cell>
          <cell r="AK290" t="str">
            <v>yinhunxianzi_jifei</v>
          </cell>
          <cell r="AL290" t="str">
            <v>[]</v>
          </cell>
          <cell r="AM290" t="str">
            <v>[]</v>
          </cell>
          <cell r="AN290">
            <v>1</v>
          </cell>
          <cell r="AO290">
            <v>1</v>
          </cell>
          <cell r="AP290">
            <v>120702</v>
          </cell>
          <cell r="AQ290" t="str">
            <v>120702</v>
          </cell>
          <cell r="AR290" t="str">
            <v>[]</v>
          </cell>
          <cell r="AS290" t="str">
            <v>[]</v>
          </cell>
          <cell r="AT290" t="str">
            <v>1137</v>
          </cell>
          <cell r="AU290" t="str">
            <v>6130</v>
          </cell>
          <cell r="AV290" t="str">
            <v>引魂仙子</v>
          </cell>
          <cell r="AW290" t="str">
            <v>02</v>
          </cell>
          <cell r="AX290" t="str">
            <v>[]</v>
          </cell>
          <cell r="AY290">
            <v>1</v>
          </cell>
          <cell r="BA290" t="str">
            <v>[]</v>
          </cell>
          <cell r="BE290" t="str">
            <v>[]</v>
          </cell>
          <cell r="BF290"/>
        </row>
        <row r="291">
          <cell r="A291" t="str">
            <v>yinhunxianzi_skill03</v>
          </cell>
          <cell r="B291" t="str">
            <v>越陷越深</v>
          </cell>
          <cell r="C291" t="str">
            <v>进入战斗场景时，提升自身暴击率@s</v>
          </cell>
          <cell r="D291">
            <v>1262</v>
          </cell>
          <cell r="E291">
            <v>0</v>
          </cell>
          <cell r="F291" t="str">
            <v>[]</v>
          </cell>
          <cell r="G291" t="str">
            <v>引魂仙子被动技能</v>
          </cell>
          <cell r="H291" t="str">
            <v>shuangfang</v>
          </cell>
          <cell r="I291" t="str">
            <v>[]</v>
          </cell>
          <cell r="J291">
            <v>2</v>
          </cell>
          <cell r="K291">
            <v>10</v>
          </cell>
          <cell r="L291" t="str">
            <v>[]</v>
          </cell>
          <cell r="M291">
            <v>2</v>
          </cell>
          <cell r="N291">
            <v>2</v>
          </cell>
          <cell r="O291">
            <v>3</v>
          </cell>
          <cell r="P291">
            <v>0</v>
          </cell>
          <cell r="Q291">
            <v>12</v>
          </cell>
          <cell r="R291">
            <v>3</v>
          </cell>
          <cell r="S291">
            <v>5</v>
          </cell>
          <cell r="T291">
            <v>10</v>
          </cell>
          <cell r="U291">
            <v>0</v>
          </cell>
          <cell r="V291">
            <v>0</v>
          </cell>
          <cell r="W291" t="str">
            <v>[]</v>
          </cell>
          <cell r="X291">
            <v>0</v>
          </cell>
          <cell r="Y291" t="str">
            <v>[]</v>
          </cell>
          <cell r="Z291" t="str">
            <v>0,0,0</v>
          </cell>
          <cell r="AA291">
            <v>0</v>
          </cell>
          <cell r="AB291" t="str">
            <v>[]</v>
          </cell>
          <cell r="AC291" t="str">
            <v>[]</v>
          </cell>
          <cell r="AD291" t="str">
            <v>[]</v>
          </cell>
          <cell r="AE291" t="str">
            <v>[]</v>
          </cell>
          <cell r="AF291" t="str">
            <v>[]</v>
          </cell>
          <cell r="AG291" t="str">
            <v>[]</v>
          </cell>
          <cell r="AH291" t="str">
            <v>[]</v>
          </cell>
          <cell r="AI291" t="str">
            <v>[]</v>
          </cell>
          <cell r="AJ291" t="str">
            <v>[]</v>
          </cell>
          <cell r="AK291" t="str">
            <v>[]</v>
          </cell>
          <cell r="AL291" t="str">
            <v>baojiupT6N0.2b</v>
          </cell>
          <cell r="AM291" t="str">
            <v>[]</v>
          </cell>
          <cell r="AN291">
            <v>0</v>
          </cell>
          <cell r="AO291" t="str">
            <v>[]</v>
          </cell>
          <cell r="AP291" t="str">
            <v>[]</v>
          </cell>
          <cell r="AQ291" t="str">
            <v>9015</v>
          </cell>
          <cell r="AR291" t="str">
            <v>[]</v>
          </cell>
          <cell r="AS291" t="str">
            <v>[]</v>
          </cell>
          <cell r="AT291" t="str">
            <v>1137</v>
          </cell>
          <cell r="AU291" t="str">
            <v>6140</v>
          </cell>
          <cell r="AV291" t="str">
            <v>引魂仙子</v>
          </cell>
          <cell r="AW291" t="str">
            <v>03</v>
          </cell>
          <cell r="AX291">
            <v>1262</v>
          </cell>
          <cell r="AY291">
            <v>1</v>
          </cell>
          <cell r="BA291" t="str">
            <v>[]</v>
          </cell>
          <cell r="BE291" t="str">
            <v>[]</v>
          </cell>
          <cell r="BF291"/>
        </row>
        <row r="292">
          <cell r="A292" t="str">
            <v>yinhunxianzi_skill04</v>
          </cell>
          <cell r="B292" t="str">
            <v>咒魂召唤</v>
          </cell>
          <cell r="C292" t="str">
            <v>召唤咒魂诅咒敌军，对范围内敌军造成2次自身攻击力@s的法伤，并降低敌人攻速@s，持续3秒</v>
          </cell>
          <cell r="D292">
            <v>1264</v>
          </cell>
          <cell r="E292">
            <v>1</v>
          </cell>
          <cell r="F292" t="str">
            <v>boss_warning_yuanxing</v>
          </cell>
          <cell r="G292" t="str">
            <v>引魂仙子技能4</v>
          </cell>
          <cell r="H292" t="str">
            <v>yinhunxianzi_skill04</v>
          </cell>
          <cell r="I292" t="str">
            <v>[]</v>
          </cell>
          <cell r="J292">
            <v>3</v>
          </cell>
          <cell r="K292">
            <v>10</v>
          </cell>
          <cell r="L292" t="str">
            <v>[]</v>
          </cell>
          <cell r="M292">
            <v>2</v>
          </cell>
          <cell r="N292">
            <v>2</v>
          </cell>
          <cell r="O292">
            <v>1</v>
          </cell>
          <cell r="P292">
            <v>2</v>
          </cell>
          <cell r="Q292">
            <v>12</v>
          </cell>
          <cell r="R292" t="str">
            <v>2|1</v>
          </cell>
          <cell r="S292" t="str">
            <v>2|6</v>
          </cell>
          <cell r="T292">
            <v>10</v>
          </cell>
          <cell r="U292">
            <v>0</v>
          </cell>
          <cell r="V292">
            <v>0</v>
          </cell>
          <cell r="W292" t="str">
            <v>[]</v>
          </cell>
          <cell r="X292">
            <v>3</v>
          </cell>
          <cell r="Y292" t="str">
            <v>[]</v>
          </cell>
          <cell r="Z292" t="str">
            <v>0,2.333,0</v>
          </cell>
          <cell r="AA292">
            <v>0</v>
          </cell>
          <cell r="AB292">
            <v>6</v>
          </cell>
          <cell r="AC292" t="str">
            <v>[]</v>
          </cell>
          <cell r="AD292" t="str">
            <v>[]</v>
          </cell>
          <cell r="AE292" t="str">
            <v>[]</v>
          </cell>
          <cell r="AF292" t="str">
            <v>yinhunxianzi_skill04</v>
          </cell>
          <cell r="AG292" t="str">
            <v>common_hit_fashu</v>
          </cell>
          <cell r="AH292" t="str">
            <v>[]</v>
          </cell>
          <cell r="AI292" t="str">
            <v>[]</v>
          </cell>
          <cell r="AJ292" t="str">
            <v>[]</v>
          </cell>
          <cell r="AK292" t="str">
            <v>[]</v>
          </cell>
          <cell r="AL292" t="str">
            <v>[]</v>
          </cell>
          <cell r="AM292" t="str">
            <v>gongsudownT3N0.2</v>
          </cell>
          <cell r="AN292">
            <v>2</v>
          </cell>
          <cell r="AO292" t="str">
            <v>0.5,1</v>
          </cell>
          <cell r="AP292">
            <v>120704</v>
          </cell>
          <cell r="AQ292" t="str">
            <v>120704,9020</v>
          </cell>
          <cell r="AR292" t="str">
            <v>[]</v>
          </cell>
          <cell r="AS292" t="str">
            <v>[]</v>
          </cell>
          <cell r="AT292" t="str">
            <v>9015</v>
          </cell>
          <cell r="AU292" t="str">
            <v>6150</v>
          </cell>
          <cell r="AV292" t="str">
            <v>引魂仙子</v>
          </cell>
          <cell r="AW292" t="str">
            <v>04</v>
          </cell>
          <cell r="AX292">
            <v>1264</v>
          </cell>
          <cell r="AY292">
            <v>2</v>
          </cell>
          <cell r="BA292" t="str">
            <v>[]</v>
          </cell>
          <cell r="BE292" t="str">
            <v>[]</v>
          </cell>
          <cell r="BF292"/>
        </row>
        <row r="293">
          <cell r="A293" t="str">
            <v>yinhunxianzi_skill011</v>
          </cell>
          <cell r="B293" t="str">
            <v>奥义·灯引百魂</v>
          </cell>
          <cell r="C293" t="str">
            <v>用魂灯召唤百魂，对范围内敌人进行3次攻击，造成主角攻击@s的法伤</v>
          </cell>
          <cell r="D293">
            <v>1266</v>
          </cell>
          <cell r="E293">
            <v>0</v>
          </cell>
          <cell r="F293" t="str">
            <v>[]</v>
          </cell>
          <cell r="G293" t="str">
            <v>引魂仙子核心技能1</v>
          </cell>
          <cell r="H293" t="str">
            <v>yinhunxianzi_skill01</v>
          </cell>
          <cell r="I293" t="str">
            <v>yinhunxianzi_skill01</v>
          </cell>
          <cell r="J293">
            <v>0</v>
          </cell>
          <cell r="K293">
            <v>10</v>
          </cell>
          <cell r="L293" t="str">
            <v>1|41</v>
          </cell>
          <cell r="M293">
            <v>2</v>
          </cell>
          <cell r="N293">
            <v>2</v>
          </cell>
          <cell r="O293">
            <v>2</v>
          </cell>
          <cell r="P293">
            <v>2</v>
          </cell>
          <cell r="Q293">
            <v>12</v>
          </cell>
          <cell r="R293" t="str">
            <v>2|1</v>
          </cell>
          <cell r="S293" t="str">
            <v>2|6</v>
          </cell>
          <cell r="T293">
            <v>10</v>
          </cell>
          <cell r="U293">
            <v>0</v>
          </cell>
          <cell r="V293">
            <v>0</v>
          </cell>
          <cell r="W293" t="str">
            <v>[]</v>
          </cell>
          <cell r="X293">
            <v>0</v>
          </cell>
          <cell r="Y293" t="str">
            <v>[]</v>
          </cell>
          <cell r="Z293" t="str">
            <v>0,1,0</v>
          </cell>
          <cell r="AA293">
            <v>0</v>
          </cell>
          <cell r="AB293" t="str">
            <v>12</v>
          </cell>
          <cell r="AC293" t="str">
            <v>[]</v>
          </cell>
          <cell r="AD293" t="str">
            <v>[]</v>
          </cell>
          <cell r="AE293" t="str">
            <v>[]</v>
          </cell>
          <cell r="AF293" t="str">
            <v>yinhunxianzi_skill01</v>
          </cell>
          <cell r="AG293" t="str">
            <v>[]</v>
          </cell>
          <cell r="AH293" t="str">
            <v>[]</v>
          </cell>
          <cell r="AI293" t="str">
            <v>[]</v>
          </cell>
          <cell r="AJ293" t="str">
            <v>[]</v>
          </cell>
          <cell r="AK293" t="str">
            <v>[]</v>
          </cell>
          <cell r="AL293" t="str">
            <v>[]</v>
          </cell>
          <cell r="AM293" t="str">
            <v>[]</v>
          </cell>
          <cell r="AN293">
            <v>2</v>
          </cell>
          <cell r="AO293" t="str">
            <v>1,0.5,0.5</v>
          </cell>
          <cell r="AP293">
            <v>120705</v>
          </cell>
          <cell r="AQ293" t="str">
            <v>120705</v>
          </cell>
          <cell r="AR293" t="str">
            <v>[]</v>
          </cell>
          <cell r="AS293" t="str">
            <v>[]</v>
          </cell>
          <cell r="AT293" t="str">
            <v>1137</v>
          </cell>
          <cell r="AU293" t="str">
            <v>6120</v>
          </cell>
          <cell r="AV293" t="str">
            <v>引魂仙子</v>
          </cell>
          <cell r="AW293" t="str">
            <v>11</v>
          </cell>
          <cell r="AX293">
            <v>1266</v>
          </cell>
          <cell r="AY293">
            <v>3</v>
          </cell>
          <cell r="BA293" t="str">
            <v>[]</v>
          </cell>
          <cell r="BE293" t="str">
            <v>[]</v>
          </cell>
          <cell r="BF293"/>
        </row>
        <row r="294">
          <cell r="A294" t="str">
            <v>yinhunxianzi_skill021</v>
          </cell>
          <cell r="B294" t="str">
            <v>奥义·狂暴木桩</v>
          </cell>
          <cell r="C294" t="str">
            <v>引爆咒魂，对范围内敌人造成自身攻击力@s的法伤，并击飞敌人</v>
          </cell>
          <cell r="D294">
            <v>1268</v>
          </cell>
          <cell r="E294">
            <v>1</v>
          </cell>
          <cell r="F294" t="str">
            <v>boss_warning_yuanxing</v>
          </cell>
          <cell r="G294" t="str">
            <v>引魂仙子技能2</v>
          </cell>
          <cell r="H294" t="str">
            <v>yinhunxianzi_skill02</v>
          </cell>
          <cell r="I294" t="str">
            <v>[]</v>
          </cell>
          <cell r="J294">
            <v>1</v>
          </cell>
          <cell r="K294">
            <v>10</v>
          </cell>
          <cell r="L294" t="str">
            <v>[]</v>
          </cell>
          <cell r="M294">
            <v>2</v>
          </cell>
          <cell r="N294">
            <v>2</v>
          </cell>
          <cell r="O294">
            <v>1</v>
          </cell>
          <cell r="P294">
            <v>2</v>
          </cell>
          <cell r="Q294">
            <v>12</v>
          </cell>
          <cell r="R294" t="str">
            <v>2|1</v>
          </cell>
          <cell r="S294" t="str">
            <v>2|4</v>
          </cell>
          <cell r="T294">
            <v>10</v>
          </cell>
          <cell r="U294">
            <v>0</v>
          </cell>
          <cell r="V294">
            <v>0</v>
          </cell>
          <cell r="W294" t="str">
            <v>[]</v>
          </cell>
          <cell r="X294">
            <v>3</v>
          </cell>
          <cell r="Y294" t="str">
            <v>[]</v>
          </cell>
          <cell r="Z294" t="str">
            <v>0,2.167,0</v>
          </cell>
          <cell r="AA294">
            <v>0</v>
          </cell>
          <cell r="AB294">
            <v>6</v>
          </cell>
          <cell r="AC294" t="str">
            <v>[]</v>
          </cell>
          <cell r="AD294" t="str">
            <v>[]</v>
          </cell>
          <cell r="AE294" t="str">
            <v>yinhunxianzi_skill02_q</v>
          </cell>
          <cell r="AF294" t="str">
            <v>yinhunxianzi_skill02</v>
          </cell>
          <cell r="AG294" t="str">
            <v>common_hit_fashu</v>
          </cell>
          <cell r="AH294" t="str">
            <v>[]</v>
          </cell>
          <cell r="AI294" t="str">
            <v>[]</v>
          </cell>
          <cell r="AJ294" t="str">
            <v>youyinhun_zhenping</v>
          </cell>
          <cell r="AK294" t="str">
            <v>yinhunxianzi_jifei</v>
          </cell>
          <cell r="AL294" t="str">
            <v>[]</v>
          </cell>
          <cell r="AM294" t="str">
            <v>[]</v>
          </cell>
          <cell r="AN294">
            <v>2</v>
          </cell>
          <cell r="AO294">
            <v>1</v>
          </cell>
          <cell r="AP294">
            <v>120706</v>
          </cell>
          <cell r="AQ294" t="str">
            <v>120706</v>
          </cell>
          <cell r="AR294" t="str">
            <v>[]</v>
          </cell>
          <cell r="AS294" t="str">
            <v>[]</v>
          </cell>
          <cell r="AT294" t="str">
            <v>1132</v>
          </cell>
          <cell r="AU294" t="str">
            <v>6130</v>
          </cell>
          <cell r="AV294" t="str">
            <v>引魂仙子</v>
          </cell>
          <cell r="AW294" t="str">
            <v>21</v>
          </cell>
          <cell r="AX294">
            <v>1268</v>
          </cell>
          <cell r="AY294">
            <v>1</v>
          </cell>
          <cell r="BA294" t="str">
            <v>[]</v>
          </cell>
          <cell r="BE294" t="str">
            <v>[]</v>
          </cell>
          <cell r="BF294"/>
        </row>
        <row r="295">
          <cell r="A295" t="str">
            <v>yinhunxianzi_skill041</v>
          </cell>
          <cell r="B295" t="str">
            <v>奥义·咒魂召唤</v>
          </cell>
          <cell r="C295" t="str">
            <v>召唤咒魂诅咒敌军，对范围内敌军造成2次自身攻击力@s的法伤，并降低敌人攻速@s，持续3秒</v>
          </cell>
          <cell r="D295">
            <v>1270</v>
          </cell>
          <cell r="E295">
            <v>1</v>
          </cell>
          <cell r="F295" t="str">
            <v>boss_warning_yuanxing</v>
          </cell>
          <cell r="G295" t="str">
            <v>引魂仙子技能4</v>
          </cell>
          <cell r="H295" t="str">
            <v>yinhunxianzi_skill04</v>
          </cell>
          <cell r="I295" t="str">
            <v>[]</v>
          </cell>
          <cell r="J295">
            <v>3</v>
          </cell>
          <cell r="K295">
            <v>10</v>
          </cell>
          <cell r="L295" t="str">
            <v>[]</v>
          </cell>
          <cell r="M295">
            <v>2</v>
          </cell>
          <cell r="N295">
            <v>2</v>
          </cell>
          <cell r="O295">
            <v>1</v>
          </cell>
          <cell r="P295">
            <v>2</v>
          </cell>
          <cell r="Q295">
            <v>12</v>
          </cell>
          <cell r="R295" t="str">
            <v>2|1</v>
          </cell>
          <cell r="S295" t="str">
            <v>2|6</v>
          </cell>
          <cell r="T295">
            <v>10</v>
          </cell>
          <cell r="U295">
            <v>0</v>
          </cell>
          <cell r="V295">
            <v>0</v>
          </cell>
          <cell r="W295" t="str">
            <v>[]</v>
          </cell>
          <cell r="X295">
            <v>3</v>
          </cell>
          <cell r="Y295" t="str">
            <v>[]</v>
          </cell>
          <cell r="Z295" t="str">
            <v>0,2.333,0</v>
          </cell>
          <cell r="AA295">
            <v>0</v>
          </cell>
          <cell r="AB295">
            <v>6</v>
          </cell>
          <cell r="AC295" t="str">
            <v>[]</v>
          </cell>
          <cell r="AD295" t="str">
            <v>[]</v>
          </cell>
          <cell r="AE295" t="str">
            <v>[]</v>
          </cell>
          <cell r="AF295" t="str">
            <v>yinhunxianzi_skill04</v>
          </cell>
          <cell r="AG295" t="str">
            <v>common_hit_fashu</v>
          </cell>
          <cell r="AH295" t="str">
            <v>[]</v>
          </cell>
          <cell r="AI295" t="str">
            <v>[]</v>
          </cell>
          <cell r="AJ295" t="str">
            <v>[]</v>
          </cell>
          <cell r="AK295" t="str">
            <v>[]</v>
          </cell>
          <cell r="AL295" t="str">
            <v>[]</v>
          </cell>
          <cell r="AM295" t="str">
            <v>gongsudownT3N0.2</v>
          </cell>
          <cell r="AN295">
            <v>2</v>
          </cell>
          <cell r="AO295" t="str">
            <v>1,0.5,0.5,0.5</v>
          </cell>
          <cell r="AP295">
            <v>120707</v>
          </cell>
          <cell r="AQ295" t="str">
            <v>120707,9020</v>
          </cell>
          <cell r="AR295" t="str">
            <v>[]</v>
          </cell>
          <cell r="AS295" t="str">
            <v>[]</v>
          </cell>
          <cell r="AT295" t="str">
            <v>1132</v>
          </cell>
          <cell r="AU295" t="str">
            <v>6150</v>
          </cell>
          <cell r="AV295" t="str">
            <v>引魂仙子</v>
          </cell>
          <cell r="AW295" t="str">
            <v>41</v>
          </cell>
          <cell r="AX295">
            <v>1270</v>
          </cell>
          <cell r="AY295">
            <v>4</v>
          </cell>
          <cell r="BA295" t="str">
            <v>[]</v>
          </cell>
          <cell r="BE295" t="str">
            <v>[]</v>
          </cell>
          <cell r="BF295"/>
        </row>
        <row r="296">
          <cell r="A296" t="str">
            <v>baiwuchang_attack</v>
          </cell>
          <cell r="B296" t="str">
            <v>白无常普攻</v>
          </cell>
          <cell r="C296" t="str">
            <v>普攻</v>
          </cell>
          <cell r="D296" t="str">
            <v>[]</v>
          </cell>
          <cell r="E296">
            <v>0</v>
          </cell>
          <cell r="F296" t="str">
            <v>[]</v>
          </cell>
          <cell r="G296" t="str">
            <v>远程攻击</v>
          </cell>
          <cell r="H296" t="str">
            <v>[]</v>
          </cell>
          <cell r="I296" t="str">
            <v>[]</v>
          </cell>
          <cell r="J296">
            <v>0</v>
          </cell>
          <cell r="K296">
            <v>1</v>
          </cell>
          <cell r="L296" t="str">
            <v>[]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12</v>
          </cell>
          <cell r="R296" t="str">
            <v>2|1</v>
          </cell>
          <cell r="S296" t="str">
            <v>4|0.2</v>
          </cell>
          <cell r="T296">
            <v>1</v>
          </cell>
          <cell r="U296">
            <v>1</v>
          </cell>
          <cell r="V296">
            <v>0</v>
          </cell>
          <cell r="W296" t="str">
            <v>[]</v>
          </cell>
          <cell r="X296">
            <v>0</v>
          </cell>
          <cell r="Y296" t="str">
            <v>[]</v>
          </cell>
          <cell r="Z296" t="str">
            <v>0,1,0</v>
          </cell>
          <cell r="AA296">
            <v>0</v>
          </cell>
          <cell r="AB296">
            <v>0</v>
          </cell>
          <cell r="AC296" t="str">
            <v>[]</v>
          </cell>
          <cell r="AD296" t="str">
            <v>[]</v>
          </cell>
          <cell r="AE296" t="str">
            <v>[]</v>
          </cell>
          <cell r="AF296" t="str">
            <v>baiwuchang_attack</v>
          </cell>
          <cell r="AG296" t="str">
            <v>common_hit_fashu</v>
          </cell>
          <cell r="AH296" t="str">
            <v>[]</v>
          </cell>
          <cell r="AI296" t="str">
            <v>[]</v>
          </cell>
          <cell r="AJ296" t="str">
            <v>[]</v>
          </cell>
          <cell r="AK296" t="str">
            <v>[]</v>
          </cell>
          <cell r="AL296" t="str">
            <v>[]</v>
          </cell>
          <cell r="AM296" t="str">
            <v>[]</v>
          </cell>
          <cell r="AN296">
            <v>2</v>
          </cell>
          <cell r="AO296">
            <v>-2</v>
          </cell>
          <cell r="AP296">
            <v>121800</v>
          </cell>
          <cell r="AQ296" t="str">
            <v>121800</v>
          </cell>
          <cell r="AR296" t="str">
            <v>[]</v>
          </cell>
          <cell r="AS296" t="str">
            <v>[]</v>
          </cell>
          <cell r="AT296" t="str">
            <v>1132</v>
          </cell>
          <cell r="AU296" t="str">
            <v>6160</v>
          </cell>
          <cell r="AV296" t="str">
            <v>远程攻击</v>
          </cell>
          <cell r="AW296" t="str">
            <v>ck</v>
          </cell>
          <cell r="AX296" t="str">
            <v>[]</v>
          </cell>
          <cell r="AY296">
            <v>1</v>
          </cell>
          <cell r="BA296" t="str">
            <v>[]</v>
          </cell>
          <cell r="BE296" t="str">
            <v>[]</v>
          </cell>
          <cell r="BF296"/>
        </row>
        <row r="297">
          <cell r="A297" t="str">
            <v>baiwuchang_attack02</v>
          </cell>
          <cell r="B297" t="str">
            <v>白无常</v>
          </cell>
          <cell r="C297" t="str">
            <v>普攻</v>
          </cell>
          <cell r="D297" t="str">
            <v>[]</v>
          </cell>
          <cell r="E297">
            <v>0</v>
          </cell>
          <cell r="F297" t="str">
            <v>[]</v>
          </cell>
          <cell r="G297" t="str">
            <v>远程攻击</v>
          </cell>
          <cell r="H297" t="str">
            <v>[]</v>
          </cell>
          <cell r="I297" t="str">
            <v>[]</v>
          </cell>
          <cell r="J297">
            <v>0</v>
          </cell>
          <cell r="K297">
            <v>1</v>
          </cell>
          <cell r="L297" t="str">
            <v>[]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12</v>
          </cell>
          <cell r="R297" t="str">
            <v>2|1</v>
          </cell>
          <cell r="S297" t="str">
            <v>4|0.2</v>
          </cell>
          <cell r="T297">
            <v>1</v>
          </cell>
          <cell r="U297">
            <v>1</v>
          </cell>
          <cell r="V297">
            <v>0</v>
          </cell>
          <cell r="W297" t="str">
            <v>[]</v>
          </cell>
          <cell r="X297">
            <v>0</v>
          </cell>
          <cell r="Y297" t="str">
            <v>[]</v>
          </cell>
          <cell r="Z297" t="str">
            <v>0,1,0</v>
          </cell>
          <cell r="AA297">
            <v>0</v>
          </cell>
          <cell r="AB297" t="str">
            <v>[]</v>
          </cell>
          <cell r="AC297" t="str">
            <v>[]</v>
          </cell>
          <cell r="AD297" t="str">
            <v>[]</v>
          </cell>
          <cell r="AE297" t="str">
            <v>[]</v>
          </cell>
          <cell r="AF297" t="str">
            <v>baiwuchang_attack02</v>
          </cell>
          <cell r="AG297" t="str">
            <v>common_hit_fashu</v>
          </cell>
          <cell r="AH297" t="str">
            <v>[]</v>
          </cell>
          <cell r="AI297" t="str">
            <v>[]</v>
          </cell>
          <cell r="AJ297" t="str">
            <v>[]</v>
          </cell>
          <cell r="AK297" t="str">
            <v>[]</v>
          </cell>
          <cell r="AL297" t="str">
            <v>[]</v>
          </cell>
          <cell r="AM297" t="str">
            <v>[]</v>
          </cell>
          <cell r="AN297">
            <v>2</v>
          </cell>
          <cell r="AO297" t="str">
            <v>[]</v>
          </cell>
          <cell r="AP297">
            <v>121801</v>
          </cell>
          <cell r="AQ297" t="str">
            <v>121801</v>
          </cell>
          <cell r="AR297" t="str">
            <v>[]</v>
          </cell>
          <cell r="AS297" t="str">
            <v>[]</v>
          </cell>
          <cell r="AT297" t="str">
            <v>9020</v>
          </cell>
          <cell r="AU297" t="str">
            <v>6160</v>
          </cell>
          <cell r="AV297" t="str">
            <v>远程攻击</v>
          </cell>
          <cell r="AW297" t="str">
            <v>02</v>
          </cell>
          <cell r="AX297" t="str">
            <v>[]</v>
          </cell>
          <cell r="AY297">
            <v>1</v>
          </cell>
          <cell r="BA297" t="str">
            <v>[]</v>
          </cell>
          <cell r="BE297" t="str">
            <v>[]</v>
          </cell>
          <cell r="BF297"/>
        </row>
        <row r="298">
          <cell r="A298" t="str">
            <v>baiwuchang_attack03</v>
          </cell>
          <cell r="B298" t="str">
            <v>白无常</v>
          </cell>
          <cell r="C298" t="str">
            <v>普攻</v>
          </cell>
          <cell r="D298">
            <v>1262</v>
          </cell>
          <cell r="E298">
            <v>0</v>
          </cell>
          <cell r="F298" t="str">
            <v>[]</v>
          </cell>
          <cell r="G298" t="str">
            <v>远程攻击</v>
          </cell>
          <cell r="H298" t="str">
            <v>[]</v>
          </cell>
          <cell r="I298" t="str">
            <v>[]</v>
          </cell>
          <cell r="J298">
            <v>0</v>
          </cell>
          <cell r="K298">
            <v>1</v>
          </cell>
          <cell r="L298" t="str">
            <v>[]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12</v>
          </cell>
          <cell r="R298" t="str">
            <v>2|1</v>
          </cell>
          <cell r="S298" t="str">
            <v>4|0.2</v>
          </cell>
          <cell r="T298">
            <v>1</v>
          </cell>
          <cell r="U298">
            <v>1</v>
          </cell>
          <cell r="V298">
            <v>0</v>
          </cell>
          <cell r="W298" t="str">
            <v>[]</v>
          </cell>
          <cell r="X298">
            <v>0</v>
          </cell>
          <cell r="Y298" t="str">
            <v>[]</v>
          </cell>
          <cell r="Z298" t="str">
            <v>0,1,0</v>
          </cell>
          <cell r="AA298">
            <v>0</v>
          </cell>
          <cell r="AB298" t="str">
            <v>[]</v>
          </cell>
          <cell r="AC298" t="str">
            <v>[]</v>
          </cell>
          <cell r="AD298" t="str">
            <v>[]</v>
          </cell>
          <cell r="AE298" t="str">
            <v>[]</v>
          </cell>
          <cell r="AF298" t="str">
            <v>baiwuchang_attack03</v>
          </cell>
          <cell r="AG298" t="str">
            <v>common_hit_fashu</v>
          </cell>
          <cell r="AH298" t="str">
            <v>[]</v>
          </cell>
          <cell r="AI298" t="str">
            <v>[]</v>
          </cell>
          <cell r="AJ298" t="str">
            <v>[]</v>
          </cell>
          <cell r="AK298" t="str">
            <v>[]</v>
          </cell>
          <cell r="AL298" t="str">
            <v>[]</v>
          </cell>
          <cell r="AM298" t="str">
            <v>[]</v>
          </cell>
          <cell r="AN298">
            <v>2</v>
          </cell>
          <cell r="AO298" t="str">
            <v>[]</v>
          </cell>
          <cell r="AP298">
            <v>121802</v>
          </cell>
          <cell r="AQ298" t="str">
            <v>121802</v>
          </cell>
          <cell r="AR298" t="str">
            <v>[]</v>
          </cell>
          <cell r="AS298" t="str">
            <v>[]</v>
          </cell>
          <cell r="AT298" t="str">
            <v>1132</v>
          </cell>
          <cell r="AU298" t="str">
            <v>6160</v>
          </cell>
          <cell r="AV298" t="str">
            <v>远程攻击</v>
          </cell>
          <cell r="AW298" t="str">
            <v>03</v>
          </cell>
          <cell r="AX298">
            <v>1262</v>
          </cell>
          <cell r="AY298">
            <v>1</v>
          </cell>
          <cell r="BA298" t="str">
            <v>[]</v>
          </cell>
          <cell r="BE298" t="str">
            <v>[]</v>
          </cell>
          <cell r="BF298"/>
        </row>
        <row r="299">
          <cell r="A299" t="str">
            <v>baiwuchang_skill01</v>
          </cell>
          <cell r="B299" t="str">
            <v>魂飞魄散</v>
          </cell>
          <cell r="C299" t="str">
            <v>释放噬魂幡咒法攻击敌军，对范围内敌人造成主角攻击力@s的法伤,造成流血状态6秒</v>
          </cell>
          <cell r="D299" t="str">
            <v>[]</v>
          </cell>
          <cell r="E299">
            <v>0</v>
          </cell>
          <cell r="F299" t="str">
            <v>[]</v>
          </cell>
          <cell r="G299" t="str">
            <v>白无常核心技能</v>
          </cell>
          <cell r="H299" t="str">
            <v>baiwuchang_skill01</v>
          </cell>
          <cell r="I299" t="str">
            <v>baiwuchang_skill01</v>
          </cell>
          <cell r="J299">
            <v>0</v>
          </cell>
          <cell r="K299">
            <v>1</v>
          </cell>
          <cell r="L299" t="str">
            <v>1|11</v>
          </cell>
          <cell r="M299">
            <v>2</v>
          </cell>
          <cell r="N299">
            <v>2</v>
          </cell>
          <cell r="O299">
            <v>2</v>
          </cell>
          <cell r="P299">
            <v>2</v>
          </cell>
          <cell r="Q299">
            <v>12</v>
          </cell>
          <cell r="R299" t="str">
            <v>2|1</v>
          </cell>
          <cell r="S299" t="str">
            <v>2|6</v>
          </cell>
          <cell r="T299">
            <v>10</v>
          </cell>
          <cell r="U299">
            <v>1</v>
          </cell>
          <cell r="V299">
            <v>0</v>
          </cell>
          <cell r="W299" t="str">
            <v>[]</v>
          </cell>
          <cell r="X299">
            <v>0</v>
          </cell>
          <cell r="Y299" t="str">
            <v>[]</v>
          </cell>
          <cell r="Z299" t="str">
            <v>0,1,0</v>
          </cell>
          <cell r="AA299">
            <v>0</v>
          </cell>
          <cell r="AB299" t="str">
            <v>12</v>
          </cell>
          <cell r="AC299" t="str">
            <v>[]</v>
          </cell>
          <cell r="AD299" t="str">
            <v>[]</v>
          </cell>
          <cell r="AE299" t="str">
            <v>[]</v>
          </cell>
          <cell r="AF299" t="str">
            <v>baiwuchang_skill01</v>
          </cell>
          <cell r="AG299" t="str">
            <v>baiwuchang_skill01_buff</v>
          </cell>
          <cell r="AH299" t="str">
            <v>[]</v>
          </cell>
          <cell r="AI299" t="str">
            <v>[]</v>
          </cell>
          <cell r="AJ299" t="str">
            <v>[]</v>
          </cell>
          <cell r="AK299" t="str">
            <v>[]</v>
          </cell>
          <cell r="AL299" t="str">
            <v>[]</v>
          </cell>
          <cell r="AM299" t="str">
            <v>liuxueT6N0.1</v>
          </cell>
          <cell r="AN299">
            <v>1</v>
          </cell>
          <cell r="AO299">
            <v>1.8</v>
          </cell>
          <cell r="AP299">
            <v>121803</v>
          </cell>
          <cell r="AQ299" t="str">
            <v>121803</v>
          </cell>
          <cell r="AR299" t="str">
            <v>[]</v>
          </cell>
          <cell r="AS299" t="str">
            <v>[]</v>
          </cell>
          <cell r="AT299" t="str">
            <v>1132</v>
          </cell>
          <cell r="AU299" t="str">
            <v>6170</v>
          </cell>
          <cell r="AV299" t="str">
            <v>白无常</v>
          </cell>
          <cell r="AW299" t="str">
            <v>01</v>
          </cell>
          <cell r="AX299" t="str">
            <v>[]</v>
          </cell>
          <cell r="AY299">
            <v>1</v>
          </cell>
          <cell r="BA299" t="str">
            <v>[]</v>
          </cell>
          <cell r="BE299" t="str">
            <v>[]</v>
          </cell>
          <cell r="BF299"/>
        </row>
        <row r="300">
          <cell r="A300" t="str">
            <v>baiwuchang_skill02</v>
          </cell>
          <cell r="B300" t="str">
            <v>夺魄</v>
          </cell>
          <cell r="C300" t="str">
            <v>用噬魂幡召唤咒法夺取敌军魂魄，对范围内敌人造成自身攻击力@s的法伤，同时提升自身暴击@s,持续3秒，20%概率盅惑目标[被盅惑目标攻击敌方同伴]</v>
          </cell>
          <cell r="D300" t="str">
            <v>[]</v>
          </cell>
          <cell r="E300">
            <v>1</v>
          </cell>
          <cell r="F300" t="str">
            <v>boss_warning_yuanxing</v>
          </cell>
          <cell r="G300" t="str">
            <v>白无常技能2</v>
          </cell>
          <cell r="H300" t="str">
            <v>baiwuchang_skill02</v>
          </cell>
          <cell r="I300" t="str">
            <v>[]</v>
          </cell>
          <cell r="J300">
            <v>1</v>
          </cell>
          <cell r="K300">
            <v>1</v>
          </cell>
          <cell r="L300" t="str">
            <v>[]</v>
          </cell>
          <cell r="M300">
            <v>2</v>
          </cell>
          <cell r="N300">
            <v>2</v>
          </cell>
          <cell r="O300">
            <v>2</v>
          </cell>
          <cell r="P300">
            <v>2</v>
          </cell>
          <cell r="Q300">
            <v>12</v>
          </cell>
          <cell r="R300" t="str">
            <v>2|1</v>
          </cell>
          <cell r="S300" t="str">
            <v>2|6</v>
          </cell>
          <cell r="T300">
            <v>10</v>
          </cell>
          <cell r="U300">
            <v>1</v>
          </cell>
          <cell r="V300">
            <v>0</v>
          </cell>
          <cell r="W300" t="str">
            <v>[]</v>
          </cell>
          <cell r="X300">
            <v>3</v>
          </cell>
          <cell r="Y300" t="str">
            <v>[]</v>
          </cell>
          <cell r="Z300" t="str">
            <v>0,1.98,1.353</v>
          </cell>
          <cell r="AA300">
            <v>0</v>
          </cell>
          <cell r="AB300">
            <v>6</v>
          </cell>
          <cell r="AC300" t="str">
            <v>[]</v>
          </cell>
          <cell r="AD300" t="str">
            <v>[]</v>
          </cell>
          <cell r="AE300" t="str">
            <v>[]</v>
          </cell>
          <cell r="AF300" t="str">
            <v>temp_baiwuchang_skill02</v>
          </cell>
          <cell r="AG300" t="str">
            <v>common_hit_fashu</v>
          </cell>
          <cell r="AH300" t="str">
            <v>[]</v>
          </cell>
          <cell r="AI300" t="str">
            <v>[]</v>
          </cell>
          <cell r="AJ300" t="str">
            <v>[]</v>
          </cell>
          <cell r="AK300" t="str">
            <v>meihuoT2NP0.2</v>
          </cell>
          <cell r="AL300" t="str">
            <v>baojiupT3N0.1</v>
          </cell>
          <cell r="AM300" t="str">
            <v>[]</v>
          </cell>
          <cell r="AN300">
            <v>1</v>
          </cell>
          <cell r="AO300">
            <v>2</v>
          </cell>
          <cell r="AP300">
            <v>121804</v>
          </cell>
          <cell r="AQ300" t="str">
            <v>121804,9010</v>
          </cell>
          <cell r="AR300" t="str">
            <v>[]</v>
          </cell>
          <cell r="AS300" t="str">
            <v>[]</v>
          </cell>
          <cell r="AT300" t="str">
            <v>1132</v>
          </cell>
          <cell r="AU300" t="str">
            <v>6180</v>
          </cell>
          <cell r="AV300" t="str">
            <v>白无常</v>
          </cell>
          <cell r="AW300" t="str">
            <v>02</v>
          </cell>
          <cell r="AX300" t="str">
            <v>[]</v>
          </cell>
          <cell r="AY300">
            <v>1</v>
          </cell>
          <cell r="AZ300">
            <v>0.2</v>
          </cell>
          <cell r="BA300">
            <v>0.2</v>
          </cell>
          <cell r="BE300">
            <v>0.2</v>
          </cell>
          <cell r="BF300"/>
        </row>
        <row r="301">
          <cell r="A301" t="str">
            <v>baiwuchang_skill03</v>
          </cell>
          <cell r="B301" t="str">
            <v>鬼噬</v>
          </cell>
          <cell r="C301" t="str">
            <v>进入战斗场景时，提升自身造成的伤害@s</v>
          </cell>
          <cell r="D301">
            <v>1262</v>
          </cell>
          <cell r="E301">
            <v>0</v>
          </cell>
          <cell r="F301" t="str">
            <v>[]</v>
          </cell>
          <cell r="G301" t="str">
            <v>白无常被动技能</v>
          </cell>
          <cell r="H301" t="str">
            <v>wugong</v>
          </cell>
          <cell r="I301" t="str">
            <v>[]</v>
          </cell>
          <cell r="J301">
            <v>2</v>
          </cell>
          <cell r="K301">
            <v>1</v>
          </cell>
          <cell r="L301" t="str">
            <v>[]</v>
          </cell>
          <cell r="M301">
            <v>2</v>
          </cell>
          <cell r="N301">
            <v>2</v>
          </cell>
          <cell r="O301">
            <v>3</v>
          </cell>
          <cell r="P301">
            <v>0</v>
          </cell>
          <cell r="Q301">
            <v>12</v>
          </cell>
          <cell r="R301">
            <v>3</v>
          </cell>
          <cell r="S301" t="str">
            <v>4|0.2</v>
          </cell>
          <cell r="T301">
            <v>10</v>
          </cell>
          <cell r="U301">
            <v>0</v>
          </cell>
          <cell r="V301">
            <v>0</v>
          </cell>
          <cell r="W301" t="str">
            <v>[]</v>
          </cell>
          <cell r="X301">
            <v>0</v>
          </cell>
          <cell r="Y301" t="str">
            <v>[]</v>
          </cell>
          <cell r="Z301" t="str">
            <v>0,0,0</v>
          </cell>
          <cell r="AA301">
            <v>0</v>
          </cell>
          <cell r="AB301">
            <v>0</v>
          </cell>
          <cell r="AC301" t="str">
            <v>[]</v>
          </cell>
          <cell r="AD301" t="str">
            <v>[]</v>
          </cell>
          <cell r="AE301" t="str">
            <v>[]</v>
          </cell>
          <cell r="AF301" t="str">
            <v>[]</v>
          </cell>
          <cell r="AG301" t="str">
            <v>[]</v>
          </cell>
          <cell r="AH301" t="str">
            <v>[]</v>
          </cell>
          <cell r="AI301" t="str">
            <v>[]</v>
          </cell>
          <cell r="AJ301" t="str">
            <v>[]</v>
          </cell>
          <cell r="AK301" t="str">
            <v>[]</v>
          </cell>
          <cell r="AL301" t="str">
            <v>yishangT3N0.1b</v>
          </cell>
          <cell r="AM301" t="str">
            <v>[]</v>
          </cell>
          <cell r="AN301">
            <v>0</v>
          </cell>
          <cell r="AO301" t="str">
            <v>[]</v>
          </cell>
          <cell r="AP301" t="str">
            <v>[]</v>
          </cell>
          <cell r="AQ301" t="str">
            <v>9010</v>
          </cell>
          <cell r="AR301" t="str">
            <v>[]</v>
          </cell>
          <cell r="AS301" t="str">
            <v>[]</v>
          </cell>
          <cell r="AT301" t="str">
            <v>1132</v>
          </cell>
          <cell r="AU301" t="str">
            <v>6190</v>
          </cell>
          <cell r="AV301" t="str">
            <v>白无常</v>
          </cell>
          <cell r="AW301" t="str">
            <v>03</v>
          </cell>
          <cell r="AX301">
            <v>1262</v>
          </cell>
          <cell r="AY301">
            <v>1</v>
          </cell>
          <cell r="BA301" t="str">
            <v>[]</v>
          </cell>
          <cell r="BE301" t="str">
            <v>[]</v>
          </cell>
          <cell r="BF301"/>
        </row>
        <row r="302">
          <cell r="A302" t="str">
            <v>baiwuchang_skill04</v>
          </cell>
          <cell r="B302" t="str">
            <v>镇魂</v>
          </cell>
          <cell r="C302" t="str">
            <v>将噬魂幡插入地面释放咒法，对范围内敌人进行7次攻击,造成自身攻击力@s的法伤，同时提升自身暴击@s,持续3秒</v>
          </cell>
          <cell r="D302">
            <v>1264</v>
          </cell>
          <cell r="E302">
            <v>1</v>
          </cell>
          <cell r="F302" t="str">
            <v>boss_warning_yuanxing</v>
          </cell>
          <cell r="G302" t="str">
            <v>白无常技能4</v>
          </cell>
          <cell r="H302" t="str">
            <v>baiwuchang_skill04</v>
          </cell>
          <cell r="I302" t="str">
            <v>[]</v>
          </cell>
          <cell r="J302">
            <v>3</v>
          </cell>
          <cell r="K302">
            <v>1</v>
          </cell>
          <cell r="L302" t="str">
            <v>[]</v>
          </cell>
          <cell r="M302">
            <v>2</v>
          </cell>
          <cell r="N302">
            <v>2</v>
          </cell>
          <cell r="O302">
            <v>1</v>
          </cell>
          <cell r="P302">
            <v>2</v>
          </cell>
          <cell r="Q302">
            <v>12</v>
          </cell>
          <cell r="R302" t="str">
            <v>2|1</v>
          </cell>
          <cell r="S302" t="str">
            <v>2|6</v>
          </cell>
          <cell r="T302">
            <v>10</v>
          </cell>
          <cell r="U302">
            <v>0</v>
          </cell>
          <cell r="V302">
            <v>0</v>
          </cell>
          <cell r="W302" t="str">
            <v>[]</v>
          </cell>
          <cell r="X302">
            <v>3</v>
          </cell>
          <cell r="Y302" t="str">
            <v>[]</v>
          </cell>
          <cell r="Z302" t="str">
            <v>0,0.429,0</v>
          </cell>
          <cell r="AA302">
            <v>0</v>
          </cell>
          <cell r="AB302">
            <v>6</v>
          </cell>
          <cell r="AC302" t="str">
            <v>[]</v>
          </cell>
          <cell r="AD302" t="str">
            <v>[]</v>
          </cell>
          <cell r="AE302" t="str">
            <v>[]</v>
          </cell>
          <cell r="AF302" t="str">
            <v>baiwuchang_skill04</v>
          </cell>
          <cell r="AG302" t="str">
            <v>baiwuchang_skill04_buff</v>
          </cell>
          <cell r="AH302" t="str">
            <v>[]</v>
          </cell>
          <cell r="AI302" t="str">
            <v>[]</v>
          </cell>
          <cell r="AJ302" t="str">
            <v>[]</v>
          </cell>
          <cell r="AK302" t="str">
            <v>[]</v>
          </cell>
          <cell r="AL302" t="str">
            <v>baojiupT3N0.1</v>
          </cell>
          <cell r="AM302" t="str">
            <v>[]</v>
          </cell>
          <cell r="AN302">
            <v>1</v>
          </cell>
          <cell r="AO302" t="str">
            <v>0.5,0.5,0.5,0.5,0.5,0.5,0.5</v>
          </cell>
          <cell r="AP302">
            <v>121806</v>
          </cell>
          <cell r="AQ302" t="str">
            <v>121806,9010</v>
          </cell>
          <cell r="AR302" t="str">
            <v>[]</v>
          </cell>
          <cell r="AS302" t="str">
            <v>[]</v>
          </cell>
          <cell r="AT302" t="str">
            <v>1140</v>
          </cell>
          <cell r="AU302" t="str">
            <v>6200</v>
          </cell>
          <cell r="AV302" t="str">
            <v>白无常</v>
          </cell>
          <cell r="AW302" t="str">
            <v>04</v>
          </cell>
          <cell r="AX302">
            <v>1264</v>
          </cell>
          <cell r="AY302">
            <v>7</v>
          </cell>
          <cell r="BA302" t="str">
            <v>[]</v>
          </cell>
          <cell r="BE302" t="str">
            <v>[]</v>
          </cell>
          <cell r="BF302"/>
        </row>
        <row r="303">
          <cell r="A303" t="str">
            <v>baiwuchang_skill011</v>
          </cell>
          <cell r="B303" t="str">
            <v>奥义·魂飞魄散</v>
          </cell>
          <cell r="C303" t="str">
            <v>释放噬魂幡咒法攻击敌军，对范围内敌人造成主角攻击力@s的法伤,造成高级流血状态6秒</v>
          </cell>
          <cell r="D303">
            <v>1266</v>
          </cell>
          <cell r="E303">
            <v>0</v>
          </cell>
          <cell r="F303" t="str">
            <v>[]</v>
          </cell>
          <cell r="G303" t="str">
            <v>白无常核心技能</v>
          </cell>
          <cell r="H303" t="str">
            <v>baiwuchang_skill01</v>
          </cell>
          <cell r="I303" t="str">
            <v>baiwuchang_skill01</v>
          </cell>
          <cell r="J303">
            <v>0</v>
          </cell>
          <cell r="K303">
            <v>1</v>
          </cell>
          <cell r="L303" t="str">
            <v>1|11</v>
          </cell>
          <cell r="M303">
            <v>2</v>
          </cell>
          <cell r="N303">
            <v>2</v>
          </cell>
          <cell r="O303">
            <v>2</v>
          </cell>
          <cell r="P303">
            <v>2</v>
          </cell>
          <cell r="Q303">
            <v>12</v>
          </cell>
          <cell r="R303" t="str">
            <v>2|1</v>
          </cell>
          <cell r="S303" t="str">
            <v>2|6</v>
          </cell>
          <cell r="T303">
            <v>10</v>
          </cell>
          <cell r="U303">
            <v>1</v>
          </cell>
          <cell r="V303">
            <v>0</v>
          </cell>
          <cell r="W303" t="str">
            <v>[]</v>
          </cell>
          <cell r="X303">
            <v>0</v>
          </cell>
          <cell r="Y303" t="str">
            <v>[]</v>
          </cell>
          <cell r="Z303" t="str">
            <v>0,1,0</v>
          </cell>
          <cell r="AA303">
            <v>0</v>
          </cell>
          <cell r="AB303" t="str">
            <v>12</v>
          </cell>
          <cell r="AC303" t="str">
            <v>[]</v>
          </cell>
          <cell r="AD303" t="str">
            <v>[]</v>
          </cell>
          <cell r="AE303" t="str">
            <v>[]</v>
          </cell>
          <cell r="AF303" t="str">
            <v>baiwuchang_skill01</v>
          </cell>
          <cell r="AG303" t="str">
            <v>baiwuchang_skill01_buff</v>
          </cell>
          <cell r="AH303" t="str">
            <v>[]</v>
          </cell>
          <cell r="AI303" t="str">
            <v>[]</v>
          </cell>
          <cell r="AJ303" t="str">
            <v>[]</v>
          </cell>
          <cell r="AK303" t="str">
            <v>[]</v>
          </cell>
          <cell r="AL303" t="str">
            <v>[]</v>
          </cell>
          <cell r="AM303" t="str">
            <v>liuxueT6N0.2</v>
          </cell>
          <cell r="AN303">
            <v>1</v>
          </cell>
          <cell r="AO303">
            <v>1.8</v>
          </cell>
          <cell r="AP303">
            <v>121807</v>
          </cell>
          <cell r="AQ303" t="str">
            <v>121807</v>
          </cell>
          <cell r="AR303" t="str">
            <v>[]</v>
          </cell>
          <cell r="AS303" t="str">
            <v>[]</v>
          </cell>
          <cell r="AT303" t="str">
            <v>4373</v>
          </cell>
          <cell r="AU303" t="str">
            <v>6170</v>
          </cell>
          <cell r="AV303" t="str">
            <v>白无常</v>
          </cell>
          <cell r="AW303" t="str">
            <v>11</v>
          </cell>
          <cell r="AX303">
            <v>1266</v>
          </cell>
          <cell r="AY303">
            <v>1</v>
          </cell>
          <cell r="BA303" t="str">
            <v>[]</v>
          </cell>
          <cell r="BE303" t="str">
            <v>[]</v>
          </cell>
          <cell r="BF303"/>
        </row>
        <row r="304">
          <cell r="A304" t="str">
            <v>baiwuchang_skill021</v>
          </cell>
          <cell r="B304" t="str">
            <v>奥义·夺魄</v>
          </cell>
          <cell r="C304" t="str">
            <v>用噬魂幡召唤咒法夺取敌军魂魄，对范围内敌人造成自身攻击力@s的法伤，同时提升自身暴击@s,持续3秒，40%概率盅惑目标[被盅惑目标攻击敌方同伴]</v>
          </cell>
          <cell r="D304">
            <v>1268</v>
          </cell>
          <cell r="E304">
            <v>1</v>
          </cell>
          <cell r="F304" t="str">
            <v>boss_warning_yuanxing</v>
          </cell>
          <cell r="G304" t="str">
            <v>白无常技能2</v>
          </cell>
          <cell r="H304" t="str">
            <v>baiwuchang_skill02</v>
          </cell>
          <cell r="I304" t="str">
            <v>[]</v>
          </cell>
          <cell r="J304">
            <v>1</v>
          </cell>
          <cell r="K304">
            <v>1</v>
          </cell>
          <cell r="L304" t="str">
            <v>[]</v>
          </cell>
          <cell r="M304">
            <v>2</v>
          </cell>
          <cell r="N304">
            <v>2</v>
          </cell>
          <cell r="O304">
            <v>2</v>
          </cell>
          <cell r="P304">
            <v>2</v>
          </cell>
          <cell r="Q304">
            <v>12</v>
          </cell>
          <cell r="R304" t="str">
            <v>2|1</v>
          </cell>
          <cell r="S304" t="str">
            <v>2|6</v>
          </cell>
          <cell r="T304">
            <v>10</v>
          </cell>
          <cell r="U304">
            <v>1</v>
          </cell>
          <cell r="V304">
            <v>0</v>
          </cell>
          <cell r="W304" t="str">
            <v>[]</v>
          </cell>
          <cell r="X304">
            <v>3</v>
          </cell>
          <cell r="Y304" t="str">
            <v>[]</v>
          </cell>
          <cell r="Z304" t="str">
            <v>0,1.98,1.353</v>
          </cell>
          <cell r="AA304">
            <v>0</v>
          </cell>
          <cell r="AB304">
            <v>6</v>
          </cell>
          <cell r="AC304" t="str">
            <v>[]</v>
          </cell>
          <cell r="AD304" t="str">
            <v>[]</v>
          </cell>
          <cell r="AE304" t="str">
            <v>[]</v>
          </cell>
          <cell r="AF304" t="str">
            <v>temp_baiwuchang_skill02</v>
          </cell>
          <cell r="AG304" t="str">
            <v>common_hit_fashu</v>
          </cell>
          <cell r="AH304" t="str">
            <v>[]</v>
          </cell>
          <cell r="AI304" t="str">
            <v>[]</v>
          </cell>
          <cell r="AJ304" t="str">
            <v>[]</v>
          </cell>
          <cell r="AK304" t="str">
            <v>meihuoT2NP0.4</v>
          </cell>
          <cell r="AL304" t="str">
            <v>baojiupT3N0.15</v>
          </cell>
          <cell r="AM304" t="str">
            <v>[]</v>
          </cell>
          <cell r="AN304">
            <v>1</v>
          </cell>
          <cell r="AO304">
            <v>2</v>
          </cell>
          <cell r="AP304">
            <v>121808</v>
          </cell>
          <cell r="AQ304" t="str">
            <v>121808,9015</v>
          </cell>
          <cell r="AR304" t="str">
            <v>[]</v>
          </cell>
          <cell r="AS304" t="str">
            <v>[]</v>
          </cell>
          <cell r="AT304" t="str">
            <v>1140</v>
          </cell>
          <cell r="AU304" t="str">
            <v>6180</v>
          </cell>
          <cell r="AV304" t="str">
            <v>白无常</v>
          </cell>
          <cell r="AW304" t="str">
            <v>21</v>
          </cell>
          <cell r="AX304">
            <v>1268</v>
          </cell>
          <cell r="AY304">
            <v>1</v>
          </cell>
          <cell r="AZ304">
            <v>0.4</v>
          </cell>
          <cell r="BA304">
            <v>0.4</v>
          </cell>
          <cell r="BE304">
            <v>0.4</v>
          </cell>
          <cell r="BF304"/>
        </row>
        <row r="305">
          <cell r="A305" t="str">
            <v>baiwuchang_skill041</v>
          </cell>
          <cell r="B305" t="str">
            <v>奥义·镇魂</v>
          </cell>
          <cell r="C305" t="str">
            <v>将噬魂幡插入地面释放咒法，对范围内敌人进行7次攻击,造成自身攻击力@s的法伤，同时提升自身暴击@s,持续3秒</v>
          </cell>
          <cell r="D305">
            <v>1270</v>
          </cell>
          <cell r="E305">
            <v>1</v>
          </cell>
          <cell r="F305" t="str">
            <v>boss_warning_yuanxing</v>
          </cell>
          <cell r="G305" t="str">
            <v>白无常技能4</v>
          </cell>
          <cell r="H305" t="str">
            <v>baiwuchang_skill04</v>
          </cell>
          <cell r="I305" t="str">
            <v>[]</v>
          </cell>
          <cell r="J305">
            <v>3</v>
          </cell>
          <cell r="K305">
            <v>1</v>
          </cell>
          <cell r="L305" t="str">
            <v>[]</v>
          </cell>
          <cell r="M305">
            <v>2</v>
          </cell>
          <cell r="N305">
            <v>2</v>
          </cell>
          <cell r="O305">
            <v>1</v>
          </cell>
          <cell r="P305">
            <v>2</v>
          </cell>
          <cell r="Q305">
            <v>12</v>
          </cell>
          <cell r="R305" t="str">
            <v>2|1</v>
          </cell>
          <cell r="S305" t="str">
            <v>2|6</v>
          </cell>
          <cell r="T305">
            <v>10</v>
          </cell>
          <cell r="U305">
            <v>0</v>
          </cell>
          <cell r="V305">
            <v>0</v>
          </cell>
          <cell r="W305" t="str">
            <v>[]</v>
          </cell>
          <cell r="X305">
            <v>3</v>
          </cell>
          <cell r="Y305" t="str">
            <v>[]</v>
          </cell>
          <cell r="Z305" t="str">
            <v>0,0.429,2</v>
          </cell>
          <cell r="AA305">
            <v>0</v>
          </cell>
          <cell r="AB305">
            <v>6</v>
          </cell>
          <cell r="AC305" t="str">
            <v>[]</v>
          </cell>
          <cell r="AD305" t="str">
            <v>[]</v>
          </cell>
          <cell r="AE305" t="str">
            <v>[]</v>
          </cell>
          <cell r="AF305" t="str">
            <v>baiwuchang_skill04</v>
          </cell>
          <cell r="AG305" t="str">
            <v>baiwuchang_skill04_buff</v>
          </cell>
          <cell r="AH305" t="str">
            <v>[]</v>
          </cell>
          <cell r="AI305" t="str">
            <v>[]</v>
          </cell>
          <cell r="AJ305" t="str">
            <v>[]</v>
          </cell>
          <cell r="AK305" t="str">
            <v>[]</v>
          </cell>
          <cell r="AL305" t="str">
            <v>baojiupT3N0.15</v>
          </cell>
          <cell r="AM305" t="str">
            <v>[]</v>
          </cell>
          <cell r="AN305">
            <v>1</v>
          </cell>
          <cell r="AO305" t="str">
            <v>0.5,0.5,0.5,0.5,0.5,0.5,0.5</v>
          </cell>
          <cell r="AP305">
            <v>121809</v>
          </cell>
          <cell r="AQ305" t="str">
            <v>121809,9015</v>
          </cell>
          <cell r="AR305" t="str">
            <v>[]</v>
          </cell>
          <cell r="AS305" t="str">
            <v>[]</v>
          </cell>
          <cell r="AT305" t="str">
            <v>4391</v>
          </cell>
          <cell r="AU305" t="str">
            <v>6200</v>
          </cell>
          <cell r="AV305" t="str">
            <v>白无常</v>
          </cell>
          <cell r="AW305" t="str">
            <v>41</v>
          </cell>
          <cell r="AX305">
            <v>1270</v>
          </cell>
          <cell r="AY305">
            <v>7</v>
          </cell>
          <cell r="BA305" t="str">
            <v>[]</v>
          </cell>
          <cell r="BE305" t="str">
            <v>[]</v>
          </cell>
          <cell r="BF305"/>
        </row>
        <row r="306">
          <cell r="A306" t="str">
            <v>heiwuchang_attack</v>
          </cell>
          <cell r="B306" t="str">
            <v>黑无常</v>
          </cell>
          <cell r="C306" t="str">
            <v>普攻</v>
          </cell>
          <cell r="D306" t="str">
            <v>[]</v>
          </cell>
          <cell r="E306">
            <v>0</v>
          </cell>
          <cell r="F306" t="str">
            <v>[]</v>
          </cell>
          <cell r="G306" t="str">
            <v>远程攻击</v>
          </cell>
          <cell r="H306" t="str">
            <v>[]</v>
          </cell>
          <cell r="I306" t="str">
            <v>[]</v>
          </cell>
          <cell r="J306">
            <v>0</v>
          </cell>
          <cell r="K306">
            <v>1</v>
          </cell>
          <cell r="L306" t="str">
            <v>[]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3</v>
          </cell>
          <cell r="R306" t="str">
            <v>2|1</v>
          </cell>
          <cell r="S306" t="str">
            <v>4|0.2</v>
          </cell>
          <cell r="T306">
            <v>1</v>
          </cell>
          <cell r="U306">
            <v>1</v>
          </cell>
          <cell r="V306">
            <v>0</v>
          </cell>
          <cell r="W306" t="str">
            <v>[]</v>
          </cell>
          <cell r="X306">
            <v>0</v>
          </cell>
          <cell r="Y306" t="str">
            <v>[]</v>
          </cell>
          <cell r="Z306" t="str">
            <v>0,1,0</v>
          </cell>
          <cell r="AA306">
            <v>0</v>
          </cell>
          <cell r="AB306" t="str">
            <v>[]</v>
          </cell>
          <cell r="AC306" t="str">
            <v>[]</v>
          </cell>
          <cell r="AD306" t="str">
            <v>[]</v>
          </cell>
          <cell r="AE306" t="str">
            <v>[]</v>
          </cell>
          <cell r="AF306" t="str">
            <v>heiwuchang_attack</v>
          </cell>
          <cell r="AG306" t="str">
            <v>common_hit_fashu</v>
          </cell>
          <cell r="AH306" t="str">
            <v>[]</v>
          </cell>
          <cell r="AI306" t="str">
            <v>[]</v>
          </cell>
          <cell r="AJ306" t="str">
            <v>[]</v>
          </cell>
          <cell r="AK306" t="str">
            <v>[]</v>
          </cell>
          <cell r="AL306" t="str">
            <v>[]</v>
          </cell>
          <cell r="AM306" t="str">
            <v>[]</v>
          </cell>
          <cell r="AN306">
            <v>1</v>
          </cell>
          <cell r="AO306">
            <v>0.5</v>
          </cell>
          <cell r="AP306">
            <v>121900</v>
          </cell>
          <cell r="AQ306" t="str">
            <v>121900</v>
          </cell>
          <cell r="AR306" t="str">
            <v>[]</v>
          </cell>
          <cell r="AS306" t="str">
            <v>[]</v>
          </cell>
          <cell r="AT306" t="str">
            <v>1140</v>
          </cell>
          <cell r="AU306" t="str">
            <v>6210</v>
          </cell>
          <cell r="AV306" t="str">
            <v>远程攻击</v>
          </cell>
          <cell r="AW306" t="str">
            <v>ck</v>
          </cell>
          <cell r="AX306" t="str">
            <v>[]</v>
          </cell>
          <cell r="AY306">
            <v>1</v>
          </cell>
          <cell r="BA306" t="str">
            <v>[]</v>
          </cell>
          <cell r="BE306" t="str">
            <v>[]</v>
          </cell>
          <cell r="BF306"/>
        </row>
        <row r="307">
          <cell r="A307" t="str">
            <v>heiwuchang_attack02</v>
          </cell>
          <cell r="B307" t="str">
            <v>黑无常</v>
          </cell>
          <cell r="C307" t="str">
            <v>普攻</v>
          </cell>
          <cell r="D307" t="str">
            <v>[]</v>
          </cell>
          <cell r="E307">
            <v>0</v>
          </cell>
          <cell r="F307" t="str">
            <v>[]</v>
          </cell>
          <cell r="G307" t="str">
            <v>远程攻击</v>
          </cell>
          <cell r="H307" t="str">
            <v>[]</v>
          </cell>
          <cell r="I307" t="str">
            <v>[]</v>
          </cell>
          <cell r="J307">
            <v>0</v>
          </cell>
          <cell r="K307">
            <v>1</v>
          </cell>
          <cell r="L307" t="str">
            <v>[]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3</v>
          </cell>
          <cell r="R307" t="str">
            <v>2|1</v>
          </cell>
          <cell r="S307" t="str">
            <v>4|0.2</v>
          </cell>
          <cell r="T307">
            <v>1</v>
          </cell>
          <cell r="U307">
            <v>1</v>
          </cell>
          <cell r="V307">
            <v>0</v>
          </cell>
          <cell r="W307" t="str">
            <v>[]</v>
          </cell>
          <cell r="X307">
            <v>0</v>
          </cell>
          <cell r="Y307" t="str">
            <v>[]</v>
          </cell>
          <cell r="Z307" t="str">
            <v>0,1,0</v>
          </cell>
          <cell r="AA307">
            <v>0</v>
          </cell>
          <cell r="AB307" t="str">
            <v>[]</v>
          </cell>
          <cell r="AC307" t="str">
            <v>[]</v>
          </cell>
          <cell r="AD307" t="str">
            <v>[]</v>
          </cell>
          <cell r="AE307" t="str">
            <v>[]</v>
          </cell>
          <cell r="AF307" t="str">
            <v>heiwuchang_attack02</v>
          </cell>
          <cell r="AG307" t="str">
            <v>common_hit_fashu</v>
          </cell>
          <cell r="AH307" t="str">
            <v>[]</v>
          </cell>
          <cell r="AI307" t="str">
            <v>[]</v>
          </cell>
          <cell r="AJ307" t="str">
            <v>[]</v>
          </cell>
          <cell r="AK307" t="str">
            <v>[]</v>
          </cell>
          <cell r="AL307" t="str">
            <v>[]</v>
          </cell>
          <cell r="AM307" t="str">
            <v>[]</v>
          </cell>
          <cell r="AN307">
            <v>1</v>
          </cell>
          <cell r="AO307">
            <v>0.5</v>
          </cell>
          <cell r="AP307">
            <v>121901</v>
          </cell>
          <cell r="AQ307" t="str">
            <v>121901</v>
          </cell>
          <cell r="AR307" t="str">
            <v>[]</v>
          </cell>
          <cell r="AS307" t="str">
            <v>[]</v>
          </cell>
          <cell r="AT307" t="str">
            <v>1139</v>
          </cell>
          <cell r="AU307" t="str">
            <v>6210</v>
          </cell>
          <cell r="AV307" t="str">
            <v>远程攻击</v>
          </cell>
          <cell r="AW307" t="str">
            <v>02</v>
          </cell>
          <cell r="AX307" t="str">
            <v>[]</v>
          </cell>
          <cell r="AY307">
            <v>1</v>
          </cell>
          <cell r="BA307" t="str">
            <v>[]</v>
          </cell>
          <cell r="BE307" t="str">
            <v>[]</v>
          </cell>
          <cell r="BF307"/>
        </row>
        <row r="308">
          <cell r="A308" t="str">
            <v>heiwuchang_attack03</v>
          </cell>
          <cell r="B308" t="str">
            <v>黑无常</v>
          </cell>
          <cell r="C308" t="str">
            <v>普攻</v>
          </cell>
          <cell r="D308">
            <v>1262</v>
          </cell>
          <cell r="E308">
            <v>0</v>
          </cell>
          <cell r="F308" t="str">
            <v>[]</v>
          </cell>
          <cell r="G308" t="str">
            <v>远程攻击</v>
          </cell>
          <cell r="H308" t="str">
            <v>[]</v>
          </cell>
          <cell r="I308" t="str">
            <v>[]</v>
          </cell>
          <cell r="J308">
            <v>0</v>
          </cell>
          <cell r="K308">
            <v>1</v>
          </cell>
          <cell r="L308" t="str">
            <v>[]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3</v>
          </cell>
          <cell r="R308" t="str">
            <v>2|1</v>
          </cell>
          <cell r="S308" t="str">
            <v>4|0.2</v>
          </cell>
          <cell r="T308">
            <v>1</v>
          </cell>
          <cell r="U308">
            <v>1</v>
          </cell>
          <cell r="V308">
            <v>0</v>
          </cell>
          <cell r="W308" t="str">
            <v>[]</v>
          </cell>
          <cell r="X308">
            <v>0</v>
          </cell>
          <cell r="Y308" t="str">
            <v>[]</v>
          </cell>
          <cell r="Z308" t="str">
            <v>0,1,0</v>
          </cell>
          <cell r="AA308">
            <v>0</v>
          </cell>
          <cell r="AB308" t="str">
            <v>[]</v>
          </cell>
          <cell r="AC308" t="str">
            <v>[]</v>
          </cell>
          <cell r="AD308" t="str">
            <v>[]</v>
          </cell>
          <cell r="AE308" t="str">
            <v>[]</v>
          </cell>
          <cell r="AF308" t="str">
            <v>heiwuchang_attack03</v>
          </cell>
          <cell r="AG308" t="str">
            <v>common_hit_fashu</v>
          </cell>
          <cell r="AH308" t="str">
            <v>[]</v>
          </cell>
          <cell r="AI308" t="str">
            <v>[]</v>
          </cell>
          <cell r="AJ308" t="str">
            <v>[]</v>
          </cell>
          <cell r="AK308" t="str">
            <v>[]</v>
          </cell>
          <cell r="AL308" t="str">
            <v>[]</v>
          </cell>
          <cell r="AM308" t="str">
            <v>[]</v>
          </cell>
          <cell r="AN308">
            <v>1</v>
          </cell>
          <cell r="AO308">
            <v>0.39600000000000002</v>
          </cell>
          <cell r="AP308">
            <v>121902</v>
          </cell>
          <cell r="AQ308" t="str">
            <v>121902</v>
          </cell>
          <cell r="AR308" t="str">
            <v>[]</v>
          </cell>
          <cell r="AS308" t="str">
            <v>[]</v>
          </cell>
          <cell r="AT308" t="str">
            <v>4420</v>
          </cell>
          <cell r="AU308" t="str">
            <v>6210</v>
          </cell>
          <cell r="AV308" t="str">
            <v>远程攻击</v>
          </cell>
          <cell r="AW308" t="str">
            <v>03</v>
          </cell>
          <cell r="AX308">
            <v>1262</v>
          </cell>
          <cell r="AY308">
            <v>1</v>
          </cell>
          <cell r="BA308" t="str">
            <v>[]</v>
          </cell>
          <cell r="BE308" t="str">
            <v>[]</v>
          </cell>
          <cell r="BF308"/>
        </row>
        <row r="309">
          <cell r="A309" t="str">
            <v>heiwuchang_skill01</v>
          </cell>
          <cell r="B309" t="str">
            <v>鬼影无踪</v>
          </cell>
          <cell r="C309" t="str">
            <v>释放地府鬼法，进入灵体状态，每2秒增加10%闪避，持续6秒</v>
          </cell>
          <cell r="D309" t="str">
            <v>[]</v>
          </cell>
          <cell r="E309">
            <v>0</v>
          </cell>
          <cell r="F309" t="str">
            <v>[]</v>
          </cell>
          <cell r="G309" t="str">
            <v>黑无常核心技能</v>
          </cell>
          <cell r="H309" t="str">
            <v>heiwuchang_skill01</v>
          </cell>
          <cell r="I309" t="str">
            <v>heiwuchang_skill01</v>
          </cell>
          <cell r="J309">
            <v>0</v>
          </cell>
          <cell r="K309">
            <v>10</v>
          </cell>
          <cell r="L309" t="str">
            <v>1|24</v>
          </cell>
          <cell r="M309">
            <v>2</v>
          </cell>
          <cell r="N309">
            <v>2</v>
          </cell>
          <cell r="O309">
            <v>1</v>
          </cell>
          <cell r="P309">
            <v>4</v>
          </cell>
          <cell r="Q309">
            <v>12</v>
          </cell>
          <cell r="R309">
            <v>3</v>
          </cell>
          <cell r="S309" t="str">
            <v>2|20</v>
          </cell>
          <cell r="T309">
            <v>10</v>
          </cell>
          <cell r="U309">
            <v>0</v>
          </cell>
          <cell r="V309">
            <v>0</v>
          </cell>
          <cell r="W309" t="str">
            <v>[]</v>
          </cell>
          <cell r="X309">
            <v>0</v>
          </cell>
          <cell r="Y309" t="str">
            <v>[]</v>
          </cell>
          <cell r="Z309" t="str">
            <v>0,1,0</v>
          </cell>
          <cell r="AA309">
            <v>0</v>
          </cell>
          <cell r="AB309" t="str">
            <v>12</v>
          </cell>
          <cell r="AC309" t="str">
            <v>[]</v>
          </cell>
          <cell r="AD309" t="str">
            <v>[]</v>
          </cell>
          <cell r="AE309" t="str">
            <v>[]</v>
          </cell>
          <cell r="AF309" t="str">
            <v>heiwuchang_skill01</v>
          </cell>
          <cell r="AG309" t="str">
            <v>heiwuchang_skill01_buff</v>
          </cell>
          <cell r="AH309" t="str">
            <v>[]</v>
          </cell>
          <cell r="AI309" t="str">
            <v>[]</v>
          </cell>
          <cell r="AJ309" t="str">
            <v>[]</v>
          </cell>
          <cell r="AK309" t="str">
            <v>[]</v>
          </cell>
          <cell r="AL309" t="str">
            <v>[]</v>
          </cell>
          <cell r="AM309" t="str">
            <v>shanbiupT6N0.3</v>
          </cell>
          <cell r="AN309">
            <v>1</v>
          </cell>
          <cell r="AO309">
            <v>0.1</v>
          </cell>
          <cell r="AP309" t="str">
            <v>[]</v>
          </cell>
          <cell r="AQ309" t="str">
            <v>9030</v>
          </cell>
          <cell r="AR309" t="str">
            <v>[]</v>
          </cell>
          <cell r="AS309" t="str">
            <v>[]</v>
          </cell>
          <cell r="AT309" t="str">
            <v>1139</v>
          </cell>
          <cell r="AU309" t="str">
            <v>6221</v>
          </cell>
          <cell r="AV309" t="str">
            <v>黑无常</v>
          </cell>
          <cell r="AW309" t="str">
            <v>01</v>
          </cell>
          <cell r="AX309" t="str">
            <v>[]</v>
          </cell>
          <cell r="AY309">
            <v>1</v>
          </cell>
          <cell r="BA309" t="str">
            <v>[]</v>
          </cell>
          <cell r="BE309" t="str">
            <v>[]</v>
          </cell>
          <cell r="BF309"/>
        </row>
        <row r="310">
          <cell r="A310" t="str">
            <v>heiwuchang_skill02</v>
          </cell>
          <cell r="B310" t="str">
            <v>离魂</v>
          </cell>
          <cell r="C310" t="str">
            <v>挥舞一道剑气斩向敌军，对范围内敌人进行4次攻击,造成自身攻击力@s的物伤，自身进入极速状态，攻速和真实闪避率提升20%，并降低敌人攻击力@s，持续3秒</v>
          </cell>
          <cell r="D310" t="str">
            <v>[]</v>
          </cell>
          <cell r="E310">
            <v>2</v>
          </cell>
          <cell r="F310" t="str">
            <v>boss_warning_juxing</v>
          </cell>
          <cell r="G310" t="str">
            <v>黑无常技能2</v>
          </cell>
          <cell r="H310" t="str">
            <v>heiwuchang_skill02</v>
          </cell>
          <cell r="I310" t="str">
            <v>[]</v>
          </cell>
          <cell r="J310">
            <v>1</v>
          </cell>
          <cell r="K310">
            <v>10</v>
          </cell>
          <cell r="L310" t="str">
            <v>[]</v>
          </cell>
          <cell r="M310">
            <v>2</v>
          </cell>
          <cell r="N310">
            <v>2</v>
          </cell>
          <cell r="O310">
            <v>1</v>
          </cell>
          <cell r="P310">
            <v>2</v>
          </cell>
          <cell r="Q310">
            <v>4</v>
          </cell>
          <cell r="R310" t="str">
            <v>2|1</v>
          </cell>
          <cell r="S310" t="str">
            <v>1|15|6</v>
          </cell>
          <cell r="T310">
            <v>10</v>
          </cell>
          <cell r="U310">
            <v>0</v>
          </cell>
          <cell r="V310">
            <v>0</v>
          </cell>
          <cell r="W310" t="str">
            <v>[]</v>
          </cell>
          <cell r="X310">
            <v>3</v>
          </cell>
          <cell r="Y310" t="str">
            <v>[]</v>
          </cell>
          <cell r="Z310" t="str">
            <v>0,1.8,1.53</v>
          </cell>
          <cell r="AA310">
            <v>0</v>
          </cell>
          <cell r="AB310">
            <v>6</v>
          </cell>
          <cell r="AC310" t="str">
            <v>[]</v>
          </cell>
          <cell r="AD310" t="str">
            <v>[]</v>
          </cell>
          <cell r="AE310" t="str">
            <v>[]</v>
          </cell>
          <cell r="AF310" t="str">
            <v>heiwuchang_skill02_q</v>
          </cell>
          <cell r="AG310" t="str">
            <v>common_hit_dunqi</v>
          </cell>
          <cell r="AH310" t="str">
            <v>[]</v>
          </cell>
          <cell r="AI310" t="str">
            <v>[]</v>
          </cell>
          <cell r="AJ310" t="str">
            <v>[]</v>
          </cell>
          <cell r="AK310" t="str">
            <v>[]</v>
          </cell>
          <cell r="AL310" t="str">
            <v>gongsuupT3N0.2,shanbiupT3N0.2</v>
          </cell>
          <cell r="AM310" t="str">
            <v>xuruoT3N0.1</v>
          </cell>
          <cell r="AN310">
            <v>2</v>
          </cell>
          <cell r="AO310" t="str">
            <v>0.73,0.467,0.667,1.2</v>
          </cell>
          <cell r="AP310">
            <v>121904</v>
          </cell>
          <cell r="AQ310" t="str">
            <v>121904,9010</v>
          </cell>
          <cell r="AR310" t="str">
            <v>[]</v>
          </cell>
          <cell r="AS310" t="str">
            <v>[]</v>
          </cell>
          <cell r="AT310" t="str">
            <v>4441</v>
          </cell>
          <cell r="AU310" t="str">
            <v>6230</v>
          </cell>
          <cell r="AV310" t="str">
            <v>黑无常</v>
          </cell>
          <cell r="AW310" t="str">
            <v>02</v>
          </cell>
          <cell r="AX310" t="str">
            <v>[]</v>
          </cell>
          <cell r="AY310">
            <v>4</v>
          </cell>
          <cell r="BA310" t="str">
            <v>[]</v>
          </cell>
          <cell r="BE310" t="str">
            <v>[]</v>
          </cell>
          <cell r="BF310"/>
        </row>
        <row r="311">
          <cell r="A311" t="str">
            <v>heiwuchang_skill03</v>
          </cell>
          <cell r="B311" t="str">
            <v>凌波身法</v>
          </cell>
          <cell r="C311" t="str">
            <v>进入战斗场景时，真实闪避率上升@s</v>
          </cell>
          <cell r="D311">
            <v>1262</v>
          </cell>
          <cell r="E311">
            <v>0</v>
          </cell>
          <cell r="F311" t="str">
            <v>[]</v>
          </cell>
          <cell r="G311" t="str">
            <v>黑无常被动技能</v>
          </cell>
          <cell r="H311" t="str">
            <v>wugong</v>
          </cell>
          <cell r="I311" t="str">
            <v>[]</v>
          </cell>
          <cell r="J311">
            <v>2</v>
          </cell>
          <cell r="K311">
            <v>10</v>
          </cell>
          <cell r="L311" t="str">
            <v>[]</v>
          </cell>
          <cell r="M311">
            <v>2</v>
          </cell>
          <cell r="N311">
            <v>2</v>
          </cell>
          <cell r="O311">
            <v>3</v>
          </cell>
          <cell r="P311">
            <v>0</v>
          </cell>
          <cell r="Q311">
            <v>12</v>
          </cell>
          <cell r="R311">
            <v>1</v>
          </cell>
          <cell r="S311" t="str">
            <v>4|0.2</v>
          </cell>
          <cell r="T311">
            <v>1</v>
          </cell>
          <cell r="U311">
            <v>0</v>
          </cell>
          <cell r="V311">
            <v>0</v>
          </cell>
          <cell r="W311" t="str">
            <v>[]</v>
          </cell>
          <cell r="X311">
            <v>0</v>
          </cell>
          <cell r="Y311" t="str">
            <v>[]</v>
          </cell>
          <cell r="Z311" t="str">
            <v>0,0,0</v>
          </cell>
          <cell r="AA311">
            <v>0</v>
          </cell>
          <cell r="AB311" t="str">
            <v>[]</v>
          </cell>
          <cell r="AC311" t="str">
            <v>[]</v>
          </cell>
          <cell r="AD311" t="str">
            <v>[]</v>
          </cell>
          <cell r="AE311" t="str">
            <v>[]</v>
          </cell>
          <cell r="AF311" t="str">
            <v>[]</v>
          </cell>
          <cell r="AG311" t="str">
            <v>[]</v>
          </cell>
          <cell r="AH311" t="str">
            <v>[]</v>
          </cell>
          <cell r="AI311" t="str">
            <v>[]</v>
          </cell>
          <cell r="AJ311" t="str">
            <v>[]</v>
          </cell>
          <cell r="AK311" t="str">
            <v>[]</v>
          </cell>
          <cell r="AL311" t="str">
            <v>shanbiupT3N0.2b</v>
          </cell>
          <cell r="AM311" t="str">
            <v>[]</v>
          </cell>
          <cell r="AN311">
            <v>0</v>
          </cell>
          <cell r="AO311" t="str">
            <v>[]</v>
          </cell>
          <cell r="AP311" t="str">
            <v>[]</v>
          </cell>
          <cell r="AQ311" t="str">
            <v>9020</v>
          </cell>
          <cell r="AR311" t="str">
            <v>[]</v>
          </cell>
          <cell r="AS311" t="str">
            <v>[]</v>
          </cell>
          <cell r="AT311" t="str">
            <v>1139</v>
          </cell>
          <cell r="AU311" t="str">
            <v>6240</v>
          </cell>
          <cell r="AV311" t="str">
            <v>黑无常</v>
          </cell>
          <cell r="AW311" t="str">
            <v>03</v>
          </cell>
          <cell r="AX311">
            <v>1262</v>
          </cell>
          <cell r="AY311">
            <v>1</v>
          </cell>
          <cell r="BA311" t="str">
            <v>[]</v>
          </cell>
          <cell r="BE311" t="str">
            <v>[]</v>
          </cell>
          <cell r="BF311"/>
        </row>
        <row r="312">
          <cell r="A312" t="str">
            <v>heiwuchang_skill04</v>
          </cell>
          <cell r="B312" t="str">
            <v>索命</v>
          </cell>
          <cell r="C312" t="str">
            <v>用地府秘法治疗自身，每0.5秒恢复自身生命值上限@s的生命值，持续2秒，清除自身一个不利状态</v>
          </cell>
          <cell r="D312">
            <v>1264</v>
          </cell>
          <cell r="E312">
            <v>2</v>
          </cell>
          <cell r="F312" t="str">
            <v>boss_warning_yuanxing</v>
          </cell>
          <cell r="G312" t="str">
            <v>黑无常技能4</v>
          </cell>
          <cell r="H312" t="str">
            <v>heiwuchang_skill04</v>
          </cell>
          <cell r="I312" t="str">
            <v>[]</v>
          </cell>
          <cell r="J312">
            <v>3</v>
          </cell>
          <cell r="K312">
            <v>10</v>
          </cell>
          <cell r="L312" t="str">
            <v>[]</v>
          </cell>
          <cell r="M312">
            <v>2</v>
          </cell>
          <cell r="N312">
            <v>2</v>
          </cell>
          <cell r="O312">
            <v>1</v>
          </cell>
          <cell r="P312">
            <v>5</v>
          </cell>
          <cell r="Q312">
            <v>4</v>
          </cell>
          <cell r="R312">
            <v>1</v>
          </cell>
          <cell r="S312" t="str">
            <v>4|0.2</v>
          </cell>
          <cell r="T312">
            <v>1</v>
          </cell>
          <cell r="U312">
            <v>0</v>
          </cell>
          <cell r="V312">
            <v>0</v>
          </cell>
          <cell r="W312" t="str">
            <v>[]</v>
          </cell>
          <cell r="X312">
            <v>3</v>
          </cell>
          <cell r="Y312" t="str">
            <v>[]</v>
          </cell>
          <cell r="Z312" t="str">
            <v>0,1.5,0</v>
          </cell>
          <cell r="AA312">
            <v>0</v>
          </cell>
          <cell r="AB312">
            <v>6</v>
          </cell>
          <cell r="AC312" t="str">
            <v>[]</v>
          </cell>
          <cell r="AD312" t="str">
            <v>[]</v>
          </cell>
          <cell r="AE312" t="str">
            <v>[]</v>
          </cell>
          <cell r="AF312" t="str">
            <v>heiwuchang_skill04</v>
          </cell>
          <cell r="AG312" t="str">
            <v>respond_hp</v>
          </cell>
          <cell r="AH312" t="str">
            <v>[]</v>
          </cell>
          <cell r="AI312" t="str">
            <v>[]</v>
          </cell>
          <cell r="AJ312" t="str">
            <v>jinghuaTN1P1</v>
          </cell>
          <cell r="AK312" t="str">
            <v>[]</v>
          </cell>
          <cell r="AL312" t="str">
            <v>hpmaxhuifu2</v>
          </cell>
          <cell r="AM312" t="str">
            <v>[]</v>
          </cell>
          <cell r="AN312">
            <v>1</v>
          </cell>
          <cell r="AO312">
            <v>0.5</v>
          </cell>
          <cell r="AP312" t="str">
            <v>[]</v>
          </cell>
          <cell r="AQ312" t="str">
            <v>9002</v>
          </cell>
          <cell r="AR312" t="str">
            <v>[]</v>
          </cell>
          <cell r="AS312" t="str">
            <v>[]</v>
          </cell>
          <cell r="AT312" t="str">
            <v>1138</v>
          </cell>
          <cell r="AU312" t="str">
            <v>6250</v>
          </cell>
          <cell r="AV312" t="str">
            <v>黑无常</v>
          </cell>
          <cell r="AW312" t="str">
            <v>04</v>
          </cell>
          <cell r="AX312">
            <v>1264</v>
          </cell>
          <cell r="AY312">
            <v>1</v>
          </cell>
          <cell r="BA312" t="str">
            <v>[]</v>
          </cell>
          <cell r="BE312" t="str">
            <v>[]</v>
          </cell>
          <cell r="BF312"/>
        </row>
        <row r="313">
          <cell r="A313" t="str">
            <v>heiwuchang_skill011</v>
          </cell>
          <cell r="B313" t="str">
            <v>奥义·鬼影无踪</v>
          </cell>
          <cell r="C313" t="str">
            <v>释放地府鬼法，进入灵体状态，每2秒增加20%闪避，持续6秒</v>
          </cell>
          <cell r="D313">
            <v>1266</v>
          </cell>
          <cell r="E313">
            <v>0</v>
          </cell>
          <cell r="F313" t="str">
            <v>[]</v>
          </cell>
          <cell r="G313" t="str">
            <v>黑无常核心技能</v>
          </cell>
          <cell r="H313" t="str">
            <v>heiwuchang_skill01</v>
          </cell>
          <cell r="I313" t="str">
            <v>heiwuchang_skill01</v>
          </cell>
          <cell r="J313">
            <v>0</v>
          </cell>
          <cell r="K313">
            <v>10</v>
          </cell>
          <cell r="L313" t="str">
            <v>1|24</v>
          </cell>
          <cell r="M313">
            <v>2</v>
          </cell>
          <cell r="N313">
            <v>2</v>
          </cell>
          <cell r="O313">
            <v>1</v>
          </cell>
          <cell r="P313">
            <v>4</v>
          </cell>
          <cell r="Q313">
            <v>12</v>
          </cell>
          <cell r="R313">
            <v>3</v>
          </cell>
          <cell r="S313" t="str">
            <v>2|20</v>
          </cell>
          <cell r="T313">
            <v>10</v>
          </cell>
          <cell r="U313">
            <v>0</v>
          </cell>
          <cell r="V313">
            <v>0</v>
          </cell>
          <cell r="W313" t="str">
            <v>[]</v>
          </cell>
          <cell r="X313">
            <v>0</v>
          </cell>
          <cell r="Y313" t="str">
            <v>[]</v>
          </cell>
          <cell r="Z313" t="str">
            <v>0,1,0</v>
          </cell>
          <cell r="AA313">
            <v>0</v>
          </cell>
          <cell r="AB313" t="str">
            <v>12</v>
          </cell>
          <cell r="AC313" t="str">
            <v>[]</v>
          </cell>
          <cell r="AD313" t="str">
            <v>[]</v>
          </cell>
          <cell r="AE313" t="str">
            <v>[]</v>
          </cell>
          <cell r="AF313" t="str">
            <v>heiwuchang_skill01</v>
          </cell>
          <cell r="AG313" t="str">
            <v>heiwuchang_skill01_buff</v>
          </cell>
          <cell r="AH313" t="str">
            <v>[]</v>
          </cell>
          <cell r="AI313" t="str">
            <v>[]</v>
          </cell>
          <cell r="AJ313" t="str">
            <v>[]</v>
          </cell>
          <cell r="AK313" t="str">
            <v>[]</v>
          </cell>
          <cell r="AL313" t="str">
            <v>[]</v>
          </cell>
          <cell r="AM313" t="str">
            <v>shanbiupT6N0.6</v>
          </cell>
          <cell r="AN313">
            <v>1</v>
          </cell>
          <cell r="AO313">
            <v>0.1</v>
          </cell>
          <cell r="AP313" t="str">
            <v>[]</v>
          </cell>
          <cell r="AQ313" t="str">
            <v>9040</v>
          </cell>
          <cell r="AR313" t="str">
            <v>[]</v>
          </cell>
          <cell r="AS313" t="str">
            <v>[]</v>
          </cell>
          <cell r="AT313" t="str">
            <v>1138</v>
          </cell>
          <cell r="AU313" t="str">
            <v>6221</v>
          </cell>
          <cell r="AV313" t="str">
            <v>黑无常</v>
          </cell>
          <cell r="AW313" t="str">
            <v>11</v>
          </cell>
          <cell r="AX313">
            <v>1266</v>
          </cell>
          <cell r="AY313">
            <v>1</v>
          </cell>
          <cell r="BA313" t="str">
            <v>[]</v>
          </cell>
          <cell r="BE313" t="str">
            <v>[]</v>
          </cell>
          <cell r="BF313"/>
        </row>
        <row r="314">
          <cell r="A314" t="str">
            <v>heiwuchang_skill021</v>
          </cell>
          <cell r="B314" t="str">
            <v>奥义·离魂</v>
          </cell>
          <cell r="C314" t="str">
            <v>挥舞一道剑气斩向敌军，对范围内敌人进行4次攻击,造成自身攻击力@s的物伤，自身进入极速状态，攻速和真实闪避提升20%，并降低敌人攻击力@s，持续3秒</v>
          </cell>
          <cell r="D314">
            <v>1268</v>
          </cell>
          <cell r="E314">
            <v>2</v>
          </cell>
          <cell r="F314" t="str">
            <v>boss_warning_juxing</v>
          </cell>
          <cell r="G314" t="str">
            <v>黑无常技能2</v>
          </cell>
          <cell r="H314" t="str">
            <v>heiwuchang_skill02</v>
          </cell>
          <cell r="I314" t="str">
            <v>[]</v>
          </cell>
          <cell r="J314">
            <v>1</v>
          </cell>
          <cell r="K314">
            <v>10</v>
          </cell>
          <cell r="L314" t="str">
            <v>[]</v>
          </cell>
          <cell r="M314">
            <v>2</v>
          </cell>
          <cell r="N314">
            <v>2</v>
          </cell>
          <cell r="O314">
            <v>1</v>
          </cell>
          <cell r="P314">
            <v>2</v>
          </cell>
          <cell r="Q314">
            <v>4</v>
          </cell>
          <cell r="R314" t="str">
            <v>2|1</v>
          </cell>
          <cell r="S314" t="str">
            <v>2|6</v>
          </cell>
          <cell r="T314">
            <v>10</v>
          </cell>
          <cell r="U314">
            <v>0</v>
          </cell>
          <cell r="V314">
            <v>0</v>
          </cell>
          <cell r="W314" t="str">
            <v>[]</v>
          </cell>
          <cell r="X314">
            <v>3</v>
          </cell>
          <cell r="Y314" t="str">
            <v>[]</v>
          </cell>
          <cell r="Z314" t="str">
            <v>0,1.667,3.53</v>
          </cell>
          <cell r="AA314">
            <v>0</v>
          </cell>
          <cell r="AB314">
            <v>6</v>
          </cell>
          <cell r="AC314" t="str">
            <v>[]</v>
          </cell>
          <cell r="AD314" t="str">
            <v>[]</v>
          </cell>
          <cell r="AE314" t="str">
            <v>[]</v>
          </cell>
          <cell r="AF314" t="str">
            <v>heiwuchang_skill02_q</v>
          </cell>
          <cell r="AG314" t="str">
            <v>common_hit_dunqi</v>
          </cell>
          <cell r="AH314" t="str">
            <v>[]</v>
          </cell>
          <cell r="AI314" t="str">
            <v>[]</v>
          </cell>
          <cell r="AJ314" t="str">
            <v>[]</v>
          </cell>
          <cell r="AK314" t="str">
            <v>[]</v>
          </cell>
          <cell r="AL314" t="str">
            <v>gongsuupT3N0.2,shanbiupT3N0.2</v>
          </cell>
          <cell r="AM314" t="str">
            <v>xuruoT3N0.15</v>
          </cell>
          <cell r="AN314">
            <v>2</v>
          </cell>
          <cell r="AO314" t="str">
            <v>0.73,0.467,0.667,1.2</v>
          </cell>
          <cell r="AP314">
            <v>121908</v>
          </cell>
          <cell r="AQ314" t="str">
            <v>121908,9015</v>
          </cell>
          <cell r="AR314" t="str">
            <v>[]</v>
          </cell>
          <cell r="AS314" t="str">
            <v>[]</v>
          </cell>
          <cell r="AT314" t="str">
            <v>1138</v>
          </cell>
          <cell r="AU314" t="str">
            <v>6230</v>
          </cell>
          <cell r="AV314" t="str">
            <v>黑无常</v>
          </cell>
          <cell r="AW314" t="str">
            <v>21</v>
          </cell>
          <cell r="AX314">
            <v>1268</v>
          </cell>
          <cell r="AY314">
            <v>4</v>
          </cell>
          <cell r="BA314" t="str">
            <v>[]</v>
          </cell>
          <cell r="BE314" t="str">
            <v>[]</v>
          </cell>
          <cell r="BF314"/>
        </row>
        <row r="315">
          <cell r="A315" t="str">
            <v>heiwuchang_skill041</v>
          </cell>
          <cell r="B315" t="str">
            <v>奥义·索命</v>
          </cell>
          <cell r="C315" t="str">
            <v>用地府秘法治疗自身，每0.5秒恢复自身生命值上限@s的生命值，持续2秒，清除自身所有不利状态</v>
          </cell>
          <cell r="D315">
            <v>1270</v>
          </cell>
          <cell r="E315">
            <v>2</v>
          </cell>
          <cell r="F315" t="str">
            <v>boss_warning_yuanxing</v>
          </cell>
          <cell r="G315" t="str">
            <v>黑无常技能4</v>
          </cell>
          <cell r="H315" t="str">
            <v>heiwuchang_skill04</v>
          </cell>
          <cell r="I315" t="str">
            <v>[]</v>
          </cell>
          <cell r="J315">
            <v>3</v>
          </cell>
          <cell r="K315">
            <v>10</v>
          </cell>
          <cell r="L315" t="str">
            <v>[]</v>
          </cell>
          <cell r="M315">
            <v>2</v>
          </cell>
          <cell r="N315">
            <v>2</v>
          </cell>
          <cell r="O315">
            <v>1</v>
          </cell>
          <cell r="P315">
            <v>5</v>
          </cell>
          <cell r="Q315">
            <v>4</v>
          </cell>
          <cell r="R315">
            <v>1</v>
          </cell>
          <cell r="S315" t="str">
            <v>4|0.2</v>
          </cell>
          <cell r="T315">
            <v>1</v>
          </cell>
          <cell r="U315">
            <v>0</v>
          </cell>
          <cell r="V315">
            <v>0</v>
          </cell>
          <cell r="W315" t="str">
            <v>[]</v>
          </cell>
          <cell r="X315">
            <v>3</v>
          </cell>
          <cell r="Y315" t="str">
            <v>[]</v>
          </cell>
          <cell r="Z315" t="str">
            <v>0,1.5,0</v>
          </cell>
          <cell r="AA315">
            <v>0</v>
          </cell>
          <cell r="AB315">
            <v>6</v>
          </cell>
          <cell r="AC315" t="str">
            <v>[]</v>
          </cell>
          <cell r="AD315" t="str">
            <v>[]</v>
          </cell>
          <cell r="AE315" t="str">
            <v>[]</v>
          </cell>
          <cell r="AF315" t="str">
            <v>heiwuchang_skill04</v>
          </cell>
          <cell r="AG315" t="str">
            <v>respond_hp</v>
          </cell>
          <cell r="AH315" t="str">
            <v>[]</v>
          </cell>
          <cell r="AI315" t="str">
            <v>[]</v>
          </cell>
          <cell r="AJ315" t="str">
            <v>jinghuaTN99P1</v>
          </cell>
          <cell r="AK315" t="str">
            <v>[]</v>
          </cell>
          <cell r="AL315" t="str">
            <v>hpmaxhuifu3</v>
          </cell>
          <cell r="AM315" t="str">
            <v>[]</v>
          </cell>
          <cell r="AN315">
            <v>1</v>
          </cell>
          <cell r="AO315">
            <v>0.5</v>
          </cell>
          <cell r="AP315" t="str">
            <v>[]</v>
          </cell>
          <cell r="AQ315" t="str">
            <v>9003</v>
          </cell>
          <cell r="AR315" t="str">
            <v>[]</v>
          </cell>
          <cell r="AS315" t="str">
            <v>[]</v>
          </cell>
          <cell r="AT315" t="str">
            <v>4491</v>
          </cell>
          <cell r="AU315" t="str">
            <v>6250</v>
          </cell>
          <cell r="AV315" t="str">
            <v>黑无常</v>
          </cell>
          <cell r="AW315" t="str">
            <v>41</v>
          </cell>
          <cell r="AX315">
            <v>1270</v>
          </cell>
          <cell r="AY315">
            <v>1</v>
          </cell>
          <cell r="BA315" t="str">
            <v>[]</v>
          </cell>
          <cell r="BE315" t="str">
            <v>[]</v>
          </cell>
          <cell r="BF315"/>
        </row>
        <row r="316">
          <cell r="A316" t="str">
            <v>renshenwa_attack</v>
          </cell>
          <cell r="B316" t="str">
            <v>普攻</v>
          </cell>
          <cell r="C316" t="str">
            <v>普攻</v>
          </cell>
          <cell r="D316" t="str">
            <v>[]</v>
          </cell>
          <cell r="E316">
            <v>0</v>
          </cell>
          <cell r="F316" t="str">
            <v>[]</v>
          </cell>
          <cell r="G316" t="str">
            <v>人生娃近战攻击</v>
          </cell>
          <cell r="H316" t="str">
            <v>[]</v>
          </cell>
          <cell r="I316" t="str">
            <v>[]</v>
          </cell>
          <cell r="J316">
            <v>0</v>
          </cell>
          <cell r="K316">
            <v>1</v>
          </cell>
          <cell r="L316" t="str">
            <v>[]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3</v>
          </cell>
          <cell r="R316" t="str">
            <v>2|1</v>
          </cell>
          <cell r="S316" t="str">
            <v>4|0.2</v>
          </cell>
          <cell r="T316">
            <v>1</v>
          </cell>
          <cell r="U316">
            <v>1</v>
          </cell>
          <cell r="V316">
            <v>0</v>
          </cell>
          <cell r="W316" t="str">
            <v>[]</v>
          </cell>
          <cell r="X316">
            <v>0</v>
          </cell>
          <cell r="Y316" t="str">
            <v>[]</v>
          </cell>
          <cell r="Z316" t="str">
            <v>0,1,0</v>
          </cell>
          <cell r="AA316">
            <v>0</v>
          </cell>
          <cell r="AB316" t="str">
            <v>[]</v>
          </cell>
          <cell r="AC316" t="str">
            <v>[]</v>
          </cell>
          <cell r="AD316" t="str">
            <v>[]</v>
          </cell>
          <cell r="AE316" t="str">
            <v>[]</v>
          </cell>
          <cell r="AF316" t="str">
            <v>renshenwa_attack</v>
          </cell>
          <cell r="AG316" t="str">
            <v>common_hit_dunqi</v>
          </cell>
          <cell r="AH316" t="str">
            <v>[]</v>
          </cell>
          <cell r="AI316" t="str">
            <v>[]</v>
          </cell>
          <cell r="AJ316" t="str">
            <v>[]</v>
          </cell>
          <cell r="AK316" t="str">
            <v>[]</v>
          </cell>
          <cell r="AL316" t="str">
            <v>[]</v>
          </cell>
          <cell r="AM316" t="str">
            <v>[]</v>
          </cell>
          <cell r="AN316">
            <v>1</v>
          </cell>
          <cell r="AO316">
            <v>0.3</v>
          </cell>
          <cell r="AP316">
            <v>120200</v>
          </cell>
          <cell r="AQ316" t="str">
            <v>120200</v>
          </cell>
          <cell r="AR316" t="str">
            <v>[]</v>
          </cell>
          <cell r="AS316" t="str">
            <v>[]</v>
          </cell>
          <cell r="AT316" t="str">
            <v>1138</v>
          </cell>
          <cell r="AU316" t="str">
            <v>6260</v>
          </cell>
          <cell r="AV316" t="str">
            <v>人生娃近战攻击</v>
          </cell>
          <cell r="AW316" t="str">
            <v>ck</v>
          </cell>
          <cell r="AX316" t="str">
            <v>[]</v>
          </cell>
          <cell r="AY316">
            <v>1</v>
          </cell>
          <cell r="BA316" t="str">
            <v>[]</v>
          </cell>
          <cell r="BE316" t="str">
            <v>[]</v>
          </cell>
          <cell r="BF316"/>
        </row>
        <row r="317">
          <cell r="A317" t="str">
            <v>renshenwa_skill01</v>
          </cell>
          <cell r="B317" t="str">
            <v>表面人参果</v>
          </cell>
          <cell r="C317" t="str">
            <v>召唤巨大的人生果砸向敌军，对范围内敌人造成主角攻击力@s的物伤，使目标进入中毒状态</v>
          </cell>
          <cell r="D317" t="str">
            <v>[]</v>
          </cell>
          <cell r="E317">
            <v>1</v>
          </cell>
          <cell r="F317" t="str">
            <v>[]</v>
          </cell>
          <cell r="G317" t="str">
            <v>人生娃核心技能</v>
          </cell>
          <cell r="H317" t="str">
            <v>renshenwa_skill01</v>
          </cell>
          <cell r="I317" t="str">
            <v>renshenwa_skill01</v>
          </cell>
          <cell r="J317">
            <v>0</v>
          </cell>
          <cell r="K317">
            <v>10</v>
          </cell>
          <cell r="L317" t="str">
            <v>1|29</v>
          </cell>
          <cell r="M317">
            <v>2</v>
          </cell>
          <cell r="N317">
            <v>2</v>
          </cell>
          <cell r="O317">
            <v>2</v>
          </cell>
          <cell r="P317">
            <v>2</v>
          </cell>
          <cell r="Q317">
            <v>12</v>
          </cell>
          <cell r="R317" t="str">
            <v>2|1</v>
          </cell>
          <cell r="S317" t="str">
            <v>2|6</v>
          </cell>
          <cell r="T317">
            <v>10</v>
          </cell>
          <cell r="U317">
            <v>0</v>
          </cell>
          <cell r="V317">
            <v>0</v>
          </cell>
          <cell r="W317" t="str">
            <v>[]</v>
          </cell>
          <cell r="X317">
            <v>0</v>
          </cell>
          <cell r="Y317" t="str">
            <v>[]</v>
          </cell>
          <cell r="Z317" t="str">
            <v>0,1,0</v>
          </cell>
          <cell r="AA317">
            <v>0</v>
          </cell>
          <cell r="AB317" t="str">
            <v>12</v>
          </cell>
          <cell r="AC317" t="str">
            <v>[]</v>
          </cell>
          <cell r="AD317" t="str">
            <v>[]</v>
          </cell>
          <cell r="AE317" t="str">
            <v>[]</v>
          </cell>
          <cell r="AF317" t="str">
            <v>renshenwa_skill01</v>
          </cell>
          <cell r="AG317" t="str">
            <v>common_hit_fashu</v>
          </cell>
          <cell r="AH317" t="str">
            <v>[]</v>
          </cell>
          <cell r="AI317" t="str">
            <v>[]</v>
          </cell>
          <cell r="AJ317" t="str">
            <v>[]</v>
          </cell>
          <cell r="AK317" t="str">
            <v>[]</v>
          </cell>
          <cell r="AL317" t="str">
            <v>[]</v>
          </cell>
          <cell r="AM317" t="str">
            <v>zhongduT6N0.1</v>
          </cell>
          <cell r="AN317">
            <v>2</v>
          </cell>
          <cell r="AO317">
            <v>0.4</v>
          </cell>
          <cell r="AP317">
            <v>120201</v>
          </cell>
          <cell r="AQ317" t="str">
            <v>120201</v>
          </cell>
          <cell r="AR317" t="str">
            <v>[]</v>
          </cell>
          <cell r="AS317" t="str">
            <v>[]</v>
          </cell>
          <cell r="AT317" t="str">
            <v>1130</v>
          </cell>
          <cell r="AU317" t="str">
            <v>6270</v>
          </cell>
          <cell r="AV317" t="str">
            <v>人生娃</v>
          </cell>
          <cell r="AW317" t="str">
            <v>01</v>
          </cell>
          <cell r="AX317" t="str">
            <v>[]</v>
          </cell>
          <cell r="AY317">
            <v>1</v>
          </cell>
          <cell r="BA317" t="str">
            <v>[]</v>
          </cell>
          <cell r="BE317" t="str">
            <v>[]</v>
          </cell>
          <cell r="BF317"/>
        </row>
        <row r="318">
          <cell r="A318" t="str">
            <v>renshenwa_skill02</v>
          </cell>
          <cell r="B318" t="str">
            <v>波浪战鼓</v>
          </cell>
          <cell r="C318" t="str">
            <v>摇动拨浪鼓，对范围内敌人造成自身攻击力@s的物伤</v>
          </cell>
          <cell r="D318" t="str">
            <v>[]</v>
          </cell>
          <cell r="E318">
            <v>1</v>
          </cell>
          <cell r="F318" t="str">
            <v>boss_warning_yuanxing</v>
          </cell>
          <cell r="G318" t="str">
            <v>人生娃AI技能1</v>
          </cell>
          <cell r="H318" t="str">
            <v>renshenwa_skill02</v>
          </cell>
          <cell r="I318" t="str">
            <v>[]</v>
          </cell>
          <cell r="J318">
            <v>1</v>
          </cell>
          <cell r="K318">
            <v>10</v>
          </cell>
          <cell r="L318" t="str">
            <v>[]</v>
          </cell>
          <cell r="M318">
            <v>2</v>
          </cell>
          <cell r="N318">
            <v>2</v>
          </cell>
          <cell r="O318">
            <v>2</v>
          </cell>
          <cell r="P318">
            <v>2</v>
          </cell>
          <cell r="Q318">
            <v>12</v>
          </cell>
          <cell r="R318" t="str">
            <v>2|1</v>
          </cell>
          <cell r="S318" t="str">
            <v>2|6</v>
          </cell>
          <cell r="T318">
            <v>1</v>
          </cell>
          <cell r="U318">
            <v>1</v>
          </cell>
          <cell r="V318">
            <v>0</v>
          </cell>
          <cell r="W318" t="str">
            <v>[]</v>
          </cell>
          <cell r="X318">
            <v>3</v>
          </cell>
          <cell r="Y318" t="str">
            <v>[]</v>
          </cell>
          <cell r="Z318" t="str">
            <v>0,1,0.4</v>
          </cell>
          <cell r="AA318">
            <v>0</v>
          </cell>
          <cell r="AB318">
            <v>6</v>
          </cell>
          <cell r="AC318" t="str">
            <v>[]</v>
          </cell>
          <cell r="AD318" t="str">
            <v>[]</v>
          </cell>
          <cell r="AE318" t="str">
            <v>[]</v>
          </cell>
          <cell r="AF318" t="str">
            <v>renshenwa_skill02_bip01</v>
          </cell>
          <cell r="AG318" t="str">
            <v>renshenwa_skill02_b</v>
          </cell>
          <cell r="AH318" t="str">
            <v>[]</v>
          </cell>
          <cell r="AI318" t="str">
            <v>[]</v>
          </cell>
          <cell r="AJ318" t="str">
            <v>[]</v>
          </cell>
          <cell r="AK318" t="str">
            <v>[]</v>
          </cell>
          <cell r="AL318" t="str">
            <v>[]</v>
          </cell>
          <cell r="AM318" t="str">
            <v>[]</v>
          </cell>
          <cell r="AN318">
            <v>1</v>
          </cell>
          <cell r="AO318" t="str">
            <v>0.5,0.2,0.2</v>
          </cell>
          <cell r="AP318">
            <v>120202</v>
          </cell>
          <cell r="AQ318" t="str">
            <v>120202</v>
          </cell>
          <cell r="AR318" t="str">
            <v>[]</v>
          </cell>
          <cell r="AS318" t="str">
            <v>[]</v>
          </cell>
          <cell r="AT318" t="str">
            <v>4520</v>
          </cell>
          <cell r="AU318" t="str">
            <v>6281</v>
          </cell>
          <cell r="AV318" t="str">
            <v>人生娃</v>
          </cell>
          <cell r="AW318" t="str">
            <v>02</v>
          </cell>
          <cell r="AX318" t="str">
            <v>[]</v>
          </cell>
          <cell r="AY318">
            <v>3</v>
          </cell>
          <cell r="BA318" t="str">
            <v>[]</v>
          </cell>
          <cell r="BE318" t="str">
            <v>[]</v>
          </cell>
          <cell r="BF318"/>
        </row>
        <row r="319">
          <cell r="A319" t="str">
            <v>renshenwa_skill03</v>
          </cell>
          <cell r="B319" t="str">
            <v>抓不到我</v>
          </cell>
          <cell r="C319" t="str">
            <v>进入战斗场景时，提高自身闪避@s</v>
          </cell>
          <cell r="D319">
            <v>1262</v>
          </cell>
          <cell r="E319">
            <v>0</v>
          </cell>
          <cell r="F319" t="str">
            <v>[]</v>
          </cell>
          <cell r="G319" t="str">
            <v>人生娃被动技能</v>
          </cell>
          <cell r="H319" t="str">
            <v>xixue</v>
          </cell>
          <cell r="I319" t="str">
            <v>[]</v>
          </cell>
          <cell r="J319">
            <v>2</v>
          </cell>
          <cell r="K319">
            <v>10</v>
          </cell>
          <cell r="L319" t="str">
            <v>[]</v>
          </cell>
          <cell r="M319">
            <v>2</v>
          </cell>
          <cell r="N319">
            <v>2</v>
          </cell>
          <cell r="O319">
            <v>3</v>
          </cell>
          <cell r="P319">
            <v>0</v>
          </cell>
          <cell r="Q319">
            <v>12</v>
          </cell>
          <cell r="R319">
            <v>3</v>
          </cell>
          <cell r="S319" t="str">
            <v>2|20</v>
          </cell>
          <cell r="T319">
            <v>10</v>
          </cell>
          <cell r="U319">
            <v>0</v>
          </cell>
          <cell r="V319">
            <v>0</v>
          </cell>
          <cell r="W319" t="str">
            <v>[]</v>
          </cell>
          <cell r="X319">
            <v>0</v>
          </cell>
          <cell r="Y319" t="str">
            <v>[]</v>
          </cell>
          <cell r="Z319" t="str">
            <v>0,0,0</v>
          </cell>
          <cell r="AA319">
            <v>0</v>
          </cell>
          <cell r="AB319" t="str">
            <v>[]</v>
          </cell>
          <cell r="AC319" t="str">
            <v>[]</v>
          </cell>
          <cell r="AD319" t="str">
            <v>[]</v>
          </cell>
          <cell r="AE319" t="str">
            <v>[]</v>
          </cell>
          <cell r="AF319" t="str">
            <v>[]</v>
          </cell>
          <cell r="AG319" t="str">
            <v>[]</v>
          </cell>
          <cell r="AH319" t="str">
            <v>[]</v>
          </cell>
          <cell r="AI319" t="str">
            <v>[]</v>
          </cell>
          <cell r="AJ319" t="str">
            <v>[]</v>
          </cell>
          <cell r="AK319" t="str">
            <v>[]</v>
          </cell>
          <cell r="AL319" t="str">
            <v>shanbiupT3N0.2b</v>
          </cell>
          <cell r="AM319" t="str">
            <v>[]</v>
          </cell>
          <cell r="AN319">
            <v>0</v>
          </cell>
          <cell r="AO319" t="str">
            <v>[]</v>
          </cell>
          <cell r="AP319" t="str">
            <v>[]</v>
          </cell>
          <cell r="AQ319" t="str">
            <v>9020</v>
          </cell>
          <cell r="AR319" t="str">
            <v>[]</v>
          </cell>
          <cell r="AS319" t="str">
            <v>[]</v>
          </cell>
          <cell r="AT319" t="str">
            <v>1130</v>
          </cell>
          <cell r="AU319" t="str">
            <v>6290</v>
          </cell>
          <cell r="AV319" t="str">
            <v>人生娃</v>
          </cell>
          <cell r="AW319" t="str">
            <v>03</v>
          </cell>
          <cell r="AX319">
            <v>1262</v>
          </cell>
          <cell r="AY319">
            <v>1</v>
          </cell>
          <cell r="BA319" t="str">
            <v>[]</v>
          </cell>
          <cell r="BE319" t="str">
            <v>[]</v>
          </cell>
          <cell r="BF319"/>
        </row>
        <row r="320">
          <cell r="A320" t="str">
            <v>renshenwa_skill04</v>
          </cell>
          <cell r="B320" t="str">
            <v>波浪重锤</v>
          </cell>
          <cell r="C320" t="str">
            <v>举起拨浪鼓狠狠敲击敌军，对范围内敌人造成自身攻击力@s的物伤，胡来的重锤有40%的概率敲晕目标</v>
          </cell>
          <cell r="D320">
            <v>1264</v>
          </cell>
          <cell r="E320">
            <v>2</v>
          </cell>
          <cell r="F320" t="str">
            <v>boss_warning_yuanxing</v>
          </cell>
          <cell r="G320" t="str">
            <v>人生娃技能2</v>
          </cell>
          <cell r="H320" t="str">
            <v>renshenwa_skill04</v>
          </cell>
          <cell r="I320" t="str">
            <v>[]</v>
          </cell>
          <cell r="J320">
            <v>3</v>
          </cell>
          <cell r="K320">
            <v>10</v>
          </cell>
          <cell r="L320" t="str">
            <v>[]</v>
          </cell>
          <cell r="M320">
            <v>2</v>
          </cell>
          <cell r="N320">
            <v>2</v>
          </cell>
          <cell r="O320">
            <v>1</v>
          </cell>
          <cell r="P320">
            <v>2</v>
          </cell>
          <cell r="Q320">
            <v>4</v>
          </cell>
          <cell r="R320" t="str">
            <v>2|1</v>
          </cell>
          <cell r="S320" t="str">
            <v>2|6</v>
          </cell>
          <cell r="T320">
            <v>10</v>
          </cell>
          <cell r="U320">
            <v>1</v>
          </cell>
          <cell r="V320">
            <v>0</v>
          </cell>
          <cell r="W320" t="str">
            <v>[]</v>
          </cell>
          <cell r="X320">
            <v>3</v>
          </cell>
          <cell r="Y320" t="str">
            <v>[]</v>
          </cell>
          <cell r="Z320" t="str">
            <v>0,0.94,0.627</v>
          </cell>
          <cell r="AA320">
            <v>0</v>
          </cell>
          <cell r="AB320">
            <v>6</v>
          </cell>
          <cell r="AC320" t="str">
            <v>[]</v>
          </cell>
          <cell r="AD320" t="str">
            <v>[]</v>
          </cell>
          <cell r="AE320" t="str">
            <v>[]</v>
          </cell>
          <cell r="AF320" t="str">
            <v>renshenwa_skill04</v>
          </cell>
          <cell r="AG320" t="str">
            <v>common_hit_dunqi</v>
          </cell>
          <cell r="AH320" t="str">
            <v>[]</v>
          </cell>
          <cell r="AI320" t="str">
            <v>[]</v>
          </cell>
          <cell r="AJ320" t="str">
            <v>[]</v>
          </cell>
          <cell r="AK320" t="str">
            <v>yunxuanT1NP0.4</v>
          </cell>
          <cell r="AL320" t="str">
            <v>[]</v>
          </cell>
          <cell r="AM320" t="str">
            <v>[]</v>
          </cell>
          <cell r="AN320">
            <v>2</v>
          </cell>
          <cell r="AO320">
            <v>0.8</v>
          </cell>
          <cell r="AP320">
            <v>120204</v>
          </cell>
          <cell r="AQ320" t="str">
            <v>120204</v>
          </cell>
          <cell r="AR320" t="str">
            <v>[]</v>
          </cell>
          <cell r="AS320" t="str">
            <v>[]</v>
          </cell>
          <cell r="AT320" t="str">
            <v>4540</v>
          </cell>
          <cell r="AU320" t="str">
            <v>6300</v>
          </cell>
          <cell r="AV320" t="str">
            <v>人生娃</v>
          </cell>
          <cell r="AW320" t="str">
            <v>04</v>
          </cell>
          <cell r="AX320">
            <v>1264</v>
          </cell>
          <cell r="AY320">
            <v>1</v>
          </cell>
          <cell r="AZ320">
            <v>0.4</v>
          </cell>
          <cell r="BA320">
            <v>0.4</v>
          </cell>
          <cell r="BE320">
            <v>0.4</v>
          </cell>
          <cell r="BF320" t="str">
            <v>40</v>
          </cell>
        </row>
        <row r="321">
          <cell r="A321" t="str">
            <v>renshenwa_skill011</v>
          </cell>
          <cell r="B321" t="str">
            <v>奥义·表面人参果</v>
          </cell>
          <cell r="C321" t="str">
            <v>召唤巨大的人生果砸向敌军，对范围内敌人造成主角攻击力@s的物伤，，使目标进入高级中毒状态</v>
          </cell>
          <cell r="D321">
            <v>1266</v>
          </cell>
          <cell r="E321">
            <v>0</v>
          </cell>
          <cell r="F321" t="str">
            <v>[]</v>
          </cell>
          <cell r="G321" t="str">
            <v>人生娃核心技能</v>
          </cell>
          <cell r="H321" t="str">
            <v>renshenwa_skill01</v>
          </cell>
          <cell r="I321" t="str">
            <v>renshenwa_skill01</v>
          </cell>
          <cell r="J321">
            <v>0</v>
          </cell>
          <cell r="K321">
            <v>10</v>
          </cell>
          <cell r="L321" t="str">
            <v>1|29</v>
          </cell>
          <cell r="M321">
            <v>2</v>
          </cell>
          <cell r="N321">
            <v>2</v>
          </cell>
          <cell r="O321">
            <v>2</v>
          </cell>
          <cell r="P321">
            <v>2</v>
          </cell>
          <cell r="Q321">
            <v>12</v>
          </cell>
          <cell r="R321" t="str">
            <v>2|1</v>
          </cell>
          <cell r="S321" t="str">
            <v>2|6</v>
          </cell>
          <cell r="T321">
            <v>10</v>
          </cell>
          <cell r="U321">
            <v>0</v>
          </cell>
          <cell r="V321">
            <v>0</v>
          </cell>
          <cell r="W321" t="str">
            <v>[]</v>
          </cell>
          <cell r="X321">
            <v>0</v>
          </cell>
          <cell r="Y321" t="str">
            <v>[]</v>
          </cell>
          <cell r="Z321" t="str">
            <v>0,1,0</v>
          </cell>
          <cell r="AA321">
            <v>0</v>
          </cell>
          <cell r="AB321" t="str">
            <v>12</v>
          </cell>
          <cell r="AC321" t="str">
            <v>[]</v>
          </cell>
          <cell r="AD321" t="str">
            <v>[]</v>
          </cell>
          <cell r="AE321" t="str">
            <v>[]</v>
          </cell>
          <cell r="AF321" t="str">
            <v>renshenwa_skill01</v>
          </cell>
          <cell r="AG321" t="str">
            <v>common_hit_fashu</v>
          </cell>
          <cell r="AH321" t="str">
            <v>[]</v>
          </cell>
          <cell r="AI321" t="str">
            <v>[]</v>
          </cell>
          <cell r="AJ321" t="str">
            <v>[]</v>
          </cell>
          <cell r="AK321" t="str">
            <v>[]</v>
          </cell>
          <cell r="AL321" t="str">
            <v>[]</v>
          </cell>
          <cell r="AM321" t="str">
            <v>zhongduT6N0.2</v>
          </cell>
          <cell r="AN321">
            <v>2</v>
          </cell>
          <cell r="AO321">
            <v>0.4</v>
          </cell>
          <cell r="AP321">
            <v>120205</v>
          </cell>
          <cell r="AQ321" t="str">
            <v>120205</v>
          </cell>
          <cell r="AR321" t="str">
            <v>[]</v>
          </cell>
          <cell r="AS321" t="str">
            <v>[]</v>
          </cell>
          <cell r="AT321" t="str">
            <v>1130</v>
          </cell>
          <cell r="AU321" t="str">
            <v>6270</v>
          </cell>
          <cell r="AV321" t="str">
            <v>人生娃</v>
          </cell>
          <cell r="AW321" t="str">
            <v>11</v>
          </cell>
          <cell r="AX321">
            <v>1266</v>
          </cell>
          <cell r="AY321">
            <v>1</v>
          </cell>
          <cell r="BA321" t="str">
            <v>[]</v>
          </cell>
          <cell r="BE321" t="str">
            <v>[]</v>
          </cell>
          <cell r="BF321"/>
        </row>
        <row r="322">
          <cell r="A322" t="str">
            <v>renshenwa_skill021</v>
          </cell>
          <cell r="B322" t="str">
            <v>奥义·波浪战鼓</v>
          </cell>
          <cell r="C322" t="str">
            <v>摇动拨浪鼓，对范围内敌人造成自身攻击力@s的物伤</v>
          </cell>
          <cell r="D322">
            <v>1268</v>
          </cell>
          <cell r="E322">
            <v>1</v>
          </cell>
          <cell r="F322" t="str">
            <v>boss_warning_yuanxing</v>
          </cell>
          <cell r="G322" t="str">
            <v>人生娃AI技能1</v>
          </cell>
          <cell r="H322" t="str">
            <v>renshenwa_skill02</v>
          </cell>
          <cell r="I322" t="str">
            <v>[]</v>
          </cell>
          <cell r="J322">
            <v>1</v>
          </cell>
          <cell r="K322">
            <v>10</v>
          </cell>
          <cell r="L322" t="str">
            <v>[]</v>
          </cell>
          <cell r="M322">
            <v>2</v>
          </cell>
          <cell r="N322">
            <v>2</v>
          </cell>
          <cell r="O322">
            <v>1</v>
          </cell>
          <cell r="P322">
            <v>2</v>
          </cell>
          <cell r="Q322">
            <v>12</v>
          </cell>
          <cell r="R322" t="str">
            <v>2|1</v>
          </cell>
          <cell r="S322" t="str">
            <v>2|6</v>
          </cell>
          <cell r="T322">
            <v>1</v>
          </cell>
          <cell r="U322">
            <v>1</v>
          </cell>
          <cell r="V322">
            <v>0</v>
          </cell>
          <cell r="W322" t="str">
            <v>[]</v>
          </cell>
          <cell r="X322">
            <v>3</v>
          </cell>
          <cell r="Y322" t="str">
            <v>[]</v>
          </cell>
          <cell r="Z322" t="str">
            <v>0,1,0.4</v>
          </cell>
          <cell r="AA322">
            <v>0</v>
          </cell>
          <cell r="AB322">
            <v>6</v>
          </cell>
          <cell r="AC322" t="str">
            <v>[]</v>
          </cell>
          <cell r="AD322" t="str">
            <v>[]</v>
          </cell>
          <cell r="AE322" t="str">
            <v>[]</v>
          </cell>
          <cell r="AF322" t="str">
            <v>renshenwa_skill02_bip01</v>
          </cell>
          <cell r="AG322" t="str">
            <v>renshenwa_skill02_b</v>
          </cell>
          <cell r="AH322" t="str">
            <v>[]</v>
          </cell>
          <cell r="AI322" t="str">
            <v>[]</v>
          </cell>
          <cell r="AJ322" t="str">
            <v>[]</v>
          </cell>
          <cell r="AK322" t="str">
            <v>[]</v>
          </cell>
          <cell r="AL322" t="str">
            <v>[]</v>
          </cell>
          <cell r="AM322" t="str">
            <v>[]</v>
          </cell>
          <cell r="AN322">
            <v>1</v>
          </cell>
          <cell r="AO322" t="str">
            <v>0.5,0.2,0.2</v>
          </cell>
          <cell r="AP322">
            <v>120206</v>
          </cell>
          <cell r="AQ322" t="str">
            <v>120206</v>
          </cell>
          <cell r="AR322" t="str">
            <v>[]</v>
          </cell>
          <cell r="AS322" t="str">
            <v>[]</v>
          </cell>
          <cell r="AT322" t="str">
            <v>1131</v>
          </cell>
          <cell r="AU322" t="str">
            <v>6281</v>
          </cell>
          <cell r="AV322" t="str">
            <v>人生娃</v>
          </cell>
          <cell r="AW322" t="str">
            <v>21</v>
          </cell>
          <cell r="AX322">
            <v>1268</v>
          </cell>
          <cell r="AY322">
            <v>3</v>
          </cell>
          <cell r="BA322" t="str">
            <v>[]</v>
          </cell>
          <cell r="BE322" t="str">
            <v>[]</v>
          </cell>
          <cell r="BF322"/>
        </row>
        <row r="323">
          <cell r="A323" t="str">
            <v>renshenwa_skill041</v>
          </cell>
          <cell r="B323" t="str">
            <v>奥义·波浪重锤</v>
          </cell>
          <cell r="C323" t="str">
            <v>举起拨浪鼓狠狠敲击敌军，对范围内敌人造成自身攻击力@s的物伤，胡来的重锤有60%的概率敲晕目标</v>
          </cell>
          <cell r="D323">
            <v>1270</v>
          </cell>
          <cell r="E323">
            <v>2</v>
          </cell>
          <cell r="F323" t="str">
            <v>boss_warning_yuanxing</v>
          </cell>
          <cell r="G323" t="str">
            <v>人生娃技能2</v>
          </cell>
          <cell r="H323" t="str">
            <v>renshenwa_skill04</v>
          </cell>
          <cell r="I323" t="str">
            <v>[]</v>
          </cell>
          <cell r="J323">
            <v>3</v>
          </cell>
          <cell r="K323">
            <v>10</v>
          </cell>
          <cell r="L323" t="str">
            <v>[]</v>
          </cell>
          <cell r="M323">
            <v>2</v>
          </cell>
          <cell r="N323">
            <v>2</v>
          </cell>
          <cell r="O323">
            <v>1</v>
          </cell>
          <cell r="P323">
            <v>2</v>
          </cell>
          <cell r="Q323">
            <v>4</v>
          </cell>
          <cell r="R323" t="str">
            <v>2|1</v>
          </cell>
          <cell r="S323" t="str">
            <v>2|6</v>
          </cell>
          <cell r="T323">
            <v>10</v>
          </cell>
          <cell r="U323">
            <v>1</v>
          </cell>
          <cell r="V323">
            <v>0</v>
          </cell>
          <cell r="W323" t="str">
            <v>[]</v>
          </cell>
          <cell r="X323">
            <v>3</v>
          </cell>
          <cell r="Y323" t="str">
            <v>[]</v>
          </cell>
          <cell r="Z323" t="str">
            <v>0,0.94,0.627</v>
          </cell>
          <cell r="AA323">
            <v>0</v>
          </cell>
          <cell r="AB323">
            <v>6</v>
          </cell>
          <cell r="AC323" t="str">
            <v>[]</v>
          </cell>
          <cell r="AD323" t="str">
            <v>[]</v>
          </cell>
          <cell r="AE323" t="str">
            <v>[]</v>
          </cell>
          <cell r="AF323" t="str">
            <v>renshenwa_skill04</v>
          </cell>
          <cell r="AG323" t="str">
            <v>common_hit_dunqi</v>
          </cell>
          <cell r="AH323" t="str">
            <v>[]</v>
          </cell>
          <cell r="AI323" t="str">
            <v>[]</v>
          </cell>
          <cell r="AJ323" t="str">
            <v>[]</v>
          </cell>
          <cell r="AK323" t="str">
            <v>yunxuanT1NP0.6</v>
          </cell>
          <cell r="AL323" t="str">
            <v>[]</v>
          </cell>
          <cell r="AM323" t="str">
            <v>[]</v>
          </cell>
          <cell r="AN323">
            <v>2</v>
          </cell>
          <cell r="AO323">
            <v>0.8</v>
          </cell>
          <cell r="AP323">
            <v>120207</v>
          </cell>
          <cell r="AQ323" t="str">
            <v>120207</v>
          </cell>
          <cell r="AR323" t="str">
            <v>[]</v>
          </cell>
          <cell r="AS323" t="str">
            <v>[]</v>
          </cell>
          <cell r="AT323" t="str">
            <v>1131</v>
          </cell>
          <cell r="AU323" t="str">
            <v>6300</v>
          </cell>
          <cell r="AV323" t="str">
            <v>人生娃</v>
          </cell>
          <cell r="AW323" t="str">
            <v>41</v>
          </cell>
          <cell r="AX323">
            <v>1270</v>
          </cell>
          <cell r="AY323">
            <v>1</v>
          </cell>
          <cell r="AZ323">
            <v>0.6</v>
          </cell>
          <cell r="BA323">
            <v>0.6</v>
          </cell>
          <cell r="BE323">
            <v>0.6</v>
          </cell>
          <cell r="BF323" t="str">
            <v>60</v>
          </cell>
        </row>
        <row r="324">
          <cell r="A324" t="str">
            <v>nverguoguowang_attack</v>
          </cell>
          <cell r="B324" t="str">
            <v>女儿国国王普攻</v>
          </cell>
          <cell r="C324" t="str">
            <v>普攻</v>
          </cell>
          <cell r="D324" t="str">
            <v>[]</v>
          </cell>
          <cell r="E324">
            <v>0</v>
          </cell>
          <cell r="F324" t="str">
            <v>[]</v>
          </cell>
          <cell r="G324" t="str">
            <v>女儿国国王近战攻击</v>
          </cell>
          <cell r="H324" t="str">
            <v>[]</v>
          </cell>
          <cell r="I324" t="str">
            <v>[]</v>
          </cell>
          <cell r="J324">
            <v>0</v>
          </cell>
          <cell r="K324">
            <v>1</v>
          </cell>
          <cell r="L324" t="str">
            <v>[]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12</v>
          </cell>
          <cell r="R324" t="str">
            <v>2|1</v>
          </cell>
          <cell r="S324" t="str">
            <v>4|0.2</v>
          </cell>
          <cell r="T324">
            <v>1</v>
          </cell>
          <cell r="U324">
            <v>1</v>
          </cell>
          <cell r="V324">
            <v>0</v>
          </cell>
          <cell r="W324" t="str">
            <v>[]</v>
          </cell>
          <cell r="X324">
            <v>0</v>
          </cell>
          <cell r="Y324" t="str">
            <v>[]</v>
          </cell>
          <cell r="Z324" t="str">
            <v>0,1,0</v>
          </cell>
          <cell r="AA324">
            <v>0</v>
          </cell>
          <cell r="AB324">
            <v>0</v>
          </cell>
          <cell r="AC324" t="str">
            <v>[]</v>
          </cell>
          <cell r="AD324" t="str">
            <v>[]</v>
          </cell>
          <cell r="AE324" t="str">
            <v>nverguoguowang_attack_q</v>
          </cell>
          <cell r="AF324" t="str">
            <v>nverguoguowang_attack</v>
          </cell>
          <cell r="AG324" t="str">
            <v>common_hit_qinwuqi</v>
          </cell>
          <cell r="AH324" t="str">
            <v>[]</v>
          </cell>
          <cell r="AI324" t="str">
            <v>[]</v>
          </cell>
          <cell r="AJ324" t="str">
            <v>[]</v>
          </cell>
          <cell r="AK324" t="str">
            <v>[]</v>
          </cell>
          <cell r="AL324" t="str">
            <v>[]</v>
          </cell>
          <cell r="AM324" t="str">
            <v>[]</v>
          </cell>
          <cell r="AN324">
            <v>2</v>
          </cell>
          <cell r="AO324">
            <v>-2</v>
          </cell>
          <cell r="AP324">
            <v>121600</v>
          </cell>
          <cell r="AQ324" t="str">
            <v>121600</v>
          </cell>
          <cell r="AR324" t="str">
            <v>[]</v>
          </cell>
          <cell r="AS324" t="str">
            <v>[]</v>
          </cell>
          <cell r="AT324" t="str">
            <v>1131</v>
          </cell>
          <cell r="AU324" t="str">
            <v>6310</v>
          </cell>
          <cell r="AV324" t="str">
            <v>女儿国国王近战攻击</v>
          </cell>
          <cell r="AW324" t="str">
            <v>ck</v>
          </cell>
          <cell r="AX324" t="str">
            <v>[]</v>
          </cell>
          <cell r="AY324">
            <v>1</v>
          </cell>
          <cell r="BA324" t="str">
            <v>[]</v>
          </cell>
          <cell r="BE324" t="str">
            <v>[]</v>
          </cell>
          <cell r="BF324"/>
        </row>
        <row r="325">
          <cell r="A325" t="str">
            <v>nverguoguowang_attack02</v>
          </cell>
          <cell r="B325" t="str">
            <v>女儿国国王普攻2</v>
          </cell>
          <cell r="C325" t="str">
            <v>普攻</v>
          </cell>
          <cell r="D325" t="str">
            <v>[]</v>
          </cell>
          <cell r="E325">
            <v>0</v>
          </cell>
          <cell r="F325" t="str">
            <v>[]</v>
          </cell>
          <cell r="G325" t="str">
            <v>女儿国国王近战攻击</v>
          </cell>
          <cell r="H325" t="str">
            <v>[]</v>
          </cell>
          <cell r="I325" t="str">
            <v>[]</v>
          </cell>
          <cell r="J325">
            <v>0</v>
          </cell>
          <cell r="K325">
            <v>1</v>
          </cell>
          <cell r="L325" t="str">
            <v>[]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3</v>
          </cell>
          <cell r="R325" t="str">
            <v>2|1</v>
          </cell>
          <cell r="S325" t="str">
            <v>4|0.2</v>
          </cell>
          <cell r="T325">
            <v>1</v>
          </cell>
          <cell r="U325">
            <v>1</v>
          </cell>
          <cell r="V325">
            <v>0</v>
          </cell>
          <cell r="W325" t="str">
            <v>[]</v>
          </cell>
          <cell r="X325">
            <v>0</v>
          </cell>
          <cell r="Y325" t="str">
            <v>[]</v>
          </cell>
          <cell r="Z325" t="str">
            <v>0,1,0</v>
          </cell>
          <cell r="AA325">
            <v>0</v>
          </cell>
          <cell r="AB325" t="str">
            <v>[]</v>
          </cell>
          <cell r="AC325" t="str">
            <v>[]</v>
          </cell>
          <cell r="AD325" t="str">
            <v>[]</v>
          </cell>
          <cell r="AE325" t="str">
            <v>[]</v>
          </cell>
          <cell r="AF325" t="str">
            <v>nverguoguowang_attack02</v>
          </cell>
          <cell r="AG325" t="str">
            <v>common_hit_qinwuqi</v>
          </cell>
          <cell r="AH325" t="str">
            <v>[]</v>
          </cell>
          <cell r="AI325" t="str">
            <v>[]</v>
          </cell>
          <cell r="AJ325" t="str">
            <v>[]</v>
          </cell>
          <cell r="AK325" t="str">
            <v>[]</v>
          </cell>
          <cell r="AL325" t="str">
            <v>[]</v>
          </cell>
          <cell r="AM325" t="str">
            <v>[]</v>
          </cell>
          <cell r="AN325">
            <v>1</v>
          </cell>
          <cell r="AO325">
            <v>0.66</v>
          </cell>
          <cell r="AP325">
            <v>121601</v>
          </cell>
          <cell r="AQ325" t="str">
            <v>121601</v>
          </cell>
          <cell r="AR325" t="str">
            <v>[]</v>
          </cell>
          <cell r="AS325" t="str">
            <v>[]</v>
          </cell>
          <cell r="AT325" t="str">
            <v>9015</v>
          </cell>
          <cell r="AU325" t="str">
            <v>6310</v>
          </cell>
          <cell r="AV325" t="str">
            <v>女儿国国王近战攻击</v>
          </cell>
          <cell r="AW325" t="str">
            <v>02</v>
          </cell>
          <cell r="AX325" t="str">
            <v>[]</v>
          </cell>
          <cell r="AY325">
            <v>1</v>
          </cell>
          <cell r="BA325" t="str">
            <v>[]</v>
          </cell>
          <cell r="BE325" t="str">
            <v>[]</v>
          </cell>
          <cell r="BF325"/>
        </row>
        <row r="326">
          <cell r="A326" t="str">
            <v>nverguoguowang_attack03</v>
          </cell>
          <cell r="B326" t="str">
            <v>女儿国国王普攻3</v>
          </cell>
          <cell r="C326" t="str">
            <v>普攻</v>
          </cell>
          <cell r="D326">
            <v>1262</v>
          </cell>
          <cell r="E326">
            <v>0</v>
          </cell>
          <cell r="F326" t="str">
            <v>[]</v>
          </cell>
          <cell r="G326" t="str">
            <v>女儿国国王近战攻击</v>
          </cell>
          <cell r="H326" t="str">
            <v>[]</v>
          </cell>
          <cell r="I326" t="str">
            <v>[]</v>
          </cell>
          <cell r="J326">
            <v>0</v>
          </cell>
          <cell r="K326">
            <v>1</v>
          </cell>
          <cell r="L326" t="str">
            <v>[]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3</v>
          </cell>
          <cell r="R326" t="str">
            <v>2|1</v>
          </cell>
          <cell r="S326" t="str">
            <v>4|0.2</v>
          </cell>
          <cell r="T326">
            <v>1</v>
          </cell>
          <cell r="U326">
            <v>1</v>
          </cell>
          <cell r="V326">
            <v>0</v>
          </cell>
          <cell r="W326" t="str">
            <v>[]</v>
          </cell>
          <cell r="X326">
            <v>0</v>
          </cell>
          <cell r="Y326" t="str">
            <v>[]</v>
          </cell>
          <cell r="Z326" t="str">
            <v>0,1,0</v>
          </cell>
          <cell r="AA326">
            <v>0</v>
          </cell>
          <cell r="AB326" t="str">
            <v>[]</v>
          </cell>
          <cell r="AC326" t="str">
            <v>[]</v>
          </cell>
          <cell r="AD326" t="str">
            <v>[]</v>
          </cell>
          <cell r="AE326" t="str">
            <v>[]</v>
          </cell>
          <cell r="AF326" t="str">
            <v>nverguoguowang_attack03</v>
          </cell>
          <cell r="AG326" t="str">
            <v>common_hit_qinwuqi</v>
          </cell>
          <cell r="AH326" t="str">
            <v>[]</v>
          </cell>
          <cell r="AI326" t="str">
            <v>[]</v>
          </cell>
          <cell r="AJ326" t="str">
            <v>[]</v>
          </cell>
          <cell r="AK326" t="str">
            <v>[]</v>
          </cell>
          <cell r="AL326" t="str">
            <v>[]</v>
          </cell>
          <cell r="AM326" t="str">
            <v>[]</v>
          </cell>
          <cell r="AN326">
            <v>1</v>
          </cell>
          <cell r="AO326">
            <v>0.5</v>
          </cell>
          <cell r="AP326">
            <v>121602</v>
          </cell>
          <cell r="AQ326" t="str">
            <v>121602</v>
          </cell>
          <cell r="AR326" t="str">
            <v>[]</v>
          </cell>
          <cell r="AS326" t="str">
            <v>[]</v>
          </cell>
          <cell r="AT326" t="str">
            <v>1131</v>
          </cell>
          <cell r="AU326" t="str">
            <v>6310</v>
          </cell>
          <cell r="AV326" t="str">
            <v>女儿国国王近战攻击</v>
          </cell>
          <cell r="AW326" t="str">
            <v>03</v>
          </cell>
          <cell r="AX326">
            <v>1262</v>
          </cell>
          <cell r="AY326">
            <v>1</v>
          </cell>
          <cell r="BA326" t="str">
            <v>[]</v>
          </cell>
          <cell r="BE326" t="str">
            <v>[]</v>
          </cell>
          <cell r="BF326"/>
        </row>
        <row r="327">
          <cell r="A327" t="str">
            <v>nverguoguowang_skill01</v>
          </cell>
          <cell r="B327" t="str">
            <v>嗜血玫瑰</v>
          </cell>
          <cell r="C327" t="str">
            <v>召唤嗜血玫瑰攻击敌军，对范围内敌人造成主角攻击力@s的法伤</v>
          </cell>
          <cell r="D327" t="str">
            <v>[]</v>
          </cell>
          <cell r="E327">
            <v>0</v>
          </cell>
          <cell r="F327" t="str">
            <v>[]</v>
          </cell>
          <cell r="G327" t="str">
            <v>女儿国国王核心技能</v>
          </cell>
          <cell r="H327" t="str">
            <v>nverguoguowang_skill01</v>
          </cell>
          <cell r="I327" t="str">
            <v>nverguoguowang_skill01</v>
          </cell>
          <cell r="J327">
            <v>0</v>
          </cell>
          <cell r="K327">
            <v>1</v>
          </cell>
          <cell r="L327" t="str">
            <v>1|11</v>
          </cell>
          <cell r="M327">
            <v>2</v>
          </cell>
          <cell r="N327">
            <v>2</v>
          </cell>
          <cell r="O327">
            <v>2</v>
          </cell>
          <cell r="P327">
            <v>2</v>
          </cell>
          <cell r="Q327">
            <v>12</v>
          </cell>
          <cell r="R327" t="str">
            <v>2|1</v>
          </cell>
          <cell r="S327" t="str">
            <v>2|6</v>
          </cell>
          <cell r="T327">
            <v>10</v>
          </cell>
          <cell r="U327">
            <v>1</v>
          </cell>
          <cell r="V327">
            <v>0</v>
          </cell>
          <cell r="W327" t="str">
            <v>[]</v>
          </cell>
          <cell r="X327">
            <v>0</v>
          </cell>
          <cell r="Y327" t="str">
            <v>[]</v>
          </cell>
          <cell r="Z327" t="str">
            <v>0,1,0</v>
          </cell>
          <cell r="AA327">
            <v>0</v>
          </cell>
          <cell r="AB327" t="str">
            <v>12</v>
          </cell>
          <cell r="AC327" t="str">
            <v>[]</v>
          </cell>
          <cell r="AD327" t="str">
            <v>[]</v>
          </cell>
          <cell r="AE327" t="str">
            <v>[]</v>
          </cell>
          <cell r="AF327" t="str">
            <v>nverguoguowang_skill01</v>
          </cell>
          <cell r="AG327" t="str">
            <v>nverguoguowang_skill01_b</v>
          </cell>
          <cell r="AH327" t="str">
            <v>[]</v>
          </cell>
          <cell r="AI327" t="str">
            <v>[]</v>
          </cell>
          <cell r="AJ327" t="str">
            <v>[]</v>
          </cell>
          <cell r="AK327" t="str">
            <v>[]</v>
          </cell>
          <cell r="AL327" t="str">
            <v>[]</v>
          </cell>
          <cell r="AM327" t="str">
            <v>[]</v>
          </cell>
          <cell r="AN327">
            <v>2</v>
          </cell>
          <cell r="AO327">
            <v>0.8</v>
          </cell>
          <cell r="AP327">
            <v>121603</v>
          </cell>
          <cell r="AQ327" t="str">
            <v>121603</v>
          </cell>
          <cell r="AR327" t="str">
            <v>[]</v>
          </cell>
          <cell r="AS327" t="str">
            <v>[]</v>
          </cell>
          <cell r="AT327" t="str">
            <v>1131</v>
          </cell>
          <cell r="AU327" t="str">
            <v>6320</v>
          </cell>
          <cell r="AV327" t="str">
            <v>女儿国国王</v>
          </cell>
          <cell r="AW327" t="str">
            <v>01</v>
          </cell>
          <cell r="AX327" t="str">
            <v>[]</v>
          </cell>
          <cell r="AY327">
            <v>1</v>
          </cell>
          <cell r="BA327" t="str">
            <v>[]</v>
          </cell>
          <cell r="BE327" t="str">
            <v>[]</v>
          </cell>
          <cell r="BF327"/>
        </row>
        <row r="328">
          <cell r="A328" t="str">
            <v>nverguoguowang_skill02</v>
          </cell>
          <cell r="B328" t="str">
            <v>魅舞倾城</v>
          </cell>
          <cell r="C328" t="str">
            <v>跳起剑舞，对范围内敌人造成自身攻击力@s的法伤，20%概率魅惑2秒[被魅惑目标攻击敌方同伴]</v>
          </cell>
          <cell r="D328" t="str">
            <v>[]</v>
          </cell>
          <cell r="E328">
            <v>1</v>
          </cell>
          <cell r="F328" t="str">
            <v>boss_warning_yuanxing</v>
          </cell>
          <cell r="G328" t="str">
            <v>女儿国国王技能2</v>
          </cell>
          <cell r="H328" t="str">
            <v>nverguoguowang_skill02</v>
          </cell>
          <cell r="I328" t="str">
            <v>[]</v>
          </cell>
          <cell r="J328">
            <v>1</v>
          </cell>
          <cell r="K328">
            <v>1</v>
          </cell>
          <cell r="L328" t="str">
            <v>[]</v>
          </cell>
          <cell r="M328">
            <v>2</v>
          </cell>
          <cell r="N328">
            <v>2</v>
          </cell>
          <cell r="O328">
            <v>1</v>
          </cell>
          <cell r="P328">
            <v>2</v>
          </cell>
          <cell r="Q328">
            <v>12</v>
          </cell>
          <cell r="R328" t="str">
            <v>2|1</v>
          </cell>
          <cell r="S328" t="str">
            <v>2|6</v>
          </cell>
          <cell r="T328">
            <v>10</v>
          </cell>
          <cell r="U328">
            <v>0</v>
          </cell>
          <cell r="V328">
            <v>0</v>
          </cell>
          <cell r="W328" t="str">
            <v>[]</v>
          </cell>
          <cell r="X328">
            <v>3</v>
          </cell>
          <cell r="Y328" t="str">
            <v>[]</v>
          </cell>
          <cell r="Z328" t="str">
            <v>0,1.254,1.613</v>
          </cell>
          <cell r="AA328">
            <v>0</v>
          </cell>
          <cell r="AB328">
            <v>6</v>
          </cell>
          <cell r="AC328" t="str">
            <v>[]</v>
          </cell>
          <cell r="AD328" t="str">
            <v>[]</v>
          </cell>
          <cell r="AE328" t="str">
            <v>[]</v>
          </cell>
          <cell r="AF328" t="str">
            <v>nverguoguowang_skill02</v>
          </cell>
          <cell r="AG328" t="str">
            <v>nverguoguowang_skill02_b</v>
          </cell>
          <cell r="AH328" t="str">
            <v>[]</v>
          </cell>
          <cell r="AI328" t="str">
            <v>[]</v>
          </cell>
          <cell r="AJ328" t="str">
            <v>[]</v>
          </cell>
          <cell r="AK328" t="str">
            <v>meihuoT2NP1</v>
          </cell>
          <cell r="AL328" t="str">
            <v>[]</v>
          </cell>
          <cell r="AM328" t="str">
            <v>[]</v>
          </cell>
          <cell r="AN328">
            <v>1</v>
          </cell>
          <cell r="AO328">
            <v>1.5</v>
          </cell>
          <cell r="AP328">
            <v>121604</v>
          </cell>
          <cell r="AQ328" t="str">
            <v>121604</v>
          </cell>
          <cell r="AR328" t="str">
            <v>[]</v>
          </cell>
          <cell r="AS328" t="str">
            <v>[]</v>
          </cell>
          <cell r="AT328" t="str">
            <v>1131</v>
          </cell>
          <cell r="AU328" t="str">
            <v>6330</v>
          </cell>
          <cell r="AV328" t="str">
            <v>女儿国国王</v>
          </cell>
          <cell r="AW328" t="str">
            <v>02</v>
          </cell>
          <cell r="AX328" t="str">
            <v>[]</v>
          </cell>
          <cell r="AY328">
            <v>1</v>
          </cell>
          <cell r="AZ328">
            <v>0.2</v>
          </cell>
          <cell r="BA328">
            <v>0.2</v>
          </cell>
          <cell r="BE328">
            <v>0.2</v>
          </cell>
          <cell r="BF328" t="str">
            <v>20</v>
          </cell>
        </row>
        <row r="329">
          <cell r="A329" t="str">
            <v>nverguoguowang_skill03</v>
          </cell>
          <cell r="B329" t="str">
            <v>凡间剑法</v>
          </cell>
          <cell r="C329" t="str">
            <v>进入战斗场景时，提升自身对敌人造成的伤害@s</v>
          </cell>
          <cell r="D329">
            <v>1262</v>
          </cell>
          <cell r="E329">
            <v>0</v>
          </cell>
          <cell r="F329" t="str">
            <v>[]</v>
          </cell>
          <cell r="G329" t="str">
            <v>女儿国国王被动技能</v>
          </cell>
          <cell r="H329" t="str">
            <v>wugong</v>
          </cell>
          <cell r="I329" t="str">
            <v>[]</v>
          </cell>
          <cell r="J329">
            <v>2</v>
          </cell>
          <cell r="K329">
            <v>1</v>
          </cell>
          <cell r="L329" t="str">
            <v>[]</v>
          </cell>
          <cell r="M329">
            <v>2</v>
          </cell>
          <cell r="N329">
            <v>2</v>
          </cell>
          <cell r="O329">
            <v>3</v>
          </cell>
          <cell r="P329">
            <v>0</v>
          </cell>
          <cell r="Q329">
            <v>4</v>
          </cell>
          <cell r="R329">
            <v>1</v>
          </cell>
          <cell r="S329" t="str">
            <v>4|0.2</v>
          </cell>
          <cell r="T329">
            <v>1</v>
          </cell>
          <cell r="U329">
            <v>0</v>
          </cell>
          <cell r="V329">
            <v>0</v>
          </cell>
          <cell r="W329" t="str">
            <v>[]</v>
          </cell>
          <cell r="X329">
            <v>0</v>
          </cell>
          <cell r="Y329" t="str">
            <v>[]</v>
          </cell>
          <cell r="Z329" t="str">
            <v>0,0,0</v>
          </cell>
          <cell r="AA329">
            <v>0</v>
          </cell>
          <cell r="AB329">
            <v>0</v>
          </cell>
          <cell r="AC329" t="str">
            <v>[]</v>
          </cell>
          <cell r="AD329" t="str">
            <v>[]</v>
          </cell>
          <cell r="AE329" t="str">
            <v>[]</v>
          </cell>
          <cell r="AF329" t="str">
            <v>[]</v>
          </cell>
          <cell r="AG329" t="str">
            <v>[]</v>
          </cell>
          <cell r="AH329" t="str">
            <v>[]</v>
          </cell>
          <cell r="AI329" t="str">
            <v>[]</v>
          </cell>
          <cell r="AJ329" t="str">
            <v>[]</v>
          </cell>
          <cell r="AK329" t="str">
            <v>[]</v>
          </cell>
          <cell r="AL329" t="str">
            <v>[]</v>
          </cell>
          <cell r="AM329" t="str">
            <v>[]</v>
          </cell>
          <cell r="AN329">
            <v>0</v>
          </cell>
          <cell r="AO329" t="str">
            <v>[]</v>
          </cell>
          <cell r="AP329" t="str">
            <v>[]</v>
          </cell>
          <cell r="AQ329" t="str">
            <v>9015</v>
          </cell>
          <cell r="AR329" t="str">
            <v>[]</v>
          </cell>
          <cell r="AS329" t="str">
            <v>[]</v>
          </cell>
          <cell r="AT329" t="str">
            <v>1131</v>
          </cell>
          <cell r="AU329" t="str">
            <v>6340</v>
          </cell>
          <cell r="AV329" t="str">
            <v>女儿国国王</v>
          </cell>
          <cell r="AW329" t="str">
            <v>03</v>
          </cell>
          <cell r="AX329">
            <v>1262</v>
          </cell>
          <cell r="AY329">
            <v>1</v>
          </cell>
          <cell r="BA329" t="str">
            <v>[]</v>
          </cell>
          <cell r="BE329" t="str">
            <v>[]</v>
          </cell>
          <cell r="BF329"/>
        </row>
        <row r="330">
          <cell r="A330" t="str">
            <v>nverguoguowang_skill04</v>
          </cell>
          <cell r="B330" t="str">
            <v>无双剑舞</v>
          </cell>
          <cell r="C330" t="str">
            <v>于敌阵中召唤神剑，对范围内敌人进行3次攻击，造成自身攻击力@s的法伤，对昏迷、冰冻的目标伤害提升15%</v>
          </cell>
          <cell r="D330">
            <v>1264</v>
          </cell>
          <cell r="E330">
            <v>1</v>
          </cell>
          <cell r="F330" t="str">
            <v>boss_warning_yuanxing</v>
          </cell>
          <cell r="G330" t="str">
            <v>女儿国国王4技能</v>
          </cell>
          <cell r="H330" t="str">
            <v>nverguoguowang_skill04</v>
          </cell>
          <cell r="I330" t="str">
            <v>[]</v>
          </cell>
          <cell r="J330">
            <v>3</v>
          </cell>
          <cell r="K330">
            <v>1</v>
          </cell>
          <cell r="L330" t="str">
            <v>[]</v>
          </cell>
          <cell r="M330">
            <v>2</v>
          </cell>
          <cell r="N330">
            <v>2</v>
          </cell>
          <cell r="O330">
            <v>2</v>
          </cell>
          <cell r="P330">
            <v>2</v>
          </cell>
          <cell r="Q330">
            <v>12</v>
          </cell>
          <cell r="R330" t="str">
            <v>2|1</v>
          </cell>
          <cell r="S330" t="str">
            <v>2|6</v>
          </cell>
          <cell r="T330">
            <v>10</v>
          </cell>
          <cell r="U330">
            <v>1</v>
          </cell>
          <cell r="V330">
            <v>0</v>
          </cell>
          <cell r="W330" t="str">
            <v>[]</v>
          </cell>
          <cell r="X330">
            <v>3</v>
          </cell>
          <cell r="Y330" t="str">
            <v>[]</v>
          </cell>
          <cell r="Z330" t="str">
            <v>0,2.145,0.855</v>
          </cell>
          <cell r="AA330">
            <v>0</v>
          </cell>
          <cell r="AB330">
            <v>6</v>
          </cell>
          <cell r="AC330" t="str">
            <v>[]</v>
          </cell>
          <cell r="AD330" t="str">
            <v>[]</v>
          </cell>
          <cell r="AE330" t="str">
            <v>nverguoguowang_skill04_q</v>
          </cell>
          <cell r="AF330" t="str">
            <v>nverguoguowang_skill04</v>
          </cell>
          <cell r="AG330" t="str">
            <v>common_hit_fashu</v>
          </cell>
          <cell r="AH330" t="str">
            <v>[]</v>
          </cell>
          <cell r="AI330" t="str">
            <v>[]</v>
          </cell>
          <cell r="AJ330" t="str">
            <v>[]</v>
          </cell>
          <cell r="AK330" t="str">
            <v>[]</v>
          </cell>
          <cell r="AL330" t="str">
            <v>[]</v>
          </cell>
          <cell r="AM330" t="str">
            <v>[]</v>
          </cell>
          <cell r="AN330">
            <v>2</v>
          </cell>
          <cell r="AO330" t="str">
            <v>0.5,0.85,0.85</v>
          </cell>
          <cell r="AP330">
            <v>121606</v>
          </cell>
          <cell r="AQ330" t="str">
            <v>121606</v>
          </cell>
          <cell r="AR330" t="str">
            <v>[]</v>
          </cell>
          <cell r="AS330" t="str">
            <v>[]</v>
          </cell>
          <cell r="AT330" t="str">
            <v>1136</v>
          </cell>
          <cell r="AU330" t="str">
            <v>6350</v>
          </cell>
          <cell r="AV330" t="str">
            <v>女儿国国王</v>
          </cell>
          <cell r="AW330" t="str">
            <v>04</v>
          </cell>
          <cell r="AX330">
            <v>1264</v>
          </cell>
          <cell r="AY330">
            <v>3</v>
          </cell>
          <cell r="BA330" t="str">
            <v>[]</v>
          </cell>
          <cell r="BE330" t="str">
            <v>[]</v>
          </cell>
          <cell r="BF330"/>
        </row>
        <row r="331">
          <cell r="A331" t="str">
            <v>nverguoguowang_skill011</v>
          </cell>
          <cell r="B331" t="str">
            <v>奥义·嗜血玫瑰</v>
          </cell>
          <cell r="C331" t="str">
            <v>召唤嗜血玫瑰攻击敌军，对范围内敌人造成主角攻击力@s的法伤</v>
          </cell>
          <cell r="D331">
            <v>1266</v>
          </cell>
          <cell r="E331">
            <v>0</v>
          </cell>
          <cell r="F331" t="str">
            <v>[]</v>
          </cell>
          <cell r="G331" t="str">
            <v>女儿国国王核心技能</v>
          </cell>
          <cell r="H331" t="str">
            <v>nverguoguowang_skill01</v>
          </cell>
          <cell r="I331" t="str">
            <v>nverguoguowang_skill01</v>
          </cell>
          <cell r="J331">
            <v>0</v>
          </cell>
          <cell r="K331">
            <v>1</v>
          </cell>
          <cell r="L331" t="str">
            <v>1|11</v>
          </cell>
          <cell r="M331">
            <v>2</v>
          </cell>
          <cell r="N331">
            <v>2</v>
          </cell>
          <cell r="O331">
            <v>2</v>
          </cell>
          <cell r="P331">
            <v>2</v>
          </cell>
          <cell r="Q331">
            <v>12</v>
          </cell>
          <cell r="R331" t="str">
            <v>2|1</v>
          </cell>
          <cell r="S331" t="str">
            <v>2|6</v>
          </cell>
          <cell r="T331">
            <v>10</v>
          </cell>
          <cell r="U331">
            <v>1</v>
          </cell>
          <cell r="V331">
            <v>0</v>
          </cell>
          <cell r="W331" t="str">
            <v>[]</v>
          </cell>
          <cell r="X331">
            <v>0</v>
          </cell>
          <cell r="Y331" t="str">
            <v>[]</v>
          </cell>
          <cell r="Z331" t="str">
            <v>0,1,0</v>
          </cell>
          <cell r="AA331">
            <v>0</v>
          </cell>
          <cell r="AB331" t="str">
            <v>12</v>
          </cell>
          <cell r="AC331" t="str">
            <v>[]</v>
          </cell>
          <cell r="AD331" t="str">
            <v>[]</v>
          </cell>
          <cell r="AE331" t="str">
            <v>[]</v>
          </cell>
          <cell r="AF331" t="str">
            <v>nverguoguowang_skill01</v>
          </cell>
          <cell r="AG331" t="str">
            <v>[]</v>
          </cell>
          <cell r="AH331" t="str">
            <v>[]</v>
          </cell>
          <cell r="AI331" t="str">
            <v>[]</v>
          </cell>
          <cell r="AJ331" t="str">
            <v>[]</v>
          </cell>
          <cell r="AK331" t="str">
            <v>[]</v>
          </cell>
          <cell r="AL331" t="str">
            <v>[]</v>
          </cell>
          <cell r="AM331" t="str">
            <v>[]</v>
          </cell>
          <cell r="AN331">
            <v>2</v>
          </cell>
          <cell r="AO331">
            <v>0.8</v>
          </cell>
          <cell r="AP331">
            <v>121607</v>
          </cell>
          <cell r="AQ331" t="str">
            <v>121607</v>
          </cell>
          <cell r="AR331" t="str">
            <v>[]</v>
          </cell>
          <cell r="AS331" t="str">
            <v>[]</v>
          </cell>
          <cell r="AT331" t="str">
            <v>1136</v>
          </cell>
          <cell r="AU331" t="str">
            <v>6320</v>
          </cell>
          <cell r="AV331" t="str">
            <v>女儿国国王</v>
          </cell>
          <cell r="AW331" t="str">
            <v>11</v>
          </cell>
          <cell r="AX331">
            <v>1266</v>
          </cell>
          <cell r="AY331">
            <v>1</v>
          </cell>
          <cell r="BA331" t="str">
            <v>[]</v>
          </cell>
          <cell r="BE331" t="str">
            <v>[]</v>
          </cell>
          <cell r="BF331"/>
        </row>
        <row r="332">
          <cell r="A332" t="str">
            <v>nverguoguowang_skill021</v>
          </cell>
          <cell r="B332" t="str">
            <v>奥义·魅舞倾城</v>
          </cell>
          <cell r="C332" t="str">
            <v>跳起剑舞，对范围内敌人造成自身攻击力@s的法伤，60%概率魅惑2秒[被魅惑目标攻击敌方同伴]</v>
          </cell>
          <cell r="D332">
            <v>1268</v>
          </cell>
          <cell r="E332">
            <v>1</v>
          </cell>
          <cell r="F332" t="str">
            <v>boss_warning_yuanxing</v>
          </cell>
          <cell r="G332" t="str">
            <v>女儿国国王技能2</v>
          </cell>
          <cell r="H332" t="str">
            <v>nverguoguowang_skill02</v>
          </cell>
          <cell r="I332" t="str">
            <v>[]</v>
          </cell>
          <cell r="J332">
            <v>1</v>
          </cell>
          <cell r="K332">
            <v>1</v>
          </cell>
          <cell r="L332" t="str">
            <v>[]</v>
          </cell>
          <cell r="M332">
            <v>2</v>
          </cell>
          <cell r="N332">
            <v>2</v>
          </cell>
          <cell r="O332">
            <v>1</v>
          </cell>
          <cell r="P332">
            <v>2</v>
          </cell>
          <cell r="Q332">
            <v>12</v>
          </cell>
          <cell r="R332" t="str">
            <v>2|1</v>
          </cell>
          <cell r="S332" t="str">
            <v>2|6</v>
          </cell>
          <cell r="T332">
            <v>10</v>
          </cell>
          <cell r="U332">
            <v>0</v>
          </cell>
          <cell r="V332">
            <v>0</v>
          </cell>
          <cell r="W332" t="str">
            <v>[]</v>
          </cell>
          <cell r="X332">
            <v>3</v>
          </cell>
          <cell r="Y332" t="str">
            <v>[]</v>
          </cell>
          <cell r="Z332" t="str">
            <v>0,1.254,1.613</v>
          </cell>
          <cell r="AA332">
            <v>0</v>
          </cell>
          <cell r="AB332">
            <v>6</v>
          </cell>
          <cell r="AC332" t="str">
            <v>[]</v>
          </cell>
          <cell r="AD332" t="str">
            <v>[]</v>
          </cell>
          <cell r="AE332" t="str">
            <v>[]</v>
          </cell>
          <cell r="AF332" t="str">
            <v>nverguoguowang_skill02</v>
          </cell>
          <cell r="AG332" t="str">
            <v>nverguoguowang_skill02_b</v>
          </cell>
          <cell r="AH332" t="str">
            <v>[]</v>
          </cell>
          <cell r="AI332" t="str">
            <v>[]</v>
          </cell>
          <cell r="AJ332" t="str">
            <v>[]</v>
          </cell>
          <cell r="AK332" t="str">
            <v>meihuoT2NP0.6</v>
          </cell>
          <cell r="AL332" t="str">
            <v>[]</v>
          </cell>
          <cell r="AM332" t="str">
            <v>[]</v>
          </cell>
          <cell r="AN332">
            <v>1</v>
          </cell>
          <cell r="AO332">
            <v>1.5</v>
          </cell>
          <cell r="AP332">
            <v>121608</v>
          </cell>
          <cell r="AQ332" t="str">
            <v>121608</v>
          </cell>
          <cell r="AR332" t="str">
            <v>[]</v>
          </cell>
          <cell r="AS332" t="str">
            <v>[]</v>
          </cell>
          <cell r="AT332" t="str">
            <v>1136</v>
          </cell>
          <cell r="AU332" t="str">
            <v>6330</v>
          </cell>
          <cell r="AV332" t="str">
            <v>女儿国国王</v>
          </cell>
          <cell r="AW332" t="str">
            <v>21</v>
          </cell>
          <cell r="AX332">
            <v>1268</v>
          </cell>
          <cell r="AY332">
            <v>1</v>
          </cell>
          <cell r="AZ332">
            <v>0.6</v>
          </cell>
          <cell r="BA332">
            <v>0.6</v>
          </cell>
          <cell r="BE332">
            <v>0.6</v>
          </cell>
          <cell r="BF332" t="str">
            <v>60</v>
          </cell>
        </row>
        <row r="333">
          <cell r="A333" t="str">
            <v>nverguoguowang_skill041</v>
          </cell>
          <cell r="B333" t="str">
            <v>奥义·无双剑舞</v>
          </cell>
          <cell r="C333" t="str">
            <v>于敌阵中召唤神剑，对范围内敌人进行3次攻击，造成自身攻击力@s的法伤，对昏迷、冰冻的目标伤害提升15%</v>
          </cell>
          <cell r="D333">
            <v>1270</v>
          </cell>
          <cell r="E333">
            <v>1</v>
          </cell>
          <cell r="F333" t="str">
            <v>boss_warning_yuanxing</v>
          </cell>
          <cell r="G333" t="str">
            <v>女儿国国王4技能</v>
          </cell>
          <cell r="H333" t="str">
            <v>nverguoguowang_skill04</v>
          </cell>
          <cell r="I333" t="str">
            <v>[]</v>
          </cell>
          <cell r="J333">
            <v>3</v>
          </cell>
          <cell r="K333">
            <v>1</v>
          </cell>
          <cell r="L333" t="str">
            <v>[]</v>
          </cell>
          <cell r="M333">
            <v>2</v>
          </cell>
          <cell r="N333">
            <v>2</v>
          </cell>
          <cell r="O333">
            <v>2</v>
          </cell>
          <cell r="P333">
            <v>2</v>
          </cell>
          <cell r="Q333">
            <v>12</v>
          </cell>
          <cell r="R333" t="str">
            <v>2|1</v>
          </cell>
          <cell r="S333" t="str">
            <v>2|6</v>
          </cell>
          <cell r="T333">
            <v>10</v>
          </cell>
          <cell r="U333">
            <v>1</v>
          </cell>
          <cell r="V333">
            <v>0</v>
          </cell>
          <cell r="W333" t="str">
            <v>[]</v>
          </cell>
          <cell r="X333">
            <v>3</v>
          </cell>
          <cell r="Y333" t="str">
            <v>[]</v>
          </cell>
          <cell r="Z333" t="str">
            <v>0,2.145,0.855</v>
          </cell>
          <cell r="AA333">
            <v>0</v>
          </cell>
          <cell r="AB333">
            <v>6</v>
          </cell>
          <cell r="AC333" t="str">
            <v>[]</v>
          </cell>
          <cell r="AD333" t="str">
            <v>[]</v>
          </cell>
          <cell r="AE333" t="str">
            <v>nverguoguowang_skill04_q</v>
          </cell>
          <cell r="AF333" t="str">
            <v>nverguoguowang_skill04</v>
          </cell>
          <cell r="AG333" t="str">
            <v>common_hit_fashu</v>
          </cell>
          <cell r="AH333" t="str">
            <v>[]</v>
          </cell>
          <cell r="AI333" t="str">
            <v>[]</v>
          </cell>
          <cell r="AJ333" t="str">
            <v>[]</v>
          </cell>
          <cell r="AK333" t="str">
            <v>[]</v>
          </cell>
          <cell r="AL333" t="str">
            <v>[]</v>
          </cell>
          <cell r="AM333" t="str">
            <v>[]</v>
          </cell>
          <cell r="AN333">
            <v>2</v>
          </cell>
          <cell r="AO333" t="str">
            <v>0.5,0.85,0.85</v>
          </cell>
          <cell r="AP333">
            <v>121609</v>
          </cell>
          <cell r="AQ333" t="str">
            <v>121609</v>
          </cell>
          <cell r="AR333" t="str">
            <v>[]</v>
          </cell>
          <cell r="AS333" t="str">
            <v>[]</v>
          </cell>
          <cell r="AT333" t="str">
            <v>4690</v>
          </cell>
          <cell r="AU333" t="str">
            <v>6350</v>
          </cell>
          <cell r="AV333" t="str">
            <v>女儿国国王</v>
          </cell>
          <cell r="AW333" t="str">
            <v>41</v>
          </cell>
          <cell r="AX333">
            <v>1270</v>
          </cell>
          <cell r="AY333">
            <v>3</v>
          </cell>
          <cell r="BA333" t="str">
            <v>[]</v>
          </cell>
          <cell r="BE333" t="str">
            <v>[]</v>
          </cell>
          <cell r="BF333"/>
        </row>
        <row r="334">
          <cell r="A334" t="str">
            <v>caidiexiantong_attack</v>
          </cell>
          <cell r="B334" t="str">
            <v>彩蝶仙童</v>
          </cell>
          <cell r="C334" t="str">
            <v>普攻</v>
          </cell>
          <cell r="D334" t="str">
            <v>[]</v>
          </cell>
          <cell r="E334">
            <v>0</v>
          </cell>
          <cell r="F334" t="str">
            <v>[]</v>
          </cell>
          <cell r="G334" t="str">
            <v>近战攻击</v>
          </cell>
          <cell r="H334" t="str">
            <v>[]</v>
          </cell>
          <cell r="I334" t="str">
            <v>[]</v>
          </cell>
          <cell r="J334">
            <v>0</v>
          </cell>
          <cell r="K334">
            <v>1</v>
          </cell>
          <cell r="L334" t="str">
            <v>[]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3</v>
          </cell>
          <cell r="R334" t="str">
            <v>2|1</v>
          </cell>
          <cell r="S334" t="str">
            <v>4|0.2</v>
          </cell>
          <cell r="T334">
            <v>1</v>
          </cell>
          <cell r="U334">
            <v>1</v>
          </cell>
          <cell r="V334">
            <v>0</v>
          </cell>
          <cell r="W334" t="str">
            <v>[]</v>
          </cell>
          <cell r="X334">
            <v>0</v>
          </cell>
          <cell r="Y334" t="str">
            <v>[]</v>
          </cell>
          <cell r="Z334" t="str">
            <v>0,1,0</v>
          </cell>
          <cell r="AA334">
            <v>0</v>
          </cell>
          <cell r="AB334" t="str">
            <v>[]</v>
          </cell>
          <cell r="AC334" t="str">
            <v>[]</v>
          </cell>
          <cell r="AD334" t="str">
            <v>[]</v>
          </cell>
          <cell r="AE334" t="str">
            <v>[]</v>
          </cell>
          <cell r="AF334" t="str">
            <v>caidiexiantong_attack</v>
          </cell>
          <cell r="AG334" t="str">
            <v>common_hit_fashu</v>
          </cell>
          <cell r="AH334" t="str">
            <v>[]</v>
          </cell>
          <cell r="AI334" t="str">
            <v>[]</v>
          </cell>
          <cell r="AJ334" t="str">
            <v>[]</v>
          </cell>
          <cell r="AK334" t="str">
            <v>[]</v>
          </cell>
          <cell r="AL334" t="str">
            <v>[]</v>
          </cell>
          <cell r="AM334" t="str">
            <v>[]</v>
          </cell>
          <cell r="AN334">
            <v>2</v>
          </cell>
          <cell r="AO334">
            <v>-2</v>
          </cell>
          <cell r="AP334">
            <v>120800</v>
          </cell>
          <cell r="AQ334" t="str">
            <v>120800</v>
          </cell>
          <cell r="AR334" t="str">
            <v>[]</v>
          </cell>
          <cell r="AS334" t="str">
            <v>[]</v>
          </cell>
          <cell r="AT334" t="str">
            <v>1136</v>
          </cell>
          <cell r="AU334" t="str">
            <v>6360</v>
          </cell>
          <cell r="AV334" t="str">
            <v>近战攻击</v>
          </cell>
          <cell r="AW334" t="str">
            <v>ck</v>
          </cell>
          <cell r="AX334" t="str">
            <v>[]</v>
          </cell>
          <cell r="AY334">
            <v>1</v>
          </cell>
          <cell r="BA334" t="str">
            <v>[]</v>
          </cell>
          <cell r="BE334" t="str">
            <v>[]</v>
          </cell>
          <cell r="BF334"/>
        </row>
        <row r="335">
          <cell r="A335" t="str">
            <v>caidiexiantong_skill01</v>
          </cell>
          <cell r="B335" t="str">
            <v>妖蝶迷雾</v>
          </cell>
          <cell r="C335" t="str">
            <v>召唤妖蝶迷境，对范围内敌人进行3次攻击，造成主角攻击力@s的法伤，并使敌人中毒，持续6秒</v>
          </cell>
          <cell r="D335" t="str">
            <v>[]</v>
          </cell>
          <cell r="E335">
            <v>0</v>
          </cell>
          <cell r="F335" t="str">
            <v>[]</v>
          </cell>
          <cell r="G335" t="str">
            <v>彩蝶仙童核心技能</v>
          </cell>
          <cell r="H335" t="str">
            <v>caidiexiantong_skill01</v>
          </cell>
          <cell r="I335" t="str">
            <v>caidiexiantong_skill01</v>
          </cell>
          <cell r="J335">
            <v>0</v>
          </cell>
          <cell r="K335">
            <v>10</v>
          </cell>
          <cell r="L335" t="str">
            <v>1|9</v>
          </cell>
          <cell r="M335">
            <v>2</v>
          </cell>
          <cell r="N335">
            <v>5</v>
          </cell>
          <cell r="O335">
            <v>2</v>
          </cell>
          <cell r="P335">
            <v>2</v>
          </cell>
          <cell r="Q335">
            <v>12</v>
          </cell>
          <cell r="R335" t="str">
            <v>2|1</v>
          </cell>
          <cell r="S335" t="str">
            <v>2|6</v>
          </cell>
          <cell r="T335">
            <v>10</v>
          </cell>
          <cell r="U335">
            <v>0</v>
          </cell>
          <cell r="V335">
            <v>0</v>
          </cell>
          <cell r="W335" t="str">
            <v>[]</v>
          </cell>
          <cell r="X335">
            <v>0</v>
          </cell>
          <cell r="Y335" t="str">
            <v>[]</v>
          </cell>
          <cell r="Z335" t="str">
            <v>0,1,0</v>
          </cell>
          <cell r="AA335">
            <v>0</v>
          </cell>
          <cell r="AB335" t="str">
            <v>12</v>
          </cell>
          <cell r="AC335" t="str">
            <v>[]</v>
          </cell>
          <cell r="AD335" t="str">
            <v>[]</v>
          </cell>
          <cell r="AE335" t="str">
            <v>[]</v>
          </cell>
          <cell r="AF335" t="str">
            <v>caidiexiantong_skill01</v>
          </cell>
          <cell r="AG335" t="str">
            <v>common_hit_fashu</v>
          </cell>
          <cell r="AH335" t="str">
            <v>[]</v>
          </cell>
          <cell r="AI335" t="str">
            <v>[]</v>
          </cell>
          <cell r="AJ335" t="str">
            <v>[]</v>
          </cell>
          <cell r="AK335" t="str">
            <v>[]</v>
          </cell>
          <cell r="AL335" t="str">
            <v>[]</v>
          </cell>
          <cell r="AM335" t="str">
            <v>zhongduT6N0.1</v>
          </cell>
          <cell r="AN335">
            <v>2</v>
          </cell>
          <cell r="AO335" t="str">
            <v>1,0.2,0.2</v>
          </cell>
          <cell r="AP335">
            <v>120801</v>
          </cell>
          <cell r="AQ335" t="str">
            <v>120801</v>
          </cell>
          <cell r="AR335" t="str">
            <v>[]</v>
          </cell>
          <cell r="AS335" t="str">
            <v>[]</v>
          </cell>
          <cell r="AT335" t="str">
            <v>1203</v>
          </cell>
          <cell r="AU335" t="str">
            <v>6370</v>
          </cell>
          <cell r="AV335" t="str">
            <v>彩蝶仙童</v>
          </cell>
          <cell r="AW335" t="str">
            <v>01</v>
          </cell>
          <cell r="AX335" t="str">
            <v>[]</v>
          </cell>
          <cell r="AY335">
            <v>3</v>
          </cell>
          <cell r="BA335" t="str">
            <v>[]</v>
          </cell>
          <cell r="BE335" t="str">
            <v>[]</v>
          </cell>
          <cell r="BF335"/>
        </row>
        <row r="336">
          <cell r="A336" t="str">
            <v>caidiexiantong_skill02</v>
          </cell>
          <cell r="B336" t="str">
            <v>灵碟冲击</v>
          </cell>
          <cell r="C336" t="str">
            <v>召唤巨大的蝴蝶飞向敌方，对范围内敌人造成自身攻击力@s的法伤，30%的概率沉默对手2秒</v>
          </cell>
          <cell r="D336" t="str">
            <v>[]</v>
          </cell>
          <cell r="E336">
            <v>2</v>
          </cell>
          <cell r="F336" t="str">
            <v>boss_warning_juxing</v>
          </cell>
          <cell r="G336" t="str">
            <v>彩蝶仙童技能2</v>
          </cell>
          <cell r="H336" t="str">
            <v>caidiexiantong_skill02</v>
          </cell>
          <cell r="I336" t="str">
            <v>[]</v>
          </cell>
          <cell r="J336">
            <v>1</v>
          </cell>
          <cell r="K336">
            <v>10</v>
          </cell>
          <cell r="L336" t="str">
            <v>[]</v>
          </cell>
          <cell r="M336">
            <v>2</v>
          </cell>
          <cell r="N336">
            <v>2</v>
          </cell>
          <cell r="O336">
            <v>1</v>
          </cell>
          <cell r="P336">
            <v>2</v>
          </cell>
          <cell r="Q336">
            <v>12</v>
          </cell>
          <cell r="R336" t="str">
            <v>2|1</v>
          </cell>
          <cell r="S336" t="str">
            <v>1|10|6</v>
          </cell>
          <cell r="T336">
            <v>10</v>
          </cell>
          <cell r="U336">
            <v>1</v>
          </cell>
          <cell r="V336">
            <v>0</v>
          </cell>
          <cell r="W336" t="str">
            <v>[]</v>
          </cell>
          <cell r="X336">
            <v>3</v>
          </cell>
          <cell r="Y336" t="str">
            <v>[]</v>
          </cell>
          <cell r="Z336" t="str">
            <v>0,1.35,0</v>
          </cell>
          <cell r="AA336">
            <v>0</v>
          </cell>
          <cell r="AB336">
            <v>6</v>
          </cell>
          <cell r="AC336" t="str">
            <v>[]</v>
          </cell>
          <cell r="AD336" t="str">
            <v>[]</v>
          </cell>
          <cell r="AE336" t="str">
            <v>[]</v>
          </cell>
          <cell r="AF336" t="str">
            <v>caidiexiantong_skill02</v>
          </cell>
          <cell r="AG336" t="str">
            <v>common_hit_fashu</v>
          </cell>
          <cell r="AH336" t="str">
            <v>[]</v>
          </cell>
          <cell r="AI336" t="str">
            <v>[]</v>
          </cell>
          <cell r="AJ336" t="str">
            <v>[]</v>
          </cell>
          <cell r="AK336" t="str">
            <v>chengmoT2NP0.3</v>
          </cell>
          <cell r="AL336" t="str">
            <v>[]</v>
          </cell>
          <cell r="AM336" t="str">
            <v>[]</v>
          </cell>
          <cell r="AN336">
            <v>1</v>
          </cell>
          <cell r="AO336">
            <v>1.5</v>
          </cell>
          <cell r="AP336">
            <v>120802</v>
          </cell>
          <cell r="AQ336" t="str">
            <v>120802</v>
          </cell>
          <cell r="AR336" t="str">
            <v>[]</v>
          </cell>
          <cell r="AS336" t="str">
            <v>[]</v>
          </cell>
          <cell r="AT336" t="str">
            <v>1203</v>
          </cell>
          <cell r="AU336" t="str">
            <v>6380</v>
          </cell>
          <cell r="AV336" t="str">
            <v>彩蝶仙童</v>
          </cell>
          <cell r="AW336" t="str">
            <v>02</v>
          </cell>
          <cell r="AX336" t="str">
            <v>[]</v>
          </cell>
          <cell r="AY336">
            <v>1</v>
          </cell>
          <cell r="AZ336">
            <v>0.3</v>
          </cell>
          <cell r="BA336">
            <v>0.3</v>
          </cell>
          <cell r="BE336">
            <v>0.3</v>
          </cell>
          <cell r="BF336" t="str">
            <v>30</v>
          </cell>
        </row>
        <row r="337">
          <cell r="A337" t="str">
            <v>caidiexiantong_skill03</v>
          </cell>
          <cell r="B337" t="str">
            <v>快速飞舞</v>
          </cell>
          <cell r="C337" t="str">
            <v>进入战斗场景时，提升自身攻速@s</v>
          </cell>
          <cell r="D337">
            <v>1262</v>
          </cell>
          <cell r="E337">
            <v>0</v>
          </cell>
          <cell r="F337" t="str">
            <v>[]</v>
          </cell>
          <cell r="G337" t="str">
            <v>彩蝶仙童被动技能</v>
          </cell>
          <cell r="H337" t="str">
            <v>gongsu</v>
          </cell>
          <cell r="I337" t="str">
            <v>[]</v>
          </cell>
          <cell r="J337">
            <v>2</v>
          </cell>
          <cell r="K337">
            <v>10</v>
          </cell>
          <cell r="L337" t="str">
            <v>[]</v>
          </cell>
          <cell r="M337">
            <v>2</v>
          </cell>
          <cell r="N337">
            <v>2</v>
          </cell>
          <cell r="O337">
            <v>3</v>
          </cell>
          <cell r="P337">
            <v>0</v>
          </cell>
          <cell r="Q337">
            <v>12</v>
          </cell>
          <cell r="R337">
            <v>1</v>
          </cell>
          <cell r="S337" t="str">
            <v>4|0.2</v>
          </cell>
          <cell r="T337">
            <v>10</v>
          </cell>
          <cell r="U337">
            <v>0</v>
          </cell>
          <cell r="V337">
            <v>0</v>
          </cell>
          <cell r="W337" t="str">
            <v>[]</v>
          </cell>
          <cell r="X337">
            <v>0</v>
          </cell>
          <cell r="Y337" t="str">
            <v>[]</v>
          </cell>
          <cell r="Z337" t="str">
            <v>0,0,0</v>
          </cell>
          <cell r="AA337">
            <v>0</v>
          </cell>
          <cell r="AB337" t="str">
            <v>[]</v>
          </cell>
          <cell r="AC337" t="str">
            <v>[]</v>
          </cell>
          <cell r="AD337" t="str">
            <v>[]</v>
          </cell>
          <cell r="AE337" t="str">
            <v>[]</v>
          </cell>
          <cell r="AF337" t="str">
            <v>[]</v>
          </cell>
          <cell r="AG337" t="str">
            <v>[]</v>
          </cell>
          <cell r="AH337" t="str">
            <v>[]</v>
          </cell>
          <cell r="AI337" t="str">
            <v>[]</v>
          </cell>
          <cell r="AJ337" t="str">
            <v>[]</v>
          </cell>
          <cell r="AK337" t="str">
            <v>[]</v>
          </cell>
          <cell r="AL337" t="str">
            <v>gongsuupT3N0.15b</v>
          </cell>
          <cell r="AM337" t="str">
            <v>[]</v>
          </cell>
          <cell r="AN337">
            <v>0</v>
          </cell>
          <cell r="AO337" t="str">
            <v>[]</v>
          </cell>
          <cell r="AP337" t="str">
            <v>[]</v>
          </cell>
          <cell r="AQ337" t="str">
            <v>9015</v>
          </cell>
          <cell r="AR337" t="str">
            <v>[]</v>
          </cell>
          <cell r="AS337" t="str">
            <v>[]</v>
          </cell>
          <cell r="AT337" t="str">
            <v>4720</v>
          </cell>
          <cell r="AU337" t="str">
            <v>6390</v>
          </cell>
          <cell r="AV337" t="str">
            <v>彩蝶仙童</v>
          </cell>
          <cell r="AW337" t="str">
            <v>03</v>
          </cell>
          <cell r="AX337">
            <v>1262</v>
          </cell>
          <cell r="AY337">
            <v>1</v>
          </cell>
          <cell r="BA337" t="str">
            <v>[]</v>
          </cell>
          <cell r="BE337" t="str">
            <v>[]</v>
          </cell>
          <cell r="BF337"/>
        </row>
        <row r="338">
          <cell r="A338" t="str">
            <v>caidiexiantong_skill04</v>
          </cell>
          <cell r="B338" t="str">
            <v>蝶舞蹁跹</v>
          </cell>
          <cell r="C338" t="str">
            <v>召唤三只灵蝶，对范围内敌人造成自身攻击力@s的法伤</v>
          </cell>
          <cell r="D338">
            <v>1264</v>
          </cell>
          <cell r="E338">
            <v>1</v>
          </cell>
          <cell r="F338" t="str">
            <v xml:space="preserve">boss_warning_shanxing60  </v>
          </cell>
          <cell r="G338" t="str">
            <v>彩蝶仙童技能4</v>
          </cell>
          <cell r="H338" t="str">
            <v>caidiexiantong_skill04</v>
          </cell>
          <cell r="I338" t="str">
            <v>[]</v>
          </cell>
          <cell r="J338">
            <v>3</v>
          </cell>
          <cell r="K338">
            <v>10</v>
          </cell>
          <cell r="L338" t="str">
            <v>[]</v>
          </cell>
          <cell r="M338">
            <v>2</v>
          </cell>
          <cell r="N338">
            <v>2</v>
          </cell>
          <cell r="O338">
            <v>1</v>
          </cell>
          <cell r="P338">
            <v>2</v>
          </cell>
          <cell r="Q338">
            <v>12</v>
          </cell>
          <cell r="R338" t="str">
            <v>2|1</v>
          </cell>
          <cell r="S338" t="str">
            <v>3|12|90</v>
          </cell>
          <cell r="T338">
            <v>10</v>
          </cell>
          <cell r="U338">
            <v>0</v>
          </cell>
          <cell r="V338">
            <v>0</v>
          </cell>
          <cell r="W338" t="str">
            <v>[]</v>
          </cell>
          <cell r="X338">
            <v>3</v>
          </cell>
          <cell r="Y338" t="str">
            <v>[]</v>
          </cell>
          <cell r="Z338" t="str">
            <v>0,1.0,0</v>
          </cell>
          <cell r="AA338">
            <v>0</v>
          </cell>
          <cell r="AB338">
            <v>6</v>
          </cell>
          <cell r="AC338" t="str">
            <v>[]</v>
          </cell>
          <cell r="AD338" t="str">
            <v>[]</v>
          </cell>
          <cell r="AE338" t="str">
            <v>[]</v>
          </cell>
          <cell r="AF338" t="str">
            <v>caidiexiantong_skill04</v>
          </cell>
          <cell r="AG338" t="str">
            <v>caidiexiantong_skill04_b</v>
          </cell>
          <cell r="AH338" t="str">
            <v>[]</v>
          </cell>
          <cell r="AI338" t="str">
            <v>[]</v>
          </cell>
          <cell r="AJ338" t="str">
            <v>[]</v>
          </cell>
          <cell r="AK338" t="str">
            <v>[]</v>
          </cell>
          <cell r="AL338" t="str">
            <v>[]</v>
          </cell>
          <cell r="AM338" t="str">
            <v>[]</v>
          </cell>
          <cell r="AN338">
            <v>1</v>
          </cell>
          <cell r="AO338">
            <v>1.2</v>
          </cell>
          <cell r="AP338">
            <v>120804</v>
          </cell>
          <cell r="AQ338" t="str">
            <v>120804</v>
          </cell>
          <cell r="AR338" t="str">
            <v>[]</v>
          </cell>
          <cell r="AS338" t="str">
            <v>[]</v>
          </cell>
          <cell r="AT338" t="str">
            <v>1203</v>
          </cell>
          <cell r="AU338" t="str">
            <v>6400</v>
          </cell>
          <cell r="AV338" t="str">
            <v>彩蝶仙童</v>
          </cell>
          <cell r="AW338" t="str">
            <v>04</v>
          </cell>
          <cell r="AX338">
            <v>1264</v>
          </cell>
          <cell r="AY338">
            <v>1</v>
          </cell>
          <cell r="BA338" t="str">
            <v>[]</v>
          </cell>
          <cell r="BE338" t="str">
            <v>[]</v>
          </cell>
          <cell r="BF338"/>
        </row>
        <row r="339">
          <cell r="A339" t="str">
            <v>caidiexiantong_skill011</v>
          </cell>
          <cell r="B339" t="str">
            <v>妖蝶迷雾</v>
          </cell>
          <cell r="C339" t="str">
            <v>召唤妖蝶迷境，对范围内敌人进行3次攻击，造成主角攻击力@s的法伤，并使敌人中毒，持续6秒</v>
          </cell>
          <cell r="D339">
            <v>1266</v>
          </cell>
          <cell r="E339">
            <v>0</v>
          </cell>
          <cell r="F339" t="str">
            <v>[]</v>
          </cell>
          <cell r="G339" t="str">
            <v>彩蝶仙童核心技能</v>
          </cell>
          <cell r="H339" t="str">
            <v>caidiexiantong_skill01</v>
          </cell>
          <cell r="I339" t="str">
            <v>caidiexiantong_skill01</v>
          </cell>
          <cell r="J339">
            <v>0</v>
          </cell>
          <cell r="K339">
            <v>10</v>
          </cell>
          <cell r="L339" t="str">
            <v>1|9</v>
          </cell>
          <cell r="M339">
            <v>2</v>
          </cell>
          <cell r="N339">
            <v>5</v>
          </cell>
          <cell r="O339">
            <v>2</v>
          </cell>
          <cell r="P339">
            <v>2</v>
          </cell>
          <cell r="Q339">
            <v>12</v>
          </cell>
          <cell r="R339" t="str">
            <v>2|1</v>
          </cell>
          <cell r="S339" t="str">
            <v>2|6</v>
          </cell>
          <cell r="T339">
            <v>10</v>
          </cell>
          <cell r="U339">
            <v>0</v>
          </cell>
          <cell r="V339">
            <v>0</v>
          </cell>
          <cell r="W339" t="str">
            <v>[]</v>
          </cell>
          <cell r="X339">
            <v>0</v>
          </cell>
          <cell r="Y339" t="str">
            <v>[]</v>
          </cell>
          <cell r="Z339" t="str">
            <v>0,1,0</v>
          </cell>
          <cell r="AA339">
            <v>0</v>
          </cell>
          <cell r="AB339" t="str">
            <v>12</v>
          </cell>
          <cell r="AC339" t="str">
            <v>[]</v>
          </cell>
          <cell r="AD339" t="str">
            <v>[]</v>
          </cell>
          <cell r="AE339" t="str">
            <v>[]</v>
          </cell>
          <cell r="AF339" t="str">
            <v>caidiexiantong_skill01</v>
          </cell>
          <cell r="AG339" t="str">
            <v>common_hit_fashu</v>
          </cell>
          <cell r="AH339" t="str">
            <v>[]</v>
          </cell>
          <cell r="AI339" t="str">
            <v>[]</v>
          </cell>
          <cell r="AJ339" t="str">
            <v>[]</v>
          </cell>
          <cell r="AK339" t="str">
            <v>[]</v>
          </cell>
          <cell r="AL339" t="str">
            <v>[]</v>
          </cell>
          <cell r="AM339" t="str">
            <v>zhongduT6N0.1</v>
          </cell>
          <cell r="AN339">
            <v>2</v>
          </cell>
          <cell r="AO339" t="str">
            <v>1,0.2,0.2</v>
          </cell>
          <cell r="AP339">
            <v>120805</v>
          </cell>
          <cell r="AQ339" t="str">
            <v>120805</v>
          </cell>
          <cell r="AR339" t="str">
            <v>[]</v>
          </cell>
          <cell r="AS339" t="str">
            <v>[]</v>
          </cell>
          <cell r="AT339" t="str">
            <v>9015</v>
          </cell>
          <cell r="AU339" t="str">
            <v>6370</v>
          </cell>
          <cell r="AV339" t="str">
            <v>彩蝶仙童</v>
          </cell>
          <cell r="AW339" t="str">
            <v>11</v>
          </cell>
          <cell r="AX339">
            <v>1266</v>
          </cell>
          <cell r="AY339">
            <v>3</v>
          </cell>
          <cell r="BA339" t="str">
            <v>[]</v>
          </cell>
          <cell r="BE339" t="str">
            <v>[]</v>
          </cell>
          <cell r="BF339"/>
        </row>
        <row r="340">
          <cell r="A340" t="str">
            <v>caidiexiantong_skill021</v>
          </cell>
          <cell r="B340" t="str">
            <v>灵碟冲击</v>
          </cell>
          <cell r="C340" t="str">
            <v>召唤巨大的蝴蝶飞向敌方，对范围内敌人造成自身攻击力@s的法伤，30%的概率沉默对手2秒</v>
          </cell>
          <cell r="D340">
            <v>1268</v>
          </cell>
          <cell r="E340">
            <v>2</v>
          </cell>
          <cell r="F340" t="str">
            <v>boss_warning_juxing</v>
          </cell>
          <cell r="G340" t="str">
            <v>彩蝶仙童技能2</v>
          </cell>
          <cell r="H340" t="str">
            <v>caidiexiantong_skill02</v>
          </cell>
          <cell r="I340" t="str">
            <v>[]</v>
          </cell>
          <cell r="J340">
            <v>1</v>
          </cell>
          <cell r="K340">
            <v>10</v>
          </cell>
          <cell r="L340" t="str">
            <v>[]</v>
          </cell>
          <cell r="M340">
            <v>2</v>
          </cell>
          <cell r="N340">
            <v>2</v>
          </cell>
          <cell r="O340">
            <v>1</v>
          </cell>
          <cell r="P340">
            <v>2</v>
          </cell>
          <cell r="Q340">
            <v>12</v>
          </cell>
          <cell r="R340" t="str">
            <v>2|1</v>
          </cell>
          <cell r="S340" t="str">
            <v>1|10|6</v>
          </cell>
          <cell r="T340">
            <v>10</v>
          </cell>
          <cell r="U340">
            <v>1</v>
          </cell>
          <cell r="V340">
            <v>0</v>
          </cell>
          <cell r="W340" t="str">
            <v>[]</v>
          </cell>
          <cell r="X340">
            <v>3</v>
          </cell>
          <cell r="Y340" t="str">
            <v>[]</v>
          </cell>
          <cell r="Z340" t="str">
            <v>0,1.35,0</v>
          </cell>
          <cell r="AA340">
            <v>0</v>
          </cell>
          <cell r="AB340">
            <v>6</v>
          </cell>
          <cell r="AC340" t="str">
            <v>[]</v>
          </cell>
          <cell r="AD340" t="str">
            <v>[]</v>
          </cell>
          <cell r="AE340" t="str">
            <v>[]</v>
          </cell>
          <cell r="AF340" t="str">
            <v>caidiexiantong_skill02</v>
          </cell>
          <cell r="AG340" t="str">
            <v>common_hit_fashu</v>
          </cell>
          <cell r="AH340" t="str">
            <v>[]</v>
          </cell>
          <cell r="AI340" t="str">
            <v>[]</v>
          </cell>
          <cell r="AJ340" t="str">
            <v>[]</v>
          </cell>
          <cell r="AK340" t="str">
            <v>chengmoT2NP0.3</v>
          </cell>
          <cell r="AL340" t="str">
            <v>[]</v>
          </cell>
          <cell r="AM340" t="str">
            <v>[]</v>
          </cell>
          <cell r="AN340">
            <v>1</v>
          </cell>
          <cell r="AO340">
            <v>1.5</v>
          </cell>
          <cell r="AP340">
            <v>120806</v>
          </cell>
          <cell r="AQ340" t="str">
            <v>120806</v>
          </cell>
          <cell r="AR340" t="str">
            <v>[]</v>
          </cell>
          <cell r="AS340" t="str">
            <v>[]</v>
          </cell>
          <cell r="AT340" t="str">
            <v>1203</v>
          </cell>
          <cell r="AU340" t="str">
            <v>6380</v>
          </cell>
          <cell r="AV340" t="str">
            <v>彩蝶仙童</v>
          </cell>
          <cell r="AW340" t="str">
            <v>21</v>
          </cell>
          <cell r="AX340">
            <v>1268</v>
          </cell>
          <cell r="AY340">
            <v>1</v>
          </cell>
          <cell r="AZ340">
            <v>0.3</v>
          </cell>
          <cell r="BA340">
            <v>0.3</v>
          </cell>
          <cell r="BE340">
            <v>0.3</v>
          </cell>
          <cell r="BF340" t="str">
            <v>30</v>
          </cell>
        </row>
        <row r="341">
          <cell r="A341" t="str">
            <v>caidiexiantong_skill041</v>
          </cell>
          <cell r="B341" t="str">
            <v>蝶舞蹁跹</v>
          </cell>
          <cell r="C341" t="str">
            <v>召唤三只灵蝶，对范围内敌人造成自身攻击力@s的法伤</v>
          </cell>
          <cell r="D341">
            <v>1270</v>
          </cell>
          <cell r="E341">
            <v>1</v>
          </cell>
          <cell r="F341" t="str">
            <v xml:space="preserve">boss_warning_shanxing60  </v>
          </cell>
          <cell r="G341" t="str">
            <v>彩蝶仙童技能4</v>
          </cell>
          <cell r="H341" t="str">
            <v>caidiexiantong_skill04</v>
          </cell>
          <cell r="I341" t="str">
            <v>[]</v>
          </cell>
          <cell r="J341">
            <v>3</v>
          </cell>
          <cell r="K341">
            <v>10</v>
          </cell>
          <cell r="L341" t="str">
            <v>[]</v>
          </cell>
          <cell r="M341">
            <v>2</v>
          </cell>
          <cell r="N341">
            <v>2</v>
          </cell>
          <cell r="O341">
            <v>1</v>
          </cell>
          <cell r="P341">
            <v>2</v>
          </cell>
          <cell r="Q341">
            <v>12</v>
          </cell>
          <cell r="R341" t="str">
            <v>2|1</v>
          </cell>
          <cell r="S341" t="str">
            <v>3|12|90</v>
          </cell>
          <cell r="T341">
            <v>10</v>
          </cell>
          <cell r="U341">
            <v>0</v>
          </cell>
          <cell r="V341">
            <v>0</v>
          </cell>
          <cell r="W341" t="str">
            <v>[]</v>
          </cell>
          <cell r="X341">
            <v>3</v>
          </cell>
          <cell r="Y341" t="str">
            <v>[]</v>
          </cell>
          <cell r="Z341" t="str">
            <v>0,1.0,0</v>
          </cell>
          <cell r="AA341">
            <v>0</v>
          </cell>
          <cell r="AB341">
            <v>6</v>
          </cell>
          <cell r="AC341" t="str">
            <v>[]</v>
          </cell>
          <cell r="AD341" t="str">
            <v>[]</v>
          </cell>
          <cell r="AE341" t="str">
            <v>[]</v>
          </cell>
          <cell r="AF341" t="str">
            <v>caidiexiantong_skill04</v>
          </cell>
          <cell r="AG341" t="str">
            <v>caidiexiantong_skill04_b</v>
          </cell>
          <cell r="AH341" t="str">
            <v>[]</v>
          </cell>
          <cell r="AI341" t="str">
            <v>[]</v>
          </cell>
          <cell r="AJ341" t="str">
            <v>[]</v>
          </cell>
          <cell r="AK341" t="str">
            <v>[]</v>
          </cell>
          <cell r="AL341" t="str">
            <v>[]</v>
          </cell>
          <cell r="AM341" t="str">
            <v>[]</v>
          </cell>
          <cell r="AN341">
            <v>1</v>
          </cell>
          <cell r="AO341" t="str">
            <v>1.1,1.2</v>
          </cell>
          <cell r="AP341">
            <v>120807</v>
          </cell>
          <cell r="AQ341" t="str">
            <v>120807</v>
          </cell>
          <cell r="AR341" t="str">
            <v>[]</v>
          </cell>
          <cell r="AS341" t="str">
            <v>[]</v>
          </cell>
          <cell r="AT341" t="str">
            <v>1506</v>
          </cell>
          <cell r="AU341" t="str">
            <v>6400</v>
          </cell>
          <cell r="AV341" t="str">
            <v>彩蝶仙童</v>
          </cell>
          <cell r="AW341" t="str">
            <v>41</v>
          </cell>
          <cell r="AX341">
            <v>1270</v>
          </cell>
          <cell r="AY341">
            <v>2</v>
          </cell>
          <cell r="BA341" t="str">
            <v>[]</v>
          </cell>
          <cell r="BE341" t="str">
            <v>[]</v>
          </cell>
          <cell r="BF341"/>
        </row>
        <row r="342">
          <cell r="A342" t="str">
            <v>jinchanzi_attack</v>
          </cell>
          <cell r="B342" t="str">
            <v>金蝉子普攻</v>
          </cell>
          <cell r="C342" t="str">
            <v>普攻</v>
          </cell>
          <cell r="D342" t="str">
            <v>[]</v>
          </cell>
          <cell r="E342">
            <v>0</v>
          </cell>
          <cell r="F342" t="str">
            <v>[]</v>
          </cell>
          <cell r="G342" t="str">
            <v>近战攻击</v>
          </cell>
          <cell r="H342" t="str">
            <v>[]</v>
          </cell>
          <cell r="I342" t="str">
            <v>[]</v>
          </cell>
          <cell r="J342">
            <v>0</v>
          </cell>
          <cell r="K342">
            <v>1</v>
          </cell>
          <cell r="L342" t="str">
            <v>[]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4</v>
          </cell>
          <cell r="R342" t="str">
            <v>2|1</v>
          </cell>
          <cell r="S342" t="str">
            <v>4|0.2</v>
          </cell>
          <cell r="T342">
            <v>1</v>
          </cell>
          <cell r="U342">
            <v>0</v>
          </cell>
          <cell r="V342">
            <v>0</v>
          </cell>
          <cell r="W342" t="str">
            <v>[]</v>
          </cell>
          <cell r="X342">
            <v>0</v>
          </cell>
          <cell r="Y342" t="str">
            <v>[]</v>
          </cell>
          <cell r="Z342" t="str">
            <v>0,1,0</v>
          </cell>
          <cell r="AA342">
            <v>0</v>
          </cell>
          <cell r="AB342">
            <v>0</v>
          </cell>
          <cell r="AC342" t="str">
            <v>[]</v>
          </cell>
          <cell r="AD342" t="str">
            <v>[]</v>
          </cell>
          <cell r="AE342" t="str">
            <v>[]</v>
          </cell>
          <cell r="AF342" t="str">
            <v>jinchanzi_attack</v>
          </cell>
          <cell r="AG342" t="str">
            <v>common_hit_fashu</v>
          </cell>
          <cell r="AH342" t="str">
            <v>[]</v>
          </cell>
          <cell r="AI342" t="str">
            <v>[]</v>
          </cell>
          <cell r="AJ342" t="str">
            <v>[]</v>
          </cell>
          <cell r="AK342" t="str">
            <v>[]</v>
          </cell>
          <cell r="AL342" t="str">
            <v>[]</v>
          </cell>
          <cell r="AM342" t="str">
            <v>[]</v>
          </cell>
          <cell r="AN342">
            <v>1</v>
          </cell>
          <cell r="AO342">
            <v>0.55000000000000004</v>
          </cell>
          <cell r="AP342">
            <v>121200</v>
          </cell>
          <cell r="AQ342" t="str">
            <v>121200</v>
          </cell>
          <cell r="AR342" t="str">
            <v>[]</v>
          </cell>
          <cell r="AS342" t="str">
            <v>[]</v>
          </cell>
          <cell r="AT342" t="str">
            <v>1505</v>
          </cell>
          <cell r="AU342" t="str">
            <v>6410</v>
          </cell>
          <cell r="AV342" t="str">
            <v>近战攻击</v>
          </cell>
          <cell r="AW342" t="str">
            <v>ck</v>
          </cell>
          <cell r="AX342" t="str">
            <v>[]</v>
          </cell>
          <cell r="AY342">
            <v>1</v>
          </cell>
          <cell r="BA342" t="str">
            <v>[]</v>
          </cell>
          <cell r="BE342" t="str">
            <v>[]</v>
          </cell>
          <cell r="BF342"/>
        </row>
        <row r="343">
          <cell r="A343" t="str">
            <v>jinchanzi_skill01</v>
          </cell>
          <cell r="B343" t="str">
            <v>圣诫天咒</v>
          </cell>
          <cell r="C343" t="str">
            <v>念动圣诫天咒为友军施加护盾，降低全体友军受到伤害@s，持续6秒</v>
          </cell>
          <cell r="D343" t="str">
            <v>[]</v>
          </cell>
          <cell r="E343">
            <v>0</v>
          </cell>
          <cell r="F343" t="str">
            <v>[]</v>
          </cell>
          <cell r="G343" t="str">
            <v>金蝉子核心技能</v>
          </cell>
          <cell r="H343" t="str">
            <v>jinchanzi_skill01</v>
          </cell>
          <cell r="I343" t="str">
            <v>jinchanzi_skill01</v>
          </cell>
          <cell r="J343">
            <v>0</v>
          </cell>
          <cell r="K343">
            <v>1</v>
          </cell>
          <cell r="L343" t="str">
            <v>1|11</v>
          </cell>
          <cell r="M343">
            <v>2</v>
          </cell>
          <cell r="N343">
            <v>2</v>
          </cell>
          <cell r="O343">
            <v>2</v>
          </cell>
          <cell r="P343">
            <v>4</v>
          </cell>
          <cell r="Q343">
            <v>12</v>
          </cell>
          <cell r="R343" t="str">
            <v>3|1</v>
          </cell>
          <cell r="S343" t="str">
            <v>2|20</v>
          </cell>
          <cell r="T343">
            <v>10</v>
          </cell>
          <cell r="U343">
            <v>1</v>
          </cell>
          <cell r="V343">
            <v>0</v>
          </cell>
          <cell r="W343" t="str">
            <v>[]</v>
          </cell>
          <cell r="X343">
            <v>0</v>
          </cell>
          <cell r="Y343" t="str">
            <v>[]</v>
          </cell>
          <cell r="Z343" t="str">
            <v>0,1,0</v>
          </cell>
          <cell r="AA343">
            <v>0</v>
          </cell>
          <cell r="AB343" t="str">
            <v>12</v>
          </cell>
          <cell r="AC343" t="str">
            <v>[]</v>
          </cell>
          <cell r="AD343" t="str">
            <v>[]</v>
          </cell>
          <cell r="AE343" t="str">
            <v>[]</v>
          </cell>
          <cell r="AF343" t="str">
            <v>jinchanzi_skill01</v>
          </cell>
          <cell r="AG343" t="str">
            <v>jinchanzi_skill01_buff</v>
          </cell>
          <cell r="AH343" t="str">
            <v>[]</v>
          </cell>
          <cell r="AI343" t="str">
            <v>[]</v>
          </cell>
          <cell r="AJ343" t="str">
            <v>[]</v>
          </cell>
          <cell r="AK343" t="str">
            <v>[]</v>
          </cell>
          <cell r="AL343" t="str">
            <v>[]</v>
          </cell>
          <cell r="AM343" t="str">
            <v>jianshangupT6N0.3</v>
          </cell>
          <cell r="AN343">
            <v>1</v>
          </cell>
          <cell r="AO343">
            <v>0.8</v>
          </cell>
          <cell r="AP343" t="str">
            <v>[]</v>
          </cell>
          <cell r="AQ343" t="str">
            <v>9030</v>
          </cell>
          <cell r="AR343" t="str">
            <v>[]</v>
          </cell>
          <cell r="AS343" t="str">
            <v>[]</v>
          </cell>
          <cell r="AT343" t="str">
            <v>1176</v>
          </cell>
          <cell r="AU343" t="str">
            <v>6421</v>
          </cell>
          <cell r="AV343" t="str">
            <v>金蝉子</v>
          </cell>
          <cell r="AW343" t="str">
            <v>01</v>
          </cell>
          <cell r="AX343" t="str">
            <v>[]</v>
          </cell>
          <cell r="AY343">
            <v>1</v>
          </cell>
          <cell r="BA343" t="str">
            <v>[]</v>
          </cell>
          <cell r="BE343" t="str">
            <v>[]</v>
          </cell>
          <cell r="BF343"/>
        </row>
        <row r="344">
          <cell r="A344" t="str">
            <v>jinchanzi_skill02</v>
          </cell>
          <cell r="B344" t="str">
            <v>御法经</v>
          </cell>
          <cell r="C344" t="str">
            <v>用御法经给自身增加一个生命上限15%的生命护盾</v>
          </cell>
          <cell r="D344" t="str">
            <v>[]</v>
          </cell>
          <cell r="E344">
            <v>0</v>
          </cell>
          <cell r="F344" t="str">
            <v>[]</v>
          </cell>
          <cell r="G344" t="str">
            <v>金蝉子技能2</v>
          </cell>
          <cell r="H344" t="str">
            <v>jinchanzi_skill02</v>
          </cell>
          <cell r="I344" t="str">
            <v>[]</v>
          </cell>
          <cell r="J344">
            <v>1</v>
          </cell>
          <cell r="K344">
            <v>1</v>
          </cell>
          <cell r="L344" t="str">
            <v>[]</v>
          </cell>
          <cell r="M344">
            <v>2</v>
          </cell>
          <cell r="N344">
            <v>2</v>
          </cell>
          <cell r="O344">
            <v>2</v>
          </cell>
          <cell r="P344">
            <v>4</v>
          </cell>
          <cell r="Q344">
            <v>12</v>
          </cell>
          <cell r="R344">
            <v>1</v>
          </cell>
          <cell r="S344" t="str">
            <v>4|0.2</v>
          </cell>
          <cell r="T344">
            <v>1</v>
          </cell>
          <cell r="U344">
            <v>1</v>
          </cell>
          <cell r="V344">
            <v>0</v>
          </cell>
          <cell r="W344" t="str">
            <v>[]</v>
          </cell>
          <cell r="X344">
            <v>3</v>
          </cell>
          <cell r="Y344" t="str">
            <v>[]</v>
          </cell>
          <cell r="Z344" t="str">
            <v>0,1.518,0.682</v>
          </cell>
          <cell r="AA344">
            <v>0</v>
          </cell>
          <cell r="AB344">
            <v>6</v>
          </cell>
          <cell r="AC344" t="str">
            <v>[]</v>
          </cell>
          <cell r="AD344" t="str">
            <v>[]</v>
          </cell>
          <cell r="AE344" t="str">
            <v>[]</v>
          </cell>
          <cell r="AF344" t="str">
            <v>jinchanzi_skill02</v>
          </cell>
          <cell r="AG344" t="str">
            <v>[]</v>
          </cell>
          <cell r="AH344" t="str">
            <v>[]</v>
          </cell>
          <cell r="AI344" t="str">
            <v>[]</v>
          </cell>
          <cell r="AJ344" t="str">
            <v>shengminghudunT3N0.2P1</v>
          </cell>
          <cell r="AK344" t="str">
            <v>[]</v>
          </cell>
          <cell r="AL344" t="str">
            <v>[]</v>
          </cell>
          <cell r="AM344" t="str">
            <v>[]</v>
          </cell>
          <cell r="AN344">
            <v>1</v>
          </cell>
          <cell r="AO344">
            <v>1.518</v>
          </cell>
          <cell r="AP344" t="str">
            <v>[]</v>
          </cell>
          <cell r="AQ344" t="str">
            <v>9020</v>
          </cell>
          <cell r="AR344" t="str">
            <v>[]</v>
          </cell>
          <cell r="AS344" t="str">
            <v>[]</v>
          </cell>
          <cell r="AT344" t="str">
            <v>1167</v>
          </cell>
          <cell r="AU344" t="str">
            <v>6430</v>
          </cell>
          <cell r="AV344" t="str">
            <v>金蝉子</v>
          </cell>
          <cell r="AW344" t="str">
            <v>02</v>
          </cell>
          <cell r="AX344" t="str">
            <v>[]</v>
          </cell>
          <cell r="AY344">
            <v>1</v>
          </cell>
          <cell r="BA344" t="str">
            <v>[]</v>
          </cell>
          <cell r="BE344" t="str">
            <v>[]</v>
          </cell>
          <cell r="BF344"/>
        </row>
        <row r="345">
          <cell r="A345" t="str">
            <v>jinchanzi_skill03</v>
          </cell>
          <cell r="B345" t="str">
            <v>佛法护生</v>
          </cell>
          <cell r="C345" t="str">
            <v>自身生命低于50%后，受到伤害减少20%，同时反弹伤害的20%给攻击者</v>
          </cell>
          <cell r="D345">
            <v>1262</v>
          </cell>
          <cell r="E345">
            <v>0</v>
          </cell>
          <cell r="F345" t="str">
            <v>[]</v>
          </cell>
          <cell r="G345" t="str">
            <v>金蝉子被动技能</v>
          </cell>
          <cell r="H345" t="str">
            <v>shengming</v>
          </cell>
          <cell r="I345" t="str">
            <v>[]</v>
          </cell>
          <cell r="J345">
            <v>2</v>
          </cell>
          <cell r="K345">
            <v>1</v>
          </cell>
          <cell r="L345" t="str">
            <v>[]</v>
          </cell>
          <cell r="M345">
            <v>2</v>
          </cell>
          <cell r="N345">
            <v>2</v>
          </cell>
          <cell r="O345">
            <v>1</v>
          </cell>
          <cell r="P345">
            <v>0</v>
          </cell>
          <cell r="Q345">
            <v>12</v>
          </cell>
          <cell r="R345" t="str">
            <v>3|1</v>
          </cell>
          <cell r="S345" t="str">
            <v>4|0.2</v>
          </cell>
          <cell r="T345">
            <v>10</v>
          </cell>
          <cell r="U345">
            <v>0</v>
          </cell>
          <cell r="V345">
            <v>0</v>
          </cell>
          <cell r="W345" t="str">
            <v>[]</v>
          </cell>
          <cell r="X345">
            <v>0</v>
          </cell>
          <cell r="Y345" t="str">
            <v>[]</v>
          </cell>
          <cell r="Z345" t="str">
            <v>0,0,0</v>
          </cell>
          <cell r="AA345">
            <v>0</v>
          </cell>
          <cell r="AB345">
            <v>0</v>
          </cell>
          <cell r="AC345" t="str">
            <v>[]</v>
          </cell>
          <cell r="AD345" t="str">
            <v>[]</v>
          </cell>
          <cell r="AE345" t="str">
            <v>[]</v>
          </cell>
          <cell r="AF345" t="str">
            <v>[]</v>
          </cell>
          <cell r="AG345" t="str">
            <v>[]</v>
          </cell>
          <cell r="AH345" t="str">
            <v>[]</v>
          </cell>
          <cell r="AI345" t="str">
            <v>[]</v>
          </cell>
          <cell r="AJ345" t="str">
            <v>fanshanghudunT3N0.2P1b</v>
          </cell>
          <cell r="AK345" t="str">
            <v>[]</v>
          </cell>
          <cell r="AL345" t="str">
            <v>jianshangupT3N0.2b</v>
          </cell>
          <cell r="AM345" t="str">
            <v>[]</v>
          </cell>
          <cell r="AN345">
            <v>0</v>
          </cell>
          <cell r="AO345" t="str">
            <v>[]</v>
          </cell>
          <cell r="AP345" t="str">
            <v>[]</v>
          </cell>
          <cell r="AQ345" t="str">
            <v>9020</v>
          </cell>
          <cell r="AR345" t="str">
            <v>2|0|0.5</v>
          </cell>
          <cell r="AS345" t="str">
            <v>[]</v>
          </cell>
          <cell r="AT345" t="str">
            <v>1502</v>
          </cell>
          <cell r="AU345" t="str">
            <v>6440</v>
          </cell>
          <cell r="AV345" t="str">
            <v>金蝉子</v>
          </cell>
          <cell r="AW345" t="str">
            <v>03</v>
          </cell>
          <cell r="AX345">
            <v>1262</v>
          </cell>
          <cell r="AY345">
            <v>1</v>
          </cell>
          <cell r="BA345" t="str">
            <v>[]</v>
          </cell>
          <cell r="BE345" t="str">
            <v>[]</v>
          </cell>
          <cell r="BF345"/>
        </row>
        <row r="346">
          <cell r="A346" t="str">
            <v>jinchanzi_skill04</v>
          </cell>
          <cell r="B346" t="str">
            <v>天罡咒印</v>
          </cell>
          <cell r="C346" t="str">
            <v>发动天罡咒印，对范围内敌人进行7次攻击，造成自身攻击力@s的法伤，并降低敌人造成的伤害@s，持续3秒</v>
          </cell>
          <cell r="D346">
            <v>1264</v>
          </cell>
          <cell r="E346">
            <v>2</v>
          </cell>
          <cell r="F346" t="str">
            <v>boss_warning_yuanxing</v>
          </cell>
          <cell r="G346" t="str">
            <v>金蝉子技能4</v>
          </cell>
          <cell r="H346" t="str">
            <v>jinchanzi_skill04</v>
          </cell>
          <cell r="I346" t="str">
            <v>[]</v>
          </cell>
          <cell r="J346">
            <v>3</v>
          </cell>
          <cell r="K346">
            <v>1</v>
          </cell>
          <cell r="L346" t="str">
            <v>[]</v>
          </cell>
          <cell r="M346">
            <v>2</v>
          </cell>
          <cell r="N346">
            <v>2</v>
          </cell>
          <cell r="O346">
            <v>1</v>
          </cell>
          <cell r="P346">
            <v>2</v>
          </cell>
          <cell r="Q346">
            <v>4</v>
          </cell>
          <cell r="R346" t="str">
            <v>2|1</v>
          </cell>
          <cell r="S346" t="str">
            <v>2|6</v>
          </cell>
          <cell r="T346">
            <v>10</v>
          </cell>
          <cell r="U346">
            <v>0</v>
          </cell>
          <cell r="V346">
            <v>0</v>
          </cell>
          <cell r="W346" t="str">
            <v>[]</v>
          </cell>
          <cell r="X346">
            <v>3</v>
          </cell>
          <cell r="Y346" t="str">
            <v>[]</v>
          </cell>
          <cell r="Z346" t="str">
            <v>0,0.528,1.272</v>
          </cell>
          <cell r="AA346">
            <v>0</v>
          </cell>
          <cell r="AB346">
            <v>6</v>
          </cell>
          <cell r="AC346" t="str">
            <v>[]</v>
          </cell>
          <cell r="AD346" t="str">
            <v>[]</v>
          </cell>
          <cell r="AE346" t="str">
            <v>[]</v>
          </cell>
          <cell r="AF346" t="str">
            <v>jinchanzi_skill04</v>
          </cell>
          <cell r="AG346" t="str">
            <v>common_hit_fashu</v>
          </cell>
          <cell r="AH346" t="str">
            <v>[]</v>
          </cell>
          <cell r="AI346" t="str">
            <v>[]</v>
          </cell>
          <cell r="AJ346" t="str">
            <v>[]</v>
          </cell>
          <cell r="AK346" t="str">
            <v>[]</v>
          </cell>
          <cell r="AL346" t="str">
            <v>[]</v>
          </cell>
          <cell r="AM346" t="str">
            <v>xuruoT3N0.1</v>
          </cell>
          <cell r="AN346">
            <v>2</v>
          </cell>
          <cell r="AO346" t="str">
            <v>0.5,0.1,0.1,0.1,0.1,0.1,0.1</v>
          </cell>
          <cell r="AP346">
            <v>121204</v>
          </cell>
          <cell r="AQ346" t="str">
            <v>121204,9010</v>
          </cell>
          <cell r="AR346" t="str">
            <v>[]</v>
          </cell>
          <cell r="AS346" t="str">
            <v>[]</v>
          </cell>
          <cell r="AT346" t="str">
            <v>1194</v>
          </cell>
          <cell r="AU346" t="str">
            <v>6450</v>
          </cell>
          <cell r="AV346" t="str">
            <v>金蝉子</v>
          </cell>
          <cell r="AW346" t="str">
            <v>04</v>
          </cell>
          <cell r="AX346">
            <v>1264</v>
          </cell>
          <cell r="AY346">
            <v>7</v>
          </cell>
          <cell r="BA346" t="str">
            <v>[]</v>
          </cell>
          <cell r="BE346" t="str">
            <v>[]</v>
          </cell>
          <cell r="BF346"/>
        </row>
        <row r="347">
          <cell r="A347" t="str">
            <v>jinchanzi_skill011</v>
          </cell>
          <cell r="B347" t="str">
            <v>奥义·圣诫天咒</v>
          </cell>
          <cell r="C347" t="str">
            <v>念动圣诫天咒为友军施加护盾，降低全体友军受到伤害@s，持续6秒</v>
          </cell>
          <cell r="D347">
            <v>1266</v>
          </cell>
          <cell r="E347">
            <v>0</v>
          </cell>
          <cell r="F347" t="str">
            <v>[]</v>
          </cell>
          <cell r="G347" t="str">
            <v>金蝉子核心技能</v>
          </cell>
          <cell r="H347" t="str">
            <v>jinchanzi_skill01</v>
          </cell>
          <cell r="I347" t="str">
            <v>jinchanzi_skill01</v>
          </cell>
          <cell r="J347">
            <v>0</v>
          </cell>
          <cell r="K347">
            <v>1</v>
          </cell>
          <cell r="L347" t="str">
            <v>1|11</v>
          </cell>
          <cell r="M347">
            <v>2</v>
          </cell>
          <cell r="N347">
            <v>2</v>
          </cell>
          <cell r="O347">
            <v>2</v>
          </cell>
          <cell r="P347">
            <v>4</v>
          </cell>
          <cell r="Q347">
            <v>12</v>
          </cell>
          <cell r="R347" t="str">
            <v>3|1</v>
          </cell>
          <cell r="S347" t="str">
            <v>2|6</v>
          </cell>
          <cell r="T347">
            <v>10</v>
          </cell>
          <cell r="U347">
            <v>1</v>
          </cell>
          <cell r="V347">
            <v>0</v>
          </cell>
          <cell r="W347" t="str">
            <v>[]</v>
          </cell>
          <cell r="X347">
            <v>0</v>
          </cell>
          <cell r="Y347" t="str">
            <v>[]</v>
          </cell>
          <cell r="Z347" t="str">
            <v>0,1,0</v>
          </cell>
          <cell r="AA347">
            <v>0</v>
          </cell>
          <cell r="AB347" t="str">
            <v>12</v>
          </cell>
          <cell r="AC347" t="str">
            <v>[]</v>
          </cell>
          <cell r="AD347" t="str">
            <v>[]</v>
          </cell>
          <cell r="AE347" t="str">
            <v>[]</v>
          </cell>
          <cell r="AF347" t="str">
            <v>jinchanzi_skill01</v>
          </cell>
          <cell r="AG347" t="str">
            <v>jinchanzi_skill01_buff</v>
          </cell>
          <cell r="AH347" t="str">
            <v>[]</v>
          </cell>
          <cell r="AI347" t="str">
            <v>[]</v>
          </cell>
          <cell r="AJ347" t="str">
            <v>[]</v>
          </cell>
          <cell r="AK347" t="str">
            <v>[]</v>
          </cell>
          <cell r="AL347" t="str">
            <v>[]</v>
          </cell>
          <cell r="AM347" t="str">
            <v>jianshangupT6N0.4</v>
          </cell>
          <cell r="AN347">
            <v>1</v>
          </cell>
          <cell r="AO347">
            <v>0.8</v>
          </cell>
          <cell r="AP347" t="str">
            <v>[]</v>
          </cell>
          <cell r="AQ347" t="str">
            <v>9040</v>
          </cell>
          <cell r="AR347" t="str">
            <v>[]</v>
          </cell>
          <cell r="AS347" t="str">
            <v>[]</v>
          </cell>
          <cell r="AT347" t="str">
            <v>1501</v>
          </cell>
          <cell r="AU347" t="str">
            <v>6421</v>
          </cell>
          <cell r="AV347" t="str">
            <v>金蝉子</v>
          </cell>
          <cell r="AW347" t="str">
            <v>11</v>
          </cell>
          <cell r="AX347">
            <v>1266</v>
          </cell>
          <cell r="AY347">
            <v>1</v>
          </cell>
          <cell r="BA347" t="str">
            <v>[]</v>
          </cell>
          <cell r="BE347" t="str">
            <v>[]</v>
          </cell>
          <cell r="BF347"/>
        </row>
        <row r="348">
          <cell r="A348" t="str">
            <v>jinchanzi_skill021</v>
          </cell>
          <cell r="B348" t="str">
            <v>奥义·御法经</v>
          </cell>
          <cell r="C348" t="str">
            <v>给自身增加一个生命上限20%的生命护盾</v>
          </cell>
          <cell r="D348">
            <v>1268</v>
          </cell>
          <cell r="E348">
            <v>0</v>
          </cell>
          <cell r="F348" t="str">
            <v>[]</v>
          </cell>
          <cell r="G348" t="str">
            <v>金蝉子技能2</v>
          </cell>
          <cell r="H348" t="str">
            <v>jinchanzi_skill02</v>
          </cell>
          <cell r="I348" t="str">
            <v>[]</v>
          </cell>
          <cell r="J348">
            <v>1</v>
          </cell>
          <cell r="K348">
            <v>1</v>
          </cell>
          <cell r="L348" t="str">
            <v>[]</v>
          </cell>
          <cell r="M348">
            <v>2</v>
          </cell>
          <cell r="N348">
            <v>2</v>
          </cell>
          <cell r="O348">
            <v>2</v>
          </cell>
          <cell r="P348">
            <v>4</v>
          </cell>
          <cell r="Q348">
            <v>12</v>
          </cell>
          <cell r="R348">
            <v>1</v>
          </cell>
          <cell r="S348" t="str">
            <v>4|0.2</v>
          </cell>
          <cell r="T348">
            <v>1</v>
          </cell>
          <cell r="U348">
            <v>1</v>
          </cell>
          <cell r="V348">
            <v>0</v>
          </cell>
          <cell r="W348" t="str">
            <v>[]</v>
          </cell>
          <cell r="X348">
            <v>3</v>
          </cell>
          <cell r="Y348" t="str">
            <v>[]</v>
          </cell>
          <cell r="Z348" t="str">
            <v>0,1.518,0.682</v>
          </cell>
          <cell r="AA348">
            <v>0</v>
          </cell>
          <cell r="AB348">
            <v>6</v>
          </cell>
          <cell r="AC348" t="str">
            <v>[]</v>
          </cell>
          <cell r="AD348" t="str">
            <v>[]</v>
          </cell>
          <cell r="AE348" t="str">
            <v>[]</v>
          </cell>
          <cell r="AF348" t="str">
            <v>jinchanzi_skill02</v>
          </cell>
          <cell r="AG348" t="str">
            <v>[]</v>
          </cell>
          <cell r="AH348" t="str">
            <v>[]</v>
          </cell>
          <cell r="AI348" t="str">
            <v>[]</v>
          </cell>
          <cell r="AJ348" t="str">
            <v>shengminghudunT2N0.25P1</v>
          </cell>
          <cell r="AK348" t="str">
            <v>[]</v>
          </cell>
          <cell r="AL348" t="str">
            <v>[]</v>
          </cell>
          <cell r="AM348" t="str">
            <v>[]</v>
          </cell>
          <cell r="AN348">
            <v>1</v>
          </cell>
          <cell r="AO348">
            <v>1.518</v>
          </cell>
          <cell r="AP348" t="str">
            <v>[]</v>
          </cell>
          <cell r="AQ348" t="str">
            <v>9040</v>
          </cell>
          <cell r="AR348" t="str">
            <v>[]</v>
          </cell>
          <cell r="AS348" t="str">
            <v>[]</v>
          </cell>
          <cell r="AT348" t="str">
            <v>1142</v>
          </cell>
          <cell r="AU348" t="str">
            <v>6430</v>
          </cell>
          <cell r="AV348" t="str">
            <v>金蝉子</v>
          </cell>
          <cell r="AW348" t="str">
            <v>21</v>
          </cell>
          <cell r="AX348">
            <v>1268</v>
          </cell>
          <cell r="AY348">
            <v>1</v>
          </cell>
          <cell r="BA348" t="str">
            <v>[]</v>
          </cell>
          <cell r="BE348" t="str">
            <v>[]</v>
          </cell>
          <cell r="BF348"/>
        </row>
        <row r="349">
          <cell r="A349" t="str">
            <v>jinchanzi_skill041</v>
          </cell>
          <cell r="B349" t="str">
            <v>奥义·天罡咒印</v>
          </cell>
          <cell r="C349" t="str">
            <v>发动天罡咒印，对范围内敌人进行7次攻击，造成自身攻击力@s的法伤，并降低敌人造成的伤害@s，持续3秒</v>
          </cell>
          <cell r="D349">
            <v>1270</v>
          </cell>
          <cell r="E349">
            <v>2</v>
          </cell>
          <cell r="F349" t="str">
            <v>boss_warning_yuanxing</v>
          </cell>
          <cell r="G349" t="str">
            <v>金蝉子技能4</v>
          </cell>
          <cell r="H349" t="str">
            <v>jinchanzi_skill04</v>
          </cell>
          <cell r="I349" t="str">
            <v>[]</v>
          </cell>
          <cell r="J349">
            <v>3</v>
          </cell>
          <cell r="K349">
            <v>1</v>
          </cell>
          <cell r="L349" t="str">
            <v>[]</v>
          </cell>
          <cell r="M349">
            <v>2</v>
          </cell>
          <cell r="N349">
            <v>2</v>
          </cell>
          <cell r="O349">
            <v>1</v>
          </cell>
          <cell r="P349">
            <v>2</v>
          </cell>
          <cell r="Q349">
            <v>4</v>
          </cell>
          <cell r="R349" t="str">
            <v>2|1</v>
          </cell>
          <cell r="S349" t="str">
            <v>2|6</v>
          </cell>
          <cell r="T349">
            <v>10</v>
          </cell>
          <cell r="U349">
            <v>0</v>
          </cell>
          <cell r="V349">
            <v>0</v>
          </cell>
          <cell r="W349" t="str">
            <v>[]</v>
          </cell>
          <cell r="X349">
            <v>3</v>
          </cell>
          <cell r="Y349" t="str">
            <v>[]</v>
          </cell>
          <cell r="Z349" t="str">
            <v>0,0.528,1.272</v>
          </cell>
          <cell r="AA349">
            <v>0</v>
          </cell>
          <cell r="AB349">
            <v>6</v>
          </cell>
          <cell r="AC349" t="str">
            <v>[]</v>
          </cell>
          <cell r="AD349" t="str">
            <v>[]</v>
          </cell>
          <cell r="AE349" t="str">
            <v>[]</v>
          </cell>
          <cell r="AF349" t="str">
            <v>jinchanzi_skill04</v>
          </cell>
          <cell r="AG349" t="str">
            <v>common_hit_fashu</v>
          </cell>
          <cell r="AH349" t="str">
            <v>[]</v>
          </cell>
          <cell r="AI349" t="str">
            <v>[]</v>
          </cell>
          <cell r="AJ349" t="str">
            <v>[]</v>
          </cell>
          <cell r="AK349" t="str">
            <v>[]</v>
          </cell>
          <cell r="AL349" t="str">
            <v>[]</v>
          </cell>
          <cell r="AM349" t="str">
            <v>xuruoT3N0.15</v>
          </cell>
          <cell r="AN349">
            <v>2</v>
          </cell>
          <cell r="AO349" t="str">
            <v>0.5,0.1,0.1,0.1,0.1,0.1,0.1</v>
          </cell>
          <cell r="AP349">
            <v>121207</v>
          </cell>
          <cell r="AQ349" t="str">
            <v>121207,9015</v>
          </cell>
          <cell r="AR349" t="str">
            <v>[]</v>
          </cell>
          <cell r="AS349" t="str">
            <v>[]</v>
          </cell>
          <cell r="AT349" t="str">
            <v>115</v>
          </cell>
          <cell r="AU349" t="str">
            <v>6450</v>
          </cell>
          <cell r="AV349" t="str">
            <v>金蝉子</v>
          </cell>
          <cell r="AW349" t="str">
            <v>41</v>
          </cell>
          <cell r="AX349">
            <v>1270</v>
          </cell>
          <cell r="AY349">
            <v>7</v>
          </cell>
          <cell r="BA349" t="str">
            <v>[]</v>
          </cell>
          <cell r="BE349" t="str">
            <v>[]</v>
          </cell>
          <cell r="BF349"/>
        </row>
        <row r="350">
          <cell r="A350" t="str">
            <v>longdi_attack</v>
          </cell>
          <cell r="B350" t="str">
            <v>龙帝普攻</v>
          </cell>
          <cell r="C350" t="str">
            <v>普攻</v>
          </cell>
          <cell r="D350" t="str">
            <v>[]</v>
          </cell>
          <cell r="E350">
            <v>0</v>
          </cell>
          <cell r="F350" t="str">
            <v>[]</v>
          </cell>
          <cell r="G350" t="str">
            <v>龙帝近战攻击</v>
          </cell>
          <cell r="H350" t="str">
            <v>[]</v>
          </cell>
          <cell r="I350" t="str">
            <v>[]</v>
          </cell>
          <cell r="J350">
            <v>0</v>
          </cell>
          <cell r="K350">
            <v>1</v>
          </cell>
          <cell r="L350" t="str">
            <v>[]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3</v>
          </cell>
          <cell r="R350" t="str">
            <v>2|1</v>
          </cell>
          <cell r="S350" t="str">
            <v>4|0.2</v>
          </cell>
          <cell r="T350">
            <v>1</v>
          </cell>
          <cell r="U350">
            <v>1</v>
          </cell>
          <cell r="V350">
            <v>0</v>
          </cell>
          <cell r="W350" t="str">
            <v>[]</v>
          </cell>
          <cell r="X350">
            <v>0</v>
          </cell>
          <cell r="Y350" t="str">
            <v>[]</v>
          </cell>
          <cell r="Z350" t="str">
            <v>0,1,0</v>
          </cell>
          <cell r="AA350">
            <v>0</v>
          </cell>
          <cell r="AB350" t="str">
            <v>[]</v>
          </cell>
          <cell r="AC350" t="str">
            <v>[]</v>
          </cell>
          <cell r="AD350" t="str">
            <v>[]</v>
          </cell>
          <cell r="AE350" t="str">
            <v>[]</v>
          </cell>
          <cell r="AF350" t="str">
            <v>longdi_attack</v>
          </cell>
          <cell r="AG350" t="str">
            <v>common_hit_zhongwuqi</v>
          </cell>
          <cell r="AH350" t="str">
            <v>[]</v>
          </cell>
          <cell r="AI350" t="str">
            <v>[]</v>
          </cell>
          <cell r="AJ350" t="str">
            <v>[]</v>
          </cell>
          <cell r="AK350" t="str">
            <v>[]</v>
          </cell>
          <cell r="AL350" t="str">
            <v>[]</v>
          </cell>
          <cell r="AM350" t="str">
            <v>jianshangupT6N0.3</v>
          </cell>
          <cell r="AN350">
            <v>2</v>
          </cell>
          <cell r="AO350">
            <v>-2</v>
          </cell>
          <cell r="AP350">
            <v>121300</v>
          </cell>
          <cell r="AQ350" t="str">
            <v>121300</v>
          </cell>
          <cell r="AR350" t="str">
            <v>[]</v>
          </cell>
          <cell r="AS350" t="str">
            <v>[]</v>
          </cell>
          <cell r="AT350" t="str">
            <v>1164</v>
          </cell>
          <cell r="AU350" t="str">
            <v>6460</v>
          </cell>
          <cell r="AV350" t="str">
            <v>龙帝近战攻击</v>
          </cell>
          <cell r="AW350" t="str">
            <v>ck</v>
          </cell>
          <cell r="AX350" t="str">
            <v>[]</v>
          </cell>
          <cell r="AY350">
            <v>1</v>
          </cell>
          <cell r="BA350" t="str">
            <v>[]</v>
          </cell>
          <cell r="BE350" t="str">
            <v>[]</v>
          </cell>
          <cell r="BF350"/>
        </row>
        <row r="351">
          <cell r="A351" t="str">
            <v>longdi_attack02</v>
          </cell>
          <cell r="B351" t="str">
            <v>龙帝普攻</v>
          </cell>
          <cell r="C351" t="str">
            <v>普攻</v>
          </cell>
          <cell r="D351" t="str">
            <v>[]</v>
          </cell>
          <cell r="E351">
            <v>0</v>
          </cell>
          <cell r="F351" t="str">
            <v>[]</v>
          </cell>
          <cell r="G351" t="str">
            <v>龙帝近战攻击</v>
          </cell>
          <cell r="H351" t="str">
            <v>[]</v>
          </cell>
          <cell r="I351" t="str">
            <v>[]</v>
          </cell>
          <cell r="J351">
            <v>0</v>
          </cell>
          <cell r="K351">
            <v>1</v>
          </cell>
          <cell r="L351" t="str">
            <v>[]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3</v>
          </cell>
          <cell r="R351" t="str">
            <v>2|1</v>
          </cell>
          <cell r="S351" t="str">
            <v>4|0.2</v>
          </cell>
          <cell r="T351">
            <v>1</v>
          </cell>
          <cell r="U351">
            <v>1</v>
          </cell>
          <cell r="V351">
            <v>0</v>
          </cell>
          <cell r="W351" t="str">
            <v>[]</v>
          </cell>
          <cell r="X351">
            <v>0</v>
          </cell>
          <cell r="Y351" t="str">
            <v>[]</v>
          </cell>
          <cell r="Z351" t="str">
            <v>0,1,0</v>
          </cell>
          <cell r="AA351">
            <v>0</v>
          </cell>
          <cell r="AB351" t="str">
            <v>[]</v>
          </cell>
          <cell r="AC351" t="str">
            <v>[]</v>
          </cell>
          <cell r="AD351" t="str">
            <v>[]</v>
          </cell>
          <cell r="AE351" t="str">
            <v>[]</v>
          </cell>
          <cell r="AF351" t="str">
            <v>longdi_attack02</v>
          </cell>
          <cell r="AG351" t="str">
            <v>common_hit_zhongwuqi</v>
          </cell>
          <cell r="AH351" t="str">
            <v>[]</v>
          </cell>
          <cell r="AI351" t="str">
            <v>[]</v>
          </cell>
          <cell r="AJ351" t="str">
            <v>[]</v>
          </cell>
          <cell r="AK351" t="str">
            <v>[]</v>
          </cell>
          <cell r="AL351" t="str">
            <v>[]</v>
          </cell>
          <cell r="AM351" t="str">
            <v>[]</v>
          </cell>
          <cell r="AN351">
            <v>1</v>
          </cell>
          <cell r="AO351">
            <v>0.4</v>
          </cell>
          <cell r="AP351">
            <v>121301</v>
          </cell>
          <cell r="AQ351" t="str">
            <v>121301</v>
          </cell>
          <cell r="AR351" t="str">
            <v>[]</v>
          </cell>
          <cell r="AS351" t="str">
            <v>[]</v>
          </cell>
          <cell r="AT351" t="str">
            <v>2018</v>
          </cell>
          <cell r="AU351" t="str">
            <v>6460</v>
          </cell>
          <cell r="AV351" t="str">
            <v>龙帝近战攻击</v>
          </cell>
          <cell r="AW351" t="str">
            <v>02</v>
          </cell>
          <cell r="AX351" t="str">
            <v>[]</v>
          </cell>
          <cell r="AY351">
            <v>1</v>
          </cell>
          <cell r="BA351" t="str">
            <v>[]</v>
          </cell>
          <cell r="BE351" t="str">
            <v>[]</v>
          </cell>
          <cell r="BF351"/>
        </row>
        <row r="352">
          <cell r="A352" t="str">
            <v>longdi_attack03</v>
          </cell>
          <cell r="B352" t="str">
            <v>龙帝普攻</v>
          </cell>
          <cell r="C352" t="str">
            <v>普攻</v>
          </cell>
          <cell r="D352">
            <v>1262</v>
          </cell>
          <cell r="E352">
            <v>0</v>
          </cell>
          <cell r="F352" t="str">
            <v>[]</v>
          </cell>
          <cell r="G352" t="str">
            <v>龙帝近战攻击</v>
          </cell>
          <cell r="H352" t="str">
            <v>[]</v>
          </cell>
          <cell r="I352" t="str">
            <v>[]</v>
          </cell>
          <cell r="J352">
            <v>0</v>
          </cell>
          <cell r="K352">
            <v>1</v>
          </cell>
          <cell r="L352" t="str">
            <v>[]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3</v>
          </cell>
          <cell r="R352" t="str">
            <v>2|1</v>
          </cell>
          <cell r="S352" t="str">
            <v>4|0.2</v>
          </cell>
          <cell r="T352">
            <v>1</v>
          </cell>
          <cell r="U352">
            <v>1</v>
          </cell>
          <cell r="V352">
            <v>0</v>
          </cell>
          <cell r="W352" t="str">
            <v>[]</v>
          </cell>
          <cell r="X352">
            <v>0</v>
          </cell>
          <cell r="Y352" t="str">
            <v>[]</v>
          </cell>
          <cell r="Z352" t="str">
            <v>0,1,0</v>
          </cell>
          <cell r="AA352">
            <v>0</v>
          </cell>
          <cell r="AB352" t="str">
            <v>[]</v>
          </cell>
          <cell r="AC352" t="str">
            <v>[]</v>
          </cell>
          <cell r="AD352" t="str">
            <v>[]</v>
          </cell>
          <cell r="AE352" t="str">
            <v>[]</v>
          </cell>
          <cell r="AF352" t="str">
            <v>longdi_attack03</v>
          </cell>
          <cell r="AG352" t="str">
            <v>common_hit_zhongwuqi</v>
          </cell>
          <cell r="AH352" t="str">
            <v>[]</v>
          </cell>
          <cell r="AI352" t="str">
            <v>[]</v>
          </cell>
          <cell r="AJ352" t="str">
            <v>[]</v>
          </cell>
          <cell r="AK352" t="str">
            <v>[]</v>
          </cell>
          <cell r="AL352" t="str">
            <v>[]</v>
          </cell>
          <cell r="AM352" t="str">
            <v>[]</v>
          </cell>
          <cell r="AN352">
            <v>1</v>
          </cell>
          <cell r="AO352">
            <v>0.4</v>
          </cell>
          <cell r="AP352">
            <v>121302</v>
          </cell>
          <cell r="AQ352" t="str">
            <v>121302</v>
          </cell>
          <cell r="AR352" t="str">
            <v>[]</v>
          </cell>
          <cell r="AS352" t="str">
            <v>[]</v>
          </cell>
          <cell r="AT352" t="str">
            <v>1217</v>
          </cell>
          <cell r="AU352" t="str">
            <v>6460</v>
          </cell>
          <cell r="AV352" t="str">
            <v>龙帝近战攻击</v>
          </cell>
          <cell r="AW352" t="str">
            <v>03</v>
          </cell>
          <cell r="AX352">
            <v>1262</v>
          </cell>
          <cell r="AY352">
            <v>1</v>
          </cell>
          <cell r="BA352" t="str">
            <v>[]</v>
          </cell>
          <cell r="BE352" t="str">
            <v>[]</v>
          </cell>
          <cell r="BF352"/>
        </row>
        <row r="353">
          <cell r="A353" t="str">
            <v>longdi_skill01</v>
          </cell>
          <cell r="B353" t="str">
            <v>钻石星辰</v>
          </cell>
          <cell r="C353" t="str">
            <v>召唤巨大的冰球砸向敌军，对范围内敌人造成主角攻击力@s的法伤，20%的概率冰冻目标2秒</v>
          </cell>
          <cell r="D353" t="str">
            <v>[]</v>
          </cell>
          <cell r="E353">
            <v>0</v>
          </cell>
          <cell r="F353" t="str">
            <v>[]</v>
          </cell>
          <cell r="G353" t="str">
            <v>龙帝核心技能</v>
          </cell>
          <cell r="H353" t="str">
            <v>longdi_skill01</v>
          </cell>
          <cell r="I353" t="str">
            <v>longdi_skill01</v>
          </cell>
          <cell r="J353">
            <v>0</v>
          </cell>
          <cell r="K353">
            <v>10</v>
          </cell>
          <cell r="L353" t="str">
            <v>1|20</v>
          </cell>
          <cell r="M353">
            <v>2</v>
          </cell>
          <cell r="N353">
            <v>2</v>
          </cell>
          <cell r="O353">
            <v>2</v>
          </cell>
          <cell r="P353">
            <v>2</v>
          </cell>
          <cell r="Q353">
            <v>12</v>
          </cell>
          <cell r="R353" t="str">
            <v>2|1</v>
          </cell>
          <cell r="S353" t="str">
            <v>2|6</v>
          </cell>
          <cell r="T353">
            <v>10</v>
          </cell>
          <cell r="U353">
            <v>0</v>
          </cell>
          <cell r="V353">
            <v>0</v>
          </cell>
          <cell r="W353" t="str">
            <v>[]</v>
          </cell>
          <cell r="X353">
            <v>0</v>
          </cell>
          <cell r="Y353" t="str">
            <v>[]</v>
          </cell>
          <cell r="Z353" t="str">
            <v>0,1,0</v>
          </cell>
          <cell r="AA353">
            <v>0</v>
          </cell>
          <cell r="AB353" t="str">
            <v>12</v>
          </cell>
          <cell r="AC353" t="str">
            <v>[]</v>
          </cell>
          <cell r="AD353" t="str">
            <v>[]</v>
          </cell>
          <cell r="AE353" t="str">
            <v>[]</v>
          </cell>
          <cell r="AF353" t="str">
            <v>longdi_skill01</v>
          </cell>
          <cell r="AG353" t="str">
            <v>common_hit_fashu</v>
          </cell>
          <cell r="AH353" t="str">
            <v>[]</v>
          </cell>
          <cell r="AI353" t="str">
            <v>[]</v>
          </cell>
          <cell r="AJ353" t="str">
            <v>[]</v>
          </cell>
          <cell r="AK353" t="str">
            <v>bingdongT1NP0.2</v>
          </cell>
          <cell r="AL353" t="str">
            <v>[]</v>
          </cell>
          <cell r="AM353" t="str">
            <v>[]</v>
          </cell>
          <cell r="AN353">
            <v>1</v>
          </cell>
          <cell r="AO353">
            <v>1</v>
          </cell>
          <cell r="AP353">
            <v>121303</v>
          </cell>
          <cell r="AQ353" t="str">
            <v>121303</v>
          </cell>
          <cell r="AR353" t="str">
            <v>[]</v>
          </cell>
          <cell r="AS353" t="str">
            <v>[]</v>
          </cell>
          <cell r="AT353" t="str">
            <v>1504</v>
          </cell>
          <cell r="AU353" t="str">
            <v>6470</v>
          </cell>
          <cell r="AV353" t="str">
            <v>龙帝</v>
          </cell>
          <cell r="AW353" t="str">
            <v>01</v>
          </cell>
          <cell r="AX353" t="str">
            <v>[]</v>
          </cell>
          <cell r="AY353">
            <v>1</v>
          </cell>
          <cell r="AZ353">
            <v>0.2</v>
          </cell>
          <cell r="BA353">
            <v>0.2</v>
          </cell>
          <cell r="BE353">
            <v>0.2</v>
          </cell>
          <cell r="BF353" t="str">
            <v>20</v>
          </cell>
        </row>
        <row r="354">
          <cell r="A354" t="str">
            <v>longdi_skill02</v>
          </cell>
          <cell r="B354" t="str">
            <v>极寒冰狱</v>
          </cell>
          <cell r="C354" t="str">
            <v>召唤极寒冰域，对范围内敌人进行2次攻击，造成自身攻击力@s的法伤，每次有20%的概率冰冻目标2秒</v>
          </cell>
          <cell r="D354" t="str">
            <v>[]</v>
          </cell>
          <cell r="E354">
            <v>1</v>
          </cell>
          <cell r="F354" t="str">
            <v>boss_warning_yuanxing</v>
          </cell>
          <cell r="G354" t="str">
            <v>龙帝技能4</v>
          </cell>
          <cell r="H354" t="str">
            <v>longdi_skill02</v>
          </cell>
          <cell r="I354" t="str">
            <v>[]</v>
          </cell>
          <cell r="J354">
            <v>1</v>
          </cell>
          <cell r="K354">
            <v>10</v>
          </cell>
          <cell r="L354" t="str">
            <v>[]</v>
          </cell>
          <cell r="M354">
            <v>2</v>
          </cell>
          <cell r="N354">
            <v>2</v>
          </cell>
          <cell r="O354">
            <v>2</v>
          </cell>
          <cell r="P354">
            <v>2</v>
          </cell>
          <cell r="Q354">
            <v>12</v>
          </cell>
          <cell r="R354" t="str">
            <v>2|1</v>
          </cell>
          <cell r="S354" t="str">
            <v>2|6</v>
          </cell>
          <cell r="T354">
            <v>10</v>
          </cell>
          <cell r="U354">
            <v>1</v>
          </cell>
          <cell r="V354">
            <v>0</v>
          </cell>
          <cell r="W354" t="str">
            <v>[]</v>
          </cell>
          <cell r="X354">
            <v>3</v>
          </cell>
          <cell r="Y354" t="str">
            <v>[]</v>
          </cell>
          <cell r="Z354" t="str">
            <v>0,1.167,0</v>
          </cell>
          <cell r="AA354">
            <v>0</v>
          </cell>
          <cell r="AB354">
            <v>6</v>
          </cell>
          <cell r="AC354" t="str">
            <v>[]</v>
          </cell>
          <cell r="AD354" t="str">
            <v>[]</v>
          </cell>
          <cell r="AE354" t="str">
            <v>[]</v>
          </cell>
          <cell r="AF354" t="str">
            <v>longdi_skill02</v>
          </cell>
          <cell r="AG354" t="str">
            <v>common_hit_fashu</v>
          </cell>
          <cell r="AH354" t="str">
            <v>[]</v>
          </cell>
          <cell r="AI354" t="str">
            <v>[]</v>
          </cell>
          <cell r="AJ354" t="str">
            <v>[]</v>
          </cell>
          <cell r="AK354" t="str">
            <v>bingdongT1NP0.2</v>
          </cell>
          <cell r="AL354" t="str">
            <v>[]</v>
          </cell>
          <cell r="AM354" t="str">
            <v>[]</v>
          </cell>
          <cell r="AN354">
            <v>1</v>
          </cell>
          <cell r="AO354" t="str">
            <v>0.6,2.2</v>
          </cell>
          <cell r="AP354">
            <v>121304</v>
          </cell>
          <cell r="AQ354" t="str">
            <v>121304,9010</v>
          </cell>
          <cell r="AR354" t="str">
            <v>[]</v>
          </cell>
          <cell r="AS354" t="str">
            <v>[]</v>
          </cell>
          <cell r="AT354" t="str">
            <v>1504</v>
          </cell>
          <cell r="AU354" t="str">
            <v>6480</v>
          </cell>
          <cell r="AV354" t="str">
            <v>龙帝</v>
          </cell>
          <cell r="AW354" t="str">
            <v>02</v>
          </cell>
          <cell r="AX354" t="str">
            <v>[]</v>
          </cell>
          <cell r="AY354">
            <v>2</v>
          </cell>
          <cell r="BA354" t="str">
            <v>[]</v>
          </cell>
          <cell r="BE354" t="str">
            <v>[]</v>
          </cell>
          <cell r="BF354"/>
        </row>
        <row r="355">
          <cell r="A355" t="str">
            <v>longdi_skill03</v>
          </cell>
          <cell r="B355" t="str">
            <v>冰霜领域</v>
          </cell>
          <cell r="C355" t="str">
            <v>进入战斗场景时，提升自身造成的伤害@s</v>
          </cell>
          <cell r="D355">
            <v>1262</v>
          </cell>
          <cell r="E355">
            <v>0</v>
          </cell>
          <cell r="F355" t="str">
            <v>[]</v>
          </cell>
          <cell r="G355" t="str">
            <v>龙帝被动技能</v>
          </cell>
          <cell r="H355" t="str">
            <v>bingdong</v>
          </cell>
          <cell r="I355" t="str">
            <v>[]</v>
          </cell>
          <cell r="J355">
            <v>2</v>
          </cell>
          <cell r="K355">
            <v>10</v>
          </cell>
          <cell r="L355" t="str">
            <v>[]</v>
          </cell>
          <cell r="M355">
            <v>2</v>
          </cell>
          <cell r="N355">
            <v>2</v>
          </cell>
          <cell r="O355">
            <v>3</v>
          </cell>
          <cell r="P355">
            <v>0</v>
          </cell>
          <cell r="Q355">
            <v>12</v>
          </cell>
          <cell r="R355">
            <v>1</v>
          </cell>
          <cell r="S355" t="str">
            <v>2|20</v>
          </cell>
          <cell r="T355">
            <v>10</v>
          </cell>
          <cell r="U355">
            <v>0</v>
          </cell>
          <cell r="V355">
            <v>0</v>
          </cell>
          <cell r="W355" t="str">
            <v>[]</v>
          </cell>
          <cell r="X355">
            <v>0</v>
          </cell>
          <cell r="Y355" t="str">
            <v>[]</v>
          </cell>
          <cell r="Z355" t="str">
            <v>0,0,0</v>
          </cell>
          <cell r="AA355">
            <v>0</v>
          </cell>
          <cell r="AB355" t="str">
            <v>[]</v>
          </cell>
          <cell r="AC355" t="str">
            <v>[]</v>
          </cell>
          <cell r="AD355" t="str">
            <v>[]</v>
          </cell>
          <cell r="AE355" t="str">
            <v>[]</v>
          </cell>
          <cell r="AF355" t="str">
            <v>[]</v>
          </cell>
          <cell r="AG355" t="str">
            <v>[]</v>
          </cell>
          <cell r="AH355" t="str">
            <v>[]</v>
          </cell>
          <cell r="AI355" t="str">
            <v>[]</v>
          </cell>
          <cell r="AJ355" t="str">
            <v>[]</v>
          </cell>
          <cell r="AK355" t="str">
            <v>[]</v>
          </cell>
          <cell r="AL355" t="str">
            <v>yishangT3N0.1b</v>
          </cell>
          <cell r="AM355" t="str">
            <v>[]</v>
          </cell>
          <cell r="AN355">
            <v>1</v>
          </cell>
          <cell r="AO355">
            <v>0.1</v>
          </cell>
          <cell r="AP355" t="str">
            <v>[]</v>
          </cell>
          <cell r="AQ355" t="str">
            <v>9010</v>
          </cell>
          <cell r="AR355" t="str">
            <v>[]</v>
          </cell>
          <cell r="AS355" t="str">
            <v>[]</v>
          </cell>
          <cell r="AT355" t="str">
            <v>1508</v>
          </cell>
          <cell r="AU355" t="str">
            <v>6490</v>
          </cell>
          <cell r="AV355" t="str">
            <v>龙帝</v>
          </cell>
          <cell r="AW355" t="str">
            <v>03</v>
          </cell>
          <cell r="AX355">
            <v>1262</v>
          </cell>
          <cell r="AY355">
            <v>1</v>
          </cell>
          <cell r="BA355" t="str">
            <v>[]</v>
          </cell>
          <cell r="BE355" t="str">
            <v>[]</v>
          </cell>
          <cell r="BF355"/>
        </row>
        <row r="356">
          <cell r="A356" t="str">
            <v>longdi_skill04</v>
          </cell>
          <cell r="B356" t="str">
            <v>寒陨爆裂</v>
          </cell>
          <cell r="C356" t="str">
            <v>召唤冰球砸向敌军并爆炸，对范围内敌人进行2次攻击，造成自身攻击力@s的法伤，同时提升自身暴击@s,持续3秒</v>
          </cell>
          <cell r="D356">
            <v>1264</v>
          </cell>
          <cell r="E356">
            <v>1</v>
          </cell>
          <cell r="F356" t="str">
            <v>boss_warning_yuanxing</v>
          </cell>
          <cell r="G356" t="str">
            <v>龙帝技能2</v>
          </cell>
          <cell r="H356" t="str">
            <v>longdi_skill04</v>
          </cell>
          <cell r="I356" t="str">
            <v>[]</v>
          </cell>
          <cell r="J356">
            <v>3</v>
          </cell>
          <cell r="K356">
            <v>10</v>
          </cell>
          <cell r="L356" t="str">
            <v>[]</v>
          </cell>
          <cell r="M356">
            <v>2</v>
          </cell>
          <cell r="N356">
            <v>2</v>
          </cell>
          <cell r="O356">
            <v>2</v>
          </cell>
          <cell r="P356">
            <v>2</v>
          </cell>
          <cell r="Q356">
            <v>12</v>
          </cell>
          <cell r="R356" t="str">
            <v>2|1</v>
          </cell>
          <cell r="S356" t="str">
            <v>2|6</v>
          </cell>
          <cell r="T356">
            <v>10</v>
          </cell>
          <cell r="U356">
            <v>1</v>
          </cell>
          <cell r="V356">
            <v>0</v>
          </cell>
          <cell r="W356" t="str">
            <v>[]</v>
          </cell>
          <cell r="X356">
            <v>3</v>
          </cell>
          <cell r="Y356" t="str">
            <v>[]</v>
          </cell>
          <cell r="Z356" t="str">
            <v>0,1.667,0</v>
          </cell>
          <cell r="AA356">
            <v>0</v>
          </cell>
          <cell r="AB356">
            <v>6</v>
          </cell>
          <cell r="AC356" t="str">
            <v>[]</v>
          </cell>
          <cell r="AD356" t="str">
            <v>[]</v>
          </cell>
          <cell r="AE356" t="str">
            <v>[]</v>
          </cell>
          <cell r="AF356" t="str">
            <v>longdi_skill04</v>
          </cell>
          <cell r="AG356" t="str">
            <v>common_hit_fashu</v>
          </cell>
          <cell r="AH356" t="str">
            <v>[]</v>
          </cell>
          <cell r="AI356" t="str">
            <v>[]</v>
          </cell>
          <cell r="AJ356" t="str">
            <v>[]</v>
          </cell>
          <cell r="AK356" t="str">
            <v>[]</v>
          </cell>
          <cell r="AL356" t="str">
            <v>baojiupT3N0.1</v>
          </cell>
          <cell r="AM356" t="str">
            <v>[]</v>
          </cell>
          <cell r="AN356">
            <v>1</v>
          </cell>
          <cell r="AO356" t="str">
            <v>0.8,1.3</v>
          </cell>
          <cell r="AP356">
            <v>121306</v>
          </cell>
          <cell r="AQ356" t="str">
            <v>121306,9010</v>
          </cell>
          <cell r="AR356" t="str">
            <v>[]</v>
          </cell>
          <cell r="AS356" t="str">
            <v>[]</v>
          </cell>
          <cell r="AT356" t="str">
            <v>1153</v>
          </cell>
          <cell r="AU356" t="str">
            <v>6500</v>
          </cell>
          <cell r="AV356" t="str">
            <v>龙帝</v>
          </cell>
          <cell r="AW356" t="str">
            <v>04</v>
          </cell>
          <cell r="AX356">
            <v>1264</v>
          </cell>
          <cell r="AY356">
            <v>2</v>
          </cell>
          <cell r="BA356" t="str">
            <v>[]</v>
          </cell>
          <cell r="BE356" t="str">
            <v>[]</v>
          </cell>
          <cell r="BF356"/>
        </row>
        <row r="357">
          <cell r="A357" t="str">
            <v>longdi_skill011</v>
          </cell>
          <cell r="B357" t="str">
            <v>奥义·钻石星辰</v>
          </cell>
          <cell r="C357" t="str">
            <v>召唤巨大的冰球砸向敌军，对范围内敌人造成主角攻击力@s的法伤，40%的概率冰冻目标2秒</v>
          </cell>
          <cell r="D357">
            <v>1266</v>
          </cell>
          <cell r="E357">
            <v>0</v>
          </cell>
          <cell r="F357" t="str">
            <v>[]</v>
          </cell>
          <cell r="G357" t="str">
            <v>龙帝核心技能</v>
          </cell>
          <cell r="H357" t="str">
            <v>longdi_skill01</v>
          </cell>
          <cell r="I357" t="str">
            <v>longdi_skill01</v>
          </cell>
          <cell r="J357">
            <v>0</v>
          </cell>
          <cell r="K357">
            <v>10</v>
          </cell>
          <cell r="L357" t="str">
            <v>1|20</v>
          </cell>
          <cell r="M357">
            <v>2</v>
          </cell>
          <cell r="N357">
            <v>2</v>
          </cell>
          <cell r="O357">
            <v>2</v>
          </cell>
          <cell r="P357">
            <v>2</v>
          </cell>
          <cell r="Q357">
            <v>12</v>
          </cell>
          <cell r="R357" t="str">
            <v>2|1</v>
          </cell>
          <cell r="S357" t="str">
            <v>2|6</v>
          </cell>
          <cell r="T357">
            <v>10</v>
          </cell>
          <cell r="U357">
            <v>0</v>
          </cell>
          <cell r="V357">
            <v>0</v>
          </cell>
          <cell r="W357" t="str">
            <v>[]</v>
          </cell>
          <cell r="X357">
            <v>0</v>
          </cell>
          <cell r="Y357" t="str">
            <v>[]</v>
          </cell>
          <cell r="Z357" t="str">
            <v>0,1,0</v>
          </cell>
          <cell r="AA357">
            <v>0</v>
          </cell>
          <cell r="AB357" t="str">
            <v>12</v>
          </cell>
          <cell r="AC357" t="str">
            <v>[]</v>
          </cell>
          <cell r="AD357" t="str">
            <v>[]</v>
          </cell>
          <cell r="AE357" t="str">
            <v>[]</v>
          </cell>
          <cell r="AF357" t="str">
            <v>longdi_skill01</v>
          </cell>
          <cell r="AG357" t="str">
            <v>common_hit_fashu</v>
          </cell>
          <cell r="AH357" t="str">
            <v>[]</v>
          </cell>
          <cell r="AI357" t="str">
            <v>[]</v>
          </cell>
          <cell r="AJ357" t="str">
            <v>[]</v>
          </cell>
          <cell r="AK357" t="str">
            <v>bingdongT1NP0.4</v>
          </cell>
          <cell r="AL357" t="str">
            <v>[]</v>
          </cell>
          <cell r="AM357" t="str">
            <v>[]</v>
          </cell>
          <cell r="AN357">
            <v>1</v>
          </cell>
          <cell r="AO357">
            <v>1</v>
          </cell>
          <cell r="AP357">
            <v>121307</v>
          </cell>
          <cell r="AQ357" t="str">
            <v>121307</v>
          </cell>
          <cell r="AR357" t="str">
            <v>[]</v>
          </cell>
          <cell r="AS357" t="str">
            <v>[]</v>
          </cell>
          <cell r="AT357" t="str">
            <v>1503</v>
          </cell>
          <cell r="AU357" t="str">
            <v>6470</v>
          </cell>
          <cell r="AV357" t="str">
            <v>龙帝</v>
          </cell>
          <cell r="AW357" t="str">
            <v>11</v>
          </cell>
          <cell r="AX357">
            <v>1266</v>
          </cell>
          <cell r="AY357">
            <v>1</v>
          </cell>
          <cell r="AZ357">
            <v>0.4</v>
          </cell>
          <cell r="BA357">
            <v>0.4</v>
          </cell>
          <cell r="BE357">
            <v>0.4</v>
          </cell>
          <cell r="BF357" t="str">
            <v>40</v>
          </cell>
        </row>
        <row r="358">
          <cell r="A358" t="str">
            <v>longdi_skill021</v>
          </cell>
          <cell r="B358" t="str">
            <v>奥义·极寒冰狱</v>
          </cell>
          <cell r="C358" t="str">
            <v>召唤极寒冰域，对范围内敌人进行2次攻击，造成自身攻击力@s的法伤，每次有23%的概率冰冻目标2秒</v>
          </cell>
          <cell r="D358">
            <v>1268</v>
          </cell>
          <cell r="E358">
            <v>1</v>
          </cell>
          <cell r="F358" t="str">
            <v>boss_warning_yuanxing</v>
          </cell>
          <cell r="G358" t="str">
            <v>龙帝技能4</v>
          </cell>
          <cell r="H358" t="str">
            <v>longdi_skill02</v>
          </cell>
          <cell r="I358" t="str">
            <v>[]</v>
          </cell>
          <cell r="J358">
            <v>1</v>
          </cell>
          <cell r="K358">
            <v>10</v>
          </cell>
          <cell r="L358" t="str">
            <v>[]</v>
          </cell>
          <cell r="M358">
            <v>2</v>
          </cell>
          <cell r="N358">
            <v>2</v>
          </cell>
          <cell r="O358">
            <v>2</v>
          </cell>
          <cell r="P358">
            <v>2</v>
          </cell>
          <cell r="Q358">
            <v>12</v>
          </cell>
          <cell r="R358" t="str">
            <v>2|1</v>
          </cell>
          <cell r="S358" t="str">
            <v>2|6</v>
          </cell>
          <cell r="T358">
            <v>10</v>
          </cell>
          <cell r="U358">
            <v>1</v>
          </cell>
          <cell r="V358">
            <v>0</v>
          </cell>
          <cell r="W358" t="str">
            <v>[]</v>
          </cell>
          <cell r="X358">
            <v>3</v>
          </cell>
          <cell r="Y358" t="str">
            <v>[]</v>
          </cell>
          <cell r="Z358" t="str">
            <v>0,1.167,0</v>
          </cell>
          <cell r="AA358">
            <v>0</v>
          </cell>
          <cell r="AB358">
            <v>6</v>
          </cell>
          <cell r="AC358" t="str">
            <v>[]</v>
          </cell>
          <cell r="AD358" t="str">
            <v>[]</v>
          </cell>
          <cell r="AE358" t="str">
            <v>[]</v>
          </cell>
          <cell r="AF358" t="str">
            <v>longdi_skill02</v>
          </cell>
          <cell r="AG358" t="str">
            <v>common_hit_fashu</v>
          </cell>
          <cell r="AH358" t="str">
            <v>[]</v>
          </cell>
          <cell r="AI358" t="str">
            <v>[]</v>
          </cell>
          <cell r="AJ358" t="str">
            <v>[]</v>
          </cell>
          <cell r="AK358" t="str">
            <v>bingdongT1NP0.2</v>
          </cell>
          <cell r="AL358" t="str">
            <v>[]</v>
          </cell>
          <cell r="AM358" t="str">
            <v>[]</v>
          </cell>
          <cell r="AN358">
            <v>1</v>
          </cell>
          <cell r="AO358" t="str">
            <v>0.6,2.2</v>
          </cell>
          <cell r="AP358">
            <v>121308</v>
          </cell>
          <cell r="AQ358" t="str">
            <v>121308,9015</v>
          </cell>
          <cell r="AR358" t="str">
            <v>[]</v>
          </cell>
          <cell r="AS358" t="str">
            <v>[]</v>
          </cell>
          <cell r="AT358" t="str">
            <v>1152</v>
          </cell>
          <cell r="AU358" t="str">
            <v>6480</v>
          </cell>
          <cell r="AV358" t="str">
            <v>龙帝</v>
          </cell>
          <cell r="AW358" t="str">
            <v>21</v>
          </cell>
          <cell r="AX358">
            <v>1268</v>
          </cell>
          <cell r="AY358">
            <v>2</v>
          </cell>
          <cell r="AZ358">
            <v>0.4</v>
          </cell>
          <cell r="BA358">
            <v>0.22500000000000001</v>
          </cell>
          <cell r="BB358" t="str">
            <v>冰冻</v>
          </cell>
          <cell r="BE358">
            <v>0.22500000000000001</v>
          </cell>
          <cell r="BF358" t="str">
            <v>20</v>
          </cell>
        </row>
        <row r="359">
          <cell r="A359" t="str">
            <v>longdi_skill041</v>
          </cell>
          <cell r="B359" t="str">
            <v>奥义·寒陨爆裂</v>
          </cell>
          <cell r="C359" t="str">
            <v>召唤冰球砸向敌军并爆炸，对范围内敌人进行2次攻击，造成自身攻击力@s的法伤，同时提升自身暴击@s,持续3秒</v>
          </cell>
          <cell r="D359">
            <v>1270</v>
          </cell>
          <cell r="E359">
            <v>1</v>
          </cell>
          <cell r="F359" t="str">
            <v>boss_warning_yuanxing</v>
          </cell>
          <cell r="G359" t="str">
            <v>龙帝技能2</v>
          </cell>
          <cell r="H359" t="str">
            <v>longdi_skill04</v>
          </cell>
          <cell r="I359" t="str">
            <v>[]</v>
          </cell>
          <cell r="J359">
            <v>3</v>
          </cell>
          <cell r="K359">
            <v>10</v>
          </cell>
          <cell r="L359" t="str">
            <v>[]</v>
          </cell>
          <cell r="M359">
            <v>2</v>
          </cell>
          <cell r="N359">
            <v>2</v>
          </cell>
          <cell r="O359">
            <v>2</v>
          </cell>
          <cell r="P359">
            <v>2</v>
          </cell>
          <cell r="Q359">
            <v>12</v>
          </cell>
          <cell r="R359" t="str">
            <v>2|1</v>
          </cell>
          <cell r="S359" t="str">
            <v>2|6</v>
          </cell>
          <cell r="T359">
            <v>10</v>
          </cell>
          <cell r="U359">
            <v>1</v>
          </cell>
          <cell r="V359">
            <v>0</v>
          </cell>
          <cell r="W359" t="str">
            <v>[]</v>
          </cell>
          <cell r="X359">
            <v>3</v>
          </cell>
          <cell r="Y359" t="str">
            <v>[]</v>
          </cell>
          <cell r="Z359" t="str">
            <v>0,1.667,0</v>
          </cell>
          <cell r="AA359">
            <v>0</v>
          </cell>
          <cell r="AB359">
            <v>6</v>
          </cell>
          <cell r="AC359" t="str">
            <v>[]</v>
          </cell>
          <cell r="AD359" t="str">
            <v>[]</v>
          </cell>
          <cell r="AE359" t="str">
            <v>[]</v>
          </cell>
          <cell r="AF359" t="str">
            <v>longdi_skill04</v>
          </cell>
          <cell r="AG359" t="str">
            <v>common_hit_fashu</v>
          </cell>
          <cell r="AH359" t="str">
            <v>[]</v>
          </cell>
          <cell r="AI359" t="str">
            <v>[]</v>
          </cell>
          <cell r="AJ359" t="str">
            <v>[]</v>
          </cell>
          <cell r="AK359" t="str">
            <v>[]</v>
          </cell>
          <cell r="AL359" t="str">
            <v>baojiupT3N0.15</v>
          </cell>
          <cell r="AM359" t="str">
            <v>[]</v>
          </cell>
          <cell r="AN359">
            <v>1</v>
          </cell>
          <cell r="AO359" t="str">
            <v>0.8,1,1.3</v>
          </cell>
          <cell r="AP359">
            <v>121309</v>
          </cell>
          <cell r="AQ359" t="str">
            <v>121309,9015</v>
          </cell>
          <cell r="AR359" t="str">
            <v>[]</v>
          </cell>
          <cell r="AS359" t="str">
            <v>[]</v>
          </cell>
          <cell r="AT359" t="str">
            <v>1146</v>
          </cell>
          <cell r="AU359" t="str">
            <v>6500</v>
          </cell>
          <cell r="AV359" t="str">
            <v>龙帝</v>
          </cell>
          <cell r="AW359" t="str">
            <v>41</v>
          </cell>
          <cell r="AX359">
            <v>1270</v>
          </cell>
          <cell r="AY359">
            <v>3</v>
          </cell>
          <cell r="BA359" t="str">
            <v>[]</v>
          </cell>
          <cell r="BE359" t="str">
            <v>[]</v>
          </cell>
          <cell r="BF359"/>
        </row>
        <row r="360">
          <cell r="A360" t="str">
            <v>babutianlong_attack</v>
          </cell>
          <cell r="B360" t="str">
            <v>八部天龙</v>
          </cell>
          <cell r="C360" t="str">
            <v>普攻</v>
          </cell>
          <cell r="D360" t="str">
            <v>[]</v>
          </cell>
          <cell r="E360">
            <v>0</v>
          </cell>
          <cell r="F360" t="str">
            <v>[]</v>
          </cell>
          <cell r="G360" t="str">
            <v>八部天龙远程法术</v>
          </cell>
          <cell r="H360" t="str">
            <v>[]</v>
          </cell>
          <cell r="I360" t="str">
            <v>[]</v>
          </cell>
          <cell r="J360">
            <v>0</v>
          </cell>
          <cell r="K360">
            <v>1</v>
          </cell>
          <cell r="L360" t="str">
            <v>[]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10</v>
          </cell>
          <cell r="R360" t="str">
            <v>2|1</v>
          </cell>
          <cell r="S360" t="str">
            <v>4|0.2</v>
          </cell>
          <cell r="T360">
            <v>1</v>
          </cell>
          <cell r="U360">
            <v>1</v>
          </cell>
          <cell r="V360">
            <v>0</v>
          </cell>
          <cell r="W360" t="str">
            <v>[]</v>
          </cell>
          <cell r="X360">
            <v>0</v>
          </cell>
          <cell r="Y360" t="str">
            <v>[]</v>
          </cell>
          <cell r="Z360" t="str">
            <v>0,1,0</v>
          </cell>
          <cell r="AA360">
            <v>0</v>
          </cell>
          <cell r="AB360" t="str">
            <v>[]</v>
          </cell>
          <cell r="AC360" t="str">
            <v>[]</v>
          </cell>
          <cell r="AD360" t="str">
            <v>[]</v>
          </cell>
          <cell r="AE360" t="str">
            <v>babutianlong_attack1</v>
          </cell>
          <cell r="AF360" t="str">
            <v>babutianlong_attack_f</v>
          </cell>
          <cell r="AG360" t="str">
            <v>common_hit_fashu</v>
          </cell>
          <cell r="AH360" t="str">
            <v>[]</v>
          </cell>
          <cell r="AI360" t="str">
            <v>[]</v>
          </cell>
          <cell r="AJ360" t="str">
            <v>[]</v>
          </cell>
          <cell r="AK360" t="str">
            <v>[]</v>
          </cell>
          <cell r="AL360" t="str">
            <v>baojiupT3N0.2</v>
          </cell>
          <cell r="AM360" t="str">
            <v>[]</v>
          </cell>
          <cell r="AN360">
            <v>2</v>
          </cell>
          <cell r="AO360" t="str">
            <v>[]</v>
          </cell>
          <cell r="AP360">
            <v>121400</v>
          </cell>
          <cell r="AQ360" t="str">
            <v>121400</v>
          </cell>
          <cell r="AR360" t="str">
            <v>[]</v>
          </cell>
          <cell r="AS360" t="str">
            <v>[]</v>
          </cell>
          <cell r="AT360" t="str">
            <v>1155</v>
          </cell>
          <cell r="AU360" t="str">
            <v>6610</v>
          </cell>
          <cell r="AV360" t="str">
            <v>八部天龙远程法术</v>
          </cell>
          <cell r="AW360" t="str">
            <v>ck</v>
          </cell>
          <cell r="AX360" t="str">
            <v>[]</v>
          </cell>
          <cell r="AY360">
            <v>1</v>
          </cell>
          <cell r="BA360" t="str">
            <v>[]</v>
          </cell>
          <cell r="BE360" t="str">
            <v>[]</v>
          </cell>
          <cell r="BF360"/>
        </row>
        <row r="361">
          <cell r="A361" t="str">
            <v>babutianlong_attack02</v>
          </cell>
          <cell r="B361" t="str">
            <v>八部天龙</v>
          </cell>
          <cell r="C361" t="str">
            <v>普攻</v>
          </cell>
          <cell r="D361" t="str">
            <v>[]</v>
          </cell>
          <cell r="E361">
            <v>0</v>
          </cell>
          <cell r="F361" t="str">
            <v>[]</v>
          </cell>
          <cell r="G361" t="str">
            <v>八部天龙远程法术</v>
          </cell>
          <cell r="H361" t="str">
            <v>[]</v>
          </cell>
          <cell r="I361" t="str">
            <v>[]</v>
          </cell>
          <cell r="J361">
            <v>0</v>
          </cell>
          <cell r="K361">
            <v>1</v>
          </cell>
          <cell r="L361" t="str">
            <v>[]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10</v>
          </cell>
          <cell r="R361" t="str">
            <v>2|1</v>
          </cell>
          <cell r="S361" t="str">
            <v>4|0.2</v>
          </cell>
          <cell r="T361">
            <v>1</v>
          </cell>
          <cell r="U361">
            <v>1</v>
          </cell>
          <cell r="V361">
            <v>0</v>
          </cell>
          <cell r="W361" t="str">
            <v>[]</v>
          </cell>
          <cell r="X361">
            <v>0</v>
          </cell>
          <cell r="Y361" t="str">
            <v>[]</v>
          </cell>
          <cell r="Z361" t="str">
            <v>0,1,0</v>
          </cell>
          <cell r="AA361">
            <v>0</v>
          </cell>
          <cell r="AB361" t="str">
            <v>[]</v>
          </cell>
          <cell r="AC361" t="str">
            <v>[]</v>
          </cell>
          <cell r="AD361" t="str">
            <v>[]</v>
          </cell>
          <cell r="AE361" t="str">
            <v>babutianlong_attack02</v>
          </cell>
          <cell r="AF361" t="str">
            <v>babutianlong_attack_f</v>
          </cell>
          <cell r="AG361" t="str">
            <v>common_hit_fashu</v>
          </cell>
          <cell r="AH361" t="str">
            <v>[]</v>
          </cell>
          <cell r="AI361" t="str">
            <v>[]</v>
          </cell>
          <cell r="AJ361" t="str">
            <v>[]</v>
          </cell>
          <cell r="AK361" t="str">
            <v>[]</v>
          </cell>
          <cell r="AL361" t="str">
            <v>[]</v>
          </cell>
          <cell r="AM361" t="str">
            <v>[]</v>
          </cell>
          <cell r="AN361">
            <v>2</v>
          </cell>
          <cell r="AO361" t="str">
            <v>[]</v>
          </cell>
          <cell r="AP361">
            <v>121401</v>
          </cell>
          <cell r="AQ361" t="str">
            <v>121401</v>
          </cell>
          <cell r="AR361" t="str">
            <v>[]</v>
          </cell>
          <cell r="AS361" t="str">
            <v>[]</v>
          </cell>
          <cell r="AT361" t="str">
            <v>1193</v>
          </cell>
          <cell r="AU361" t="str">
            <v>6610</v>
          </cell>
          <cell r="AV361" t="str">
            <v>八部天龙远程法术</v>
          </cell>
          <cell r="AW361" t="str">
            <v>02</v>
          </cell>
          <cell r="AX361" t="str">
            <v>[]</v>
          </cell>
          <cell r="AY361">
            <v>1</v>
          </cell>
          <cell r="BA361" t="str">
            <v>[]</v>
          </cell>
          <cell r="BE361" t="str">
            <v>[]</v>
          </cell>
          <cell r="BF361"/>
        </row>
        <row r="362">
          <cell r="A362" t="str">
            <v>babutianlong_attack03</v>
          </cell>
          <cell r="B362" t="str">
            <v>八部天龙</v>
          </cell>
          <cell r="C362" t="str">
            <v>普攻</v>
          </cell>
          <cell r="D362">
            <v>1262</v>
          </cell>
          <cell r="E362">
            <v>0</v>
          </cell>
          <cell r="F362" t="str">
            <v>[]</v>
          </cell>
          <cell r="G362" t="str">
            <v>八部天龙远程法术</v>
          </cell>
          <cell r="H362" t="str">
            <v>[]</v>
          </cell>
          <cell r="I362" t="str">
            <v>[]</v>
          </cell>
          <cell r="J362">
            <v>0</v>
          </cell>
          <cell r="K362">
            <v>1</v>
          </cell>
          <cell r="L362" t="str">
            <v>[]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10</v>
          </cell>
          <cell r="R362" t="str">
            <v>2|1</v>
          </cell>
          <cell r="S362" t="str">
            <v>4|0.2</v>
          </cell>
          <cell r="T362">
            <v>1</v>
          </cell>
          <cell r="U362">
            <v>1</v>
          </cell>
          <cell r="V362">
            <v>0</v>
          </cell>
          <cell r="W362" t="str">
            <v>[]</v>
          </cell>
          <cell r="X362">
            <v>0</v>
          </cell>
          <cell r="Y362" t="str">
            <v>[]</v>
          </cell>
          <cell r="Z362" t="str">
            <v>0,1,0</v>
          </cell>
          <cell r="AA362">
            <v>0</v>
          </cell>
          <cell r="AB362" t="str">
            <v>[]</v>
          </cell>
          <cell r="AC362" t="str">
            <v>[]</v>
          </cell>
          <cell r="AD362" t="str">
            <v>[]</v>
          </cell>
          <cell r="AE362" t="str">
            <v>babutianlong_attack03</v>
          </cell>
          <cell r="AF362" t="str">
            <v>babutianlong_attack_f</v>
          </cell>
          <cell r="AG362" t="str">
            <v>common_hit_fashu</v>
          </cell>
          <cell r="AH362" t="str">
            <v>[]</v>
          </cell>
          <cell r="AI362" t="str">
            <v>[]</v>
          </cell>
          <cell r="AJ362" t="str">
            <v>[]</v>
          </cell>
          <cell r="AK362" t="str">
            <v>[]</v>
          </cell>
          <cell r="AL362" t="str">
            <v>baojiupT6N0.1</v>
          </cell>
          <cell r="AM362" t="str">
            <v>[]</v>
          </cell>
          <cell r="AN362">
            <v>2</v>
          </cell>
          <cell r="AO362" t="str">
            <v>[]</v>
          </cell>
          <cell r="AP362">
            <v>121402</v>
          </cell>
          <cell r="AQ362" t="str">
            <v>121402</v>
          </cell>
          <cell r="AR362" t="str">
            <v>[]</v>
          </cell>
          <cell r="AS362" t="str">
            <v>[]</v>
          </cell>
          <cell r="AT362" t="str">
            <v>1157</v>
          </cell>
          <cell r="AU362" t="str">
            <v>6610</v>
          </cell>
          <cell r="AV362" t="str">
            <v>八部天龙远程法术</v>
          </cell>
          <cell r="AW362" t="str">
            <v>03</v>
          </cell>
          <cell r="AX362">
            <v>1262</v>
          </cell>
          <cell r="AY362">
            <v>1</v>
          </cell>
          <cell r="BA362" t="str">
            <v>[]</v>
          </cell>
          <cell r="BE362" t="str">
            <v>[]</v>
          </cell>
          <cell r="BF362"/>
        </row>
        <row r="363">
          <cell r="A363" t="str">
            <v>babutianlong_skill01</v>
          </cell>
          <cell r="B363" t="str">
            <v>翻天覆海</v>
          </cell>
          <cell r="C363" t="str">
            <v>凝聚神龙之力，发动大范围水爆，对范围内敌人进行3次攻击，造成主角攻击力@s的物伤，每次有11%的概率沉默敌方2秒</v>
          </cell>
          <cell r="D363" t="str">
            <v>[]</v>
          </cell>
          <cell r="E363">
            <v>0</v>
          </cell>
          <cell r="F363" t="str">
            <v>[]</v>
          </cell>
          <cell r="G363" t="str">
            <v>八部天龙核心技能</v>
          </cell>
          <cell r="H363" t="str">
            <v>babutianlong_skill01</v>
          </cell>
          <cell r="I363" t="str">
            <v>babutianlong_skill01</v>
          </cell>
          <cell r="J363">
            <v>0</v>
          </cell>
          <cell r="K363">
            <v>10</v>
          </cell>
          <cell r="L363" t="str">
            <v>1|23</v>
          </cell>
          <cell r="M363">
            <v>2</v>
          </cell>
          <cell r="N363">
            <v>2</v>
          </cell>
          <cell r="O363">
            <v>2</v>
          </cell>
          <cell r="P363">
            <v>2</v>
          </cell>
          <cell r="Q363">
            <v>12</v>
          </cell>
          <cell r="R363" t="str">
            <v>2|1</v>
          </cell>
          <cell r="S363" t="str">
            <v>2|6</v>
          </cell>
          <cell r="T363">
            <v>10</v>
          </cell>
          <cell r="U363">
            <v>0</v>
          </cell>
          <cell r="V363">
            <v>0</v>
          </cell>
          <cell r="W363" t="str">
            <v>[]</v>
          </cell>
          <cell r="X363">
            <v>0</v>
          </cell>
          <cell r="Y363" t="str">
            <v>[]</v>
          </cell>
          <cell r="Z363" t="str">
            <v>0,1,0</v>
          </cell>
          <cell r="AA363">
            <v>0</v>
          </cell>
          <cell r="AB363" t="str">
            <v>12</v>
          </cell>
          <cell r="AC363" t="str">
            <v>[]</v>
          </cell>
          <cell r="AD363" t="str">
            <v>[]</v>
          </cell>
          <cell r="AE363" t="str">
            <v>[]</v>
          </cell>
          <cell r="AF363" t="str">
            <v>babutianlong_skill01</v>
          </cell>
          <cell r="AG363" t="str">
            <v>common_hit_fashu</v>
          </cell>
          <cell r="AH363" t="str">
            <v>[]</v>
          </cell>
          <cell r="AI363" t="str">
            <v>[]</v>
          </cell>
          <cell r="AJ363" t="str">
            <v>[]</v>
          </cell>
          <cell r="AK363" t="str">
            <v>chengmoT2NP0.1</v>
          </cell>
          <cell r="AL363" t="str">
            <v>[]</v>
          </cell>
          <cell r="AM363" t="str">
            <v>[]</v>
          </cell>
          <cell r="AN363">
            <v>2</v>
          </cell>
          <cell r="AO363" t="str">
            <v>0.5,0.7,1</v>
          </cell>
          <cell r="AP363">
            <v>121403</v>
          </cell>
          <cell r="AQ363" t="str">
            <v>121403</v>
          </cell>
          <cell r="AR363" t="str">
            <v>[]</v>
          </cell>
          <cell r="AS363" t="str">
            <v>[]</v>
          </cell>
          <cell r="AT363" t="str">
            <v>1162</v>
          </cell>
          <cell r="AU363" t="str">
            <v>6620</v>
          </cell>
          <cell r="AV363" t="str">
            <v>八部天龙</v>
          </cell>
          <cell r="AW363" t="str">
            <v>01</v>
          </cell>
          <cell r="AX363" t="str">
            <v>[]</v>
          </cell>
          <cell r="AY363">
            <v>3</v>
          </cell>
          <cell r="AZ363">
            <v>0.3</v>
          </cell>
          <cell r="BA363">
            <v>0.112</v>
          </cell>
          <cell r="BB363" t="str">
            <v>沉默</v>
          </cell>
          <cell r="BE363">
            <v>0.112</v>
          </cell>
          <cell r="BF363" t="str">
            <v>10</v>
          </cell>
        </row>
        <row r="364">
          <cell r="A364" t="str">
            <v>babutianlong_skill02</v>
          </cell>
          <cell r="B364" t="str">
            <v>苍龙有悔</v>
          </cell>
          <cell r="C364" t="str">
            <v>凝聚自身灵能并发射，对范围内敌人造成自身攻击力@s的物伤，嘲讽目标同时提升自身10%的防御，持续2秒[嘲讽强制敌人使用普攻攻击自己,同时提升自身大量仇恨值]</v>
          </cell>
          <cell r="D364" t="str">
            <v>[]</v>
          </cell>
          <cell r="E364">
            <v>2</v>
          </cell>
          <cell r="F364" t="str">
            <v>boss_warning_juxing</v>
          </cell>
          <cell r="G364" t="str">
            <v>八部天龙技能2</v>
          </cell>
          <cell r="H364" t="str">
            <v>babutianlong_skill02</v>
          </cell>
          <cell r="I364" t="str">
            <v>[]</v>
          </cell>
          <cell r="J364">
            <v>1</v>
          </cell>
          <cell r="K364">
            <v>10</v>
          </cell>
          <cell r="L364" t="str">
            <v>[]</v>
          </cell>
          <cell r="M364">
            <v>2</v>
          </cell>
          <cell r="N364">
            <v>2</v>
          </cell>
          <cell r="O364">
            <v>1</v>
          </cell>
          <cell r="P364">
            <v>2</v>
          </cell>
          <cell r="Q364">
            <v>4</v>
          </cell>
          <cell r="R364" t="str">
            <v>2|1</v>
          </cell>
          <cell r="S364" t="str">
            <v>1|12|6</v>
          </cell>
          <cell r="T364">
            <v>10</v>
          </cell>
          <cell r="U364">
            <v>1</v>
          </cell>
          <cell r="V364">
            <v>0</v>
          </cell>
          <cell r="W364" t="str">
            <v>[]</v>
          </cell>
          <cell r="X364">
            <v>3</v>
          </cell>
          <cell r="Y364" t="str">
            <v>[]</v>
          </cell>
          <cell r="Z364" t="str">
            <v>0,2.8,0</v>
          </cell>
          <cell r="AA364">
            <v>0</v>
          </cell>
          <cell r="AB364" t="str">
            <v>12</v>
          </cell>
          <cell r="AC364" t="str">
            <v>[]</v>
          </cell>
          <cell r="AD364" t="str">
            <v>[]</v>
          </cell>
          <cell r="AE364" t="str">
            <v>[]</v>
          </cell>
          <cell r="AF364" t="str">
            <v>babutianlong_skill02</v>
          </cell>
          <cell r="AG364" t="str">
            <v>common_hit_fashu</v>
          </cell>
          <cell r="AH364" t="str">
            <v>[]</v>
          </cell>
          <cell r="AI364" t="str">
            <v>[]</v>
          </cell>
          <cell r="AJ364" t="str">
            <v>[]</v>
          </cell>
          <cell r="AK364" t="str">
            <v>[]</v>
          </cell>
          <cell r="AL364" t="str">
            <v>[]</v>
          </cell>
          <cell r="AM364" t="str">
            <v>jiashangupT3N0.1</v>
          </cell>
          <cell r="AN364">
            <v>2</v>
          </cell>
          <cell r="AO364">
            <v>2.1</v>
          </cell>
          <cell r="AP364">
            <v>121404</v>
          </cell>
          <cell r="AQ364" t="str">
            <v>121404,9010</v>
          </cell>
          <cell r="AR364" t="str">
            <v>[]</v>
          </cell>
          <cell r="AS364" t="str">
            <v>[]</v>
          </cell>
          <cell r="AT364" t="str">
            <v>1185</v>
          </cell>
          <cell r="AU364" t="str">
            <v>6630</v>
          </cell>
          <cell r="AV364" t="str">
            <v>八部天龙</v>
          </cell>
          <cell r="AW364" t="str">
            <v>02</v>
          </cell>
          <cell r="AX364" t="str">
            <v>[]</v>
          </cell>
          <cell r="AY364">
            <v>1</v>
          </cell>
          <cell r="BA364" t="str">
            <v>[]</v>
          </cell>
          <cell r="BE364" t="str">
            <v>[]</v>
          </cell>
          <cell r="BF364"/>
        </row>
        <row r="365">
          <cell r="A365" t="str">
            <v>babutianlong_skill03</v>
          </cell>
          <cell r="B365" t="str">
            <v>神龙摆尾</v>
          </cell>
          <cell r="C365" t="str">
            <v>进入战斗全体增加10%的防御</v>
          </cell>
          <cell r="D365">
            <v>1262</v>
          </cell>
          <cell r="E365">
            <v>0</v>
          </cell>
          <cell r="F365" t="str">
            <v>[]</v>
          </cell>
          <cell r="G365" t="str">
            <v>八部天龙被动技能</v>
          </cell>
          <cell r="H365" t="str">
            <v>fafang</v>
          </cell>
          <cell r="I365" t="str">
            <v>[]</v>
          </cell>
          <cell r="J365">
            <v>2</v>
          </cell>
          <cell r="K365">
            <v>10</v>
          </cell>
          <cell r="L365" t="str">
            <v>[]</v>
          </cell>
          <cell r="M365">
            <v>2</v>
          </cell>
          <cell r="N365">
            <v>2</v>
          </cell>
          <cell r="O365">
            <v>3</v>
          </cell>
          <cell r="P365">
            <v>0</v>
          </cell>
          <cell r="Q365">
            <v>12</v>
          </cell>
          <cell r="R365">
            <v>2</v>
          </cell>
          <cell r="S365" t="str">
            <v>4|0.2</v>
          </cell>
          <cell r="T365">
            <v>10</v>
          </cell>
          <cell r="U365">
            <v>0</v>
          </cell>
          <cell r="V365">
            <v>0</v>
          </cell>
          <cell r="W365" t="str">
            <v>[]</v>
          </cell>
          <cell r="X365">
            <v>0</v>
          </cell>
          <cell r="Y365" t="str">
            <v>[]</v>
          </cell>
          <cell r="Z365" t="str">
            <v>0,0,0</v>
          </cell>
          <cell r="AA365">
            <v>0</v>
          </cell>
          <cell r="AB365" t="str">
            <v>[]</v>
          </cell>
          <cell r="AC365" t="str">
            <v>[]</v>
          </cell>
          <cell r="AD365" t="str">
            <v>[]</v>
          </cell>
          <cell r="AE365" t="str">
            <v>[]</v>
          </cell>
          <cell r="AF365" t="str">
            <v>[]</v>
          </cell>
          <cell r="AG365" t="str">
            <v>[]</v>
          </cell>
          <cell r="AH365" t="str">
            <v>[]</v>
          </cell>
          <cell r="AI365" t="str">
            <v>[]</v>
          </cell>
          <cell r="AJ365" t="str">
            <v>jianshang10_higheff</v>
          </cell>
          <cell r="AK365" t="str">
            <v>[]</v>
          </cell>
          <cell r="AL365" t="str">
            <v>[]</v>
          </cell>
          <cell r="AM365" t="str">
            <v>[]</v>
          </cell>
          <cell r="AN365">
            <v>0</v>
          </cell>
          <cell r="AO365" t="str">
            <v>[]</v>
          </cell>
          <cell r="AP365" t="str">
            <v>[]</v>
          </cell>
          <cell r="AQ365" t="str">
            <v>9020</v>
          </cell>
          <cell r="AR365" t="str">
            <v>[]</v>
          </cell>
          <cell r="AS365" t="str">
            <v>[]</v>
          </cell>
          <cell r="AT365" t="str">
            <v>1192</v>
          </cell>
          <cell r="AU365" t="str">
            <v>6640</v>
          </cell>
          <cell r="AV365" t="str">
            <v>八部天龙</v>
          </cell>
          <cell r="AW365" t="str">
            <v>03</v>
          </cell>
          <cell r="AX365">
            <v>1262</v>
          </cell>
          <cell r="AY365">
            <v>1</v>
          </cell>
          <cell r="BA365" t="str">
            <v>[]</v>
          </cell>
          <cell r="BE365" t="str">
            <v>[]</v>
          </cell>
          <cell r="BF365"/>
        </row>
        <row r="366">
          <cell r="A366" t="str">
            <v>babutianlong_skill04</v>
          </cell>
          <cell r="B366" t="str">
            <v>怒波狂涛</v>
          </cell>
          <cell r="C366" t="str">
            <v>怒吼并引爆自身灵能，对范围内敌人造成自身攻击力@s的物伤，有20%的概率冰冻目标两秒</v>
          </cell>
          <cell r="D366">
            <v>1264</v>
          </cell>
          <cell r="E366">
            <v>1</v>
          </cell>
          <cell r="F366" t="str">
            <v>boss_warning_yuanxing</v>
          </cell>
          <cell r="G366" t="str">
            <v>八部天龙技能4</v>
          </cell>
          <cell r="H366" t="str">
            <v>babutianlong_skill04</v>
          </cell>
          <cell r="I366" t="str">
            <v>[]</v>
          </cell>
          <cell r="J366">
            <v>3</v>
          </cell>
          <cell r="K366">
            <v>10</v>
          </cell>
          <cell r="L366" t="str">
            <v>[]</v>
          </cell>
          <cell r="M366">
            <v>2</v>
          </cell>
          <cell r="N366">
            <v>2</v>
          </cell>
          <cell r="O366">
            <v>1</v>
          </cell>
          <cell r="P366">
            <v>2</v>
          </cell>
          <cell r="Q366">
            <v>4</v>
          </cell>
          <cell r="R366" t="str">
            <v>2|1</v>
          </cell>
          <cell r="S366" t="str">
            <v>2|6</v>
          </cell>
          <cell r="T366">
            <v>10</v>
          </cell>
          <cell r="U366">
            <v>0</v>
          </cell>
          <cell r="V366">
            <v>0</v>
          </cell>
          <cell r="W366" t="str">
            <v>[]</v>
          </cell>
          <cell r="X366">
            <v>3</v>
          </cell>
          <cell r="Y366" t="str">
            <v>[]</v>
          </cell>
          <cell r="Z366" t="str">
            <v>0,2.8,0</v>
          </cell>
          <cell r="AA366">
            <v>0</v>
          </cell>
          <cell r="AB366">
            <v>6</v>
          </cell>
          <cell r="AC366" t="str">
            <v>[]</v>
          </cell>
          <cell r="AD366" t="str">
            <v>[]</v>
          </cell>
          <cell r="AE366" t="str">
            <v>[]</v>
          </cell>
          <cell r="AF366" t="str">
            <v>babutianlong_skill04</v>
          </cell>
          <cell r="AG366" t="str">
            <v>common_hit_fashu</v>
          </cell>
          <cell r="AH366" t="str">
            <v>[]</v>
          </cell>
          <cell r="AI366" t="str">
            <v>[]</v>
          </cell>
          <cell r="AJ366" t="str">
            <v>[]</v>
          </cell>
          <cell r="AK366" t="str">
            <v>bingdongT1NP0.2</v>
          </cell>
          <cell r="AL366" t="str">
            <v>[]</v>
          </cell>
          <cell r="AM366" t="str">
            <v>[]</v>
          </cell>
          <cell r="AN366">
            <v>2</v>
          </cell>
          <cell r="AO366">
            <v>1.4</v>
          </cell>
          <cell r="AP366">
            <v>121406</v>
          </cell>
          <cell r="AQ366" t="str">
            <v>121406,9010</v>
          </cell>
          <cell r="AR366" t="str">
            <v>[]</v>
          </cell>
          <cell r="AS366" t="str">
            <v>[]</v>
          </cell>
          <cell r="AT366" t="str">
            <v>115</v>
          </cell>
          <cell r="AU366" t="str">
            <v>6650</v>
          </cell>
          <cell r="AV366" t="str">
            <v>八部天龙</v>
          </cell>
          <cell r="AW366" t="str">
            <v>04</v>
          </cell>
          <cell r="AX366">
            <v>1264</v>
          </cell>
          <cell r="AY366">
            <v>1</v>
          </cell>
          <cell r="BA366" t="str">
            <v>[]</v>
          </cell>
          <cell r="BE366" t="str">
            <v>[]</v>
          </cell>
          <cell r="BF366"/>
        </row>
        <row r="367">
          <cell r="A367" t="str">
            <v>babutianlong_skill011</v>
          </cell>
          <cell r="B367" t="str">
            <v>奥义·翻天覆海</v>
          </cell>
          <cell r="C367" t="str">
            <v>凝聚神龙之力，发动大范围水爆，对范围内敌人进行3次攻击，造成主角攻击力@s的物伤，每次有11%的概率沉默敌方2秒</v>
          </cell>
          <cell r="D367">
            <v>1266</v>
          </cell>
          <cell r="E367">
            <v>0</v>
          </cell>
          <cell r="F367" t="str">
            <v>[]</v>
          </cell>
          <cell r="G367" t="str">
            <v>八部天龙核心技能</v>
          </cell>
          <cell r="H367" t="str">
            <v>babutianlong_skill01</v>
          </cell>
          <cell r="I367" t="str">
            <v>babutianlong_skill01</v>
          </cell>
          <cell r="J367">
            <v>0</v>
          </cell>
          <cell r="K367">
            <v>10</v>
          </cell>
          <cell r="L367" t="str">
            <v>1|23</v>
          </cell>
          <cell r="M367">
            <v>2</v>
          </cell>
          <cell r="N367">
            <v>2</v>
          </cell>
          <cell r="O367">
            <v>2</v>
          </cell>
          <cell r="P367">
            <v>2</v>
          </cell>
          <cell r="Q367">
            <v>12</v>
          </cell>
          <cell r="R367" t="str">
            <v>2|1</v>
          </cell>
          <cell r="S367" t="str">
            <v>2|6</v>
          </cell>
          <cell r="T367">
            <v>10</v>
          </cell>
          <cell r="U367">
            <v>0</v>
          </cell>
          <cell r="V367">
            <v>0</v>
          </cell>
          <cell r="W367" t="str">
            <v>[]</v>
          </cell>
          <cell r="X367">
            <v>0</v>
          </cell>
          <cell r="Y367" t="str">
            <v>[]</v>
          </cell>
          <cell r="Z367" t="str">
            <v>0,1,0</v>
          </cell>
          <cell r="AA367">
            <v>0</v>
          </cell>
          <cell r="AB367" t="str">
            <v>12</v>
          </cell>
          <cell r="AC367" t="str">
            <v>[]</v>
          </cell>
          <cell r="AD367" t="str">
            <v>[]</v>
          </cell>
          <cell r="AE367" t="str">
            <v>[]</v>
          </cell>
          <cell r="AF367" t="str">
            <v>babutianlong_skill01</v>
          </cell>
          <cell r="AG367" t="str">
            <v>common_hit_fashu</v>
          </cell>
          <cell r="AH367" t="str">
            <v>[]</v>
          </cell>
          <cell r="AI367" t="str">
            <v>[]</v>
          </cell>
          <cell r="AJ367" t="str">
            <v>[]</v>
          </cell>
          <cell r="AK367" t="str">
            <v>chengmoT2NP0.1</v>
          </cell>
          <cell r="AL367" t="str">
            <v>[]</v>
          </cell>
          <cell r="AM367" t="str">
            <v>[]</v>
          </cell>
          <cell r="AN367">
            <v>2</v>
          </cell>
          <cell r="AO367" t="str">
            <v>0.5,0.7,1</v>
          </cell>
          <cell r="AP367">
            <v>121407</v>
          </cell>
          <cell r="AQ367" t="str">
            <v>121407</v>
          </cell>
          <cell r="AR367" t="str">
            <v>[]</v>
          </cell>
          <cell r="AS367" t="str">
            <v>[]</v>
          </cell>
          <cell r="AT367" t="str">
            <v>1180</v>
          </cell>
          <cell r="AU367" t="str">
            <v>6620</v>
          </cell>
          <cell r="AV367" t="str">
            <v>八部天龙</v>
          </cell>
          <cell r="AW367" t="str">
            <v>11</v>
          </cell>
          <cell r="AX367">
            <v>1266</v>
          </cell>
          <cell r="AY367">
            <v>3</v>
          </cell>
          <cell r="AZ367">
            <v>0.3</v>
          </cell>
          <cell r="BA367">
            <v>0.112</v>
          </cell>
          <cell r="BB367" t="str">
            <v>沉默</v>
          </cell>
          <cell r="BE367">
            <v>0.112</v>
          </cell>
          <cell r="BF367" t="str">
            <v>10</v>
          </cell>
        </row>
        <row r="368">
          <cell r="A368" t="str">
            <v>babutianlong_skill021</v>
          </cell>
          <cell r="B368" t="str">
            <v>奥义·苍龙有悔</v>
          </cell>
          <cell r="C368" t="str">
            <v>凝聚自身灵能并发射，对范围内敌人造成自身攻击力@s的物伤，嘲讽目标提升自身20%的防御，持续2秒[嘲讽强制敌人使用普攻攻击自己,同时提升自身大量仇恨值]</v>
          </cell>
          <cell r="D368">
            <v>1268</v>
          </cell>
          <cell r="E368">
            <v>2</v>
          </cell>
          <cell r="F368" t="str">
            <v>boss_warning_juxing</v>
          </cell>
          <cell r="G368" t="str">
            <v>八部天龙技能2</v>
          </cell>
          <cell r="H368" t="str">
            <v>babutianlong_skill02</v>
          </cell>
          <cell r="I368" t="str">
            <v>[]</v>
          </cell>
          <cell r="J368">
            <v>1</v>
          </cell>
          <cell r="K368">
            <v>10</v>
          </cell>
          <cell r="L368" t="str">
            <v>[]</v>
          </cell>
          <cell r="M368">
            <v>2</v>
          </cell>
          <cell r="N368">
            <v>2</v>
          </cell>
          <cell r="O368">
            <v>1</v>
          </cell>
          <cell r="P368">
            <v>2</v>
          </cell>
          <cell r="Q368">
            <v>4</v>
          </cell>
          <cell r="R368" t="str">
            <v>2|1</v>
          </cell>
          <cell r="S368" t="str">
            <v>1|12|6</v>
          </cell>
          <cell r="T368">
            <v>10</v>
          </cell>
          <cell r="U368">
            <v>1</v>
          </cell>
          <cell r="V368">
            <v>0</v>
          </cell>
          <cell r="W368" t="str">
            <v>[]</v>
          </cell>
          <cell r="X368">
            <v>3</v>
          </cell>
          <cell r="Y368" t="str">
            <v>[]</v>
          </cell>
          <cell r="Z368" t="str">
            <v>0,2.8,0</v>
          </cell>
          <cell r="AA368">
            <v>0</v>
          </cell>
          <cell r="AB368" t="str">
            <v>12</v>
          </cell>
          <cell r="AC368" t="str">
            <v>[]</v>
          </cell>
          <cell r="AD368" t="str">
            <v>[]</v>
          </cell>
          <cell r="AE368" t="str">
            <v>[]</v>
          </cell>
          <cell r="AF368" t="str">
            <v>babutianlong_skill02</v>
          </cell>
          <cell r="AG368" t="str">
            <v>common_hit_fashu</v>
          </cell>
          <cell r="AH368" t="str">
            <v>[]</v>
          </cell>
          <cell r="AI368" t="str">
            <v>[]</v>
          </cell>
          <cell r="AJ368" t="str">
            <v>[]</v>
          </cell>
          <cell r="AK368" t="str">
            <v>[]</v>
          </cell>
          <cell r="AL368" t="str">
            <v>[]</v>
          </cell>
          <cell r="AM368" t="str">
            <v>jiashangupT3N0.15</v>
          </cell>
          <cell r="AN368">
            <v>2</v>
          </cell>
          <cell r="AO368">
            <v>2.1</v>
          </cell>
          <cell r="AP368">
            <v>121408</v>
          </cell>
          <cell r="AQ368" t="str">
            <v>121408,9015</v>
          </cell>
          <cell r="AR368" t="str">
            <v>[]</v>
          </cell>
          <cell r="AS368" t="str">
            <v>[]</v>
          </cell>
          <cell r="AT368" t="str">
            <v>1507</v>
          </cell>
          <cell r="AU368" t="str">
            <v>6630</v>
          </cell>
          <cell r="AV368" t="str">
            <v>八部天龙</v>
          </cell>
          <cell r="AW368" t="str">
            <v>21</v>
          </cell>
          <cell r="AX368">
            <v>1268</v>
          </cell>
          <cell r="AY368">
            <v>1</v>
          </cell>
          <cell r="BA368" t="str">
            <v>[]</v>
          </cell>
          <cell r="BE368" t="str">
            <v>[]</v>
          </cell>
          <cell r="BF368"/>
        </row>
        <row r="369">
          <cell r="A369" t="str">
            <v>babutianlong_skill041</v>
          </cell>
          <cell r="B369" t="str">
            <v>奥义·怒波狂涛</v>
          </cell>
          <cell r="C369" t="str">
            <v>怒吼并引爆自身灵能，对范围内敌人造成自身攻击力@s的物伤，有40%的概率冰冻目标两秒</v>
          </cell>
          <cell r="D369">
            <v>1270</v>
          </cell>
          <cell r="E369">
            <v>1</v>
          </cell>
          <cell r="F369" t="str">
            <v>boss_warning_yuanxing</v>
          </cell>
          <cell r="G369" t="str">
            <v>八部天龙技能4</v>
          </cell>
          <cell r="H369" t="str">
            <v>babutianlong_skill04</v>
          </cell>
          <cell r="I369" t="str">
            <v>[]</v>
          </cell>
          <cell r="J369">
            <v>3</v>
          </cell>
          <cell r="K369">
            <v>10</v>
          </cell>
          <cell r="L369" t="str">
            <v>[]</v>
          </cell>
          <cell r="M369">
            <v>2</v>
          </cell>
          <cell r="N369">
            <v>2</v>
          </cell>
          <cell r="O369">
            <v>1</v>
          </cell>
          <cell r="P369">
            <v>2</v>
          </cell>
          <cell r="Q369">
            <v>4</v>
          </cell>
          <cell r="R369" t="str">
            <v>2|1</v>
          </cell>
          <cell r="S369" t="str">
            <v>2|6</v>
          </cell>
          <cell r="T369">
            <v>10</v>
          </cell>
          <cell r="U369">
            <v>0</v>
          </cell>
          <cell r="V369">
            <v>0</v>
          </cell>
          <cell r="W369" t="str">
            <v>[]</v>
          </cell>
          <cell r="X369">
            <v>3</v>
          </cell>
          <cell r="Y369" t="str">
            <v>[]</v>
          </cell>
          <cell r="Z369" t="str">
            <v>0,2.8,0</v>
          </cell>
          <cell r="AA369">
            <v>0</v>
          </cell>
          <cell r="AB369">
            <v>6</v>
          </cell>
          <cell r="AC369" t="str">
            <v>[]</v>
          </cell>
          <cell r="AD369" t="str">
            <v>[]</v>
          </cell>
          <cell r="AE369" t="str">
            <v>[]</v>
          </cell>
          <cell r="AF369" t="str">
            <v>babutianlong_skill04</v>
          </cell>
          <cell r="AG369" t="str">
            <v>common_hit_fashu</v>
          </cell>
          <cell r="AH369" t="str">
            <v>[]</v>
          </cell>
          <cell r="AI369" t="str">
            <v>[]</v>
          </cell>
          <cell r="AJ369" t="str">
            <v>[]</v>
          </cell>
          <cell r="AK369" t="str">
            <v>bingdongT1NP0.4</v>
          </cell>
          <cell r="AL369" t="str">
            <v>[]</v>
          </cell>
          <cell r="AM369" t="str">
            <v>[]</v>
          </cell>
          <cell r="AN369">
            <v>2</v>
          </cell>
          <cell r="AO369">
            <v>1.4</v>
          </cell>
          <cell r="AP369">
            <v>121409</v>
          </cell>
          <cell r="AQ369" t="str">
            <v>121409,9015</v>
          </cell>
          <cell r="AR369" t="str">
            <v>[]</v>
          </cell>
          <cell r="AS369" t="str">
            <v>[]</v>
          </cell>
          <cell r="AT369" t="str">
            <v>115</v>
          </cell>
          <cell r="AU369" t="str">
            <v>6650</v>
          </cell>
          <cell r="AV369" t="str">
            <v>八部天龙</v>
          </cell>
          <cell r="AW369" t="str">
            <v>41</v>
          </cell>
          <cell r="AX369">
            <v>1270</v>
          </cell>
          <cell r="AY369">
            <v>1</v>
          </cell>
          <cell r="BA369" t="str">
            <v>[]</v>
          </cell>
          <cell r="BE369" t="str">
            <v>[]</v>
          </cell>
          <cell r="BF369"/>
        </row>
        <row r="370">
          <cell r="A370" t="str">
            <v>guanshiyin_attack</v>
          </cell>
          <cell r="B370" t="str">
            <v>普攻</v>
          </cell>
          <cell r="C370" t="str">
            <v>普攻</v>
          </cell>
          <cell r="D370" t="str">
            <v>[]</v>
          </cell>
          <cell r="E370">
            <v>0</v>
          </cell>
          <cell r="F370" t="str">
            <v>[]</v>
          </cell>
          <cell r="G370" t="str">
            <v>观世音普攻</v>
          </cell>
          <cell r="H370" t="str">
            <v>[]</v>
          </cell>
          <cell r="I370" t="str">
            <v>[]</v>
          </cell>
          <cell r="J370">
            <v>0</v>
          </cell>
          <cell r="K370">
            <v>1</v>
          </cell>
          <cell r="L370" t="str">
            <v>[]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12</v>
          </cell>
          <cell r="R370" t="str">
            <v>2|1</v>
          </cell>
          <cell r="S370" t="str">
            <v>4|0.2</v>
          </cell>
          <cell r="T370">
            <v>1</v>
          </cell>
          <cell r="U370">
            <v>1</v>
          </cell>
          <cell r="V370">
            <v>0</v>
          </cell>
          <cell r="W370" t="str">
            <v>[]</v>
          </cell>
          <cell r="X370">
            <v>0</v>
          </cell>
          <cell r="Y370" t="str">
            <v>[]</v>
          </cell>
          <cell r="Z370" t="str">
            <v>0,1,0</v>
          </cell>
          <cell r="AA370">
            <v>0</v>
          </cell>
          <cell r="AB370">
            <v>0</v>
          </cell>
          <cell r="AC370" t="str">
            <v>[]</v>
          </cell>
          <cell r="AD370" t="str">
            <v>[]</v>
          </cell>
          <cell r="AE370" t="str">
            <v>[]</v>
          </cell>
          <cell r="AF370" t="str">
            <v>guanshiyin_attack</v>
          </cell>
          <cell r="AG370" t="str">
            <v>common_hit_fashu</v>
          </cell>
          <cell r="AH370" t="str">
            <v>[]</v>
          </cell>
          <cell r="AI370" t="str">
            <v>[]</v>
          </cell>
          <cell r="AJ370" t="str">
            <v>[]</v>
          </cell>
          <cell r="AK370" t="str">
            <v>[]</v>
          </cell>
          <cell r="AL370" t="str">
            <v>[]</v>
          </cell>
          <cell r="AM370" t="str">
            <v>[]</v>
          </cell>
          <cell r="AN370">
            <v>2</v>
          </cell>
          <cell r="AO370">
            <v>-2</v>
          </cell>
          <cell r="AP370">
            <v>121500</v>
          </cell>
          <cell r="AQ370" t="str">
            <v>121500</v>
          </cell>
          <cell r="AR370" t="str">
            <v>[]</v>
          </cell>
          <cell r="AS370" t="str">
            <v>[]</v>
          </cell>
          <cell r="AT370" t="str">
            <v>115</v>
          </cell>
          <cell r="AU370" t="str">
            <v>6710</v>
          </cell>
          <cell r="AV370" t="str">
            <v>观世音普攻</v>
          </cell>
          <cell r="AW370" t="str">
            <v>ck</v>
          </cell>
          <cell r="AX370" t="str">
            <v>[]</v>
          </cell>
          <cell r="AY370">
            <v>1</v>
          </cell>
          <cell r="BA370" t="str">
            <v>[]</v>
          </cell>
          <cell r="BE370" t="str">
            <v>[]</v>
          </cell>
          <cell r="BF370"/>
        </row>
        <row r="371">
          <cell r="A371" t="str">
            <v>guanshiyin_skill01</v>
          </cell>
          <cell r="B371" t="str">
            <v>八门无双</v>
          </cell>
          <cell r="C371" t="str">
            <v>将八门护法之力赋予友军，每0.5秒恢复主角攻击力@s的生命值，持续3秒</v>
          </cell>
          <cell r="D371" t="str">
            <v>[]</v>
          </cell>
          <cell r="E371">
            <v>0</v>
          </cell>
          <cell r="F371" t="str">
            <v>[]</v>
          </cell>
          <cell r="G371" t="str">
            <v>观世音核心技能</v>
          </cell>
          <cell r="H371" t="str">
            <v>guanshiyin_skill01</v>
          </cell>
          <cell r="I371" t="str">
            <v>guanshiyin_skill01</v>
          </cell>
          <cell r="J371">
            <v>0</v>
          </cell>
          <cell r="K371">
            <v>1</v>
          </cell>
          <cell r="L371" t="str">
            <v>1|11</v>
          </cell>
          <cell r="M371">
            <v>2</v>
          </cell>
          <cell r="N371">
            <v>2</v>
          </cell>
          <cell r="O371">
            <v>2</v>
          </cell>
          <cell r="P371">
            <v>5</v>
          </cell>
          <cell r="Q371">
            <v>12</v>
          </cell>
          <cell r="R371">
            <v>3</v>
          </cell>
          <cell r="S371" t="str">
            <v>2|20</v>
          </cell>
          <cell r="T371">
            <v>10</v>
          </cell>
          <cell r="U371">
            <v>1</v>
          </cell>
          <cell r="V371">
            <v>0</v>
          </cell>
          <cell r="W371" t="str">
            <v>[]</v>
          </cell>
          <cell r="X371">
            <v>0</v>
          </cell>
          <cell r="Y371" t="str">
            <v>[]</v>
          </cell>
          <cell r="Z371" t="str">
            <v>0,1,0</v>
          </cell>
          <cell r="AA371">
            <v>0</v>
          </cell>
          <cell r="AB371" t="str">
            <v>12</v>
          </cell>
          <cell r="AC371" t="str">
            <v>[]</v>
          </cell>
          <cell r="AD371" t="str">
            <v>[]</v>
          </cell>
          <cell r="AE371" t="str">
            <v>[]</v>
          </cell>
          <cell r="AF371" t="str">
            <v>guanshiyin_skill01_blank</v>
          </cell>
          <cell r="AG371" t="str">
            <v>guanshiyin_skill01</v>
          </cell>
          <cell r="AH371" t="str">
            <v>[]</v>
          </cell>
          <cell r="AI371" t="str">
            <v>[]</v>
          </cell>
          <cell r="AJ371" t="str">
            <v>[]</v>
          </cell>
          <cell r="AK371" t="str">
            <v>[]</v>
          </cell>
          <cell r="AL371" t="str">
            <v>[]</v>
          </cell>
          <cell r="AM371" t="str">
            <v>huifuT3N0.4</v>
          </cell>
          <cell r="AN371">
            <v>2</v>
          </cell>
          <cell r="AO371">
            <v>0.5</v>
          </cell>
          <cell r="AP371" t="str">
            <v>[]</v>
          </cell>
          <cell r="AQ371" t="str">
            <v>9040</v>
          </cell>
          <cell r="AR371" t="str">
            <v>[]</v>
          </cell>
          <cell r="AS371" t="str">
            <v>[]</v>
          </cell>
          <cell r="AT371" t="str">
            <v>1152</v>
          </cell>
          <cell r="AU371" t="str">
            <v>6720</v>
          </cell>
          <cell r="AV371" t="str">
            <v>观世音</v>
          </cell>
          <cell r="AW371" t="str">
            <v>01</v>
          </cell>
          <cell r="AX371" t="str">
            <v>[]</v>
          </cell>
          <cell r="AY371">
            <v>1</v>
          </cell>
          <cell r="BA371" t="str">
            <v>[]</v>
          </cell>
          <cell r="BE371" t="str">
            <v>[]</v>
          </cell>
          <cell r="BF371"/>
        </row>
        <row r="372">
          <cell r="A372" t="str">
            <v>guanshiyin_skill02</v>
          </cell>
          <cell r="B372" t="str">
            <v>众生平等</v>
          </cell>
          <cell r="C372" t="str">
            <v>治疗生命值百分比最低的友军，恢复自身攻击力@s的生命值，并清除一个不利状态</v>
          </cell>
          <cell r="D372" t="str">
            <v>[]</v>
          </cell>
          <cell r="E372">
            <v>0</v>
          </cell>
          <cell r="F372" t="str">
            <v>[]</v>
          </cell>
          <cell r="G372" t="str">
            <v>观世音技能2</v>
          </cell>
          <cell r="H372" t="str">
            <v>guanshiyin_skill02</v>
          </cell>
          <cell r="I372" t="str">
            <v>[]</v>
          </cell>
          <cell r="J372">
            <v>1</v>
          </cell>
          <cell r="K372">
            <v>1</v>
          </cell>
          <cell r="L372" t="str">
            <v>[]</v>
          </cell>
          <cell r="M372">
            <v>2</v>
          </cell>
          <cell r="N372">
            <v>2</v>
          </cell>
          <cell r="O372">
            <v>2</v>
          </cell>
          <cell r="P372">
            <v>5</v>
          </cell>
          <cell r="Q372">
            <v>12</v>
          </cell>
          <cell r="R372">
            <v>3</v>
          </cell>
          <cell r="S372">
            <v>7</v>
          </cell>
          <cell r="T372">
            <v>1</v>
          </cell>
          <cell r="U372">
            <v>1</v>
          </cell>
          <cell r="V372">
            <v>0</v>
          </cell>
          <cell r="W372" t="str">
            <v>[]</v>
          </cell>
          <cell r="X372">
            <v>3</v>
          </cell>
          <cell r="Y372" t="str">
            <v>[]</v>
          </cell>
          <cell r="Z372" t="str">
            <v>0,2.046,0.621</v>
          </cell>
          <cell r="AA372">
            <v>0</v>
          </cell>
          <cell r="AB372">
            <v>12</v>
          </cell>
          <cell r="AC372" t="str">
            <v>[]</v>
          </cell>
          <cell r="AD372" t="str">
            <v>[]</v>
          </cell>
          <cell r="AE372" t="str">
            <v>[]</v>
          </cell>
          <cell r="AF372" t="str">
            <v>guanshiyin_skill02</v>
          </cell>
          <cell r="AG372" t="str">
            <v>guanshiyin_skill02_buff</v>
          </cell>
          <cell r="AH372" t="str">
            <v>[]</v>
          </cell>
          <cell r="AI372" t="str">
            <v>[]</v>
          </cell>
          <cell r="AJ372" t="str">
            <v>[]</v>
          </cell>
          <cell r="AK372" t="str">
            <v>jinghuaTN1P1</v>
          </cell>
          <cell r="AL372" t="str">
            <v>[]</v>
          </cell>
          <cell r="AM372" t="str">
            <v>[]</v>
          </cell>
          <cell r="AN372">
            <v>1</v>
          </cell>
          <cell r="AO372">
            <v>2.1</v>
          </cell>
          <cell r="AP372">
            <v>121502</v>
          </cell>
          <cell r="AQ372" t="str">
            <v>121502</v>
          </cell>
          <cell r="AR372" t="str">
            <v>[]</v>
          </cell>
          <cell r="AS372" t="str">
            <v>[]</v>
          </cell>
          <cell r="AT372" t="str">
            <v>115</v>
          </cell>
          <cell r="AU372" t="str">
            <v>6730</v>
          </cell>
          <cell r="AV372" t="str">
            <v>观世音</v>
          </cell>
          <cell r="AW372" t="str">
            <v>02</v>
          </cell>
          <cell r="AX372" t="str">
            <v>[]</v>
          </cell>
          <cell r="AY372">
            <v>1</v>
          </cell>
          <cell r="BA372" t="str">
            <v>[]</v>
          </cell>
          <cell r="BE372" t="str">
            <v>[]</v>
          </cell>
          <cell r="BF372"/>
        </row>
        <row r="373">
          <cell r="A373" t="str">
            <v>guanshiyin_skill03</v>
          </cell>
          <cell r="B373" t="str">
            <v>天道庇护</v>
          </cell>
          <cell r="C373" t="str">
            <v>进入战斗场景时，降低全体友军受到的伤害@s</v>
          </cell>
          <cell r="D373">
            <v>1262</v>
          </cell>
          <cell r="E373">
            <v>0</v>
          </cell>
          <cell r="F373" t="str">
            <v>[]</v>
          </cell>
          <cell r="G373" t="str">
            <v>观世音被动技能</v>
          </cell>
          <cell r="H373" t="str">
            <v>fafang</v>
          </cell>
          <cell r="I373" t="str">
            <v>[]</v>
          </cell>
          <cell r="J373">
            <v>2</v>
          </cell>
          <cell r="K373">
            <v>1</v>
          </cell>
          <cell r="L373" t="str">
            <v>[]</v>
          </cell>
          <cell r="M373">
            <v>2</v>
          </cell>
          <cell r="N373">
            <v>2</v>
          </cell>
          <cell r="O373">
            <v>3</v>
          </cell>
          <cell r="P373">
            <v>0</v>
          </cell>
          <cell r="Q373">
            <v>12</v>
          </cell>
          <cell r="R373">
            <v>3</v>
          </cell>
          <cell r="S373" t="str">
            <v>2|20</v>
          </cell>
          <cell r="T373">
            <v>10</v>
          </cell>
          <cell r="U373">
            <v>0</v>
          </cell>
          <cell r="V373">
            <v>0</v>
          </cell>
          <cell r="W373" t="str">
            <v>[]</v>
          </cell>
          <cell r="X373">
            <v>0</v>
          </cell>
          <cell r="Y373" t="str">
            <v>[]</v>
          </cell>
          <cell r="Z373" t="str">
            <v>0,0,0</v>
          </cell>
          <cell r="AA373">
            <v>0</v>
          </cell>
          <cell r="AB373">
            <v>0</v>
          </cell>
          <cell r="AC373" t="str">
            <v>[]</v>
          </cell>
          <cell r="AD373" t="str">
            <v>[]</v>
          </cell>
          <cell r="AE373" t="str">
            <v>[]</v>
          </cell>
          <cell r="AF373" t="str">
            <v>[]</v>
          </cell>
          <cell r="AG373" t="str">
            <v>[]</v>
          </cell>
          <cell r="AH373" t="str">
            <v>[]</v>
          </cell>
          <cell r="AI373" t="str">
            <v>[]</v>
          </cell>
          <cell r="AJ373" t="str">
            <v>jianshang10_higheff</v>
          </cell>
          <cell r="AK373" t="str">
            <v>[]</v>
          </cell>
          <cell r="AL373" t="str">
            <v>[]</v>
          </cell>
          <cell r="AM373" t="str">
            <v>[]</v>
          </cell>
          <cell r="AN373">
            <v>0</v>
          </cell>
          <cell r="AO373" t="str">
            <v>[]</v>
          </cell>
          <cell r="AP373" t="str">
            <v>[]</v>
          </cell>
          <cell r="AQ373" t="str">
            <v>9010</v>
          </cell>
          <cell r="AR373" t="str">
            <v>[]</v>
          </cell>
          <cell r="AS373" t="str">
            <v>[]</v>
          </cell>
          <cell r="AT373" t="str">
            <v>115</v>
          </cell>
          <cell r="AU373" t="str">
            <v>6740</v>
          </cell>
          <cell r="AV373" t="str">
            <v>观世音</v>
          </cell>
          <cell r="AW373" t="str">
            <v>03</v>
          </cell>
          <cell r="AX373">
            <v>1262</v>
          </cell>
          <cell r="AY373">
            <v>1</v>
          </cell>
          <cell r="BA373" t="str">
            <v>[]</v>
          </cell>
          <cell r="BE373" t="str">
            <v>[]</v>
          </cell>
          <cell r="BF373"/>
        </row>
        <row r="374">
          <cell r="A374" t="str">
            <v>guanshiyin_skill04</v>
          </cell>
          <cell r="B374" t="str">
            <v>普度众生</v>
          </cell>
          <cell r="C374" t="str">
            <v>普渡全体友军，每0.5秒恢复自身攻击力@s的生命值，持续3秒</v>
          </cell>
          <cell r="D374">
            <v>1264</v>
          </cell>
          <cell r="E374">
            <v>0</v>
          </cell>
          <cell r="F374" t="str">
            <v>[]</v>
          </cell>
          <cell r="G374" t="str">
            <v>观世音技能4</v>
          </cell>
          <cell r="H374" t="str">
            <v>guanshiyin_skill04</v>
          </cell>
          <cell r="I374" t="str">
            <v>[]</v>
          </cell>
          <cell r="J374">
            <v>3</v>
          </cell>
          <cell r="K374">
            <v>1</v>
          </cell>
          <cell r="L374" t="str">
            <v>[]</v>
          </cell>
          <cell r="M374">
            <v>2</v>
          </cell>
          <cell r="N374">
            <v>2</v>
          </cell>
          <cell r="O374">
            <v>2</v>
          </cell>
          <cell r="P374">
            <v>5</v>
          </cell>
          <cell r="Q374">
            <v>12</v>
          </cell>
          <cell r="R374">
            <v>3</v>
          </cell>
          <cell r="S374" t="str">
            <v>2|20</v>
          </cell>
          <cell r="T374">
            <v>10</v>
          </cell>
          <cell r="U374">
            <v>1</v>
          </cell>
          <cell r="V374">
            <v>0</v>
          </cell>
          <cell r="W374" t="str">
            <v>[]</v>
          </cell>
          <cell r="X374">
            <v>3</v>
          </cell>
          <cell r="Y374" t="str">
            <v>[]</v>
          </cell>
          <cell r="Z374" t="str">
            <v>0,3.432,0.901</v>
          </cell>
          <cell r="AA374">
            <v>0</v>
          </cell>
          <cell r="AB374">
            <v>12</v>
          </cell>
          <cell r="AC374" t="str">
            <v>[]</v>
          </cell>
          <cell r="AD374" t="str">
            <v>[]</v>
          </cell>
          <cell r="AE374" t="str">
            <v>[]</v>
          </cell>
          <cell r="AF374" t="str">
            <v>guanshiyin_skill04</v>
          </cell>
          <cell r="AG374" t="str">
            <v>guanshiyin_skill04_buff</v>
          </cell>
          <cell r="AH374" t="str">
            <v>[]</v>
          </cell>
          <cell r="AI374" t="str">
            <v>[]</v>
          </cell>
          <cell r="AJ374" t="str">
            <v>[]</v>
          </cell>
          <cell r="AK374" t="str">
            <v>[]</v>
          </cell>
          <cell r="AL374" t="str">
            <v>[]</v>
          </cell>
          <cell r="AM374" t="str">
            <v>huifuT3N0.25</v>
          </cell>
          <cell r="AN374">
            <v>2</v>
          </cell>
          <cell r="AO374">
            <v>3.5</v>
          </cell>
          <cell r="AP374">
            <v>121504</v>
          </cell>
          <cell r="AQ374" t="str">
            <v>9025</v>
          </cell>
          <cell r="AR374" t="str">
            <v>[]</v>
          </cell>
          <cell r="AS374" t="str">
            <v>[]</v>
          </cell>
          <cell r="AT374" t="str">
            <v>115</v>
          </cell>
          <cell r="AU374" t="str">
            <v>6750</v>
          </cell>
          <cell r="AV374" t="str">
            <v>观世音</v>
          </cell>
          <cell r="AW374" t="str">
            <v>04</v>
          </cell>
          <cell r="AX374">
            <v>1264</v>
          </cell>
          <cell r="AY374">
            <v>1</v>
          </cell>
          <cell r="BA374" t="str">
            <v>[]</v>
          </cell>
          <cell r="BE374" t="str">
            <v>[]</v>
          </cell>
          <cell r="BF374"/>
        </row>
        <row r="375">
          <cell r="A375" t="str">
            <v>guanshiyin_skill011</v>
          </cell>
          <cell r="B375" t="str">
            <v>奥义·八门无双</v>
          </cell>
          <cell r="C375" t="str">
            <v>将八门护法之力赋予友军，每0.5秒恢复主角攻击力@s的生命值，持续3秒</v>
          </cell>
          <cell r="D375">
            <v>1266</v>
          </cell>
          <cell r="E375">
            <v>0</v>
          </cell>
          <cell r="F375" t="str">
            <v>[]</v>
          </cell>
          <cell r="G375" t="str">
            <v>观世音核心技能</v>
          </cell>
          <cell r="H375" t="str">
            <v>guanshiyin_skill01</v>
          </cell>
          <cell r="I375" t="str">
            <v>guanshiyin_skill01</v>
          </cell>
          <cell r="J375">
            <v>0</v>
          </cell>
          <cell r="K375">
            <v>1</v>
          </cell>
          <cell r="L375" t="str">
            <v>1|11</v>
          </cell>
          <cell r="M375">
            <v>2</v>
          </cell>
          <cell r="N375">
            <v>2</v>
          </cell>
          <cell r="O375">
            <v>2</v>
          </cell>
          <cell r="P375">
            <v>5</v>
          </cell>
          <cell r="Q375">
            <v>12</v>
          </cell>
          <cell r="R375">
            <v>3</v>
          </cell>
          <cell r="S375" t="str">
            <v>2|20</v>
          </cell>
          <cell r="T375">
            <v>10</v>
          </cell>
          <cell r="U375">
            <v>1</v>
          </cell>
          <cell r="V375">
            <v>0</v>
          </cell>
          <cell r="W375" t="str">
            <v>[]</v>
          </cell>
          <cell r="X375">
            <v>0</v>
          </cell>
          <cell r="Y375" t="str">
            <v>[]</v>
          </cell>
          <cell r="Z375" t="str">
            <v>0,1,0</v>
          </cell>
          <cell r="AA375">
            <v>0</v>
          </cell>
          <cell r="AB375" t="str">
            <v>12</v>
          </cell>
          <cell r="AC375" t="str">
            <v>[]</v>
          </cell>
          <cell r="AD375" t="str">
            <v>[]</v>
          </cell>
          <cell r="AE375" t="str">
            <v>[]</v>
          </cell>
          <cell r="AF375" t="str">
            <v>guanshiyin_skill01_blank</v>
          </cell>
          <cell r="AG375" t="str">
            <v>guanshiyin_skill01</v>
          </cell>
          <cell r="AH375" t="str">
            <v>[]</v>
          </cell>
          <cell r="AI375" t="str">
            <v>[]</v>
          </cell>
          <cell r="AJ375" t="str">
            <v>[]</v>
          </cell>
          <cell r="AK375" t="str">
            <v>[]</v>
          </cell>
          <cell r="AL375" t="str">
            <v>[]</v>
          </cell>
          <cell r="AM375" t="str">
            <v>huifuT3N0.5</v>
          </cell>
          <cell r="AN375">
            <v>2</v>
          </cell>
          <cell r="AO375">
            <v>0.5</v>
          </cell>
          <cell r="AP375" t="str">
            <v>[]</v>
          </cell>
          <cell r="AQ375" t="str">
            <v>9050</v>
          </cell>
          <cell r="AR375" t="str">
            <v>[]</v>
          </cell>
          <cell r="AS375" t="str">
            <v>[]</v>
          </cell>
          <cell r="AT375" t="str">
            <v>115</v>
          </cell>
          <cell r="AU375" t="str">
            <v>6720</v>
          </cell>
          <cell r="AV375" t="str">
            <v>观世音</v>
          </cell>
          <cell r="AW375" t="str">
            <v>11</v>
          </cell>
          <cell r="AX375">
            <v>1266</v>
          </cell>
          <cell r="AY375">
            <v>1</v>
          </cell>
          <cell r="BA375" t="str">
            <v>[]</v>
          </cell>
          <cell r="BE375" t="str">
            <v>[]</v>
          </cell>
          <cell r="BF375"/>
        </row>
        <row r="376">
          <cell r="A376" t="str">
            <v>guanshiyin_skill021</v>
          </cell>
          <cell r="B376" t="str">
            <v>奥义·众生平等</v>
          </cell>
          <cell r="C376" t="str">
            <v>治疗生命值百分比最低的友军，恢复自身攻击力@s的生命值，并清除所有不利状态</v>
          </cell>
          <cell r="D376">
            <v>1268</v>
          </cell>
          <cell r="E376">
            <v>0</v>
          </cell>
          <cell r="F376" t="str">
            <v>[]</v>
          </cell>
          <cell r="G376" t="str">
            <v>观世音技能2</v>
          </cell>
          <cell r="H376" t="str">
            <v>guanshiyin_skill02</v>
          </cell>
          <cell r="I376" t="str">
            <v>[]</v>
          </cell>
          <cell r="J376">
            <v>1</v>
          </cell>
          <cell r="K376">
            <v>1</v>
          </cell>
          <cell r="L376" t="str">
            <v>[]</v>
          </cell>
          <cell r="M376">
            <v>2</v>
          </cell>
          <cell r="N376">
            <v>2</v>
          </cell>
          <cell r="O376">
            <v>2</v>
          </cell>
          <cell r="P376">
            <v>5</v>
          </cell>
          <cell r="Q376">
            <v>12</v>
          </cell>
          <cell r="R376">
            <v>3</v>
          </cell>
          <cell r="S376">
            <v>7</v>
          </cell>
          <cell r="T376">
            <v>1</v>
          </cell>
          <cell r="U376">
            <v>1</v>
          </cell>
          <cell r="V376">
            <v>0</v>
          </cell>
          <cell r="W376" t="str">
            <v>[]</v>
          </cell>
          <cell r="X376">
            <v>3</v>
          </cell>
          <cell r="Y376" t="str">
            <v>[]</v>
          </cell>
          <cell r="Z376" t="str">
            <v>0,2.046,0.621</v>
          </cell>
          <cell r="AA376">
            <v>0</v>
          </cell>
          <cell r="AB376">
            <v>12</v>
          </cell>
          <cell r="AC376" t="str">
            <v>[]</v>
          </cell>
          <cell r="AD376" t="str">
            <v>[]</v>
          </cell>
          <cell r="AE376" t="str">
            <v>[]</v>
          </cell>
          <cell r="AF376" t="str">
            <v>guanshiyin_skill02</v>
          </cell>
          <cell r="AG376" t="str">
            <v>guanshiyin_skill02_buff</v>
          </cell>
          <cell r="AH376" t="str">
            <v>[]</v>
          </cell>
          <cell r="AI376" t="str">
            <v>[]</v>
          </cell>
          <cell r="AJ376" t="str">
            <v>[]</v>
          </cell>
          <cell r="AK376" t="str">
            <v>jinghuaTN99P1</v>
          </cell>
          <cell r="AL376" t="str">
            <v>[]</v>
          </cell>
          <cell r="AM376" t="str">
            <v>[]</v>
          </cell>
          <cell r="AN376">
            <v>1</v>
          </cell>
          <cell r="AO376">
            <v>2.1</v>
          </cell>
          <cell r="AP376">
            <v>121506</v>
          </cell>
          <cell r="AQ376" t="str">
            <v>121506</v>
          </cell>
          <cell r="AR376" t="str">
            <v>[]</v>
          </cell>
          <cell r="AS376" t="str">
            <v>[]</v>
          </cell>
          <cell r="AT376" t="str">
            <v>115</v>
          </cell>
          <cell r="AU376" t="str">
            <v>6730</v>
          </cell>
          <cell r="AV376" t="str">
            <v>观世音</v>
          </cell>
          <cell r="AW376" t="str">
            <v>21</v>
          </cell>
          <cell r="AX376">
            <v>1268</v>
          </cell>
          <cell r="AY376">
            <v>1</v>
          </cell>
          <cell r="BA376" t="str">
            <v>[]</v>
          </cell>
          <cell r="BE376" t="str">
            <v>[]</v>
          </cell>
          <cell r="BF376"/>
        </row>
        <row r="377">
          <cell r="A377" t="str">
            <v>guanshiyin_skill041</v>
          </cell>
          <cell r="B377" t="str">
            <v>奥义·普度众生</v>
          </cell>
          <cell r="C377" t="str">
            <v>普渡全体友军，每0.5秒恢复自身攻击力@s的生命值，持续3秒</v>
          </cell>
          <cell r="D377">
            <v>1270</v>
          </cell>
          <cell r="E377">
            <v>0</v>
          </cell>
          <cell r="F377" t="str">
            <v>[]</v>
          </cell>
          <cell r="G377" t="str">
            <v>观世音技能4</v>
          </cell>
          <cell r="H377" t="str">
            <v>guanshiyin_skill04</v>
          </cell>
          <cell r="I377" t="str">
            <v>[]</v>
          </cell>
          <cell r="J377">
            <v>3</v>
          </cell>
          <cell r="K377">
            <v>1</v>
          </cell>
          <cell r="L377" t="str">
            <v>[]</v>
          </cell>
          <cell r="M377">
            <v>2</v>
          </cell>
          <cell r="N377">
            <v>2</v>
          </cell>
          <cell r="O377">
            <v>2</v>
          </cell>
          <cell r="P377">
            <v>5</v>
          </cell>
          <cell r="Q377">
            <v>12</v>
          </cell>
          <cell r="R377">
            <v>3</v>
          </cell>
          <cell r="S377" t="str">
            <v>2|20</v>
          </cell>
          <cell r="T377">
            <v>10</v>
          </cell>
          <cell r="U377">
            <v>1</v>
          </cell>
          <cell r="V377">
            <v>0</v>
          </cell>
          <cell r="W377" t="str">
            <v>[]</v>
          </cell>
          <cell r="X377">
            <v>3</v>
          </cell>
          <cell r="Y377" t="str">
            <v>[]</v>
          </cell>
          <cell r="Z377" t="str">
            <v>0,3.432,0.901</v>
          </cell>
          <cell r="AA377">
            <v>0</v>
          </cell>
          <cell r="AB377">
            <v>12</v>
          </cell>
          <cell r="AC377" t="str">
            <v>[]</v>
          </cell>
          <cell r="AD377" t="str">
            <v>[]</v>
          </cell>
          <cell r="AE377" t="str">
            <v>[]</v>
          </cell>
          <cell r="AF377" t="str">
            <v>guanshiyin_skill04</v>
          </cell>
          <cell r="AG377" t="str">
            <v>guanshiyin_skill04_buff</v>
          </cell>
          <cell r="AH377" t="str">
            <v>[]</v>
          </cell>
          <cell r="AI377" t="str">
            <v>[]</v>
          </cell>
          <cell r="AJ377" t="str">
            <v>[]</v>
          </cell>
          <cell r="AK377" t="str">
            <v>[]</v>
          </cell>
          <cell r="AL377" t="str">
            <v>[]</v>
          </cell>
          <cell r="AM377" t="str">
            <v>huifuT3N0.3</v>
          </cell>
          <cell r="AN377">
            <v>2</v>
          </cell>
          <cell r="AO377">
            <v>3.5</v>
          </cell>
          <cell r="AP377">
            <v>121507</v>
          </cell>
          <cell r="AQ377" t="str">
            <v>9030</v>
          </cell>
          <cell r="AR377" t="str">
            <v>[]</v>
          </cell>
          <cell r="AS377" t="str">
            <v>[]</v>
          </cell>
          <cell r="AT377" t="str">
            <v>115</v>
          </cell>
          <cell r="AU377" t="str">
            <v>6750</v>
          </cell>
          <cell r="AV377" t="str">
            <v>观世音</v>
          </cell>
          <cell r="AW377" t="str">
            <v>41</v>
          </cell>
          <cell r="AX377">
            <v>1270</v>
          </cell>
          <cell r="AY377">
            <v>1</v>
          </cell>
          <cell r="BA377" t="str">
            <v>[]</v>
          </cell>
          <cell r="BE377" t="str">
            <v>[]</v>
          </cell>
          <cell r="BF377"/>
        </row>
        <row r="378">
          <cell r="A378" t="str">
            <v>moyujing_attack</v>
          </cell>
          <cell r="B378" t="str">
            <v>普攻</v>
          </cell>
          <cell r="C378" t="str">
            <v>挥动双匕首连续两次攻击目标</v>
          </cell>
          <cell r="D378" t="str">
            <v>[]</v>
          </cell>
          <cell r="E378">
            <v>0</v>
          </cell>
          <cell r="F378" t="str">
            <v>[]</v>
          </cell>
          <cell r="G378" t="str">
            <v>近战攻击</v>
          </cell>
          <cell r="H378" t="str">
            <v>[]</v>
          </cell>
          <cell r="I378" t="str">
            <v>[]</v>
          </cell>
          <cell r="J378">
            <v>0</v>
          </cell>
          <cell r="K378">
            <v>1</v>
          </cell>
          <cell r="L378" t="str">
            <v>[]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3</v>
          </cell>
          <cell r="R378" t="str">
            <v>2|1</v>
          </cell>
          <cell r="S378" t="str">
            <v>4|0.2</v>
          </cell>
          <cell r="T378">
            <v>1</v>
          </cell>
          <cell r="U378">
            <v>1</v>
          </cell>
          <cell r="V378">
            <v>0</v>
          </cell>
          <cell r="W378" t="str">
            <v>[]</v>
          </cell>
          <cell r="X378">
            <v>0</v>
          </cell>
          <cell r="Y378" t="str">
            <v>[]</v>
          </cell>
          <cell r="Z378" t="str">
            <v>0,1,0</v>
          </cell>
          <cell r="AA378">
            <v>0</v>
          </cell>
          <cell r="AB378" t="str">
            <v>[]</v>
          </cell>
          <cell r="AC378" t="str">
            <v>[]</v>
          </cell>
          <cell r="AD378" t="str">
            <v>[]</v>
          </cell>
          <cell r="AE378" t="str">
            <v>[]</v>
          </cell>
          <cell r="AF378" t="str">
            <v>moyujing_attack</v>
          </cell>
          <cell r="AG378" t="str">
            <v>common_hit_qinwuqi</v>
          </cell>
          <cell r="AH378" t="str">
            <v>[]</v>
          </cell>
          <cell r="AI378" t="str">
            <v>[]</v>
          </cell>
          <cell r="AJ378" t="str">
            <v>[]</v>
          </cell>
          <cell r="AK378" t="str">
            <v>[]</v>
          </cell>
          <cell r="AL378" t="str">
            <v>[]</v>
          </cell>
          <cell r="AM378" t="str">
            <v>[]</v>
          </cell>
          <cell r="AN378">
            <v>1</v>
          </cell>
          <cell r="AO378" t="str">
            <v>0.2,0.23</v>
          </cell>
          <cell r="AP378">
            <v>114000</v>
          </cell>
          <cell r="AQ378" t="str">
            <v>114000</v>
          </cell>
          <cell r="AR378" t="str">
            <v>[]</v>
          </cell>
          <cell r="AS378" t="str">
            <v>[]</v>
          </cell>
          <cell r="AT378" t="str">
            <v>115</v>
          </cell>
          <cell r="AU378" t="str">
            <v>4360</v>
          </cell>
          <cell r="AV378" t="str">
            <v>近战攻击</v>
          </cell>
          <cell r="AW378" t="str">
            <v>ck</v>
          </cell>
          <cell r="AX378" t="str">
            <v>[]</v>
          </cell>
          <cell r="AY378">
            <v>2</v>
          </cell>
          <cell r="BA378" t="str">
            <v>[]</v>
          </cell>
          <cell r="BE378" t="str">
            <v>[]</v>
          </cell>
          <cell r="BF378"/>
        </row>
        <row r="379">
          <cell r="A379" t="str">
            <v>moyujing_skill01</v>
          </cell>
          <cell r="B379" t="str">
            <v>水雾侵蚀</v>
          </cell>
          <cell r="C379" t="str">
            <v>召唤水雾侵蚀敌军，降低范围内目标@s的命中率，@s的防御，持续3秒</v>
          </cell>
          <cell r="D379" t="str">
            <v>[]</v>
          </cell>
          <cell r="E379">
            <v>2</v>
          </cell>
          <cell r="F379" t="str">
            <v>boss_warning_yuanxing</v>
          </cell>
          <cell r="G379" t="str">
            <v>水雾侵蚀</v>
          </cell>
          <cell r="H379" t="str">
            <v>shuiwuqinshi</v>
          </cell>
          <cell r="I379" t="str">
            <v>shuiwuqinshi</v>
          </cell>
          <cell r="J379">
            <v>0</v>
          </cell>
          <cell r="K379">
            <v>10</v>
          </cell>
          <cell r="L379" t="str">
            <v>1|40</v>
          </cell>
          <cell r="M379">
            <v>2</v>
          </cell>
          <cell r="N379">
            <v>2</v>
          </cell>
          <cell r="O379">
            <v>2</v>
          </cell>
          <cell r="P379">
            <v>4</v>
          </cell>
          <cell r="Q379">
            <v>12</v>
          </cell>
          <cell r="R379" t="str">
            <v>2|1</v>
          </cell>
          <cell r="S379" t="str">
            <v>2|10</v>
          </cell>
          <cell r="T379">
            <v>10</v>
          </cell>
          <cell r="U379">
            <v>0</v>
          </cell>
          <cell r="V379">
            <v>0</v>
          </cell>
          <cell r="W379" t="str">
            <v>[]</v>
          </cell>
          <cell r="X379">
            <v>0</v>
          </cell>
          <cell r="Y379" t="str">
            <v>[]</v>
          </cell>
          <cell r="Z379" t="str">
            <v>0,1,0</v>
          </cell>
          <cell r="AA379">
            <v>0</v>
          </cell>
          <cell r="AB379" t="str">
            <v>12</v>
          </cell>
          <cell r="AC379" t="str">
            <v>[]</v>
          </cell>
          <cell r="AD379" t="str">
            <v>[]</v>
          </cell>
          <cell r="AE379" t="str">
            <v>[]</v>
          </cell>
          <cell r="AF379" t="str">
            <v>moyujing_skill01</v>
          </cell>
          <cell r="AG379" t="str">
            <v>[]</v>
          </cell>
          <cell r="AH379" t="str">
            <v>[]</v>
          </cell>
          <cell r="AI379" t="str">
            <v>[]</v>
          </cell>
          <cell r="AJ379" t="str">
            <v>[]</v>
          </cell>
          <cell r="AK379" t="str">
            <v>[]</v>
          </cell>
          <cell r="AL379" t="str">
            <v>[]</v>
          </cell>
          <cell r="AM379" t="str">
            <v>jiashangupT3N0.1</v>
          </cell>
          <cell r="AN379">
            <v>1</v>
          </cell>
          <cell r="AO379">
            <v>-3</v>
          </cell>
          <cell r="AP379" t="str">
            <v>[]</v>
          </cell>
          <cell r="AQ379" t="str">
            <v>9015,9015</v>
          </cell>
          <cell r="AR379" t="str">
            <v>[]</v>
          </cell>
          <cell r="AS379" t="str">
            <v>[]</v>
          </cell>
          <cell r="AT379" t="str">
            <v>115</v>
          </cell>
          <cell r="AU379" t="str">
            <v>4373</v>
          </cell>
          <cell r="AV379" t="str">
            <v>水雾侵蚀</v>
          </cell>
          <cell r="AW379" t="str">
            <v>01</v>
          </cell>
          <cell r="AX379" t="str">
            <v>[]</v>
          </cell>
          <cell r="AY379">
            <v>1</v>
          </cell>
          <cell r="BA379" t="str">
            <v>[]</v>
          </cell>
          <cell r="BE379" t="str">
            <v>[]</v>
          </cell>
          <cell r="BF379"/>
        </row>
        <row r="380">
          <cell r="A380" t="str">
            <v>moyujing_skill02</v>
          </cell>
          <cell r="B380" t="str">
            <v>重击</v>
          </cell>
          <cell r="C380" t="str">
            <v>墨鱼精挥舞匕首，对范围内目标造成3次自身攻击力@s的伤害</v>
          </cell>
          <cell r="D380" t="str">
            <v>[]</v>
          </cell>
          <cell r="E380">
            <v>0</v>
          </cell>
          <cell r="F380" t="str">
            <v>[]</v>
          </cell>
          <cell r="G380" t="str">
            <v>墨鱼精技能2</v>
          </cell>
          <cell r="H380" t="str">
            <v>moyujing_skill02</v>
          </cell>
          <cell r="I380" t="str">
            <v>[]</v>
          </cell>
          <cell r="J380">
            <v>1</v>
          </cell>
          <cell r="K380">
            <v>10</v>
          </cell>
          <cell r="L380" t="str">
            <v>[]</v>
          </cell>
          <cell r="M380">
            <v>2</v>
          </cell>
          <cell r="N380">
            <v>2</v>
          </cell>
          <cell r="O380">
            <v>1</v>
          </cell>
          <cell r="P380">
            <v>2</v>
          </cell>
          <cell r="Q380">
            <v>4</v>
          </cell>
          <cell r="R380" t="str">
            <v>2|1</v>
          </cell>
          <cell r="S380" t="str">
            <v>4|0.2</v>
          </cell>
          <cell r="T380">
            <v>10</v>
          </cell>
          <cell r="U380">
            <v>1</v>
          </cell>
          <cell r="V380">
            <v>0</v>
          </cell>
          <cell r="W380" t="str">
            <v>[]</v>
          </cell>
          <cell r="X380">
            <v>3</v>
          </cell>
          <cell r="Y380" t="str">
            <v>[]</v>
          </cell>
          <cell r="Z380" t="str">
            <v>0,2.0,0</v>
          </cell>
          <cell r="AA380">
            <v>0</v>
          </cell>
          <cell r="AB380">
            <v>6</v>
          </cell>
          <cell r="AC380" t="str">
            <v>[]</v>
          </cell>
          <cell r="AD380" t="str">
            <v>[]</v>
          </cell>
          <cell r="AE380" t="str">
            <v>moyujing_skill02_bip</v>
          </cell>
          <cell r="AF380" t="str">
            <v>moyujing_skill02</v>
          </cell>
          <cell r="AG380" t="str">
            <v>common_hit_qinwuqi</v>
          </cell>
          <cell r="AH380" t="str">
            <v>[]</v>
          </cell>
          <cell r="AI380" t="str">
            <v>[]</v>
          </cell>
          <cell r="AJ380" t="str">
            <v>[]</v>
          </cell>
          <cell r="AK380" t="str">
            <v>shock</v>
          </cell>
          <cell r="AL380" t="str">
            <v>[]</v>
          </cell>
          <cell r="AM380" t="str">
            <v>[]</v>
          </cell>
          <cell r="AN380">
            <v>1</v>
          </cell>
          <cell r="AO380" t="str">
            <v>0.10,0.25,0.4</v>
          </cell>
          <cell r="AP380">
            <v>114002</v>
          </cell>
          <cell r="AQ380" t="str">
            <v>114002</v>
          </cell>
          <cell r="AR380" t="str">
            <v>[]</v>
          </cell>
          <cell r="AS380" t="str">
            <v>[]</v>
          </cell>
          <cell r="AT380" t="str">
            <v>5130</v>
          </cell>
          <cell r="AU380" t="str">
            <v>4380</v>
          </cell>
          <cell r="AV380" t="str">
            <v>墨鱼精</v>
          </cell>
          <cell r="AW380" t="str">
            <v>02</v>
          </cell>
          <cell r="AX380" t="str">
            <v>[]</v>
          </cell>
          <cell r="AY380">
            <v>3</v>
          </cell>
          <cell r="BA380" t="str">
            <v>[]</v>
          </cell>
          <cell r="BE380" t="str">
            <v>[]</v>
          </cell>
          <cell r="BF380"/>
        </row>
        <row r="381">
          <cell r="A381" t="str">
            <v>moyujing_skill03</v>
          </cell>
          <cell r="B381" t="str">
            <v>命中提升</v>
          </cell>
          <cell r="C381" t="str">
            <v>进入战斗场景时，增加自身@s的命中率</v>
          </cell>
          <cell r="D381">
            <v>1262</v>
          </cell>
          <cell r="E381">
            <v>2</v>
          </cell>
          <cell r="F381" t="str">
            <v>boss_warning_juxing</v>
          </cell>
          <cell r="G381" t="str">
            <v>墨鱼精被动技能</v>
          </cell>
          <cell r="H381" t="str">
            <v>mingzhong</v>
          </cell>
          <cell r="I381" t="str">
            <v>[]</v>
          </cell>
          <cell r="J381">
            <v>2</v>
          </cell>
          <cell r="K381">
            <v>10</v>
          </cell>
          <cell r="L381" t="str">
            <v>[]</v>
          </cell>
          <cell r="M381">
            <v>2</v>
          </cell>
          <cell r="N381">
            <v>2</v>
          </cell>
          <cell r="O381">
            <v>3</v>
          </cell>
          <cell r="P381">
            <v>0</v>
          </cell>
          <cell r="Q381">
            <v>4</v>
          </cell>
          <cell r="R381">
            <v>1</v>
          </cell>
          <cell r="S381" t="str">
            <v>4|0.2</v>
          </cell>
          <cell r="T381">
            <v>1</v>
          </cell>
          <cell r="U381">
            <v>0</v>
          </cell>
          <cell r="V381">
            <v>0</v>
          </cell>
          <cell r="W381" t="str">
            <v>[]</v>
          </cell>
          <cell r="X381">
            <v>0</v>
          </cell>
          <cell r="Y381" t="str">
            <v>[]</v>
          </cell>
          <cell r="Z381" t="str">
            <v>0,0,0</v>
          </cell>
          <cell r="AA381">
            <v>0</v>
          </cell>
          <cell r="AB381" t="str">
            <v>[]</v>
          </cell>
          <cell r="AC381" t="str">
            <v>[]</v>
          </cell>
          <cell r="AD381" t="str">
            <v>[]</v>
          </cell>
          <cell r="AE381" t="str">
            <v>[]</v>
          </cell>
          <cell r="AF381" t="str">
            <v>[]</v>
          </cell>
          <cell r="AG381" t="str">
            <v>[]</v>
          </cell>
          <cell r="AH381" t="str">
            <v>[]</v>
          </cell>
          <cell r="AI381" t="str">
            <v>[]</v>
          </cell>
          <cell r="AJ381" t="str">
            <v>[]</v>
          </cell>
          <cell r="AK381" t="str">
            <v>[]</v>
          </cell>
          <cell r="AL381" t="str">
            <v>passive_moyujing</v>
          </cell>
          <cell r="AM381" t="str">
            <v>[]</v>
          </cell>
          <cell r="AN381">
            <v>0</v>
          </cell>
          <cell r="AO381" t="str">
            <v>[]</v>
          </cell>
          <cell r="AP381" t="str">
            <v>[]</v>
          </cell>
          <cell r="AQ381" t="str">
            <v>9010</v>
          </cell>
          <cell r="AR381" t="str">
            <v>[]</v>
          </cell>
          <cell r="AS381" t="str">
            <v>[]</v>
          </cell>
          <cell r="AT381" t="str">
            <v>5130</v>
          </cell>
          <cell r="AU381" t="str">
            <v>4391</v>
          </cell>
          <cell r="AV381" t="str">
            <v>墨鱼精</v>
          </cell>
          <cell r="AW381" t="str">
            <v>03</v>
          </cell>
          <cell r="AX381">
            <v>1262</v>
          </cell>
          <cell r="AY381">
            <v>1</v>
          </cell>
          <cell r="BA381" t="str">
            <v>[]</v>
          </cell>
          <cell r="BE381" t="str">
            <v>[]</v>
          </cell>
          <cell r="BF381"/>
        </row>
        <row r="382">
          <cell r="A382" t="str">
            <v>moyujing_skill04</v>
          </cell>
          <cell r="B382" t="str">
            <v>致命连击</v>
          </cell>
          <cell r="C382" t="str">
            <v>墨鱼精对单个敌军发动刺杀，连续对目标造成4次自身攻击力@s的伤害</v>
          </cell>
          <cell r="D382">
            <v>1264</v>
          </cell>
          <cell r="E382">
            <v>0</v>
          </cell>
          <cell r="F382" t="str">
            <v>[]</v>
          </cell>
          <cell r="G382" t="str">
            <v>墨鱼精技能4</v>
          </cell>
          <cell r="H382" t="str">
            <v>moyujing_skill04</v>
          </cell>
          <cell r="I382" t="str">
            <v>[]</v>
          </cell>
          <cell r="J382">
            <v>3</v>
          </cell>
          <cell r="K382">
            <v>10</v>
          </cell>
          <cell r="L382" t="str">
            <v>[]</v>
          </cell>
          <cell r="M382">
            <v>2</v>
          </cell>
          <cell r="N382">
            <v>2</v>
          </cell>
          <cell r="O382">
            <v>1</v>
          </cell>
          <cell r="P382">
            <v>2</v>
          </cell>
          <cell r="Q382">
            <v>4</v>
          </cell>
          <cell r="R382" t="str">
            <v>2|1</v>
          </cell>
          <cell r="S382" t="str">
            <v>4|0.2</v>
          </cell>
          <cell r="T382">
            <v>10</v>
          </cell>
          <cell r="U382">
            <v>1</v>
          </cell>
          <cell r="V382">
            <v>0</v>
          </cell>
          <cell r="W382" t="str">
            <v>[]</v>
          </cell>
          <cell r="X382">
            <v>3</v>
          </cell>
          <cell r="Y382" t="str">
            <v>[]</v>
          </cell>
          <cell r="Z382" t="str">
            <v>0,2.667,0</v>
          </cell>
          <cell r="AA382">
            <v>0</v>
          </cell>
          <cell r="AB382">
            <v>6</v>
          </cell>
          <cell r="AC382" t="str">
            <v>[]</v>
          </cell>
          <cell r="AD382" t="str">
            <v>[]</v>
          </cell>
          <cell r="AE382" t="str">
            <v>moyujing_skill04_bip</v>
          </cell>
          <cell r="AF382" t="str">
            <v>moyujing_skill04</v>
          </cell>
          <cell r="AG382" t="str">
            <v>common_hit_qinwuqi</v>
          </cell>
          <cell r="AH382" t="str">
            <v>[]</v>
          </cell>
          <cell r="AI382" t="str">
            <v>[]</v>
          </cell>
          <cell r="AJ382" t="str">
            <v>[]</v>
          </cell>
          <cell r="AK382" t="str">
            <v>shock</v>
          </cell>
          <cell r="AL382" t="str">
            <v>[]</v>
          </cell>
          <cell r="AM382" t="str">
            <v>[]</v>
          </cell>
          <cell r="AN382">
            <v>1</v>
          </cell>
          <cell r="AO382" t="str">
            <v>0.22,0.20,0.30,1.25</v>
          </cell>
          <cell r="AP382">
            <v>114004</v>
          </cell>
          <cell r="AQ382" t="str">
            <v>114004</v>
          </cell>
          <cell r="AR382" t="str">
            <v>[]</v>
          </cell>
          <cell r="AS382" t="str">
            <v>[]</v>
          </cell>
          <cell r="AT382" t="str">
            <v>1192</v>
          </cell>
          <cell r="AU382" t="str">
            <v>4400</v>
          </cell>
          <cell r="AV382" t="str">
            <v>墨鱼精</v>
          </cell>
          <cell r="AW382" t="str">
            <v>04</v>
          </cell>
          <cell r="AX382">
            <v>1264</v>
          </cell>
          <cell r="AY382">
            <v>4</v>
          </cell>
          <cell r="BA382" t="str">
            <v>[]</v>
          </cell>
          <cell r="BE382" t="str">
            <v>[]</v>
          </cell>
          <cell r="BF382"/>
        </row>
        <row r="383">
          <cell r="A383" t="str">
            <v>jinqianbaowang_attack</v>
          </cell>
          <cell r="B383" t="str">
            <v>普攻</v>
          </cell>
          <cell r="C383" t="str">
            <v>挥动爪刺攻击目标</v>
          </cell>
          <cell r="D383" t="str">
            <v>[]</v>
          </cell>
          <cell r="E383">
            <v>0</v>
          </cell>
          <cell r="F383" t="str">
            <v>[]</v>
          </cell>
          <cell r="G383" t="str">
            <v>近战攻击</v>
          </cell>
          <cell r="H383" t="str">
            <v>[]</v>
          </cell>
          <cell r="I383" t="str">
            <v>[]</v>
          </cell>
          <cell r="J383">
            <v>0</v>
          </cell>
          <cell r="K383">
            <v>1</v>
          </cell>
          <cell r="L383" t="str">
            <v>[]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3</v>
          </cell>
          <cell r="R383" t="str">
            <v>2|1</v>
          </cell>
          <cell r="S383" t="str">
            <v>4|0.2</v>
          </cell>
          <cell r="T383">
            <v>1</v>
          </cell>
          <cell r="U383">
            <v>1</v>
          </cell>
          <cell r="V383">
            <v>0</v>
          </cell>
          <cell r="W383" t="str">
            <v>[]</v>
          </cell>
          <cell r="X383">
            <v>0</v>
          </cell>
          <cell r="Y383" t="str">
            <v>[]</v>
          </cell>
          <cell r="Z383" t="str">
            <v>0,1,0</v>
          </cell>
          <cell r="AA383">
            <v>0</v>
          </cell>
          <cell r="AB383" t="str">
            <v>[]</v>
          </cell>
          <cell r="AC383" t="str">
            <v>[]</v>
          </cell>
          <cell r="AD383" t="str">
            <v>[]</v>
          </cell>
          <cell r="AE383" t="str">
            <v>[]</v>
          </cell>
          <cell r="AF383" t="str">
            <v>jinqianbaowang_attack</v>
          </cell>
          <cell r="AG383" t="str">
            <v>common_hit_qinwuqi</v>
          </cell>
          <cell r="AH383" t="str">
            <v>[]</v>
          </cell>
          <cell r="AI383" t="str">
            <v>[]</v>
          </cell>
          <cell r="AJ383" t="str">
            <v>[]</v>
          </cell>
          <cell r="AK383" t="str">
            <v>[]</v>
          </cell>
          <cell r="AL383" t="str">
            <v>[]</v>
          </cell>
          <cell r="AM383" t="str">
            <v>[]</v>
          </cell>
          <cell r="AN383">
            <v>1</v>
          </cell>
          <cell r="AO383" t="str">
            <v>0.15,0.15</v>
          </cell>
          <cell r="AP383">
            <v>113900</v>
          </cell>
          <cell r="AQ383" t="str">
            <v>113900</v>
          </cell>
          <cell r="AR383" t="str">
            <v>[]</v>
          </cell>
          <cell r="AS383" t="str">
            <v>[]</v>
          </cell>
          <cell r="AT383" t="str">
            <v>2018</v>
          </cell>
          <cell r="AU383" t="str">
            <v>4410</v>
          </cell>
          <cell r="AV383" t="str">
            <v>近战攻击</v>
          </cell>
          <cell r="AW383" t="str">
            <v>ck</v>
          </cell>
          <cell r="AX383" t="str">
            <v>[]</v>
          </cell>
          <cell r="AY383">
            <v>2</v>
          </cell>
          <cell r="BA383" t="str">
            <v>[]</v>
          </cell>
          <cell r="BE383" t="str">
            <v>[]</v>
          </cell>
          <cell r="BF383"/>
        </row>
        <row r="384">
          <cell r="A384" t="str">
            <v>jinqianbaowang_skill01</v>
          </cell>
          <cell r="B384" t="str">
            <v>砺剑血刃</v>
          </cell>
          <cell r="C384" t="str">
            <v>提高全体队友@s的命中率，@s的攻击力，持续3秒</v>
          </cell>
          <cell r="D384" t="str">
            <v>[]</v>
          </cell>
          <cell r="E384">
            <v>0</v>
          </cell>
          <cell r="F384" t="str">
            <v>[]</v>
          </cell>
          <cell r="G384" t="str">
            <v>砺剑血刃</v>
          </cell>
          <cell r="H384" t="str">
            <v>lijianxueren</v>
          </cell>
          <cell r="I384" t="str">
            <v>lijianxueren</v>
          </cell>
          <cell r="J384">
            <v>0</v>
          </cell>
          <cell r="K384">
            <v>10</v>
          </cell>
          <cell r="L384" t="str">
            <v>1|39</v>
          </cell>
          <cell r="M384">
            <v>2</v>
          </cell>
          <cell r="N384">
            <v>2</v>
          </cell>
          <cell r="O384">
            <v>1</v>
          </cell>
          <cell r="P384">
            <v>4</v>
          </cell>
          <cell r="Q384">
            <v>12</v>
          </cell>
          <cell r="R384">
            <v>3</v>
          </cell>
          <cell r="S384">
            <v>5</v>
          </cell>
          <cell r="T384">
            <v>10</v>
          </cell>
          <cell r="U384">
            <v>1</v>
          </cell>
          <cell r="V384">
            <v>0</v>
          </cell>
          <cell r="W384" t="str">
            <v>[]</v>
          </cell>
          <cell r="X384">
            <v>0</v>
          </cell>
          <cell r="Y384" t="str">
            <v>[]</v>
          </cell>
          <cell r="Z384" t="str">
            <v>0,1,0</v>
          </cell>
          <cell r="AA384">
            <v>0</v>
          </cell>
          <cell r="AB384" t="str">
            <v>12</v>
          </cell>
          <cell r="AC384" t="str">
            <v>[]</v>
          </cell>
          <cell r="AD384" t="str">
            <v>[]</v>
          </cell>
          <cell r="AE384" t="str">
            <v>[]</v>
          </cell>
          <cell r="AF384" t="str">
            <v>jinqianbaowang_skill01</v>
          </cell>
          <cell r="AG384" t="str">
            <v>[]</v>
          </cell>
          <cell r="AH384" t="str">
            <v>[]</v>
          </cell>
          <cell r="AI384" t="str">
            <v>[]</v>
          </cell>
          <cell r="AJ384" t="str">
            <v>[]</v>
          </cell>
          <cell r="AK384" t="str">
            <v>[]</v>
          </cell>
          <cell r="AL384" t="str">
            <v>[]</v>
          </cell>
          <cell r="AM384" t="str">
            <v>[]</v>
          </cell>
          <cell r="AN384">
            <v>1</v>
          </cell>
          <cell r="AO384">
            <v>0.01</v>
          </cell>
          <cell r="AP384" t="str">
            <v>[]</v>
          </cell>
          <cell r="AQ384" t="str">
            <v>9005,9005</v>
          </cell>
          <cell r="AR384" t="str">
            <v>[]</v>
          </cell>
          <cell r="AS384" t="str">
            <v>[]</v>
          </cell>
          <cell r="AT384" t="str">
            <v>115</v>
          </cell>
          <cell r="AU384" t="str">
            <v>4420</v>
          </cell>
          <cell r="AV384" t="str">
            <v>砺剑血刃</v>
          </cell>
          <cell r="AW384" t="str">
            <v>01</v>
          </cell>
          <cell r="AX384" t="str">
            <v>[]</v>
          </cell>
          <cell r="AY384">
            <v>1</v>
          </cell>
          <cell r="BA384" t="str">
            <v>[]</v>
          </cell>
          <cell r="BE384" t="str">
            <v>[]</v>
          </cell>
          <cell r="BF384"/>
        </row>
        <row r="385">
          <cell r="A385" t="str">
            <v>jinqianbaowang_skill02</v>
          </cell>
          <cell r="B385" t="str">
            <v>旋风杀</v>
          </cell>
          <cell r="C385" t="str">
            <v>金钱豹王快速旋转形成旋风，对附近目标造成6次自身攻击力@s的伤害</v>
          </cell>
          <cell r="D385" t="str">
            <v>[]</v>
          </cell>
          <cell r="E385">
            <v>2</v>
          </cell>
          <cell r="F385" t="str">
            <v>boss_warning_yuanxing</v>
          </cell>
          <cell r="G385" t="str">
            <v>金钱豹王技能2</v>
          </cell>
          <cell r="H385" t="str">
            <v>jinqianbaowang_skill02</v>
          </cell>
          <cell r="I385" t="str">
            <v>[]</v>
          </cell>
          <cell r="J385">
            <v>1</v>
          </cell>
          <cell r="K385">
            <v>10</v>
          </cell>
          <cell r="L385" t="str">
            <v>[]</v>
          </cell>
          <cell r="M385">
            <v>2</v>
          </cell>
          <cell r="N385">
            <v>2</v>
          </cell>
          <cell r="O385">
            <v>1</v>
          </cell>
          <cell r="P385">
            <v>2</v>
          </cell>
          <cell r="Q385">
            <v>4</v>
          </cell>
          <cell r="R385" t="str">
            <v>2|1</v>
          </cell>
          <cell r="S385" t="str">
            <v>2|4</v>
          </cell>
          <cell r="T385">
            <v>10</v>
          </cell>
          <cell r="U385">
            <v>0</v>
          </cell>
          <cell r="V385">
            <v>0</v>
          </cell>
          <cell r="W385" t="str">
            <v>[]</v>
          </cell>
          <cell r="X385">
            <v>3</v>
          </cell>
          <cell r="Y385" t="str">
            <v>[]</v>
          </cell>
          <cell r="Z385" t="str">
            <v>0,2.0,0</v>
          </cell>
          <cell r="AA385">
            <v>0</v>
          </cell>
          <cell r="AB385">
            <v>6</v>
          </cell>
          <cell r="AC385" t="str">
            <v>[]</v>
          </cell>
          <cell r="AD385" t="str">
            <v>[]</v>
          </cell>
          <cell r="AE385" t="str">
            <v>jinqianbaowang_skill02_bip</v>
          </cell>
          <cell r="AF385" t="str">
            <v>jinqianbaowang_skill02</v>
          </cell>
          <cell r="AG385" t="str">
            <v>common_hit_qinwuqi</v>
          </cell>
          <cell r="AH385" t="str">
            <v>[]</v>
          </cell>
          <cell r="AI385" t="str">
            <v>[]</v>
          </cell>
          <cell r="AJ385" t="str">
            <v>[]</v>
          </cell>
          <cell r="AK385" t="str">
            <v>[]</v>
          </cell>
          <cell r="AL385" t="str">
            <v>[]</v>
          </cell>
          <cell r="AM385" t="str">
            <v>[]</v>
          </cell>
          <cell r="AN385">
            <v>2</v>
          </cell>
          <cell r="AO385" t="str">
            <v>0.25,0.15,0.15,0.15,0.15,0.15</v>
          </cell>
          <cell r="AP385">
            <v>113902</v>
          </cell>
          <cell r="AQ385" t="str">
            <v>113902</v>
          </cell>
          <cell r="AR385" t="str">
            <v>[]</v>
          </cell>
          <cell r="AS385" t="str">
            <v>[]</v>
          </cell>
          <cell r="AT385" t="str">
            <v>115</v>
          </cell>
          <cell r="AU385" t="str">
            <v>4430</v>
          </cell>
          <cell r="AV385" t="str">
            <v>金钱豹王</v>
          </cell>
          <cell r="AW385" t="str">
            <v>02</v>
          </cell>
          <cell r="AX385" t="str">
            <v>[]</v>
          </cell>
          <cell r="AY385">
            <v>6</v>
          </cell>
          <cell r="BA385" t="str">
            <v>[]</v>
          </cell>
          <cell r="BE385" t="str">
            <v>[]</v>
          </cell>
          <cell r="BF385"/>
        </row>
        <row r="386">
          <cell r="A386" t="str">
            <v>jinqianbaowang_skill03</v>
          </cell>
          <cell r="B386" t="str">
            <v>暴击提升</v>
          </cell>
          <cell r="C386" t="str">
            <v>进入战斗场景时，增加自身@s的暴击率</v>
          </cell>
          <cell r="D386">
            <v>1262</v>
          </cell>
          <cell r="E386">
            <v>0</v>
          </cell>
          <cell r="F386" t="str">
            <v>[]</v>
          </cell>
          <cell r="G386" t="str">
            <v>金钱豹王被动技能</v>
          </cell>
          <cell r="H386" t="str">
            <v>baoji</v>
          </cell>
          <cell r="I386" t="str">
            <v>[]</v>
          </cell>
          <cell r="J386">
            <v>2</v>
          </cell>
          <cell r="K386">
            <v>10</v>
          </cell>
          <cell r="L386" t="str">
            <v>[]</v>
          </cell>
          <cell r="M386">
            <v>2</v>
          </cell>
          <cell r="N386">
            <v>2</v>
          </cell>
          <cell r="O386">
            <v>3</v>
          </cell>
          <cell r="P386">
            <v>0</v>
          </cell>
          <cell r="Q386">
            <v>12</v>
          </cell>
          <cell r="R386">
            <v>1</v>
          </cell>
          <cell r="S386" t="str">
            <v>4|0.2</v>
          </cell>
          <cell r="T386">
            <v>1</v>
          </cell>
          <cell r="U386">
            <v>0</v>
          </cell>
          <cell r="V386">
            <v>0</v>
          </cell>
          <cell r="W386" t="str">
            <v>[]</v>
          </cell>
          <cell r="X386">
            <v>0</v>
          </cell>
          <cell r="Y386" t="str">
            <v>[]</v>
          </cell>
          <cell r="Z386" t="str">
            <v>0,0,0</v>
          </cell>
          <cell r="AA386">
            <v>0</v>
          </cell>
          <cell r="AB386" t="str">
            <v>[]</v>
          </cell>
          <cell r="AC386" t="str">
            <v>[]</v>
          </cell>
          <cell r="AD386" t="str">
            <v>[]</v>
          </cell>
          <cell r="AE386" t="str">
            <v>[]</v>
          </cell>
          <cell r="AF386" t="str">
            <v>[]</v>
          </cell>
          <cell r="AG386" t="str">
            <v>[]</v>
          </cell>
          <cell r="AH386" t="str">
            <v>[]</v>
          </cell>
          <cell r="AI386" t="str">
            <v>[]</v>
          </cell>
          <cell r="AJ386" t="str">
            <v>[]</v>
          </cell>
          <cell r="AK386" t="str">
            <v>[]</v>
          </cell>
          <cell r="AL386" t="str">
            <v>passive_jinqianbaowang</v>
          </cell>
          <cell r="AM386" t="str">
            <v>[]</v>
          </cell>
          <cell r="AN386">
            <v>0</v>
          </cell>
          <cell r="AO386" t="str">
            <v>[]</v>
          </cell>
          <cell r="AP386" t="str">
            <v>[]</v>
          </cell>
          <cell r="AQ386" t="str">
            <v>9020</v>
          </cell>
          <cell r="AR386" t="str">
            <v>[]</v>
          </cell>
          <cell r="AS386" t="str">
            <v>[]</v>
          </cell>
          <cell r="AT386" t="str">
            <v>5530</v>
          </cell>
          <cell r="AU386" t="str">
            <v>4441</v>
          </cell>
          <cell r="AV386" t="str">
            <v>金钱豹王</v>
          </cell>
          <cell r="AW386" t="str">
            <v>03</v>
          </cell>
          <cell r="AX386">
            <v>1262</v>
          </cell>
          <cell r="AY386">
            <v>1</v>
          </cell>
          <cell r="BA386" t="str">
            <v>[]</v>
          </cell>
          <cell r="BE386" t="str">
            <v>[]</v>
          </cell>
          <cell r="BF386"/>
        </row>
        <row r="387">
          <cell r="A387" t="str">
            <v>jinqianbaowang_skill04</v>
          </cell>
          <cell r="B387" t="str">
            <v>滞空连斩</v>
          </cell>
          <cell r="C387" t="str">
            <v>金钱豹王跳向目标并发动连环攻击，对目标造成7次自身攻击力@s的伤害</v>
          </cell>
          <cell r="D387">
            <v>1264</v>
          </cell>
          <cell r="E387">
            <v>2</v>
          </cell>
          <cell r="F387" t="str">
            <v>boss_warning_juxing</v>
          </cell>
          <cell r="G387" t="str">
            <v>金钱豹王技能4</v>
          </cell>
          <cell r="H387" t="str">
            <v>jinqianbaowang_skill04</v>
          </cell>
          <cell r="I387" t="str">
            <v>[]</v>
          </cell>
          <cell r="J387">
            <v>3</v>
          </cell>
          <cell r="K387">
            <v>10</v>
          </cell>
          <cell r="L387" t="str">
            <v>[]</v>
          </cell>
          <cell r="M387">
            <v>2</v>
          </cell>
          <cell r="N387">
            <v>2</v>
          </cell>
          <cell r="O387">
            <v>1</v>
          </cell>
          <cell r="P387">
            <v>2</v>
          </cell>
          <cell r="Q387">
            <v>4</v>
          </cell>
          <cell r="R387" t="str">
            <v>2|1</v>
          </cell>
          <cell r="S387" t="str">
            <v>4|0.2</v>
          </cell>
          <cell r="T387">
            <v>10</v>
          </cell>
          <cell r="U387">
            <v>1</v>
          </cell>
          <cell r="V387">
            <v>0</v>
          </cell>
          <cell r="W387" t="str">
            <v>[]</v>
          </cell>
          <cell r="X387">
            <v>3</v>
          </cell>
          <cell r="Y387" t="str">
            <v>[]</v>
          </cell>
          <cell r="Z387" t="str">
            <v>0,3.167,0</v>
          </cell>
          <cell r="AA387">
            <v>0</v>
          </cell>
          <cell r="AB387">
            <v>6</v>
          </cell>
          <cell r="AC387" t="str">
            <v>[]</v>
          </cell>
          <cell r="AD387" t="str">
            <v>[]</v>
          </cell>
          <cell r="AE387" t="str">
            <v>jinqianbaowang_skill04_bip</v>
          </cell>
          <cell r="AF387" t="str">
            <v>jinqianbaowang_skill04</v>
          </cell>
          <cell r="AG387" t="str">
            <v>common_hit_qinwuqi</v>
          </cell>
          <cell r="AH387" t="str">
            <v>[]</v>
          </cell>
          <cell r="AI387" t="str">
            <v>[]</v>
          </cell>
          <cell r="AJ387" t="str">
            <v>[]</v>
          </cell>
          <cell r="AK387" t="str">
            <v>[]</v>
          </cell>
          <cell r="AL387" t="str">
            <v>[]</v>
          </cell>
          <cell r="AM387" t="str">
            <v>[]</v>
          </cell>
          <cell r="AN387">
            <v>1</v>
          </cell>
          <cell r="AO387" t="str">
            <v>0.2,0.15,0.15,0.15,0.15,0.33,0.57</v>
          </cell>
          <cell r="AP387">
            <v>113904</v>
          </cell>
          <cell r="AQ387" t="str">
            <v>113904</v>
          </cell>
          <cell r="AR387" t="str">
            <v>[]</v>
          </cell>
          <cell r="AS387" t="str">
            <v>[]</v>
          </cell>
          <cell r="AT387" t="str">
            <v>115</v>
          </cell>
          <cell r="AU387" t="str">
            <v>4450</v>
          </cell>
          <cell r="AV387" t="str">
            <v>金钱豹王</v>
          </cell>
          <cell r="AW387" t="str">
            <v>04</v>
          </cell>
          <cell r="AX387">
            <v>1264</v>
          </cell>
          <cell r="AY387">
            <v>7</v>
          </cell>
          <cell r="BA387" t="str">
            <v>[]</v>
          </cell>
          <cell r="BE387" t="str">
            <v>[]</v>
          </cell>
          <cell r="BF387"/>
        </row>
        <row r="388">
          <cell r="A388" t="str">
            <v>yumianfuren_attack</v>
          </cell>
          <cell r="B388" t="str">
            <v>玉面夫人普攻</v>
          </cell>
          <cell r="C388" t="str">
            <v>拉弓射出弓箭攻击目标</v>
          </cell>
          <cell r="D388" t="str">
            <v>[]</v>
          </cell>
          <cell r="E388">
            <v>0</v>
          </cell>
          <cell r="F388" t="str">
            <v>[]</v>
          </cell>
          <cell r="G388" t="str">
            <v>玉面夫人远程攻击</v>
          </cell>
          <cell r="H388" t="str">
            <v>[]</v>
          </cell>
          <cell r="I388" t="str">
            <v>[]</v>
          </cell>
          <cell r="J388">
            <v>0</v>
          </cell>
          <cell r="K388">
            <v>1</v>
          </cell>
          <cell r="L388" t="str">
            <v>[]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10</v>
          </cell>
          <cell r="R388" t="str">
            <v>2|1</v>
          </cell>
          <cell r="S388" t="str">
            <v>4|0.2</v>
          </cell>
          <cell r="T388">
            <v>1</v>
          </cell>
          <cell r="U388">
            <v>1</v>
          </cell>
          <cell r="V388">
            <v>0</v>
          </cell>
          <cell r="W388" t="str">
            <v>[]</v>
          </cell>
          <cell r="X388">
            <v>0</v>
          </cell>
          <cell r="Y388" t="str">
            <v>[]</v>
          </cell>
          <cell r="Z388" t="str">
            <v>0,1,0</v>
          </cell>
          <cell r="AA388">
            <v>0</v>
          </cell>
          <cell r="AB388" t="str">
            <v>[]</v>
          </cell>
          <cell r="AC388" t="str">
            <v>[]</v>
          </cell>
          <cell r="AD388" t="str">
            <v>[]</v>
          </cell>
          <cell r="AE388" t="str">
            <v>[]</v>
          </cell>
          <cell r="AF388" t="str">
            <v>yumianfuren_attack</v>
          </cell>
          <cell r="AG388" t="str">
            <v>common_hit_qinwuqi</v>
          </cell>
          <cell r="AH388" t="str">
            <v>[]</v>
          </cell>
          <cell r="AI388" t="str">
            <v>[]</v>
          </cell>
          <cell r="AJ388" t="str">
            <v>[]</v>
          </cell>
          <cell r="AK388" t="str">
            <v>[]</v>
          </cell>
          <cell r="AL388" t="str">
            <v>[]</v>
          </cell>
          <cell r="AM388" t="str">
            <v>[]</v>
          </cell>
          <cell r="AN388">
            <v>2</v>
          </cell>
          <cell r="AO388" t="str">
            <v>[]</v>
          </cell>
          <cell r="AP388">
            <v>113800</v>
          </cell>
          <cell r="AQ388" t="str">
            <v>113800</v>
          </cell>
          <cell r="AR388" t="str">
            <v>[]</v>
          </cell>
          <cell r="AS388" t="str">
            <v>[]</v>
          </cell>
          <cell r="AT388" t="str">
            <v>5550</v>
          </cell>
          <cell r="AU388" t="str">
            <v>4460</v>
          </cell>
          <cell r="AV388" t="str">
            <v>玉面夫人远程攻击</v>
          </cell>
          <cell r="AW388" t="str">
            <v>ck</v>
          </cell>
          <cell r="AX388" t="str">
            <v>[]</v>
          </cell>
          <cell r="AY388">
            <v>1</v>
          </cell>
          <cell r="BA388" t="str">
            <v>[]</v>
          </cell>
          <cell r="BE388" t="str">
            <v>[]</v>
          </cell>
          <cell r="BF388"/>
        </row>
        <row r="389">
          <cell r="A389" t="str">
            <v>yumianfuren_skill01</v>
          </cell>
          <cell r="B389" t="str">
            <v>急速飞箭</v>
          </cell>
          <cell r="C389" t="str">
            <v>快速向扇形范围召唤密集飞箭，对范围内目标造成6次主角攻击力@s的伤害</v>
          </cell>
          <cell r="D389" t="str">
            <v>[]</v>
          </cell>
          <cell r="E389">
            <v>0</v>
          </cell>
          <cell r="F389" t="str">
            <v>[]</v>
          </cell>
          <cell r="G389" t="str">
            <v>急速飞箭</v>
          </cell>
          <cell r="H389" t="str">
            <v>jisufeijian</v>
          </cell>
          <cell r="I389" t="str">
            <v>jisufeijian</v>
          </cell>
          <cell r="J389">
            <v>0</v>
          </cell>
          <cell r="K389">
            <v>10</v>
          </cell>
          <cell r="L389" t="str">
            <v>1|38</v>
          </cell>
          <cell r="M389">
            <v>2</v>
          </cell>
          <cell r="N389">
            <v>2</v>
          </cell>
          <cell r="O389">
            <v>1</v>
          </cell>
          <cell r="P389">
            <v>2</v>
          </cell>
          <cell r="Q389">
            <v>12</v>
          </cell>
          <cell r="R389" t="str">
            <v>2|1</v>
          </cell>
          <cell r="S389" t="str">
            <v>3|12|60</v>
          </cell>
          <cell r="T389">
            <v>10</v>
          </cell>
          <cell r="U389">
            <v>1</v>
          </cell>
          <cell r="V389">
            <v>0</v>
          </cell>
          <cell r="W389" t="str">
            <v>[]</v>
          </cell>
          <cell r="X389">
            <v>0</v>
          </cell>
          <cell r="Y389" t="str">
            <v>[]</v>
          </cell>
          <cell r="Z389" t="str">
            <v>0,1,0</v>
          </cell>
          <cell r="AA389">
            <v>0</v>
          </cell>
          <cell r="AB389" t="str">
            <v>12</v>
          </cell>
          <cell r="AC389" t="str">
            <v>[]</v>
          </cell>
          <cell r="AD389" t="str">
            <v>[]</v>
          </cell>
          <cell r="AE389" t="str">
            <v>[]</v>
          </cell>
          <cell r="AF389" t="str">
            <v>jisufeijian</v>
          </cell>
          <cell r="AG389" t="str">
            <v>common_hit_qinwuqi</v>
          </cell>
          <cell r="AH389" t="str">
            <v>[]</v>
          </cell>
          <cell r="AI389" t="str">
            <v>[]</v>
          </cell>
          <cell r="AJ389" t="str">
            <v>[]</v>
          </cell>
          <cell r="AK389" t="str">
            <v>[]</v>
          </cell>
          <cell r="AL389" t="str">
            <v>[]</v>
          </cell>
          <cell r="AM389" t="str">
            <v>[]</v>
          </cell>
          <cell r="AN389">
            <v>2</v>
          </cell>
          <cell r="AO389" t="str">
            <v>0.5,0.20,0.18,0.18,0.18,0.18</v>
          </cell>
          <cell r="AP389">
            <v>113801</v>
          </cell>
          <cell r="AQ389" t="str">
            <v>113801</v>
          </cell>
          <cell r="AR389" t="str">
            <v>[]</v>
          </cell>
          <cell r="AS389" t="str">
            <v>[]</v>
          </cell>
          <cell r="AT389" t="str">
            <v>115</v>
          </cell>
          <cell r="AU389" t="str">
            <v>4470</v>
          </cell>
          <cell r="AV389" t="str">
            <v>急速飞箭</v>
          </cell>
          <cell r="AW389" t="str">
            <v>01</v>
          </cell>
          <cell r="AX389" t="str">
            <v>[]</v>
          </cell>
          <cell r="AY389">
            <v>6</v>
          </cell>
          <cell r="BA389" t="str">
            <v>[]</v>
          </cell>
          <cell r="BE389" t="str">
            <v>[]</v>
          </cell>
          <cell r="BF389"/>
        </row>
        <row r="390">
          <cell r="A390" t="str">
            <v>yumianfuren_skill02</v>
          </cell>
          <cell r="B390" t="str">
            <v>震裂箭</v>
          </cell>
          <cell r="C390" t="str">
            <v>玉面夫人蓄力对目标发射震裂箭对命中目标造成自身攻击力@s的伤害,并击退对手</v>
          </cell>
          <cell r="D390" t="str">
            <v>[]</v>
          </cell>
          <cell r="E390">
            <v>2</v>
          </cell>
          <cell r="F390" t="str">
            <v>boss_warning_shanxing90</v>
          </cell>
          <cell r="G390" t="str">
            <v>玉面夫人技能2</v>
          </cell>
          <cell r="H390" t="str">
            <v>yumianfuren_skill02</v>
          </cell>
          <cell r="I390" t="str">
            <v>[]</v>
          </cell>
          <cell r="J390">
            <v>1</v>
          </cell>
          <cell r="K390">
            <v>10</v>
          </cell>
          <cell r="L390" t="str">
            <v>[]</v>
          </cell>
          <cell r="M390">
            <v>2</v>
          </cell>
          <cell r="N390">
            <v>2</v>
          </cell>
          <cell r="O390">
            <v>1</v>
          </cell>
          <cell r="P390">
            <v>2</v>
          </cell>
          <cell r="Q390">
            <v>4</v>
          </cell>
          <cell r="R390" t="str">
            <v>2|1</v>
          </cell>
          <cell r="S390" t="str">
            <v>1|1|1</v>
          </cell>
          <cell r="T390">
            <v>10</v>
          </cell>
          <cell r="U390">
            <v>0</v>
          </cell>
          <cell r="V390">
            <v>0</v>
          </cell>
          <cell r="W390" t="str">
            <v>[]</v>
          </cell>
          <cell r="X390">
            <v>3</v>
          </cell>
          <cell r="Y390" t="str">
            <v>[]</v>
          </cell>
          <cell r="Z390" t="str">
            <v>0.85,0,0</v>
          </cell>
          <cell r="AA390">
            <v>0</v>
          </cell>
          <cell r="AB390">
            <v>6</v>
          </cell>
          <cell r="AC390" t="str">
            <v>[]</v>
          </cell>
          <cell r="AD390" t="str">
            <v>[]</v>
          </cell>
          <cell r="AE390" t="str">
            <v>yumianfuren_skill02</v>
          </cell>
          <cell r="AF390" t="str">
            <v>yumianfuren_skill02_f</v>
          </cell>
          <cell r="AG390" t="str">
            <v>yumianfuren_skill02_b,common_hit_qinwuqi</v>
          </cell>
          <cell r="AH390" t="str">
            <v>[]</v>
          </cell>
          <cell r="AI390" t="str">
            <v>[]</v>
          </cell>
          <cell r="AJ390" t="str">
            <v>[]</v>
          </cell>
          <cell r="AK390" t="str">
            <v>jituiTN5P1</v>
          </cell>
          <cell r="AL390" t="str">
            <v>[]</v>
          </cell>
          <cell r="AM390" t="str">
            <v>[]</v>
          </cell>
          <cell r="AN390">
            <v>2</v>
          </cell>
          <cell r="AO390">
            <v>-2</v>
          </cell>
          <cell r="AP390">
            <v>113802</v>
          </cell>
          <cell r="AQ390" t="str">
            <v>113802</v>
          </cell>
          <cell r="AR390" t="str">
            <v>[]</v>
          </cell>
          <cell r="AS390" t="str">
            <v>[]</v>
          </cell>
          <cell r="AT390" t="str">
            <v>115</v>
          </cell>
          <cell r="AU390" t="str">
            <v>4480</v>
          </cell>
          <cell r="AV390" t="str">
            <v>玉面夫人</v>
          </cell>
          <cell r="AW390" t="str">
            <v>02</v>
          </cell>
          <cell r="AX390" t="str">
            <v>[]</v>
          </cell>
          <cell r="AY390">
            <v>1</v>
          </cell>
          <cell r="BA390" t="str">
            <v>[]</v>
          </cell>
          <cell r="BE390" t="str">
            <v>[]</v>
          </cell>
          <cell r="BF390"/>
        </row>
        <row r="391">
          <cell r="A391" t="str">
            <v>yumianfuren_skill03</v>
          </cell>
          <cell r="B391" t="str">
            <v>闪避光环</v>
          </cell>
          <cell r="C391" t="str">
            <v>进入战斗场景时，增加自身@s的闪避率</v>
          </cell>
          <cell r="D391">
            <v>1262</v>
          </cell>
          <cell r="E391">
            <v>0</v>
          </cell>
          <cell r="F391" t="str">
            <v>[]</v>
          </cell>
          <cell r="G391" t="str">
            <v>玉面夫人被动技能</v>
          </cell>
          <cell r="H391" t="str">
            <v>shanbi</v>
          </cell>
          <cell r="I391" t="str">
            <v>[]</v>
          </cell>
          <cell r="J391">
            <v>2</v>
          </cell>
          <cell r="K391">
            <v>10</v>
          </cell>
          <cell r="L391" t="str">
            <v>[]</v>
          </cell>
          <cell r="M391">
            <v>2</v>
          </cell>
          <cell r="N391">
            <v>2</v>
          </cell>
          <cell r="O391">
            <v>3</v>
          </cell>
          <cell r="P391">
            <v>0</v>
          </cell>
          <cell r="Q391">
            <v>12</v>
          </cell>
          <cell r="R391">
            <v>1</v>
          </cell>
          <cell r="S391" t="str">
            <v>4|0.2</v>
          </cell>
          <cell r="T391">
            <v>1</v>
          </cell>
          <cell r="U391">
            <v>0</v>
          </cell>
          <cell r="V391">
            <v>0</v>
          </cell>
          <cell r="W391" t="str">
            <v>[]</v>
          </cell>
          <cell r="X391">
            <v>0</v>
          </cell>
          <cell r="Y391" t="str">
            <v>[]</v>
          </cell>
          <cell r="Z391" t="str">
            <v>0,0,0</v>
          </cell>
          <cell r="AA391">
            <v>0</v>
          </cell>
          <cell r="AB391" t="str">
            <v>[]</v>
          </cell>
          <cell r="AC391" t="str">
            <v>[]</v>
          </cell>
          <cell r="AD391" t="str">
            <v>[]</v>
          </cell>
          <cell r="AE391" t="str">
            <v>[]</v>
          </cell>
          <cell r="AF391" t="str">
            <v>[]</v>
          </cell>
          <cell r="AG391" t="str">
            <v>[]</v>
          </cell>
          <cell r="AH391" t="str">
            <v>[]</v>
          </cell>
          <cell r="AI391" t="str">
            <v>[]</v>
          </cell>
          <cell r="AJ391" t="str">
            <v>[]</v>
          </cell>
          <cell r="AK391" t="str">
            <v>[]</v>
          </cell>
          <cell r="AL391" t="str">
            <v>passive_yumianfuren</v>
          </cell>
          <cell r="AM391" t="str">
            <v>[]</v>
          </cell>
          <cell r="AN391">
            <v>0</v>
          </cell>
          <cell r="AO391" t="str">
            <v>[]</v>
          </cell>
          <cell r="AP391" t="str">
            <v>[]</v>
          </cell>
          <cell r="AQ391" t="str">
            <v>9010</v>
          </cell>
          <cell r="AR391" t="str">
            <v>[]</v>
          </cell>
          <cell r="AS391" t="str">
            <v>[]</v>
          </cell>
          <cell r="AT391" t="str">
            <v>115</v>
          </cell>
          <cell r="AU391" t="str">
            <v>4491</v>
          </cell>
          <cell r="AV391" t="str">
            <v>玉面夫人</v>
          </cell>
          <cell r="AW391" t="str">
            <v>03</v>
          </cell>
          <cell r="AX391">
            <v>1262</v>
          </cell>
          <cell r="AY391">
            <v>1</v>
          </cell>
          <cell r="BA391" t="str">
            <v>[]</v>
          </cell>
          <cell r="BE391" t="str">
            <v>[]</v>
          </cell>
          <cell r="BF391"/>
        </row>
        <row r="392">
          <cell r="A392" t="str">
            <v>yumianfuren_skill04</v>
          </cell>
          <cell r="B392" t="str">
            <v>聚能一击</v>
          </cell>
          <cell r="C392" t="str">
            <v>玉面夫人蓄力拉满弓，对目标发动致命一箭对命中目标造成自身攻击力@s的伤害,并击退对手</v>
          </cell>
          <cell r="D392">
            <v>1264</v>
          </cell>
          <cell r="E392">
            <v>2</v>
          </cell>
          <cell r="F392" t="str">
            <v>boss_warning_shanxing90</v>
          </cell>
          <cell r="G392" t="str">
            <v>玉面夫人技能4</v>
          </cell>
          <cell r="H392" t="str">
            <v>yumianfuren_skill04</v>
          </cell>
          <cell r="I392" t="str">
            <v>[]</v>
          </cell>
          <cell r="J392">
            <v>3</v>
          </cell>
          <cell r="K392">
            <v>10</v>
          </cell>
          <cell r="L392" t="str">
            <v>[]</v>
          </cell>
          <cell r="M392">
            <v>2</v>
          </cell>
          <cell r="N392">
            <v>2</v>
          </cell>
          <cell r="O392">
            <v>1</v>
          </cell>
          <cell r="P392">
            <v>2</v>
          </cell>
          <cell r="Q392">
            <v>4</v>
          </cell>
          <cell r="R392" t="str">
            <v>2|1</v>
          </cell>
          <cell r="S392" t="str">
            <v>1|2|2</v>
          </cell>
          <cell r="T392">
            <v>1</v>
          </cell>
          <cell r="U392">
            <v>0</v>
          </cell>
          <cell r="V392">
            <v>0</v>
          </cell>
          <cell r="W392" t="str">
            <v>[]</v>
          </cell>
          <cell r="X392">
            <v>3</v>
          </cell>
          <cell r="Y392" t="str">
            <v>[]</v>
          </cell>
          <cell r="Z392" t="str">
            <v>1.2,1.35,0</v>
          </cell>
          <cell r="AA392">
            <v>0</v>
          </cell>
          <cell r="AB392">
            <v>6</v>
          </cell>
          <cell r="AC392" t="str">
            <v>[]</v>
          </cell>
          <cell r="AD392" t="str">
            <v>[]</v>
          </cell>
          <cell r="AE392" t="str">
            <v>yumianfuren_skill04</v>
          </cell>
          <cell r="AF392" t="str">
            <v>yumianfuren_skill04_f,yumianfuren_skill04_f_tuowei</v>
          </cell>
          <cell r="AG392" t="str">
            <v>common_hit_qinwuqi</v>
          </cell>
          <cell r="AH392" t="str">
            <v>[]</v>
          </cell>
          <cell r="AI392" t="str">
            <v>[]</v>
          </cell>
          <cell r="AJ392" t="str">
            <v>[]</v>
          </cell>
          <cell r="AK392" t="str">
            <v>jituiTN5P1</v>
          </cell>
          <cell r="AL392" t="str">
            <v>[]</v>
          </cell>
          <cell r="AM392" t="str">
            <v>[]</v>
          </cell>
          <cell r="AN392">
            <v>2</v>
          </cell>
          <cell r="AO392">
            <v>-4</v>
          </cell>
          <cell r="AP392">
            <v>113804</v>
          </cell>
          <cell r="AQ392" t="str">
            <v>113804</v>
          </cell>
          <cell r="AR392" t="str">
            <v>[]</v>
          </cell>
          <cell r="AS392" t="str">
            <v>[]</v>
          </cell>
          <cell r="AT392" t="str">
            <v>5640</v>
          </cell>
          <cell r="AU392" t="str">
            <v>4500</v>
          </cell>
          <cell r="AV392" t="str">
            <v>玉面夫人</v>
          </cell>
          <cell r="AW392" t="str">
            <v>04</v>
          </cell>
          <cell r="AX392">
            <v>1264</v>
          </cell>
          <cell r="AY392">
            <v>1</v>
          </cell>
          <cell r="BA392" t="str">
            <v>[]</v>
          </cell>
          <cell r="BE392" t="str">
            <v>[]</v>
          </cell>
          <cell r="BF392"/>
        </row>
        <row r="393">
          <cell r="A393" t="str">
            <v>dizangwang_attack</v>
          </cell>
          <cell r="B393" t="str">
            <v>地藏王</v>
          </cell>
          <cell r="C393" t="str">
            <v>攻击目标</v>
          </cell>
          <cell r="D393" t="str">
            <v>[]</v>
          </cell>
          <cell r="E393">
            <v>0</v>
          </cell>
          <cell r="F393" t="str">
            <v>[]</v>
          </cell>
          <cell r="G393" t="str">
            <v>远程攻击</v>
          </cell>
          <cell r="H393" t="str">
            <v>[]</v>
          </cell>
          <cell r="I393" t="str">
            <v>[]</v>
          </cell>
          <cell r="J393">
            <v>0</v>
          </cell>
          <cell r="K393">
            <v>1</v>
          </cell>
          <cell r="L393" t="str">
            <v>[]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 t="str">
            <v>2|1</v>
          </cell>
          <cell r="S393" t="str">
            <v>4|0.2</v>
          </cell>
          <cell r="T393">
            <v>1</v>
          </cell>
          <cell r="U393">
            <v>1</v>
          </cell>
          <cell r="V393">
            <v>0</v>
          </cell>
          <cell r="W393" t="str">
            <v>[]</v>
          </cell>
          <cell r="X393">
            <v>0</v>
          </cell>
          <cell r="Y393" t="str">
            <v>[]</v>
          </cell>
          <cell r="Z393" t="str">
            <v>0,1,0</v>
          </cell>
          <cell r="AA393">
            <v>0</v>
          </cell>
          <cell r="AB393" t="str">
            <v>[]</v>
          </cell>
          <cell r="AC393" t="str">
            <v>[]</v>
          </cell>
          <cell r="AD393" t="str">
            <v>[]</v>
          </cell>
          <cell r="AE393" t="str">
            <v>[]</v>
          </cell>
          <cell r="AF393" t="str">
            <v>dizangwang_attack_f</v>
          </cell>
          <cell r="AG393" t="str">
            <v>dizangwang_attack_b</v>
          </cell>
          <cell r="AH393" t="str">
            <v>[]</v>
          </cell>
          <cell r="AI393" t="str">
            <v>[]</v>
          </cell>
          <cell r="AJ393" t="str">
            <v>[]</v>
          </cell>
          <cell r="AK393" t="str">
            <v>[]</v>
          </cell>
          <cell r="AL393" t="str">
            <v>[]</v>
          </cell>
          <cell r="AM393" t="str">
            <v>[]</v>
          </cell>
          <cell r="AN393">
            <v>2</v>
          </cell>
          <cell r="AO393">
            <v>-2</v>
          </cell>
          <cell r="AP393">
            <v>113000</v>
          </cell>
          <cell r="AQ393" t="str">
            <v>113000</v>
          </cell>
          <cell r="AR393" t="str">
            <v>[]</v>
          </cell>
          <cell r="AS393" t="str">
            <v>[]</v>
          </cell>
          <cell r="AT393" t="str">
            <v>115</v>
          </cell>
          <cell r="AU393" t="str">
            <v>4510</v>
          </cell>
          <cell r="AV393" t="str">
            <v>远程攻击</v>
          </cell>
          <cell r="AW393" t="str">
            <v>ck</v>
          </cell>
          <cell r="AX393" t="str">
            <v>[]</v>
          </cell>
          <cell r="AY393">
            <v>1</v>
          </cell>
          <cell r="BA393" t="str">
            <v>[]</v>
          </cell>
          <cell r="BE393" t="str">
            <v>[]</v>
          </cell>
          <cell r="BF393"/>
        </row>
        <row r="394">
          <cell r="A394" t="str">
            <v>dizangwang_skill01</v>
          </cell>
          <cell r="B394" t="str">
            <v>金刚之盾</v>
          </cell>
          <cell r="C394" t="str">
            <v>释放金刚之盾，提高范围内队友@s的防御力，持续3秒</v>
          </cell>
          <cell r="D394" t="str">
            <v>[]</v>
          </cell>
          <cell r="E394">
            <v>0</v>
          </cell>
          <cell r="F394" t="str">
            <v>[]</v>
          </cell>
          <cell r="G394" t="str">
            <v>地藏王核心技能</v>
          </cell>
          <cell r="H394" t="str">
            <v>dizangwang_skill01</v>
          </cell>
          <cell r="I394" t="str">
            <v>dizangwang_skill01</v>
          </cell>
          <cell r="J394">
            <v>0</v>
          </cell>
          <cell r="K394">
            <v>10</v>
          </cell>
          <cell r="L394" t="str">
            <v>1|35</v>
          </cell>
          <cell r="M394">
            <v>2</v>
          </cell>
          <cell r="N394">
            <v>2</v>
          </cell>
          <cell r="O394">
            <v>1</v>
          </cell>
          <cell r="P394">
            <v>2</v>
          </cell>
          <cell r="Q394">
            <v>12</v>
          </cell>
          <cell r="R394" t="str">
            <v>3|1</v>
          </cell>
          <cell r="S394" t="str">
            <v>2|20</v>
          </cell>
          <cell r="T394">
            <v>10</v>
          </cell>
          <cell r="U394">
            <v>0</v>
          </cell>
          <cell r="V394">
            <v>0</v>
          </cell>
          <cell r="W394" t="str">
            <v>[]</v>
          </cell>
          <cell r="X394">
            <v>0</v>
          </cell>
          <cell r="Y394" t="str">
            <v>[]</v>
          </cell>
          <cell r="Z394" t="str">
            <v>0,1,0</v>
          </cell>
          <cell r="AA394">
            <v>0</v>
          </cell>
          <cell r="AB394" t="str">
            <v>12</v>
          </cell>
          <cell r="AC394" t="str">
            <v>[]</v>
          </cell>
          <cell r="AD394" t="str">
            <v>[]</v>
          </cell>
          <cell r="AE394" t="str">
            <v>[]</v>
          </cell>
          <cell r="AF394" t="str">
            <v>dizangwang_skill01_q</v>
          </cell>
          <cell r="AG394" t="str">
            <v>dizangwang_skill01</v>
          </cell>
          <cell r="AH394" t="str">
            <v>[]</v>
          </cell>
          <cell r="AI394" t="str">
            <v>[]</v>
          </cell>
          <cell r="AJ394" t="str">
            <v>[]</v>
          </cell>
          <cell r="AK394" t="str">
            <v>[]</v>
          </cell>
          <cell r="AL394" t="str">
            <v>[]</v>
          </cell>
          <cell r="AM394" t="str">
            <v>jianshangupT3N0.1</v>
          </cell>
          <cell r="AN394">
            <v>1</v>
          </cell>
          <cell r="AO394">
            <v>0.01</v>
          </cell>
          <cell r="AP394" t="str">
            <v>[]</v>
          </cell>
          <cell r="AQ394" t="str">
            <v>9020</v>
          </cell>
          <cell r="AR394" t="str">
            <v>[]</v>
          </cell>
          <cell r="AS394" t="str">
            <v>[]</v>
          </cell>
          <cell r="AT394" t="str">
            <v>115</v>
          </cell>
          <cell r="AU394" t="str">
            <v>4520</v>
          </cell>
          <cell r="AV394" t="str">
            <v>地藏王</v>
          </cell>
          <cell r="AW394" t="str">
            <v>01</v>
          </cell>
          <cell r="AX394" t="str">
            <v>[]</v>
          </cell>
          <cell r="AY394">
            <v>1</v>
          </cell>
          <cell r="BA394" t="str">
            <v>[]</v>
          </cell>
          <cell r="BE394" t="str">
            <v>[]</v>
          </cell>
          <cell r="BF394"/>
        </row>
        <row r="395">
          <cell r="A395" t="str">
            <v>dizangwang_skill02</v>
          </cell>
          <cell r="B395" t="str">
            <v>地涌金莲</v>
          </cell>
          <cell r="C395" t="str">
            <v>地藏王召唤金莲，治疗单个队友，恢复自身攻击力@s的生命值</v>
          </cell>
          <cell r="D395" t="str">
            <v>[]</v>
          </cell>
          <cell r="E395">
            <v>0</v>
          </cell>
          <cell r="F395" t="str">
            <v>[]</v>
          </cell>
          <cell r="G395" t="str">
            <v>地藏王技能2</v>
          </cell>
          <cell r="H395" t="str">
            <v>dizangwang_skill02</v>
          </cell>
          <cell r="I395" t="str">
            <v>[]</v>
          </cell>
          <cell r="J395">
            <v>1</v>
          </cell>
          <cell r="K395">
            <v>10</v>
          </cell>
          <cell r="L395" t="str">
            <v>[]</v>
          </cell>
          <cell r="M395">
            <v>2</v>
          </cell>
          <cell r="N395">
            <v>2</v>
          </cell>
          <cell r="O395">
            <v>1</v>
          </cell>
          <cell r="P395">
            <v>4</v>
          </cell>
          <cell r="Q395">
            <v>4</v>
          </cell>
          <cell r="R395">
            <v>3</v>
          </cell>
          <cell r="S395">
            <v>7</v>
          </cell>
          <cell r="T395">
            <v>1</v>
          </cell>
          <cell r="U395">
            <v>0</v>
          </cell>
          <cell r="V395">
            <v>0</v>
          </cell>
          <cell r="W395" t="str">
            <v>[]</v>
          </cell>
          <cell r="X395">
            <v>3</v>
          </cell>
          <cell r="Y395" t="str">
            <v>[]</v>
          </cell>
          <cell r="Z395" t="str">
            <v>0,1.0,0</v>
          </cell>
          <cell r="AA395">
            <v>0</v>
          </cell>
          <cell r="AB395">
            <v>6</v>
          </cell>
          <cell r="AC395" t="str">
            <v>[]</v>
          </cell>
          <cell r="AD395" t="str">
            <v>[]</v>
          </cell>
          <cell r="AE395" t="str">
            <v>[]</v>
          </cell>
          <cell r="AF395" t="str">
            <v>dizangwang_skill02</v>
          </cell>
          <cell r="AG395" t="str">
            <v>respond_hp</v>
          </cell>
          <cell r="AH395" t="str">
            <v>[]</v>
          </cell>
          <cell r="AI395" t="str">
            <v>[]</v>
          </cell>
          <cell r="AJ395" t="str">
            <v>[]</v>
          </cell>
          <cell r="AK395" t="str">
            <v>[]</v>
          </cell>
          <cell r="AL395" t="str">
            <v>[]</v>
          </cell>
          <cell r="AM395" t="str">
            <v>[]</v>
          </cell>
          <cell r="AN395">
            <v>1</v>
          </cell>
          <cell r="AO395">
            <v>0.01</v>
          </cell>
          <cell r="AP395">
            <v>113002</v>
          </cell>
          <cell r="AQ395" t="str">
            <v>113002</v>
          </cell>
          <cell r="AR395" t="str">
            <v>[]</v>
          </cell>
          <cell r="AS395" t="str">
            <v>[]</v>
          </cell>
          <cell r="AT395" t="str">
            <v>116</v>
          </cell>
          <cell r="AU395" t="str">
            <v>4530</v>
          </cell>
          <cell r="AV395" t="str">
            <v>地藏王</v>
          </cell>
          <cell r="AW395" t="str">
            <v>02</v>
          </cell>
          <cell r="AX395" t="str">
            <v>[]</v>
          </cell>
          <cell r="AY395">
            <v>1</v>
          </cell>
          <cell r="BA395" t="str">
            <v>[]</v>
          </cell>
          <cell r="BE395" t="str">
            <v>[]</v>
          </cell>
          <cell r="BF395"/>
        </row>
        <row r="396">
          <cell r="A396" t="str">
            <v>dizangwang_skill03</v>
          </cell>
          <cell r="B396" t="str">
            <v>生命光环</v>
          </cell>
          <cell r="C396" t="str">
            <v>进入战斗场景时，提高全队@s的生命上限</v>
          </cell>
          <cell r="D396">
            <v>1262</v>
          </cell>
          <cell r="E396">
            <v>0</v>
          </cell>
          <cell r="F396" t="str">
            <v>[]</v>
          </cell>
          <cell r="G396" t="str">
            <v>地藏王被动技能</v>
          </cell>
          <cell r="H396" t="str">
            <v>shengming</v>
          </cell>
          <cell r="I396" t="str">
            <v>[]</v>
          </cell>
          <cell r="J396">
            <v>2</v>
          </cell>
          <cell r="K396">
            <v>10</v>
          </cell>
          <cell r="L396" t="str">
            <v>[]</v>
          </cell>
          <cell r="M396">
            <v>2</v>
          </cell>
          <cell r="N396">
            <v>2</v>
          </cell>
          <cell r="O396">
            <v>3</v>
          </cell>
          <cell r="P396">
            <v>0</v>
          </cell>
          <cell r="Q396">
            <v>12</v>
          </cell>
          <cell r="R396">
            <v>3</v>
          </cell>
          <cell r="S396">
            <v>5</v>
          </cell>
          <cell r="T396">
            <v>10</v>
          </cell>
          <cell r="U396">
            <v>0</v>
          </cell>
          <cell r="V396">
            <v>0</v>
          </cell>
          <cell r="W396" t="str">
            <v>[]</v>
          </cell>
          <cell r="X396">
            <v>0</v>
          </cell>
          <cell r="Y396" t="str">
            <v>[]</v>
          </cell>
          <cell r="Z396" t="str">
            <v>0,0,0</v>
          </cell>
          <cell r="AA396">
            <v>0</v>
          </cell>
          <cell r="AB396" t="str">
            <v>[]</v>
          </cell>
          <cell r="AC396" t="str">
            <v>[]</v>
          </cell>
          <cell r="AD396" t="str">
            <v>[]</v>
          </cell>
          <cell r="AE396" t="str">
            <v>[]</v>
          </cell>
          <cell r="AF396" t="str">
            <v>[]</v>
          </cell>
          <cell r="AG396" t="str">
            <v>[]</v>
          </cell>
          <cell r="AH396" t="str">
            <v>[]</v>
          </cell>
          <cell r="AI396" t="str">
            <v>[]</v>
          </cell>
          <cell r="AJ396" t="str">
            <v>dizhangwang_skill03_hp</v>
          </cell>
          <cell r="AK396" t="str">
            <v>[]</v>
          </cell>
          <cell r="AL396" t="str">
            <v>[]</v>
          </cell>
          <cell r="AM396" t="str">
            <v>[]</v>
          </cell>
          <cell r="AN396">
            <v>0</v>
          </cell>
          <cell r="AO396" t="str">
            <v>[]</v>
          </cell>
          <cell r="AP396" t="str">
            <v>[]</v>
          </cell>
          <cell r="AQ396" t="str">
            <v>9010</v>
          </cell>
          <cell r="AR396" t="str">
            <v>[]</v>
          </cell>
          <cell r="AS396" t="str">
            <v>[]</v>
          </cell>
          <cell r="AT396" t="str">
            <v>115</v>
          </cell>
          <cell r="AU396" t="str">
            <v>4540</v>
          </cell>
          <cell r="AV396" t="str">
            <v>地藏王</v>
          </cell>
          <cell r="AW396" t="str">
            <v>03</v>
          </cell>
          <cell r="AX396">
            <v>1262</v>
          </cell>
          <cell r="AY396">
            <v>1</v>
          </cell>
          <cell r="BA396" t="str">
            <v>[]</v>
          </cell>
          <cell r="BE396" t="str">
            <v>[]</v>
          </cell>
          <cell r="BF396"/>
        </row>
        <row r="397">
          <cell r="A397" t="str">
            <v>dizangwang_skill04</v>
          </cell>
          <cell r="B397" t="str">
            <v>梵音咒</v>
          </cell>
          <cell r="C397" t="str">
            <v>地藏王念起梵音咒，对命中目标造成自身攻击力@s的伤害，并降低@s攻击力</v>
          </cell>
          <cell r="D397">
            <v>1264</v>
          </cell>
          <cell r="E397">
            <v>2</v>
          </cell>
          <cell r="F397" t="str">
            <v>boss_warning_shanxing90</v>
          </cell>
          <cell r="G397" t="str">
            <v>地藏王技能4</v>
          </cell>
          <cell r="H397" t="str">
            <v>dizangwang_skill04</v>
          </cell>
          <cell r="I397" t="str">
            <v>[]</v>
          </cell>
          <cell r="J397">
            <v>3</v>
          </cell>
          <cell r="K397">
            <v>10</v>
          </cell>
          <cell r="L397" t="str">
            <v>[]</v>
          </cell>
          <cell r="M397">
            <v>2</v>
          </cell>
          <cell r="N397">
            <v>2</v>
          </cell>
          <cell r="O397">
            <v>1</v>
          </cell>
          <cell r="P397">
            <v>2</v>
          </cell>
          <cell r="Q397">
            <v>4</v>
          </cell>
          <cell r="R397" t="str">
            <v>2|1</v>
          </cell>
          <cell r="S397" t="str">
            <v>3|15|60</v>
          </cell>
          <cell r="T397">
            <v>10</v>
          </cell>
          <cell r="U397">
            <v>0</v>
          </cell>
          <cell r="V397">
            <v>0</v>
          </cell>
          <cell r="W397" t="str">
            <v>[]</v>
          </cell>
          <cell r="X397">
            <v>3</v>
          </cell>
          <cell r="Y397" t="str">
            <v>[]</v>
          </cell>
          <cell r="Z397" t="str">
            <v>0,1.167,0</v>
          </cell>
          <cell r="AA397">
            <v>0</v>
          </cell>
          <cell r="AB397">
            <v>6</v>
          </cell>
          <cell r="AC397" t="str">
            <v>[]</v>
          </cell>
          <cell r="AD397" t="str">
            <v>[]</v>
          </cell>
          <cell r="AE397" t="str">
            <v>[]</v>
          </cell>
          <cell r="AF397" t="str">
            <v>dizangwang_skill04</v>
          </cell>
          <cell r="AG397" t="str">
            <v>common_hit_fashu</v>
          </cell>
          <cell r="AH397" t="str">
            <v>[]</v>
          </cell>
          <cell r="AI397" t="str">
            <v>[]</v>
          </cell>
          <cell r="AJ397" t="str">
            <v>[]</v>
          </cell>
          <cell r="AK397" t="str">
            <v>[]</v>
          </cell>
          <cell r="AL397" t="str">
            <v>[]</v>
          </cell>
          <cell r="AM397" t="str">
            <v>jiashangupT3N0.1</v>
          </cell>
          <cell r="AN397">
            <v>1</v>
          </cell>
          <cell r="AO397">
            <v>1.1000000000000001</v>
          </cell>
          <cell r="AP397">
            <v>113004</v>
          </cell>
          <cell r="AQ397" t="str">
            <v>113004,9010</v>
          </cell>
          <cell r="AR397" t="str">
            <v>[]</v>
          </cell>
          <cell r="AS397" t="str">
            <v>[]</v>
          </cell>
          <cell r="AT397" t="str">
            <v>115</v>
          </cell>
          <cell r="AU397" t="str">
            <v>4550</v>
          </cell>
          <cell r="AV397" t="str">
            <v>地藏王</v>
          </cell>
          <cell r="AW397" t="str">
            <v>04</v>
          </cell>
          <cell r="AX397">
            <v>1264</v>
          </cell>
          <cell r="AY397">
            <v>1</v>
          </cell>
          <cell r="BA397" t="str">
            <v>[]</v>
          </cell>
          <cell r="BE397" t="str">
            <v>[]</v>
          </cell>
          <cell r="BF397"/>
        </row>
        <row r="398">
          <cell r="A398" t="str">
            <v>jinghelongwang_attack</v>
          </cell>
          <cell r="B398" t="str">
            <v>普攻</v>
          </cell>
          <cell r="C398" t="str">
            <v>挥动刀挥砍目标</v>
          </cell>
          <cell r="D398" t="str">
            <v>[]</v>
          </cell>
          <cell r="E398">
            <v>0</v>
          </cell>
          <cell r="F398" t="str">
            <v>[]</v>
          </cell>
          <cell r="G398" t="str">
            <v>近战攻击</v>
          </cell>
          <cell r="H398" t="str">
            <v>[]</v>
          </cell>
          <cell r="I398" t="str">
            <v>[]</v>
          </cell>
          <cell r="J398">
            <v>0</v>
          </cell>
          <cell r="K398">
            <v>1</v>
          </cell>
          <cell r="L398" t="str">
            <v>[]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3</v>
          </cell>
          <cell r="R398" t="str">
            <v>2|1</v>
          </cell>
          <cell r="S398" t="str">
            <v>4|0.2</v>
          </cell>
          <cell r="T398">
            <v>1</v>
          </cell>
          <cell r="U398">
            <v>1</v>
          </cell>
          <cell r="V398">
            <v>0</v>
          </cell>
          <cell r="W398" t="str">
            <v>[]</v>
          </cell>
          <cell r="X398">
            <v>0</v>
          </cell>
          <cell r="Y398" t="str">
            <v>[]</v>
          </cell>
          <cell r="Z398" t="str">
            <v>0,1,0</v>
          </cell>
          <cell r="AA398">
            <v>0</v>
          </cell>
          <cell r="AB398" t="str">
            <v>[]</v>
          </cell>
          <cell r="AC398" t="str">
            <v>[]</v>
          </cell>
          <cell r="AD398" t="str">
            <v>[]</v>
          </cell>
          <cell r="AE398" t="str">
            <v>[]</v>
          </cell>
          <cell r="AF398" t="str">
            <v>jinghelongwang_attack</v>
          </cell>
          <cell r="AG398" t="str">
            <v>jinghelongwang_hit</v>
          </cell>
          <cell r="AH398" t="str">
            <v>[]</v>
          </cell>
          <cell r="AI398" t="str">
            <v>[]</v>
          </cell>
          <cell r="AJ398" t="str">
            <v>[]</v>
          </cell>
          <cell r="AK398" t="str">
            <v>[]</v>
          </cell>
          <cell r="AL398" t="str">
            <v>[]</v>
          </cell>
          <cell r="AM398" t="str">
            <v>[]</v>
          </cell>
          <cell r="AN398">
            <v>1</v>
          </cell>
          <cell r="AO398">
            <v>0.3</v>
          </cell>
          <cell r="AP398">
            <v>113400</v>
          </cell>
          <cell r="AQ398" t="str">
            <v>113400</v>
          </cell>
          <cell r="AR398" t="str">
            <v>[]</v>
          </cell>
          <cell r="AS398" t="str">
            <v>[]</v>
          </cell>
          <cell r="AT398" t="str">
            <v>5753</v>
          </cell>
          <cell r="AU398" t="str">
            <v>4160</v>
          </cell>
          <cell r="AV398" t="str">
            <v>近战攻击</v>
          </cell>
          <cell r="AW398" t="str">
            <v>ck</v>
          </cell>
          <cell r="AX398" t="str">
            <v>[]</v>
          </cell>
          <cell r="AY398">
            <v>1</v>
          </cell>
          <cell r="BA398" t="str">
            <v>[]</v>
          </cell>
          <cell r="BE398" t="str">
            <v>[]</v>
          </cell>
          <cell r="BF398"/>
        </row>
        <row r="399">
          <cell r="A399" t="str">
            <v>jinghelongwang_skill01</v>
          </cell>
          <cell r="B399" t="str">
            <v>冰封万里</v>
          </cell>
          <cell r="C399" t="str">
            <v>召唤大范围冰刺，对范围的目标造成主角攻击力@s的伤害，并减少@s对方防御</v>
          </cell>
          <cell r="D399" t="str">
            <v>[]</v>
          </cell>
          <cell r="E399">
            <v>0</v>
          </cell>
          <cell r="F399" t="str">
            <v>[]</v>
          </cell>
          <cell r="G399" t="str">
            <v>冰封万里</v>
          </cell>
          <cell r="H399" t="str">
            <v>bingfengwanli</v>
          </cell>
          <cell r="I399" t="str">
            <v>bingfengwanli</v>
          </cell>
          <cell r="J399">
            <v>0</v>
          </cell>
          <cell r="K399">
            <v>10</v>
          </cell>
          <cell r="L399" t="str">
            <v>1|34</v>
          </cell>
          <cell r="M399">
            <v>2</v>
          </cell>
          <cell r="N399">
            <v>2</v>
          </cell>
          <cell r="O399">
            <v>1</v>
          </cell>
          <cell r="P399">
            <v>2</v>
          </cell>
          <cell r="Q399">
            <v>12</v>
          </cell>
          <cell r="R399" t="str">
            <v>2|1</v>
          </cell>
          <cell r="S399" t="str">
            <v>1|15|4</v>
          </cell>
          <cell r="T399">
            <v>10</v>
          </cell>
          <cell r="U399">
            <v>1</v>
          </cell>
          <cell r="V399">
            <v>0</v>
          </cell>
          <cell r="W399" t="str">
            <v>[]</v>
          </cell>
          <cell r="X399">
            <v>0</v>
          </cell>
          <cell r="Y399" t="str">
            <v>[]</v>
          </cell>
          <cell r="Z399" t="str">
            <v>0,1,0</v>
          </cell>
          <cell r="AA399">
            <v>0</v>
          </cell>
          <cell r="AB399" t="str">
            <v>12</v>
          </cell>
          <cell r="AC399" t="str">
            <v>[]</v>
          </cell>
          <cell r="AD399" t="str">
            <v>[]</v>
          </cell>
          <cell r="AE399" t="str">
            <v>[]</v>
          </cell>
          <cell r="AF399" t="str">
            <v>jinghelongwang_skill01</v>
          </cell>
          <cell r="AG399" t="str">
            <v>jinghelongwang_hit</v>
          </cell>
          <cell r="AH399" t="str">
            <v>[]</v>
          </cell>
          <cell r="AI399" t="str">
            <v>[]</v>
          </cell>
          <cell r="AJ399" t="str">
            <v>jinghelongwang_zhenping_01</v>
          </cell>
          <cell r="AK399" t="str">
            <v>[]</v>
          </cell>
          <cell r="AL399" t="str">
            <v>[]</v>
          </cell>
          <cell r="AM399" t="str">
            <v>jiashangupT3N0.1</v>
          </cell>
          <cell r="AN399">
            <v>2</v>
          </cell>
          <cell r="AO399">
            <v>0.8</v>
          </cell>
          <cell r="AP399">
            <v>113401</v>
          </cell>
          <cell r="AQ399" t="str">
            <v>113401,9050</v>
          </cell>
          <cell r="AR399" t="str">
            <v>[]</v>
          </cell>
          <cell r="AS399" t="str">
            <v>[]</v>
          </cell>
          <cell r="AT399" t="str">
            <v>115</v>
          </cell>
          <cell r="AU399" t="str">
            <v>4170</v>
          </cell>
          <cell r="AV399" t="str">
            <v>冰封万里</v>
          </cell>
          <cell r="AW399" t="str">
            <v>01</v>
          </cell>
          <cell r="AX399" t="str">
            <v>[]</v>
          </cell>
          <cell r="AY399">
            <v>1</v>
          </cell>
          <cell r="BA399" t="str">
            <v>[]</v>
          </cell>
          <cell r="BE399" t="str">
            <v>[]</v>
          </cell>
          <cell r="BF399"/>
        </row>
        <row r="400">
          <cell r="A400" t="str">
            <v>jinghelongwang_skill02</v>
          </cell>
          <cell r="B400" t="str">
            <v>水之契约</v>
          </cell>
          <cell r="C400" t="str">
            <v>泾河龙王利用水法为自己施加生命护盾，3秒内最多吸收生命上限@s的伤害</v>
          </cell>
          <cell r="D400" t="str">
            <v>[]</v>
          </cell>
          <cell r="E400">
            <v>0</v>
          </cell>
          <cell r="F400" t="str">
            <v>[]</v>
          </cell>
          <cell r="G400" t="str">
            <v>泾河龙王技能2</v>
          </cell>
          <cell r="H400" t="str">
            <v>jinghelongwang_skill02</v>
          </cell>
          <cell r="I400" t="str">
            <v>[]</v>
          </cell>
          <cell r="J400">
            <v>1</v>
          </cell>
          <cell r="K400">
            <v>10</v>
          </cell>
          <cell r="L400" t="str">
            <v>[]</v>
          </cell>
          <cell r="M400">
            <v>2</v>
          </cell>
          <cell r="N400">
            <v>2</v>
          </cell>
          <cell r="O400">
            <v>1</v>
          </cell>
          <cell r="P400">
            <v>2</v>
          </cell>
          <cell r="Q400">
            <v>4</v>
          </cell>
          <cell r="R400">
            <v>1</v>
          </cell>
          <cell r="S400" t="str">
            <v>4|0.2</v>
          </cell>
          <cell r="T400">
            <v>10</v>
          </cell>
          <cell r="U400">
            <v>1</v>
          </cell>
          <cell r="V400">
            <v>0</v>
          </cell>
          <cell r="W400" t="str">
            <v>[]</v>
          </cell>
          <cell r="X400">
            <v>3</v>
          </cell>
          <cell r="Y400" t="str">
            <v>[]</v>
          </cell>
          <cell r="Z400" t="str">
            <v>0,2.0,0</v>
          </cell>
          <cell r="AA400">
            <v>0</v>
          </cell>
          <cell r="AB400">
            <v>6</v>
          </cell>
          <cell r="AC400" t="str">
            <v>[]</v>
          </cell>
          <cell r="AD400" t="str">
            <v>[]</v>
          </cell>
          <cell r="AE400" t="str">
            <v>jinghelongwang_skill02_q</v>
          </cell>
          <cell r="AF400" t="str">
            <v>jinghelongwang_skill02</v>
          </cell>
          <cell r="AG400" t="str">
            <v>[]</v>
          </cell>
          <cell r="AH400" t="str">
            <v>[]</v>
          </cell>
          <cell r="AI400" t="str">
            <v>[]</v>
          </cell>
          <cell r="AJ400" t="str">
            <v>jinghelongwang_skill02_higheff</v>
          </cell>
          <cell r="AK400" t="str">
            <v>[]</v>
          </cell>
          <cell r="AL400" t="str">
            <v>[]</v>
          </cell>
          <cell r="AM400" t="str">
            <v>[]</v>
          </cell>
          <cell r="AN400">
            <v>1</v>
          </cell>
          <cell r="AO400">
            <v>0.67</v>
          </cell>
          <cell r="AP400" t="str">
            <v>[]</v>
          </cell>
          <cell r="AQ400" t="str">
            <v>9020</v>
          </cell>
          <cell r="AR400" t="str">
            <v>[]</v>
          </cell>
          <cell r="AS400" t="str">
            <v>[]</v>
          </cell>
          <cell r="AT400" t="str">
            <v>115</v>
          </cell>
          <cell r="AU400" t="str">
            <v>4180</v>
          </cell>
          <cell r="AV400" t="str">
            <v>泾河龙王</v>
          </cell>
          <cell r="AW400" t="str">
            <v>02</v>
          </cell>
          <cell r="AX400" t="str">
            <v>[]</v>
          </cell>
          <cell r="AY400">
            <v>1</v>
          </cell>
          <cell r="BA400" t="str">
            <v>[]</v>
          </cell>
          <cell r="BE400" t="str">
            <v>[]</v>
          </cell>
          <cell r="BF400"/>
        </row>
        <row r="401">
          <cell r="A401" t="str">
            <v>jinghelongwang_skill03</v>
          </cell>
          <cell r="B401" t="str">
            <v>生命提升</v>
          </cell>
          <cell r="C401" t="str">
            <v>进入战斗场景时，增加全体@s生命上限</v>
          </cell>
          <cell r="D401">
            <v>1262</v>
          </cell>
          <cell r="E401">
            <v>0</v>
          </cell>
          <cell r="F401" t="str">
            <v>[]</v>
          </cell>
          <cell r="G401" t="str">
            <v>泾河龙王被动技能</v>
          </cell>
          <cell r="H401" t="str">
            <v>shengming</v>
          </cell>
          <cell r="I401" t="str">
            <v>[]</v>
          </cell>
          <cell r="J401">
            <v>2</v>
          </cell>
          <cell r="K401">
            <v>10</v>
          </cell>
          <cell r="L401" t="str">
            <v>[]</v>
          </cell>
          <cell r="M401">
            <v>2</v>
          </cell>
          <cell r="N401">
            <v>2</v>
          </cell>
          <cell r="O401">
            <v>3</v>
          </cell>
          <cell r="P401">
            <v>0</v>
          </cell>
          <cell r="Q401">
            <v>12</v>
          </cell>
          <cell r="R401">
            <v>3</v>
          </cell>
          <cell r="S401">
            <v>5</v>
          </cell>
          <cell r="T401">
            <v>10</v>
          </cell>
          <cell r="U401">
            <v>0</v>
          </cell>
          <cell r="V401">
            <v>0</v>
          </cell>
          <cell r="W401" t="str">
            <v>[]</v>
          </cell>
          <cell r="X401">
            <v>0</v>
          </cell>
          <cell r="Y401" t="str">
            <v>[]</v>
          </cell>
          <cell r="Z401" t="str">
            <v>0,0,0</v>
          </cell>
          <cell r="AA401">
            <v>0</v>
          </cell>
          <cell r="AB401" t="str">
            <v>[]</v>
          </cell>
          <cell r="AC401" t="str">
            <v>[]</v>
          </cell>
          <cell r="AD401" t="str">
            <v>[]</v>
          </cell>
          <cell r="AE401" t="str">
            <v>[]</v>
          </cell>
          <cell r="AF401" t="str">
            <v>[]</v>
          </cell>
          <cell r="AG401" t="str">
            <v>[]</v>
          </cell>
          <cell r="AH401" t="str">
            <v>[]</v>
          </cell>
          <cell r="AI401" t="str">
            <v>[]</v>
          </cell>
          <cell r="AJ401" t="str">
            <v>jinghelongwang_skill03_higheff</v>
          </cell>
          <cell r="AK401" t="str">
            <v>[]</v>
          </cell>
          <cell r="AL401" t="str">
            <v>[]</v>
          </cell>
          <cell r="AM401" t="str">
            <v>[]</v>
          </cell>
          <cell r="AN401">
            <v>0</v>
          </cell>
          <cell r="AO401" t="str">
            <v>[]</v>
          </cell>
          <cell r="AP401" t="str">
            <v>[]</v>
          </cell>
          <cell r="AQ401" t="str">
            <v>9010</v>
          </cell>
          <cell r="AR401" t="str">
            <v>[]</v>
          </cell>
          <cell r="AS401" t="str">
            <v>[]</v>
          </cell>
          <cell r="AT401" t="str">
            <v>5830</v>
          </cell>
          <cell r="AU401" t="str">
            <v>4190</v>
          </cell>
          <cell r="AV401" t="str">
            <v>泾河龙王</v>
          </cell>
          <cell r="AW401" t="str">
            <v>03</v>
          </cell>
          <cell r="AX401">
            <v>1262</v>
          </cell>
          <cell r="AY401">
            <v>1</v>
          </cell>
          <cell r="BA401" t="str">
            <v>[]</v>
          </cell>
          <cell r="BE401" t="str">
            <v>[]</v>
          </cell>
          <cell r="BF401"/>
        </row>
        <row r="402">
          <cell r="A402" t="str">
            <v>jinghelongwang_skill04</v>
          </cell>
          <cell r="B402" t="str">
            <v>龙王叹息</v>
          </cell>
          <cell r="C402" t="str">
            <v>泾河龙王对附近目标造成自身攻击力@s的伤害，并击退目标</v>
          </cell>
          <cell r="D402">
            <v>1264</v>
          </cell>
          <cell r="E402">
            <v>2</v>
          </cell>
          <cell r="F402" t="str">
            <v>boss_warning_shanxing90</v>
          </cell>
          <cell r="G402" t="str">
            <v>泾河龙王技能4</v>
          </cell>
          <cell r="H402" t="str">
            <v>jinghelongwang_skill04</v>
          </cell>
          <cell r="I402" t="str">
            <v>[]</v>
          </cell>
          <cell r="J402">
            <v>3</v>
          </cell>
          <cell r="K402">
            <v>10</v>
          </cell>
          <cell r="L402" t="str">
            <v>[]</v>
          </cell>
          <cell r="M402">
            <v>2</v>
          </cell>
          <cell r="N402">
            <v>2</v>
          </cell>
          <cell r="O402">
            <v>1</v>
          </cell>
          <cell r="P402">
            <v>2</v>
          </cell>
          <cell r="Q402">
            <v>4</v>
          </cell>
          <cell r="R402" t="str">
            <v>2|1</v>
          </cell>
          <cell r="S402" t="str">
            <v>2|5</v>
          </cell>
          <cell r="T402">
            <v>10</v>
          </cell>
          <cell r="U402">
            <v>0</v>
          </cell>
          <cell r="V402">
            <v>0</v>
          </cell>
          <cell r="W402" t="str">
            <v>[]</v>
          </cell>
          <cell r="X402">
            <v>3</v>
          </cell>
          <cell r="Y402" t="str">
            <v>[]</v>
          </cell>
          <cell r="Z402" t="str">
            <v>0,2.0,0</v>
          </cell>
          <cell r="AA402">
            <v>0</v>
          </cell>
          <cell r="AB402">
            <v>6</v>
          </cell>
          <cell r="AC402" t="str">
            <v>[]</v>
          </cell>
          <cell r="AD402" t="str">
            <v>[]</v>
          </cell>
          <cell r="AE402" t="str">
            <v>[]</v>
          </cell>
          <cell r="AF402" t="str">
            <v>jinghelongwang_skill04</v>
          </cell>
          <cell r="AG402" t="str">
            <v>jinghelongwang_hit</v>
          </cell>
          <cell r="AH402" t="str">
            <v>[]</v>
          </cell>
          <cell r="AI402" t="str">
            <v>[]</v>
          </cell>
          <cell r="AJ402" t="str">
            <v>[]</v>
          </cell>
          <cell r="AK402" t="str">
            <v>[]</v>
          </cell>
          <cell r="AL402" t="str">
            <v>[]</v>
          </cell>
          <cell r="AM402" t="str">
            <v>[]</v>
          </cell>
          <cell r="AN402">
            <v>1</v>
          </cell>
          <cell r="AO402">
            <v>0.67</v>
          </cell>
          <cell r="AP402">
            <v>113404</v>
          </cell>
          <cell r="AQ402" t="str">
            <v>113404</v>
          </cell>
          <cell r="AR402" t="str">
            <v>[]</v>
          </cell>
          <cell r="AS402" t="str">
            <v>[]</v>
          </cell>
          <cell r="AT402" t="str">
            <v>115</v>
          </cell>
          <cell r="AU402" t="str">
            <v>4200</v>
          </cell>
          <cell r="AV402" t="str">
            <v>泾河龙王</v>
          </cell>
          <cell r="AW402" t="str">
            <v>04</v>
          </cell>
          <cell r="AX402">
            <v>1264</v>
          </cell>
          <cell r="AY402">
            <v>1</v>
          </cell>
          <cell r="BA402" t="str">
            <v>[]</v>
          </cell>
          <cell r="BE402" t="str">
            <v>[]</v>
          </cell>
          <cell r="BF402"/>
        </row>
        <row r="403">
          <cell r="A403" t="str">
            <v>yutu_attack</v>
          </cell>
          <cell r="B403" t="str">
            <v>玉兔精</v>
          </cell>
          <cell r="C403" t="str">
            <v>法球攻击目标</v>
          </cell>
          <cell r="D403" t="str">
            <v>[]</v>
          </cell>
          <cell r="E403">
            <v>0</v>
          </cell>
          <cell r="F403" t="str">
            <v>[]</v>
          </cell>
          <cell r="G403" t="str">
            <v>玉兔精远程攻击</v>
          </cell>
          <cell r="H403" t="str">
            <v>[]</v>
          </cell>
          <cell r="I403" t="str">
            <v>[]</v>
          </cell>
          <cell r="J403">
            <v>0</v>
          </cell>
          <cell r="K403">
            <v>1</v>
          </cell>
          <cell r="L403" t="str">
            <v>[]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10</v>
          </cell>
          <cell r="R403" t="str">
            <v>2|1</v>
          </cell>
          <cell r="S403" t="str">
            <v>4|0.2</v>
          </cell>
          <cell r="T403">
            <v>1</v>
          </cell>
          <cell r="U403">
            <v>1</v>
          </cell>
          <cell r="V403">
            <v>0</v>
          </cell>
          <cell r="W403" t="str">
            <v>[]</v>
          </cell>
          <cell r="X403">
            <v>0</v>
          </cell>
          <cell r="Y403" t="str">
            <v>[]</v>
          </cell>
          <cell r="Z403" t="str">
            <v>0,1,0</v>
          </cell>
          <cell r="AA403">
            <v>0</v>
          </cell>
          <cell r="AB403" t="str">
            <v>[]</v>
          </cell>
          <cell r="AC403" t="str">
            <v>[]</v>
          </cell>
          <cell r="AD403" t="str">
            <v>[]</v>
          </cell>
          <cell r="AE403" t="str">
            <v>[]</v>
          </cell>
          <cell r="AF403" t="str">
            <v>yutu_attack</v>
          </cell>
          <cell r="AG403" t="str">
            <v>common_hit_fashu</v>
          </cell>
          <cell r="AH403" t="str">
            <v>[]</v>
          </cell>
          <cell r="AI403" t="str">
            <v>[]</v>
          </cell>
          <cell r="AJ403" t="str">
            <v>[]</v>
          </cell>
          <cell r="AK403" t="str">
            <v>[]</v>
          </cell>
          <cell r="AL403" t="str">
            <v>[]</v>
          </cell>
          <cell r="AM403" t="str">
            <v>[]</v>
          </cell>
          <cell r="AN403">
            <v>2</v>
          </cell>
          <cell r="AO403" t="str">
            <v>[]</v>
          </cell>
          <cell r="AP403">
            <v>114100</v>
          </cell>
          <cell r="AQ403" t="str">
            <v>114100</v>
          </cell>
          <cell r="AR403" t="str">
            <v>[]</v>
          </cell>
          <cell r="AS403" t="str">
            <v>[]</v>
          </cell>
          <cell r="AT403" t="str">
            <v>115</v>
          </cell>
          <cell r="AU403" t="str">
            <v>4210</v>
          </cell>
          <cell r="AV403" t="str">
            <v>玉兔精远程攻击</v>
          </cell>
          <cell r="AW403" t="str">
            <v>ck</v>
          </cell>
          <cell r="AX403" t="str">
            <v>[]</v>
          </cell>
          <cell r="AY403">
            <v>1</v>
          </cell>
          <cell r="BA403" t="str">
            <v>[]</v>
          </cell>
          <cell r="BE403" t="str">
            <v>[]</v>
          </cell>
          <cell r="BF403"/>
        </row>
        <row r="404">
          <cell r="A404" t="str">
            <v>yutu_skill01</v>
          </cell>
          <cell r="B404" t="str">
            <v>仙灵祝福</v>
          </cell>
          <cell r="C404" t="str">
            <v>用仙灵祝福治疗单个队友，每秒恢复自身攻击力@s的生命值，持续3秒</v>
          </cell>
          <cell r="D404" t="str">
            <v>[]</v>
          </cell>
          <cell r="E404">
            <v>0</v>
          </cell>
          <cell r="F404" t="str">
            <v>[]</v>
          </cell>
          <cell r="G404" t="str">
            <v>仙灵祝福</v>
          </cell>
          <cell r="H404" t="str">
            <v>xianlingzhufu</v>
          </cell>
          <cell r="I404" t="str">
            <v>xianlingzhufu</v>
          </cell>
          <cell r="J404">
            <v>0</v>
          </cell>
          <cell r="K404">
            <v>10</v>
          </cell>
          <cell r="L404" t="str">
            <v>1|41</v>
          </cell>
          <cell r="M404">
            <v>2</v>
          </cell>
          <cell r="N404">
            <v>2</v>
          </cell>
          <cell r="O404">
            <v>1</v>
          </cell>
          <cell r="P404">
            <v>5</v>
          </cell>
          <cell r="Q404">
            <v>12</v>
          </cell>
          <cell r="R404">
            <v>3</v>
          </cell>
          <cell r="S404">
            <v>7</v>
          </cell>
          <cell r="T404">
            <v>1</v>
          </cell>
          <cell r="U404">
            <v>1</v>
          </cell>
          <cell r="V404">
            <v>0</v>
          </cell>
          <cell r="W404" t="str">
            <v>[]</v>
          </cell>
          <cell r="X404">
            <v>0</v>
          </cell>
          <cell r="Y404" t="str">
            <v>[]</v>
          </cell>
          <cell r="Z404" t="str">
            <v>0,1,0</v>
          </cell>
          <cell r="AA404">
            <v>0</v>
          </cell>
          <cell r="AB404" t="str">
            <v>f101_{24}</v>
          </cell>
          <cell r="AC404" t="str">
            <v>[]</v>
          </cell>
          <cell r="AD404" t="str">
            <v>[]</v>
          </cell>
          <cell r="AE404" t="str">
            <v>[]</v>
          </cell>
          <cell r="AF404" t="str">
            <v>yutu_skill01</v>
          </cell>
          <cell r="AG404" t="str">
            <v>respond_hp</v>
          </cell>
          <cell r="AH404" t="str">
            <v>[]</v>
          </cell>
          <cell r="AI404" t="str">
            <v>[]</v>
          </cell>
          <cell r="AJ404" t="str">
            <v>[]</v>
          </cell>
          <cell r="AK404" t="str">
            <v>[]</v>
          </cell>
          <cell r="AL404" t="str">
            <v>[]</v>
          </cell>
          <cell r="AM404" t="str">
            <v>buff_yutu_skill01</v>
          </cell>
          <cell r="AN404">
            <v>1</v>
          </cell>
          <cell r="AO404" t="str">
            <v>0.5,0.5,0.5,0.5</v>
          </cell>
          <cell r="AP404">
            <v>114101</v>
          </cell>
          <cell r="AQ404" t="str">
            <v>114101</v>
          </cell>
          <cell r="AR404" t="str">
            <v>[]</v>
          </cell>
          <cell r="AS404" t="str">
            <v>[]</v>
          </cell>
          <cell r="AT404" t="str">
            <v>115</v>
          </cell>
          <cell r="AU404" t="str">
            <v>4220</v>
          </cell>
          <cell r="AV404" t="str">
            <v>仙灵祝福</v>
          </cell>
          <cell r="AW404" t="str">
            <v>01</v>
          </cell>
          <cell r="AX404" t="str">
            <v>[]</v>
          </cell>
          <cell r="AY404">
            <v>4</v>
          </cell>
          <cell r="BA404" t="str">
            <v>[]</v>
          </cell>
          <cell r="BE404" t="str">
            <v>[]</v>
          </cell>
          <cell r="BF404"/>
        </row>
        <row r="405">
          <cell r="A405" t="str">
            <v>yutu_skill02</v>
          </cell>
          <cell r="B405" t="str">
            <v>樱花扇舞</v>
          </cell>
          <cell r="C405" t="str">
            <v>玉兔精将扇子扔向敌军并收回，对命中的目标最多造成2次自身攻击力@s的伤害</v>
          </cell>
          <cell r="D405" t="str">
            <v>[]</v>
          </cell>
          <cell r="E405">
            <v>0</v>
          </cell>
          <cell r="F405" t="str">
            <v>[]</v>
          </cell>
          <cell r="G405" t="str">
            <v>玉兔精技能2</v>
          </cell>
          <cell r="H405" t="str">
            <v>yutu_skill02</v>
          </cell>
          <cell r="I405" t="str">
            <v>[]</v>
          </cell>
          <cell r="J405">
            <v>1</v>
          </cell>
          <cell r="K405">
            <v>10</v>
          </cell>
          <cell r="L405" t="str">
            <v>[]</v>
          </cell>
          <cell r="M405">
            <v>2</v>
          </cell>
          <cell r="N405">
            <v>2</v>
          </cell>
          <cell r="O405">
            <v>2</v>
          </cell>
          <cell r="P405">
            <v>2</v>
          </cell>
          <cell r="Q405">
            <v>12</v>
          </cell>
          <cell r="R405" t="str">
            <v>2|1</v>
          </cell>
          <cell r="S405" t="str">
            <v>2|2</v>
          </cell>
          <cell r="T405">
            <v>10</v>
          </cell>
          <cell r="U405">
            <v>0</v>
          </cell>
          <cell r="V405">
            <v>0</v>
          </cell>
          <cell r="W405" t="str">
            <v>[]</v>
          </cell>
          <cell r="X405">
            <v>3</v>
          </cell>
          <cell r="Y405" t="str">
            <v>[]</v>
          </cell>
          <cell r="Z405" t="str">
            <v>0,1,0</v>
          </cell>
          <cell r="AA405">
            <v>0</v>
          </cell>
          <cell r="AB405">
            <v>6</v>
          </cell>
          <cell r="AC405" t="str">
            <v>[]</v>
          </cell>
          <cell r="AD405" t="str">
            <v>[]</v>
          </cell>
          <cell r="AE405" t="str">
            <v>[]</v>
          </cell>
          <cell r="AF405" t="str">
            <v>yutu_skill02</v>
          </cell>
          <cell r="AG405" t="str">
            <v>common_hit_fashu</v>
          </cell>
          <cell r="AH405" t="str">
            <v>[]</v>
          </cell>
          <cell r="AI405" t="str">
            <v>[]</v>
          </cell>
          <cell r="AJ405" t="str">
            <v>[]</v>
          </cell>
          <cell r="AK405" t="str">
            <v>[]</v>
          </cell>
          <cell r="AL405" t="str">
            <v>[]</v>
          </cell>
          <cell r="AM405" t="str">
            <v>[]</v>
          </cell>
          <cell r="AN405">
            <v>2</v>
          </cell>
          <cell r="AO405">
            <v>-4</v>
          </cell>
          <cell r="AP405">
            <v>114102</v>
          </cell>
          <cell r="AQ405" t="str">
            <v>114102</v>
          </cell>
          <cell r="AR405" t="str">
            <v>[]</v>
          </cell>
          <cell r="AS405" t="str">
            <v>[]</v>
          </cell>
          <cell r="AT405" t="str">
            <v>115</v>
          </cell>
          <cell r="AU405" t="str">
            <v>4230</v>
          </cell>
          <cell r="AV405" t="str">
            <v>玉兔精</v>
          </cell>
          <cell r="AW405" t="str">
            <v>02</v>
          </cell>
          <cell r="AX405" t="str">
            <v>[]</v>
          </cell>
          <cell r="AY405">
            <v>1</v>
          </cell>
          <cell r="BA405" t="str">
            <v>[]</v>
          </cell>
          <cell r="BE405" t="str">
            <v>[]</v>
          </cell>
          <cell r="BF405"/>
        </row>
        <row r="406">
          <cell r="A406" t="str">
            <v>yutu_skill03</v>
          </cell>
          <cell r="B406" t="str">
            <v>闪避提升</v>
          </cell>
          <cell r="C406" t="str">
            <v>进入战斗场景时，增加自身@s的闪避率</v>
          </cell>
          <cell r="D406">
            <v>1262</v>
          </cell>
          <cell r="E406">
            <v>0</v>
          </cell>
          <cell r="F406" t="str">
            <v>[]</v>
          </cell>
          <cell r="G406" t="str">
            <v>玉兔精被动技能</v>
          </cell>
          <cell r="H406" t="str">
            <v>shanbi</v>
          </cell>
          <cell r="I406" t="str">
            <v>[]</v>
          </cell>
          <cell r="J406">
            <v>2</v>
          </cell>
          <cell r="K406">
            <v>10</v>
          </cell>
          <cell r="L406" t="str">
            <v>[]</v>
          </cell>
          <cell r="M406">
            <v>2</v>
          </cell>
          <cell r="N406">
            <v>2</v>
          </cell>
          <cell r="O406">
            <v>3</v>
          </cell>
          <cell r="P406">
            <v>0</v>
          </cell>
          <cell r="Q406">
            <v>12</v>
          </cell>
          <cell r="R406">
            <v>1</v>
          </cell>
          <cell r="S406" t="str">
            <v>4|0.2</v>
          </cell>
          <cell r="T406">
            <v>10</v>
          </cell>
          <cell r="U406">
            <v>0</v>
          </cell>
          <cell r="V406">
            <v>0</v>
          </cell>
          <cell r="W406" t="str">
            <v>[]</v>
          </cell>
          <cell r="X406">
            <v>0</v>
          </cell>
          <cell r="Y406" t="str">
            <v>[]</v>
          </cell>
          <cell r="Z406" t="str">
            <v>0,0,0</v>
          </cell>
          <cell r="AA406">
            <v>0</v>
          </cell>
          <cell r="AB406" t="str">
            <v>[]</v>
          </cell>
          <cell r="AC406" t="str">
            <v>[]</v>
          </cell>
          <cell r="AD406" t="str">
            <v>[]</v>
          </cell>
          <cell r="AE406" t="str">
            <v>[]</v>
          </cell>
          <cell r="AF406" t="str">
            <v>[]</v>
          </cell>
          <cell r="AG406" t="str">
            <v>[]</v>
          </cell>
          <cell r="AH406" t="str">
            <v>[]</v>
          </cell>
          <cell r="AI406" t="str">
            <v>[]</v>
          </cell>
          <cell r="AJ406" t="str">
            <v>[]</v>
          </cell>
          <cell r="AK406" t="str">
            <v>[]</v>
          </cell>
          <cell r="AL406" t="str">
            <v>passive_yutu</v>
          </cell>
          <cell r="AM406" t="str">
            <v>[]</v>
          </cell>
          <cell r="AN406">
            <v>0</v>
          </cell>
          <cell r="AO406" t="str">
            <v>[]</v>
          </cell>
          <cell r="AP406" t="str">
            <v>[]</v>
          </cell>
          <cell r="AQ406" t="str">
            <v>9010</v>
          </cell>
          <cell r="AR406" t="str">
            <v>[]</v>
          </cell>
          <cell r="AS406" t="str">
            <v>[]</v>
          </cell>
          <cell r="AT406" t="str">
            <v>5940</v>
          </cell>
          <cell r="AU406" t="str">
            <v>4241</v>
          </cell>
          <cell r="AV406" t="str">
            <v>玉兔精</v>
          </cell>
          <cell r="AW406" t="str">
            <v>03</v>
          </cell>
          <cell r="AX406">
            <v>1262</v>
          </cell>
          <cell r="AY406">
            <v>1</v>
          </cell>
          <cell r="BA406" t="str">
            <v>[]</v>
          </cell>
          <cell r="BE406" t="str">
            <v>[]</v>
          </cell>
          <cell r="BF406"/>
        </row>
        <row r="407">
          <cell r="A407" t="str">
            <v>yutu_skill04</v>
          </cell>
          <cell r="B407" t="str">
            <v>迷幻旋风</v>
          </cell>
          <cell r="C407" t="str">
            <v>玉兔精召唤小旋风对目标造成5次自身攻击力@s的伤害</v>
          </cell>
          <cell r="D407">
            <v>1264</v>
          </cell>
          <cell r="E407">
            <v>2</v>
          </cell>
          <cell r="F407" t="str">
            <v>boss_warning_juxing</v>
          </cell>
          <cell r="G407" t="str">
            <v>玉兔精技能4</v>
          </cell>
          <cell r="H407" t="str">
            <v>yutu_skill04</v>
          </cell>
          <cell r="I407" t="str">
            <v>[]</v>
          </cell>
          <cell r="J407">
            <v>3</v>
          </cell>
          <cell r="K407">
            <v>10</v>
          </cell>
          <cell r="L407" t="str">
            <v>[]</v>
          </cell>
          <cell r="M407">
            <v>2</v>
          </cell>
          <cell r="N407">
            <v>2</v>
          </cell>
          <cell r="O407">
            <v>1</v>
          </cell>
          <cell r="P407">
            <v>2</v>
          </cell>
          <cell r="Q407">
            <v>4</v>
          </cell>
          <cell r="R407" t="str">
            <v>2|1</v>
          </cell>
          <cell r="S407" t="str">
            <v>4|0.2</v>
          </cell>
          <cell r="T407">
            <v>1</v>
          </cell>
          <cell r="U407">
            <v>1</v>
          </cell>
          <cell r="V407">
            <v>0</v>
          </cell>
          <cell r="W407" t="str">
            <v>[]</v>
          </cell>
          <cell r="X407">
            <v>3</v>
          </cell>
          <cell r="Y407" t="str">
            <v>[]</v>
          </cell>
          <cell r="Z407" t="str">
            <v>0,1.167,0</v>
          </cell>
          <cell r="AA407">
            <v>0</v>
          </cell>
          <cell r="AB407">
            <v>6</v>
          </cell>
          <cell r="AC407" t="str">
            <v>[]</v>
          </cell>
          <cell r="AD407" t="str">
            <v>[]</v>
          </cell>
          <cell r="AE407" t="str">
            <v>[]</v>
          </cell>
          <cell r="AF407" t="str">
            <v>yutu_skill04</v>
          </cell>
          <cell r="AG407" t="str">
            <v>common_hit_fashu</v>
          </cell>
          <cell r="AH407" t="str">
            <v>[]</v>
          </cell>
          <cell r="AI407" t="str">
            <v>[]</v>
          </cell>
          <cell r="AJ407" t="str">
            <v>[]</v>
          </cell>
          <cell r="AK407" t="str">
            <v>[]</v>
          </cell>
          <cell r="AL407" t="str">
            <v>[]</v>
          </cell>
          <cell r="AM407" t="str">
            <v>[]</v>
          </cell>
          <cell r="AN407">
            <v>1</v>
          </cell>
          <cell r="AO407" t="str">
            <v>1.3,0.4,0.4,0.4,0.5</v>
          </cell>
          <cell r="AP407">
            <v>114104</v>
          </cell>
          <cell r="AQ407" t="str">
            <v>114104</v>
          </cell>
          <cell r="AR407" t="str">
            <v>[]</v>
          </cell>
          <cell r="AS407" t="str">
            <v>[]</v>
          </cell>
          <cell r="AT407" t="str">
            <v>115</v>
          </cell>
          <cell r="AU407" t="str">
            <v>4250</v>
          </cell>
          <cell r="AV407" t="str">
            <v>玉兔精</v>
          </cell>
          <cell r="AW407" t="str">
            <v>04</v>
          </cell>
          <cell r="AX407">
            <v>1264</v>
          </cell>
          <cell r="AY407">
            <v>5</v>
          </cell>
          <cell r="BA407" t="str">
            <v>[]</v>
          </cell>
          <cell r="BE407" t="str">
            <v>[]</v>
          </cell>
          <cell r="BF407"/>
        </row>
        <row r="408">
          <cell r="A408" t="str">
            <v>shancaitongzi_attack</v>
          </cell>
          <cell r="B408" t="str">
            <v>善财童子</v>
          </cell>
          <cell r="C408" t="str">
            <v>攻击目标</v>
          </cell>
          <cell r="D408" t="str">
            <v>[]</v>
          </cell>
          <cell r="E408">
            <v>0</v>
          </cell>
          <cell r="F408" t="str">
            <v>[]</v>
          </cell>
          <cell r="G408" t="str">
            <v>近战攻击</v>
          </cell>
          <cell r="H408" t="str">
            <v>[]</v>
          </cell>
          <cell r="I408" t="str">
            <v>[]</v>
          </cell>
          <cell r="J408">
            <v>0</v>
          </cell>
          <cell r="K408">
            <v>1</v>
          </cell>
          <cell r="L408" t="str">
            <v>[]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3</v>
          </cell>
          <cell r="R408" t="str">
            <v>2|1</v>
          </cell>
          <cell r="S408" t="str">
            <v>4|0.2</v>
          </cell>
          <cell r="T408">
            <v>1</v>
          </cell>
          <cell r="U408">
            <v>1</v>
          </cell>
          <cell r="V408">
            <v>0</v>
          </cell>
          <cell r="W408" t="str">
            <v>[]</v>
          </cell>
          <cell r="X408">
            <v>0</v>
          </cell>
          <cell r="Y408" t="str">
            <v>[]</v>
          </cell>
          <cell r="Z408" t="str">
            <v>0,1,0</v>
          </cell>
          <cell r="AA408">
            <v>0</v>
          </cell>
          <cell r="AB408" t="str">
            <v>[]</v>
          </cell>
          <cell r="AC408" t="str">
            <v>[]</v>
          </cell>
          <cell r="AD408" t="str">
            <v>[]</v>
          </cell>
          <cell r="AE408" t="str">
            <v>[]</v>
          </cell>
          <cell r="AF408" t="str">
            <v>shancaitongzi_attack</v>
          </cell>
          <cell r="AG408" t="str">
            <v>common_hit_fashu</v>
          </cell>
          <cell r="AH408" t="str">
            <v>[]</v>
          </cell>
          <cell r="AI408" t="str">
            <v>[]</v>
          </cell>
          <cell r="AJ408" t="str">
            <v>[]</v>
          </cell>
          <cell r="AK408" t="str">
            <v>[]</v>
          </cell>
          <cell r="AL408" t="str">
            <v>[]</v>
          </cell>
          <cell r="AM408" t="str">
            <v>[]</v>
          </cell>
          <cell r="AN408">
            <v>1</v>
          </cell>
          <cell r="AO408">
            <v>0.25</v>
          </cell>
          <cell r="AP408">
            <v>900000</v>
          </cell>
          <cell r="AQ408" t="str">
            <v>900000</v>
          </cell>
          <cell r="AR408" t="str">
            <v>[]</v>
          </cell>
          <cell r="AS408" t="str">
            <v>[]</v>
          </cell>
          <cell r="AT408" t="str">
            <v>1205</v>
          </cell>
          <cell r="AU408" t="str">
            <v>6510</v>
          </cell>
          <cell r="AV408" t="str">
            <v>近战攻击</v>
          </cell>
          <cell r="AW408" t="str">
            <v>ck</v>
          </cell>
          <cell r="AX408" t="str">
            <v>[]</v>
          </cell>
          <cell r="AY408">
            <v>1</v>
          </cell>
          <cell r="BA408" t="str">
            <v>[]</v>
          </cell>
          <cell r="BE408" t="str">
            <v>[]</v>
          </cell>
          <cell r="BF408"/>
        </row>
        <row r="409">
          <cell r="A409" t="str">
            <v>shancaitongzi_skill01</v>
          </cell>
          <cell r="B409" t="str">
            <v>水月神舞</v>
          </cell>
          <cell r="C409" t="str">
            <v>对范围内目标造成5次主角攻击力@s的伤害</v>
          </cell>
          <cell r="D409" t="str">
            <v>[]</v>
          </cell>
          <cell r="E409">
            <v>0</v>
          </cell>
          <cell r="F409" t="str">
            <v>[]</v>
          </cell>
          <cell r="G409" t="str">
            <v>善财童子核心技能</v>
          </cell>
          <cell r="H409" t="str">
            <v>shancaitongzi_skill01</v>
          </cell>
          <cell r="I409" t="str">
            <v>shancaitongzi_skill01</v>
          </cell>
          <cell r="J409">
            <v>0</v>
          </cell>
          <cell r="K409">
            <v>10</v>
          </cell>
          <cell r="L409" t="str">
            <v>1|9</v>
          </cell>
          <cell r="M409">
            <v>2</v>
          </cell>
          <cell r="N409">
            <v>5</v>
          </cell>
          <cell r="O409">
            <v>2</v>
          </cell>
          <cell r="P409">
            <v>2</v>
          </cell>
          <cell r="Q409">
            <v>12</v>
          </cell>
          <cell r="R409" t="str">
            <v>2|1</v>
          </cell>
          <cell r="S409" t="str">
            <v>2|10</v>
          </cell>
          <cell r="T409">
            <v>10</v>
          </cell>
          <cell r="U409">
            <v>0</v>
          </cell>
          <cell r="V409">
            <v>0</v>
          </cell>
          <cell r="W409" t="str">
            <v>[]</v>
          </cell>
          <cell r="X409">
            <v>0</v>
          </cell>
          <cell r="Y409" t="str">
            <v>[]</v>
          </cell>
          <cell r="Z409" t="str">
            <v>0,1,0</v>
          </cell>
          <cell r="AA409">
            <v>0</v>
          </cell>
          <cell r="AB409" t="str">
            <v>12</v>
          </cell>
          <cell r="AC409" t="str">
            <v>[]</v>
          </cell>
          <cell r="AD409" t="str">
            <v>[]</v>
          </cell>
          <cell r="AE409" t="str">
            <v>[]</v>
          </cell>
          <cell r="AF409" t="str">
            <v>shancaitongzi_skill01</v>
          </cell>
          <cell r="AG409" t="str">
            <v>common_hit_fashu</v>
          </cell>
          <cell r="AH409" t="str">
            <v>[]</v>
          </cell>
          <cell r="AI409" t="str">
            <v>[]</v>
          </cell>
          <cell r="AJ409" t="str">
            <v>[]</v>
          </cell>
          <cell r="AK409" t="str">
            <v>[]</v>
          </cell>
          <cell r="AL409" t="str">
            <v>baojiupT3N0.1</v>
          </cell>
          <cell r="AM409" t="str">
            <v>[]</v>
          </cell>
          <cell r="AN409">
            <v>1</v>
          </cell>
          <cell r="AO409" t="str">
            <v>0.5,0.4,0.4,0.4,0.4</v>
          </cell>
          <cell r="AP409">
            <v>900001</v>
          </cell>
          <cell r="AQ409" t="str">
            <v>900001</v>
          </cell>
          <cell r="AR409" t="str">
            <v>[]</v>
          </cell>
          <cell r="AS409" t="str">
            <v>[]</v>
          </cell>
          <cell r="AT409" t="str">
            <v>6020</v>
          </cell>
          <cell r="AU409" t="str">
            <v>6520</v>
          </cell>
          <cell r="AV409" t="str">
            <v>善财童子</v>
          </cell>
          <cell r="AW409" t="str">
            <v>01</v>
          </cell>
          <cell r="AX409" t="str">
            <v>[]</v>
          </cell>
          <cell r="AY409">
            <v>5</v>
          </cell>
          <cell r="BA409" t="str">
            <v>[]</v>
          </cell>
          <cell r="BE409" t="str">
            <v>[]</v>
          </cell>
          <cell r="BF409"/>
        </row>
        <row r="410">
          <cell r="A410" t="str">
            <v>shancaitongzi_skill02</v>
          </cell>
          <cell r="B410" t="str">
            <v>般若莲心</v>
          </cell>
          <cell r="C410" t="str">
            <v>为队友施加护盾，吸收自身生命上限@s的伤害</v>
          </cell>
          <cell r="D410" t="str">
            <v>[]</v>
          </cell>
          <cell r="E410">
            <v>0</v>
          </cell>
          <cell r="F410" t="str">
            <v>[]</v>
          </cell>
          <cell r="G410" t="str">
            <v>善财童子技能2</v>
          </cell>
          <cell r="H410" t="str">
            <v>shancaitongzi_skill02</v>
          </cell>
          <cell r="I410" t="str">
            <v>[]</v>
          </cell>
          <cell r="J410">
            <v>1</v>
          </cell>
          <cell r="K410">
            <v>10</v>
          </cell>
          <cell r="L410" t="str">
            <v>[]</v>
          </cell>
          <cell r="M410">
            <v>2</v>
          </cell>
          <cell r="N410">
            <v>2</v>
          </cell>
          <cell r="O410">
            <v>1</v>
          </cell>
          <cell r="P410">
            <v>2</v>
          </cell>
          <cell r="Q410">
            <v>12</v>
          </cell>
          <cell r="R410" t="str">
            <v>2|1</v>
          </cell>
          <cell r="S410" t="str">
            <v>1|2|2</v>
          </cell>
          <cell r="T410">
            <v>1</v>
          </cell>
          <cell r="U410">
            <v>0</v>
          </cell>
          <cell r="V410">
            <v>0</v>
          </cell>
          <cell r="W410" t="str">
            <v>[]</v>
          </cell>
          <cell r="X410">
            <v>3</v>
          </cell>
          <cell r="Y410" t="str">
            <v>[]</v>
          </cell>
          <cell r="Z410" t="str">
            <v>1.2,1.35,0</v>
          </cell>
          <cell r="AA410">
            <v>0</v>
          </cell>
          <cell r="AB410">
            <v>6</v>
          </cell>
          <cell r="AC410" t="str">
            <v>[]</v>
          </cell>
          <cell r="AD410" t="str">
            <v>[]</v>
          </cell>
          <cell r="AE410" t="str">
            <v>[]</v>
          </cell>
          <cell r="AF410" t="str">
            <v>shancaitongzi_skill02</v>
          </cell>
          <cell r="AG410" t="str">
            <v>shancaitongzi_skill02_d</v>
          </cell>
          <cell r="AH410" t="str">
            <v>[]</v>
          </cell>
          <cell r="AI410" t="str">
            <v>[]</v>
          </cell>
          <cell r="AJ410" t="str">
            <v>[]</v>
          </cell>
          <cell r="AK410" t="str">
            <v>[]</v>
          </cell>
          <cell r="AL410" t="str">
            <v>[]</v>
          </cell>
          <cell r="AM410" t="str">
            <v>[]</v>
          </cell>
          <cell r="AN410">
            <v>2</v>
          </cell>
          <cell r="AO410">
            <v>-2</v>
          </cell>
          <cell r="AP410" t="str">
            <v>[]</v>
          </cell>
          <cell r="AQ410" t="str">
            <v>9010</v>
          </cell>
          <cell r="AR410" t="str">
            <v>[]</v>
          </cell>
          <cell r="AS410" t="str">
            <v>[]</v>
          </cell>
          <cell r="AT410" t="str">
            <v>1205</v>
          </cell>
          <cell r="AU410" t="str">
            <v>6530</v>
          </cell>
          <cell r="AV410" t="str">
            <v>善财童子</v>
          </cell>
          <cell r="AW410" t="str">
            <v>02</v>
          </cell>
          <cell r="AX410" t="str">
            <v>[]</v>
          </cell>
          <cell r="AY410">
            <v>1</v>
          </cell>
          <cell r="BA410" t="str">
            <v>[]</v>
          </cell>
          <cell r="BE410" t="str">
            <v>[]</v>
          </cell>
          <cell r="BF410"/>
        </row>
        <row r="411">
          <cell r="A411" t="str">
            <v>shancaitongzi_skill03</v>
          </cell>
          <cell r="B411" t="str">
            <v>生命提升</v>
          </cell>
          <cell r="C411" t="str">
            <v>进入战斗场景时，提高自身@s的生命上限</v>
          </cell>
          <cell r="D411">
            <v>1262</v>
          </cell>
          <cell r="E411">
            <v>0</v>
          </cell>
          <cell r="F411" t="str">
            <v>[]</v>
          </cell>
          <cell r="G411" t="str">
            <v>善财童子被动技能</v>
          </cell>
          <cell r="H411" t="str">
            <v>shanbi</v>
          </cell>
          <cell r="I411" t="str">
            <v>[]</v>
          </cell>
          <cell r="J411">
            <v>2</v>
          </cell>
          <cell r="K411">
            <v>10</v>
          </cell>
          <cell r="L411" t="str">
            <v>[]</v>
          </cell>
          <cell r="M411">
            <v>2</v>
          </cell>
          <cell r="N411">
            <v>2</v>
          </cell>
          <cell r="O411">
            <v>3</v>
          </cell>
          <cell r="P411">
            <v>0</v>
          </cell>
          <cell r="Q411">
            <v>12</v>
          </cell>
          <cell r="R411">
            <v>3</v>
          </cell>
          <cell r="S411">
            <v>5</v>
          </cell>
          <cell r="T411">
            <v>10</v>
          </cell>
          <cell r="U411">
            <v>0</v>
          </cell>
          <cell r="V411">
            <v>0</v>
          </cell>
          <cell r="W411" t="str">
            <v>[]</v>
          </cell>
          <cell r="X411">
            <v>0</v>
          </cell>
          <cell r="Y411" t="str">
            <v>[]</v>
          </cell>
          <cell r="Z411" t="str">
            <v>0,0,0</v>
          </cell>
          <cell r="AA411">
            <v>0</v>
          </cell>
          <cell r="AB411" t="str">
            <v>[]</v>
          </cell>
          <cell r="AC411" t="str">
            <v>[]</v>
          </cell>
          <cell r="AD411" t="str">
            <v>[]</v>
          </cell>
          <cell r="AE411" t="str">
            <v>[]</v>
          </cell>
          <cell r="AF411" t="str">
            <v>[]</v>
          </cell>
          <cell r="AG411" t="str">
            <v>[]</v>
          </cell>
          <cell r="AH411" t="str">
            <v>[]</v>
          </cell>
          <cell r="AI411" t="str">
            <v>[]</v>
          </cell>
          <cell r="AJ411" t="str">
            <v>[]</v>
          </cell>
          <cell r="AK411" t="str">
            <v>[]</v>
          </cell>
          <cell r="AL411" t="str">
            <v>baojiupT3N0.2</v>
          </cell>
          <cell r="AM411" t="str">
            <v>[]</v>
          </cell>
          <cell r="AN411">
            <v>0</v>
          </cell>
          <cell r="AO411" t="str">
            <v>[]</v>
          </cell>
          <cell r="AP411" t="str">
            <v>[]</v>
          </cell>
          <cell r="AQ411" t="str">
            <v>9010</v>
          </cell>
          <cell r="AR411" t="str">
            <v>[]</v>
          </cell>
          <cell r="AS411" t="str">
            <v>[]</v>
          </cell>
          <cell r="AT411" t="str">
            <v>6040</v>
          </cell>
          <cell r="AU411" t="str">
            <v>6540</v>
          </cell>
          <cell r="AV411" t="str">
            <v>善财童子</v>
          </cell>
          <cell r="AW411" t="str">
            <v>03</v>
          </cell>
          <cell r="AX411">
            <v>1262</v>
          </cell>
          <cell r="AY411">
            <v>1</v>
          </cell>
          <cell r="BA411" t="str">
            <v>[]</v>
          </cell>
          <cell r="BE411" t="str">
            <v>[]</v>
          </cell>
          <cell r="BF411"/>
        </row>
        <row r="412">
          <cell r="A412" t="str">
            <v>shancaitongzi_skill04</v>
          </cell>
          <cell r="B412" t="str">
            <v>枪影重重</v>
          </cell>
          <cell r="C412" t="str">
            <v>对身前的目标造成自身攻击力@s的伤害，并降低目标@s的防御</v>
          </cell>
          <cell r="D412">
            <v>1264</v>
          </cell>
          <cell r="E412">
            <v>2</v>
          </cell>
          <cell r="F412" t="str">
            <v>boss_warning_yuanxing</v>
          </cell>
          <cell r="G412" t="str">
            <v>善财童子技能4</v>
          </cell>
          <cell r="H412" t="str">
            <v>shancaitongzi_skill04</v>
          </cell>
          <cell r="I412" t="str">
            <v>[]</v>
          </cell>
          <cell r="J412">
            <v>3</v>
          </cell>
          <cell r="K412">
            <v>10</v>
          </cell>
          <cell r="L412" t="str">
            <v>[]</v>
          </cell>
          <cell r="M412">
            <v>2</v>
          </cell>
          <cell r="N412">
            <v>2</v>
          </cell>
          <cell r="O412">
            <v>1</v>
          </cell>
          <cell r="P412">
            <v>2</v>
          </cell>
          <cell r="Q412">
            <v>4</v>
          </cell>
          <cell r="R412" t="str">
            <v>2|1</v>
          </cell>
          <cell r="S412" t="str">
            <v>1|2|2</v>
          </cell>
          <cell r="T412">
            <v>10</v>
          </cell>
          <cell r="U412">
            <v>0</v>
          </cell>
          <cell r="V412">
            <v>0</v>
          </cell>
          <cell r="W412" t="str">
            <v>[]</v>
          </cell>
          <cell r="X412">
            <v>3</v>
          </cell>
          <cell r="Y412" t="str">
            <v>[]</v>
          </cell>
          <cell r="Z412" t="str">
            <v>1.2,1.0,0</v>
          </cell>
          <cell r="AA412">
            <v>0</v>
          </cell>
          <cell r="AB412">
            <v>6</v>
          </cell>
          <cell r="AC412" t="str">
            <v>[]</v>
          </cell>
          <cell r="AD412" t="str">
            <v>[]</v>
          </cell>
          <cell r="AE412" t="str">
            <v>shancaitongzi_skill04_q</v>
          </cell>
          <cell r="AF412" t="str">
            <v>shancaitongzi_skill04</v>
          </cell>
          <cell r="AG412" t="str">
            <v>common_hit_fashu</v>
          </cell>
          <cell r="AH412" t="str">
            <v>[]</v>
          </cell>
          <cell r="AI412" t="str">
            <v>[]</v>
          </cell>
          <cell r="AJ412" t="str">
            <v>[]</v>
          </cell>
          <cell r="AK412" t="str">
            <v>[]</v>
          </cell>
          <cell r="AL412" t="str">
            <v>[]</v>
          </cell>
          <cell r="AM412" t="str">
            <v>[]</v>
          </cell>
          <cell r="AN412">
            <v>2</v>
          </cell>
          <cell r="AO412">
            <v>-4</v>
          </cell>
          <cell r="AP412">
            <v>900004</v>
          </cell>
          <cell r="AQ412" t="str">
            <v>900004,9020</v>
          </cell>
          <cell r="AR412" t="str">
            <v>[]</v>
          </cell>
          <cell r="AS412" t="str">
            <v>[]</v>
          </cell>
          <cell r="AT412" t="str">
            <v>1205</v>
          </cell>
          <cell r="AU412" t="str">
            <v>6550</v>
          </cell>
          <cell r="AV412" t="str">
            <v>善财童子</v>
          </cell>
          <cell r="AW412" t="str">
            <v>04</v>
          </cell>
          <cell r="AX412">
            <v>1264</v>
          </cell>
          <cell r="AY412">
            <v>1</v>
          </cell>
          <cell r="BA412" t="str">
            <v>[]</v>
          </cell>
          <cell r="BE412" t="str">
            <v>[]</v>
          </cell>
          <cell r="BF412"/>
        </row>
        <row r="413">
          <cell r="A413" t="str">
            <v>saitaisui_attack</v>
          </cell>
          <cell r="B413" t="str">
            <v>赛太岁</v>
          </cell>
          <cell r="C413" t="str">
            <v>攻击目标</v>
          </cell>
          <cell r="D413" t="str">
            <v>[]</v>
          </cell>
          <cell r="E413">
            <v>0</v>
          </cell>
          <cell r="F413" t="str">
            <v>[]</v>
          </cell>
          <cell r="G413" t="str">
            <v>远程攻击</v>
          </cell>
          <cell r="H413" t="str">
            <v>[]</v>
          </cell>
          <cell r="I413" t="str">
            <v>[]</v>
          </cell>
          <cell r="J413">
            <v>0</v>
          </cell>
          <cell r="K413">
            <v>1</v>
          </cell>
          <cell r="L413" t="str">
            <v>[]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12</v>
          </cell>
          <cell r="R413" t="str">
            <v>2|1</v>
          </cell>
          <cell r="S413" t="str">
            <v>4|0.2</v>
          </cell>
          <cell r="T413">
            <v>1</v>
          </cell>
          <cell r="U413">
            <v>1</v>
          </cell>
          <cell r="V413">
            <v>0</v>
          </cell>
          <cell r="W413" t="str">
            <v>[]</v>
          </cell>
          <cell r="X413">
            <v>0</v>
          </cell>
          <cell r="Y413" t="str">
            <v>[]</v>
          </cell>
          <cell r="Z413" t="str">
            <v>0,1,0</v>
          </cell>
          <cell r="AA413">
            <v>0</v>
          </cell>
          <cell r="AB413" t="str">
            <v>[]</v>
          </cell>
          <cell r="AC413" t="str">
            <v>[]</v>
          </cell>
          <cell r="AD413" t="str">
            <v>[]</v>
          </cell>
          <cell r="AE413" t="str">
            <v>[]</v>
          </cell>
          <cell r="AF413" t="str">
            <v>saitaisui_attack</v>
          </cell>
          <cell r="AG413" t="str">
            <v>common_hit_fashu</v>
          </cell>
          <cell r="AH413" t="str">
            <v>[]</v>
          </cell>
          <cell r="AI413" t="str">
            <v>[]</v>
          </cell>
          <cell r="AJ413" t="str">
            <v>[]</v>
          </cell>
          <cell r="AK413" t="str">
            <v>[]</v>
          </cell>
          <cell r="AL413" t="str">
            <v>baojiupT6N0.1</v>
          </cell>
          <cell r="AM413" t="str">
            <v>[]</v>
          </cell>
          <cell r="AN413">
            <v>1</v>
          </cell>
          <cell r="AO413">
            <v>0.8</v>
          </cell>
          <cell r="AP413">
            <v>112800</v>
          </cell>
          <cell r="AQ413" t="str">
            <v>112800</v>
          </cell>
          <cell r="AR413" t="str">
            <v>[]</v>
          </cell>
          <cell r="AS413" t="str">
            <v>[]</v>
          </cell>
          <cell r="AT413" t="str">
            <v>1201</v>
          </cell>
          <cell r="AU413" t="str">
            <v>6560</v>
          </cell>
          <cell r="AV413" t="str">
            <v>远程攻击</v>
          </cell>
          <cell r="AW413" t="str">
            <v>ck</v>
          </cell>
          <cell r="AX413" t="str">
            <v>[]</v>
          </cell>
          <cell r="AY413">
            <v>1</v>
          </cell>
          <cell r="BA413" t="str">
            <v>[]</v>
          </cell>
          <cell r="BE413" t="str">
            <v>[]</v>
          </cell>
          <cell r="BF413"/>
        </row>
        <row r="414">
          <cell r="A414" t="str">
            <v>saitaisui_skill01</v>
          </cell>
          <cell r="B414" t="str">
            <v>地狱火海</v>
          </cell>
          <cell r="C414" t="str">
            <v>召唤地狱火，对范围内目标造成6次主角攻击力@s的伤害</v>
          </cell>
          <cell r="D414" t="str">
            <v>[]</v>
          </cell>
          <cell r="E414">
            <v>0</v>
          </cell>
          <cell r="F414" t="str">
            <v>[]</v>
          </cell>
          <cell r="G414" t="str">
            <v>地狱火海</v>
          </cell>
          <cell r="H414" t="str">
            <v>diyuhuohai</v>
          </cell>
          <cell r="I414" t="str">
            <v>diyuhuohai</v>
          </cell>
          <cell r="J414">
            <v>0</v>
          </cell>
          <cell r="K414">
            <v>10</v>
          </cell>
          <cell r="L414" t="str">
            <v>1|76</v>
          </cell>
          <cell r="M414">
            <v>2</v>
          </cell>
          <cell r="N414">
            <v>2</v>
          </cell>
          <cell r="O414">
            <v>2</v>
          </cell>
          <cell r="P414">
            <v>2</v>
          </cell>
          <cell r="Q414">
            <v>12</v>
          </cell>
          <cell r="R414" t="str">
            <v>2|1</v>
          </cell>
          <cell r="S414" t="str">
            <v>2|10</v>
          </cell>
          <cell r="T414">
            <v>10</v>
          </cell>
          <cell r="U414">
            <v>0</v>
          </cell>
          <cell r="V414">
            <v>0</v>
          </cell>
          <cell r="W414" t="str">
            <v>[]</v>
          </cell>
          <cell r="X414">
            <v>0</v>
          </cell>
          <cell r="Y414" t="str">
            <v>[]</v>
          </cell>
          <cell r="Z414" t="str">
            <v>0,1,0</v>
          </cell>
          <cell r="AA414">
            <v>0</v>
          </cell>
          <cell r="AB414" t="str">
            <v>12</v>
          </cell>
          <cell r="AC414" t="str">
            <v>[]</v>
          </cell>
          <cell r="AD414" t="str">
            <v>[]</v>
          </cell>
          <cell r="AE414" t="str">
            <v>[]</v>
          </cell>
          <cell r="AF414" t="str">
            <v>diyuhuohai</v>
          </cell>
          <cell r="AG414" t="str">
            <v>common_hit_fashu</v>
          </cell>
          <cell r="AH414" t="str">
            <v>[]</v>
          </cell>
          <cell r="AI414" t="str">
            <v>[]</v>
          </cell>
          <cell r="AJ414" t="str">
            <v>[]</v>
          </cell>
          <cell r="AK414" t="str">
            <v>[]</v>
          </cell>
          <cell r="AL414" t="str">
            <v>baojiupT6N0.2</v>
          </cell>
          <cell r="AM414" t="str">
            <v>[]</v>
          </cell>
          <cell r="AN414">
            <v>1</v>
          </cell>
          <cell r="AO414" t="str">
            <v>0.2,0.2,0.2,0.2,0.2,0.2</v>
          </cell>
          <cell r="AP414">
            <v>112801</v>
          </cell>
          <cell r="AQ414" t="str">
            <v>112801</v>
          </cell>
          <cell r="AR414" t="str">
            <v>[]</v>
          </cell>
          <cell r="AS414" t="str">
            <v>[]</v>
          </cell>
          <cell r="AT414" t="str">
            <v>1201</v>
          </cell>
          <cell r="AU414" t="str">
            <v>6570</v>
          </cell>
          <cell r="AV414" t="str">
            <v>地狱火海</v>
          </cell>
          <cell r="AW414" t="str">
            <v>01</v>
          </cell>
          <cell r="AX414" t="str">
            <v>[]</v>
          </cell>
          <cell r="AY414">
            <v>6</v>
          </cell>
          <cell r="BA414" t="str">
            <v>[]</v>
          </cell>
          <cell r="BE414" t="str">
            <v>[]</v>
          </cell>
          <cell r="BF414"/>
        </row>
        <row r="415">
          <cell r="A415" t="str">
            <v>saitaisui_skill02</v>
          </cell>
          <cell r="B415" t="str">
            <v>音波摄魂</v>
          </cell>
          <cell r="C415" t="str">
            <v>赛太岁摇动铃铛，对范围内目标造成自身攻击力@s的伤害，并降低@s防御，持续3秒</v>
          </cell>
          <cell r="D415" t="str">
            <v>[]</v>
          </cell>
          <cell r="E415">
            <v>1</v>
          </cell>
          <cell r="F415" t="str">
            <v>boss_warning_yuanxing</v>
          </cell>
          <cell r="G415" t="str">
            <v>赛太岁技能2</v>
          </cell>
          <cell r="H415" t="str">
            <v>saitaisui_skill02</v>
          </cell>
          <cell r="I415" t="str">
            <v>[]</v>
          </cell>
          <cell r="J415">
            <v>1</v>
          </cell>
          <cell r="K415">
            <v>10</v>
          </cell>
          <cell r="L415" t="str">
            <v>[]</v>
          </cell>
          <cell r="M415">
            <v>2</v>
          </cell>
          <cell r="N415">
            <v>2</v>
          </cell>
          <cell r="O415">
            <v>1</v>
          </cell>
          <cell r="P415">
            <v>2</v>
          </cell>
          <cell r="Q415">
            <v>12</v>
          </cell>
          <cell r="R415" t="str">
            <v>2|1</v>
          </cell>
          <cell r="S415" t="str">
            <v>2|10</v>
          </cell>
          <cell r="T415">
            <v>10</v>
          </cell>
          <cell r="U415">
            <v>0</v>
          </cell>
          <cell r="V415">
            <v>0</v>
          </cell>
          <cell r="W415" t="str">
            <v>[]</v>
          </cell>
          <cell r="X415">
            <v>3</v>
          </cell>
          <cell r="Y415" t="str">
            <v>[]</v>
          </cell>
          <cell r="Z415" t="str">
            <v>0,1,0</v>
          </cell>
          <cell r="AA415">
            <v>0</v>
          </cell>
          <cell r="AB415">
            <v>6</v>
          </cell>
          <cell r="AC415" t="str">
            <v>[]</v>
          </cell>
          <cell r="AD415" t="str">
            <v>[]</v>
          </cell>
          <cell r="AE415" t="str">
            <v>[]</v>
          </cell>
          <cell r="AF415" t="str">
            <v>saitaisui_skill02</v>
          </cell>
          <cell r="AG415" t="str">
            <v>common_hit_fashu</v>
          </cell>
          <cell r="AH415" t="str">
            <v>[]</v>
          </cell>
          <cell r="AI415" t="str">
            <v>[]</v>
          </cell>
          <cell r="AJ415" t="str">
            <v>[]</v>
          </cell>
          <cell r="AK415" t="str">
            <v>[]</v>
          </cell>
          <cell r="AL415" t="str">
            <v>[]</v>
          </cell>
          <cell r="AM415" t="str">
            <v>jiashangupT3N0.1</v>
          </cell>
          <cell r="AN415">
            <v>1</v>
          </cell>
          <cell r="AO415" t="str">
            <v>0.3,0.4,0.4,0.4,0.4</v>
          </cell>
          <cell r="AP415">
            <v>112802</v>
          </cell>
          <cell r="AQ415" t="str">
            <v>112802,9010</v>
          </cell>
          <cell r="AR415" t="str">
            <v>[]</v>
          </cell>
          <cell r="AS415" t="str">
            <v>[]</v>
          </cell>
          <cell r="AT415" t="str">
            <v>1201</v>
          </cell>
          <cell r="AU415" t="str">
            <v>6580</v>
          </cell>
          <cell r="AV415" t="str">
            <v>赛太岁</v>
          </cell>
          <cell r="AW415" t="str">
            <v>02</v>
          </cell>
          <cell r="AX415" t="str">
            <v>[]</v>
          </cell>
          <cell r="AY415">
            <v>5</v>
          </cell>
          <cell r="BA415" t="str">
            <v>[]</v>
          </cell>
          <cell r="BE415" t="str">
            <v>[]</v>
          </cell>
          <cell r="BF415"/>
        </row>
        <row r="416">
          <cell r="A416" t="str">
            <v>saitaisui_skill03</v>
          </cell>
          <cell r="B416" t="str">
            <v>闪避提升</v>
          </cell>
          <cell r="C416" t="str">
            <v>进入战斗场景时，增加自身@s的闪避率</v>
          </cell>
          <cell r="D416">
            <v>1262</v>
          </cell>
          <cell r="E416">
            <v>0</v>
          </cell>
          <cell r="F416" t="str">
            <v>[]</v>
          </cell>
          <cell r="G416" t="str">
            <v>赛太岁被动技能</v>
          </cell>
          <cell r="H416" t="str">
            <v>gongsu</v>
          </cell>
          <cell r="I416" t="str">
            <v>[]</v>
          </cell>
          <cell r="J416">
            <v>2</v>
          </cell>
          <cell r="K416">
            <v>10</v>
          </cell>
          <cell r="L416" t="str">
            <v>[]</v>
          </cell>
          <cell r="M416">
            <v>2</v>
          </cell>
          <cell r="N416">
            <v>2</v>
          </cell>
          <cell r="O416">
            <v>3</v>
          </cell>
          <cell r="P416">
            <v>0</v>
          </cell>
          <cell r="Q416">
            <v>12</v>
          </cell>
          <cell r="R416">
            <v>3</v>
          </cell>
          <cell r="S416">
            <v>5</v>
          </cell>
          <cell r="T416">
            <v>10</v>
          </cell>
          <cell r="U416">
            <v>0</v>
          </cell>
          <cell r="V416">
            <v>0</v>
          </cell>
          <cell r="W416" t="str">
            <v>[]</v>
          </cell>
          <cell r="X416">
            <v>0</v>
          </cell>
          <cell r="Y416" t="str">
            <v>[]</v>
          </cell>
          <cell r="Z416" t="str">
            <v>0,0,0</v>
          </cell>
          <cell r="AA416">
            <v>0</v>
          </cell>
          <cell r="AB416" t="str">
            <v>[]</v>
          </cell>
          <cell r="AC416" t="str">
            <v>[]</v>
          </cell>
          <cell r="AD416" t="str">
            <v>[]</v>
          </cell>
          <cell r="AE416" t="str">
            <v>[]</v>
          </cell>
          <cell r="AF416" t="str">
            <v>[]</v>
          </cell>
          <cell r="AG416" t="str">
            <v>[]</v>
          </cell>
          <cell r="AH416" t="str">
            <v>[]</v>
          </cell>
          <cell r="AI416" t="str">
            <v>[]</v>
          </cell>
          <cell r="AJ416" t="str">
            <v>[]</v>
          </cell>
          <cell r="AK416" t="str">
            <v>[]</v>
          </cell>
          <cell r="AL416" t="str">
            <v>shanbiupT3N0.2b</v>
          </cell>
          <cell r="AM416" t="str">
            <v>[]</v>
          </cell>
          <cell r="AN416">
            <v>0</v>
          </cell>
          <cell r="AO416" t="str">
            <v>[]</v>
          </cell>
          <cell r="AP416" t="str">
            <v>[]</v>
          </cell>
          <cell r="AQ416" t="str">
            <v>9010</v>
          </cell>
          <cell r="AR416" t="str">
            <v>[]</v>
          </cell>
          <cell r="AS416" t="str">
            <v>[]</v>
          </cell>
          <cell r="AT416" t="str">
            <v>9015</v>
          </cell>
          <cell r="AU416" t="str">
            <v>6590</v>
          </cell>
          <cell r="AV416" t="str">
            <v>赛太岁</v>
          </cell>
          <cell r="AW416" t="str">
            <v>03</v>
          </cell>
          <cell r="AX416">
            <v>1262</v>
          </cell>
          <cell r="AY416">
            <v>1</v>
          </cell>
          <cell r="BA416" t="str">
            <v>[]</v>
          </cell>
          <cell r="BE416" t="str">
            <v>[]</v>
          </cell>
          <cell r="BF416"/>
        </row>
        <row r="417">
          <cell r="A417" t="str">
            <v>saitaisui_skill04</v>
          </cell>
          <cell r="B417" t="str">
            <v>熔岩之路</v>
          </cell>
          <cell r="C417" t="str">
            <v>赛太岁释放火法，对前方目标造成自身攻击力@s的伤害</v>
          </cell>
          <cell r="D417">
            <v>1264</v>
          </cell>
          <cell r="E417">
            <v>2</v>
          </cell>
          <cell r="F417" t="str">
            <v>boss_warning_juxing</v>
          </cell>
          <cell r="G417" t="str">
            <v>赛太岁技能4</v>
          </cell>
          <cell r="H417" t="str">
            <v>saitaisui_skill04</v>
          </cell>
          <cell r="I417" t="str">
            <v>[]</v>
          </cell>
          <cell r="J417">
            <v>3</v>
          </cell>
          <cell r="K417">
            <v>10</v>
          </cell>
          <cell r="L417" t="str">
            <v>[]</v>
          </cell>
          <cell r="M417">
            <v>2</v>
          </cell>
          <cell r="N417">
            <v>2</v>
          </cell>
          <cell r="O417">
            <v>2</v>
          </cell>
          <cell r="P417">
            <v>2</v>
          </cell>
          <cell r="Q417">
            <v>4</v>
          </cell>
          <cell r="R417" t="str">
            <v>2|1</v>
          </cell>
          <cell r="S417" t="str">
            <v>1|8|4</v>
          </cell>
          <cell r="T417">
            <v>10</v>
          </cell>
          <cell r="U417">
            <v>1</v>
          </cell>
          <cell r="V417">
            <v>0</v>
          </cell>
          <cell r="W417" t="str">
            <v>[]</v>
          </cell>
          <cell r="X417">
            <v>3</v>
          </cell>
          <cell r="Y417" t="str">
            <v>[]</v>
          </cell>
          <cell r="Z417" t="str">
            <v>0,1.667,0</v>
          </cell>
          <cell r="AA417">
            <v>0</v>
          </cell>
          <cell r="AB417">
            <v>6</v>
          </cell>
          <cell r="AC417" t="str">
            <v>[]</v>
          </cell>
          <cell r="AD417" t="str">
            <v>[]</v>
          </cell>
          <cell r="AE417" t="str">
            <v>[]</v>
          </cell>
          <cell r="AF417" t="str">
            <v>saitaisui_skill04</v>
          </cell>
          <cell r="AG417" t="str">
            <v>common_hit_fashu</v>
          </cell>
          <cell r="AH417" t="str">
            <v>[]</v>
          </cell>
          <cell r="AI417" t="str">
            <v>[]</v>
          </cell>
          <cell r="AJ417" t="str">
            <v>[]</v>
          </cell>
          <cell r="AK417" t="str">
            <v>[]</v>
          </cell>
          <cell r="AL417" t="str">
            <v>[]</v>
          </cell>
          <cell r="AM417" t="str">
            <v>[]</v>
          </cell>
          <cell r="AN417">
            <v>1</v>
          </cell>
          <cell r="AO417" t="str">
            <v>0.7,0.5,0.5</v>
          </cell>
          <cell r="AP417">
            <v>112804</v>
          </cell>
          <cell r="AQ417" t="str">
            <v>112804</v>
          </cell>
          <cell r="AR417" t="str">
            <v>[]</v>
          </cell>
          <cell r="AS417" t="str">
            <v>[]</v>
          </cell>
          <cell r="AT417" t="str">
            <v>1201</v>
          </cell>
          <cell r="AU417" t="str">
            <v>6600</v>
          </cell>
          <cell r="AV417" t="str">
            <v>赛太岁</v>
          </cell>
          <cell r="AW417" t="str">
            <v>04</v>
          </cell>
          <cell r="AX417">
            <v>1264</v>
          </cell>
          <cell r="AY417">
            <v>3</v>
          </cell>
          <cell r="BA417" t="str">
            <v>[]</v>
          </cell>
          <cell r="BE417" t="str">
            <v>[]</v>
          </cell>
          <cell r="BF417"/>
        </row>
        <row r="418">
          <cell r="A418" t="str">
            <v>shanzijing_attack</v>
          </cell>
          <cell r="B418" t="str">
            <v>普攻</v>
          </cell>
          <cell r="C418" t="str">
            <v>挥动芭蕉扇，产生能量攻击目标</v>
          </cell>
          <cell r="D418" t="str">
            <v>[]</v>
          </cell>
          <cell r="E418">
            <v>0</v>
          </cell>
          <cell r="F418" t="str">
            <v>[]</v>
          </cell>
          <cell r="G418" t="str">
            <v>远程攻击</v>
          </cell>
          <cell r="H418" t="str">
            <v>[]</v>
          </cell>
          <cell r="I418" t="str">
            <v>[]</v>
          </cell>
          <cell r="J418">
            <v>0</v>
          </cell>
          <cell r="K418">
            <v>1</v>
          </cell>
          <cell r="L418" t="str">
            <v>[]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10</v>
          </cell>
          <cell r="R418" t="str">
            <v>2|1</v>
          </cell>
          <cell r="S418" t="str">
            <v>4|0.2</v>
          </cell>
          <cell r="T418">
            <v>1</v>
          </cell>
          <cell r="U418">
            <v>1</v>
          </cell>
          <cell r="V418">
            <v>0</v>
          </cell>
          <cell r="W418" t="str">
            <v>[]</v>
          </cell>
          <cell r="X418">
            <v>0</v>
          </cell>
          <cell r="Y418" t="str">
            <v>[]</v>
          </cell>
          <cell r="Z418" t="str">
            <v>0,1,0</v>
          </cell>
          <cell r="AA418">
            <v>0</v>
          </cell>
          <cell r="AB418" t="str">
            <v>[]</v>
          </cell>
          <cell r="AC418" t="str">
            <v>[]</v>
          </cell>
          <cell r="AD418" t="str">
            <v>[]</v>
          </cell>
          <cell r="AE418" t="str">
            <v>[]</v>
          </cell>
          <cell r="AF418" t="str">
            <v>shanzijing_attack</v>
          </cell>
          <cell r="AG418" t="str">
            <v>common_hit_fashu</v>
          </cell>
          <cell r="AH418" t="str">
            <v>[]</v>
          </cell>
          <cell r="AI418" t="str">
            <v>[]</v>
          </cell>
          <cell r="AJ418" t="str">
            <v>[]</v>
          </cell>
          <cell r="AK418" t="str">
            <v>[]</v>
          </cell>
          <cell r="AL418" t="str">
            <v>[]</v>
          </cell>
          <cell r="AM418" t="str">
            <v>[]</v>
          </cell>
          <cell r="AN418">
            <v>2</v>
          </cell>
          <cell r="AO418">
            <v>0.1</v>
          </cell>
          <cell r="AP418">
            <v>122600</v>
          </cell>
          <cell r="AQ418" t="str">
            <v>122600</v>
          </cell>
          <cell r="AR418" t="str">
            <v>[]</v>
          </cell>
          <cell r="AS418" t="str">
            <v>[]</v>
          </cell>
          <cell r="AT418" t="str">
            <v>1201</v>
          </cell>
          <cell r="AU418" t="str">
            <v>6660</v>
          </cell>
          <cell r="AV418" t="str">
            <v>远程攻击</v>
          </cell>
          <cell r="AW418" t="str">
            <v>ck</v>
          </cell>
          <cell r="AX418" t="str">
            <v>[]</v>
          </cell>
          <cell r="AY418">
            <v>1</v>
          </cell>
          <cell r="BA418" t="str">
            <v>[]</v>
          </cell>
          <cell r="BE418" t="str">
            <v>[]</v>
          </cell>
          <cell r="BF418"/>
        </row>
        <row r="419">
          <cell r="A419" t="str">
            <v>shanzijing_attack02</v>
          </cell>
          <cell r="B419" t="str">
            <v>普攻</v>
          </cell>
          <cell r="C419" t="str">
            <v>挥动芭蕉扇，产生能量攻击目标</v>
          </cell>
          <cell r="D419" t="str">
            <v>[]</v>
          </cell>
          <cell r="E419">
            <v>0</v>
          </cell>
          <cell r="F419" t="str">
            <v>[]</v>
          </cell>
          <cell r="G419" t="str">
            <v>远程攻击</v>
          </cell>
          <cell r="H419" t="str">
            <v>[]</v>
          </cell>
          <cell r="I419" t="str">
            <v>[]</v>
          </cell>
          <cell r="J419">
            <v>0</v>
          </cell>
          <cell r="K419">
            <v>1</v>
          </cell>
          <cell r="L419" t="str">
            <v>[]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10</v>
          </cell>
          <cell r="R419" t="str">
            <v>2|1</v>
          </cell>
          <cell r="S419" t="str">
            <v>4|0.2</v>
          </cell>
          <cell r="T419">
            <v>1</v>
          </cell>
          <cell r="U419">
            <v>1</v>
          </cell>
          <cell r="V419">
            <v>0</v>
          </cell>
          <cell r="W419" t="str">
            <v>[]</v>
          </cell>
          <cell r="X419">
            <v>0</v>
          </cell>
          <cell r="Y419" t="str">
            <v>[]</v>
          </cell>
          <cell r="Z419" t="str">
            <v>0,1,0</v>
          </cell>
          <cell r="AA419">
            <v>0</v>
          </cell>
          <cell r="AB419" t="str">
            <v>[]</v>
          </cell>
          <cell r="AC419" t="str">
            <v>[]</v>
          </cell>
          <cell r="AD419" t="str">
            <v>[]</v>
          </cell>
          <cell r="AE419" t="str">
            <v>[]</v>
          </cell>
          <cell r="AF419" t="str">
            <v>shanzijing_attack02</v>
          </cell>
          <cell r="AG419" t="str">
            <v>common_hit_fashu</v>
          </cell>
          <cell r="AH419" t="str">
            <v>[]</v>
          </cell>
          <cell r="AI419" t="str">
            <v>[]</v>
          </cell>
          <cell r="AJ419" t="str">
            <v>[]</v>
          </cell>
          <cell r="AK419" t="str">
            <v>[]</v>
          </cell>
          <cell r="AL419" t="str">
            <v>[]</v>
          </cell>
          <cell r="AM419" t="str">
            <v>[]</v>
          </cell>
          <cell r="AN419">
            <v>2</v>
          </cell>
          <cell r="AO419">
            <v>0.1</v>
          </cell>
          <cell r="AP419">
            <v>122601</v>
          </cell>
          <cell r="AQ419" t="str">
            <v>122601</v>
          </cell>
          <cell r="AR419" t="str">
            <v>[]</v>
          </cell>
          <cell r="AS419" t="str">
            <v>[]</v>
          </cell>
          <cell r="AT419" t="str">
            <v>1201</v>
          </cell>
          <cell r="AU419" t="str">
            <v>6660</v>
          </cell>
          <cell r="AV419" t="str">
            <v>远程攻击</v>
          </cell>
          <cell r="AW419" t="str">
            <v>02</v>
          </cell>
          <cell r="AX419" t="str">
            <v>[]</v>
          </cell>
          <cell r="AY419">
            <v>1</v>
          </cell>
          <cell r="BA419" t="str">
            <v>[]</v>
          </cell>
          <cell r="BE419" t="str">
            <v>[]</v>
          </cell>
          <cell r="BF419"/>
        </row>
        <row r="420">
          <cell r="A420" t="str">
            <v>shanzijing_attack03</v>
          </cell>
          <cell r="B420" t="str">
            <v>普攻</v>
          </cell>
          <cell r="C420" t="str">
            <v>挥动芭蕉扇，产生能量攻击目标</v>
          </cell>
          <cell r="D420">
            <v>1262</v>
          </cell>
          <cell r="E420">
            <v>0</v>
          </cell>
          <cell r="F420" t="str">
            <v>[]</v>
          </cell>
          <cell r="G420" t="str">
            <v>远程攻击</v>
          </cell>
          <cell r="H420" t="str">
            <v>[]</v>
          </cell>
          <cell r="I420" t="str">
            <v>[]</v>
          </cell>
          <cell r="J420">
            <v>0</v>
          </cell>
          <cell r="K420">
            <v>1</v>
          </cell>
          <cell r="L420" t="str">
            <v>[]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10</v>
          </cell>
          <cell r="R420" t="str">
            <v>2|1</v>
          </cell>
          <cell r="S420" t="str">
            <v>4|0.2</v>
          </cell>
          <cell r="T420">
            <v>1</v>
          </cell>
          <cell r="U420">
            <v>1</v>
          </cell>
          <cell r="V420">
            <v>0</v>
          </cell>
          <cell r="W420" t="str">
            <v>[]</v>
          </cell>
          <cell r="X420">
            <v>0</v>
          </cell>
          <cell r="Y420" t="str">
            <v>[]</v>
          </cell>
          <cell r="Z420" t="str">
            <v>0,1,0</v>
          </cell>
          <cell r="AA420">
            <v>0</v>
          </cell>
          <cell r="AB420" t="str">
            <v>[]</v>
          </cell>
          <cell r="AC420" t="str">
            <v>[]</v>
          </cell>
          <cell r="AD420" t="str">
            <v>[]</v>
          </cell>
          <cell r="AE420" t="str">
            <v>[]</v>
          </cell>
          <cell r="AF420" t="str">
            <v>shanzijing_attack03</v>
          </cell>
          <cell r="AG420" t="str">
            <v>common_hit_fashu</v>
          </cell>
          <cell r="AH420" t="str">
            <v>[]</v>
          </cell>
          <cell r="AI420" t="str">
            <v>[]</v>
          </cell>
          <cell r="AJ420" t="str">
            <v>[]</v>
          </cell>
          <cell r="AK420" t="str">
            <v>[]</v>
          </cell>
          <cell r="AL420" t="str">
            <v>[]</v>
          </cell>
          <cell r="AM420" t="str">
            <v>[]</v>
          </cell>
          <cell r="AN420">
            <v>2</v>
          </cell>
          <cell r="AO420">
            <v>0.1</v>
          </cell>
          <cell r="AP420">
            <v>122602</v>
          </cell>
          <cell r="AQ420" t="str">
            <v>122602</v>
          </cell>
          <cell r="AR420" t="str">
            <v>[]</v>
          </cell>
          <cell r="AS420" t="str">
            <v>[]</v>
          </cell>
          <cell r="AT420" t="str">
            <v>1201</v>
          </cell>
          <cell r="AU420" t="str">
            <v>6660</v>
          </cell>
          <cell r="AV420" t="str">
            <v>远程攻击</v>
          </cell>
          <cell r="AW420" t="str">
            <v>03</v>
          </cell>
          <cell r="AX420">
            <v>1262</v>
          </cell>
          <cell r="AY420">
            <v>1</v>
          </cell>
          <cell r="BA420" t="str">
            <v>[]</v>
          </cell>
          <cell r="BE420" t="str">
            <v>[]</v>
          </cell>
          <cell r="BF420"/>
        </row>
        <row r="421">
          <cell r="A421" t="str">
            <v>shanzijing_skill01</v>
          </cell>
          <cell r="B421" t="str">
            <v>龙卷风暴</v>
          </cell>
          <cell r="C421" t="str">
            <v>召唤龙卷风，对范围内目标造成5次自身攻击力@s的伤害</v>
          </cell>
          <cell r="D421" t="str">
            <v>[]</v>
          </cell>
          <cell r="E421">
            <v>0</v>
          </cell>
          <cell r="F421" t="str">
            <v>[]</v>
          </cell>
          <cell r="G421" t="str">
            <v>扇子精核心技能</v>
          </cell>
          <cell r="H421" t="str">
            <v>shanzijing_skill01</v>
          </cell>
          <cell r="I421" t="str">
            <v>shanzijing_skill01</v>
          </cell>
          <cell r="J421">
            <v>0</v>
          </cell>
          <cell r="K421">
            <v>10</v>
          </cell>
          <cell r="L421" t="str">
            <v>1|11</v>
          </cell>
          <cell r="M421">
            <v>2</v>
          </cell>
          <cell r="N421">
            <v>5</v>
          </cell>
          <cell r="O421">
            <v>2</v>
          </cell>
          <cell r="P421">
            <v>2</v>
          </cell>
          <cell r="Q421">
            <v>12</v>
          </cell>
          <cell r="R421" t="str">
            <v>2|1</v>
          </cell>
          <cell r="S421" t="str">
            <v>2|10</v>
          </cell>
          <cell r="T421">
            <v>10</v>
          </cell>
          <cell r="U421">
            <v>0</v>
          </cell>
          <cell r="V421">
            <v>0</v>
          </cell>
          <cell r="W421" t="str">
            <v>[]</v>
          </cell>
          <cell r="X421">
            <v>0</v>
          </cell>
          <cell r="Y421" t="str">
            <v>[]</v>
          </cell>
          <cell r="Z421" t="str">
            <v>0,1,0</v>
          </cell>
          <cell r="AA421">
            <v>0</v>
          </cell>
          <cell r="AB421" t="str">
            <v>12</v>
          </cell>
          <cell r="AC421" t="str">
            <v>[]</v>
          </cell>
          <cell r="AD421" t="str">
            <v>[]</v>
          </cell>
          <cell r="AE421" t="str">
            <v>[]</v>
          </cell>
          <cell r="AF421" t="str">
            <v>shanzijing_skill01</v>
          </cell>
          <cell r="AG421" t="str">
            <v>common_hit_fashu</v>
          </cell>
          <cell r="AH421" t="str">
            <v>[]</v>
          </cell>
          <cell r="AI421" t="str">
            <v>[]</v>
          </cell>
          <cell r="AJ421" t="str">
            <v>[]</v>
          </cell>
          <cell r="AK421" t="str">
            <v>[]</v>
          </cell>
          <cell r="AL421" t="str">
            <v>[]</v>
          </cell>
          <cell r="AM421" t="str">
            <v>[]</v>
          </cell>
          <cell r="AN421">
            <v>1</v>
          </cell>
          <cell r="AO421" t="str">
            <v>1.1,0.4,0.4,0.4,0.4</v>
          </cell>
          <cell r="AP421">
            <v>122603</v>
          </cell>
          <cell r="AQ421" t="str">
            <v>122603</v>
          </cell>
          <cell r="AR421" t="str">
            <v>[]</v>
          </cell>
          <cell r="AS421" t="str">
            <v>[]</v>
          </cell>
          <cell r="AT421" t="str">
            <v>1207</v>
          </cell>
          <cell r="AU421" t="str">
            <v>6671</v>
          </cell>
          <cell r="AV421" t="str">
            <v>扇子精</v>
          </cell>
          <cell r="AW421" t="str">
            <v>01</v>
          </cell>
          <cell r="AX421" t="str">
            <v>[]</v>
          </cell>
          <cell r="AY421">
            <v>5</v>
          </cell>
          <cell r="BA421" t="str">
            <v>[]</v>
          </cell>
          <cell r="BE421" t="str">
            <v>[]</v>
          </cell>
          <cell r="BF421"/>
        </row>
        <row r="422">
          <cell r="A422" t="str">
            <v>shanzijing_skill02</v>
          </cell>
          <cell r="B422" t="str">
            <v>百花笑</v>
          </cell>
          <cell r="C422" t="str">
            <v>扇子精对敌方发射魅惑之心，对命中目标造成自身攻击力@s的伤害，并减少@s防御</v>
          </cell>
          <cell r="D422" t="str">
            <v>[]</v>
          </cell>
          <cell r="E422">
            <v>2</v>
          </cell>
          <cell r="F422" t="str">
            <v>boss_warning_juxing</v>
          </cell>
          <cell r="G422" t="str">
            <v>扇子精技能2</v>
          </cell>
          <cell r="H422" t="str">
            <v>shanzijing_skill02</v>
          </cell>
          <cell r="I422" t="str">
            <v>[]</v>
          </cell>
          <cell r="J422">
            <v>1</v>
          </cell>
          <cell r="K422">
            <v>10</v>
          </cell>
          <cell r="L422" t="str">
            <v>[]</v>
          </cell>
          <cell r="M422">
            <v>2</v>
          </cell>
          <cell r="N422">
            <v>2</v>
          </cell>
          <cell r="O422">
            <v>1</v>
          </cell>
          <cell r="P422">
            <v>2</v>
          </cell>
          <cell r="Q422">
            <v>4</v>
          </cell>
          <cell r="R422" t="str">
            <v>2|1</v>
          </cell>
          <cell r="S422" t="str">
            <v>4|0.2</v>
          </cell>
          <cell r="T422">
            <v>1</v>
          </cell>
          <cell r="U422">
            <v>0</v>
          </cell>
          <cell r="V422">
            <v>0</v>
          </cell>
          <cell r="W422" t="str">
            <v>[]</v>
          </cell>
          <cell r="X422">
            <v>3</v>
          </cell>
          <cell r="Y422" t="str">
            <v>[]</v>
          </cell>
          <cell r="Z422" t="str">
            <v>1.6,1.35,0</v>
          </cell>
          <cell r="AA422">
            <v>0</v>
          </cell>
          <cell r="AB422">
            <v>6</v>
          </cell>
          <cell r="AC422" t="str">
            <v>[]</v>
          </cell>
          <cell r="AD422" t="str">
            <v>[]</v>
          </cell>
          <cell r="AE422" t="str">
            <v>shanzijing_skill02_q</v>
          </cell>
          <cell r="AF422" t="str">
            <v>shanzijing_skill02_f</v>
          </cell>
          <cell r="AG422" t="str">
            <v>common_hit_fashu</v>
          </cell>
          <cell r="AH422" t="str">
            <v>[]</v>
          </cell>
          <cell r="AI422" t="str">
            <v>[]</v>
          </cell>
          <cell r="AJ422" t="str">
            <v>[]</v>
          </cell>
          <cell r="AK422" t="str">
            <v>shanzijing_skill02_dinshen</v>
          </cell>
          <cell r="AL422" t="str">
            <v>[]</v>
          </cell>
          <cell r="AM422" t="str">
            <v>jiashangupT3N0.1</v>
          </cell>
          <cell r="AN422">
            <v>2</v>
          </cell>
          <cell r="AO422">
            <v>0.5</v>
          </cell>
          <cell r="AP422">
            <v>122604</v>
          </cell>
          <cell r="AQ422" t="str">
            <v>122604,9020</v>
          </cell>
          <cell r="AR422" t="str">
            <v>[]</v>
          </cell>
          <cell r="AS422" t="str">
            <v>[]</v>
          </cell>
          <cell r="AT422" t="str">
            <v>1207</v>
          </cell>
          <cell r="AU422" t="str">
            <v>6680</v>
          </cell>
          <cell r="AV422" t="str">
            <v>扇子精</v>
          </cell>
          <cell r="AW422" t="str">
            <v>02</v>
          </cell>
          <cell r="AX422" t="str">
            <v>[]</v>
          </cell>
          <cell r="AY422">
            <v>1</v>
          </cell>
          <cell r="BA422" t="str">
            <v>[]</v>
          </cell>
          <cell r="BE422" t="str">
            <v>[]</v>
          </cell>
          <cell r="BF422"/>
        </row>
        <row r="423">
          <cell r="A423" t="str">
            <v>shanzijing_skill03</v>
          </cell>
          <cell r="B423" t="str">
            <v>生命光环</v>
          </cell>
          <cell r="C423" t="str">
            <v>进入战斗场景时，提高全队@s生命上限</v>
          </cell>
          <cell r="D423">
            <v>1262</v>
          </cell>
          <cell r="E423">
            <v>0</v>
          </cell>
          <cell r="F423" t="str">
            <v>[]</v>
          </cell>
          <cell r="G423" t="str">
            <v>扇子精被动技能</v>
          </cell>
          <cell r="H423" t="str">
            <v>shengming</v>
          </cell>
          <cell r="I423" t="str">
            <v>[]</v>
          </cell>
          <cell r="J423">
            <v>2</v>
          </cell>
          <cell r="K423">
            <v>10</v>
          </cell>
          <cell r="L423" t="str">
            <v>[]</v>
          </cell>
          <cell r="M423">
            <v>2</v>
          </cell>
          <cell r="N423">
            <v>2</v>
          </cell>
          <cell r="O423">
            <v>3</v>
          </cell>
          <cell r="P423">
            <v>0</v>
          </cell>
          <cell r="Q423">
            <v>12</v>
          </cell>
          <cell r="R423">
            <v>3</v>
          </cell>
          <cell r="S423">
            <v>5</v>
          </cell>
          <cell r="T423">
            <v>10</v>
          </cell>
          <cell r="U423">
            <v>0</v>
          </cell>
          <cell r="V423">
            <v>0</v>
          </cell>
          <cell r="W423" t="str">
            <v>[]</v>
          </cell>
          <cell r="X423">
            <v>0</v>
          </cell>
          <cell r="Y423" t="str">
            <v>[]</v>
          </cell>
          <cell r="Z423" t="str">
            <v>0,0,0</v>
          </cell>
          <cell r="AA423">
            <v>0</v>
          </cell>
          <cell r="AB423" t="str">
            <v>[]</v>
          </cell>
          <cell r="AC423" t="str">
            <v>[]</v>
          </cell>
          <cell r="AD423" t="str">
            <v>[]</v>
          </cell>
          <cell r="AE423" t="str">
            <v>[]</v>
          </cell>
          <cell r="AF423" t="str">
            <v>[]</v>
          </cell>
          <cell r="AG423" t="str">
            <v>[]</v>
          </cell>
          <cell r="AH423" t="str">
            <v>[]</v>
          </cell>
          <cell r="AI423" t="str">
            <v>[]</v>
          </cell>
          <cell r="AJ423" t="str">
            <v>shanzijing_skill03_higheff</v>
          </cell>
          <cell r="AK423" t="str">
            <v>[]</v>
          </cell>
          <cell r="AL423" t="str">
            <v>[]</v>
          </cell>
          <cell r="AM423" t="str">
            <v>[]</v>
          </cell>
          <cell r="AN423">
            <v>0</v>
          </cell>
          <cell r="AO423" t="str">
            <v>[]</v>
          </cell>
          <cell r="AP423" t="str">
            <v>[]</v>
          </cell>
          <cell r="AQ423" t="str">
            <v>9010</v>
          </cell>
          <cell r="AR423" t="str">
            <v>[]</v>
          </cell>
          <cell r="AS423" t="str">
            <v>[]</v>
          </cell>
          <cell r="AT423" t="str">
            <v>1207</v>
          </cell>
          <cell r="AU423" t="str">
            <v>6690</v>
          </cell>
          <cell r="AV423" t="str">
            <v>扇子精</v>
          </cell>
          <cell r="AW423" t="str">
            <v>03</v>
          </cell>
          <cell r="AX423">
            <v>1262</v>
          </cell>
          <cell r="AY423">
            <v>1</v>
          </cell>
          <cell r="BA423" t="str">
            <v>[]</v>
          </cell>
          <cell r="BE423" t="str">
            <v>[]</v>
          </cell>
          <cell r="BF423"/>
        </row>
        <row r="424">
          <cell r="A424" t="str">
            <v>shanzijing_skill04</v>
          </cell>
          <cell r="B424" t="str">
            <v>风团</v>
          </cell>
          <cell r="C424" t="str">
            <v>扇子精用扇子发射风团对命中的敌人造成自身攻击力@s的伤害</v>
          </cell>
          <cell r="D424">
            <v>1264</v>
          </cell>
          <cell r="E424">
            <v>2</v>
          </cell>
          <cell r="F424" t="str">
            <v xml:space="preserve">boss_warning_shanxing60  </v>
          </cell>
          <cell r="G424" t="str">
            <v>扇子精技能4</v>
          </cell>
          <cell r="H424" t="str">
            <v>shanzijing_skill04</v>
          </cell>
          <cell r="I424" t="str">
            <v>[]</v>
          </cell>
          <cell r="J424">
            <v>3</v>
          </cell>
          <cell r="K424">
            <v>10</v>
          </cell>
          <cell r="L424" t="str">
            <v>[]</v>
          </cell>
          <cell r="M424">
            <v>2</v>
          </cell>
          <cell r="N424">
            <v>2</v>
          </cell>
          <cell r="O424">
            <v>2</v>
          </cell>
          <cell r="P424">
            <v>2</v>
          </cell>
          <cell r="Q424">
            <v>4</v>
          </cell>
          <cell r="R424" t="str">
            <v>2|1</v>
          </cell>
          <cell r="S424" t="str">
            <v>2|2</v>
          </cell>
          <cell r="T424">
            <v>10</v>
          </cell>
          <cell r="U424">
            <v>0</v>
          </cell>
          <cell r="V424">
            <v>0</v>
          </cell>
          <cell r="W424" t="str">
            <v>[]</v>
          </cell>
          <cell r="X424">
            <v>3</v>
          </cell>
          <cell r="Y424" t="str">
            <v>[]</v>
          </cell>
          <cell r="Z424" t="str">
            <v>1.47,0.6,0</v>
          </cell>
          <cell r="AA424">
            <v>0</v>
          </cell>
          <cell r="AB424">
            <v>6</v>
          </cell>
          <cell r="AC424" t="str">
            <v>[]</v>
          </cell>
          <cell r="AD424" t="str">
            <v>[]</v>
          </cell>
          <cell r="AE424" t="str">
            <v>shanzijing_skill04_q</v>
          </cell>
          <cell r="AF424" t="str">
            <v>shanzijing_skill04_f</v>
          </cell>
          <cell r="AG424" t="str">
            <v>shanzijing_skill04_b</v>
          </cell>
          <cell r="AH424" t="str">
            <v>[]</v>
          </cell>
          <cell r="AI424" t="str">
            <v>[]</v>
          </cell>
          <cell r="AJ424" t="str">
            <v>[]</v>
          </cell>
          <cell r="AK424" t="str">
            <v>shanzijing_zhenping</v>
          </cell>
          <cell r="AL424" t="str">
            <v>[]</v>
          </cell>
          <cell r="AM424" t="str">
            <v>[]</v>
          </cell>
          <cell r="AN424">
            <v>2</v>
          </cell>
          <cell r="AO424">
            <v>-4</v>
          </cell>
          <cell r="AP424">
            <v>122606</v>
          </cell>
          <cell r="AQ424" t="str">
            <v>122606</v>
          </cell>
          <cell r="AR424" t="str">
            <v>[]</v>
          </cell>
          <cell r="AS424" t="str">
            <v>[]</v>
          </cell>
          <cell r="AT424" t="str">
            <v>9015</v>
          </cell>
          <cell r="AU424" t="str">
            <v>6700</v>
          </cell>
          <cell r="AV424" t="str">
            <v>扇子精</v>
          </cell>
          <cell r="AW424" t="str">
            <v>04</v>
          </cell>
          <cell r="AX424">
            <v>1264</v>
          </cell>
          <cell r="AY424">
            <v>1</v>
          </cell>
          <cell r="BA424" t="str">
            <v>[]</v>
          </cell>
          <cell r="BE424" t="str">
            <v>[]</v>
          </cell>
          <cell r="BF424"/>
        </row>
        <row r="425">
          <cell r="A425" t="str">
            <v>guishibai_attack</v>
          </cell>
          <cell r="B425" t="str">
            <v>鬼使白</v>
          </cell>
          <cell r="C425" t="str">
            <v>攻击目标</v>
          </cell>
          <cell r="D425" t="str">
            <v>[]</v>
          </cell>
          <cell r="E425">
            <v>0</v>
          </cell>
          <cell r="F425" t="str">
            <v>[]</v>
          </cell>
          <cell r="G425" t="str">
            <v>近战攻击</v>
          </cell>
          <cell r="H425" t="str">
            <v>[]</v>
          </cell>
          <cell r="I425" t="str">
            <v>[]</v>
          </cell>
          <cell r="J425">
            <v>0</v>
          </cell>
          <cell r="K425">
            <v>1</v>
          </cell>
          <cell r="L425" t="str">
            <v>[]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12</v>
          </cell>
          <cell r="R425" t="str">
            <v>2|1</v>
          </cell>
          <cell r="S425" t="str">
            <v>4|0.2</v>
          </cell>
          <cell r="T425">
            <v>1</v>
          </cell>
          <cell r="U425">
            <v>0</v>
          </cell>
          <cell r="V425">
            <v>0</v>
          </cell>
          <cell r="W425" t="str">
            <v>[]</v>
          </cell>
          <cell r="X425">
            <v>0</v>
          </cell>
          <cell r="Y425" t="str">
            <v>[]</v>
          </cell>
          <cell r="Z425" t="str">
            <v>0,1,0</v>
          </cell>
          <cell r="AA425">
            <v>0</v>
          </cell>
          <cell r="AB425" t="str">
            <v>[]</v>
          </cell>
          <cell r="AC425" t="str">
            <v>[]</v>
          </cell>
          <cell r="AD425" t="str">
            <v>[]</v>
          </cell>
          <cell r="AE425" t="str">
            <v>[]</v>
          </cell>
          <cell r="AF425" t="str">
            <v>guishibai_attack</v>
          </cell>
          <cell r="AG425" t="str">
            <v>common_hit_fashu</v>
          </cell>
          <cell r="AH425" t="str">
            <v>[]</v>
          </cell>
          <cell r="AI425" t="str">
            <v>[]</v>
          </cell>
          <cell r="AJ425" t="str">
            <v>[]</v>
          </cell>
          <cell r="AK425" t="str">
            <v>[]</v>
          </cell>
          <cell r="AL425" t="str">
            <v>[]</v>
          </cell>
          <cell r="AM425" t="str">
            <v>[]</v>
          </cell>
          <cell r="AN425">
            <v>2</v>
          </cell>
          <cell r="AO425" t="str">
            <v>[]</v>
          </cell>
          <cell r="AP425">
            <v>120400</v>
          </cell>
          <cell r="AQ425" t="str">
            <v>120400</v>
          </cell>
          <cell r="AR425" t="str">
            <v>[]</v>
          </cell>
          <cell r="AS425" t="str">
            <v>[]</v>
          </cell>
          <cell r="AT425" t="str">
            <v>1207</v>
          </cell>
          <cell r="AU425" t="str">
            <v>3910</v>
          </cell>
          <cell r="AV425" t="str">
            <v>近战攻击</v>
          </cell>
          <cell r="AW425" t="str">
            <v>ck</v>
          </cell>
          <cell r="AX425" t="str">
            <v>[]</v>
          </cell>
          <cell r="AY425">
            <v>1</v>
          </cell>
          <cell r="BA425" t="str">
            <v>[]</v>
          </cell>
          <cell r="BE425" t="str">
            <v>[]</v>
          </cell>
          <cell r="BF425"/>
        </row>
        <row r="426">
          <cell r="A426" t="str">
            <v>guishibai_skill01</v>
          </cell>
          <cell r="B426" t="str">
            <v>摄魂令</v>
          </cell>
          <cell r="C426" t="str">
            <v>向敌方发射5枚摄魂令，对命中的目标造成主角攻击力@s的伤害，并降低@s的闪避</v>
          </cell>
          <cell r="D426" t="str">
            <v>[]</v>
          </cell>
          <cell r="E426">
            <v>0</v>
          </cell>
          <cell r="F426" t="str">
            <v>[]</v>
          </cell>
          <cell r="G426" t="str">
            <v>鬼使白核心技能</v>
          </cell>
          <cell r="H426" t="str">
            <v>guishibai_skill01</v>
          </cell>
          <cell r="I426" t="str">
            <v>guishibai_skill01</v>
          </cell>
          <cell r="J426">
            <v>0</v>
          </cell>
          <cell r="K426">
            <v>10</v>
          </cell>
          <cell r="L426" t="str">
            <v>1|24</v>
          </cell>
          <cell r="M426">
            <v>2</v>
          </cell>
          <cell r="N426">
            <v>2</v>
          </cell>
          <cell r="O426">
            <v>1</v>
          </cell>
          <cell r="P426">
            <v>2</v>
          </cell>
          <cell r="Q426">
            <v>12</v>
          </cell>
          <cell r="R426" t="str">
            <v>2|1</v>
          </cell>
          <cell r="S426" t="str">
            <v>1|1|4</v>
          </cell>
          <cell r="T426">
            <v>10</v>
          </cell>
          <cell r="U426">
            <v>1</v>
          </cell>
          <cell r="V426">
            <v>0</v>
          </cell>
          <cell r="W426" t="str">
            <v>[]</v>
          </cell>
          <cell r="X426">
            <v>0</v>
          </cell>
          <cell r="Y426" t="str">
            <v>[]</v>
          </cell>
          <cell r="Z426" t="str">
            <v>0,1,0</v>
          </cell>
          <cell r="AA426">
            <v>0</v>
          </cell>
          <cell r="AB426" t="str">
            <v>12</v>
          </cell>
          <cell r="AC426" t="str">
            <v>[]</v>
          </cell>
          <cell r="AD426" t="str">
            <v>[]</v>
          </cell>
          <cell r="AE426" t="str">
            <v>[]</v>
          </cell>
          <cell r="AF426" t="str">
            <v>guishibai_skill01</v>
          </cell>
          <cell r="AG426" t="str">
            <v>common_hit_fashu</v>
          </cell>
          <cell r="AH426" t="str">
            <v>[]</v>
          </cell>
          <cell r="AI426" t="str">
            <v>[]</v>
          </cell>
          <cell r="AJ426" t="str">
            <v>[]</v>
          </cell>
          <cell r="AK426" t="str">
            <v>[]</v>
          </cell>
          <cell r="AL426" t="str">
            <v>[]</v>
          </cell>
          <cell r="AM426" t="str">
            <v>buff_guishibai_skill01</v>
          </cell>
          <cell r="AN426">
            <v>2</v>
          </cell>
          <cell r="AO426">
            <v>-4</v>
          </cell>
          <cell r="AP426">
            <v>120401</v>
          </cell>
          <cell r="AQ426" t="str">
            <v>120401,9010</v>
          </cell>
          <cell r="AR426" t="str">
            <v>[]</v>
          </cell>
          <cell r="AS426" t="str">
            <v>[]</v>
          </cell>
          <cell r="AT426" t="str">
            <v>1207</v>
          </cell>
          <cell r="AU426" t="str">
            <v>3920</v>
          </cell>
          <cell r="AV426" t="str">
            <v>鬼使白</v>
          </cell>
          <cell r="AW426" t="str">
            <v>01</v>
          </cell>
          <cell r="AX426" t="str">
            <v>[]</v>
          </cell>
          <cell r="AY426">
            <v>1</v>
          </cell>
          <cell r="BA426" t="str">
            <v>[]</v>
          </cell>
          <cell r="BE426" t="str">
            <v>[]</v>
          </cell>
          <cell r="BF426"/>
        </row>
        <row r="427">
          <cell r="A427" t="str">
            <v>guishibai_skill02</v>
          </cell>
          <cell r="B427" t="str">
            <v>阎罗令</v>
          </cell>
          <cell r="C427" t="str">
            <v>鬼使白对目标发射阎罗令对命中目标造成自身攻击力@s的伤害，并使降低目标@s防御</v>
          </cell>
          <cell r="D427" t="str">
            <v>[]</v>
          </cell>
          <cell r="E427">
            <v>2</v>
          </cell>
          <cell r="F427" t="str">
            <v>boss_warning_juxing</v>
          </cell>
          <cell r="G427" t="str">
            <v>鬼使白技能2</v>
          </cell>
          <cell r="H427" t="str">
            <v>guishibai_skill02</v>
          </cell>
          <cell r="I427" t="str">
            <v>[]</v>
          </cell>
          <cell r="J427">
            <v>1</v>
          </cell>
          <cell r="K427">
            <v>10</v>
          </cell>
          <cell r="L427" t="str">
            <v>[]</v>
          </cell>
          <cell r="M427">
            <v>2</v>
          </cell>
          <cell r="N427">
            <v>2</v>
          </cell>
          <cell r="O427">
            <v>1</v>
          </cell>
          <cell r="P427">
            <v>2</v>
          </cell>
          <cell r="Q427">
            <v>4</v>
          </cell>
          <cell r="R427" t="str">
            <v>2|1</v>
          </cell>
          <cell r="S427" t="str">
            <v>4|0.2</v>
          </cell>
          <cell r="T427">
            <v>10</v>
          </cell>
          <cell r="U427">
            <v>1</v>
          </cell>
          <cell r="V427">
            <v>0</v>
          </cell>
          <cell r="W427" t="str">
            <v>[]</v>
          </cell>
          <cell r="X427">
            <v>3</v>
          </cell>
          <cell r="Y427" t="str">
            <v>[]</v>
          </cell>
          <cell r="Z427" t="str">
            <v>0,2.4,0</v>
          </cell>
          <cell r="AA427">
            <v>0</v>
          </cell>
          <cell r="AB427">
            <v>6</v>
          </cell>
          <cell r="AC427" t="str">
            <v>[]</v>
          </cell>
          <cell r="AD427" t="str">
            <v>[]</v>
          </cell>
          <cell r="AE427" t="str">
            <v>guishibai_skill02</v>
          </cell>
          <cell r="AF427" t="str">
            <v>guishibai_skill02_f</v>
          </cell>
          <cell r="AG427" t="str">
            <v>guishibai_skill02_b</v>
          </cell>
          <cell r="AH427" t="str">
            <v>[]</v>
          </cell>
          <cell r="AI427" t="str">
            <v>[]</v>
          </cell>
          <cell r="AJ427" t="str">
            <v>[]</v>
          </cell>
          <cell r="AK427" t="str">
            <v>[]</v>
          </cell>
          <cell r="AL427" t="str">
            <v>[]</v>
          </cell>
          <cell r="AM427" t="str">
            <v>jiashangupT3N0.1</v>
          </cell>
          <cell r="AN427">
            <v>2</v>
          </cell>
          <cell r="AO427">
            <v>-2</v>
          </cell>
          <cell r="AP427">
            <v>120402</v>
          </cell>
          <cell r="AQ427" t="str">
            <v>120402,9010</v>
          </cell>
          <cell r="AR427" t="str">
            <v>[]</v>
          </cell>
          <cell r="AS427" t="str">
            <v>[]</v>
          </cell>
          <cell r="AT427" t="str">
            <v>1207</v>
          </cell>
          <cell r="AU427" t="str">
            <v>3930</v>
          </cell>
          <cell r="AV427" t="str">
            <v>鬼使白</v>
          </cell>
          <cell r="AW427" t="str">
            <v>02</v>
          </cell>
          <cell r="AX427" t="str">
            <v>[]</v>
          </cell>
          <cell r="AY427">
            <v>1</v>
          </cell>
          <cell r="BA427" t="str">
            <v>[]</v>
          </cell>
          <cell r="BE427" t="str">
            <v>[]</v>
          </cell>
          <cell r="BF427"/>
        </row>
        <row r="428">
          <cell r="A428" t="str">
            <v>guishibai_skill03</v>
          </cell>
          <cell r="B428" t="str">
            <v>闪避提升</v>
          </cell>
          <cell r="C428" t="str">
            <v>进入战斗场景时，增加自身@s的闪避率</v>
          </cell>
          <cell r="D428">
            <v>1262</v>
          </cell>
          <cell r="E428">
            <v>0</v>
          </cell>
          <cell r="F428" t="str">
            <v>[]</v>
          </cell>
          <cell r="G428" t="str">
            <v>鬼使白被动技能</v>
          </cell>
          <cell r="H428" t="str">
            <v>wugong</v>
          </cell>
          <cell r="I428" t="str">
            <v>[]</v>
          </cell>
          <cell r="J428">
            <v>2</v>
          </cell>
          <cell r="K428">
            <v>10</v>
          </cell>
          <cell r="L428" t="str">
            <v>[]</v>
          </cell>
          <cell r="M428">
            <v>2</v>
          </cell>
          <cell r="N428">
            <v>2</v>
          </cell>
          <cell r="O428">
            <v>3</v>
          </cell>
          <cell r="P428">
            <v>0</v>
          </cell>
          <cell r="Q428">
            <v>12</v>
          </cell>
          <cell r="R428">
            <v>1</v>
          </cell>
          <cell r="S428" t="str">
            <v>4|0.2</v>
          </cell>
          <cell r="T428">
            <v>1</v>
          </cell>
          <cell r="U428">
            <v>0</v>
          </cell>
          <cell r="V428">
            <v>0</v>
          </cell>
          <cell r="W428" t="str">
            <v>[]</v>
          </cell>
          <cell r="X428">
            <v>0</v>
          </cell>
          <cell r="Y428" t="str">
            <v>[]</v>
          </cell>
          <cell r="Z428" t="str">
            <v>0,0,0</v>
          </cell>
          <cell r="AA428">
            <v>0</v>
          </cell>
          <cell r="AB428" t="str">
            <v>[]</v>
          </cell>
          <cell r="AC428" t="str">
            <v>[]</v>
          </cell>
          <cell r="AD428" t="str">
            <v>[]</v>
          </cell>
          <cell r="AE428" t="str">
            <v>[]</v>
          </cell>
          <cell r="AF428" t="str">
            <v>[]</v>
          </cell>
          <cell r="AG428" t="str">
            <v>[]</v>
          </cell>
          <cell r="AH428" t="str">
            <v>[]</v>
          </cell>
          <cell r="AI428" t="str">
            <v>[]</v>
          </cell>
          <cell r="AJ428" t="str">
            <v>[]</v>
          </cell>
          <cell r="AK428" t="str">
            <v>[]</v>
          </cell>
          <cell r="AL428" t="str">
            <v>shanbiupT3N0.2b</v>
          </cell>
          <cell r="AM428" t="str">
            <v>[]</v>
          </cell>
          <cell r="AN428">
            <v>0</v>
          </cell>
          <cell r="AO428" t="str">
            <v>[]</v>
          </cell>
          <cell r="AP428" t="str">
            <v>[]</v>
          </cell>
          <cell r="AQ428" t="str">
            <v>9010</v>
          </cell>
          <cell r="AR428" t="str">
            <v>[]</v>
          </cell>
          <cell r="AS428" t="str">
            <v>[]</v>
          </cell>
          <cell r="AT428" t="str">
            <v>1207</v>
          </cell>
          <cell r="AU428" t="str">
            <v>3940</v>
          </cell>
          <cell r="AV428" t="str">
            <v>鬼使白</v>
          </cell>
          <cell r="AW428" t="str">
            <v>03</v>
          </cell>
          <cell r="AX428">
            <v>1262</v>
          </cell>
          <cell r="AY428">
            <v>1</v>
          </cell>
          <cell r="BA428" t="str">
            <v>[]</v>
          </cell>
          <cell r="BE428" t="str">
            <v>[]</v>
          </cell>
          <cell r="BF428"/>
        </row>
        <row r="429">
          <cell r="A429" t="str">
            <v>guishibai_skill04</v>
          </cell>
          <cell r="B429" t="str">
            <v>拘魂令</v>
          </cell>
          <cell r="C429" t="str">
            <v>鬼使白对目标发射拘魂令对命中目标造成自身攻击力@s的伤害，并使目标无法行动</v>
          </cell>
          <cell r="D429">
            <v>1264</v>
          </cell>
          <cell r="E429">
            <v>2</v>
          </cell>
          <cell r="F429" t="str">
            <v>boss_warning_juxing</v>
          </cell>
          <cell r="G429" t="str">
            <v>鬼使白技能4</v>
          </cell>
          <cell r="H429" t="str">
            <v>guishibai_skill04</v>
          </cell>
          <cell r="I429" t="str">
            <v>[]</v>
          </cell>
          <cell r="J429">
            <v>3</v>
          </cell>
          <cell r="K429">
            <v>10</v>
          </cell>
          <cell r="L429" t="str">
            <v>[]</v>
          </cell>
          <cell r="M429">
            <v>2</v>
          </cell>
          <cell r="N429">
            <v>2</v>
          </cell>
          <cell r="O429">
            <v>1</v>
          </cell>
          <cell r="P429">
            <v>2</v>
          </cell>
          <cell r="Q429">
            <v>4</v>
          </cell>
          <cell r="R429" t="str">
            <v>2|1</v>
          </cell>
          <cell r="S429" t="str">
            <v>4|0.2</v>
          </cell>
          <cell r="T429">
            <v>10</v>
          </cell>
          <cell r="U429">
            <v>1</v>
          </cell>
          <cell r="V429">
            <v>0</v>
          </cell>
          <cell r="W429" t="str">
            <v>[]</v>
          </cell>
          <cell r="X429">
            <v>3</v>
          </cell>
          <cell r="Y429" t="str">
            <v>[]</v>
          </cell>
          <cell r="Z429" t="str">
            <v>0,2.33,0</v>
          </cell>
          <cell r="AA429">
            <v>0</v>
          </cell>
          <cell r="AB429">
            <v>6</v>
          </cell>
          <cell r="AC429" t="str">
            <v>[]</v>
          </cell>
          <cell r="AD429" t="str">
            <v>[]</v>
          </cell>
          <cell r="AE429" t="str">
            <v>guishibai_skill04</v>
          </cell>
          <cell r="AF429" t="str">
            <v>guishibai_skill04_f</v>
          </cell>
          <cell r="AG429" t="str">
            <v>guishibai_skill04_b</v>
          </cell>
          <cell r="AH429" t="str">
            <v>[]</v>
          </cell>
          <cell r="AI429" t="str">
            <v>[]</v>
          </cell>
          <cell r="AJ429" t="str">
            <v>[]</v>
          </cell>
          <cell r="AK429" t="str">
            <v>guishibai_skill04_dingsheng</v>
          </cell>
          <cell r="AL429" t="str">
            <v>[]</v>
          </cell>
          <cell r="AM429" t="str">
            <v>[]</v>
          </cell>
          <cell r="AN429">
            <v>2</v>
          </cell>
          <cell r="AO429">
            <v>-2</v>
          </cell>
          <cell r="AP429">
            <v>120404</v>
          </cell>
          <cell r="AQ429" t="str">
            <v>120404</v>
          </cell>
          <cell r="AR429" t="str">
            <v>[]</v>
          </cell>
          <cell r="AS429" t="str">
            <v>[]</v>
          </cell>
          <cell r="AT429" t="str">
            <v>1218</v>
          </cell>
          <cell r="AU429" t="str">
            <v>3950</v>
          </cell>
          <cell r="AV429" t="str">
            <v>鬼使白</v>
          </cell>
          <cell r="AW429" t="str">
            <v>04</v>
          </cell>
          <cell r="AX429">
            <v>1264</v>
          </cell>
          <cell r="AY429">
            <v>1</v>
          </cell>
          <cell r="BA429" t="str">
            <v>[]</v>
          </cell>
          <cell r="BE429" t="str">
            <v>[]</v>
          </cell>
          <cell r="BF429"/>
        </row>
        <row r="430">
          <cell r="A430" t="str">
            <v>niutou_attack</v>
          </cell>
          <cell r="B430" t="str">
            <v>牛头</v>
          </cell>
          <cell r="C430" t="str">
            <v>攻击目标</v>
          </cell>
          <cell r="D430" t="str">
            <v>[]</v>
          </cell>
          <cell r="E430">
            <v>0</v>
          </cell>
          <cell r="F430" t="str">
            <v>[]</v>
          </cell>
          <cell r="G430" t="str">
            <v>近战攻击</v>
          </cell>
          <cell r="H430" t="str">
            <v>[]</v>
          </cell>
          <cell r="I430" t="str">
            <v>[]</v>
          </cell>
          <cell r="J430">
            <v>0</v>
          </cell>
          <cell r="K430">
            <v>1</v>
          </cell>
          <cell r="L430" t="str">
            <v>[]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3</v>
          </cell>
          <cell r="R430" t="str">
            <v>2|1</v>
          </cell>
          <cell r="S430" t="str">
            <v>4|0.2</v>
          </cell>
          <cell r="T430">
            <v>1</v>
          </cell>
          <cell r="U430">
            <v>0</v>
          </cell>
          <cell r="V430">
            <v>0</v>
          </cell>
          <cell r="W430" t="str">
            <v>[]</v>
          </cell>
          <cell r="X430">
            <v>0</v>
          </cell>
          <cell r="Y430" t="str">
            <v>[]</v>
          </cell>
          <cell r="Z430" t="str">
            <v>0,1,0</v>
          </cell>
          <cell r="AA430">
            <v>0</v>
          </cell>
          <cell r="AB430" t="str">
            <v>[]</v>
          </cell>
          <cell r="AC430" t="str">
            <v>[]</v>
          </cell>
          <cell r="AD430" t="str">
            <v>[]</v>
          </cell>
          <cell r="AE430" t="str">
            <v>[]</v>
          </cell>
          <cell r="AF430" t="str">
            <v>niutou_attack</v>
          </cell>
          <cell r="AG430" t="str">
            <v>common_hit_zhongwuqi</v>
          </cell>
          <cell r="AH430" t="str">
            <v>[]</v>
          </cell>
          <cell r="AI430" t="str">
            <v>[]</v>
          </cell>
          <cell r="AJ430" t="str">
            <v>[]</v>
          </cell>
          <cell r="AK430" t="str">
            <v>[]</v>
          </cell>
          <cell r="AL430" t="str">
            <v>[]</v>
          </cell>
          <cell r="AM430" t="str">
            <v>[]</v>
          </cell>
          <cell r="AN430">
            <v>1</v>
          </cell>
          <cell r="AO430">
            <v>0.47</v>
          </cell>
          <cell r="AP430">
            <v>120600</v>
          </cell>
          <cell r="AQ430" t="str">
            <v>120600</v>
          </cell>
          <cell r="AR430" t="str">
            <v>[]</v>
          </cell>
          <cell r="AS430" t="str">
            <v>[]</v>
          </cell>
          <cell r="AT430" t="str">
            <v>1218</v>
          </cell>
          <cell r="AU430" t="str">
            <v>3960</v>
          </cell>
          <cell r="AV430" t="str">
            <v>近战攻击</v>
          </cell>
          <cell r="AW430" t="str">
            <v>ck</v>
          </cell>
          <cell r="AX430" t="str">
            <v>[]</v>
          </cell>
          <cell r="AY430">
            <v>1</v>
          </cell>
          <cell r="BA430" t="str">
            <v>[]</v>
          </cell>
          <cell r="BE430" t="str">
            <v>[]</v>
          </cell>
          <cell r="BF430"/>
        </row>
        <row r="431">
          <cell r="A431" t="str">
            <v>niutou_skill01</v>
          </cell>
          <cell r="B431" t="str">
            <v>巨力飞斧</v>
          </cell>
          <cell r="C431" t="str">
            <v>召唤飞斧对命中的目标造成主角攻击力@s的伤害，并附加流血效果</v>
          </cell>
          <cell r="D431" t="str">
            <v>[]</v>
          </cell>
          <cell r="E431">
            <v>0</v>
          </cell>
          <cell r="F431" t="str">
            <v>[]</v>
          </cell>
          <cell r="G431" t="str">
            <v>牛头核心技能</v>
          </cell>
          <cell r="H431" t="str">
            <v>niutou_skill01</v>
          </cell>
          <cell r="I431" t="str">
            <v>niutou_skill01</v>
          </cell>
          <cell r="J431">
            <v>0</v>
          </cell>
          <cell r="K431">
            <v>10</v>
          </cell>
          <cell r="L431" t="str">
            <v>1|24</v>
          </cell>
          <cell r="M431">
            <v>2</v>
          </cell>
          <cell r="N431">
            <v>2</v>
          </cell>
          <cell r="O431">
            <v>1</v>
          </cell>
          <cell r="P431">
            <v>2</v>
          </cell>
          <cell r="Q431">
            <v>12</v>
          </cell>
          <cell r="R431" t="str">
            <v>2|1</v>
          </cell>
          <cell r="S431" t="str">
            <v>1|1|4</v>
          </cell>
          <cell r="T431">
            <v>10</v>
          </cell>
          <cell r="U431">
            <v>1</v>
          </cell>
          <cell r="V431">
            <v>0</v>
          </cell>
          <cell r="W431" t="str">
            <v>[]</v>
          </cell>
          <cell r="X431">
            <v>0</v>
          </cell>
          <cell r="Y431" t="str">
            <v>[]</v>
          </cell>
          <cell r="Z431" t="str">
            <v>0,1,0</v>
          </cell>
          <cell r="AA431">
            <v>0</v>
          </cell>
          <cell r="AB431" t="str">
            <v>12</v>
          </cell>
          <cell r="AC431" t="str">
            <v>[]</v>
          </cell>
          <cell r="AD431" t="str">
            <v>[]</v>
          </cell>
          <cell r="AE431" t="str">
            <v>niutou_skill01</v>
          </cell>
          <cell r="AF431" t="str">
            <v>niutou_skill01_f</v>
          </cell>
          <cell r="AG431" t="str">
            <v>common_hit_zhongwuqi</v>
          </cell>
          <cell r="AH431" t="str">
            <v>[]</v>
          </cell>
          <cell r="AI431" t="str">
            <v>[]</v>
          </cell>
          <cell r="AJ431" t="str">
            <v>[]</v>
          </cell>
          <cell r="AK431" t="str">
            <v>[]</v>
          </cell>
          <cell r="AL431" t="str">
            <v>[]</v>
          </cell>
          <cell r="AM431" t="str">
            <v>l</v>
          </cell>
          <cell r="AN431">
            <v>2</v>
          </cell>
          <cell r="AO431">
            <v>-4</v>
          </cell>
          <cell r="AP431">
            <v>120601</v>
          </cell>
          <cell r="AQ431" t="str">
            <v>120601</v>
          </cell>
          <cell r="AR431" t="str">
            <v>[]</v>
          </cell>
          <cell r="AS431" t="str">
            <v>[]</v>
          </cell>
          <cell r="AT431" t="str">
            <v>1218</v>
          </cell>
          <cell r="AU431" t="str">
            <v>3970</v>
          </cell>
          <cell r="AV431" t="str">
            <v>牛头</v>
          </cell>
          <cell r="AW431" t="str">
            <v>01</v>
          </cell>
          <cell r="AX431" t="str">
            <v>[]</v>
          </cell>
          <cell r="AY431">
            <v>1</v>
          </cell>
          <cell r="BA431" t="str">
            <v>[]</v>
          </cell>
          <cell r="BE431" t="str">
            <v>[]</v>
          </cell>
          <cell r="BF431"/>
        </row>
        <row r="432">
          <cell r="A432" t="str">
            <v>niutou_skill02</v>
          </cell>
          <cell r="B432" t="str">
            <v>蛮牛怒吼</v>
          </cell>
          <cell r="C432" t="str">
            <v>牛头对前方敌军怒吼，对前方目标造成自身攻击力@s的伤害</v>
          </cell>
          <cell r="D432" t="str">
            <v>[]</v>
          </cell>
          <cell r="E432">
            <v>2</v>
          </cell>
          <cell r="F432" t="str">
            <v>boss_warning_juxing</v>
          </cell>
          <cell r="G432" t="str">
            <v>牛头技能2</v>
          </cell>
          <cell r="H432" t="str">
            <v>niutou_skill02</v>
          </cell>
          <cell r="I432" t="str">
            <v>[]</v>
          </cell>
          <cell r="J432">
            <v>1</v>
          </cell>
          <cell r="K432">
            <v>10</v>
          </cell>
          <cell r="L432" t="str">
            <v>[]</v>
          </cell>
          <cell r="M432">
            <v>2</v>
          </cell>
          <cell r="N432">
            <v>2</v>
          </cell>
          <cell r="O432">
            <v>1</v>
          </cell>
          <cell r="P432">
            <v>2</v>
          </cell>
          <cell r="Q432">
            <v>4</v>
          </cell>
          <cell r="R432" t="str">
            <v>2|1</v>
          </cell>
          <cell r="S432" t="str">
            <v>1|6|4</v>
          </cell>
          <cell r="T432">
            <v>10</v>
          </cell>
          <cell r="U432">
            <v>1</v>
          </cell>
          <cell r="V432">
            <v>0</v>
          </cell>
          <cell r="W432" t="str">
            <v>[]</v>
          </cell>
          <cell r="X432">
            <v>3</v>
          </cell>
          <cell r="Y432" t="str">
            <v>[]</v>
          </cell>
          <cell r="Z432" t="str">
            <v>0,2.1,0</v>
          </cell>
          <cell r="AA432">
            <v>0</v>
          </cell>
          <cell r="AB432">
            <v>6</v>
          </cell>
          <cell r="AC432" t="str">
            <v>[]</v>
          </cell>
          <cell r="AD432" t="str">
            <v>[]</v>
          </cell>
          <cell r="AE432" t="str">
            <v>[]</v>
          </cell>
          <cell r="AF432" t="str">
            <v>niutou_skill02</v>
          </cell>
          <cell r="AG432" t="str">
            <v>common_hit_zhongwuqi</v>
          </cell>
          <cell r="AH432" t="str">
            <v>[]</v>
          </cell>
          <cell r="AI432" t="str">
            <v>[]</v>
          </cell>
          <cell r="AJ432" t="str">
            <v>[]</v>
          </cell>
          <cell r="AK432" t="str">
            <v>[]</v>
          </cell>
          <cell r="AL432" t="str">
            <v>[]</v>
          </cell>
          <cell r="AM432" t="str">
            <v>[]</v>
          </cell>
          <cell r="AN432">
            <v>2</v>
          </cell>
          <cell r="AO432">
            <v>0.97</v>
          </cell>
          <cell r="AP432">
            <v>120602</v>
          </cell>
          <cell r="AQ432" t="str">
            <v>120602</v>
          </cell>
          <cell r="AR432" t="str">
            <v>[]</v>
          </cell>
          <cell r="AS432" t="str">
            <v>[]</v>
          </cell>
          <cell r="AT432" t="str">
            <v>1218</v>
          </cell>
          <cell r="AU432" t="str">
            <v>3980</v>
          </cell>
          <cell r="AV432" t="str">
            <v>牛头</v>
          </cell>
          <cell r="AW432" t="str">
            <v>02</v>
          </cell>
          <cell r="AX432" t="str">
            <v>[]</v>
          </cell>
          <cell r="AY432">
            <v>1</v>
          </cell>
          <cell r="BA432" t="str">
            <v>[]</v>
          </cell>
          <cell r="BE432" t="str">
            <v>[]</v>
          </cell>
          <cell r="BF432"/>
        </row>
        <row r="433">
          <cell r="A433" t="str">
            <v>niutou_skill03</v>
          </cell>
          <cell r="B433" t="str">
            <v>闪避提升</v>
          </cell>
          <cell r="C433" t="str">
            <v>进入战斗场景时，增加自身@s的闪避率</v>
          </cell>
          <cell r="D433">
            <v>1262</v>
          </cell>
          <cell r="E433">
            <v>0</v>
          </cell>
          <cell r="F433" t="str">
            <v>[]</v>
          </cell>
          <cell r="G433" t="str">
            <v>牛头被动技能</v>
          </cell>
          <cell r="H433" t="str">
            <v>wufang</v>
          </cell>
          <cell r="I433" t="str">
            <v>[]</v>
          </cell>
          <cell r="J433">
            <v>2</v>
          </cell>
          <cell r="K433">
            <v>10</v>
          </cell>
          <cell r="L433" t="str">
            <v>[]</v>
          </cell>
          <cell r="M433">
            <v>2</v>
          </cell>
          <cell r="N433">
            <v>2</v>
          </cell>
          <cell r="O433">
            <v>3</v>
          </cell>
          <cell r="P433">
            <v>0</v>
          </cell>
          <cell r="Q433">
            <v>12</v>
          </cell>
          <cell r="R433">
            <v>1</v>
          </cell>
          <cell r="S433" t="str">
            <v>4|0.2</v>
          </cell>
          <cell r="T433">
            <v>1</v>
          </cell>
          <cell r="U433">
            <v>0</v>
          </cell>
          <cell r="V433">
            <v>0</v>
          </cell>
          <cell r="W433" t="str">
            <v>[]</v>
          </cell>
          <cell r="X433">
            <v>0</v>
          </cell>
          <cell r="Y433" t="str">
            <v>[]</v>
          </cell>
          <cell r="Z433" t="str">
            <v>0,0,0</v>
          </cell>
          <cell r="AA433">
            <v>0</v>
          </cell>
          <cell r="AB433" t="str">
            <v>[]</v>
          </cell>
          <cell r="AC433" t="str">
            <v>[]</v>
          </cell>
          <cell r="AD433" t="str">
            <v>[]</v>
          </cell>
          <cell r="AE433" t="str">
            <v>[]</v>
          </cell>
          <cell r="AF433" t="str">
            <v>[]</v>
          </cell>
          <cell r="AG433" t="str">
            <v>[]</v>
          </cell>
          <cell r="AH433" t="str">
            <v>[]</v>
          </cell>
          <cell r="AI433" t="str">
            <v>[]</v>
          </cell>
          <cell r="AJ433" t="str">
            <v>[]</v>
          </cell>
          <cell r="AK433" t="str">
            <v>[]</v>
          </cell>
          <cell r="AL433" t="str">
            <v>shanbiupT3N0.2b</v>
          </cell>
          <cell r="AM433" t="str">
            <v>[]</v>
          </cell>
          <cell r="AN433">
            <v>0</v>
          </cell>
          <cell r="AO433" t="str">
            <v>[]</v>
          </cell>
          <cell r="AP433" t="str">
            <v>[]</v>
          </cell>
          <cell r="AQ433" t="str">
            <v>9020</v>
          </cell>
          <cell r="AR433" t="str">
            <v>[]</v>
          </cell>
          <cell r="AS433" t="str">
            <v>[]</v>
          </cell>
          <cell r="AT433" t="str">
            <v>1218</v>
          </cell>
          <cell r="AU433" t="str">
            <v>3990</v>
          </cell>
          <cell r="AV433" t="str">
            <v>牛头</v>
          </cell>
          <cell r="AW433" t="str">
            <v>03</v>
          </cell>
          <cell r="AX433">
            <v>1262</v>
          </cell>
          <cell r="AY433">
            <v>1</v>
          </cell>
          <cell r="BA433" t="str">
            <v>[]</v>
          </cell>
          <cell r="BE433" t="str">
            <v>[]</v>
          </cell>
          <cell r="BF433"/>
        </row>
        <row r="434">
          <cell r="A434" t="str">
            <v>niutou_skill04</v>
          </cell>
          <cell r="B434" t="str">
            <v>组合神拳</v>
          </cell>
          <cell r="C434" t="str">
            <v>牛头挥舞拳头连续攻击目标，对命中目标造成自身攻击力@s的伤害，并击飞</v>
          </cell>
          <cell r="D434">
            <v>1264</v>
          </cell>
          <cell r="E434">
            <v>2</v>
          </cell>
          <cell r="F434" t="str">
            <v>boss_warning_juxing</v>
          </cell>
          <cell r="G434" t="str">
            <v>牛头技能4</v>
          </cell>
          <cell r="H434" t="str">
            <v>niutou_skill04</v>
          </cell>
          <cell r="I434" t="str">
            <v>[]</v>
          </cell>
          <cell r="J434">
            <v>3</v>
          </cell>
          <cell r="K434">
            <v>10</v>
          </cell>
          <cell r="L434" t="str">
            <v>[]</v>
          </cell>
          <cell r="M434">
            <v>2</v>
          </cell>
          <cell r="N434">
            <v>2</v>
          </cell>
          <cell r="O434">
            <v>1</v>
          </cell>
          <cell r="P434">
            <v>2</v>
          </cell>
          <cell r="Q434">
            <v>4</v>
          </cell>
          <cell r="R434" t="str">
            <v>2|1</v>
          </cell>
          <cell r="S434" t="str">
            <v>4|0.2</v>
          </cell>
          <cell r="T434">
            <v>1</v>
          </cell>
          <cell r="U434">
            <v>1</v>
          </cell>
          <cell r="V434">
            <v>0</v>
          </cell>
          <cell r="W434" t="str">
            <v>[]</v>
          </cell>
          <cell r="X434">
            <v>3</v>
          </cell>
          <cell r="Y434" t="str">
            <v>[]</v>
          </cell>
          <cell r="Z434" t="str">
            <v>0,3.53,0</v>
          </cell>
          <cell r="AA434">
            <v>0</v>
          </cell>
          <cell r="AB434">
            <v>6</v>
          </cell>
          <cell r="AC434" t="str">
            <v>[]</v>
          </cell>
          <cell r="AD434" t="str">
            <v>[]</v>
          </cell>
          <cell r="AE434" t="str">
            <v>[]</v>
          </cell>
          <cell r="AF434" t="str">
            <v>niutou_skill04,niutou_skill04_l,niutou_skill04_r</v>
          </cell>
          <cell r="AG434" t="str">
            <v>common_hit_zhongwuqi</v>
          </cell>
          <cell r="AH434" t="str">
            <v>[]</v>
          </cell>
          <cell r="AI434" t="str">
            <v>[]</v>
          </cell>
          <cell r="AJ434" t="str">
            <v>niutou_zhenping,niutou_zhenping_01,niutou_zhenping_02</v>
          </cell>
          <cell r="AK434" t="str">
            <v>niutou_jifei</v>
          </cell>
          <cell r="AL434" t="str">
            <v>[]</v>
          </cell>
          <cell r="AM434" t="str">
            <v>[]</v>
          </cell>
          <cell r="AN434">
            <v>1</v>
          </cell>
          <cell r="AO434" t="str">
            <v>0.8,0.53,0.67</v>
          </cell>
          <cell r="AP434">
            <v>120604</v>
          </cell>
          <cell r="AQ434" t="str">
            <v>120604</v>
          </cell>
          <cell r="AR434" t="str">
            <v>[]</v>
          </cell>
          <cell r="AS434" t="str">
            <v>[]</v>
          </cell>
          <cell r="AT434" t="str">
            <v>9010</v>
          </cell>
          <cell r="AU434" t="str">
            <v>4000</v>
          </cell>
          <cell r="AV434" t="str">
            <v>牛头</v>
          </cell>
          <cell r="AW434" t="str">
            <v>04</v>
          </cell>
          <cell r="AX434">
            <v>1264</v>
          </cell>
          <cell r="AY434">
            <v>3</v>
          </cell>
          <cell r="BA434" t="str">
            <v>[]</v>
          </cell>
          <cell r="BE434" t="str">
            <v>[]</v>
          </cell>
          <cell r="BF434"/>
        </row>
        <row r="435">
          <cell r="A435" t="str">
            <v>leigong_attack</v>
          </cell>
          <cell r="B435" t="str">
            <v>雷公</v>
          </cell>
          <cell r="C435" t="str">
            <v>攻击目标</v>
          </cell>
          <cell r="D435" t="str">
            <v>[]</v>
          </cell>
          <cell r="E435">
            <v>0</v>
          </cell>
          <cell r="F435" t="str">
            <v>[]</v>
          </cell>
          <cell r="G435" t="str">
            <v>近战攻击</v>
          </cell>
          <cell r="H435" t="str">
            <v>[]</v>
          </cell>
          <cell r="I435" t="str">
            <v>[]</v>
          </cell>
          <cell r="J435">
            <v>0</v>
          </cell>
          <cell r="K435">
            <v>1</v>
          </cell>
          <cell r="L435" t="str">
            <v>[]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3</v>
          </cell>
          <cell r="R435" t="str">
            <v>2|1</v>
          </cell>
          <cell r="S435" t="str">
            <v>4|0.2</v>
          </cell>
          <cell r="T435">
            <v>1</v>
          </cell>
          <cell r="U435">
            <v>1</v>
          </cell>
          <cell r="V435">
            <v>0</v>
          </cell>
          <cell r="W435" t="str">
            <v>[]</v>
          </cell>
          <cell r="X435">
            <v>0</v>
          </cell>
          <cell r="Y435" t="str">
            <v>[]</v>
          </cell>
          <cell r="Z435" t="str">
            <v>0,1,0</v>
          </cell>
          <cell r="AA435">
            <v>0</v>
          </cell>
          <cell r="AB435" t="str">
            <v>[]</v>
          </cell>
          <cell r="AC435" t="str">
            <v>[]</v>
          </cell>
          <cell r="AD435" t="str">
            <v>[]</v>
          </cell>
          <cell r="AE435" t="str">
            <v>[]</v>
          </cell>
          <cell r="AF435" t="str">
            <v>leigong_attack</v>
          </cell>
          <cell r="AG435" t="str">
            <v>leigong_hit</v>
          </cell>
          <cell r="AH435" t="str">
            <v>[]</v>
          </cell>
          <cell r="AI435" t="str">
            <v>[]</v>
          </cell>
          <cell r="AJ435" t="str">
            <v>[]</v>
          </cell>
          <cell r="AK435" t="str">
            <v>[]</v>
          </cell>
          <cell r="AL435" t="str">
            <v>[]</v>
          </cell>
          <cell r="AM435" t="str">
            <v>[]</v>
          </cell>
          <cell r="AN435">
            <v>1</v>
          </cell>
          <cell r="AO435">
            <v>0.25</v>
          </cell>
          <cell r="AP435">
            <v>113300</v>
          </cell>
          <cell r="AQ435" t="str">
            <v>113300</v>
          </cell>
          <cell r="AR435" t="str">
            <v>[]</v>
          </cell>
          <cell r="AS435" t="str">
            <v>[]</v>
          </cell>
          <cell r="AT435" t="str">
            <v>1218</v>
          </cell>
          <cell r="AU435" t="str">
            <v>4060</v>
          </cell>
          <cell r="AV435" t="str">
            <v>近战攻击</v>
          </cell>
          <cell r="AW435" t="str">
            <v>ck</v>
          </cell>
          <cell r="AX435" t="str">
            <v>[]</v>
          </cell>
          <cell r="AY435">
            <v>1</v>
          </cell>
          <cell r="BA435" t="str">
            <v>[]</v>
          </cell>
          <cell r="BE435" t="str">
            <v>[]</v>
          </cell>
          <cell r="BF435"/>
        </row>
        <row r="436">
          <cell r="A436" t="str">
            <v>leigong_skill01</v>
          </cell>
          <cell r="B436" t="str">
            <v>雷击</v>
          </cell>
          <cell r="C436" t="str">
            <v>召唤雷电，对范围内目标造成3次主角攻击力@s的伤害，并令目标昏迷1秒</v>
          </cell>
          <cell r="D436" t="str">
            <v>[]</v>
          </cell>
          <cell r="E436">
            <v>0</v>
          </cell>
          <cell r="F436" t="str">
            <v>[]</v>
          </cell>
          <cell r="G436" t="str">
            <v>雷击</v>
          </cell>
          <cell r="H436" t="str">
            <v>leiji</v>
          </cell>
          <cell r="I436" t="str">
            <v>leiji</v>
          </cell>
          <cell r="J436">
            <v>0</v>
          </cell>
          <cell r="K436">
            <v>10</v>
          </cell>
          <cell r="L436" t="str">
            <v>1|33</v>
          </cell>
          <cell r="M436">
            <v>2</v>
          </cell>
          <cell r="N436">
            <v>2</v>
          </cell>
          <cell r="O436">
            <v>2</v>
          </cell>
          <cell r="P436">
            <v>2</v>
          </cell>
          <cell r="Q436">
            <v>12</v>
          </cell>
          <cell r="R436" t="str">
            <v>2|1</v>
          </cell>
          <cell r="S436" t="str">
            <v>2|8</v>
          </cell>
          <cell r="T436">
            <v>10</v>
          </cell>
          <cell r="U436">
            <v>0</v>
          </cell>
          <cell r="V436">
            <v>0</v>
          </cell>
          <cell r="W436" t="str">
            <v>[]</v>
          </cell>
          <cell r="X436">
            <v>0</v>
          </cell>
          <cell r="Y436" t="str">
            <v>[]</v>
          </cell>
          <cell r="Z436" t="str">
            <v>0,1,0</v>
          </cell>
          <cell r="AA436">
            <v>0</v>
          </cell>
          <cell r="AB436" t="str">
            <v>12</v>
          </cell>
          <cell r="AC436" t="str">
            <v>[]</v>
          </cell>
          <cell r="AD436" t="str">
            <v>[]</v>
          </cell>
          <cell r="AE436" t="str">
            <v>[]</v>
          </cell>
          <cell r="AF436" t="str">
            <v>leigong_skill01</v>
          </cell>
          <cell r="AG436" t="str">
            <v>leigong_hit</v>
          </cell>
          <cell r="AH436" t="str">
            <v>[]</v>
          </cell>
          <cell r="AI436" t="str">
            <v>[]</v>
          </cell>
          <cell r="AJ436" t="str">
            <v>[]</v>
          </cell>
          <cell r="AK436" t="str">
            <v>common_yunxuan</v>
          </cell>
          <cell r="AL436" t="str">
            <v>[]</v>
          </cell>
          <cell r="AM436" t="str">
            <v>[]</v>
          </cell>
          <cell r="AN436">
            <v>2</v>
          </cell>
          <cell r="AO436" t="str">
            <v>0.5,0.3,0.45</v>
          </cell>
          <cell r="AP436">
            <v>113301</v>
          </cell>
          <cell r="AQ436" t="str">
            <v>113301</v>
          </cell>
          <cell r="AR436" t="str">
            <v>[]</v>
          </cell>
          <cell r="AS436" t="str">
            <v>[]</v>
          </cell>
          <cell r="AT436" t="str">
            <v>1218</v>
          </cell>
          <cell r="AU436" t="str">
            <v>4070</v>
          </cell>
          <cell r="AV436" t="str">
            <v>雷击</v>
          </cell>
          <cell r="AW436" t="str">
            <v>01</v>
          </cell>
          <cell r="AX436" t="str">
            <v>[]</v>
          </cell>
          <cell r="AY436">
            <v>3</v>
          </cell>
          <cell r="BA436" t="str">
            <v>[]</v>
          </cell>
          <cell r="BE436" t="str">
            <v>[]</v>
          </cell>
          <cell r="BF436"/>
        </row>
        <row r="437">
          <cell r="A437" t="str">
            <v>leigong_skill02</v>
          </cell>
          <cell r="B437" t="str">
            <v>雷暴</v>
          </cell>
          <cell r="C437" t="str">
            <v>雷公以自身为中心，释放雷暴法术对范围内目标造成自身攻击力@s的伤害</v>
          </cell>
          <cell r="D437" t="str">
            <v>[]</v>
          </cell>
          <cell r="E437">
            <v>1</v>
          </cell>
          <cell r="F437" t="str">
            <v>boss_warning_yuanxing</v>
          </cell>
          <cell r="G437" t="str">
            <v>雷公技能2</v>
          </cell>
          <cell r="H437" t="str">
            <v>leigong_skill02</v>
          </cell>
          <cell r="I437" t="str">
            <v>[]</v>
          </cell>
          <cell r="J437">
            <v>1</v>
          </cell>
          <cell r="K437">
            <v>10</v>
          </cell>
          <cell r="L437" t="str">
            <v>[]</v>
          </cell>
          <cell r="M437">
            <v>2</v>
          </cell>
          <cell r="N437">
            <v>2</v>
          </cell>
          <cell r="O437">
            <v>1</v>
          </cell>
          <cell r="P437">
            <v>2</v>
          </cell>
          <cell r="Q437">
            <v>4</v>
          </cell>
          <cell r="R437" t="str">
            <v>2|1</v>
          </cell>
          <cell r="S437" t="str">
            <v>2|4</v>
          </cell>
          <cell r="T437">
            <v>10</v>
          </cell>
          <cell r="U437">
            <v>0</v>
          </cell>
          <cell r="V437">
            <v>0</v>
          </cell>
          <cell r="W437" t="str">
            <v>[]</v>
          </cell>
          <cell r="X437">
            <v>3</v>
          </cell>
          <cell r="Y437" t="str">
            <v>[]</v>
          </cell>
          <cell r="Z437" t="str">
            <v>0,2.0,0</v>
          </cell>
          <cell r="AA437">
            <v>0</v>
          </cell>
          <cell r="AB437">
            <v>6</v>
          </cell>
          <cell r="AC437" t="str">
            <v>[]</v>
          </cell>
          <cell r="AD437" t="str">
            <v>[]</v>
          </cell>
          <cell r="AE437" t="str">
            <v>[]</v>
          </cell>
          <cell r="AF437" t="str">
            <v>leigong_skill02</v>
          </cell>
          <cell r="AG437" t="str">
            <v>leigong_hit</v>
          </cell>
          <cell r="AH437" t="str">
            <v>[]</v>
          </cell>
          <cell r="AI437" t="str">
            <v>[]</v>
          </cell>
          <cell r="AJ437" t="str">
            <v>leigong_zhenping_01</v>
          </cell>
          <cell r="AK437" t="str">
            <v>[]</v>
          </cell>
          <cell r="AL437" t="str">
            <v>[]</v>
          </cell>
          <cell r="AM437" t="str">
            <v>[]</v>
          </cell>
          <cell r="AN437">
            <v>1</v>
          </cell>
          <cell r="AO437">
            <v>0.5</v>
          </cell>
          <cell r="AP437">
            <v>113302</v>
          </cell>
          <cell r="AQ437" t="str">
            <v>113302</v>
          </cell>
          <cell r="AR437" t="str">
            <v>[]</v>
          </cell>
          <cell r="AS437" t="str">
            <v>[]</v>
          </cell>
          <cell r="AT437" t="str">
            <v>1218</v>
          </cell>
          <cell r="AU437" t="str">
            <v>4080</v>
          </cell>
          <cell r="AV437" t="str">
            <v>雷公</v>
          </cell>
          <cell r="AW437" t="str">
            <v>02</v>
          </cell>
          <cell r="AX437" t="str">
            <v>[]</v>
          </cell>
          <cell r="AY437">
            <v>1</v>
          </cell>
          <cell r="BA437" t="str">
            <v>[]</v>
          </cell>
          <cell r="BE437" t="str">
            <v>[]</v>
          </cell>
          <cell r="BF437"/>
        </row>
        <row r="438">
          <cell r="A438" t="str">
            <v>leigong_skill03</v>
          </cell>
          <cell r="B438" t="str">
            <v>普攻眩晕</v>
          </cell>
          <cell r="C438" t="str">
            <v>进入战斗场景时，攻击有@s的几率将目标眩晕1秒</v>
          </cell>
          <cell r="D438">
            <v>1262</v>
          </cell>
          <cell r="E438">
            <v>0</v>
          </cell>
          <cell r="F438" t="str">
            <v>[]</v>
          </cell>
          <cell r="G438" t="str">
            <v>雷公被动技能</v>
          </cell>
          <cell r="H438" t="str">
            <v>yunxuan</v>
          </cell>
          <cell r="I438" t="str">
            <v>[]</v>
          </cell>
          <cell r="J438">
            <v>2</v>
          </cell>
          <cell r="K438">
            <v>10</v>
          </cell>
          <cell r="L438" t="str">
            <v>[]</v>
          </cell>
          <cell r="M438">
            <v>2</v>
          </cell>
          <cell r="N438">
            <v>2</v>
          </cell>
          <cell r="O438">
            <v>3</v>
          </cell>
          <cell r="P438">
            <v>0</v>
          </cell>
          <cell r="Q438">
            <v>12</v>
          </cell>
          <cell r="R438">
            <v>1</v>
          </cell>
          <cell r="S438" t="str">
            <v>4|0.2</v>
          </cell>
          <cell r="T438">
            <v>1</v>
          </cell>
          <cell r="U438">
            <v>0</v>
          </cell>
          <cell r="V438">
            <v>0</v>
          </cell>
          <cell r="W438" t="str">
            <v>[]</v>
          </cell>
          <cell r="X438">
            <v>0</v>
          </cell>
          <cell r="Y438" t="str">
            <v>[]</v>
          </cell>
          <cell r="Z438" t="str">
            <v>0,0,0</v>
          </cell>
          <cell r="AA438">
            <v>0</v>
          </cell>
          <cell r="AB438" t="str">
            <v>[]</v>
          </cell>
          <cell r="AC438" t="str">
            <v>[]</v>
          </cell>
          <cell r="AD438" t="str">
            <v>[]</v>
          </cell>
          <cell r="AE438" t="str">
            <v>[]</v>
          </cell>
          <cell r="AF438" t="str">
            <v>[]</v>
          </cell>
          <cell r="AG438" t="str">
            <v>[]</v>
          </cell>
          <cell r="AH438" t="str">
            <v>[]</v>
          </cell>
          <cell r="AI438" t="str">
            <v>[]</v>
          </cell>
          <cell r="AJ438" t="str">
            <v>leigong_skill03_higheff</v>
          </cell>
          <cell r="AK438" t="str">
            <v>[]</v>
          </cell>
          <cell r="AL438" t="str">
            <v>[]</v>
          </cell>
          <cell r="AM438" t="str">
            <v>[]</v>
          </cell>
          <cell r="AN438">
            <v>1</v>
          </cell>
          <cell r="AO438">
            <v>0.1</v>
          </cell>
          <cell r="AP438" t="str">
            <v>[]</v>
          </cell>
          <cell r="AQ438" t="str">
            <v>9010</v>
          </cell>
          <cell r="AR438" t="str">
            <v>[]</v>
          </cell>
          <cell r="AS438" t="str">
            <v>[]</v>
          </cell>
          <cell r="AT438" t="str">
            <v>1218</v>
          </cell>
          <cell r="AU438" t="str">
            <v>4090</v>
          </cell>
          <cell r="AV438" t="str">
            <v>雷公</v>
          </cell>
          <cell r="AW438" t="str">
            <v>03</v>
          </cell>
          <cell r="AX438">
            <v>1262</v>
          </cell>
          <cell r="AY438">
            <v>1</v>
          </cell>
          <cell r="BA438" t="str">
            <v>[]</v>
          </cell>
          <cell r="BE438" t="str">
            <v>[]</v>
          </cell>
          <cell r="BF438"/>
        </row>
        <row r="439">
          <cell r="A439" t="str">
            <v>leigong_skill04</v>
          </cell>
          <cell r="B439" t="str">
            <v>天雷斩</v>
          </cell>
          <cell r="C439" t="str">
            <v>雷公举起神锤凝聚雷电之力后砸向敌军，对范围内目标造成自身攻击力@s的伤害</v>
          </cell>
          <cell r="D439">
            <v>1264</v>
          </cell>
          <cell r="E439">
            <v>1</v>
          </cell>
          <cell r="F439" t="str">
            <v>boss_warning_yuanxing</v>
          </cell>
          <cell r="G439" t="str">
            <v>雷公技能4</v>
          </cell>
          <cell r="H439" t="str">
            <v>leigong_skill04</v>
          </cell>
          <cell r="I439" t="str">
            <v>[]</v>
          </cell>
          <cell r="J439">
            <v>3</v>
          </cell>
          <cell r="K439">
            <v>10</v>
          </cell>
          <cell r="L439" t="str">
            <v>[]</v>
          </cell>
          <cell r="M439">
            <v>2</v>
          </cell>
          <cell r="N439">
            <v>2</v>
          </cell>
          <cell r="O439">
            <v>2</v>
          </cell>
          <cell r="P439">
            <v>2</v>
          </cell>
          <cell r="Q439">
            <v>4</v>
          </cell>
          <cell r="R439" t="str">
            <v>2|1</v>
          </cell>
          <cell r="S439" t="str">
            <v>2|4</v>
          </cell>
          <cell r="T439">
            <v>10</v>
          </cell>
          <cell r="U439">
            <v>0</v>
          </cell>
          <cell r="V439">
            <v>0</v>
          </cell>
          <cell r="W439" t="str">
            <v>[]</v>
          </cell>
          <cell r="X439">
            <v>3</v>
          </cell>
          <cell r="Y439" t="str">
            <v>[]</v>
          </cell>
          <cell r="Z439" t="str">
            <v>0,2.5,0</v>
          </cell>
          <cell r="AA439">
            <v>0</v>
          </cell>
          <cell r="AB439">
            <v>6</v>
          </cell>
          <cell r="AC439" t="str">
            <v>[]</v>
          </cell>
          <cell r="AD439" t="str">
            <v>[]</v>
          </cell>
          <cell r="AE439" t="str">
            <v>[]</v>
          </cell>
          <cell r="AF439" t="str">
            <v>leigong_skill04</v>
          </cell>
          <cell r="AG439" t="str">
            <v>leigong_hit</v>
          </cell>
          <cell r="AH439" t="str">
            <v>[]</v>
          </cell>
          <cell r="AI439" t="str">
            <v>[]</v>
          </cell>
          <cell r="AJ439" t="str">
            <v>leigong_zhenping_02</v>
          </cell>
          <cell r="AK439" t="str">
            <v>[]</v>
          </cell>
          <cell r="AL439" t="str">
            <v>[]</v>
          </cell>
          <cell r="AM439" t="str">
            <v>[]</v>
          </cell>
          <cell r="AN439">
            <v>2</v>
          </cell>
          <cell r="AO439">
            <v>0.9</v>
          </cell>
          <cell r="AP439">
            <v>113304</v>
          </cell>
          <cell r="AQ439" t="str">
            <v>113304</v>
          </cell>
          <cell r="AR439" t="str">
            <v>[]</v>
          </cell>
          <cell r="AS439" t="str">
            <v>[]</v>
          </cell>
          <cell r="AT439" t="str">
            <v>1219</v>
          </cell>
          <cell r="AU439" t="str">
            <v>4100</v>
          </cell>
          <cell r="AV439" t="str">
            <v>雷公</v>
          </cell>
          <cell r="AW439" t="str">
            <v>04</v>
          </cell>
          <cell r="AX439">
            <v>1264</v>
          </cell>
          <cell r="AY439">
            <v>1</v>
          </cell>
          <cell r="BA439" t="str">
            <v>[]</v>
          </cell>
          <cell r="BE439" t="str">
            <v>[]</v>
          </cell>
          <cell r="BF439"/>
        </row>
        <row r="440">
          <cell r="A440" t="str">
            <v>hundun_attack</v>
          </cell>
          <cell r="B440" t="str">
            <v>混沌普攻</v>
          </cell>
          <cell r="C440" t="str">
            <v>攻击目标</v>
          </cell>
          <cell r="D440" t="str">
            <v>[]</v>
          </cell>
          <cell r="E440">
            <v>0</v>
          </cell>
          <cell r="F440" t="str">
            <v>[]</v>
          </cell>
          <cell r="G440" t="str">
            <v>混沌远程攻击</v>
          </cell>
          <cell r="H440" t="str">
            <v>[]</v>
          </cell>
          <cell r="I440" t="str">
            <v>[]</v>
          </cell>
          <cell r="J440">
            <v>0</v>
          </cell>
          <cell r="K440">
            <v>1</v>
          </cell>
          <cell r="L440" t="str">
            <v>[]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10</v>
          </cell>
          <cell r="R440" t="str">
            <v>2|1</v>
          </cell>
          <cell r="S440" t="str">
            <v>4|0.2</v>
          </cell>
          <cell r="T440">
            <v>1</v>
          </cell>
          <cell r="U440">
            <v>1</v>
          </cell>
          <cell r="V440">
            <v>0</v>
          </cell>
          <cell r="W440" t="str">
            <v>[]</v>
          </cell>
          <cell r="X440">
            <v>0</v>
          </cell>
          <cell r="Y440" t="str">
            <v>[]</v>
          </cell>
          <cell r="Z440" t="str">
            <v>0,1,0</v>
          </cell>
          <cell r="AA440">
            <v>0</v>
          </cell>
          <cell r="AB440" t="str">
            <v>[]</v>
          </cell>
          <cell r="AC440" t="str">
            <v>[]</v>
          </cell>
          <cell r="AD440" t="str">
            <v>[]</v>
          </cell>
          <cell r="AE440" t="str">
            <v>[]</v>
          </cell>
          <cell r="AF440" t="str">
            <v>hundun_attack</v>
          </cell>
          <cell r="AG440" t="str">
            <v>common_hit_fashu</v>
          </cell>
          <cell r="AH440" t="str">
            <v>[]</v>
          </cell>
          <cell r="AI440" t="str">
            <v>[]</v>
          </cell>
          <cell r="AJ440" t="str">
            <v>[]</v>
          </cell>
          <cell r="AK440" t="str">
            <v>[]</v>
          </cell>
          <cell r="AL440" t="str">
            <v>[]</v>
          </cell>
          <cell r="AM440" t="str">
            <v>[]</v>
          </cell>
          <cell r="AN440">
            <v>2</v>
          </cell>
          <cell r="AO440" t="str">
            <v>[]</v>
          </cell>
          <cell r="AP440">
            <v>111800</v>
          </cell>
          <cell r="AQ440" t="str">
            <v>111800</v>
          </cell>
          <cell r="AR440" t="str">
            <v>[]</v>
          </cell>
          <cell r="AS440" t="str">
            <v>[]</v>
          </cell>
          <cell r="AT440" t="str">
            <v>1219</v>
          </cell>
          <cell r="AU440" t="str">
            <v>3560</v>
          </cell>
          <cell r="AV440" t="str">
            <v>混沌远程攻击</v>
          </cell>
          <cell r="AW440" t="str">
            <v>ck</v>
          </cell>
          <cell r="AX440" t="str">
            <v>[]</v>
          </cell>
          <cell r="AY440">
            <v>1</v>
          </cell>
          <cell r="BA440" t="str">
            <v>[]</v>
          </cell>
          <cell r="BE440" t="str">
            <v>[]</v>
          </cell>
          <cell r="BF440"/>
        </row>
        <row r="441">
          <cell r="A441" t="str">
            <v>hundun_skill01</v>
          </cell>
          <cell r="B441" t="str">
            <v>混沌阵</v>
          </cell>
          <cell r="C441" t="str">
            <v>释放混沌法阵对敌军进行连环轰炸，对范围内目标造成9次主角攻击力@s的伤害</v>
          </cell>
          <cell r="D441" t="str">
            <v>[]</v>
          </cell>
          <cell r="E441">
            <v>0</v>
          </cell>
          <cell r="F441" t="str">
            <v>[]</v>
          </cell>
          <cell r="G441" t="str">
            <v>混沌核心技能</v>
          </cell>
          <cell r="H441" t="str">
            <v>hundun_skill01</v>
          </cell>
          <cell r="I441" t="str">
            <v>hundun_skill01</v>
          </cell>
          <cell r="J441">
            <v>0</v>
          </cell>
          <cell r="K441">
            <v>10</v>
          </cell>
          <cell r="L441" t="str">
            <v>1|18</v>
          </cell>
          <cell r="M441">
            <v>2</v>
          </cell>
          <cell r="N441">
            <v>2</v>
          </cell>
          <cell r="O441">
            <v>2</v>
          </cell>
          <cell r="P441">
            <v>2</v>
          </cell>
          <cell r="Q441">
            <v>12</v>
          </cell>
          <cell r="R441" t="str">
            <v>2|1</v>
          </cell>
          <cell r="S441" t="str">
            <v>2|10</v>
          </cell>
          <cell r="T441">
            <v>10</v>
          </cell>
          <cell r="U441">
            <v>0</v>
          </cell>
          <cell r="V441">
            <v>0</v>
          </cell>
          <cell r="W441" t="str">
            <v>[]</v>
          </cell>
          <cell r="X441">
            <v>0</v>
          </cell>
          <cell r="Y441" t="str">
            <v>[]</v>
          </cell>
          <cell r="Z441" t="str">
            <v>0,1,0</v>
          </cell>
          <cell r="AA441">
            <v>0</v>
          </cell>
          <cell r="AB441" t="str">
            <v>12</v>
          </cell>
          <cell r="AC441" t="str">
            <v>[]</v>
          </cell>
          <cell r="AD441" t="str">
            <v>[]</v>
          </cell>
          <cell r="AE441" t="str">
            <v>[]</v>
          </cell>
          <cell r="AF441" t="str">
            <v>hundun_skill01</v>
          </cell>
          <cell r="AG441" t="str">
            <v>common_hit_fashu</v>
          </cell>
          <cell r="AH441" t="str">
            <v>[]</v>
          </cell>
          <cell r="AI441" t="str">
            <v>[]</v>
          </cell>
          <cell r="AJ441" t="str">
            <v>[]</v>
          </cell>
          <cell r="AK441" t="str">
            <v>[]</v>
          </cell>
          <cell r="AL441" t="str">
            <v>[]</v>
          </cell>
          <cell r="AM441" t="str">
            <v>[]</v>
          </cell>
          <cell r="AN441">
            <v>2</v>
          </cell>
          <cell r="AO441" t="str">
            <v>0.65,0.2,0.2,0.2,0.2,0.20,0.3,0.2,0.2</v>
          </cell>
          <cell r="AP441">
            <v>111801</v>
          </cell>
          <cell r="AQ441" t="str">
            <v>111801</v>
          </cell>
          <cell r="AR441" t="str">
            <v>[]</v>
          </cell>
          <cell r="AS441" t="str">
            <v>[]</v>
          </cell>
          <cell r="AT441" t="str">
            <v>1219</v>
          </cell>
          <cell r="AU441" t="str">
            <v>3570</v>
          </cell>
          <cell r="AV441" t="str">
            <v>混沌</v>
          </cell>
          <cell r="AW441" t="str">
            <v>01</v>
          </cell>
          <cell r="AX441" t="str">
            <v>[]</v>
          </cell>
          <cell r="AY441">
            <v>9</v>
          </cell>
          <cell r="BA441" t="str">
            <v>[]</v>
          </cell>
          <cell r="BE441" t="str">
            <v>[]</v>
          </cell>
          <cell r="BF441"/>
        </row>
        <row r="442">
          <cell r="A442" t="str">
            <v>hundun_skill02</v>
          </cell>
          <cell r="B442" t="str">
            <v>死亡飞鸟</v>
          </cell>
          <cell r="C442" t="str">
            <v>混沌召唤死亡飞鸟攻击目标，对命中目标造成自身攻击力@s的伤害</v>
          </cell>
          <cell r="D442" t="str">
            <v>[]</v>
          </cell>
          <cell r="E442">
            <v>2</v>
          </cell>
          <cell r="F442" t="str">
            <v>boss_warning_juxing</v>
          </cell>
          <cell r="G442" t="str">
            <v>混沌技能2</v>
          </cell>
          <cell r="H442" t="str">
            <v>hundun_skill02</v>
          </cell>
          <cell r="I442" t="str">
            <v>[]</v>
          </cell>
          <cell r="J442">
            <v>1</v>
          </cell>
          <cell r="K442">
            <v>10</v>
          </cell>
          <cell r="L442" t="str">
            <v>[]</v>
          </cell>
          <cell r="M442">
            <v>2</v>
          </cell>
          <cell r="N442">
            <v>2</v>
          </cell>
          <cell r="O442">
            <v>1</v>
          </cell>
          <cell r="P442">
            <v>2</v>
          </cell>
          <cell r="Q442">
            <v>4</v>
          </cell>
          <cell r="R442" t="str">
            <v>2|1</v>
          </cell>
          <cell r="S442" t="str">
            <v>1|1|2</v>
          </cell>
          <cell r="T442">
            <v>1</v>
          </cell>
          <cell r="U442">
            <v>0</v>
          </cell>
          <cell r="V442">
            <v>0</v>
          </cell>
          <cell r="W442" t="str">
            <v>[]</v>
          </cell>
          <cell r="X442">
            <v>3</v>
          </cell>
          <cell r="Y442" t="str">
            <v>[]</v>
          </cell>
          <cell r="Z442" t="str">
            <v>0,0.9,0.1</v>
          </cell>
          <cell r="AA442">
            <v>0</v>
          </cell>
          <cell r="AB442">
            <v>6</v>
          </cell>
          <cell r="AC442" t="str">
            <v>[]</v>
          </cell>
          <cell r="AD442" t="str">
            <v>[]</v>
          </cell>
          <cell r="AE442" t="str">
            <v>[]</v>
          </cell>
          <cell r="AF442" t="str">
            <v>hundun_skill02_f</v>
          </cell>
          <cell r="AG442" t="str">
            <v>hundun_skill02_b,common_hit</v>
          </cell>
          <cell r="AH442" t="str">
            <v>[]</v>
          </cell>
          <cell r="AI442" t="str">
            <v>[]</v>
          </cell>
          <cell r="AJ442" t="str">
            <v>[]</v>
          </cell>
          <cell r="AK442" t="str">
            <v>[]</v>
          </cell>
          <cell r="AL442" t="str">
            <v>[]</v>
          </cell>
          <cell r="AM442" t="str">
            <v>[]</v>
          </cell>
          <cell r="AN442">
            <v>2</v>
          </cell>
          <cell r="AO442">
            <v>-4</v>
          </cell>
          <cell r="AP442">
            <v>111802</v>
          </cell>
          <cell r="AQ442" t="str">
            <v>111802</v>
          </cell>
          <cell r="AR442" t="str">
            <v>[]</v>
          </cell>
          <cell r="AS442" t="str">
            <v>[]</v>
          </cell>
          <cell r="AT442" t="str">
            <v>9030</v>
          </cell>
          <cell r="AU442" t="str">
            <v>3580</v>
          </cell>
          <cell r="AV442" t="str">
            <v>混沌</v>
          </cell>
          <cell r="AW442" t="str">
            <v>02</v>
          </cell>
          <cell r="AX442" t="str">
            <v>[]</v>
          </cell>
          <cell r="AY442">
            <v>1</v>
          </cell>
          <cell r="BA442" t="str">
            <v>[]</v>
          </cell>
          <cell r="BE442" t="str">
            <v>[]</v>
          </cell>
          <cell r="BF442"/>
        </row>
        <row r="443">
          <cell r="A443" t="str">
            <v>hundun_skill03</v>
          </cell>
          <cell r="B443" t="str">
            <v>遁入虚空</v>
          </cell>
          <cell r="C443" t="str">
            <v>进入战斗场景时，增加全队@s的闪避</v>
          </cell>
          <cell r="D443">
            <v>1262</v>
          </cell>
          <cell r="E443">
            <v>0</v>
          </cell>
          <cell r="F443" t="str">
            <v>[]</v>
          </cell>
          <cell r="G443" t="str">
            <v>混沌被动技能</v>
          </cell>
          <cell r="H443" t="str">
            <v>fafang</v>
          </cell>
          <cell r="I443" t="str">
            <v>[]</v>
          </cell>
          <cell r="J443">
            <v>2</v>
          </cell>
          <cell r="K443">
            <v>10</v>
          </cell>
          <cell r="L443" t="str">
            <v>[]</v>
          </cell>
          <cell r="M443">
            <v>2</v>
          </cell>
          <cell r="N443">
            <v>2</v>
          </cell>
          <cell r="O443">
            <v>3</v>
          </cell>
          <cell r="P443">
            <v>0</v>
          </cell>
          <cell r="Q443">
            <v>12</v>
          </cell>
          <cell r="R443">
            <v>3</v>
          </cell>
          <cell r="S443">
            <v>5</v>
          </cell>
          <cell r="T443">
            <v>10</v>
          </cell>
          <cell r="U443">
            <v>0</v>
          </cell>
          <cell r="V443">
            <v>0</v>
          </cell>
          <cell r="W443" t="str">
            <v>[]</v>
          </cell>
          <cell r="X443">
            <v>0</v>
          </cell>
          <cell r="Y443" t="str">
            <v>[]</v>
          </cell>
          <cell r="Z443" t="str">
            <v>0,0,0</v>
          </cell>
          <cell r="AA443">
            <v>0</v>
          </cell>
          <cell r="AB443" t="str">
            <v>[]</v>
          </cell>
          <cell r="AC443" t="str">
            <v>[]</v>
          </cell>
          <cell r="AD443" t="str">
            <v>[]</v>
          </cell>
          <cell r="AE443" t="str">
            <v>[]</v>
          </cell>
          <cell r="AF443" t="str">
            <v>[]</v>
          </cell>
          <cell r="AG443" t="str">
            <v>[]</v>
          </cell>
          <cell r="AH443" t="str">
            <v>[]</v>
          </cell>
          <cell r="AI443" t="str">
            <v>[]</v>
          </cell>
          <cell r="AJ443" t="str">
            <v>[]</v>
          </cell>
          <cell r="AK443" t="str">
            <v>shanbi10_higheff</v>
          </cell>
          <cell r="AL443" t="str">
            <v>[]</v>
          </cell>
          <cell r="AM443" t="str">
            <v>[]</v>
          </cell>
          <cell r="AN443">
            <v>0</v>
          </cell>
          <cell r="AO443" t="str">
            <v>[]</v>
          </cell>
          <cell r="AP443" t="str">
            <v>[]</v>
          </cell>
          <cell r="AQ443" t="str">
            <v>9010</v>
          </cell>
          <cell r="AR443" t="str">
            <v>[]</v>
          </cell>
          <cell r="AS443" t="str">
            <v>[]</v>
          </cell>
          <cell r="AT443" t="str">
            <v>1219</v>
          </cell>
          <cell r="AU443" t="str">
            <v>3590</v>
          </cell>
          <cell r="AV443" t="str">
            <v>混沌</v>
          </cell>
          <cell r="AW443" t="str">
            <v>03</v>
          </cell>
          <cell r="AX443">
            <v>1262</v>
          </cell>
          <cell r="AY443">
            <v>1</v>
          </cell>
          <cell r="BA443" t="str">
            <v>[]</v>
          </cell>
          <cell r="BE443" t="str">
            <v>[]</v>
          </cell>
          <cell r="BF443"/>
        </row>
        <row r="444">
          <cell r="A444" t="str">
            <v>hundun_skill04</v>
          </cell>
          <cell r="B444" t="str">
            <v>夺命地刺</v>
          </cell>
          <cell r="C444" t="str">
            <v>混沌召唤巨大的地刺，对范围内目标造成自身攻击力@s的伤害</v>
          </cell>
          <cell r="D444">
            <v>1264</v>
          </cell>
          <cell r="E444">
            <v>1</v>
          </cell>
          <cell r="F444" t="str">
            <v>boss_warning_yuanxing</v>
          </cell>
          <cell r="G444" t="str">
            <v>混沌技能4</v>
          </cell>
          <cell r="H444" t="str">
            <v>hundun_skill04</v>
          </cell>
          <cell r="I444" t="str">
            <v>[]</v>
          </cell>
          <cell r="J444">
            <v>3</v>
          </cell>
          <cell r="K444">
            <v>10</v>
          </cell>
          <cell r="L444" t="str">
            <v>[]</v>
          </cell>
          <cell r="M444">
            <v>2</v>
          </cell>
          <cell r="N444">
            <v>2</v>
          </cell>
          <cell r="O444">
            <v>1</v>
          </cell>
          <cell r="P444">
            <v>2</v>
          </cell>
          <cell r="Q444">
            <v>12</v>
          </cell>
          <cell r="R444" t="str">
            <v>2|1</v>
          </cell>
          <cell r="S444" t="str">
            <v>1|11|3</v>
          </cell>
          <cell r="T444">
            <v>10</v>
          </cell>
          <cell r="U444">
            <v>0</v>
          </cell>
          <cell r="V444">
            <v>0</v>
          </cell>
          <cell r="W444" t="str">
            <v>[]</v>
          </cell>
          <cell r="X444">
            <v>3</v>
          </cell>
          <cell r="Y444" t="str">
            <v>[]</v>
          </cell>
          <cell r="Z444" t="str">
            <v>0,1.167,0</v>
          </cell>
          <cell r="AA444">
            <v>0</v>
          </cell>
          <cell r="AB444">
            <v>6</v>
          </cell>
          <cell r="AC444" t="str">
            <v>[]</v>
          </cell>
          <cell r="AD444" t="str">
            <v>[]</v>
          </cell>
          <cell r="AE444" t="str">
            <v>[]</v>
          </cell>
          <cell r="AF444" t="str">
            <v>hundun_skill04</v>
          </cell>
          <cell r="AG444" t="str">
            <v>common_hit_fashu</v>
          </cell>
          <cell r="AH444" t="str">
            <v>[]</v>
          </cell>
          <cell r="AI444" t="str">
            <v>[]</v>
          </cell>
          <cell r="AJ444" t="str">
            <v>hundun_zhenping</v>
          </cell>
          <cell r="AK444" t="str">
            <v>[]</v>
          </cell>
          <cell r="AL444" t="str">
            <v>[]</v>
          </cell>
          <cell r="AM444" t="str">
            <v>[]</v>
          </cell>
          <cell r="AN444">
            <v>2</v>
          </cell>
          <cell r="AO444">
            <v>1.05</v>
          </cell>
          <cell r="AP444">
            <v>111804</v>
          </cell>
          <cell r="AQ444" t="str">
            <v>111804</v>
          </cell>
          <cell r="AR444" t="str">
            <v>[]</v>
          </cell>
          <cell r="AS444" t="str">
            <v>[]</v>
          </cell>
          <cell r="AT444" t="str">
            <v>9020</v>
          </cell>
          <cell r="AU444" t="str">
            <v>3600</v>
          </cell>
          <cell r="AV444" t="str">
            <v>混沌</v>
          </cell>
          <cell r="AW444" t="str">
            <v>04</v>
          </cell>
          <cell r="AX444">
            <v>1264</v>
          </cell>
          <cell r="AY444">
            <v>1</v>
          </cell>
          <cell r="BA444" t="str">
            <v>[]</v>
          </cell>
          <cell r="BE444" t="str">
            <v>[]</v>
          </cell>
          <cell r="BF444"/>
        </row>
        <row r="445">
          <cell r="A445" t="str">
            <v>bailonggongzhu_attack</v>
          </cell>
          <cell r="B445" t="str">
            <v>普攻</v>
          </cell>
          <cell r="C445" t="str">
            <v>挥动宝珠，产生能量球攻击目标</v>
          </cell>
          <cell r="D445" t="str">
            <v>[]</v>
          </cell>
          <cell r="E445">
            <v>0</v>
          </cell>
          <cell r="F445" t="str">
            <v>[]</v>
          </cell>
          <cell r="G445" t="str">
            <v>白龙公主远程攻击</v>
          </cell>
          <cell r="H445" t="str">
            <v>[]</v>
          </cell>
          <cell r="I445" t="str">
            <v>[]</v>
          </cell>
          <cell r="J445">
            <v>0</v>
          </cell>
          <cell r="K445">
            <v>1</v>
          </cell>
          <cell r="L445" t="str">
            <v>[]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10</v>
          </cell>
          <cell r="R445" t="str">
            <v>2|1</v>
          </cell>
          <cell r="S445" t="str">
            <v>4|0.2</v>
          </cell>
          <cell r="T445">
            <v>1</v>
          </cell>
          <cell r="U445">
            <v>1</v>
          </cell>
          <cell r="V445">
            <v>0</v>
          </cell>
          <cell r="W445" t="str">
            <v>[]</v>
          </cell>
          <cell r="X445">
            <v>0</v>
          </cell>
          <cell r="Y445" t="str">
            <v>[]</v>
          </cell>
          <cell r="Z445" t="str">
            <v>0,1,0</v>
          </cell>
          <cell r="AA445">
            <v>0</v>
          </cell>
          <cell r="AB445" t="str">
            <v>[]</v>
          </cell>
          <cell r="AC445" t="str">
            <v>[]</v>
          </cell>
          <cell r="AD445" t="str">
            <v>[]</v>
          </cell>
          <cell r="AE445" t="str">
            <v>[]</v>
          </cell>
          <cell r="AF445" t="str">
            <v>bailonggongzhu_attack</v>
          </cell>
          <cell r="AG445" t="str">
            <v>common_hit_qinwuqi</v>
          </cell>
          <cell r="AH445" t="str">
            <v>[]</v>
          </cell>
          <cell r="AI445" t="str">
            <v>[]</v>
          </cell>
          <cell r="AJ445" t="str">
            <v>[]</v>
          </cell>
          <cell r="AK445" t="str">
            <v>[]</v>
          </cell>
          <cell r="AL445" t="str">
            <v>[]</v>
          </cell>
          <cell r="AM445" t="str">
            <v>[]</v>
          </cell>
          <cell r="AN445">
            <v>2</v>
          </cell>
          <cell r="AO445" t="str">
            <v>[]</v>
          </cell>
          <cell r="AP445">
            <v>113600</v>
          </cell>
          <cell r="AQ445" t="str">
            <v>113600</v>
          </cell>
          <cell r="AR445" t="str">
            <v>[]</v>
          </cell>
          <cell r="AS445" t="str">
            <v>[]</v>
          </cell>
          <cell r="AT445" t="str">
            <v>1219</v>
          </cell>
          <cell r="AU445" t="str">
            <v>4660</v>
          </cell>
          <cell r="AV445" t="str">
            <v>白龙公主远程攻击</v>
          </cell>
          <cell r="AW445" t="str">
            <v>ck</v>
          </cell>
          <cell r="AX445" t="str">
            <v>[]</v>
          </cell>
          <cell r="AY445">
            <v>1</v>
          </cell>
          <cell r="BA445" t="str">
            <v>[]</v>
          </cell>
          <cell r="BE445" t="str">
            <v>[]</v>
          </cell>
          <cell r="BF445"/>
        </row>
        <row r="446">
          <cell r="A446" t="str">
            <v>bailonggongzhu_skill01</v>
          </cell>
          <cell r="B446" t="str">
            <v>圣光水域</v>
          </cell>
          <cell r="C446" t="str">
            <v>召唤圣光水域对队友治疗，恢复3次主角攻击力@s的生命值</v>
          </cell>
          <cell r="D446" t="str">
            <v>[]</v>
          </cell>
          <cell r="E446">
            <v>0</v>
          </cell>
          <cell r="F446" t="str">
            <v>[]</v>
          </cell>
          <cell r="G446" t="str">
            <v>圣光水域</v>
          </cell>
          <cell r="H446" t="str">
            <v>shengguangshuiyu</v>
          </cell>
          <cell r="I446" t="str">
            <v>shengguangshuiyu</v>
          </cell>
          <cell r="J446">
            <v>0</v>
          </cell>
          <cell r="K446">
            <v>10</v>
          </cell>
          <cell r="L446" t="str">
            <v>1|36</v>
          </cell>
          <cell r="M446">
            <v>2</v>
          </cell>
          <cell r="N446">
            <v>2</v>
          </cell>
          <cell r="O446">
            <v>1</v>
          </cell>
          <cell r="P446">
            <v>4</v>
          </cell>
          <cell r="Q446">
            <v>4</v>
          </cell>
          <cell r="R446">
            <v>3</v>
          </cell>
          <cell r="S446">
            <v>5</v>
          </cell>
          <cell r="T446">
            <v>10</v>
          </cell>
          <cell r="U446">
            <v>0</v>
          </cell>
          <cell r="V446">
            <v>0</v>
          </cell>
          <cell r="W446" t="str">
            <v>[]</v>
          </cell>
          <cell r="X446">
            <v>0</v>
          </cell>
          <cell r="Y446" t="str">
            <v>[]</v>
          </cell>
          <cell r="Z446" t="str">
            <v>0,1,0</v>
          </cell>
          <cell r="AA446">
            <v>0</v>
          </cell>
          <cell r="AB446" t="str">
            <v>12</v>
          </cell>
          <cell r="AC446" t="str">
            <v>[]</v>
          </cell>
          <cell r="AD446" t="str">
            <v>[]</v>
          </cell>
          <cell r="AE446" t="str">
            <v>[]</v>
          </cell>
          <cell r="AF446" t="str">
            <v>bailonggongzhu_skill01</v>
          </cell>
          <cell r="AG446" t="str">
            <v>respond_hp</v>
          </cell>
          <cell r="AH446" t="str">
            <v>[]</v>
          </cell>
          <cell r="AI446" t="str">
            <v>[]</v>
          </cell>
          <cell r="AJ446" t="str">
            <v>[]</v>
          </cell>
          <cell r="AK446" t="str">
            <v>[]</v>
          </cell>
          <cell r="AL446" t="str">
            <v>[]</v>
          </cell>
          <cell r="AM446" t="str">
            <v>[]</v>
          </cell>
          <cell r="AN446">
            <v>1</v>
          </cell>
          <cell r="AO446" t="str">
            <v>1,0.6,0.6</v>
          </cell>
          <cell r="AP446" t="str">
            <v>[]</v>
          </cell>
          <cell r="AQ446" t="str">
            <v>113601</v>
          </cell>
          <cell r="AR446" t="str">
            <v>[]</v>
          </cell>
          <cell r="AS446" t="str">
            <v>[]</v>
          </cell>
          <cell r="AT446" t="str">
            <v>9040</v>
          </cell>
          <cell r="AU446" t="str">
            <v>4670</v>
          </cell>
          <cell r="AV446" t="str">
            <v>圣光水域</v>
          </cell>
          <cell r="AW446" t="str">
            <v>01</v>
          </cell>
          <cell r="AX446" t="str">
            <v>[]</v>
          </cell>
          <cell r="AY446">
            <v>3</v>
          </cell>
          <cell r="BA446" t="str">
            <v>[]</v>
          </cell>
          <cell r="BE446" t="str">
            <v>[]</v>
          </cell>
          <cell r="BF446"/>
        </row>
        <row r="447">
          <cell r="A447" t="str">
            <v>bailonggongzhu_skill02</v>
          </cell>
          <cell r="B447" t="str">
            <v>冰甲护体</v>
          </cell>
          <cell r="C447" t="str">
            <v>白龙公主为己方血量最少的队友施加冰甲，提高@s闪避，持续5秒</v>
          </cell>
          <cell r="D447" t="str">
            <v>[]</v>
          </cell>
          <cell r="E447">
            <v>0</v>
          </cell>
          <cell r="F447" t="str">
            <v>[]</v>
          </cell>
          <cell r="G447" t="str">
            <v>白龙公主技能2</v>
          </cell>
          <cell r="H447" t="str">
            <v>bailonggongzhu_skill02</v>
          </cell>
          <cell r="I447" t="str">
            <v>[]</v>
          </cell>
          <cell r="J447">
            <v>1</v>
          </cell>
          <cell r="K447">
            <v>10</v>
          </cell>
          <cell r="L447" t="str">
            <v>[]</v>
          </cell>
          <cell r="M447">
            <v>2</v>
          </cell>
          <cell r="N447">
            <v>2</v>
          </cell>
          <cell r="O447">
            <v>1</v>
          </cell>
          <cell r="P447">
            <v>2</v>
          </cell>
          <cell r="Q447">
            <v>12</v>
          </cell>
          <cell r="R447">
            <v>3</v>
          </cell>
          <cell r="S447">
            <v>7</v>
          </cell>
          <cell r="T447">
            <v>1</v>
          </cell>
          <cell r="U447">
            <v>1</v>
          </cell>
          <cell r="V447">
            <v>0</v>
          </cell>
          <cell r="W447" t="str">
            <v>[]</v>
          </cell>
          <cell r="X447">
            <v>3</v>
          </cell>
          <cell r="Y447" t="str">
            <v>[]</v>
          </cell>
          <cell r="Z447" t="str">
            <v>0,1.667,0</v>
          </cell>
          <cell r="AA447">
            <v>0</v>
          </cell>
          <cell r="AB447">
            <v>6</v>
          </cell>
          <cell r="AC447" t="str">
            <v>[]</v>
          </cell>
          <cell r="AD447" t="str">
            <v>[]</v>
          </cell>
          <cell r="AE447" t="str">
            <v>[]</v>
          </cell>
          <cell r="AF447" t="str">
            <v>bailonggongzhu_skill02_q</v>
          </cell>
          <cell r="AG447" t="str">
            <v>bailonggongzhu_skill02</v>
          </cell>
          <cell r="AH447" t="str">
            <v>[]</v>
          </cell>
          <cell r="AI447" t="str">
            <v>[]</v>
          </cell>
          <cell r="AJ447" t="str">
            <v>[]</v>
          </cell>
          <cell r="AK447" t="str">
            <v>[]</v>
          </cell>
          <cell r="AL447" t="str">
            <v>shanbiupT3N0.2b</v>
          </cell>
          <cell r="AM447" t="str">
            <v>[]</v>
          </cell>
          <cell r="AN447">
            <v>1</v>
          </cell>
          <cell r="AO447">
            <v>0.01</v>
          </cell>
          <cell r="AP447" t="str">
            <v>[]</v>
          </cell>
          <cell r="AQ447" t="str">
            <v>9020</v>
          </cell>
          <cell r="AR447" t="str">
            <v>[]</v>
          </cell>
          <cell r="AS447" t="str">
            <v>[]</v>
          </cell>
          <cell r="AT447" t="str">
            <v>1219</v>
          </cell>
          <cell r="AU447" t="str">
            <v>4680</v>
          </cell>
          <cell r="AV447" t="str">
            <v>白龙公主</v>
          </cell>
          <cell r="AW447" t="str">
            <v>02</v>
          </cell>
          <cell r="AX447" t="str">
            <v>[]</v>
          </cell>
          <cell r="AY447">
            <v>1</v>
          </cell>
          <cell r="BE447"/>
          <cell r="BF447"/>
        </row>
        <row r="448">
          <cell r="A448" t="str">
            <v>bailonggongzhu_skill03</v>
          </cell>
          <cell r="B448" t="str">
            <v>闪避提升</v>
          </cell>
          <cell r="C448" t="str">
            <v>进入战斗场景时，增加自身@s的闪避率</v>
          </cell>
          <cell r="D448">
            <v>1262</v>
          </cell>
          <cell r="E448">
            <v>0</v>
          </cell>
          <cell r="F448" t="str">
            <v>[]</v>
          </cell>
          <cell r="G448" t="str">
            <v>白龙公主被动技能</v>
          </cell>
          <cell r="H448" t="str">
            <v>gongsu</v>
          </cell>
          <cell r="I448" t="str">
            <v>[]</v>
          </cell>
          <cell r="J448">
            <v>2</v>
          </cell>
          <cell r="K448">
            <v>10</v>
          </cell>
          <cell r="L448" t="str">
            <v>[]</v>
          </cell>
          <cell r="M448">
            <v>2</v>
          </cell>
          <cell r="N448">
            <v>2</v>
          </cell>
          <cell r="O448">
            <v>3</v>
          </cell>
          <cell r="P448">
            <v>0</v>
          </cell>
          <cell r="Q448">
            <v>12</v>
          </cell>
          <cell r="R448">
            <v>1</v>
          </cell>
          <cell r="S448" t="str">
            <v>4|0.2</v>
          </cell>
          <cell r="T448">
            <v>1</v>
          </cell>
          <cell r="U448">
            <v>0</v>
          </cell>
          <cell r="V448">
            <v>0</v>
          </cell>
          <cell r="W448" t="str">
            <v>[]</v>
          </cell>
          <cell r="X448">
            <v>0</v>
          </cell>
          <cell r="Y448" t="str">
            <v>[]</v>
          </cell>
          <cell r="Z448" t="str">
            <v>0,0,0</v>
          </cell>
          <cell r="AA448">
            <v>0</v>
          </cell>
          <cell r="AB448" t="str">
            <v>[]</v>
          </cell>
          <cell r="AC448" t="str">
            <v>[]</v>
          </cell>
          <cell r="AD448" t="str">
            <v>[]</v>
          </cell>
          <cell r="AE448" t="str">
            <v>[]</v>
          </cell>
          <cell r="AF448" t="str">
            <v>[]</v>
          </cell>
          <cell r="AG448" t="str">
            <v>[]</v>
          </cell>
          <cell r="AH448" t="str">
            <v>[]</v>
          </cell>
          <cell r="AI448" t="str">
            <v>[]</v>
          </cell>
          <cell r="AJ448" t="str">
            <v>[]</v>
          </cell>
          <cell r="AK448" t="str">
            <v>[]</v>
          </cell>
          <cell r="AL448" t="str">
            <v>shanbiupT3N0.2b</v>
          </cell>
          <cell r="AM448" t="str">
            <v>[]</v>
          </cell>
          <cell r="AN448">
            <v>0</v>
          </cell>
          <cell r="AO448" t="str">
            <v>[]</v>
          </cell>
          <cell r="AP448" t="str">
            <v>[]</v>
          </cell>
          <cell r="AQ448" t="str">
            <v>9010</v>
          </cell>
          <cell r="AR448" t="str">
            <v>[]</v>
          </cell>
          <cell r="AS448" t="str">
            <v>[]</v>
          </cell>
          <cell r="AT448" t="str">
            <v>1219</v>
          </cell>
          <cell r="AU448" t="str">
            <v>4690</v>
          </cell>
          <cell r="AV448" t="str">
            <v>白龙公主</v>
          </cell>
          <cell r="AW448" t="str">
            <v>03</v>
          </cell>
          <cell r="AX448">
            <v>1262</v>
          </cell>
          <cell r="AY448">
            <v>1</v>
          </cell>
          <cell r="BE448"/>
          <cell r="BF448"/>
        </row>
        <row r="449">
          <cell r="A449" t="str">
            <v>bailonggongzhu_skill04</v>
          </cell>
          <cell r="B449" t="str">
            <v>玄冰突刺</v>
          </cell>
          <cell r="C449" t="str">
            <v>白龙公主召唤冰刺，对范围内目标造成自身攻击力@s的伤害</v>
          </cell>
          <cell r="D449">
            <v>1264</v>
          </cell>
          <cell r="E449">
            <v>1</v>
          </cell>
          <cell r="F449" t="str">
            <v>boss_warning_yuanxing</v>
          </cell>
          <cell r="G449" t="str">
            <v>白龙公主技能4</v>
          </cell>
          <cell r="H449" t="str">
            <v>bailonggongzhu_skill04</v>
          </cell>
          <cell r="I449" t="str">
            <v>[]</v>
          </cell>
          <cell r="J449">
            <v>3</v>
          </cell>
          <cell r="K449">
            <v>10</v>
          </cell>
          <cell r="L449" t="str">
            <v>[]</v>
          </cell>
          <cell r="M449">
            <v>2</v>
          </cell>
          <cell r="N449">
            <v>2</v>
          </cell>
          <cell r="O449">
            <v>2</v>
          </cell>
          <cell r="P449">
            <v>2</v>
          </cell>
          <cell r="Q449">
            <v>12</v>
          </cell>
          <cell r="R449" t="str">
            <v>2|1</v>
          </cell>
          <cell r="S449" t="str">
            <v>2|4</v>
          </cell>
          <cell r="T449">
            <v>10</v>
          </cell>
          <cell r="U449">
            <v>0</v>
          </cell>
          <cell r="V449">
            <v>0</v>
          </cell>
          <cell r="W449" t="str">
            <v>[]</v>
          </cell>
          <cell r="X449">
            <v>3</v>
          </cell>
          <cell r="Y449" t="str">
            <v>[]</v>
          </cell>
          <cell r="Z449" t="str">
            <v>0,1.167,0</v>
          </cell>
          <cell r="AA449">
            <v>0</v>
          </cell>
          <cell r="AB449">
            <v>6</v>
          </cell>
          <cell r="AC449" t="str">
            <v>[]</v>
          </cell>
          <cell r="AD449" t="str">
            <v>[]</v>
          </cell>
          <cell r="AE449" t="str">
            <v>[]</v>
          </cell>
          <cell r="AF449" t="str">
            <v>bailonggongzhu_skill04</v>
          </cell>
          <cell r="AG449" t="str">
            <v>common_hit</v>
          </cell>
          <cell r="AH449" t="str">
            <v>[]</v>
          </cell>
          <cell r="AI449" t="str">
            <v>[]</v>
          </cell>
          <cell r="AJ449" t="str">
            <v>bailonggongzhu_zhenping</v>
          </cell>
          <cell r="AK449" t="str">
            <v>[]</v>
          </cell>
          <cell r="AL449" t="str">
            <v>[]</v>
          </cell>
          <cell r="AM449" t="str">
            <v>[]</v>
          </cell>
          <cell r="AN449">
            <v>2</v>
          </cell>
          <cell r="AO449">
            <v>-2</v>
          </cell>
          <cell r="AP449">
            <v>113604</v>
          </cell>
          <cell r="AQ449" t="str">
            <v>113604</v>
          </cell>
          <cell r="AR449" t="str">
            <v>[]</v>
          </cell>
          <cell r="AS449" t="str">
            <v>[]</v>
          </cell>
          <cell r="AT449" t="str">
            <v>1202</v>
          </cell>
          <cell r="AU449" t="str">
            <v>4700</v>
          </cell>
          <cell r="AV449" t="str">
            <v>白龙公主</v>
          </cell>
          <cell r="AW449" t="str">
            <v>04</v>
          </cell>
          <cell r="AX449">
            <v>1264</v>
          </cell>
          <cell r="AY449">
            <v>1</v>
          </cell>
          <cell r="BE449"/>
          <cell r="BF449"/>
        </row>
        <row r="450">
          <cell r="A450" t="str">
            <v>guishihei_attack</v>
          </cell>
          <cell r="B450" t="str">
            <v>鬼使黑</v>
          </cell>
          <cell r="C450" t="str">
            <v>攻击目标</v>
          </cell>
          <cell r="D450" t="str">
            <v>[]</v>
          </cell>
          <cell r="E450">
            <v>0</v>
          </cell>
          <cell r="F450" t="str">
            <v>[]</v>
          </cell>
          <cell r="G450" t="str">
            <v>近战攻击</v>
          </cell>
          <cell r="H450" t="str">
            <v>[]</v>
          </cell>
          <cell r="I450" t="str">
            <v>[]</v>
          </cell>
          <cell r="J450">
            <v>0</v>
          </cell>
          <cell r="K450">
            <v>1</v>
          </cell>
          <cell r="L450" t="str">
            <v>[]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3</v>
          </cell>
          <cell r="R450" t="str">
            <v>2|1</v>
          </cell>
          <cell r="S450" t="str">
            <v>4|0.2</v>
          </cell>
          <cell r="T450">
            <v>1</v>
          </cell>
          <cell r="U450">
            <v>0</v>
          </cell>
          <cell r="V450">
            <v>0</v>
          </cell>
          <cell r="W450" t="str">
            <v>[]</v>
          </cell>
          <cell r="X450">
            <v>0</v>
          </cell>
          <cell r="Y450" t="str">
            <v>[]</v>
          </cell>
          <cell r="Z450" t="str">
            <v>0,1,0</v>
          </cell>
          <cell r="AA450">
            <v>0</v>
          </cell>
          <cell r="AB450" t="str">
            <v>[]</v>
          </cell>
          <cell r="AC450" t="str">
            <v>[]</v>
          </cell>
          <cell r="AD450" t="str">
            <v>[]</v>
          </cell>
          <cell r="AE450" t="str">
            <v>[]</v>
          </cell>
          <cell r="AF450" t="str">
            <v>guishihei_attack</v>
          </cell>
          <cell r="AG450" t="str">
            <v>common_hit_qinwuqi</v>
          </cell>
          <cell r="AH450" t="str">
            <v>[]</v>
          </cell>
          <cell r="AI450" t="str">
            <v>[]</v>
          </cell>
          <cell r="AJ450" t="str">
            <v>[]</v>
          </cell>
          <cell r="AK450" t="str">
            <v>[]</v>
          </cell>
          <cell r="AL450" t="str">
            <v>[]</v>
          </cell>
          <cell r="AM450" t="str">
            <v>[]</v>
          </cell>
          <cell r="AN450">
            <v>1</v>
          </cell>
          <cell r="AO450">
            <v>0.35</v>
          </cell>
          <cell r="AP450">
            <v>120300</v>
          </cell>
          <cell r="AQ450" t="str">
            <v>120300</v>
          </cell>
          <cell r="AR450" t="str">
            <v>[]</v>
          </cell>
          <cell r="AS450" t="str">
            <v>[]</v>
          </cell>
          <cell r="AT450" t="str">
            <v>1202</v>
          </cell>
          <cell r="AU450" t="str">
            <v>4710</v>
          </cell>
          <cell r="AV450" t="str">
            <v>近战攻击</v>
          </cell>
          <cell r="AW450" t="str">
            <v>ck</v>
          </cell>
          <cell r="AX450" t="str">
            <v>[]</v>
          </cell>
          <cell r="AY450">
            <v>1</v>
          </cell>
          <cell r="BE450"/>
          <cell r="BF450"/>
        </row>
        <row r="451">
          <cell r="A451" t="str">
            <v>guishihei_attack2</v>
          </cell>
          <cell r="B451" t="str">
            <v>鬼使黑</v>
          </cell>
          <cell r="C451" t="str">
            <v>攻击目标</v>
          </cell>
          <cell r="D451" t="str">
            <v>[]</v>
          </cell>
          <cell r="E451">
            <v>0</v>
          </cell>
          <cell r="F451" t="str">
            <v>[]</v>
          </cell>
          <cell r="G451" t="str">
            <v>近战攻击</v>
          </cell>
          <cell r="H451" t="str">
            <v>[]</v>
          </cell>
          <cell r="I451" t="str">
            <v>[]</v>
          </cell>
          <cell r="J451">
            <v>0</v>
          </cell>
          <cell r="K451">
            <v>1</v>
          </cell>
          <cell r="L451" t="str">
            <v>[]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3</v>
          </cell>
          <cell r="R451" t="str">
            <v>2|1</v>
          </cell>
          <cell r="S451" t="str">
            <v>4|0.2</v>
          </cell>
          <cell r="T451">
            <v>1</v>
          </cell>
          <cell r="U451">
            <v>0</v>
          </cell>
          <cell r="V451">
            <v>0</v>
          </cell>
          <cell r="W451" t="str">
            <v>[]</v>
          </cell>
          <cell r="X451">
            <v>0</v>
          </cell>
          <cell r="Y451" t="str">
            <v>[]</v>
          </cell>
          <cell r="Z451" t="str">
            <v>0,1,0</v>
          </cell>
          <cell r="AA451">
            <v>0</v>
          </cell>
          <cell r="AB451" t="str">
            <v>[]</v>
          </cell>
          <cell r="AC451" t="str">
            <v>[]</v>
          </cell>
          <cell r="AD451" t="str">
            <v>[]</v>
          </cell>
          <cell r="AE451" t="str">
            <v>[]</v>
          </cell>
          <cell r="AF451" t="str">
            <v>guishihei_attack2</v>
          </cell>
          <cell r="AG451" t="str">
            <v>common_hit_qinwuqi</v>
          </cell>
          <cell r="AH451" t="str">
            <v>[]</v>
          </cell>
          <cell r="AI451" t="str">
            <v>[]</v>
          </cell>
          <cell r="AJ451" t="str">
            <v>[]</v>
          </cell>
          <cell r="AK451" t="str">
            <v>[]</v>
          </cell>
          <cell r="AL451" t="str">
            <v>[]</v>
          </cell>
          <cell r="AM451" t="str">
            <v>[]</v>
          </cell>
          <cell r="AN451">
            <v>1</v>
          </cell>
          <cell r="AO451">
            <v>0.5</v>
          </cell>
          <cell r="AP451">
            <v>120301</v>
          </cell>
          <cell r="AQ451" t="str">
            <v>120301</v>
          </cell>
          <cell r="AR451" t="str">
            <v>[]</v>
          </cell>
          <cell r="AS451" t="str">
            <v>[]</v>
          </cell>
          <cell r="AT451" t="str">
            <v>1202</v>
          </cell>
          <cell r="AU451" t="str">
            <v>4710</v>
          </cell>
          <cell r="AV451" t="str">
            <v>近战攻击</v>
          </cell>
          <cell r="AW451" t="str">
            <v>k2</v>
          </cell>
          <cell r="AX451" t="str">
            <v>[]</v>
          </cell>
          <cell r="AY451">
            <v>1</v>
          </cell>
          <cell r="BE451"/>
          <cell r="BF451"/>
        </row>
        <row r="452">
          <cell r="A452" t="str">
            <v>guishihei_skill01</v>
          </cell>
          <cell r="B452" t="str">
            <v>灵魂盛宴</v>
          </cell>
          <cell r="C452" t="str">
            <v>召唤紫炎，增加全体@s攻击速度，@s暴击率，持续4秒</v>
          </cell>
          <cell r="D452" t="str">
            <v>[]</v>
          </cell>
          <cell r="E452">
            <v>0</v>
          </cell>
          <cell r="F452" t="str">
            <v>[]</v>
          </cell>
          <cell r="G452" t="str">
            <v>鬼使黑核心技能</v>
          </cell>
          <cell r="H452" t="str">
            <v>guishihei_skill01</v>
          </cell>
          <cell r="I452" t="str">
            <v>guishihei_skill01</v>
          </cell>
          <cell r="J452">
            <v>0</v>
          </cell>
          <cell r="K452">
            <v>10</v>
          </cell>
          <cell r="L452" t="str">
            <v>1|24</v>
          </cell>
          <cell r="M452">
            <v>2</v>
          </cell>
          <cell r="N452">
            <v>2</v>
          </cell>
          <cell r="O452">
            <v>1</v>
          </cell>
          <cell r="P452">
            <v>2</v>
          </cell>
          <cell r="Q452">
            <v>4</v>
          </cell>
          <cell r="R452">
            <v>3</v>
          </cell>
          <cell r="S452" t="str">
            <v>2|20</v>
          </cell>
          <cell r="T452">
            <v>10</v>
          </cell>
          <cell r="U452">
            <v>0</v>
          </cell>
          <cell r="V452">
            <v>0</v>
          </cell>
          <cell r="W452" t="str">
            <v>[]</v>
          </cell>
          <cell r="X452">
            <v>0</v>
          </cell>
          <cell r="Y452" t="str">
            <v>[]</v>
          </cell>
          <cell r="Z452" t="str">
            <v>0,1,0</v>
          </cell>
          <cell r="AA452">
            <v>0</v>
          </cell>
          <cell r="AB452" t="str">
            <v>12</v>
          </cell>
          <cell r="AC452" t="str">
            <v>[]</v>
          </cell>
          <cell r="AD452" t="str">
            <v>[]</v>
          </cell>
          <cell r="AE452" t="str">
            <v>[]</v>
          </cell>
          <cell r="AF452" t="str">
            <v>guishihei_skill01</v>
          </cell>
          <cell r="AG452" t="str">
            <v>[]</v>
          </cell>
          <cell r="AH452" t="str">
            <v>[]</v>
          </cell>
          <cell r="AI452" t="str">
            <v>[]</v>
          </cell>
          <cell r="AJ452" t="str">
            <v>[]</v>
          </cell>
          <cell r="AK452" t="str">
            <v>[]</v>
          </cell>
          <cell r="AL452" t="str">
            <v>[]</v>
          </cell>
          <cell r="AM452" t="str">
            <v>buff_guishihei_skill01</v>
          </cell>
          <cell r="AN452">
            <v>2</v>
          </cell>
          <cell r="AO452">
            <v>-2</v>
          </cell>
          <cell r="AP452" t="str">
            <v>[]</v>
          </cell>
          <cell r="AQ452" t="str">
            <v>9020,9020</v>
          </cell>
          <cell r="AR452" t="str">
            <v>[]</v>
          </cell>
          <cell r="AS452" t="str">
            <v>[]</v>
          </cell>
          <cell r="AT452" t="str">
            <v>9020</v>
          </cell>
          <cell r="AU452" t="str">
            <v>4720</v>
          </cell>
          <cell r="AV452" t="str">
            <v>鬼使黑</v>
          </cell>
          <cell r="AW452" t="str">
            <v>01</v>
          </cell>
          <cell r="AX452" t="str">
            <v>[]</v>
          </cell>
          <cell r="AY452">
            <v>1</v>
          </cell>
          <cell r="BE452"/>
          <cell r="BF452"/>
        </row>
        <row r="453">
          <cell r="A453" t="str">
            <v>guishihei_skill02</v>
          </cell>
          <cell r="B453" t="str">
            <v>勾魂</v>
          </cell>
          <cell r="C453" t="str">
            <v>鬼使黑对目标施展勾魂秘法，对目标造成自身攻击力@s的伤害</v>
          </cell>
          <cell r="D453" t="str">
            <v>[]</v>
          </cell>
          <cell r="E453">
            <v>2</v>
          </cell>
          <cell r="F453" t="str">
            <v>boss_warning_juxing</v>
          </cell>
          <cell r="G453" t="str">
            <v>鬼使黑技能2</v>
          </cell>
          <cell r="H453" t="str">
            <v>guishihei_skill02</v>
          </cell>
          <cell r="I453" t="str">
            <v>[]</v>
          </cell>
          <cell r="J453">
            <v>1</v>
          </cell>
          <cell r="K453">
            <v>10</v>
          </cell>
          <cell r="L453" t="str">
            <v>[]</v>
          </cell>
          <cell r="M453">
            <v>2</v>
          </cell>
          <cell r="N453">
            <v>2</v>
          </cell>
          <cell r="O453">
            <v>1</v>
          </cell>
          <cell r="P453">
            <v>2</v>
          </cell>
          <cell r="Q453">
            <v>4</v>
          </cell>
          <cell r="R453" t="str">
            <v>2|1</v>
          </cell>
          <cell r="S453" t="str">
            <v>4|0.2</v>
          </cell>
          <cell r="T453">
            <v>1</v>
          </cell>
          <cell r="U453">
            <v>1</v>
          </cell>
          <cell r="V453">
            <v>0</v>
          </cell>
          <cell r="W453" t="str">
            <v>[]</v>
          </cell>
          <cell r="X453">
            <v>3</v>
          </cell>
          <cell r="Y453" t="str">
            <v>[]</v>
          </cell>
          <cell r="Z453" t="str">
            <v>0,1.9,0.5</v>
          </cell>
          <cell r="AA453">
            <v>0</v>
          </cell>
          <cell r="AB453">
            <v>6</v>
          </cell>
          <cell r="AC453" t="str">
            <v>[]</v>
          </cell>
          <cell r="AD453" t="str">
            <v>[]</v>
          </cell>
          <cell r="AE453" t="str">
            <v>[]</v>
          </cell>
          <cell r="AF453" t="str">
            <v>guishihei_skill02</v>
          </cell>
          <cell r="AG453" t="str">
            <v>common_hit_qinwuqi</v>
          </cell>
          <cell r="AH453" t="str">
            <v>[]</v>
          </cell>
          <cell r="AI453" t="str">
            <v>[]</v>
          </cell>
          <cell r="AJ453" t="str">
            <v>[]</v>
          </cell>
          <cell r="AK453" t="str">
            <v>[]</v>
          </cell>
          <cell r="AL453" t="str">
            <v>[]</v>
          </cell>
          <cell r="AM453" t="str">
            <v>[]</v>
          </cell>
          <cell r="AN453">
            <v>1</v>
          </cell>
          <cell r="AO453">
            <v>1.9</v>
          </cell>
          <cell r="AP453">
            <v>120303</v>
          </cell>
          <cell r="AQ453" t="str">
            <v>120303</v>
          </cell>
          <cell r="AR453" t="str">
            <v>[]</v>
          </cell>
          <cell r="AS453" t="str">
            <v>[]</v>
          </cell>
          <cell r="AT453" t="str">
            <v>1202</v>
          </cell>
          <cell r="AU453" t="str">
            <v>4730</v>
          </cell>
          <cell r="AV453" t="str">
            <v>鬼使黑</v>
          </cell>
          <cell r="AW453" t="str">
            <v>02</v>
          </cell>
          <cell r="AX453" t="str">
            <v>[]</v>
          </cell>
          <cell r="AY453">
            <v>1</v>
          </cell>
          <cell r="BE453"/>
          <cell r="BF453"/>
        </row>
        <row r="454">
          <cell r="A454" t="str">
            <v>guishihei_skill03</v>
          </cell>
          <cell r="B454" t="str">
            <v>闪避提升</v>
          </cell>
          <cell r="C454" t="str">
            <v>进入战斗场景时，增加自身@s的闪避率</v>
          </cell>
          <cell r="D454">
            <v>1262</v>
          </cell>
          <cell r="E454">
            <v>0</v>
          </cell>
          <cell r="F454" t="str">
            <v>[]</v>
          </cell>
          <cell r="G454" t="str">
            <v>鬼使黑被动技能</v>
          </cell>
          <cell r="H454" t="str">
            <v>xixue</v>
          </cell>
          <cell r="I454" t="str">
            <v>[]</v>
          </cell>
          <cell r="J454">
            <v>2</v>
          </cell>
          <cell r="K454">
            <v>10</v>
          </cell>
          <cell r="L454" t="str">
            <v>[]</v>
          </cell>
          <cell r="M454">
            <v>2</v>
          </cell>
          <cell r="N454">
            <v>2</v>
          </cell>
          <cell r="O454">
            <v>3</v>
          </cell>
          <cell r="P454">
            <v>0</v>
          </cell>
          <cell r="Q454">
            <v>4</v>
          </cell>
          <cell r="R454">
            <v>1</v>
          </cell>
          <cell r="S454" t="str">
            <v>4|0.2</v>
          </cell>
          <cell r="T454">
            <v>1</v>
          </cell>
          <cell r="U454">
            <v>0</v>
          </cell>
          <cell r="V454">
            <v>0</v>
          </cell>
          <cell r="W454" t="str">
            <v>[]</v>
          </cell>
          <cell r="X454">
            <v>0</v>
          </cell>
          <cell r="Y454" t="str">
            <v>[]</v>
          </cell>
          <cell r="Z454" t="str">
            <v>0,0,0</v>
          </cell>
          <cell r="AA454">
            <v>0</v>
          </cell>
          <cell r="AB454" t="str">
            <v>[]</v>
          </cell>
          <cell r="AC454" t="str">
            <v>[]</v>
          </cell>
          <cell r="AD454" t="str">
            <v>[]</v>
          </cell>
          <cell r="AE454" t="str">
            <v>[]</v>
          </cell>
          <cell r="AF454" t="str">
            <v>[]</v>
          </cell>
          <cell r="AG454" t="str">
            <v>[]</v>
          </cell>
          <cell r="AH454" t="str">
            <v>[]</v>
          </cell>
          <cell r="AI454" t="str">
            <v>[]</v>
          </cell>
          <cell r="AJ454" t="str">
            <v>[]</v>
          </cell>
          <cell r="AK454" t="str">
            <v>[]</v>
          </cell>
          <cell r="AL454" t="str">
            <v>shanbiupT3N0.2b</v>
          </cell>
          <cell r="AM454" t="str">
            <v>[]</v>
          </cell>
          <cell r="AN454">
            <v>0</v>
          </cell>
          <cell r="AO454" t="str">
            <v>[]</v>
          </cell>
          <cell r="AP454" t="str">
            <v>[]</v>
          </cell>
          <cell r="AQ454" t="str">
            <v>9015</v>
          </cell>
          <cell r="AR454" t="str">
            <v>[]</v>
          </cell>
          <cell r="AS454" t="str">
            <v>[]</v>
          </cell>
          <cell r="AT454" t="str">
            <v>1202</v>
          </cell>
          <cell r="AU454" t="str">
            <v>4740</v>
          </cell>
          <cell r="AV454" t="str">
            <v>鬼使黑</v>
          </cell>
          <cell r="AW454" t="str">
            <v>03</v>
          </cell>
          <cell r="AX454">
            <v>1262</v>
          </cell>
          <cell r="AY454">
            <v>1</v>
          </cell>
          <cell r="BE454"/>
          <cell r="BF454"/>
        </row>
        <row r="455">
          <cell r="A455" t="str">
            <v>guishihei_skill04</v>
          </cell>
          <cell r="B455" t="str">
            <v>索命</v>
          </cell>
          <cell r="C455" t="str">
            <v>鬼使黑凝聚法力冲向目标，对路径上的目标造成自身攻击力@s的伤害</v>
          </cell>
          <cell r="D455">
            <v>1264</v>
          </cell>
          <cell r="E455">
            <v>2</v>
          </cell>
          <cell r="F455" t="str">
            <v>boss_warning_juxing</v>
          </cell>
          <cell r="G455" t="str">
            <v>鬼使黑技能4</v>
          </cell>
          <cell r="H455" t="str">
            <v>guishihei_skill04</v>
          </cell>
          <cell r="I455" t="str">
            <v>[]</v>
          </cell>
          <cell r="J455">
            <v>3</v>
          </cell>
          <cell r="K455">
            <v>10</v>
          </cell>
          <cell r="L455" t="str">
            <v>[]</v>
          </cell>
          <cell r="M455">
            <v>2</v>
          </cell>
          <cell r="N455">
            <v>2</v>
          </cell>
          <cell r="O455">
            <v>1</v>
          </cell>
          <cell r="P455">
            <v>2</v>
          </cell>
          <cell r="Q455">
            <v>4</v>
          </cell>
          <cell r="R455" t="str">
            <v>2|1</v>
          </cell>
          <cell r="S455" t="str">
            <v>1|1|2</v>
          </cell>
          <cell r="T455">
            <v>10</v>
          </cell>
          <cell r="U455">
            <v>0</v>
          </cell>
          <cell r="V455">
            <v>0</v>
          </cell>
          <cell r="W455" t="str">
            <v>[]</v>
          </cell>
          <cell r="X455">
            <v>0</v>
          </cell>
          <cell r="Y455" t="str">
            <v>[]</v>
          </cell>
          <cell r="Z455" t="str">
            <v>1.8,0.5,0.5</v>
          </cell>
          <cell r="AA455">
            <v>0</v>
          </cell>
          <cell r="AB455">
            <v>6</v>
          </cell>
          <cell r="AC455" t="str">
            <v>[]</v>
          </cell>
          <cell r="AD455" t="str">
            <v>[]</v>
          </cell>
          <cell r="AE455" t="str">
            <v>guishihei_skill04_q</v>
          </cell>
          <cell r="AF455" t="str">
            <v>guishihei_skill04</v>
          </cell>
          <cell r="AG455" t="str">
            <v>common_hit_qinwuqi</v>
          </cell>
          <cell r="AH455" t="str">
            <v>[]</v>
          </cell>
          <cell r="AI455" t="str">
            <v>[]</v>
          </cell>
          <cell r="AJ455" t="str">
            <v>guishihei_yidong</v>
          </cell>
          <cell r="AK455" t="str">
            <v>[]</v>
          </cell>
          <cell r="AL455" t="str">
            <v>[]</v>
          </cell>
          <cell r="AM455" t="str">
            <v>[]</v>
          </cell>
          <cell r="AN455">
            <v>1</v>
          </cell>
          <cell r="AO455">
            <v>1.9</v>
          </cell>
          <cell r="AP455">
            <v>120305</v>
          </cell>
          <cell r="AQ455" t="str">
            <v>120305</v>
          </cell>
          <cell r="AR455" t="str">
            <v>[]</v>
          </cell>
          <cell r="AS455" t="str">
            <v>[]</v>
          </cell>
          <cell r="AT455" t="str">
            <v>1202</v>
          </cell>
          <cell r="AU455" t="str">
            <v>4750</v>
          </cell>
          <cell r="AV455" t="str">
            <v>鬼使黑</v>
          </cell>
          <cell r="AW455" t="str">
            <v>04</v>
          </cell>
          <cell r="AX455">
            <v>1264</v>
          </cell>
          <cell r="AY455">
            <v>1</v>
          </cell>
          <cell r="BE455"/>
          <cell r="BF455"/>
        </row>
        <row r="456">
          <cell r="A456" t="str">
            <v>huwei_attack</v>
          </cell>
          <cell r="B456" t="str">
            <v>护卫普攻</v>
          </cell>
          <cell r="C456" t="str">
            <v>[]</v>
          </cell>
          <cell r="D456" t="str">
            <v>[]</v>
          </cell>
          <cell r="E456">
            <v>0</v>
          </cell>
          <cell r="F456" t="str">
            <v>[]</v>
          </cell>
          <cell r="G456" t="str">
            <v>近战攻击</v>
          </cell>
          <cell r="H456" t="str">
            <v>[]</v>
          </cell>
          <cell r="I456" t="str">
            <v>[]</v>
          </cell>
          <cell r="J456">
            <v>0</v>
          </cell>
          <cell r="K456">
            <v>1</v>
          </cell>
          <cell r="L456" t="str">
            <v>[]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3</v>
          </cell>
          <cell r="R456" t="str">
            <v>2|1</v>
          </cell>
          <cell r="S456" t="str">
            <v>4|0.2</v>
          </cell>
          <cell r="T456">
            <v>1</v>
          </cell>
          <cell r="U456">
            <v>1</v>
          </cell>
          <cell r="V456">
            <v>0</v>
          </cell>
          <cell r="W456" t="str">
            <v>[]</v>
          </cell>
          <cell r="X456">
            <v>0</v>
          </cell>
          <cell r="Y456" t="str">
            <v>[]</v>
          </cell>
          <cell r="Z456" t="str">
            <v>0,1,0</v>
          </cell>
          <cell r="AA456">
            <v>0</v>
          </cell>
          <cell r="AB456" t="str">
            <v>[]</v>
          </cell>
          <cell r="AC456" t="str">
            <v>[]</v>
          </cell>
          <cell r="AD456" t="str">
            <v>[]</v>
          </cell>
          <cell r="AE456" t="str">
            <v>[]</v>
          </cell>
          <cell r="AF456" t="str">
            <v>huwei_attack</v>
          </cell>
          <cell r="AG456" t="str">
            <v>common_hit_zhongwuqi</v>
          </cell>
          <cell r="AH456" t="str">
            <v>[]</v>
          </cell>
          <cell r="AI456" t="str">
            <v>[]</v>
          </cell>
          <cell r="AJ456" t="str">
            <v>[]</v>
          </cell>
          <cell r="AK456" t="str">
            <v>[]</v>
          </cell>
          <cell r="AL456" t="str">
            <v>[]</v>
          </cell>
          <cell r="AM456" t="str">
            <v>[]</v>
          </cell>
          <cell r="AN456">
            <v>1</v>
          </cell>
          <cell r="AO456">
            <v>0.6</v>
          </cell>
          <cell r="AP456">
            <v>150600</v>
          </cell>
          <cell r="AQ456" t="str">
            <v>150600</v>
          </cell>
          <cell r="AR456" t="str">
            <v>[]</v>
          </cell>
          <cell r="AS456" t="str">
            <v>[]</v>
          </cell>
          <cell r="AT456" t="str">
            <v>1202</v>
          </cell>
          <cell r="AU456" t="str">
            <v>5010</v>
          </cell>
          <cell r="AV456" t="str">
            <v>近战攻击</v>
          </cell>
          <cell r="AW456" t="str">
            <v>ck</v>
          </cell>
          <cell r="AX456" t="str">
            <v>[]</v>
          </cell>
          <cell r="AY456">
            <v>1</v>
          </cell>
          <cell r="BE456"/>
          <cell r="BF456"/>
        </row>
        <row r="457">
          <cell r="A457" t="str">
            <v>kuangbao_attack</v>
          </cell>
          <cell r="B457" t="str">
            <v>狂豹普攻</v>
          </cell>
          <cell r="C457" t="str">
            <v>[]</v>
          </cell>
          <cell r="D457" t="str">
            <v>[]</v>
          </cell>
          <cell r="E457">
            <v>0</v>
          </cell>
          <cell r="F457" t="str">
            <v>[]</v>
          </cell>
          <cell r="G457" t="str">
            <v>近战攻击</v>
          </cell>
          <cell r="H457" t="str">
            <v>[]</v>
          </cell>
          <cell r="I457" t="str">
            <v>[]</v>
          </cell>
          <cell r="J457">
            <v>0</v>
          </cell>
          <cell r="K457">
            <v>1</v>
          </cell>
          <cell r="L457" t="str">
            <v>[]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3</v>
          </cell>
          <cell r="R457" t="str">
            <v>2|1</v>
          </cell>
          <cell r="S457" t="str">
            <v>4|0.2</v>
          </cell>
          <cell r="T457">
            <v>1</v>
          </cell>
          <cell r="U457">
            <v>1</v>
          </cell>
          <cell r="V457">
            <v>0</v>
          </cell>
          <cell r="W457" t="str">
            <v>[]</v>
          </cell>
          <cell r="X457">
            <v>0</v>
          </cell>
          <cell r="Y457" t="str">
            <v>[]</v>
          </cell>
          <cell r="Z457" t="str">
            <v>0,1,0</v>
          </cell>
          <cell r="AA457">
            <v>0</v>
          </cell>
          <cell r="AB457" t="str">
            <v>[]</v>
          </cell>
          <cell r="AC457" t="str">
            <v>[]</v>
          </cell>
          <cell r="AD457" t="str">
            <v>[]</v>
          </cell>
          <cell r="AE457" t="str">
            <v>[]</v>
          </cell>
          <cell r="AF457" t="str">
            <v>kuangbao_attack</v>
          </cell>
          <cell r="AG457" t="str">
            <v>common_hit</v>
          </cell>
          <cell r="AH457" t="str">
            <v>[]</v>
          </cell>
          <cell r="AI457" t="str">
            <v>[]</v>
          </cell>
          <cell r="AJ457" t="str">
            <v>[]</v>
          </cell>
          <cell r="AK457" t="str">
            <v>[]</v>
          </cell>
          <cell r="AL457" t="str">
            <v>[]</v>
          </cell>
          <cell r="AM457" t="str">
            <v>[]</v>
          </cell>
          <cell r="AN457">
            <v>1</v>
          </cell>
          <cell r="AO457">
            <v>0.3</v>
          </cell>
          <cell r="AP457">
            <v>150500</v>
          </cell>
          <cell r="AQ457" t="str">
            <v>150500</v>
          </cell>
          <cell r="AR457" t="str">
            <v>[]</v>
          </cell>
          <cell r="AS457" t="str">
            <v>[]</v>
          </cell>
          <cell r="AT457" t="str">
            <v>1216</v>
          </cell>
          <cell r="AU457" t="str">
            <v>5010</v>
          </cell>
          <cell r="AV457" t="str">
            <v>近战攻击</v>
          </cell>
          <cell r="AW457" t="str">
            <v>ck</v>
          </cell>
          <cell r="AX457" t="str">
            <v>[]</v>
          </cell>
          <cell r="AY457">
            <v>1</v>
          </cell>
          <cell r="BE457"/>
          <cell r="BF457"/>
        </row>
        <row r="458">
          <cell r="A458" t="str">
            <v>kuloubing_attack</v>
          </cell>
          <cell r="B458" t="str">
            <v>骷髅兵</v>
          </cell>
          <cell r="C458" t="str">
            <v>挥动武器攻击目标</v>
          </cell>
          <cell r="D458" t="str">
            <v>[]</v>
          </cell>
          <cell r="E458">
            <v>0</v>
          </cell>
          <cell r="F458" t="str">
            <v>[]</v>
          </cell>
          <cell r="G458" t="str">
            <v>远程攻击</v>
          </cell>
          <cell r="H458" t="str">
            <v>[]</v>
          </cell>
          <cell r="I458" t="str">
            <v>[]</v>
          </cell>
          <cell r="J458">
            <v>0</v>
          </cell>
          <cell r="K458">
            <v>1</v>
          </cell>
          <cell r="L458" t="str">
            <v>[]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3</v>
          </cell>
          <cell r="R458" t="str">
            <v>2|1</v>
          </cell>
          <cell r="S458" t="str">
            <v>4|0.2</v>
          </cell>
          <cell r="T458">
            <v>1</v>
          </cell>
          <cell r="U458">
            <v>1</v>
          </cell>
          <cell r="V458">
            <v>0</v>
          </cell>
          <cell r="W458" t="str">
            <v>[]</v>
          </cell>
          <cell r="X458">
            <v>0</v>
          </cell>
          <cell r="Y458" t="str">
            <v>[]</v>
          </cell>
          <cell r="Z458" t="str">
            <v>0,1,0</v>
          </cell>
          <cell r="AA458">
            <v>0</v>
          </cell>
          <cell r="AB458" t="str">
            <v>[]</v>
          </cell>
          <cell r="AC458" t="str">
            <v>[]</v>
          </cell>
          <cell r="AD458" t="str">
            <v>[]</v>
          </cell>
          <cell r="AE458" t="str">
            <v>[]</v>
          </cell>
          <cell r="AF458" t="str">
            <v>huo_kuloubing_attack</v>
          </cell>
          <cell r="AG458" t="str">
            <v>common_hit_qinwuqi</v>
          </cell>
          <cell r="AH458" t="str">
            <v>[]</v>
          </cell>
          <cell r="AI458" t="str">
            <v>[]</v>
          </cell>
          <cell r="AJ458" t="str">
            <v>[]</v>
          </cell>
          <cell r="AK458" t="str">
            <v>[]</v>
          </cell>
          <cell r="AL458" t="str">
            <v>[]</v>
          </cell>
          <cell r="AM458" t="str">
            <v>[]</v>
          </cell>
          <cell r="AN458">
            <v>1</v>
          </cell>
          <cell r="AO458">
            <v>0.24</v>
          </cell>
          <cell r="AP458">
            <v>117600</v>
          </cell>
          <cell r="AQ458" t="str">
            <v>117600</v>
          </cell>
          <cell r="AR458" t="str">
            <v>[]</v>
          </cell>
          <cell r="AS458" t="str">
            <v>[]</v>
          </cell>
          <cell r="AT458" t="str">
            <v>1216</v>
          </cell>
          <cell r="AU458" t="str">
            <v>5010</v>
          </cell>
          <cell r="AV458" t="str">
            <v>远程攻击</v>
          </cell>
          <cell r="AW458" t="str">
            <v>ck</v>
          </cell>
          <cell r="AX458" t="str">
            <v>[]</v>
          </cell>
          <cell r="AY458">
            <v>1</v>
          </cell>
          <cell r="BE458"/>
          <cell r="BF458"/>
        </row>
        <row r="459">
          <cell r="A459" t="str">
            <v>langren_attack</v>
          </cell>
          <cell r="B459" t="str">
            <v>金狼人</v>
          </cell>
          <cell r="C459" t="str">
            <v>挥动金箍棒攻击目标</v>
          </cell>
          <cell r="D459" t="str">
            <v>[]</v>
          </cell>
          <cell r="E459">
            <v>0</v>
          </cell>
          <cell r="F459" t="str">
            <v>[]</v>
          </cell>
          <cell r="G459" t="str">
            <v>远程攻击</v>
          </cell>
          <cell r="H459" t="str">
            <v>[]</v>
          </cell>
          <cell r="I459" t="str">
            <v>[]</v>
          </cell>
          <cell r="J459">
            <v>0</v>
          </cell>
          <cell r="K459">
            <v>1</v>
          </cell>
          <cell r="L459" t="str">
            <v>[]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 t="str">
            <v>2|1</v>
          </cell>
          <cell r="S459" t="str">
            <v>4|0.2</v>
          </cell>
          <cell r="T459">
            <v>1</v>
          </cell>
          <cell r="U459">
            <v>1</v>
          </cell>
          <cell r="V459">
            <v>0</v>
          </cell>
          <cell r="W459" t="str">
            <v>[]</v>
          </cell>
          <cell r="X459">
            <v>0</v>
          </cell>
          <cell r="Y459" t="str">
            <v>[]</v>
          </cell>
          <cell r="Z459" t="str">
            <v>0,1,0</v>
          </cell>
          <cell r="AA459">
            <v>0</v>
          </cell>
          <cell r="AB459" t="str">
            <v>[]</v>
          </cell>
          <cell r="AC459" t="str">
            <v>[]</v>
          </cell>
          <cell r="AD459" t="str">
            <v>[]</v>
          </cell>
          <cell r="AE459" t="str">
            <v>[]</v>
          </cell>
          <cell r="AF459" t="str">
            <v>jin_langren_attack</v>
          </cell>
          <cell r="AG459" t="str">
            <v>common_hit_qinwuqi</v>
          </cell>
          <cell r="AH459" t="str">
            <v>[]</v>
          </cell>
          <cell r="AI459" t="str">
            <v>[]</v>
          </cell>
          <cell r="AJ459" t="str">
            <v>[]</v>
          </cell>
          <cell r="AK459" t="str">
            <v>[]</v>
          </cell>
          <cell r="AL459" t="str">
            <v>[]</v>
          </cell>
          <cell r="AM459" t="str">
            <v>[]</v>
          </cell>
          <cell r="AN459">
            <v>1</v>
          </cell>
          <cell r="AO459">
            <v>0.24</v>
          </cell>
          <cell r="AP459">
            <v>116700</v>
          </cell>
          <cell r="AQ459" t="str">
            <v>116700</v>
          </cell>
          <cell r="AR459" t="str">
            <v>[]</v>
          </cell>
          <cell r="AS459" t="str">
            <v>[]</v>
          </cell>
          <cell r="AT459" t="str">
            <v>1216</v>
          </cell>
          <cell r="AU459" t="str">
            <v>5010</v>
          </cell>
          <cell r="AV459" t="str">
            <v>远程攻击</v>
          </cell>
          <cell r="AW459" t="str">
            <v>ck</v>
          </cell>
          <cell r="AX459" t="str">
            <v>[]</v>
          </cell>
          <cell r="AY459">
            <v>1</v>
          </cell>
          <cell r="BE459"/>
          <cell r="BF459"/>
        </row>
        <row r="460">
          <cell r="A460" t="str">
            <v>qiangdao_attack</v>
          </cell>
          <cell r="B460" t="str">
            <v>攻击</v>
          </cell>
          <cell r="C460" t="str">
            <v>[]</v>
          </cell>
          <cell r="D460" t="str">
            <v>[]</v>
          </cell>
          <cell r="E460">
            <v>0</v>
          </cell>
          <cell r="F460" t="str">
            <v>[]</v>
          </cell>
          <cell r="G460" t="str">
            <v>强盗普通攻击</v>
          </cell>
          <cell r="H460" t="str">
            <v>[]</v>
          </cell>
          <cell r="I460" t="str">
            <v>[]</v>
          </cell>
          <cell r="J460">
            <v>0</v>
          </cell>
          <cell r="K460">
            <v>1</v>
          </cell>
          <cell r="L460" t="str">
            <v>[]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3</v>
          </cell>
          <cell r="R460" t="str">
            <v>2|1</v>
          </cell>
          <cell r="S460" t="str">
            <v>4|0.2</v>
          </cell>
          <cell r="T460">
            <v>1</v>
          </cell>
          <cell r="U460">
            <v>1</v>
          </cell>
          <cell r="V460">
            <v>0</v>
          </cell>
          <cell r="W460" t="str">
            <v>[]</v>
          </cell>
          <cell r="X460">
            <v>0</v>
          </cell>
          <cell r="Y460" t="str">
            <v>[]</v>
          </cell>
          <cell r="Z460" t="str">
            <v>0,1,0</v>
          </cell>
          <cell r="AA460">
            <v>0</v>
          </cell>
          <cell r="AB460">
            <v>0</v>
          </cell>
          <cell r="AC460" t="str">
            <v>[]</v>
          </cell>
          <cell r="AD460" t="str">
            <v>[]</v>
          </cell>
          <cell r="AE460" t="str">
            <v>[]</v>
          </cell>
          <cell r="AF460" t="str">
            <v>qiangdao_attack</v>
          </cell>
          <cell r="AG460" t="str">
            <v>common_hit_zhongwuqi</v>
          </cell>
          <cell r="AH460" t="str">
            <v>[]</v>
          </cell>
          <cell r="AI460" t="str">
            <v>[]</v>
          </cell>
          <cell r="AJ460" t="str">
            <v>[]</v>
          </cell>
          <cell r="AK460" t="str">
            <v>[]</v>
          </cell>
          <cell r="AL460" t="str">
            <v>[]</v>
          </cell>
          <cell r="AM460" t="str">
            <v>[]</v>
          </cell>
          <cell r="AN460">
            <v>1</v>
          </cell>
          <cell r="AO460">
            <v>0.5</v>
          </cell>
          <cell r="AP460">
            <v>150200</v>
          </cell>
          <cell r="AQ460" t="str">
            <v>150200</v>
          </cell>
          <cell r="AR460" t="str">
            <v>[]</v>
          </cell>
          <cell r="AS460" t="str">
            <v>[]</v>
          </cell>
          <cell r="AT460" t="str">
            <v>1216</v>
          </cell>
          <cell r="AU460" t="str">
            <v>5010</v>
          </cell>
          <cell r="AV460" t="str">
            <v>强盗普通攻击</v>
          </cell>
          <cell r="AW460" t="str">
            <v>ck</v>
          </cell>
          <cell r="AX460" t="str">
            <v>[]</v>
          </cell>
          <cell r="AY460">
            <v>1</v>
          </cell>
          <cell r="BE460"/>
          <cell r="BF460"/>
        </row>
        <row r="461">
          <cell r="A461" t="str">
            <v>shanzei_attack</v>
          </cell>
          <cell r="B461" t="str">
            <v>山贼</v>
          </cell>
          <cell r="C461" t="str">
            <v>挥动飞镖攻击目标</v>
          </cell>
          <cell r="D461" t="str">
            <v>[]</v>
          </cell>
          <cell r="E461">
            <v>0</v>
          </cell>
          <cell r="F461" t="str">
            <v>[]</v>
          </cell>
          <cell r="G461" t="str">
            <v>山贼远程攻击</v>
          </cell>
          <cell r="H461" t="str">
            <v>[]</v>
          </cell>
          <cell r="I461" t="str">
            <v>[]</v>
          </cell>
          <cell r="J461">
            <v>0</v>
          </cell>
          <cell r="K461">
            <v>1</v>
          </cell>
          <cell r="L461" t="str">
            <v>[]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10</v>
          </cell>
          <cell r="R461" t="str">
            <v>2|1</v>
          </cell>
          <cell r="S461" t="str">
            <v>4|0.2</v>
          </cell>
          <cell r="T461">
            <v>1</v>
          </cell>
          <cell r="U461">
            <v>1</v>
          </cell>
          <cell r="V461">
            <v>0</v>
          </cell>
          <cell r="W461" t="str">
            <v>[]</v>
          </cell>
          <cell r="X461">
            <v>0</v>
          </cell>
          <cell r="Y461" t="str">
            <v>[]</v>
          </cell>
          <cell r="Z461" t="str">
            <v>0,1,0</v>
          </cell>
          <cell r="AA461">
            <v>0</v>
          </cell>
          <cell r="AB461" t="str">
            <v>[]</v>
          </cell>
          <cell r="AC461" t="str">
            <v>[]</v>
          </cell>
          <cell r="AD461" t="str">
            <v>[]</v>
          </cell>
          <cell r="AE461" t="str">
            <v>[]</v>
          </cell>
          <cell r="AF461" t="str">
            <v>shanzei_attack</v>
          </cell>
          <cell r="AG461" t="str">
            <v>common_hit_qinwuqi</v>
          </cell>
          <cell r="AH461" t="str">
            <v>[]</v>
          </cell>
          <cell r="AI461" t="str">
            <v>[]</v>
          </cell>
          <cell r="AJ461" t="str">
            <v>[]</v>
          </cell>
          <cell r="AK461" t="str">
            <v>[]</v>
          </cell>
          <cell r="AL461" t="str">
            <v>[]</v>
          </cell>
          <cell r="AM461" t="str">
            <v>[]</v>
          </cell>
          <cell r="AN461">
            <v>2</v>
          </cell>
          <cell r="AO461" t="str">
            <v>[]</v>
          </cell>
          <cell r="AP461">
            <v>119400</v>
          </cell>
          <cell r="AQ461" t="str">
            <v>119400</v>
          </cell>
          <cell r="AR461" t="str">
            <v>[]</v>
          </cell>
          <cell r="AS461" t="str">
            <v>[]</v>
          </cell>
          <cell r="AT461" t="str">
            <v>1216</v>
          </cell>
          <cell r="AU461" t="str">
            <v>5010</v>
          </cell>
          <cell r="AV461" t="str">
            <v>山贼远程攻击</v>
          </cell>
          <cell r="AW461" t="str">
            <v>ck</v>
          </cell>
          <cell r="AX461" t="str">
            <v>[]</v>
          </cell>
          <cell r="AY461">
            <v>1</v>
          </cell>
          <cell r="BE461"/>
          <cell r="BF461"/>
        </row>
        <row r="462">
          <cell r="A462" t="str">
            <v>shinv_attack</v>
          </cell>
          <cell r="B462" t="str">
            <v>攻击</v>
          </cell>
          <cell r="C462" t="str">
            <v>[]</v>
          </cell>
          <cell r="D462" t="str">
            <v>[]</v>
          </cell>
          <cell r="E462">
            <v>0</v>
          </cell>
          <cell r="F462" t="str">
            <v>[]</v>
          </cell>
          <cell r="G462" t="str">
            <v>侍女普通攻击</v>
          </cell>
          <cell r="H462" t="str">
            <v>[]</v>
          </cell>
          <cell r="I462" t="str">
            <v>[]</v>
          </cell>
          <cell r="J462">
            <v>0</v>
          </cell>
          <cell r="K462">
            <v>1</v>
          </cell>
          <cell r="L462" t="str">
            <v>[]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12</v>
          </cell>
          <cell r="R462" t="str">
            <v>2|1</v>
          </cell>
          <cell r="S462" t="str">
            <v>4|0.2</v>
          </cell>
          <cell r="T462">
            <v>1</v>
          </cell>
          <cell r="U462">
            <v>1</v>
          </cell>
          <cell r="V462">
            <v>0</v>
          </cell>
          <cell r="W462" t="str">
            <v>[]</v>
          </cell>
          <cell r="X462">
            <v>0</v>
          </cell>
          <cell r="Y462" t="str">
            <v>[]</v>
          </cell>
          <cell r="Z462" t="str">
            <v>0,1,0</v>
          </cell>
          <cell r="AA462">
            <v>0</v>
          </cell>
          <cell r="AB462">
            <v>0</v>
          </cell>
          <cell r="AC462" t="str">
            <v>[]</v>
          </cell>
          <cell r="AD462" t="str">
            <v>[]</v>
          </cell>
          <cell r="AE462" t="str">
            <v>[]</v>
          </cell>
          <cell r="AF462" t="str">
            <v>shinv_attack</v>
          </cell>
          <cell r="AG462" t="str">
            <v>common_hit_qinwuqi</v>
          </cell>
          <cell r="AH462" t="str">
            <v>[]</v>
          </cell>
          <cell r="AI462" t="str">
            <v>[]</v>
          </cell>
          <cell r="AJ462" t="str">
            <v>[]</v>
          </cell>
          <cell r="AK462" t="str">
            <v>[]</v>
          </cell>
          <cell r="AL462" t="str">
            <v>[]</v>
          </cell>
          <cell r="AM462" t="str">
            <v>[]</v>
          </cell>
          <cell r="AN462">
            <v>2</v>
          </cell>
          <cell r="AO462">
            <v>2</v>
          </cell>
          <cell r="AP462">
            <v>150100</v>
          </cell>
          <cell r="AQ462" t="str">
            <v>150100</v>
          </cell>
          <cell r="AR462" t="str">
            <v>[]</v>
          </cell>
          <cell r="AS462" t="str">
            <v>[]</v>
          </cell>
          <cell r="AT462" t="str">
            <v>9015</v>
          </cell>
          <cell r="AU462" t="str">
            <v>5010</v>
          </cell>
          <cell r="AV462" t="str">
            <v>侍女普通攻击</v>
          </cell>
          <cell r="AW462" t="str">
            <v>ck</v>
          </cell>
          <cell r="AX462" t="str">
            <v>[]</v>
          </cell>
          <cell r="AY462">
            <v>1</v>
          </cell>
          <cell r="BE462"/>
          <cell r="BF462"/>
        </row>
        <row r="463">
          <cell r="A463" t="str">
            <v>shiren_attack</v>
          </cell>
          <cell r="B463" t="str">
            <v>狮人</v>
          </cell>
          <cell r="C463" t="str">
            <v>挥动叉子攻击目标</v>
          </cell>
          <cell r="D463" t="str">
            <v>[]</v>
          </cell>
          <cell r="E463">
            <v>0</v>
          </cell>
          <cell r="F463" t="str">
            <v>[]</v>
          </cell>
          <cell r="G463" t="str">
            <v>近战攻击</v>
          </cell>
          <cell r="H463" t="str">
            <v>[]</v>
          </cell>
          <cell r="I463" t="str">
            <v>[]</v>
          </cell>
          <cell r="J463">
            <v>0</v>
          </cell>
          <cell r="K463">
            <v>1</v>
          </cell>
          <cell r="L463" t="str">
            <v>[]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 t="str">
            <v>2|1</v>
          </cell>
          <cell r="S463" t="str">
            <v>4|0.2</v>
          </cell>
          <cell r="T463">
            <v>1</v>
          </cell>
          <cell r="U463">
            <v>1</v>
          </cell>
          <cell r="V463">
            <v>0</v>
          </cell>
          <cell r="W463" t="str">
            <v>[]</v>
          </cell>
          <cell r="X463">
            <v>0</v>
          </cell>
          <cell r="Y463" t="str">
            <v>[]</v>
          </cell>
          <cell r="Z463" t="str">
            <v>0,1,0</v>
          </cell>
          <cell r="AA463">
            <v>0</v>
          </cell>
          <cell r="AB463" t="str">
            <v>[]</v>
          </cell>
          <cell r="AC463" t="str">
            <v>[]</v>
          </cell>
          <cell r="AD463" t="str">
            <v>[]</v>
          </cell>
          <cell r="AE463" t="str">
            <v>[]</v>
          </cell>
          <cell r="AF463" t="str">
            <v>shiren_attack</v>
          </cell>
          <cell r="AG463" t="str">
            <v>common_hit_qinwuqi</v>
          </cell>
          <cell r="AH463" t="str">
            <v>[]</v>
          </cell>
          <cell r="AI463" t="str">
            <v>[]</v>
          </cell>
          <cell r="AJ463" t="str">
            <v>[]</v>
          </cell>
          <cell r="AK463" t="str">
            <v>[]</v>
          </cell>
          <cell r="AL463" t="str">
            <v>[]</v>
          </cell>
          <cell r="AM463" t="str">
            <v>[]</v>
          </cell>
          <cell r="AN463">
            <v>1</v>
          </cell>
          <cell r="AO463">
            <v>0.24</v>
          </cell>
          <cell r="AP463">
            <v>114200</v>
          </cell>
          <cell r="AQ463" t="str">
            <v>114200</v>
          </cell>
          <cell r="AR463" t="str">
            <v>[]</v>
          </cell>
          <cell r="AS463" t="str">
            <v>[]</v>
          </cell>
          <cell r="AT463" t="str">
            <v>1216</v>
          </cell>
          <cell r="AU463" t="str">
            <v>5010</v>
          </cell>
          <cell r="AV463" t="str">
            <v>近战攻击</v>
          </cell>
          <cell r="AW463" t="str">
            <v>ck</v>
          </cell>
          <cell r="AX463" t="str">
            <v>[]</v>
          </cell>
          <cell r="AY463">
            <v>1</v>
          </cell>
          <cell r="BE463"/>
          <cell r="BF463"/>
        </row>
        <row r="464">
          <cell r="A464" t="str">
            <v>taozi_attack</v>
          </cell>
          <cell r="B464" t="str">
            <v>桃子</v>
          </cell>
          <cell r="C464" t="str">
            <v>用武器攻击</v>
          </cell>
          <cell r="D464" t="str">
            <v>[]</v>
          </cell>
          <cell r="E464">
            <v>0</v>
          </cell>
          <cell r="F464" t="str">
            <v>[]</v>
          </cell>
          <cell r="G464" t="str">
            <v>近战攻击</v>
          </cell>
          <cell r="H464" t="str">
            <v>[]</v>
          </cell>
          <cell r="I464" t="str">
            <v>[]</v>
          </cell>
          <cell r="J464">
            <v>0</v>
          </cell>
          <cell r="K464">
            <v>1</v>
          </cell>
          <cell r="L464" t="str">
            <v>[]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3</v>
          </cell>
          <cell r="R464" t="str">
            <v>2|1</v>
          </cell>
          <cell r="S464" t="str">
            <v>4|0.2</v>
          </cell>
          <cell r="T464">
            <v>1</v>
          </cell>
          <cell r="U464">
            <v>1</v>
          </cell>
          <cell r="V464">
            <v>0</v>
          </cell>
          <cell r="W464" t="str">
            <v>[]</v>
          </cell>
          <cell r="X464">
            <v>0</v>
          </cell>
          <cell r="Y464" t="str">
            <v>[]</v>
          </cell>
          <cell r="Z464" t="str">
            <v>0,1,0</v>
          </cell>
          <cell r="AA464">
            <v>0</v>
          </cell>
          <cell r="AB464" t="str">
            <v>[]</v>
          </cell>
          <cell r="AC464" t="str">
            <v>[]</v>
          </cell>
          <cell r="AD464" t="str">
            <v>[]</v>
          </cell>
          <cell r="AE464" t="str">
            <v>[]</v>
          </cell>
          <cell r="AF464" t="str">
            <v>taozi_attack</v>
          </cell>
          <cell r="AG464" t="str">
            <v>common_hit</v>
          </cell>
          <cell r="AH464" t="str">
            <v>[]</v>
          </cell>
          <cell r="AI464" t="str">
            <v>[]</v>
          </cell>
          <cell r="AJ464" t="str">
            <v>[]</v>
          </cell>
          <cell r="AK464" t="str">
            <v>[]</v>
          </cell>
          <cell r="AL464" t="str">
            <v>[]</v>
          </cell>
          <cell r="AM464" t="str">
            <v>[]</v>
          </cell>
          <cell r="AN464">
            <v>1</v>
          </cell>
          <cell r="AO464">
            <v>0.24</v>
          </cell>
          <cell r="AP464">
            <v>900005</v>
          </cell>
          <cell r="AQ464" t="str">
            <v>900005</v>
          </cell>
          <cell r="AR464" t="str">
            <v>[]</v>
          </cell>
          <cell r="AS464" t="str">
            <v>[]</v>
          </cell>
          <cell r="AT464" t="str">
            <v>1216</v>
          </cell>
          <cell r="AU464" t="str">
            <v>5010</v>
          </cell>
          <cell r="AV464" t="str">
            <v>近战攻击</v>
          </cell>
          <cell r="AW464" t="str">
            <v>ck</v>
          </cell>
          <cell r="AX464" t="str">
            <v>[]</v>
          </cell>
          <cell r="AY464">
            <v>1</v>
          </cell>
          <cell r="BE464"/>
          <cell r="BF464"/>
        </row>
        <row r="465">
          <cell r="A465" t="str">
            <v>tianbing_attack</v>
          </cell>
          <cell r="B465" t="str">
            <v>天兵</v>
          </cell>
          <cell r="C465" t="str">
            <v>挥动长枪直刺目标</v>
          </cell>
          <cell r="D465" t="str">
            <v>[]</v>
          </cell>
          <cell r="E465">
            <v>0</v>
          </cell>
          <cell r="F465" t="str">
            <v>[]</v>
          </cell>
          <cell r="G465" t="str">
            <v>天兵远程攻击</v>
          </cell>
          <cell r="H465" t="str">
            <v>[]</v>
          </cell>
          <cell r="I465" t="str">
            <v>[]</v>
          </cell>
          <cell r="J465">
            <v>0</v>
          </cell>
          <cell r="K465">
            <v>1</v>
          </cell>
          <cell r="L465" t="str">
            <v>[]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3</v>
          </cell>
          <cell r="R465" t="str">
            <v>2|1</v>
          </cell>
          <cell r="S465" t="str">
            <v>4|0.2</v>
          </cell>
          <cell r="T465">
            <v>1</v>
          </cell>
          <cell r="U465">
            <v>1</v>
          </cell>
          <cell r="V465">
            <v>0</v>
          </cell>
          <cell r="W465" t="str">
            <v>[]</v>
          </cell>
          <cell r="X465">
            <v>0</v>
          </cell>
          <cell r="Y465" t="str">
            <v>[]</v>
          </cell>
          <cell r="Z465" t="str">
            <v>0,1,0</v>
          </cell>
          <cell r="AA465">
            <v>0</v>
          </cell>
          <cell r="AB465" t="str">
            <v>[]</v>
          </cell>
          <cell r="AC465" t="str">
            <v>[]</v>
          </cell>
          <cell r="AD465" t="str">
            <v>[]</v>
          </cell>
          <cell r="AE465" t="str">
            <v>[]</v>
          </cell>
          <cell r="AF465" t="str">
            <v>tianbing_attack</v>
          </cell>
          <cell r="AG465" t="str">
            <v>common_hit_zhongwuqi</v>
          </cell>
          <cell r="AH465" t="str">
            <v>[]</v>
          </cell>
          <cell r="AI465" t="str">
            <v>[]</v>
          </cell>
          <cell r="AJ465" t="str">
            <v>[]</v>
          </cell>
          <cell r="AK465" t="str">
            <v>[]</v>
          </cell>
          <cell r="AL465" t="str">
            <v>[]</v>
          </cell>
          <cell r="AM465" t="str">
            <v>[]</v>
          </cell>
          <cell r="AN465">
            <v>1</v>
          </cell>
          <cell r="AO465">
            <v>0.25</v>
          </cell>
          <cell r="AP465">
            <v>116400</v>
          </cell>
          <cell r="AQ465" t="str">
            <v>116400</v>
          </cell>
          <cell r="AR465" t="str">
            <v>[]</v>
          </cell>
          <cell r="AS465" t="str">
            <v>[]</v>
          </cell>
          <cell r="AT465" t="str">
            <v>1216</v>
          </cell>
          <cell r="AU465" t="str">
            <v>5010</v>
          </cell>
          <cell r="AV465" t="str">
            <v>天兵远程攻击</v>
          </cell>
          <cell r="AW465" t="str">
            <v>ck</v>
          </cell>
          <cell r="AX465" t="str">
            <v>[]</v>
          </cell>
          <cell r="AY465">
            <v>1</v>
          </cell>
          <cell r="BE465"/>
          <cell r="BF465"/>
        </row>
        <row r="466">
          <cell r="A466" t="str">
            <v>tianjiang_attack</v>
          </cell>
          <cell r="B466" t="str">
            <v>天将普攻</v>
          </cell>
          <cell r="C466" t="str">
            <v>用武器攻击</v>
          </cell>
          <cell r="D466" t="str">
            <v>[]</v>
          </cell>
          <cell r="E466">
            <v>0</v>
          </cell>
          <cell r="F466" t="str">
            <v>[]</v>
          </cell>
          <cell r="G466" t="str">
            <v>近战攻击</v>
          </cell>
          <cell r="H466" t="str">
            <v>[]</v>
          </cell>
          <cell r="I466" t="str">
            <v>[]</v>
          </cell>
          <cell r="J466">
            <v>0</v>
          </cell>
          <cell r="K466">
            <v>1</v>
          </cell>
          <cell r="L466" t="str">
            <v>[]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3</v>
          </cell>
          <cell r="R466" t="str">
            <v>2|1</v>
          </cell>
          <cell r="S466" t="str">
            <v>4|0.2</v>
          </cell>
          <cell r="T466">
            <v>1</v>
          </cell>
          <cell r="U466">
            <v>1</v>
          </cell>
          <cell r="V466">
            <v>0</v>
          </cell>
          <cell r="W466" t="str">
            <v>[]</v>
          </cell>
          <cell r="X466">
            <v>0</v>
          </cell>
          <cell r="Y466" t="str">
            <v>[]</v>
          </cell>
          <cell r="Z466" t="str">
            <v>0,1,0</v>
          </cell>
          <cell r="AA466">
            <v>0</v>
          </cell>
          <cell r="AB466" t="str">
            <v>[]</v>
          </cell>
          <cell r="AC466" t="str">
            <v>[]</v>
          </cell>
          <cell r="AD466" t="str">
            <v>[]</v>
          </cell>
          <cell r="AE466" t="str">
            <v>[]</v>
          </cell>
          <cell r="AF466" t="str">
            <v>tianjiang_attack</v>
          </cell>
          <cell r="AG466" t="str">
            <v>common_hit_zhongwuqi</v>
          </cell>
          <cell r="AH466" t="str">
            <v>[]</v>
          </cell>
          <cell r="AI466" t="str">
            <v>[]</v>
          </cell>
          <cell r="AJ466" t="str">
            <v>[]</v>
          </cell>
          <cell r="AK466" t="str">
            <v>[]</v>
          </cell>
          <cell r="AL466" t="str">
            <v>[]</v>
          </cell>
          <cell r="AM466" t="str">
            <v>[]</v>
          </cell>
          <cell r="AN466">
            <v>1</v>
          </cell>
          <cell r="AO466" t="str">
            <v>0.47,1.203</v>
          </cell>
          <cell r="AP466">
            <v>201800</v>
          </cell>
          <cell r="AQ466" t="str">
            <v>201800</v>
          </cell>
          <cell r="AR466" t="str">
            <v>[]</v>
          </cell>
          <cell r="AS466" t="str">
            <v>[]</v>
          </cell>
          <cell r="AT466" t="str">
            <v>1216</v>
          </cell>
          <cell r="AU466" t="str">
            <v>5010</v>
          </cell>
          <cell r="AV466" t="str">
            <v>近战攻击</v>
          </cell>
          <cell r="AW466" t="str">
            <v>ck</v>
          </cell>
          <cell r="AX466" t="str">
            <v>[]</v>
          </cell>
          <cell r="AY466">
            <v>2</v>
          </cell>
          <cell r="BE466"/>
          <cell r="BF466"/>
        </row>
        <row r="467">
          <cell r="A467" t="str">
            <v>xiabing_attack</v>
          </cell>
          <cell r="B467" t="str">
            <v>虾兵</v>
          </cell>
          <cell r="C467" t="str">
            <v>用武器攻击</v>
          </cell>
          <cell r="D467" t="str">
            <v>[]</v>
          </cell>
          <cell r="E467">
            <v>0</v>
          </cell>
          <cell r="F467" t="str">
            <v>[]</v>
          </cell>
          <cell r="G467" t="str">
            <v>近战攻击</v>
          </cell>
          <cell r="H467" t="str">
            <v>[]</v>
          </cell>
          <cell r="I467" t="str">
            <v>[]</v>
          </cell>
          <cell r="J467">
            <v>0</v>
          </cell>
          <cell r="K467">
            <v>1</v>
          </cell>
          <cell r="L467" t="str">
            <v>[]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3</v>
          </cell>
          <cell r="R467" t="str">
            <v>2|1</v>
          </cell>
          <cell r="S467" t="str">
            <v>4|0.2</v>
          </cell>
          <cell r="T467">
            <v>1</v>
          </cell>
          <cell r="U467">
            <v>1</v>
          </cell>
          <cell r="V467">
            <v>0</v>
          </cell>
          <cell r="W467" t="str">
            <v>[]</v>
          </cell>
          <cell r="X467">
            <v>0</v>
          </cell>
          <cell r="Y467" t="str">
            <v>[]</v>
          </cell>
          <cell r="Z467" t="str">
            <v>0,1,0</v>
          </cell>
          <cell r="AA467">
            <v>0</v>
          </cell>
          <cell r="AB467" t="str">
            <v>[]</v>
          </cell>
          <cell r="AC467" t="str">
            <v>[]</v>
          </cell>
          <cell r="AD467" t="str">
            <v>[]</v>
          </cell>
          <cell r="AE467" t="str">
            <v>[]</v>
          </cell>
          <cell r="AF467" t="str">
            <v>xiabing_attack</v>
          </cell>
          <cell r="AG467" t="str">
            <v>common_hit_qinwuqi</v>
          </cell>
          <cell r="AH467" t="str">
            <v>[]</v>
          </cell>
          <cell r="AI467" t="str">
            <v>[]</v>
          </cell>
          <cell r="AJ467" t="str">
            <v>[]</v>
          </cell>
          <cell r="AK467" t="str">
            <v>[]</v>
          </cell>
          <cell r="AL467" t="str">
            <v>[]</v>
          </cell>
          <cell r="AM467" t="str">
            <v>[]</v>
          </cell>
          <cell r="AN467">
            <v>1</v>
          </cell>
          <cell r="AO467">
            <v>0.24</v>
          </cell>
          <cell r="AP467">
            <v>121700</v>
          </cell>
          <cell r="AQ467" t="str">
            <v>121700</v>
          </cell>
          <cell r="AR467" t="str">
            <v>[]</v>
          </cell>
          <cell r="AS467" t="str">
            <v>[]</v>
          </cell>
          <cell r="AT467" t="str">
            <v>1208</v>
          </cell>
          <cell r="AU467" t="str">
            <v>5010</v>
          </cell>
          <cell r="AV467" t="str">
            <v>近战攻击</v>
          </cell>
          <cell r="AW467" t="str">
            <v>ck</v>
          </cell>
          <cell r="AX467" t="str">
            <v>[]</v>
          </cell>
          <cell r="AY467">
            <v>1</v>
          </cell>
          <cell r="BE467"/>
          <cell r="BF467"/>
        </row>
        <row r="468">
          <cell r="A468" t="str">
            <v>xiejiang_attack_L</v>
          </cell>
          <cell r="B468" t="str">
            <v>蟹将</v>
          </cell>
          <cell r="C468" t="str">
            <v>蟹将普通攻击左手</v>
          </cell>
          <cell r="D468" t="str">
            <v>[]</v>
          </cell>
          <cell r="E468">
            <v>0</v>
          </cell>
          <cell r="F468" t="str">
            <v>[]</v>
          </cell>
          <cell r="G468" t="str">
            <v>近战右手攻击</v>
          </cell>
          <cell r="H468" t="str">
            <v>[]</v>
          </cell>
          <cell r="I468" t="str">
            <v>[]</v>
          </cell>
          <cell r="J468">
            <v>0</v>
          </cell>
          <cell r="K468">
            <v>1</v>
          </cell>
          <cell r="L468" t="str">
            <v>[]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3</v>
          </cell>
          <cell r="R468" t="str">
            <v>2|1</v>
          </cell>
          <cell r="S468" t="str">
            <v>4|0.2</v>
          </cell>
          <cell r="T468">
            <v>1</v>
          </cell>
          <cell r="U468">
            <v>1</v>
          </cell>
          <cell r="V468">
            <v>0</v>
          </cell>
          <cell r="W468" t="str">
            <v>[]</v>
          </cell>
          <cell r="X468">
            <v>0</v>
          </cell>
          <cell r="Y468" t="str">
            <v>[]</v>
          </cell>
          <cell r="Z468" t="str">
            <v>0,1,0</v>
          </cell>
          <cell r="AA468">
            <v>0</v>
          </cell>
          <cell r="AB468" t="str">
            <v>[]</v>
          </cell>
          <cell r="AC468" t="str">
            <v>[]</v>
          </cell>
          <cell r="AD468" t="str">
            <v>[]</v>
          </cell>
          <cell r="AE468" t="str">
            <v>[]</v>
          </cell>
          <cell r="AF468" t="str">
            <v>xiejiang_attack_l</v>
          </cell>
          <cell r="AG468" t="str">
            <v>common_hit_dunqi</v>
          </cell>
          <cell r="AH468" t="str">
            <v>[]</v>
          </cell>
          <cell r="AI468" t="str">
            <v>[]</v>
          </cell>
          <cell r="AJ468" t="str">
            <v>[]</v>
          </cell>
          <cell r="AK468" t="str">
            <v>[]</v>
          </cell>
          <cell r="AL468" t="str">
            <v>[]</v>
          </cell>
          <cell r="AM468" t="str">
            <v>[]</v>
          </cell>
          <cell r="AN468">
            <v>1</v>
          </cell>
          <cell r="AO468">
            <v>0.4</v>
          </cell>
          <cell r="AP468">
            <v>150400</v>
          </cell>
          <cell r="AQ468" t="str">
            <v>150400</v>
          </cell>
          <cell r="AR468" t="str">
            <v>[]</v>
          </cell>
          <cell r="AS468" t="str">
            <v>[]</v>
          </cell>
          <cell r="AT468" t="str">
            <v>1208</v>
          </cell>
          <cell r="AU468" t="str">
            <v>5010</v>
          </cell>
          <cell r="AV468" t="str">
            <v>近战右手攻击</v>
          </cell>
          <cell r="AW468" t="str">
            <v>_L</v>
          </cell>
          <cell r="AX468" t="str">
            <v>[]</v>
          </cell>
          <cell r="AY468">
            <v>1</v>
          </cell>
          <cell r="BE468"/>
          <cell r="BF468"/>
        </row>
        <row r="469">
          <cell r="A469" t="str">
            <v>xiejiang_attack_R</v>
          </cell>
          <cell r="B469" t="str">
            <v>蟹将</v>
          </cell>
          <cell r="C469" t="str">
            <v>蟹将普通攻击右手</v>
          </cell>
          <cell r="D469" t="str">
            <v>[]</v>
          </cell>
          <cell r="E469">
            <v>0</v>
          </cell>
          <cell r="F469" t="str">
            <v>[]</v>
          </cell>
          <cell r="G469" t="str">
            <v>近战右手攻击</v>
          </cell>
          <cell r="H469" t="str">
            <v>[]</v>
          </cell>
          <cell r="I469" t="str">
            <v>[]</v>
          </cell>
          <cell r="J469">
            <v>0</v>
          </cell>
          <cell r="K469">
            <v>1</v>
          </cell>
          <cell r="L469" t="str">
            <v>[]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3</v>
          </cell>
          <cell r="R469" t="str">
            <v>2|1</v>
          </cell>
          <cell r="S469" t="str">
            <v>4|0.2</v>
          </cell>
          <cell r="T469">
            <v>1</v>
          </cell>
          <cell r="U469">
            <v>1</v>
          </cell>
          <cell r="V469">
            <v>0</v>
          </cell>
          <cell r="W469" t="str">
            <v>[]</v>
          </cell>
          <cell r="X469">
            <v>0</v>
          </cell>
          <cell r="Y469" t="str">
            <v>[]</v>
          </cell>
          <cell r="Z469" t="str">
            <v>0,1,0</v>
          </cell>
          <cell r="AA469">
            <v>0</v>
          </cell>
          <cell r="AB469" t="str">
            <v>[]</v>
          </cell>
          <cell r="AC469" t="str">
            <v>[]</v>
          </cell>
          <cell r="AD469" t="str">
            <v>[]</v>
          </cell>
          <cell r="AE469" t="str">
            <v>[]</v>
          </cell>
          <cell r="AF469" t="str">
            <v>xiejiang_attack_r</v>
          </cell>
          <cell r="AG469" t="str">
            <v>common_hit_dunqi</v>
          </cell>
          <cell r="AH469" t="str">
            <v>[]</v>
          </cell>
          <cell r="AI469" t="str">
            <v>[]</v>
          </cell>
          <cell r="AJ469" t="str">
            <v>[]</v>
          </cell>
          <cell r="AK469" t="str">
            <v>[]</v>
          </cell>
          <cell r="AL469" t="str">
            <v>[]</v>
          </cell>
          <cell r="AM469" t="str">
            <v>[]</v>
          </cell>
          <cell r="AN469">
            <v>1</v>
          </cell>
          <cell r="AO469">
            <v>0.4</v>
          </cell>
          <cell r="AP469">
            <v>150401</v>
          </cell>
          <cell r="AQ469" t="str">
            <v>150401</v>
          </cell>
          <cell r="AR469" t="str">
            <v>[]</v>
          </cell>
          <cell r="AS469" t="str">
            <v>[]</v>
          </cell>
          <cell r="AT469" t="str">
            <v>1208</v>
          </cell>
          <cell r="AU469" t="str">
            <v>5010</v>
          </cell>
          <cell r="AV469" t="str">
            <v>近战右手攻击</v>
          </cell>
          <cell r="AW469" t="str">
            <v>_R</v>
          </cell>
          <cell r="AX469" t="str">
            <v>[]</v>
          </cell>
          <cell r="AY469">
            <v>1</v>
          </cell>
          <cell r="BE469"/>
          <cell r="BF469"/>
        </row>
        <row r="470">
          <cell r="A470" t="str">
            <v>yanmo_attack</v>
          </cell>
          <cell r="B470" t="str">
            <v>炎魔普攻</v>
          </cell>
          <cell r="C470" t="str">
            <v>[]</v>
          </cell>
          <cell r="D470" t="str">
            <v>[]</v>
          </cell>
          <cell r="E470">
            <v>0</v>
          </cell>
          <cell r="F470" t="str">
            <v>[]</v>
          </cell>
          <cell r="G470" t="str">
            <v>近战攻击</v>
          </cell>
          <cell r="H470" t="str">
            <v>[]</v>
          </cell>
          <cell r="I470" t="str">
            <v>[]</v>
          </cell>
          <cell r="J470">
            <v>0</v>
          </cell>
          <cell r="K470">
            <v>1</v>
          </cell>
          <cell r="L470" t="str">
            <v>[]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3</v>
          </cell>
          <cell r="R470" t="str">
            <v>2|1</v>
          </cell>
          <cell r="S470" t="str">
            <v>4|0.2</v>
          </cell>
          <cell r="T470">
            <v>1</v>
          </cell>
          <cell r="U470">
            <v>1</v>
          </cell>
          <cell r="V470">
            <v>0</v>
          </cell>
          <cell r="W470" t="str">
            <v>[]</v>
          </cell>
          <cell r="X470">
            <v>0</v>
          </cell>
          <cell r="Y470" t="str">
            <v>[]</v>
          </cell>
          <cell r="Z470" t="str">
            <v>0,1,0</v>
          </cell>
          <cell r="AA470">
            <v>0</v>
          </cell>
          <cell r="AB470" t="str">
            <v>[]</v>
          </cell>
          <cell r="AC470" t="str">
            <v>[]</v>
          </cell>
          <cell r="AD470" t="str">
            <v>[]</v>
          </cell>
          <cell r="AE470" t="str">
            <v>[]</v>
          </cell>
          <cell r="AF470" t="str">
            <v>yanmo_attack</v>
          </cell>
          <cell r="AG470" t="str">
            <v>common_hit_qinwuqi</v>
          </cell>
          <cell r="AH470" t="str">
            <v>[]</v>
          </cell>
          <cell r="AI470" t="str">
            <v>[]</v>
          </cell>
          <cell r="AJ470" t="str">
            <v>[]</v>
          </cell>
          <cell r="AK470" t="str">
            <v>[]</v>
          </cell>
          <cell r="AL470" t="str">
            <v>[]</v>
          </cell>
          <cell r="AM470" t="str">
            <v>[]</v>
          </cell>
          <cell r="AN470">
            <v>1</v>
          </cell>
          <cell r="AO470">
            <v>0.82499999999999996</v>
          </cell>
          <cell r="AP470">
            <v>150800</v>
          </cell>
          <cell r="AQ470" t="str">
            <v>150800</v>
          </cell>
          <cell r="AR470" t="str">
            <v>[]</v>
          </cell>
          <cell r="AS470" t="str">
            <v>[]</v>
          </cell>
          <cell r="AT470" t="str">
            <v>9015</v>
          </cell>
          <cell r="AU470" t="str">
            <v>5010</v>
          </cell>
          <cell r="AV470" t="str">
            <v>近战攻击</v>
          </cell>
          <cell r="AW470" t="str">
            <v>ck</v>
          </cell>
          <cell r="AX470" t="str">
            <v>[]</v>
          </cell>
          <cell r="AY470">
            <v>1</v>
          </cell>
          <cell r="BE470"/>
          <cell r="BF470"/>
        </row>
        <row r="471">
          <cell r="A471" t="str">
            <v>yecha_attack</v>
          </cell>
          <cell r="B471" t="str">
            <v>夜叉</v>
          </cell>
          <cell r="C471" t="str">
            <v>挥动叉子攻击目标</v>
          </cell>
          <cell r="D471" t="str">
            <v>[]</v>
          </cell>
          <cell r="E471">
            <v>0</v>
          </cell>
          <cell r="F471" t="str">
            <v>[]</v>
          </cell>
          <cell r="G471" t="str">
            <v>近战攻击</v>
          </cell>
          <cell r="H471" t="str">
            <v>[]</v>
          </cell>
          <cell r="I471" t="str">
            <v>[]</v>
          </cell>
          <cell r="J471">
            <v>0</v>
          </cell>
          <cell r="K471">
            <v>1</v>
          </cell>
          <cell r="L471" t="str">
            <v>[]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3</v>
          </cell>
          <cell r="R471" t="str">
            <v>2|1</v>
          </cell>
          <cell r="S471" t="str">
            <v>4|0.2</v>
          </cell>
          <cell r="T471">
            <v>1</v>
          </cell>
          <cell r="U471">
            <v>1</v>
          </cell>
          <cell r="V471">
            <v>0</v>
          </cell>
          <cell r="W471" t="str">
            <v>[]</v>
          </cell>
          <cell r="X471">
            <v>0</v>
          </cell>
          <cell r="Y471" t="str">
            <v>[]</v>
          </cell>
          <cell r="Z471" t="str">
            <v>0,1,0</v>
          </cell>
          <cell r="AA471">
            <v>0</v>
          </cell>
          <cell r="AB471" t="str">
            <v>[]</v>
          </cell>
          <cell r="AC471" t="str">
            <v>[]</v>
          </cell>
          <cell r="AD471" t="str">
            <v>[]</v>
          </cell>
          <cell r="AE471" t="str">
            <v>[]</v>
          </cell>
          <cell r="AF471" t="str">
            <v>yecha_attack</v>
          </cell>
          <cell r="AG471" t="str">
            <v>common_hit_qinwuqi</v>
          </cell>
          <cell r="AH471" t="str">
            <v>[]</v>
          </cell>
          <cell r="AI471" t="str">
            <v>[]</v>
          </cell>
          <cell r="AJ471" t="str">
            <v>[]</v>
          </cell>
          <cell r="AK471" t="str">
            <v>[]</v>
          </cell>
          <cell r="AL471" t="str">
            <v>[]</v>
          </cell>
          <cell r="AM471" t="str">
            <v>[]</v>
          </cell>
          <cell r="AN471">
            <v>1</v>
          </cell>
          <cell r="AO471">
            <v>0.24</v>
          </cell>
          <cell r="AP471">
            <v>115300</v>
          </cell>
          <cell r="AQ471" t="str">
            <v>115300</v>
          </cell>
          <cell r="AR471" t="str">
            <v>[]</v>
          </cell>
          <cell r="AS471" t="str">
            <v>[]</v>
          </cell>
          <cell r="AT471" t="str">
            <v>1208</v>
          </cell>
          <cell r="AU471" t="str">
            <v>5010</v>
          </cell>
          <cell r="AV471" t="str">
            <v>近战攻击</v>
          </cell>
          <cell r="AW471" t="str">
            <v>ck</v>
          </cell>
          <cell r="AX471" t="str">
            <v>[]</v>
          </cell>
          <cell r="AY471">
            <v>1</v>
          </cell>
          <cell r="BE471"/>
          <cell r="BF471"/>
        </row>
        <row r="472">
          <cell r="A472" t="str">
            <v>yezhuguai_attack</v>
          </cell>
          <cell r="B472" t="str">
            <v>攻击</v>
          </cell>
          <cell r="C472" t="str">
            <v>[]</v>
          </cell>
          <cell r="D472" t="str">
            <v>[]</v>
          </cell>
          <cell r="E472">
            <v>0</v>
          </cell>
          <cell r="F472" t="str">
            <v>[]</v>
          </cell>
          <cell r="G472" t="str">
            <v>野猪怪普通攻击</v>
          </cell>
          <cell r="H472" t="str">
            <v>[]</v>
          </cell>
          <cell r="I472" t="str">
            <v>[]</v>
          </cell>
          <cell r="J472">
            <v>0</v>
          </cell>
          <cell r="K472">
            <v>1</v>
          </cell>
          <cell r="L472" t="str">
            <v>[]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3</v>
          </cell>
          <cell r="R472" t="str">
            <v>2|1</v>
          </cell>
          <cell r="S472" t="str">
            <v>4|0.2</v>
          </cell>
          <cell r="T472">
            <v>1</v>
          </cell>
          <cell r="U472">
            <v>1</v>
          </cell>
          <cell r="V472">
            <v>0</v>
          </cell>
          <cell r="W472" t="str">
            <v>[]</v>
          </cell>
          <cell r="X472">
            <v>0</v>
          </cell>
          <cell r="Y472" t="str">
            <v>[]</v>
          </cell>
          <cell r="Z472" t="str">
            <v>0,1,0</v>
          </cell>
          <cell r="AA472">
            <v>0</v>
          </cell>
          <cell r="AB472">
            <v>0</v>
          </cell>
          <cell r="AC472" t="str">
            <v>[]</v>
          </cell>
          <cell r="AD472" t="str">
            <v>[]</v>
          </cell>
          <cell r="AE472" t="str">
            <v>[]</v>
          </cell>
          <cell r="AF472" t="str">
            <v>yezhuguai_attack</v>
          </cell>
          <cell r="AG472" t="str">
            <v>common_hit_zhongwuqi</v>
          </cell>
          <cell r="AH472" t="str">
            <v>[]</v>
          </cell>
          <cell r="AI472" t="str">
            <v>[]</v>
          </cell>
          <cell r="AJ472" t="str">
            <v>[]</v>
          </cell>
          <cell r="AK472" t="str">
            <v>[]</v>
          </cell>
          <cell r="AL472" t="str">
            <v>[]</v>
          </cell>
          <cell r="AM472" t="str">
            <v>[]</v>
          </cell>
          <cell r="AN472">
            <v>1</v>
          </cell>
          <cell r="AO472">
            <v>0.2</v>
          </cell>
          <cell r="AP472">
            <v>150300</v>
          </cell>
          <cell r="AQ472" t="str">
            <v>150300</v>
          </cell>
          <cell r="AR472" t="str">
            <v>[]</v>
          </cell>
          <cell r="AS472" t="str">
            <v>[]</v>
          </cell>
          <cell r="AT472" t="str">
            <v>1208</v>
          </cell>
          <cell r="AU472" t="str">
            <v>5010</v>
          </cell>
          <cell r="AV472" t="str">
            <v>野猪怪普通攻击</v>
          </cell>
          <cell r="AW472" t="str">
            <v>ck</v>
          </cell>
          <cell r="AX472" t="str">
            <v>[]</v>
          </cell>
          <cell r="AY472">
            <v>1</v>
          </cell>
          <cell r="BE472"/>
          <cell r="BF472"/>
        </row>
        <row r="473">
          <cell r="A473" t="str">
            <v>heixiongjing_attack</v>
          </cell>
          <cell r="B473" t="str">
            <v>黑熊精</v>
          </cell>
          <cell r="C473" t="str">
            <v>挥动爪刺攻击目标</v>
          </cell>
          <cell r="D473" t="str">
            <v>[]</v>
          </cell>
          <cell r="E473">
            <v>0</v>
          </cell>
          <cell r="F473" t="str">
            <v>[]</v>
          </cell>
          <cell r="G473" t="str">
            <v>近战攻击</v>
          </cell>
          <cell r="H473" t="str">
            <v>[]</v>
          </cell>
          <cell r="I473" t="str">
            <v>[]</v>
          </cell>
          <cell r="J473">
            <v>0</v>
          </cell>
          <cell r="K473">
            <v>1</v>
          </cell>
          <cell r="L473" t="str">
            <v>[]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3</v>
          </cell>
          <cell r="R473" t="str">
            <v>2|1</v>
          </cell>
          <cell r="S473" t="str">
            <v>4|0.2</v>
          </cell>
          <cell r="T473">
            <v>1</v>
          </cell>
          <cell r="U473">
            <v>1</v>
          </cell>
          <cell r="V473">
            <v>0</v>
          </cell>
          <cell r="W473" t="str">
            <v>[]</v>
          </cell>
          <cell r="X473">
            <v>0</v>
          </cell>
          <cell r="Y473" t="str">
            <v>[]</v>
          </cell>
          <cell r="Z473" t="str">
            <v>0,1,0</v>
          </cell>
          <cell r="AA473">
            <v>0</v>
          </cell>
          <cell r="AB473" t="str">
            <v>[]</v>
          </cell>
          <cell r="AC473" t="str">
            <v>[]</v>
          </cell>
          <cell r="AD473" t="str">
            <v>[]</v>
          </cell>
          <cell r="AE473" t="str">
            <v>[]</v>
          </cell>
          <cell r="AF473" t="str">
            <v>heixiongjing_attack</v>
          </cell>
          <cell r="AG473" t="str">
            <v>common_hit_qinwuqi</v>
          </cell>
          <cell r="AH473" t="str">
            <v>[]</v>
          </cell>
          <cell r="AI473" t="str">
            <v>[]</v>
          </cell>
          <cell r="AJ473" t="str">
            <v>[]</v>
          </cell>
          <cell r="AK473" t="str">
            <v>[]</v>
          </cell>
          <cell r="AL473" t="str">
            <v>[]</v>
          </cell>
          <cell r="AM473" t="str">
            <v>[]</v>
          </cell>
          <cell r="AN473">
            <v>1</v>
          </cell>
          <cell r="AO473" t="str">
            <v>0.2,0.2</v>
          </cell>
          <cell r="AP473">
            <v>115200</v>
          </cell>
          <cell r="AQ473" t="str">
            <v>115200</v>
          </cell>
          <cell r="AR473" t="str">
            <v>[]</v>
          </cell>
          <cell r="AS473" t="str">
            <v>[]</v>
          </cell>
          <cell r="AT473" t="str">
            <v>1208</v>
          </cell>
          <cell r="AU473" t="str">
            <v>5011</v>
          </cell>
          <cell r="AV473" t="str">
            <v>近战攻击</v>
          </cell>
          <cell r="AW473" t="str">
            <v>ck</v>
          </cell>
          <cell r="AX473" t="str">
            <v>[]</v>
          </cell>
          <cell r="AY473">
            <v>2</v>
          </cell>
          <cell r="BE473"/>
          <cell r="BF473"/>
        </row>
        <row r="474">
          <cell r="A474" t="str">
            <v>shitouren_attack</v>
          </cell>
          <cell r="B474" t="str">
            <v>石头人</v>
          </cell>
          <cell r="C474" t="str">
            <v>挥动双拳连续两次攻击目标</v>
          </cell>
          <cell r="D474" t="str">
            <v>[]</v>
          </cell>
          <cell r="E474">
            <v>0</v>
          </cell>
          <cell r="F474" t="str">
            <v>[]</v>
          </cell>
          <cell r="G474" t="str">
            <v>近战攻击</v>
          </cell>
          <cell r="H474" t="str">
            <v>[]</v>
          </cell>
          <cell r="I474" t="str">
            <v>[]</v>
          </cell>
          <cell r="J474">
            <v>0</v>
          </cell>
          <cell r="K474">
            <v>1</v>
          </cell>
          <cell r="L474" t="str">
            <v>[]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3</v>
          </cell>
          <cell r="R474" t="str">
            <v>2|1</v>
          </cell>
          <cell r="S474" t="str">
            <v>4|0.2</v>
          </cell>
          <cell r="T474">
            <v>1</v>
          </cell>
          <cell r="U474">
            <v>1</v>
          </cell>
          <cell r="V474">
            <v>0</v>
          </cell>
          <cell r="W474" t="str">
            <v>[]</v>
          </cell>
          <cell r="X474">
            <v>0</v>
          </cell>
          <cell r="Y474" t="str">
            <v>[]</v>
          </cell>
          <cell r="Z474" t="str">
            <v>0,1,0</v>
          </cell>
          <cell r="AA474">
            <v>0</v>
          </cell>
          <cell r="AB474" t="str">
            <v>[]</v>
          </cell>
          <cell r="AC474" t="str">
            <v>[]</v>
          </cell>
          <cell r="AD474" t="str">
            <v>[]</v>
          </cell>
          <cell r="AE474" t="str">
            <v>[]</v>
          </cell>
          <cell r="AF474" t="str">
            <v>shitouren_attack</v>
          </cell>
          <cell r="AG474" t="str">
            <v>common_hit_dunqi</v>
          </cell>
          <cell r="AH474" t="str">
            <v>[]</v>
          </cell>
          <cell r="AI474" t="str">
            <v>[]</v>
          </cell>
          <cell r="AJ474" t="str">
            <v>[]</v>
          </cell>
          <cell r="AK474" t="str">
            <v>[]</v>
          </cell>
          <cell r="AL474" t="str">
            <v>[]</v>
          </cell>
          <cell r="AM474" t="str">
            <v>[]</v>
          </cell>
          <cell r="AN474">
            <v>1</v>
          </cell>
          <cell r="AO474" t="str">
            <v>0.12,0.25</v>
          </cell>
          <cell r="AP474">
            <v>114600</v>
          </cell>
          <cell r="AQ474" t="str">
            <v>114600</v>
          </cell>
          <cell r="AR474" t="str">
            <v>[]</v>
          </cell>
          <cell r="AS474" t="str">
            <v>[]</v>
          </cell>
          <cell r="AT474" t="str">
            <v>1208</v>
          </cell>
          <cell r="AU474" t="str">
            <v>5011</v>
          </cell>
          <cell r="AV474" t="str">
            <v>近战攻击</v>
          </cell>
          <cell r="AW474" t="str">
            <v>ck</v>
          </cell>
          <cell r="AX474" t="str">
            <v>[]</v>
          </cell>
          <cell r="AY474">
            <v>2</v>
          </cell>
          <cell r="BE474"/>
          <cell r="BF474"/>
        </row>
        <row r="475">
          <cell r="A475" t="str">
            <v>damangjing_attack</v>
          </cell>
          <cell r="B475" t="str">
            <v>大蟒精</v>
          </cell>
          <cell r="C475" t="str">
            <v>拉弓射出弓箭攻击目标</v>
          </cell>
          <cell r="D475" t="str">
            <v>[]</v>
          </cell>
          <cell r="E475">
            <v>0</v>
          </cell>
          <cell r="F475" t="str">
            <v>[]</v>
          </cell>
          <cell r="G475" t="str">
            <v>金大蟒精远程攻击</v>
          </cell>
          <cell r="H475" t="str">
            <v>[]</v>
          </cell>
          <cell r="I475" t="str">
            <v>[]</v>
          </cell>
          <cell r="J475">
            <v>0</v>
          </cell>
          <cell r="K475">
            <v>1</v>
          </cell>
          <cell r="L475" t="str">
            <v>[]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10</v>
          </cell>
          <cell r="R475" t="str">
            <v>2|1</v>
          </cell>
          <cell r="S475" t="str">
            <v>4|0.2</v>
          </cell>
          <cell r="T475">
            <v>1</v>
          </cell>
          <cell r="U475">
            <v>1</v>
          </cell>
          <cell r="V475">
            <v>0</v>
          </cell>
          <cell r="W475" t="str">
            <v>[]</v>
          </cell>
          <cell r="X475">
            <v>0</v>
          </cell>
          <cell r="Y475" t="str">
            <v>[]</v>
          </cell>
          <cell r="Z475" t="str">
            <v>0,1,0</v>
          </cell>
          <cell r="AA475">
            <v>0</v>
          </cell>
          <cell r="AB475" t="str">
            <v>[]</v>
          </cell>
          <cell r="AC475" t="str">
            <v>[]</v>
          </cell>
          <cell r="AD475" t="str">
            <v>[]</v>
          </cell>
          <cell r="AE475" t="str">
            <v>[]</v>
          </cell>
          <cell r="AF475" t="str">
            <v>jin_damangjing_attack</v>
          </cell>
          <cell r="AG475" t="str">
            <v>common_hit_qinwuqi</v>
          </cell>
          <cell r="AH475" t="str">
            <v>[]</v>
          </cell>
          <cell r="AI475" t="str">
            <v>[]</v>
          </cell>
          <cell r="AJ475" t="str">
            <v>[]</v>
          </cell>
          <cell r="AK475" t="str">
            <v>[]</v>
          </cell>
          <cell r="AL475" t="str">
            <v>[]</v>
          </cell>
          <cell r="AM475" t="str">
            <v>[]</v>
          </cell>
          <cell r="AN475">
            <v>2</v>
          </cell>
          <cell r="AO475" t="str">
            <v>[]</v>
          </cell>
          <cell r="AP475">
            <v>115500</v>
          </cell>
          <cell r="AQ475" t="str">
            <v>115500</v>
          </cell>
          <cell r="AR475" t="str">
            <v>[]</v>
          </cell>
          <cell r="AS475" t="str">
            <v>[]</v>
          </cell>
          <cell r="AT475" t="str">
            <v>1212</v>
          </cell>
          <cell r="AU475" t="str">
            <v>5020</v>
          </cell>
          <cell r="AV475" t="str">
            <v>金大蟒精远程攻击</v>
          </cell>
          <cell r="AW475" t="str">
            <v>ck</v>
          </cell>
          <cell r="AX475" t="str">
            <v>[]</v>
          </cell>
          <cell r="AY475">
            <v>1</v>
          </cell>
          <cell r="BE475"/>
          <cell r="BF475"/>
        </row>
        <row r="476">
          <cell r="A476" t="str">
            <v>houbing_attack</v>
          </cell>
          <cell r="B476" t="str">
            <v>猴兵</v>
          </cell>
          <cell r="C476" t="str">
            <v>[]</v>
          </cell>
          <cell r="D476" t="str">
            <v>[]</v>
          </cell>
          <cell r="E476">
            <v>0</v>
          </cell>
          <cell r="F476" t="str">
            <v>[]</v>
          </cell>
          <cell r="G476" t="str">
            <v>猴兵近战攻击</v>
          </cell>
          <cell r="H476" t="str">
            <v>[]</v>
          </cell>
          <cell r="I476" t="str">
            <v>[]</v>
          </cell>
          <cell r="J476">
            <v>0</v>
          </cell>
          <cell r="K476">
            <v>1</v>
          </cell>
          <cell r="L476" t="str">
            <v>[]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3</v>
          </cell>
          <cell r="R476" t="str">
            <v>2|1</v>
          </cell>
          <cell r="S476" t="str">
            <v>4|0.2</v>
          </cell>
          <cell r="T476">
            <v>1</v>
          </cell>
          <cell r="U476">
            <v>1</v>
          </cell>
          <cell r="V476">
            <v>0</v>
          </cell>
          <cell r="W476" t="str">
            <v>[]</v>
          </cell>
          <cell r="X476">
            <v>0</v>
          </cell>
          <cell r="Y476" t="str">
            <v>[]</v>
          </cell>
          <cell r="Z476" t="str">
            <v>0,1,0</v>
          </cell>
          <cell r="AA476">
            <v>0</v>
          </cell>
          <cell r="AB476" t="str">
            <v>[]</v>
          </cell>
          <cell r="AC476" t="str">
            <v>[]</v>
          </cell>
          <cell r="AD476" t="str">
            <v>[]</v>
          </cell>
          <cell r="AE476" t="str">
            <v>[]</v>
          </cell>
          <cell r="AF476" t="str">
            <v>houbing_attack</v>
          </cell>
          <cell r="AG476" t="str">
            <v>common_hit_zhongwuqi</v>
          </cell>
          <cell r="AH476" t="str">
            <v>[]</v>
          </cell>
          <cell r="AI476" t="str">
            <v>[]</v>
          </cell>
          <cell r="AJ476" t="str">
            <v>[]</v>
          </cell>
          <cell r="AK476" t="str">
            <v>[]</v>
          </cell>
          <cell r="AL476" t="str">
            <v>[]</v>
          </cell>
          <cell r="AM476" t="str">
            <v>[]</v>
          </cell>
          <cell r="AN476">
            <v>1</v>
          </cell>
          <cell r="AO476">
            <v>0.5</v>
          </cell>
          <cell r="AP476">
            <v>119300</v>
          </cell>
          <cell r="AQ476" t="str">
            <v>119300</v>
          </cell>
          <cell r="AR476" t="str">
            <v>[]</v>
          </cell>
          <cell r="AS476" t="str">
            <v>[]</v>
          </cell>
          <cell r="AT476" t="str">
            <v>9030</v>
          </cell>
          <cell r="AU476" t="str">
            <v>5020</v>
          </cell>
          <cell r="AV476" t="str">
            <v>猴兵近战攻击</v>
          </cell>
          <cell r="AW476" t="str">
            <v>ck</v>
          </cell>
          <cell r="AX476" t="str">
            <v>[]</v>
          </cell>
          <cell r="AY476">
            <v>1</v>
          </cell>
          <cell r="BE476"/>
          <cell r="BF476"/>
        </row>
        <row r="477">
          <cell r="A477" t="str">
            <v>humeiren_attack</v>
          </cell>
          <cell r="B477" t="str">
            <v>狐美人</v>
          </cell>
          <cell r="C477" t="str">
            <v>挥动圆环攻击目标</v>
          </cell>
          <cell r="D477" t="str">
            <v>[]</v>
          </cell>
          <cell r="E477">
            <v>0</v>
          </cell>
          <cell r="F477" t="str">
            <v>[]</v>
          </cell>
          <cell r="G477" t="str">
            <v>火狐美人远程攻击</v>
          </cell>
          <cell r="H477" t="str">
            <v>[]</v>
          </cell>
          <cell r="I477" t="str">
            <v>[]</v>
          </cell>
          <cell r="J477">
            <v>0</v>
          </cell>
          <cell r="K477">
            <v>1</v>
          </cell>
          <cell r="L477" t="str">
            <v>[]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3</v>
          </cell>
          <cell r="R477" t="str">
            <v>2|1</v>
          </cell>
          <cell r="S477" t="str">
            <v>4|0.2</v>
          </cell>
          <cell r="T477">
            <v>1</v>
          </cell>
          <cell r="U477">
            <v>1</v>
          </cell>
          <cell r="V477">
            <v>0</v>
          </cell>
          <cell r="W477" t="str">
            <v>[]</v>
          </cell>
          <cell r="X477">
            <v>0</v>
          </cell>
          <cell r="Y477" t="str">
            <v>[]</v>
          </cell>
          <cell r="Z477" t="str">
            <v>0,1,0</v>
          </cell>
          <cell r="AA477">
            <v>0</v>
          </cell>
          <cell r="AB477" t="str">
            <v>[]</v>
          </cell>
          <cell r="AC477" t="str">
            <v>[]</v>
          </cell>
          <cell r="AD477" t="str">
            <v>[]</v>
          </cell>
          <cell r="AE477" t="str">
            <v>[]</v>
          </cell>
          <cell r="AF477" t="str">
            <v>huo_humeiren_attack</v>
          </cell>
          <cell r="AG477" t="str">
            <v>common_hit_zhongwuqi</v>
          </cell>
          <cell r="AH477" t="str">
            <v>[]</v>
          </cell>
          <cell r="AI477" t="str">
            <v>[]</v>
          </cell>
          <cell r="AJ477" t="str">
            <v>[]</v>
          </cell>
          <cell r="AK477" t="str">
            <v>[]</v>
          </cell>
          <cell r="AL477" t="str">
            <v>[]</v>
          </cell>
          <cell r="AM477" t="str">
            <v>[]</v>
          </cell>
          <cell r="AN477">
            <v>1</v>
          </cell>
          <cell r="AO477">
            <v>0.2</v>
          </cell>
          <cell r="AP477">
            <v>115700</v>
          </cell>
          <cell r="AQ477" t="str">
            <v>115700</v>
          </cell>
          <cell r="AR477" t="str">
            <v>[]</v>
          </cell>
          <cell r="AS477" t="str">
            <v>[]</v>
          </cell>
          <cell r="AT477" t="str">
            <v>9020</v>
          </cell>
          <cell r="AU477" t="str">
            <v>5020</v>
          </cell>
          <cell r="AV477" t="str">
            <v>火狐美人远程攻击</v>
          </cell>
          <cell r="AW477" t="str">
            <v>ck</v>
          </cell>
          <cell r="AX477" t="str">
            <v>[]</v>
          </cell>
          <cell r="AY477">
            <v>1</v>
          </cell>
          <cell r="BE477"/>
          <cell r="BF477"/>
        </row>
        <row r="478">
          <cell r="A478" t="str">
            <v>jiaoren_attack</v>
          </cell>
          <cell r="B478" t="str">
            <v>金鲛人</v>
          </cell>
          <cell r="C478" t="str">
            <v>挥动宝珠，产生能量球攻击目标</v>
          </cell>
          <cell r="D478" t="str">
            <v>[]</v>
          </cell>
          <cell r="E478">
            <v>0</v>
          </cell>
          <cell r="F478" t="str">
            <v>[]</v>
          </cell>
          <cell r="G478" t="str">
            <v>鲛人远程攻击</v>
          </cell>
          <cell r="H478" t="str">
            <v>[]</v>
          </cell>
          <cell r="I478" t="str">
            <v>[]</v>
          </cell>
          <cell r="J478">
            <v>0</v>
          </cell>
          <cell r="K478">
            <v>1</v>
          </cell>
          <cell r="L478" t="str">
            <v>[]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10</v>
          </cell>
          <cell r="R478" t="str">
            <v>2|1</v>
          </cell>
          <cell r="S478" t="str">
            <v>4|0.2</v>
          </cell>
          <cell r="T478">
            <v>1</v>
          </cell>
          <cell r="U478">
            <v>1</v>
          </cell>
          <cell r="V478">
            <v>0</v>
          </cell>
          <cell r="W478" t="str">
            <v>[]</v>
          </cell>
          <cell r="X478">
            <v>0</v>
          </cell>
          <cell r="Y478" t="str">
            <v>[]</v>
          </cell>
          <cell r="Z478" t="str">
            <v>0,1,0</v>
          </cell>
          <cell r="AA478">
            <v>0</v>
          </cell>
          <cell r="AB478" t="str">
            <v>[]</v>
          </cell>
          <cell r="AC478" t="str">
            <v>[]</v>
          </cell>
          <cell r="AD478" t="str">
            <v>[]</v>
          </cell>
          <cell r="AE478" t="str">
            <v>[]</v>
          </cell>
          <cell r="AF478" t="str">
            <v>jiaoren_attack</v>
          </cell>
          <cell r="AG478" t="str">
            <v>common_hit_fashu</v>
          </cell>
          <cell r="AH478" t="str">
            <v>[]</v>
          </cell>
          <cell r="AI478" t="str">
            <v>[]</v>
          </cell>
          <cell r="AJ478" t="str">
            <v>[]</v>
          </cell>
          <cell r="AK478" t="str">
            <v>[]</v>
          </cell>
          <cell r="AL478" t="str">
            <v>[]</v>
          </cell>
          <cell r="AM478" t="str">
            <v>[]</v>
          </cell>
          <cell r="AN478">
            <v>2</v>
          </cell>
          <cell r="AO478" t="str">
            <v>[]</v>
          </cell>
          <cell r="AP478">
            <v>116200</v>
          </cell>
          <cell r="AQ478" t="str">
            <v>116200</v>
          </cell>
          <cell r="AR478" t="str">
            <v>[]</v>
          </cell>
          <cell r="AS478" t="str">
            <v>[]</v>
          </cell>
          <cell r="AT478" t="str">
            <v>9020</v>
          </cell>
          <cell r="AU478" t="str">
            <v>5020</v>
          </cell>
          <cell r="AV478" t="str">
            <v>鲛人远程攻击</v>
          </cell>
          <cell r="AW478" t="str">
            <v>ck</v>
          </cell>
          <cell r="AX478" t="str">
            <v>[]</v>
          </cell>
          <cell r="AY478">
            <v>1</v>
          </cell>
          <cell r="BE478"/>
          <cell r="BF478"/>
        </row>
        <row r="479">
          <cell r="A479" t="str">
            <v>nvgui_attack</v>
          </cell>
          <cell r="B479" t="str">
            <v>女鬼</v>
          </cell>
          <cell r="C479" t="str">
            <v>挥舞利爪攻击目标</v>
          </cell>
          <cell r="D479" t="str">
            <v>[]</v>
          </cell>
          <cell r="E479">
            <v>0</v>
          </cell>
          <cell r="F479" t="str">
            <v>[]</v>
          </cell>
          <cell r="G479" t="str">
            <v>女鬼近战攻击</v>
          </cell>
          <cell r="H479" t="str">
            <v>[]</v>
          </cell>
          <cell r="I479" t="str">
            <v>[]</v>
          </cell>
          <cell r="J479">
            <v>0</v>
          </cell>
          <cell r="K479">
            <v>1</v>
          </cell>
          <cell r="L479" t="str">
            <v>[]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3</v>
          </cell>
          <cell r="R479" t="str">
            <v>2|1</v>
          </cell>
          <cell r="S479" t="str">
            <v>4|0.2</v>
          </cell>
          <cell r="T479">
            <v>1</v>
          </cell>
          <cell r="U479">
            <v>1</v>
          </cell>
          <cell r="V479">
            <v>0</v>
          </cell>
          <cell r="W479" t="str">
            <v>[]</v>
          </cell>
          <cell r="X479">
            <v>0</v>
          </cell>
          <cell r="Y479" t="str">
            <v>[]</v>
          </cell>
          <cell r="Z479" t="str">
            <v>0,1,0</v>
          </cell>
          <cell r="AA479">
            <v>0</v>
          </cell>
          <cell r="AB479" t="str">
            <v>[]</v>
          </cell>
          <cell r="AC479" t="str">
            <v>[]</v>
          </cell>
          <cell r="AD479" t="str">
            <v>[]</v>
          </cell>
          <cell r="AE479" t="str">
            <v>[]</v>
          </cell>
          <cell r="AF479" t="str">
            <v>nvgui_attack</v>
          </cell>
          <cell r="AG479" t="str">
            <v>common_hit_qinwuqi</v>
          </cell>
          <cell r="AH479" t="str">
            <v>[]</v>
          </cell>
          <cell r="AI479" t="str">
            <v>[]</v>
          </cell>
          <cell r="AJ479" t="str">
            <v>[]</v>
          </cell>
          <cell r="AK479" t="str">
            <v>[]</v>
          </cell>
          <cell r="AL479" t="str">
            <v>[]</v>
          </cell>
          <cell r="AM479" t="str">
            <v>[]</v>
          </cell>
          <cell r="AN479">
            <v>1</v>
          </cell>
          <cell r="AO479">
            <v>0.4</v>
          </cell>
          <cell r="AP479">
            <v>118500</v>
          </cell>
          <cell r="AQ479" t="str">
            <v>118500</v>
          </cell>
          <cell r="AR479" t="str">
            <v>[]</v>
          </cell>
          <cell r="AS479" t="str">
            <v>[]</v>
          </cell>
          <cell r="AT479" t="str">
            <v>1212</v>
          </cell>
          <cell r="AU479" t="str">
            <v>5020</v>
          </cell>
          <cell r="AV479" t="str">
            <v>女鬼近战攻击</v>
          </cell>
          <cell r="AW479" t="str">
            <v>ck</v>
          </cell>
          <cell r="AX479" t="str">
            <v>[]</v>
          </cell>
          <cell r="AY479">
            <v>1</v>
          </cell>
          <cell r="BE479"/>
          <cell r="BF479"/>
        </row>
        <row r="480">
          <cell r="A480" t="str">
            <v>qinxian_attack</v>
          </cell>
          <cell r="B480" t="str">
            <v>琴仙</v>
          </cell>
          <cell r="C480" t="str">
            <v>[]</v>
          </cell>
          <cell r="D480" t="str">
            <v>[]</v>
          </cell>
          <cell r="E480">
            <v>0</v>
          </cell>
          <cell r="F480" t="str">
            <v>[]</v>
          </cell>
          <cell r="G480" t="str">
            <v>琴仙远程攻击</v>
          </cell>
          <cell r="H480" t="str">
            <v>[]</v>
          </cell>
          <cell r="I480" t="str">
            <v>[]</v>
          </cell>
          <cell r="J480">
            <v>0</v>
          </cell>
          <cell r="K480">
            <v>1</v>
          </cell>
          <cell r="L480" t="str">
            <v>[]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10</v>
          </cell>
          <cell r="R480" t="str">
            <v>2|1</v>
          </cell>
          <cell r="S480" t="str">
            <v>4|0.2</v>
          </cell>
          <cell r="T480">
            <v>1</v>
          </cell>
          <cell r="U480">
            <v>1</v>
          </cell>
          <cell r="V480">
            <v>0</v>
          </cell>
          <cell r="W480" t="str">
            <v>[]</v>
          </cell>
          <cell r="X480">
            <v>0</v>
          </cell>
          <cell r="Y480" t="str">
            <v>[]</v>
          </cell>
          <cell r="Z480" t="str">
            <v>0,1,0</v>
          </cell>
          <cell r="AA480">
            <v>0</v>
          </cell>
          <cell r="AB480" t="str">
            <v>[]</v>
          </cell>
          <cell r="AC480" t="str">
            <v>[]</v>
          </cell>
          <cell r="AD480" t="str">
            <v>[]</v>
          </cell>
          <cell r="AE480" t="str">
            <v>[]</v>
          </cell>
          <cell r="AF480" t="str">
            <v>qinxian_attack</v>
          </cell>
          <cell r="AG480" t="str">
            <v>common_hit_fashu</v>
          </cell>
          <cell r="AH480" t="str">
            <v>[]</v>
          </cell>
          <cell r="AI480" t="str">
            <v>[]</v>
          </cell>
          <cell r="AJ480" t="str">
            <v>[]</v>
          </cell>
          <cell r="AK480" t="str">
            <v>[]</v>
          </cell>
          <cell r="AL480" t="str">
            <v>[]</v>
          </cell>
          <cell r="AM480" t="str">
            <v>[]</v>
          </cell>
          <cell r="AN480">
            <v>2</v>
          </cell>
          <cell r="AO480" t="str">
            <v>[]</v>
          </cell>
          <cell r="AP480">
            <v>119200</v>
          </cell>
          <cell r="AQ480" t="str">
            <v>119200</v>
          </cell>
          <cell r="AR480" t="str">
            <v>[]</v>
          </cell>
          <cell r="AS480" t="str">
            <v>[]</v>
          </cell>
          <cell r="AT480" t="str">
            <v>9040</v>
          </cell>
          <cell r="AU480" t="str">
            <v>5020</v>
          </cell>
          <cell r="AV480" t="str">
            <v>琴仙远程攻击</v>
          </cell>
          <cell r="AW480" t="str">
            <v>ck</v>
          </cell>
          <cell r="AX480" t="str">
            <v>[]</v>
          </cell>
          <cell r="AY480">
            <v>1</v>
          </cell>
          <cell r="BE480"/>
          <cell r="BF480"/>
        </row>
        <row r="481">
          <cell r="A481" t="str">
            <v>shanzei2_attack</v>
          </cell>
          <cell r="B481" t="str">
            <v>山贼</v>
          </cell>
          <cell r="C481" t="str">
            <v>[]</v>
          </cell>
          <cell r="D481" t="str">
            <v>[]</v>
          </cell>
          <cell r="E481">
            <v>0</v>
          </cell>
          <cell r="F481" t="str">
            <v>[]</v>
          </cell>
          <cell r="G481" t="str">
            <v>山贼远程攻击</v>
          </cell>
          <cell r="H481" t="str">
            <v>[]</v>
          </cell>
          <cell r="I481" t="str">
            <v>[]</v>
          </cell>
          <cell r="J481">
            <v>0</v>
          </cell>
          <cell r="K481">
            <v>1</v>
          </cell>
          <cell r="L481" t="str">
            <v>[]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10</v>
          </cell>
          <cell r="R481" t="str">
            <v>2|1</v>
          </cell>
          <cell r="S481" t="str">
            <v>4|0.2</v>
          </cell>
          <cell r="T481">
            <v>1</v>
          </cell>
          <cell r="U481">
            <v>1</v>
          </cell>
          <cell r="V481">
            <v>0</v>
          </cell>
          <cell r="W481" t="str">
            <v>[]</v>
          </cell>
          <cell r="X481">
            <v>0</v>
          </cell>
          <cell r="Y481" t="str">
            <v>[]</v>
          </cell>
          <cell r="Z481" t="str">
            <v>0,1,0</v>
          </cell>
          <cell r="AA481">
            <v>0</v>
          </cell>
          <cell r="AB481" t="str">
            <v>[]</v>
          </cell>
          <cell r="AC481" t="str">
            <v>[]</v>
          </cell>
          <cell r="AD481" t="str">
            <v>[]</v>
          </cell>
          <cell r="AE481" t="str">
            <v>[]</v>
          </cell>
          <cell r="AF481" t="str">
            <v>shanzei2_attack</v>
          </cell>
          <cell r="AG481" t="str">
            <v>common_hit_qinwuqi</v>
          </cell>
          <cell r="AH481" t="str">
            <v>[]</v>
          </cell>
          <cell r="AI481" t="str">
            <v>[]</v>
          </cell>
          <cell r="AJ481" t="str">
            <v>[]</v>
          </cell>
          <cell r="AK481" t="str">
            <v>[]</v>
          </cell>
          <cell r="AL481" t="str">
            <v>[]</v>
          </cell>
          <cell r="AM481" t="str">
            <v>[]</v>
          </cell>
          <cell r="AN481">
            <v>2</v>
          </cell>
          <cell r="AO481" t="str">
            <v>[]</v>
          </cell>
          <cell r="AP481">
            <v>900006</v>
          </cell>
          <cell r="AQ481" t="str">
            <v>900006</v>
          </cell>
          <cell r="AR481" t="str">
            <v>[]</v>
          </cell>
          <cell r="AS481" t="str">
            <v>[]</v>
          </cell>
          <cell r="AT481" t="str">
            <v>9040</v>
          </cell>
          <cell r="AU481" t="str">
            <v>5020</v>
          </cell>
          <cell r="AV481" t="str">
            <v>山贼远程攻击</v>
          </cell>
          <cell r="AW481" t="str">
            <v>ck</v>
          </cell>
          <cell r="AX481" t="str">
            <v>[]</v>
          </cell>
          <cell r="AY481">
            <v>1</v>
          </cell>
          <cell r="BE481"/>
          <cell r="BF481"/>
        </row>
        <row r="482">
          <cell r="A482" t="str">
            <v>zhizhu_attack</v>
          </cell>
          <cell r="B482" t="str">
            <v>蜘蛛</v>
          </cell>
          <cell r="C482" t="str">
            <v>挥动蛛丝攻击目标</v>
          </cell>
          <cell r="D482" t="str">
            <v>[]</v>
          </cell>
          <cell r="E482">
            <v>0</v>
          </cell>
          <cell r="F482" t="str">
            <v>[]</v>
          </cell>
          <cell r="G482" t="str">
            <v>蜘蛛远程攻击</v>
          </cell>
          <cell r="H482" t="str">
            <v>[]</v>
          </cell>
          <cell r="I482" t="str">
            <v>[]</v>
          </cell>
          <cell r="J482">
            <v>0</v>
          </cell>
          <cell r="K482">
            <v>1</v>
          </cell>
          <cell r="L482" t="str">
            <v>[]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10</v>
          </cell>
          <cell r="R482" t="str">
            <v>2|1</v>
          </cell>
          <cell r="S482" t="str">
            <v>4|0.2</v>
          </cell>
          <cell r="T482">
            <v>1</v>
          </cell>
          <cell r="U482">
            <v>1</v>
          </cell>
          <cell r="V482">
            <v>0</v>
          </cell>
          <cell r="W482" t="str">
            <v>[]</v>
          </cell>
          <cell r="X482">
            <v>0</v>
          </cell>
          <cell r="Y482" t="str">
            <v>[]</v>
          </cell>
          <cell r="Z482" t="str">
            <v>0,1,0</v>
          </cell>
          <cell r="AA482">
            <v>0</v>
          </cell>
          <cell r="AB482" t="str">
            <v>[]</v>
          </cell>
          <cell r="AC482" t="str">
            <v>[]</v>
          </cell>
          <cell r="AD482" t="str">
            <v>[]</v>
          </cell>
          <cell r="AE482" t="str">
            <v>[]</v>
          </cell>
          <cell r="AF482" t="str">
            <v>zhizhu_attack</v>
          </cell>
          <cell r="AG482" t="str">
            <v>common_hit_fashu</v>
          </cell>
          <cell r="AH482" t="str">
            <v>[]</v>
          </cell>
          <cell r="AI482" t="str">
            <v>[]</v>
          </cell>
          <cell r="AJ482" t="str">
            <v>[]</v>
          </cell>
          <cell r="AK482" t="str">
            <v>[]</v>
          </cell>
          <cell r="AL482" t="str">
            <v>[]</v>
          </cell>
          <cell r="AM482" t="str">
            <v>[]</v>
          </cell>
          <cell r="AN482">
            <v>2</v>
          </cell>
          <cell r="AO482" t="str">
            <v>[]</v>
          </cell>
          <cell r="AP482">
            <v>118000</v>
          </cell>
          <cell r="AQ482" t="str">
            <v>118000</v>
          </cell>
          <cell r="AR482" t="str">
            <v>[]</v>
          </cell>
          <cell r="AS482" t="str">
            <v>[]</v>
          </cell>
          <cell r="AT482" t="str">
            <v>1212</v>
          </cell>
          <cell r="AU482" t="str">
            <v>5020</v>
          </cell>
          <cell r="AV482" t="str">
            <v>蜘蛛远程攻击</v>
          </cell>
          <cell r="AW482" t="str">
            <v>ck</v>
          </cell>
          <cell r="AX482" t="str">
            <v>[]</v>
          </cell>
          <cell r="AY482">
            <v>1</v>
          </cell>
          <cell r="BE482"/>
          <cell r="BF482"/>
        </row>
        <row r="483">
          <cell r="A483" t="str">
            <v>guichengxiang_attack</v>
          </cell>
          <cell r="B483" t="str">
            <v>龟丞相</v>
          </cell>
          <cell r="C483" t="str">
            <v>[]</v>
          </cell>
          <cell r="D483" t="str">
            <v>[]</v>
          </cell>
          <cell r="E483">
            <v>0</v>
          </cell>
          <cell r="F483" t="str">
            <v>[]</v>
          </cell>
          <cell r="G483" t="str">
            <v>普通攻击</v>
          </cell>
          <cell r="H483" t="str">
            <v>[]</v>
          </cell>
          <cell r="I483" t="str">
            <v>[]</v>
          </cell>
          <cell r="J483">
            <v>0</v>
          </cell>
          <cell r="K483">
            <v>1</v>
          </cell>
          <cell r="L483" t="str">
            <v>[]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12</v>
          </cell>
          <cell r="R483" t="str">
            <v>2|1</v>
          </cell>
          <cell r="S483" t="str">
            <v>4|0.2</v>
          </cell>
          <cell r="T483">
            <v>1</v>
          </cell>
          <cell r="U483">
            <v>1</v>
          </cell>
          <cell r="V483">
            <v>0</v>
          </cell>
          <cell r="W483" t="str">
            <v>[]</v>
          </cell>
          <cell r="X483">
            <v>0</v>
          </cell>
          <cell r="Y483" t="str">
            <v>[]</v>
          </cell>
          <cell r="Z483" t="str">
            <v>0,1,0</v>
          </cell>
          <cell r="AA483">
            <v>0</v>
          </cell>
          <cell r="AB483" t="str">
            <v>[]</v>
          </cell>
          <cell r="AC483" t="str">
            <v>[]</v>
          </cell>
          <cell r="AD483" t="str">
            <v>[]</v>
          </cell>
          <cell r="AE483" t="str">
            <v>[]</v>
          </cell>
          <cell r="AF483" t="str">
            <v>guichengxiang_attack</v>
          </cell>
          <cell r="AG483" t="str">
            <v>common_hit_fashu</v>
          </cell>
          <cell r="AH483" t="str">
            <v>[]</v>
          </cell>
          <cell r="AI483" t="str">
            <v>[]</v>
          </cell>
          <cell r="AJ483" t="str">
            <v>[]</v>
          </cell>
          <cell r="AK483" t="str">
            <v>[]</v>
          </cell>
          <cell r="AL483" t="str">
            <v>[]</v>
          </cell>
          <cell r="AM483" t="str">
            <v>[]</v>
          </cell>
          <cell r="AN483">
            <v>2</v>
          </cell>
          <cell r="AO483">
            <v>2</v>
          </cell>
          <cell r="AP483">
            <v>150700</v>
          </cell>
          <cell r="AQ483" t="str">
            <v>150700</v>
          </cell>
          <cell r="AR483" t="str">
            <v>[]</v>
          </cell>
          <cell r="AS483" t="str">
            <v>[]</v>
          </cell>
          <cell r="AT483" t="str">
            <v>1213</v>
          </cell>
          <cell r="AU483" t="str">
            <v>5020</v>
          </cell>
          <cell r="AV483" t="str">
            <v>普通攻击</v>
          </cell>
          <cell r="AW483" t="str">
            <v>ck</v>
          </cell>
          <cell r="AX483" t="str">
            <v>[]</v>
          </cell>
          <cell r="AY483">
            <v>1</v>
          </cell>
          <cell r="BE483"/>
          <cell r="BF483"/>
        </row>
        <row r="484">
          <cell r="A484" t="str">
            <v>huo_shiren_skill02</v>
          </cell>
          <cell r="B484" t="str">
            <v>横扫</v>
          </cell>
          <cell r="C484" t="str">
            <v>对目标造成自身攻击力@s的伤害</v>
          </cell>
          <cell r="D484" t="str">
            <v>[]</v>
          </cell>
          <cell r="E484">
            <v>0</v>
          </cell>
          <cell r="F484" t="str">
            <v>[]</v>
          </cell>
          <cell r="G484" t="str">
            <v>火狮人技能</v>
          </cell>
          <cell r="H484" t="str">
            <v>shiren_skill02</v>
          </cell>
          <cell r="I484" t="str">
            <v>[]</v>
          </cell>
          <cell r="J484">
            <v>1</v>
          </cell>
          <cell r="K484">
            <v>10</v>
          </cell>
          <cell r="L484" t="str">
            <v>[]</v>
          </cell>
          <cell r="M484">
            <v>2</v>
          </cell>
          <cell r="N484">
            <v>2</v>
          </cell>
          <cell r="O484">
            <v>1</v>
          </cell>
          <cell r="P484">
            <v>2</v>
          </cell>
          <cell r="Q484">
            <v>4</v>
          </cell>
          <cell r="R484" t="str">
            <v>2|1</v>
          </cell>
          <cell r="S484" t="str">
            <v>1|6|4</v>
          </cell>
          <cell r="T484">
            <v>10</v>
          </cell>
          <cell r="U484">
            <v>0</v>
          </cell>
          <cell r="V484">
            <v>0</v>
          </cell>
          <cell r="W484" t="str">
            <v>[]</v>
          </cell>
          <cell r="X484">
            <v>3</v>
          </cell>
          <cell r="Y484" t="str">
            <v>[]</v>
          </cell>
          <cell r="Z484" t="str">
            <v>0,2.5,0</v>
          </cell>
          <cell r="AA484">
            <v>0</v>
          </cell>
          <cell r="AB484">
            <v>6</v>
          </cell>
          <cell r="AC484" t="str">
            <v>[]</v>
          </cell>
          <cell r="AD484" t="str">
            <v>[]</v>
          </cell>
          <cell r="AE484" t="str">
            <v>[]</v>
          </cell>
          <cell r="AF484" t="str">
            <v>huo_shiren_skill02</v>
          </cell>
          <cell r="AG484" t="str">
            <v>common_hit_zhongwuqi</v>
          </cell>
          <cell r="AH484" t="str">
            <v>[]</v>
          </cell>
          <cell r="AI484" t="str">
            <v>[]</v>
          </cell>
          <cell r="AJ484" t="str">
            <v>[]</v>
          </cell>
          <cell r="AK484" t="str">
            <v>[]</v>
          </cell>
          <cell r="AL484" t="str">
            <v>[]</v>
          </cell>
          <cell r="AM484" t="str">
            <v>[]</v>
          </cell>
          <cell r="AN484">
            <v>2</v>
          </cell>
          <cell r="AO484">
            <v>0.43</v>
          </cell>
          <cell r="AP484">
            <v>900007</v>
          </cell>
          <cell r="AQ484" t="str">
            <v>900007</v>
          </cell>
          <cell r="AR484" t="str">
            <v>[]</v>
          </cell>
          <cell r="AS484" t="str">
            <v>[]</v>
          </cell>
          <cell r="AT484" t="str">
            <v>1213</v>
          </cell>
          <cell r="AU484" t="str">
            <v>5030</v>
          </cell>
          <cell r="AV484" t="str">
            <v>火狮人</v>
          </cell>
          <cell r="AW484" t="str">
            <v>02</v>
          </cell>
          <cell r="AX484" t="str">
            <v>[]</v>
          </cell>
          <cell r="AY484">
            <v>1</v>
          </cell>
          <cell r="BE484"/>
          <cell r="BF484"/>
        </row>
        <row r="485">
          <cell r="A485" t="str">
            <v>tu_shiren_skill02</v>
          </cell>
          <cell r="B485" t="str">
            <v>横扫</v>
          </cell>
          <cell r="C485" t="str">
            <v>对目标造成自身攻击力@s的伤害</v>
          </cell>
          <cell r="D485" t="str">
            <v>[]</v>
          </cell>
          <cell r="E485">
            <v>0</v>
          </cell>
          <cell r="F485" t="str">
            <v>[]</v>
          </cell>
          <cell r="G485" t="str">
            <v>火狮人技能</v>
          </cell>
          <cell r="H485" t="str">
            <v>shiren_skill02</v>
          </cell>
          <cell r="I485" t="str">
            <v>[]</v>
          </cell>
          <cell r="J485">
            <v>1</v>
          </cell>
          <cell r="K485">
            <v>10</v>
          </cell>
          <cell r="L485" t="str">
            <v>[]</v>
          </cell>
          <cell r="M485">
            <v>2</v>
          </cell>
          <cell r="N485">
            <v>2</v>
          </cell>
          <cell r="O485">
            <v>1</v>
          </cell>
          <cell r="P485">
            <v>2</v>
          </cell>
          <cell r="Q485">
            <v>4</v>
          </cell>
          <cell r="R485" t="str">
            <v>2|1</v>
          </cell>
          <cell r="S485" t="str">
            <v>1|6|4</v>
          </cell>
          <cell r="T485">
            <v>10</v>
          </cell>
          <cell r="U485">
            <v>0</v>
          </cell>
          <cell r="V485">
            <v>0</v>
          </cell>
          <cell r="W485" t="str">
            <v>[]</v>
          </cell>
          <cell r="X485">
            <v>3</v>
          </cell>
          <cell r="Y485" t="str">
            <v>[]</v>
          </cell>
          <cell r="Z485" t="str">
            <v>0,2.5,0</v>
          </cell>
          <cell r="AA485">
            <v>0</v>
          </cell>
          <cell r="AB485">
            <v>6</v>
          </cell>
          <cell r="AC485" t="str">
            <v>[]</v>
          </cell>
          <cell r="AD485" t="str">
            <v>[]</v>
          </cell>
          <cell r="AE485" t="str">
            <v>[]</v>
          </cell>
          <cell r="AF485" t="str">
            <v>huo_shiren_skill02</v>
          </cell>
          <cell r="AG485" t="str">
            <v>common_hit_zhongwuqi</v>
          </cell>
          <cell r="AH485" t="str">
            <v>[]</v>
          </cell>
          <cell r="AI485" t="str">
            <v>[]</v>
          </cell>
          <cell r="AJ485" t="str">
            <v>[]</v>
          </cell>
          <cell r="AK485" t="str">
            <v>[]</v>
          </cell>
          <cell r="AL485" t="str">
            <v>[]</v>
          </cell>
          <cell r="AM485" t="str">
            <v>[]</v>
          </cell>
          <cell r="AN485">
            <v>2</v>
          </cell>
          <cell r="AO485">
            <v>0.43</v>
          </cell>
          <cell r="AP485">
            <v>900008</v>
          </cell>
          <cell r="AQ485" t="str">
            <v>900008</v>
          </cell>
          <cell r="AR485" t="str">
            <v>[]</v>
          </cell>
          <cell r="AS485" t="str">
            <v>[]</v>
          </cell>
          <cell r="AT485" t="str">
            <v>1213</v>
          </cell>
          <cell r="AU485" t="str">
            <v>5030</v>
          </cell>
          <cell r="AV485" t="str">
            <v>火狮人</v>
          </cell>
          <cell r="AW485" t="str">
            <v>02</v>
          </cell>
          <cell r="AX485" t="str">
            <v>[]</v>
          </cell>
          <cell r="AY485">
            <v>1</v>
          </cell>
          <cell r="BE485"/>
          <cell r="BF485"/>
        </row>
        <row r="486">
          <cell r="A486" t="str">
            <v>heixiongjing_skill02</v>
          </cell>
          <cell r="B486" t="str">
            <v>连环击</v>
          </cell>
          <cell r="C486" t="str">
            <v>对目标造成4次自身攻击力@s的伤害</v>
          </cell>
          <cell r="D486" t="str">
            <v>[]</v>
          </cell>
          <cell r="E486">
            <v>0</v>
          </cell>
          <cell r="F486" t="str">
            <v>[]</v>
          </cell>
          <cell r="G486" t="str">
            <v>黑熊精技能</v>
          </cell>
          <cell r="H486" t="str">
            <v>heixiongjing_skill02</v>
          </cell>
          <cell r="I486" t="str">
            <v>[]</v>
          </cell>
          <cell r="J486">
            <v>1</v>
          </cell>
          <cell r="K486">
            <v>10</v>
          </cell>
          <cell r="L486" t="str">
            <v>[]</v>
          </cell>
          <cell r="M486">
            <v>2</v>
          </cell>
          <cell r="N486">
            <v>2</v>
          </cell>
          <cell r="O486">
            <v>1</v>
          </cell>
          <cell r="P486">
            <v>2</v>
          </cell>
          <cell r="Q486">
            <v>4</v>
          </cell>
          <cell r="R486" t="str">
            <v>2|1</v>
          </cell>
          <cell r="S486" t="str">
            <v>1|6|4</v>
          </cell>
          <cell r="T486">
            <v>10</v>
          </cell>
          <cell r="U486">
            <v>0</v>
          </cell>
          <cell r="V486">
            <v>0</v>
          </cell>
          <cell r="W486" t="str">
            <v>[]</v>
          </cell>
          <cell r="X486">
            <v>3</v>
          </cell>
          <cell r="Y486" t="str">
            <v>[]</v>
          </cell>
          <cell r="Z486" t="str">
            <v>0,2.5,0</v>
          </cell>
          <cell r="AA486">
            <v>0</v>
          </cell>
          <cell r="AB486">
            <v>6</v>
          </cell>
          <cell r="AC486" t="str">
            <v>[]</v>
          </cell>
          <cell r="AD486" t="str">
            <v>[]</v>
          </cell>
          <cell r="AE486" t="str">
            <v>[]</v>
          </cell>
          <cell r="AF486" t="str">
            <v>heixiongjing_skill02</v>
          </cell>
          <cell r="AG486" t="str">
            <v>common_hit_qinwuqi</v>
          </cell>
          <cell r="AH486" t="str">
            <v>[]</v>
          </cell>
          <cell r="AI486" t="str">
            <v>[]</v>
          </cell>
          <cell r="AJ486" t="str">
            <v>[]</v>
          </cell>
          <cell r="AK486" t="str">
            <v>[]</v>
          </cell>
          <cell r="AL486" t="str">
            <v>[]</v>
          </cell>
          <cell r="AM486" t="str">
            <v>[]</v>
          </cell>
          <cell r="AN486">
            <v>2</v>
          </cell>
          <cell r="AO486" t="str">
            <v>0.2,0.2,0.2,0.2</v>
          </cell>
          <cell r="AP486">
            <v>115201</v>
          </cell>
          <cell r="AQ486" t="str">
            <v>115201</v>
          </cell>
          <cell r="AR486" t="str">
            <v>[]</v>
          </cell>
          <cell r="AS486" t="str">
            <v>[]</v>
          </cell>
          <cell r="AT486" t="str">
            <v>1213</v>
          </cell>
          <cell r="AU486" t="str">
            <v>5050</v>
          </cell>
          <cell r="AV486" t="str">
            <v>黑熊精</v>
          </cell>
          <cell r="AW486" t="str">
            <v>02</v>
          </cell>
          <cell r="AX486" t="str">
            <v>[]</v>
          </cell>
          <cell r="AY486">
            <v>4</v>
          </cell>
          <cell r="BE486"/>
          <cell r="BF486"/>
        </row>
        <row r="487">
          <cell r="A487" t="str">
            <v>jin_shitouren_skill02</v>
          </cell>
          <cell r="B487" t="str">
            <v>撼地重拳</v>
          </cell>
          <cell r="C487" t="str">
            <v>对范围内目标造成3次自身攻击力@s的伤害，并晕眩0.5秒</v>
          </cell>
          <cell r="D487" t="str">
            <v>[]</v>
          </cell>
          <cell r="E487">
            <v>0</v>
          </cell>
          <cell r="F487" t="str">
            <v>[]</v>
          </cell>
          <cell r="G487" t="str">
            <v>石头人技能1</v>
          </cell>
          <cell r="H487" t="str">
            <v>shitouren_skill02</v>
          </cell>
          <cell r="I487" t="str">
            <v>[]</v>
          </cell>
          <cell r="J487">
            <v>1</v>
          </cell>
          <cell r="K487">
            <v>10</v>
          </cell>
          <cell r="L487" t="str">
            <v>[]</v>
          </cell>
          <cell r="M487">
            <v>2</v>
          </cell>
          <cell r="N487">
            <v>2</v>
          </cell>
          <cell r="O487">
            <v>2</v>
          </cell>
          <cell r="P487">
            <v>2</v>
          </cell>
          <cell r="Q487">
            <v>4</v>
          </cell>
          <cell r="R487" t="str">
            <v>2|1</v>
          </cell>
          <cell r="S487" t="str">
            <v>2|3</v>
          </cell>
          <cell r="T487">
            <v>10</v>
          </cell>
          <cell r="U487">
            <v>1</v>
          </cell>
          <cell r="V487">
            <v>0</v>
          </cell>
          <cell r="W487" t="str">
            <v>[]</v>
          </cell>
          <cell r="X487">
            <v>3</v>
          </cell>
          <cell r="Y487" t="str">
            <v>[]</v>
          </cell>
          <cell r="Z487" t="str">
            <v>0,1.667,0</v>
          </cell>
          <cell r="AA487">
            <v>0</v>
          </cell>
          <cell r="AB487">
            <v>6</v>
          </cell>
          <cell r="AC487" t="str">
            <v>[]</v>
          </cell>
          <cell r="AD487" t="str">
            <v>[]</v>
          </cell>
          <cell r="AE487" t="str">
            <v>[]</v>
          </cell>
          <cell r="AF487" t="str">
            <v>shitouren_skill02</v>
          </cell>
          <cell r="AG487" t="str">
            <v>common_hit_dunqi</v>
          </cell>
          <cell r="AH487" t="str">
            <v>[]</v>
          </cell>
          <cell r="AI487" t="str">
            <v>[]</v>
          </cell>
          <cell r="AJ487" t="str">
            <v>[]</v>
          </cell>
          <cell r="AK487" t="str">
            <v>shitouren_skill02_yunxuan</v>
          </cell>
          <cell r="AL487" t="str">
            <v>[]</v>
          </cell>
          <cell r="AM487" t="str">
            <v>[]</v>
          </cell>
          <cell r="AN487">
            <v>2</v>
          </cell>
          <cell r="AO487" t="str">
            <v>0.12,0.25,0.8</v>
          </cell>
          <cell r="AP487">
            <v>900009</v>
          </cell>
          <cell r="AQ487" t="str">
            <v>900009</v>
          </cell>
          <cell r="AR487" t="str">
            <v>[]</v>
          </cell>
          <cell r="AS487" t="str">
            <v>[]</v>
          </cell>
          <cell r="AT487" t="str">
            <v>1213</v>
          </cell>
          <cell r="AU487" t="str">
            <v>5080</v>
          </cell>
          <cell r="AV487" t="str">
            <v>石头人</v>
          </cell>
          <cell r="AW487" t="str">
            <v>02</v>
          </cell>
          <cell r="AX487" t="str">
            <v>[]</v>
          </cell>
          <cell r="AY487">
            <v>3</v>
          </cell>
          <cell r="BE487"/>
          <cell r="BF487"/>
        </row>
        <row r="488">
          <cell r="A488" t="str">
            <v>mu_shitouren_skill02</v>
          </cell>
          <cell r="B488" t="str">
            <v>撼地重拳</v>
          </cell>
          <cell r="C488" t="str">
            <v>对范围内目标造成3次自身攻击力@s的伤害，并晕眩0.5秒</v>
          </cell>
          <cell r="D488" t="str">
            <v>[]</v>
          </cell>
          <cell r="E488">
            <v>0</v>
          </cell>
          <cell r="F488" t="str">
            <v>[]</v>
          </cell>
          <cell r="G488" t="str">
            <v>石头人技能1</v>
          </cell>
          <cell r="H488" t="str">
            <v>shitouren_skill02</v>
          </cell>
          <cell r="I488" t="str">
            <v>[]</v>
          </cell>
          <cell r="J488">
            <v>1</v>
          </cell>
          <cell r="K488">
            <v>10</v>
          </cell>
          <cell r="L488" t="str">
            <v>[]</v>
          </cell>
          <cell r="M488">
            <v>2</v>
          </cell>
          <cell r="N488">
            <v>2</v>
          </cell>
          <cell r="O488">
            <v>2</v>
          </cell>
          <cell r="P488">
            <v>2</v>
          </cell>
          <cell r="Q488">
            <v>4</v>
          </cell>
          <cell r="R488" t="str">
            <v>2|1</v>
          </cell>
          <cell r="S488" t="str">
            <v>2|3</v>
          </cell>
          <cell r="T488">
            <v>10</v>
          </cell>
          <cell r="U488">
            <v>1</v>
          </cell>
          <cell r="V488">
            <v>0</v>
          </cell>
          <cell r="W488" t="str">
            <v>[]</v>
          </cell>
          <cell r="X488">
            <v>3</v>
          </cell>
          <cell r="Y488" t="str">
            <v>[]</v>
          </cell>
          <cell r="Z488" t="str">
            <v>0,1.667,0</v>
          </cell>
          <cell r="AA488">
            <v>0</v>
          </cell>
          <cell r="AB488">
            <v>6</v>
          </cell>
          <cell r="AC488" t="str">
            <v>[]</v>
          </cell>
          <cell r="AD488" t="str">
            <v>[]</v>
          </cell>
          <cell r="AE488" t="str">
            <v>[]</v>
          </cell>
          <cell r="AF488" t="str">
            <v>shitouren_skill02</v>
          </cell>
          <cell r="AG488" t="str">
            <v>common_hit_dunqi</v>
          </cell>
          <cell r="AH488" t="str">
            <v>[]</v>
          </cell>
          <cell r="AI488" t="str">
            <v>[]</v>
          </cell>
          <cell r="AJ488" t="str">
            <v>[]</v>
          </cell>
          <cell r="AK488" t="str">
            <v>shitouren_skill02_yunxuan</v>
          </cell>
          <cell r="AL488" t="str">
            <v>[]</v>
          </cell>
          <cell r="AM488" t="str">
            <v>[]</v>
          </cell>
          <cell r="AN488">
            <v>2</v>
          </cell>
          <cell r="AO488" t="str">
            <v>0.12,0.25,0.8</v>
          </cell>
          <cell r="AP488">
            <v>900010</v>
          </cell>
          <cell r="AQ488" t="str">
            <v>900010</v>
          </cell>
          <cell r="AR488" t="str">
            <v>[]</v>
          </cell>
          <cell r="AS488" t="str">
            <v>[]</v>
          </cell>
          <cell r="AT488" t="str">
            <v>9010</v>
          </cell>
          <cell r="AU488" t="str">
            <v>5080</v>
          </cell>
          <cell r="AV488" t="str">
            <v>石头人</v>
          </cell>
          <cell r="AW488" t="str">
            <v>02</v>
          </cell>
          <cell r="AX488" t="str">
            <v>[]</v>
          </cell>
          <cell r="AY488">
            <v>3</v>
          </cell>
          <cell r="BE488"/>
          <cell r="BF488"/>
        </row>
        <row r="489">
          <cell r="A489" t="str">
            <v>tu_shitouren_skill02</v>
          </cell>
          <cell r="B489" t="str">
            <v>撼地重拳</v>
          </cell>
          <cell r="C489" t="str">
            <v>对范围内目标造成3次自身攻击力@s的伤害，并晕眩0.5秒</v>
          </cell>
          <cell r="D489" t="str">
            <v>[]</v>
          </cell>
          <cell r="E489">
            <v>0</v>
          </cell>
          <cell r="F489" t="str">
            <v>[]</v>
          </cell>
          <cell r="G489" t="str">
            <v>石头人技能1</v>
          </cell>
          <cell r="H489" t="str">
            <v>shitouren_skill02</v>
          </cell>
          <cell r="I489" t="str">
            <v>[]</v>
          </cell>
          <cell r="J489">
            <v>1</v>
          </cell>
          <cell r="K489">
            <v>10</v>
          </cell>
          <cell r="L489" t="str">
            <v>[]</v>
          </cell>
          <cell r="M489">
            <v>2</v>
          </cell>
          <cell r="N489">
            <v>2</v>
          </cell>
          <cell r="O489">
            <v>2</v>
          </cell>
          <cell r="P489">
            <v>2</v>
          </cell>
          <cell r="Q489">
            <v>4</v>
          </cell>
          <cell r="R489" t="str">
            <v>2|1</v>
          </cell>
          <cell r="S489" t="str">
            <v>2|3</v>
          </cell>
          <cell r="T489">
            <v>10</v>
          </cell>
          <cell r="U489">
            <v>1</v>
          </cell>
          <cell r="V489">
            <v>0</v>
          </cell>
          <cell r="W489" t="str">
            <v>[]</v>
          </cell>
          <cell r="X489">
            <v>3</v>
          </cell>
          <cell r="Y489" t="str">
            <v>[]</v>
          </cell>
          <cell r="Z489" t="str">
            <v>0,1.667,0</v>
          </cell>
          <cell r="AA489">
            <v>0</v>
          </cell>
          <cell r="AB489">
            <v>6</v>
          </cell>
          <cell r="AC489" t="str">
            <v>[]</v>
          </cell>
          <cell r="AD489" t="str">
            <v>[]</v>
          </cell>
          <cell r="AE489" t="str">
            <v>[]</v>
          </cell>
          <cell r="AF489" t="str">
            <v>shitouren_skill02</v>
          </cell>
          <cell r="AG489" t="str">
            <v>common_hit_dunqi</v>
          </cell>
          <cell r="AH489" t="str">
            <v>[]</v>
          </cell>
          <cell r="AI489" t="str">
            <v>[]</v>
          </cell>
          <cell r="AJ489" t="str">
            <v>[]</v>
          </cell>
          <cell r="AK489" t="str">
            <v>shitouren_skill02_yunxuan</v>
          </cell>
          <cell r="AL489" t="str">
            <v>[]</v>
          </cell>
          <cell r="AM489" t="str">
            <v>[]</v>
          </cell>
          <cell r="AN489">
            <v>2</v>
          </cell>
          <cell r="AO489" t="str">
            <v>0.12,0.25,0.8</v>
          </cell>
          <cell r="AP489">
            <v>900011</v>
          </cell>
          <cell r="AQ489" t="str">
            <v>900011</v>
          </cell>
          <cell r="AR489" t="str">
            <v>[]</v>
          </cell>
          <cell r="AS489" t="str">
            <v>[]</v>
          </cell>
          <cell r="AT489" t="str">
            <v>1213</v>
          </cell>
          <cell r="AU489" t="str">
            <v>5080</v>
          </cell>
          <cell r="AV489" t="str">
            <v>石头人</v>
          </cell>
          <cell r="AW489" t="str">
            <v>02</v>
          </cell>
          <cell r="AX489" t="str">
            <v>[]</v>
          </cell>
          <cell r="AY489">
            <v>3</v>
          </cell>
          <cell r="BE489"/>
          <cell r="BF489"/>
        </row>
        <row r="490">
          <cell r="A490" t="str">
            <v>jin_damangjing_skill02</v>
          </cell>
          <cell r="B490" t="str">
            <v>穿透箭</v>
          </cell>
          <cell r="C490" t="str">
            <v>对范围内目标造成自身攻击力@s的伤害</v>
          </cell>
          <cell r="D490" t="str">
            <v>[]</v>
          </cell>
          <cell r="E490">
            <v>0</v>
          </cell>
          <cell r="F490" t="str">
            <v>[]</v>
          </cell>
          <cell r="G490" t="str">
            <v>穿透箭</v>
          </cell>
          <cell r="H490" t="str">
            <v>damangjing_skill02</v>
          </cell>
          <cell r="I490" t="str">
            <v>[]</v>
          </cell>
          <cell r="J490">
            <v>1</v>
          </cell>
          <cell r="K490">
            <v>10</v>
          </cell>
          <cell r="L490" t="str">
            <v>[]</v>
          </cell>
          <cell r="M490">
            <v>2</v>
          </cell>
          <cell r="N490">
            <v>2</v>
          </cell>
          <cell r="O490">
            <v>1</v>
          </cell>
          <cell r="P490">
            <v>2</v>
          </cell>
          <cell r="Q490">
            <v>12</v>
          </cell>
          <cell r="R490" t="str">
            <v>2|1</v>
          </cell>
          <cell r="S490" t="str">
            <v>1|30|3</v>
          </cell>
          <cell r="T490">
            <v>10</v>
          </cell>
          <cell r="U490">
            <v>1</v>
          </cell>
          <cell r="V490">
            <v>0</v>
          </cell>
          <cell r="W490" t="str">
            <v>[]</v>
          </cell>
          <cell r="X490">
            <v>3</v>
          </cell>
          <cell r="Y490" t="str">
            <v>[]</v>
          </cell>
          <cell r="Z490" t="str">
            <v>0,1.2,0</v>
          </cell>
          <cell r="AA490">
            <v>0</v>
          </cell>
          <cell r="AB490">
            <v>6</v>
          </cell>
          <cell r="AC490" t="str">
            <v>[]</v>
          </cell>
          <cell r="AD490" t="str">
            <v>[]</v>
          </cell>
          <cell r="AE490" t="str">
            <v>jin_damangjing_skill02_wq</v>
          </cell>
          <cell r="AF490" t="str">
            <v>jin_damangjing_skill02</v>
          </cell>
          <cell r="AG490" t="str">
            <v>common_hit_qinwuqi</v>
          </cell>
          <cell r="AH490" t="str">
            <v>[]</v>
          </cell>
          <cell r="AI490" t="str">
            <v>[]</v>
          </cell>
          <cell r="AJ490" t="str">
            <v>[]</v>
          </cell>
          <cell r="AK490" t="str">
            <v>[]</v>
          </cell>
          <cell r="AL490" t="str">
            <v>[]</v>
          </cell>
          <cell r="AM490" t="str">
            <v>[]</v>
          </cell>
          <cell r="AN490">
            <v>2</v>
          </cell>
          <cell r="AO490">
            <v>0.9</v>
          </cell>
          <cell r="AP490">
            <v>900012</v>
          </cell>
          <cell r="AQ490" t="str">
            <v>900012</v>
          </cell>
          <cell r="AR490" t="str">
            <v>[]</v>
          </cell>
          <cell r="AS490" t="str">
            <v>[]</v>
          </cell>
          <cell r="AT490" t="str">
            <v>1213</v>
          </cell>
          <cell r="AU490" t="str">
            <v>5110</v>
          </cell>
          <cell r="AV490" t="str">
            <v>穿透箭</v>
          </cell>
          <cell r="AW490" t="str">
            <v>02</v>
          </cell>
          <cell r="AX490" t="str">
            <v>[]</v>
          </cell>
          <cell r="AY490">
            <v>1</v>
          </cell>
          <cell r="BE490"/>
          <cell r="BF490"/>
        </row>
        <row r="491">
          <cell r="A491" t="str">
            <v>mu_damangjing_skill02</v>
          </cell>
          <cell r="B491" t="str">
            <v>穿透箭</v>
          </cell>
          <cell r="C491" t="str">
            <v>对范围内目标造成自身攻击力@s的伤害</v>
          </cell>
          <cell r="D491" t="str">
            <v>[]</v>
          </cell>
          <cell r="E491">
            <v>0</v>
          </cell>
          <cell r="F491" t="str">
            <v>[]</v>
          </cell>
          <cell r="G491" t="str">
            <v>穿透箭</v>
          </cell>
          <cell r="H491" t="str">
            <v>damangjing_skill02</v>
          </cell>
          <cell r="I491" t="str">
            <v>[]</v>
          </cell>
          <cell r="J491">
            <v>1</v>
          </cell>
          <cell r="K491">
            <v>10</v>
          </cell>
          <cell r="L491" t="str">
            <v>[]</v>
          </cell>
          <cell r="M491">
            <v>2</v>
          </cell>
          <cell r="N491">
            <v>2</v>
          </cell>
          <cell r="O491">
            <v>1</v>
          </cell>
          <cell r="P491">
            <v>2</v>
          </cell>
          <cell r="Q491">
            <v>12</v>
          </cell>
          <cell r="R491" t="str">
            <v>2|1</v>
          </cell>
          <cell r="S491" t="str">
            <v>1|30|3</v>
          </cell>
          <cell r="T491">
            <v>10</v>
          </cell>
          <cell r="U491">
            <v>1</v>
          </cell>
          <cell r="V491">
            <v>0</v>
          </cell>
          <cell r="W491" t="str">
            <v>[]</v>
          </cell>
          <cell r="X491">
            <v>3</v>
          </cell>
          <cell r="Y491" t="str">
            <v>[]</v>
          </cell>
          <cell r="Z491" t="str">
            <v>0,1.2,0</v>
          </cell>
          <cell r="AA491">
            <v>0</v>
          </cell>
          <cell r="AB491">
            <v>6</v>
          </cell>
          <cell r="AC491" t="str">
            <v>[]</v>
          </cell>
          <cell r="AD491" t="str">
            <v>[]</v>
          </cell>
          <cell r="AE491" t="str">
            <v>jin_damangjing_skill02_wq</v>
          </cell>
          <cell r="AF491" t="str">
            <v>jin_damangjing_skill02</v>
          </cell>
          <cell r="AG491" t="str">
            <v>common_hit_qinwuqi</v>
          </cell>
          <cell r="AH491" t="str">
            <v>[]</v>
          </cell>
          <cell r="AI491" t="str">
            <v>[]</v>
          </cell>
          <cell r="AJ491" t="str">
            <v>[]</v>
          </cell>
          <cell r="AK491" t="str">
            <v>[]</v>
          </cell>
          <cell r="AL491" t="str">
            <v>[]</v>
          </cell>
          <cell r="AM491" t="str">
            <v>[]</v>
          </cell>
          <cell r="AN491">
            <v>2</v>
          </cell>
          <cell r="AO491">
            <v>0.9</v>
          </cell>
          <cell r="AP491">
            <v>900013</v>
          </cell>
          <cell r="AQ491" t="str">
            <v>900013</v>
          </cell>
          <cell r="AR491" t="str">
            <v>[]</v>
          </cell>
          <cell r="AS491" t="str">
            <v>[]</v>
          </cell>
          <cell r="AT491" t="str">
            <v>1213</v>
          </cell>
          <cell r="AU491" t="str">
            <v>5110</v>
          </cell>
          <cell r="AV491" t="str">
            <v>穿透箭</v>
          </cell>
          <cell r="AW491" t="str">
            <v>02</v>
          </cell>
          <cell r="AX491" t="str">
            <v>[]</v>
          </cell>
          <cell r="AY491">
            <v>1</v>
          </cell>
          <cell r="BE491"/>
          <cell r="BF491"/>
        </row>
        <row r="492">
          <cell r="A492" t="str">
            <v>huo_humeiren_skill02</v>
          </cell>
          <cell r="B492" t="str">
            <v>旋转攻击</v>
          </cell>
          <cell r="C492" t="str">
            <v>对范围内目标造成3次自身攻击力@s的伤害</v>
          </cell>
          <cell r="D492" t="str">
            <v>[]</v>
          </cell>
          <cell r="E492">
            <v>0</v>
          </cell>
          <cell r="F492" t="str">
            <v>[]</v>
          </cell>
          <cell r="G492" t="str">
            <v>水狐美人技能2</v>
          </cell>
          <cell r="H492" t="str">
            <v>humeiren_skill02</v>
          </cell>
          <cell r="I492" t="str">
            <v>[]</v>
          </cell>
          <cell r="J492">
            <v>1</v>
          </cell>
          <cell r="K492">
            <v>10</v>
          </cell>
          <cell r="L492" t="str">
            <v>[]</v>
          </cell>
          <cell r="M492">
            <v>2</v>
          </cell>
          <cell r="N492">
            <v>2</v>
          </cell>
          <cell r="O492">
            <v>2</v>
          </cell>
          <cell r="P492">
            <v>2</v>
          </cell>
          <cell r="Q492">
            <v>4</v>
          </cell>
          <cell r="R492" t="str">
            <v>2|1</v>
          </cell>
          <cell r="S492" t="str">
            <v>2|2.5</v>
          </cell>
          <cell r="T492">
            <v>10</v>
          </cell>
          <cell r="U492">
            <v>1</v>
          </cell>
          <cell r="V492">
            <v>0</v>
          </cell>
          <cell r="W492" t="str">
            <v>[]</v>
          </cell>
          <cell r="X492">
            <v>3</v>
          </cell>
          <cell r="Y492" t="str">
            <v>[]</v>
          </cell>
          <cell r="Z492" t="str">
            <v>0,1.667,0</v>
          </cell>
          <cell r="AA492">
            <v>0</v>
          </cell>
          <cell r="AB492">
            <v>6</v>
          </cell>
          <cell r="AC492" t="str">
            <v>[]</v>
          </cell>
          <cell r="AD492" t="str">
            <v>[]</v>
          </cell>
          <cell r="AE492" t="str">
            <v>shuihumeiren_skill02_jiaoxia</v>
          </cell>
          <cell r="AF492" t="str">
            <v>shuihumeiren_skill02</v>
          </cell>
          <cell r="AG492" t="str">
            <v>common_hit_qinwuqi</v>
          </cell>
          <cell r="AH492" t="str">
            <v>[]</v>
          </cell>
          <cell r="AI492" t="str">
            <v>[]</v>
          </cell>
          <cell r="AJ492" t="str">
            <v>[]</v>
          </cell>
          <cell r="AK492" t="str">
            <v>[]</v>
          </cell>
          <cell r="AL492" t="str">
            <v>[]</v>
          </cell>
          <cell r="AM492" t="str">
            <v>[]</v>
          </cell>
          <cell r="AN492">
            <v>1</v>
          </cell>
          <cell r="AO492" t="str">
            <v>0.05,0.65,0.35</v>
          </cell>
          <cell r="AP492">
            <v>900014</v>
          </cell>
          <cell r="AQ492" t="str">
            <v>900014</v>
          </cell>
          <cell r="AR492" t="str">
            <v>[]</v>
          </cell>
          <cell r="AS492" t="str">
            <v>[]</v>
          </cell>
          <cell r="AT492" t="str">
            <v>1213</v>
          </cell>
          <cell r="AU492" t="str">
            <v>5120</v>
          </cell>
          <cell r="AV492" t="str">
            <v>水狐美人</v>
          </cell>
          <cell r="AW492" t="str">
            <v>02</v>
          </cell>
          <cell r="AX492" t="str">
            <v>[]</v>
          </cell>
          <cell r="AY492">
            <v>3</v>
          </cell>
          <cell r="BE492"/>
          <cell r="BF492"/>
        </row>
        <row r="493">
          <cell r="A493" t="str">
            <v>mu_humeiren_skill02</v>
          </cell>
          <cell r="B493" t="str">
            <v>旋转攻击</v>
          </cell>
          <cell r="C493" t="str">
            <v>对范围内目标造成3次自身攻击力@s的伤害</v>
          </cell>
          <cell r="D493" t="str">
            <v>[]</v>
          </cell>
          <cell r="E493">
            <v>0</v>
          </cell>
          <cell r="F493" t="str">
            <v>[]</v>
          </cell>
          <cell r="G493" t="str">
            <v>木狐美人技能2</v>
          </cell>
          <cell r="H493" t="str">
            <v>humeiren_skill02</v>
          </cell>
          <cell r="I493" t="str">
            <v>[]</v>
          </cell>
          <cell r="J493">
            <v>1</v>
          </cell>
          <cell r="K493">
            <v>10</v>
          </cell>
          <cell r="L493" t="str">
            <v>[]</v>
          </cell>
          <cell r="M493">
            <v>2</v>
          </cell>
          <cell r="N493">
            <v>2</v>
          </cell>
          <cell r="O493">
            <v>2</v>
          </cell>
          <cell r="P493">
            <v>2</v>
          </cell>
          <cell r="Q493">
            <v>4</v>
          </cell>
          <cell r="R493" t="str">
            <v>2|1</v>
          </cell>
          <cell r="S493" t="str">
            <v>2|2.5</v>
          </cell>
          <cell r="T493">
            <v>10</v>
          </cell>
          <cell r="U493">
            <v>1</v>
          </cell>
          <cell r="V493">
            <v>0</v>
          </cell>
          <cell r="W493" t="str">
            <v>[]</v>
          </cell>
          <cell r="X493">
            <v>3</v>
          </cell>
          <cell r="Y493" t="str">
            <v>[]</v>
          </cell>
          <cell r="Z493" t="str">
            <v>0,1.667,0</v>
          </cell>
          <cell r="AA493">
            <v>0</v>
          </cell>
          <cell r="AB493">
            <v>6</v>
          </cell>
          <cell r="AC493" t="str">
            <v>[]</v>
          </cell>
          <cell r="AD493" t="str">
            <v>[]</v>
          </cell>
          <cell r="AE493" t="str">
            <v>caohumeiren_skill02_jiaoxia</v>
          </cell>
          <cell r="AF493" t="str">
            <v>caohumeiren_skill02</v>
          </cell>
          <cell r="AG493" t="str">
            <v>common_hit_qinwuqi</v>
          </cell>
          <cell r="AH493" t="str">
            <v>[]</v>
          </cell>
          <cell r="AI493" t="str">
            <v>[]</v>
          </cell>
          <cell r="AJ493" t="str">
            <v>[]</v>
          </cell>
          <cell r="AK493" t="str">
            <v>[]</v>
          </cell>
          <cell r="AL493" t="str">
            <v>[]</v>
          </cell>
          <cell r="AM493" t="str">
            <v>[]</v>
          </cell>
          <cell r="AN493">
            <v>1</v>
          </cell>
          <cell r="AO493" t="str">
            <v>0.05,0.65,0.35</v>
          </cell>
          <cell r="AP493">
            <v>900015</v>
          </cell>
          <cell r="AQ493" t="str">
            <v>900015</v>
          </cell>
          <cell r="AR493" t="str">
            <v>[]</v>
          </cell>
          <cell r="AS493" t="str">
            <v>[]</v>
          </cell>
          <cell r="AT493" t="str">
            <v>115</v>
          </cell>
          <cell r="AU493" t="str">
            <v>5120</v>
          </cell>
          <cell r="AV493" t="str">
            <v>木狐美人</v>
          </cell>
          <cell r="AW493" t="str">
            <v>02</v>
          </cell>
          <cell r="AX493" t="str">
            <v>[]</v>
          </cell>
          <cell r="AY493">
            <v>3</v>
          </cell>
          <cell r="BE493"/>
          <cell r="BF493"/>
        </row>
        <row r="494">
          <cell r="A494" t="str">
            <v>shui_humeiren_skill02</v>
          </cell>
          <cell r="B494" t="str">
            <v>旋转攻击</v>
          </cell>
          <cell r="C494" t="str">
            <v>对范围内目标造成3次自身攻击力@s的伤害</v>
          </cell>
          <cell r="D494" t="str">
            <v>[]</v>
          </cell>
          <cell r="E494">
            <v>0</v>
          </cell>
          <cell r="F494" t="str">
            <v>[]</v>
          </cell>
          <cell r="G494" t="str">
            <v>水狐美人技能2</v>
          </cell>
          <cell r="H494" t="str">
            <v>humeiren_skill02</v>
          </cell>
          <cell r="I494" t="str">
            <v>[]</v>
          </cell>
          <cell r="J494">
            <v>1</v>
          </cell>
          <cell r="K494">
            <v>10</v>
          </cell>
          <cell r="L494" t="str">
            <v>[]</v>
          </cell>
          <cell r="M494">
            <v>2</v>
          </cell>
          <cell r="N494">
            <v>2</v>
          </cell>
          <cell r="O494">
            <v>2</v>
          </cell>
          <cell r="P494">
            <v>2</v>
          </cell>
          <cell r="Q494">
            <v>4</v>
          </cell>
          <cell r="R494" t="str">
            <v>2|1</v>
          </cell>
          <cell r="S494" t="str">
            <v>2|2.5</v>
          </cell>
          <cell r="T494">
            <v>10</v>
          </cell>
          <cell r="U494">
            <v>1</v>
          </cell>
          <cell r="V494">
            <v>0</v>
          </cell>
          <cell r="W494" t="str">
            <v>[]</v>
          </cell>
          <cell r="X494">
            <v>3</v>
          </cell>
          <cell r="Y494" t="str">
            <v>[]</v>
          </cell>
          <cell r="Z494" t="str">
            <v>0,1.667,0</v>
          </cell>
          <cell r="AA494">
            <v>0</v>
          </cell>
          <cell r="AB494">
            <v>6</v>
          </cell>
          <cell r="AC494" t="str">
            <v>[]</v>
          </cell>
          <cell r="AD494" t="str">
            <v>[]</v>
          </cell>
          <cell r="AE494" t="str">
            <v>shuihumeiren_skill02_jiaoxia</v>
          </cell>
          <cell r="AF494" t="str">
            <v>shuihumeiren_skill02</v>
          </cell>
          <cell r="AG494" t="str">
            <v>common_hit_qinwuqi</v>
          </cell>
          <cell r="AH494" t="str">
            <v>[]</v>
          </cell>
          <cell r="AI494" t="str">
            <v>[]</v>
          </cell>
          <cell r="AJ494" t="str">
            <v>[]</v>
          </cell>
          <cell r="AK494" t="str">
            <v>[]</v>
          </cell>
          <cell r="AL494" t="str">
            <v>[]</v>
          </cell>
          <cell r="AM494" t="str">
            <v>[]</v>
          </cell>
          <cell r="AN494">
            <v>1</v>
          </cell>
          <cell r="AO494" t="str">
            <v>0.05,0.65,0.35</v>
          </cell>
          <cell r="AP494">
            <v>900016</v>
          </cell>
          <cell r="AQ494" t="str">
            <v>900016</v>
          </cell>
          <cell r="AR494" t="str">
            <v>[]</v>
          </cell>
          <cell r="AS494" t="str">
            <v>[]</v>
          </cell>
          <cell r="AT494" t="str">
            <v>115</v>
          </cell>
          <cell r="AU494" t="str">
            <v>5120</v>
          </cell>
          <cell r="AV494" t="str">
            <v>水狐美人</v>
          </cell>
          <cell r="AW494" t="str">
            <v>02</v>
          </cell>
          <cell r="AX494" t="str">
            <v>[]</v>
          </cell>
          <cell r="AY494">
            <v>3</v>
          </cell>
          <cell r="BE494"/>
          <cell r="BF494"/>
        </row>
        <row r="495">
          <cell r="A495" t="str">
            <v>jin_jiaoren_skill02</v>
          </cell>
          <cell r="B495" t="str">
            <v>自然守护</v>
          </cell>
          <cell r="C495" t="str">
            <v>提高自身@s闪避率，持续10秒</v>
          </cell>
          <cell r="D495" t="str">
            <v>[]</v>
          </cell>
          <cell r="E495">
            <v>0</v>
          </cell>
          <cell r="F495" t="str">
            <v>[]</v>
          </cell>
          <cell r="G495" t="str">
            <v>鲛人技能</v>
          </cell>
          <cell r="H495" t="str">
            <v>jiaoren_skill02</v>
          </cell>
          <cell r="I495" t="str">
            <v>[]</v>
          </cell>
          <cell r="J495">
            <v>1</v>
          </cell>
          <cell r="K495">
            <v>10</v>
          </cell>
          <cell r="L495" t="str">
            <v>[]</v>
          </cell>
          <cell r="M495">
            <v>2</v>
          </cell>
          <cell r="N495">
            <v>2</v>
          </cell>
          <cell r="O495">
            <v>1</v>
          </cell>
          <cell r="P495">
            <v>0</v>
          </cell>
          <cell r="Q495">
            <v>12</v>
          </cell>
          <cell r="R495">
            <v>1</v>
          </cell>
          <cell r="S495" t="str">
            <v>4|0.2</v>
          </cell>
          <cell r="T495">
            <v>1</v>
          </cell>
          <cell r="U495">
            <v>1</v>
          </cell>
          <cell r="V495">
            <v>0</v>
          </cell>
          <cell r="W495" t="str">
            <v>[]</v>
          </cell>
          <cell r="X495">
            <v>3</v>
          </cell>
          <cell r="Y495" t="str">
            <v>[]</v>
          </cell>
          <cell r="Z495" t="str">
            <v>0,1.667,0</v>
          </cell>
          <cell r="AA495">
            <v>0</v>
          </cell>
          <cell r="AB495">
            <v>6</v>
          </cell>
          <cell r="AC495" t="str">
            <v>[]</v>
          </cell>
          <cell r="AD495" t="str">
            <v>[]</v>
          </cell>
          <cell r="AE495" t="str">
            <v>[]</v>
          </cell>
          <cell r="AF495" t="str">
            <v>jiaoren_skill02</v>
          </cell>
          <cell r="AG495" t="str">
            <v>[]</v>
          </cell>
          <cell r="AH495" t="str">
            <v>[]</v>
          </cell>
          <cell r="AI495" t="str">
            <v>[]</v>
          </cell>
          <cell r="AJ495" t="str">
            <v>[]</v>
          </cell>
          <cell r="AK495" t="str">
            <v>[]</v>
          </cell>
          <cell r="AL495" t="str">
            <v>[]</v>
          </cell>
          <cell r="AM495" t="str">
            <v>buff_jiaoren_skill02</v>
          </cell>
          <cell r="AN495">
            <v>1</v>
          </cell>
          <cell r="AO495">
            <v>0.01</v>
          </cell>
          <cell r="AP495" t="str">
            <v>[]</v>
          </cell>
          <cell r="AQ495" t="str">
            <v>9020</v>
          </cell>
          <cell r="AR495" t="str">
            <v>[]</v>
          </cell>
          <cell r="AS495" t="str">
            <v>[]</v>
          </cell>
          <cell r="AT495" t="str">
            <v>115</v>
          </cell>
          <cell r="AU495" t="str">
            <v>5130</v>
          </cell>
          <cell r="AV495" t="str">
            <v>鲛人</v>
          </cell>
          <cell r="AW495" t="str">
            <v>02</v>
          </cell>
          <cell r="AX495" t="str">
            <v>[]</v>
          </cell>
          <cell r="AY495">
            <v>1</v>
          </cell>
          <cell r="BE495"/>
          <cell r="BF495"/>
        </row>
        <row r="496">
          <cell r="A496" t="str">
            <v>shui_jiaoren_skill02</v>
          </cell>
          <cell r="B496" t="str">
            <v>自然守护</v>
          </cell>
          <cell r="C496" t="str">
            <v>提高自身@s闪避率，持续10秒</v>
          </cell>
          <cell r="D496" t="str">
            <v>[]</v>
          </cell>
          <cell r="E496">
            <v>0</v>
          </cell>
          <cell r="F496" t="str">
            <v>[]</v>
          </cell>
          <cell r="G496" t="str">
            <v>鲛人技能</v>
          </cell>
          <cell r="H496" t="str">
            <v>jiaoren_skill02</v>
          </cell>
          <cell r="I496" t="str">
            <v>[]</v>
          </cell>
          <cell r="J496">
            <v>1</v>
          </cell>
          <cell r="K496">
            <v>10</v>
          </cell>
          <cell r="L496" t="str">
            <v>[]</v>
          </cell>
          <cell r="M496">
            <v>2</v>
          </cell>
          <cell r="N496">
            <v>2</v>
          </cell>
          <cell r="O496">
            <v>1</v>
          </cell>
          <cell r="P496">
            <v>0</v>
          </cell>
          <cell r="Q496">
            <v>12</v>
          </cell>
          <cell r="R496">
            <v>1</v>
          </cell>
          <cell r="S496" t="str">
            <v>4|0.2</v>
          </cell>
          <cell r="T496">
            <v>1</v>
          </cell>
          <cell r="U496">
            <v>1</v>
          </cell>
          <cell r="V496">
            <v>0</v>
          </cell>
          <cell r="W496" t="str">
            <v>[]</v>
          </cell>
          <cell r="X496">
            <v>3</v>
          </cell>
          <cell r="Y496" t="str">
            <v>[]</v>
          </cell>
          <cell r="Z496" t="str">
            <v>0,1.667,0</v>
          </cell>
          <cell r="AA496">
            <v>0</v>
          </cell>
          <cell r="AB496">
            <v>6</v>
          </cell>
          <cell r="AC496" t="str">
            <v>[]</v>
          </cell>
          <cell r="AD496" t="str">
            <v>[]</v>
          </cell>
          <cell r="AE496" t="str">
            <v>[]</v>
          </cell>
          <cell r="AF496" t="str">
            <v>jiaoren_skill02</v>
          </cell>
          <cell r="AG496" t="str">
            <v>[]</v>
          </cell>
          <cell r="AH496" t="str">
            <v>[]</v>
          </cell>
          <cell r="AI496" t="str">
            <v>[]</v>
          </cell>
          <cell r="AJ496" t="str">
            <v>[]</v>
          </cell>
          <cell r="AK496" t="str">
            <v>[]</v>
          </cell>
          <cell r="AL496" t="str">
            <v>[]</v>
          </cell>
          <cell r="AM496" t="str">
            <v>buff_jiaoren_skill02</v>
          </cell>
          <cell r="AN496">
            <v>1</v>
          </cell>
          <cell r="AO496">
            <v>0.01</v>
          </cell>
          <cell r="AP496" t="str">
            <v>[]</v>
          </cell>
          <cell r="AQ496" t="str">
            <v>9020</v>
          </cell>
          <cell r="AR496" t="str">
            <v>[]</v>
          </cell>
          <cell r="AS496" t="str">
            <v>[]</v>
          </cell>
          <cell r="AT496" t="str">
            <v>9010</v>
          </cell>
          <cell r="AU496" t="str">
            <v>5130</v>
          </cell>
          <cell r="AV496" t="str">
            <v>鲛人</v>
          </cell>
          <cell r="AW496" t="str">
            <v>02</v>
          </cell>
          <cell r="AX496" t="str">
            <v>[]</v>
          </cell>
          <cell r="AY496">
            <v>1</v>
          </cell>
          <cell r="BE496"/>
          <cell r="BF496"/>
        </row>
        <row r="497">
          <cell r="A497" t="str">
            <v>qinxian_skill02</v>
          </cell>
          <cell r="B497" t="str">
            <v>琴音缭绕</v>
          </cell>
          <cell r="C497" t="str">
            <v>对目标造成自身攻击力@s的伤害</v>
          </cell>
          <cell r="D497" t="str">
            <v>[]</v>
          </cell>
          <cell r="E497">
            <v>0</v>
          </cell>
          <cell r="F497" t="str">
            <v>[]</v>
          </cell>
          <cell r="G497" t="str">
            <v>琴仙技能</v>
          </cell>
          <cell r="H497" t="str">
            <v>qinxian_skill02</v>
          </cell>
          <cell r="I497" t="str">
            <v>[]</v>
          </cell>
          <cell r="J497">
            <v>1</v>
          </cell>
          <cell r="K497">
            <v>10</v>
          </cell>
          <cell r="L497" t="str">
            <v>[]</v>
          </cell>
          <cell r="M497">
            <v>2</v>
          </cell>
          <cell r="N497">
            <v>2</v>
          </cell>
          <cell r="O497">
            <v>1</v>
          </cell>
          <cell r="P497">
            <v>2</v>
          </cell>
          <cell r="Q497">
            <v>12</v>
          </cell>
          <cell r="R497" t="str">
            <v>2|1</v>
          </cell>
          <cell r="S497" t="str">
            <v>4|0.2</v>
          </cell>
          <cell r="T497">
            <v>1</v>
          </cell>
          <cell r="U497">
            <v>1</v>
          </cell>
          <cell r="V497">
            <v>0</v>
          </cell>
          <cell r="W497" t="str">
            <v>[]</v>
          </cell>
          <cell r="X497">
            <v>3</v>
          </cell>
          <cell r="Y497" t="str">
            <v>[]</v>
          </cell>
          <cell r="Z497" t="str">
            <v>0,1.667,0</v>
          </cell>
          <cell r="AA497">
            <v>0</v>
          </cell>
          <cell r="AB497">
            <v>6</v>
          </cell>
          <cell r="AC497" t="str">
            <v>[]</v>
          </cell>
          <cell r="AD497" t="str">
            <v>[]</v>
          </cell>
          <cell r="AE497" t="str">
            <v>[]</v>
          </cell>
          <cell r="AF497" t="str">
            <v>qinxian_skill02</v>
          </cell>
          <cell r="AG497" t="str">
            <v>qinxian_skill02_hit</v>
          </cell>
          <cell r="AH497" t="str">
            <v>[]</v>
          </cell>
          <cell r="AI497" t="str">
            <v>[]</v>
          </cell>
          <cell r="AJ497" t="str">
            <v>[]</v>
          </cell>
          <cell r="AK497" t="str">
            <v>[]</v>
          </cell>
          <cell r="AL497" t="str">
            <v>[]</v>
          </cell>
          <cell r="AM497" t="str">
            <v>[]</v>
          </cell>
          <cell r="AN497">
            <v>2</v>
          </cell>
          <cell r="AO497">
            <v>1</v>
          </cell>
          <cell r="AP497">
            <v>119201</v>
          </cell>
          <cell r="AQ497" t="str">
            <v>119201</v>
          </cell>
          <cell r="AR497" t="str">
            <v>[]</v>
          </cell>
          <cell r="AS497" t="str">
            <v>[]</v>
          </cell>
          <cell r="AT497" t="str">
            <v>115</v>
          </cell>
          <cell r="AU497" t="str">
            <v>5150</v>
          </cell>
          <cell r="AV497" t="str">
            <v>琴仙</v>
          </cell>
          <cell r="AW497" t="str">
            <v>02</v>
          </cell>
          <cell r="AX497" t="str">
            <v>[]</v>
          </cell>
          <cell r="AY497">
            <v>1</v>
          </cell>
          <cell r="BE497"/>
          <cell r="BF497"/>
        </row>
        <row r="498">
          <cell r="A498" t="str">
            <v>tianjiang_skill02</v>
          </cell>
          <cell r="B498" t="str">
            <v>瓮金锤</v>
          </cell>
          <cell r="C498" t="str">
            <v>对范围内目标造成自身攻击力@s的伤害</v>
          </cell>
          <cell r="D498" t="str">
            <v>[]</v>
          </cell>
          <cell r="E498">
            <v>0</v>
          </cell>
          <cell r="F498" t="str">
            <v>[]</v>
          </cell>
          <cell r="G498" t="str">
            <v>天将</v>
          </cell>
          <cell r="H498" t="str">
            <v>tianjiang_skill02</v>
          </cell>
          <cell r="I498" t="str">
            <v>[]</v>
          </cell>
          <cell r="J498">
            <v>1</v>
          </cell>
          <cell r="K498">
            <v>10</v>
          </cell>
          <cell r="L498" t="str">
            <v>[]</v>
          </cell>
          <cell r="M498">
            <v>2</v>
          </cell>
          <cell r="N498">
            <v>2</v>
          </cell>
          <cell r="O498">
            <v>1</v>
          </cell>
          <cell r="P498">
            <v>2</v>
          </cell>
          <cell r="Q498">
            <v>12</v>
          </cell>
          <cell r="R498" t="str">
            <v>2|1</v>
          </cell>
          <cell r="S498" t="str">
            <v>1|3|5</v>
          </cell>
          <cell r="T498">
            <v>10</v>
          </cell>
          <cell r="U498">
            <v>1</v>
          </cell>
          <cell r="V498">
            <v>0</v>
          </cell>
          <cell r="W498" t="str">
            <v>[]</v>
          </cell>
          <cell r="X498">
            <v>3</v>
          </cell>
          <cell r="Y498" t="str">
            <v>[]</v>
          </cell>
          <cell r="Z498" t="str">
            <v>0,1.2,0</v>
          </cell>
          <cell r="AA498">
            <v>0</v>
          </cell>
          <cell r="AB498">
            <v>6</v>
          </cell>
          <cell r="AC498" t="str">
            <v>[]</v>
          </cell>
          <cell r="AD498" t="str">
            <v>[]</v>
          </cell>
          <cell r="AE498" t="str">
            <v>[]</v>
          </cell>
          <cell r="AF498" t="str">
            <v>tianjiang_skill02</v>
          </cell>
          <cell r="AG498" t="str">
            <v>common_hit_zhongwuqi</v>
          </cell>
          <cell r="AH498" t="str">
            <v>[]</v>
          </cell>
          <cell r="AI498" t="str">
            <v>[]</v>
          </cell>
          <cell r="AJ498" t="str">
            <v>[]</v>
          </cell>
          <cell r="AK498" t="str">
            <v>[]</v>
          </cell>
          <cell r="AL498" t="str">
            <v>[]</v>
          </cell>
          <cell r="AM498" t="str">
            <v>[]</v>
          </cell>
          <cell r="AN498">
            <v>2</v>
          </cell>
          <cell r="AO498">
            <v>1</v>
          </cell>
          <cell r="AP498">
            <v>201801</v>
          </cell>
          <cell r="AQ498" t="str">
            <v>201801</v>
          </cell>
          <cell r="AR498" t="str">
            <v>[]</v>
          </cell>
          <cell r="AS498" t="str">
            <v>[]</v>
          </cell>
          <cell r="AT498" t="str">
            <v>1128</v>
          </cell>
          <cell r="AU498" t="str">
            <v>5160</v>
          </cell>
          <cell r="AV498" t="str">
            <v>天将</v>
          </cell>
          <cell r="AW498" t="str">
            <v>02</v>
          </cell>
          <cell r="AX498" t="str">
            <v>[]</v>
          </cell>
          <cell r="AY498">
            <v>1</v>
          </cell>
          <cell r="BE498"/>
          <cell r="BF498"/>
        </row>
        <row r="499">
          <cell r="A499" t="str">
            <v>jisufeijian_skill01</v>
          </cell>
          <cell r="B499" t="str">
            <v>急速飞箭</v>
          </cell>
          <cell r="C499" t="str">
            <v>对范围内目标造成6次主角攻击力@s的伤害</v>
          </cell>
          <cell r="D499" t="str">
            <v>[]</v>
          </cell>
          <cell r="E499">
            <v>0</v>
          </cell>
          <cell r="F499" t="str">
            <v>[]</v>
          </cell>
          <cell r="G499" t="str">
            <v>急速飞箭</v>
          </cell>
          <cell r="H499" t="str">
            <v>jisufeijian</v>
          </cell>
          <cell r="I499" t="str">
            <v>jisufeijian</v>
          </cell>
          <cell r="J499">
            <v>0</v>
          </cell>
          <cell r="K499">
            <v>10</v>
          </cell>
          <cell r="L499" t="str">
            <v>1|55</v>
          </cell>
          <cell r="M499">
            <v>2</v>
          </cell>
          <cell r="N499">
            <v>2</v>
          </cell>
          <cell r="O499">
            <v>1</v>
          </cell>
          <cell r="P499">
            <v>2</v>
          </cell>
          <cell r="Q499">
            <v>12</v>
          </cell>
          <cell r="R499" t="str">
            <v>2|1</v>
          </cell>
          <cell r="S499" t="str">
            <v>3|12|60</v>
          </cell>
          <cell r="T499">
            <v>10</v>
          </cell>
          <cell r="U499">
            <v>1</v>
          </cell>
          <cell r="V499">
            <v>0</v>
          </cell>
          <cell r="W499" t="str">
            <v>[]</v>
          </cell>
          <cell r="X499">
            <v>0</v>
          </cell>
          <cell r="Y499" t="str">
            <v>[]</v>
          </cell>
          <cell r="Z499" t="str">
            <v>0,0,0</v>
          </cell>
          <cell r="AA499">
            <v>0</v>
          </cell>
          <cell r="AB499" t="str">
            <v>12</v>
          </cell>
          <cell r="AC499" t="str">
            <v>[]</v>
          </cell>
          <cell r="AD499" t="str">
            <v>[]</v>
          </cell>
          <cell r="AE499" t="str">
            <v>[]</v>
          </cell>
          <cell r="AF499" t="str">
            <v>jisufeijian</v>
          </cell>
          <cell r="AG499" t="str">
            <v>common_hit_qinwuqi</v>
          </cell>
          <cell r="AH499" t="str">
            <v>[]</v>
          </cell>
          <cell r="AI499" t="str">
            <v>[]</v>
          </cell>
          <cell r="AJ499" t="str">
            <v>[]</v>
          </cell>
          <cell r="AK499" t="str">
            <v>[]</v>
          </cell>
          <cell r="AL499" t="str">
            <v>[]</v>
          </cell>
          <cell r="AM499" t="str">
            <v>[]</v>
          </cell>
          <cell r="AN499">
            <v>1</v>
          </cell>
          <cell r="AO499" t="str">
            <v>0.5,0.20,0.18,0.18,0.18,0.18</v>
          </cell>
          <cell r="AP499">
            <v>900019</v>
          </cell>
          <cell r="AQ499" t="str">
            <v>900019</v>
          </cell>
          <cell r="AR499" t="str">
            <v>[]</v>
          </cell>
          <cell r="AS499" t="str">
            <v>[]</v>
          </cell>
          <cell r="AT499" t="str">
            <v>1128</v>
          </cell>
          <cell r="AU499" t="str">
            <v>5510</v>
          </cell>
          <cell r="AV499" t="str">
            <v>急速飞箭</v>
          </cell>
          <cell r="AW499" t="str">
            <v>01</v>
          </cell>
          <cell r="AX499" t="str">
            <v>[]</v>
          </cell>
          <cell r="AY499">
            <v>6</v>
          </cell>
          <cell r="BE499"/>
          <cell r="BF499"/>
        </row>
        <row r="500">
          <cell r="A500" t="str">
            <v>jianqi_skill01</v>
          </cell>
          <cell r="B500" t="str">
            <v>剑气</v>
          </cell>
          <cell r="C500" t="str">
            <v>对范围内目标造成主角攻击力@s的伤害</v>
          </cell>
          <cell r="D500" t="str">
            <v>[]</v>
          </cell>
          <cell r="E500">
            <v>0</v>
          </cell>
          <cell r="F500" t="str">
            <v>[]</v>
          </cell>
          <cell r="G500" t="str">
            <v>剑气</v>
          </cell>
          <cell r="H500" t="str">
            <v>jianqi</v>
          </cell>
          <cell r="I500" t="str">
            <v>jianqi</v>
          </cell>
          <cell r="J500">
            <v>0</v>
          </cell>
          <cell r="K500">
            <v>10</v>
          </cell>
          <cell r="L500" t="str">
            <v>1|49</v>
          </cell>
          <cell r="M500">
            <v>2</v>
          </cell>
          <cell r="N500">
            <v>2</v>
          </cell>
          <cell r="O500">
            <v>1</v>
          </cell>
          <cell r="P500">
            <v>3</v>
          </cell>
          <cell r="Q500">
            <v>12</v>
          </cell>
          <cell r="R500" t="str">
            <v>2|1</v>
          </cell>
          <cell r="S500" t="str">
            <v>3|12|60</v>
          </cell>
          <cell r="T500">
            <v>10</v>
          </cell>
          <cell r="U500">
            <v>1</v>
          </cell>
          <cell r="V500">
            <v>0</v>
          </cell>
          <cell r="W500" t="str">
            <v>[]</v>
          </cell>
          <cell r="X500">
            <v>0</v>
          </cell>
          <cell r="Y500" t="str">
            <v>[]</v>
          </cell>
          <cell r="Z500" t="str">
            <v>0,0,0</v>
          </cell>
          <cell r="AA500">
            <v>0</v>
          </cell>
          <cell r="AB500" t="str">
            <v>12</v>
          </cell>
          <cell r="AC500" t="str">
            <v>[]</v>
          </cell>
          <cell r="AD500" t="str">
            <v>[]</v>
          </cell>
          <cell r="AE500" t="str">
            <v>[]</v>
          </cell>
          <cell r="AF500" t="str">
            <v>jianqi</v>
          </cell>
          <cell r="AG500" t="str">
            <v>common_hit_qinwuqi</v>
          </cell>
          <cell r="AH500" t="str">
            <v>[]</v>
          </cell>
          <cell r="AI500" t="str">
            <v>[]</v>
          </cell>
          <cell r="AJ500" t="str">
            <v>[]</v>
          </cell>
          <cell r="AK500" t="str">
            <v>[]</v>
          </cell>
          <cell r="AL500" t="str">
            <v>[]</v>
          </cell>
          <cell r="AM500" t="str">
            <v>[]</v>
          </cell>
          <cell r="AN500">
            <v>1</v>
          </cell>
          <cell r="AO500">
            <v>0.75</v>
          </cell>
          <cell r="AP500">
            <v>900020</v>
          </cell>
          <cell r="AQ500" t="str">
            <v>900020</v>
          </cell>
          <cell r="AR500" t="str">
            <v>[]</v>
          </cell>
          <cell r="AS500" t="str">
            <v>[]</v>
          </cell>
          <cell r="AT500" t="str">
            <v>1128</v>
          </cell>
          <cell r="AU500" t="str">
            <v>5520</v>
          </cell>
          <cell r="AV500" t="str">
            <v>剑气</v>
          </cell>
          <cell r="AW500" t="str">
            <v>01</v>
          </cell>
          <cell r="AX500" t="str">
            <v>[]</v>
          </cell>
          <cell r="AY500">
            <v>1</v>
          </cell>
          <cell r="BE500"/>
          <cell r="BF500"/>
        </row>
        <row r="501">
          <cell r="A501" t="str">
            <v>lijianxueren_skill01</v>
          </cell>
          <cell r="B501" t="str">
            <v>砺剑血刃</v>
          </cell>
          <cell r="C501" t="str">
            <v>提高全体队友@s的命中率，@s的攻击力，持续5秒</v>
          </cell>
          <cell r="D501" t="str">
            <v>[]</v>
          </cell>
          <cell r="E501">
            <v>0</v>
          </cell>
          <cell r="F501" t="str">
            <v>[]</v>
          </cell>
          <cell r="G501" t="str">
            <v>砺剑血刃</v>
          </cell>
          <cell r="H501" t="str">
            <v>lijianxueren</v>
          </cell>
          <cell r="I501" t="str">
            <v>lijianxueren</v>
          </cell>
          <cell r="J501">
            <v>0</v>
          </cell>
          <cell r="K501">
            <v>10</v>
          </cell>
          <cell r="L501" t="str">
            <v>1|64</v>
          </cell>
          <cell r="M501">
            <v>2</v>
          </cell>
          <cell r="N501">
            <v>2</v>
          </cell>
          <cell r="O501">
            <v>1</v>
          </cell>
          <cell r="P501">
            <v>4</v>
          </cell>
          <cell r="Q501">
            <v>12</v>
          </cell>
          <cell r="R501">
            <v>3</v>
          </cell>
          <cell r="S501">
            <v>5</v>
          </cell>
          <cell r="T501">
            <v>10</v>
          </cell>
          <cell r="U501">
            <v>0</v>
          </cell>
          <cell r="V501">
            <v>0</v>
          </cell>
          <cell r="W501" t="str">
            <v>[]</v>
          </cell>
          <cell r="X501">
            <v>0</v>
          </cell>
          <cell r="Y501" t="str">
            <v>[]</v>
          </cell>
          <cell r="Z501" t="str">
            <v>0,0,0</v>
          </cell>
          <cell r="AA501">
            <v>0</v>
          </cell>
          <cell r="AB501" t="str">
            <v>12</v>
          </cell>
          <cell r="AC501" t="str">
            <v>[]</v>
          </cell>
          <cell r="AD501" t="str">
            <v>[]</v>
          </cell>
          <cell r="AE501" t="str">
            <v>[]</v>
          </cell>
          <cell r="AF501" t="str">
            <v>lijianxueren_ack</v>
          </cell>
          <cell r="AG501" t="str">
            <v>[]</v>
          </cell>
          <cell r="AH501" t="str">
            <v>[]</v>
          </cell>
          <cell r="AI501" t="str">
            <v>[]</v>
          </cell>
          <cell r="AJ501" t="str">
            <v>[]</v>
          </cell>
          <cell r="AK501" t="str">
            <v>[]</v>
          </cell>
          <cell r="AL501" t="str">
            <v>[]</v>
          </cell>
          <cell r="AM501" t="str">
            <v>[]</v>
          </cell>
          <cell r="AN501">
            <v>1</v>
          </cell>
          <cell r="AO501">
            <v>0.01</v>
          </cell>
          <cell r="AP501" t="str">
            <v>[]</v>
          </cell>
          <cell r="AQ501" t="str">
            <v>9005,9005</v>
          </cell>
          <cell r="AR501" t="str">
            <v>[]</v>
          </cell>
          <cell r="AS501" t="str">
            <v>[]</v>
          </cell>
          <cell r="AT501" t="str">
            <v>6590</v>
          </cell>
          <cell r="AU501" t="str">
            <v>5530</v>
          </cell>
          <cell r="AV501" t="str">
            <v>砺剑血刃</v>
          </cell>
          <cell r="AW501" t="str">
            <v>01</v>
          </cell>
          <cell r="AX501" t="str">
            <v>[]</v>
          </cell>
          <cell r="AY501">
            <v>1</v>
          </cell>
          <cell r="BE501"/>
          <cell r="BF501"/>
        </row>
        <row r="502">
          <cell r="A502" t="str">
            <v>zhongchui_skill01</v>
          </cell>
          <cell r="B502" t="str">
            <v>重锤</v>
          </cell>
          <cell r="C502" t="str">
            <v>对范围内目标造成主角攻击力@s的伤害</v>
          </cell>
          <cell r="D502" t="str">
            <v>[]</v>
          </cell>
          <cell r="E502">
            <v>0</v>
          </cell>
          <cell r="F502" t="str">
            <v>[]</v>
          </cell>
          <cell r="G502" t="str">
            <v>重锤</v>
          </cell>
          <cell r="H502" t="str">
            <v>zhongchui</v>
          </cell>
          <cell r="I502" t="str">
            <v>zhongchui</v>
          </cell>
          <cell r="J502">
            <v>0</v>
          </cell>
          <cell r="K502">
            <v>10</v>
          </cell>
          <cell r="L502" t="str">
            <v>1|46</v>
          </cell>
          <cell r="M502">
            <v>2</v>
          </cell>
          <cell r="N502">
            <v>2</v>
          </cell>
          <cell r="O502">
            <v>2</v>
          </cell>
          <cell r="P502">
            <v>2</v>
          </cell>
          <cell r="Q502">
            <v>12</v>
          </cell>
          <cell r="R502" t="str">
            <v>2|1</v>
          </cell>
          <cell r="S502" t="str">
            <v>2|10</v>
          </cell>
          <cell r="T502">
            <v>10</v>
          </cell>
          <cell r="U502">
            <v>0</v>
          </cell>
          <cell r="V502">
            <v>0</v>
          </cell>
          <cell r="W502" t="str">
            <v>[]</v>
          </cell>
          <cell r="X502">
            <v>0</v>
          </cell>
          <cell r="Y502" t="str">
            <v>[]</v>
          </cell>
          <cell r="Z502" t="str">
            <v>0,0,0</v>
          </cell>
          <cell r="AA502">
            <v>0</v>
          </cell>
          <cell r="AB502" t="str">
            <v>12</v>
          </cell>
          <cell r="AC502" t="str">
            <v>[]</v>
          </cell>
          <cell r="AD502" t="str">
            <v>[]</v>
          </cell>
          <cell r="AE502" t="str">
            <v>[]</v>
          </cell>
          <cell r="AF502" t="str">
            <v>zhongchui</v>
          </cell>
          <cell r="AG502" t="str">
            <v>common_hit_zhongwuqi</v>
          </cell>
          <cell r="AH502" t="str">
            <v>[]</v>
          </cell>
          <cell r="AI502" t="str">
            <v>[]</v>
          </cell>
          <cell r="AJ502" t="str">
            <v>[]</v>
          </cell>
          <cell r="AK502" t="str">
            <v>common_yunxuan</v>
          </cell>
          <cell r="AL502" t="str">
            <v>[]</v>
          </cell>
          <cell r="AM502" t="str">
            <v>[]</v>
          </cell>
          <cell r="AN502">
            <v>1</v>
          </cell>
          <cell r="AO502">
            <v>0.45</v>
          </cell>
          <cell r="AP502">
            <v>900022</v>
          </cell>
          <cell r="AQ502" t="str">
            <v>900022</v>
          </cell>
          <cell r="AR502" t="str">
            <v>[]</v>
          </cell>
          <cell r="AS502" t="str">
            <v>[]</v>
          </cell>
          <cell r="AT502" t="str">
            <v>1128</v>
          </cell>
          <cell r="AU502" t="str">
            <v>5540</v>
          </cell>
          <cell r="AV502" t="str">
            <v>重锤</v>
          </cell>
          <cell r="AW502" t="str">
            <v>01</v>
          </cell>
          <cell r="AX502" t="str">
            <v>[]</v>
          </cell>
          <cell r="AY502">
            <v>1</v>
          </cell>
          <cell r="BE502"/>
          <cell r="BF502"/>
        </row>
        <row r="503">
          <cell r="A503" t="str">
            <v>jinganghuti_skill01</v>
          </cell>
          <cell r="B503" t="str">
            <v>金刚护体</v>
          </cell>
          <cell r="C503" t="str">
            <v>提高范围内队友@s的防御力，持续5秒</v>
          </cell>
          <cell r="D503" t="str">
            <v>[]</v>
          </cell>
          <cell r="E503">
            <v>0</v>
          </cell>
          <cell r="F503" t="str">
            <v>[]</v>
          </cell>
          <cell r="G503" t="str">
            <v>金刚护体</v>
          </cell>
          <cell r="H503" t="str">
            <v>jinganghuti</v>
          </cell>
          <cell r="I503" t="str">
            <v>jinganghuti</v>
          </cell>
          <cell r="J503">
            <v>0</v>
          </cell>
          <cell r="K503">
            <v>10</v>
          </cell>
          <cell r="L503" t="str">
            <v>1|84</v>
          </cell>
          <cell r="M503">
            <v>2</v>
          </cell>
          <cell r="N503">
            <v>2</v>
          </cell>
          <cell r="O503">
            <v>1</v>
          </cell>
          <cell r="P503">
            <v>4</v>
          </cell>
          <cell r="Q503">
            <v>12</v>
          </cell>
          <cell r="R503">
            <v>3</v>
          </cell>
          <cell r="S503">
            <v>5</v>
          </cell>
          <cell r="T503">
            <v>10</v>
          </cell>
          <cell r="U503">
            <v>1</v>
          </cell>
          <cell r="V503">
            <v>0</v>
          </cell>
          <cell r="W503" t="str">
            <v>[]</v>
          </cell>
          <cell r="X503">
            <v>0</v>
          </cell>
          <cell r="Y503" t="str">
            <v>[]</v>
          </cell>
          <cell r="Z503" t="str">
            <v>0,0,0</v>
          </cell>
          <cell r="AA503">
            <v>0</v>
          </cell>
          <cell r="AB503" t="str">
            <v>12</v>
          </cell>
          <cell r="AC503" t="str">
            <v>[]</v>
          </cell>
          <cell r="AD503" t="str">
            <v>[]</v>
          </cell>
          <cell r="AE503" t="str">
            <v>[]</v>
          </cell>
          <cell r="AF503" t="str">
            <v>jinganghuti</v>
          </cell>
          <cell r="AG503" t="str">
            <v>[]</v>
          </cell>
          <cell r="AH503" t="str">
            <v>[]</v>
          </cell>
          <cell r="AI503" t="str">
            <v>[]</v>
          </cell>
          <cell r="AJ503" t="str">
            <v>[]</v>
          </cell>
          <cell r="AK503" t="str">
            <v>[]</v>
          </cell>
          <cell r="AL503" t="str">
            <v>[]</v>
          </cell>
          <cell r="AM503" t="str">
            <v>[]</v>
          </cell>
          <cell r="AN503">
            <v>0</v>
          </cell>
          <cell r="AO503" t="str">
            <v>[]</v>
          </cell>
          <cell r="AP503" t="str">
            <v>[]</v>
          </cell>
          <cell r="AQ503" t="str">
            <v>9010</v>
          </cell>
          <cell r="AR503" t="str">
            <v>[]</v>
          </cell>
          <cell r="AS503" t="str">
            <v>[]</v>
          </cell>
          <cell r="AT503" t="str">
            <v>1214</v>
          </cell>
          <cell r="AU503" t="str">
            <v>5550</v>
          </cell>
          <cell r="AV503" t="str">
            <v>金刚护体</v>
          </cell>
          <cell r="AW503" t="str">
            <v>01</v>
          </cell>
          <cell r="AX503" t="str">
            <v>[]</v>
          </cell>
          <cell r="AY503">
            <v>1</v>
          </cell>
          <cell r="BE503"/>
          <cell r="BF503"/>
        </row>
        <row r="504">
          <cell r="A504" t="str">
            <v>dujianyu_skill01</v>
          </cell>
          <cell r="B504" t="str">
            <v>毒箭雨</v>
          </cell>
          <cell r="C504" t="str">
            <v>对范围内目标造成5次主角攻击力@s的伤害</v>
          </cell>
          <cell r="D504" t="str">
            <v>[]</v>
          </cell>
          <cell r="E504">
            <v>0</v>
          </cell>
          <cell r="F504" t="str">
            <v>[]</v>
          </cell>
          <cell r="G504" t="str">
            <v>毒箭雨</v>
          </cell>
          <cell r="H504" t="str">
            <v>dujianyu</v>
          </cell>
          <cell r="I504" t="str">
            <v>dujianyu</v>
          </cell>
          <cell r="J504">
            <v>0</v>
          </cell>
          <cell r="K504">
            <v>10</v>
          </cell>
          <cell r="L504" t="str">
            <v>1|56</v>
          </cell>
          <cell r="M504">
            <v>2</v>
          </cell>
          <cell r="N504">
            <v>2</v>
          </cell>
          <cell r="O504">
            <v>2</v>
          </cell>
          <cell r="P504">
            <v>2</v>
          </cell>
          <cell r="Q504">
            <v>12</v>
          </cell>
          <cell r="R504" t="str">
            <v>2|1</v>
          </cell>
          <cell r="S504" t="str">
            <v>2|10</v>
          </cell>
          <cell r="T504">
            <v>10</v>
          </cell>
          <cell r="U504">
            <v>0</v>
          </cell>
          <cell r="V504">
            <v>0</v>
          </cell>
          <cell r="W504" t="str">
            <v>[]</v>
          </cell>
          <cell r="X504">
            <v>0</v>
          </cell>
          <cell r="Y504" t="str">
            <v>[]</v>
          </cell>
          <cell r="Z504" t="str">
            <v>0,0,0</v>
          </cell>
          <cell r="AA504">
            <v>0</v>
          </cell>
          <cell r="AB504" t="str">
            <v>12</v>
          </cell>
          <cell r="AC504" t="str">
            <v>[]</v>
          </cell>
          <cell r="AD504" t="str">
            <v>[]</v>
          </cell>
          <cell r="AE504" t="str">
            <v>[]</v>
          </cell>
          <cell r="AF504" t="str">
            <v>dujianyu</v>
          </cell>
          <cell r="AG504" t="str">
            <v>common_hit_fashu</v>
          </cell>
          <cell r="AH504" t="str">
            <v>[]</v>
          </cell>
          <cell r="AI504" t="str">
            <v>[]</v>
          </cell>
          <cell r="AJ504" t="str">
            <v>[]</v>
          </cell>
          <cell r="AK504" t="str">
            <v>[]</v>
          </cell>
          <cell r="AL504" t="str">
            <v>[]</v>
          </cell>
          <cell r="AM504" t="str">
            <v>[]</v>
          </cell>
          <cell r="AN504">
            <v>1</v>
          </cell>
          <cell r="AO504" t="str">
            <v>1.3,0.4,0.4,0.4,0.5</v>
          </cell>
          <cell r="AP504">
            <v>900024</v>
          </cell>
          <cell r="AQ504" t="str">
            <v>900024</v>
          </cell>
          <cell r="AR504" t="str">
            <v>[]</v>
          </cell>
          <cell r="AS504" t="str">
            <v>[]</v>
          </cell>
          <cell r="AT504" t="str">
            <v>1214</v>
          </cell>
          <cell r="AU504" t="str">
            <v>5610</v>
          </cell>
          <cell r="AV504" t="str">
            <v>毒箭雨</v>
          </cell>
          <cell r="AW504" t="str">
            <v>01</v>
          </cell>
          <cell r="AX504" t="str">
            <v>[]</v>
          </cell>
          <cell r="AY504">
            <v>5</v>
          </cell>
          <cell r="BE504"/>
          <cell r="BF504"/>
        </row>
        <row r="505">
          <cell r="A505" t="str">
            <v>xianlingzhufu_skill01</v>
          </cell>
          <cell r="B505" t="str">
            <v>仙灵祝福</v>
          </cell>
          <cell r="C505" t="str">
            <v>治疗单个队友，每秒恢复@s的生命值，持续5秒</v>
          </cell>
          <cell r="D505" t="str">
            <v>[]</v>
          </cell>
          <cell r="E505">
            <v>0</v>
          </cell>
          <cell r="F505" t="str">
            <v>[]</v>
          </cell>
          <cell r="G505" t="str">
            <v>仙灵祝福</v>
          </cell>
          <cell r="H505" t="str">
            <v>xianlingzhufu</v>
          </cell>
          <cell r="I505" t="str">
            <v>xianlingzhufu</v>
          </cell>
          <cell r="J505">
            <v>0</v>
          </cell>
          <cell r="K505">
            <v>10</v>
          </cell>
          <cell r="L505" t="str">
            <v>1|62</v>
          </cell>
          <cell r="M505">
            <v>2</v>
          </cell>
          <cell r="N505">
            <v>2</v>
          </cell>
          <cell r="O505">
            <v>2</v>
          </cell>
          <cell r="P505">
            <v>4</v>
          </cell>
          <cell r="Q505">
            <v>12</v>
          </cell>
          <cell r="R505">
            <v>3</v>
          </cell>
          <cell r="S505">
            <v>5</v>
          </cell>
          <cell r="T505">
            <v>10</v>
          </cell>
          <cell r="U505">
            <v>0</v>
          </cell>
          <cell r="V505">
            <v>0</v>
          </cell>
          <cell r="W505" t="str">
            <v>[]</v>
          </cell>
          <cell r="X505">
            <v>0</v>
          </cell>
          <cell r="Y505" t="str">
            <v>[]</v>
          </cell>
          <cell r="Z505" t="str">
            <v>0,0,0</v>
          </cell>
          <cell r="AA505">
            <v>0</v>
          </cell>
          <cell r="AB505" t="str">
            <v>12</v>
          </cell>
          <cell r="AC505" t="str">
            <v>[]</v>
          </cell>
          <cell r="AD505" t="str">
            <v>[]</v>
          </cell>
          <cell r="AE505" t="str">
            <v>[]</v>
          </cell>
          <cell r="AF505" t="str">
            <v>mu_furongxianzi_skill01</v>
          </cell>
          <cell r="AG505" t="str">
            <v>[]</v>
          </cell>
          <cell r="AH505" t="str">
            <v>[]</v>
          </cell>
          <cell r="AI505" t="str">
            <v>[]</v>
          </cell>
          <cell r="AJ505" t="str">
            <v>[]</v>
          </cell>
          <cell r="AK505" t="str">
            <v>[]</v>
          </cell>
          <cell r="AL505" t="str">
            <v>[]</v>
          </cell>
          <cell r="AM505" t="str">
            <v>[]</v>
          </cell>
          <cell r="AN505">
            <v>0</v>
          </cell>
          <cell r="AO505" t="str">
            <v>[]</v>
          </cell>
          <cell r="AP505" t="str">
            <v>[]</v>
          </cell>
          <cell r="AQ505" t="str">
            <v>900025</v>
          </cell>
          <cell r="AR505" t="str">
            <v>[]</v>
          </cell>
          <cell r="AS505" t="str">
            <v>[]</v>
          </cell>
          <cell r="AT505" t="str">
            <v>1214</v>
          </cell>
          <cell r="AU505" t="str">
            <v>5620</v>
          </cell>
          <cell r="AV505" t="str">
            <v>仙灵祝福</v>
          </cell>
          <cell r="AW505" t="str">
            <v>01</v>
          </cell>
          <cell r="AX505" t="str">
            <v>[]</v>
          </cell>
          <cell r="AY505">
            <v>1</v>
          </cell>
          <cell r="BE505"/>
          <cell r="BF505"/>
        </row>
        <row r="506">
          <cell r="A506" t="str">
            <v>zhangqidutan_skill01</v>
          </cell>
          <cell r="B506" t="str">
            <v>瘴气毒潭</v>
          </cell>
          <cell r="C506" t="str">
            <v>对范围内目标造成4次主角攻击力@s的伤害</v>
          </cell>
          <cell r="D506" t="str">
            <v>[]</v>
          </cell>
          <cell r="E506">
            <v>0</v>
          </cell>
          <cell r="F506" t="str">
            <v>[]</v>
          </cell>
          <cell r="G506" t="str">
            <v>瘴气毒潭</v>
          </cell>
          <cell r="H506" t="str">
            <v>zhangqidutan</v>
          </cell>
          <cell r="I506" t="str">
            <v>zhangqidutan</v>
          </cell>
          <cell r="J506">
            <v>0</v>
          </cell>
          <cell r="K506">
            <v>10</v>
          </cell>
          <cell r="L506" t="str">
            <v>1|47</v>
          </cell>
          <cell r="M506">
            <v>2</v>
          </cell>
          <cell r="N506">
            <v>2</v>
          </cell>
          <cell r="O506">
            <v>2</v>
          </cell>
          <cell r="P506">
            <v>2</v>
          </cell>
          <cell r="Q506">
            <v>12</v>
          </cell>
          <cell r="R506" t="str">
            <v>2|1</v>
          </cell>
          <cell r="S506" t="str">
            <v>2|5</v>
          </cell>
          <cell r="T506">
            <v>10</v>
          </cell>
          <cell r="U506">
            <v>0</v>
          </cell>
          <cell r="V506">
            <v>0</v>
          </cell>
          <cell r="W506" t="str">
            <v>[]</v>
          </cell>
          <cell r="X506">
            <v>0</v>
          </cell>
          <cell r="Y506" t="str">
            <v>[]</v>
          </cell>
          <cell r="Z506" t="str">
            <v>0,0,0</v>
          </cell>
          <cell r="AA506">
            <v>0</v>
          </cell>
          <cell r="AB506" t="str">
            <v>12</v>
          </cell>
          <cell r="AC506" t="str">
            <v>[]</v>
          </cell>
          <cell r="AD506" t="str">
            <v>[]</v>
          </cell>
          <cell r="AE506" t="str">
            <v>[]</v>
          </cell>
          <cell r="AF506" t="str">
            <v>zhangqidutan</v>
          </cell>
          <cell r="AG506" t="str">
            <v>common_hit_fashu</v>
          </cell>
          <cell r="AH506" t="str">
            <v>[]</v>
          </cell>
          <cell r="AI506" t="str">
            <v>[]</v>
          </cell>
          <cell r="AJ506" t="str">
            <v>[]</v>
          </cell>
          <cell r="AK506" t="str">
            <v>[]</v>
          </cell>
          <cell r="AL506" t="str">
            <v>[]</v>
          </cell>
          <cell r="AM506" t="str">
            <v>[]</v>
          </cell>
          <cell r="AN506">
            <v>1</v>
          </cell>
          <cell r="AO506" t="str">
            <v>1.1,0.4,0.4,0.4</v>
          </cell>
          <cell r="AP506">
            <v>900026</v>
          </cell>
          <cell r="AQ506" t="str">
            <v>900026</v>
          </cell>
          <cell r="AR506" t="str">
            <v>[]</v>
          </cell>
          <cell r="AS506" t="str">
            <v>[]</v>
          </cell>
          <cell r="AT506" t="str">
            <v>1214</v>
          </cell>
          <cell r="AU506" t="str">
            <v>5630</v>
          </cell>
          <cell r="AV506" t="str">
            <v>瘴气毒潭</v>
          </cell>
          <cell r="AW506" t="str">
            <v>01</v>
          </cell>
          <cell r="AX506" t="str">
            <v>[]</v>
          </cell>
          <cell r="AY506">
            <v>4</v>
          </cell>
          <cell r="BE506"/>
          <cell r="BF506"/>
        </row>
        <row r="507">
          <cell r="A507" t="str">
            <v>yingyan_skill01</v>
          </cell>
          <cell r="B507" t="str">
            <v>鹰眼</v>
          </cell>
          <cell r="C507" t="str">
            <v>提高全体队友@s的命中率，持续5秒</v>
          </cell>
          <cell r="D507" t="str">
            <v>[]</v>
          </cell>
          <cell r="E507">
            <v>0</v>
          </cell>
          <cell r="F507" t="str">
            <v>[]</v>
          </cell>
          <cell r="G507" t="str">
            <v>鹰眼</v>
          </cell>
          <cell r="H507" t="str">
            <v>yingyan</v>
          </cell>
          <cell r="I507" t="str">
            <v>yingyan</v>
          </cell>
          <cell r="J507">
            <v>0</v>
          </cell>
          <cell r="K507">
            <v>10</v>
          </cell>
          <cell r="L507" t="str">
            <v>1|70</v>
          </cell>
          <cell r="M507">
            <v>2</v>
          </cell>
          <cell r="N507">
            <v>2</v>
          </cell>
          <cell r="O507">
            <v>2</v>
          </cell>
          <cell r="P507">
            <v>4</v>
          </cell>
          <cell r="Q507">
            <v>12</v>
          </cell>
          <cell r="R507">
            <v>3</v>
          </cell>
          <cell r="S507">
            <v>5</v>
          </cell>
          <cell r="T507">
            <v>10</v>
          </cell>
          <cell r="U507">
            <v>0</v>
          </cell>
          <cell r="V507">
            <v>0</v>
          </cell>
          <cell r="W507" t="str">
            <v>[]</v>
          </cell>
          <cell r="X507">
            <v>0</v>
          </cell>
          <cell r="Y507" t="str">
            <v>[]</v>
          </cell>
          <cell r="Z507" t="str">
            <v>0,0,0</v>
          </cell>
          <cell r="AA507">
            <v>0</v>
          </cell>
          <cell r="AB507" t="str">
            <v>12</v>
          </cell>
          <cell r="AC507" t="str">
            <v>[]</v>
          </cell>
          <cell r="AD507" t="str">
            <v>[]</v>
          </cell>
          <cell r="AE507" t="str">
            <v>[]</v>
          </cell>
          <cell r="AF507" t="str">
            <v>yingyan</v>
          </cell>
          <cell r="AG507" t="str">
            <v>[]</v>
          </cell>
          <cell r="AH507" t="str">
            <v>[]</v>
          </cell>
          <cell r="AI507" t="str">
            <v>[]</v>
          </cell>
          <cell r="AJ507" t="str">
            <v>[]</v>
          </cell>
          <cell r="AK507" t="str">
            <v>[]</v>
          </cell>
          <cell r="AL507" t="str">
            <v>[]</v>
          </cell>
          <cell r="AM507" t="str">
            <v>[]</v>
          </cell>
          <cell r="AN507">
            <v>0</v>
          </cell>
          <cell r="AO507" t="str">
            <v>[]</v>
          </cell>
          <cell r="AP507" t="str">
            <v>[]</v>
          </cell>
          <cell r="AQ507" t="str">
            <v>9020</v>
          </cell>
          <cell r="AR507" t="str">
            <v>[]</v>
          </cell>
          <cell r="AS507" t="str">
            <v>[]</v>
          </cell>
          <cell r="AT507" t="str">
            <v>1214</v>
          </cell>
          <cell r="AU507" t="str">
            <v>5640</v>
          </cell>
          <cell r="AV507" t="str">
            <v>鹰眼</v>
          </cell>
          <cell r="AW507" t="str">
            <v>01</v>
          </cell>
          <cell r="AX507" t="str">
            <v>[]</v>
          </cell>
          <cell r="AY507">
            <v>1</v>
          </cell>
          <cell r="BE507"/>
          <cell r="BF507"/>
        </row>
        <row r="508">
          <cell r="A508" t="str">
            <v>duchi_skill01</v>
          </cell>
          <cell r="B508" t="str">
            <v>毒池</v>
          </cell>
          <cell r="C508" t="str">
            <v>对范围内目标造成6次主角攻击力@s的伤害</v>
          </cell>
          <cell r="D508" t="str">
            <v>[]</v>
          </cell>
          <cell r="E508">
            <v>0</v>
          </cell>
          <cell r="F508" t="str">
            <v>[]</v>
          </cell>
          <cell r="G508" t="str">
            <v>毒池</v>
          </cell>
          <cell r="H508" t="str">
            <v>duchi</v>
          </cell>
          <cell r="I508" t="str">
            <v>duchi</v>
          </cell>
          <cell r="J508">
            <v>0</v>
          </cell>
          <cell r="K508">
            <v>10</v>
          </cell>
          <cell r="L508" t="str">
            <v>1|90</v>
          </cell>
          <cell r="M508">
            <v>2</v>
          </cell>
          <cell r="N508">
            <v>2</v>
          </cell>
          <cell r="O508">
            <v>2</v>
          </cell>
          <cell r="P508">
            <v>2</v>
          </cell>
          <cell r="Q508">
            <v>12</v>
          </cell>
          <cell r="R508" t="str">
            <v>2|1</v>
          </cell>
          <cell r="S508" t="str">
            <v>2|10</v>
          </cell>
          <cell r="T508">
            <v>10</v>
          </cell>
          <cell r="U508">
            <v>0</v>
          </cell>
          <cell r="V508">
            <v>0</v>
          </cell>
          <cell r="W508" t="str">
            <v>[]</v>
          </cell>
          <cell r="X508">
            <v>0</v>
          </cell>
          <cell r="Y508" t="str">
            <v>[]</v>
          </cell>
          <cell r="Z508" t="str">
            <v>0,0,0</v>
          </cell>
          <cell r="AA508">
            <v>0</v>
          </cell>
          <cell r="AB508" t="str">
            <v>12</v>
          </cell>
          <cell r="AC508" t="str">
            <v>[]</v>
          </cell>
          <cell r="AD508" t="str">
            <v>[]</v>
          </cell>
          <cell r="AE508" t="str">
            <v>[]</v>
          </cell>
          <cell r="AF508" t="str">
            <v>duci</v>
          </cell>
          <cell r="AG508" t="str">
            <v>common_hit_fashu</v>
          </cell>
          <cell r="AH508" t="str">
            <v>[]</v>
          </cell>
          <cell r="AI508" t="str">
            <v>[]</v>
          </cell>
          <cell r="AJ508" t="str">
            <v>[]</v>
          </cell>
          <cell r="AK508" t="str">
            <v>[]</v>
          </cell>
          <cell r="AL508" t="str">
            <v>[]</v>
          </cell>
          <cell r="AM508" t="str">
            <v>[]</v>
          </cell>
          <cell r="AN508">
            <v>1</v>
          </cell>
          <cell r="AO508" t="str">
            <v>1.1,0.3,0.3,0.3,0.3,0.3</v>
          </cell>
          <cell r="AP508">
            <v>900028</v>
          </cell>
          <cell r="AQ508" t="str">
            <v>900028</v>
          </cell>
          <cell r="AR508" t="str">
            <v>[]</v>
          </cell>
          <cell r="AS508" t="str">
            <v>[]</v>
          </cell>
          <cell r="AT508" t="str">
            <v>9020</v>
          </cell>
          <cell r="AU508" t="str">
            <v>5650</v>
          </cell>
          <cell r="AV508" t="str">
            <v>毒池</v>
          </cell>
          <cell r="AW508" t="str">
            <v>01</v>
          </cell>
          <cell r="AX508" t="str">
            <v>[]</v>
          </cell>
          <cell r="AY508">
            <v>6</v>
          </cell>
          <cell r="BE508"/>
          <cell r="BF508"/>
        </row>
        <row r="509">
          <cell r="A509" t="str">
            <v>baofengxue_skill01</v>
          </cell>
          <cell r="B509" t="str">
            <v>暴风雪</v>
          </cell>
          <cell r="C509" t="str">
            <v>对范围内目标造成6次主角攻击力@s的伤害</v>
          </cell>
          <cell r="D509" t="str">
            <v>[]</v>
          </cell>
          <cell r="E509">
            <v>0</v>
          </cell>
          <cell r="F509" t="str">
            <v>[]</v>
          </cell>
          <cell r="G509" t="str">
            <v>暴风雪</v>
          </cell>
          <cell r="H509" t="str">
            <v>baofengxue</v>
          </cell>
          <cell r="I509" t="str">
            <v>baofengxue</v>
          </cell>
          <cell r="J509">
            <v>0</v>
          </cell>
          <cell r="K509">
            <v>10</v>
          </cell>
          <cell r="L509" t="str">
            <v>1|65</v>
          </cell>
          <cell r="M509">
            <v>2</v>
          </cell>
          <cell r="N509">
            <v>2</v>
          </cell>
          <cell r="O509">
            <v>2</v>
          </cell>
          <cell r="P509">
            <v>2</v>
          </cell>
          <cell r="Q509">
            <v>12</v>
          </cell>
          <cell r="R509" t="str">
            <v>2|1</v>
          </cell>
          <cell r="S509" t="str">
            <v>2|10</v>
          </cell>
          <cell r="T509">
            <v>10</v>
          </cell>
          <cell r="U509">
            <v>0</v>
          </cell>
          <cell r="V509">
            <v>0</v>
          </cell>
          <cell r="W509" t="str">
            <v>[]</v>
          </cell>
          <cell r="X509">
            <v>0</v>
          </cell>
          <cell r="Y509" t="str">
            <v>[]</v>
          </cell>
          <cell r="Z509" t="str">
            <v>0,0,0</v>
          </cell>
          <cell r="AA509">
            <v>0</v>
          </cell>
          <cell r="AB509" t="str">
            <v>12</v>
          </cell>
          <cell r="AC509" t="str">
            <v>[]</v>
          </cell>
          <cell r="AD509" t="str">
            <v>[]</v>
          </cell>
          <cell r="AE509" t="str">
            <v>[]</v>
          </cell>
          <cell r="AF509" t="str">
            <v>baofengxue</v>
          </cell>
          <cell r="AG509" t="str">
            <v>common_hit_fashu</v>
          </cell>
          <cell r="AH509" t="str">
            <v>[]</v>
          </cell>
          <cell r="AI509" t="str">
            <v>[]</v>
          </cell>
          <cell r="AJ509" t="str">
            <v>baofengxue_zhenping</v>
          </cell>
          <cell r="AK509" t="str">
            <v>[]</v>
          </cell>
          <cell r="AL509" t="str">
            <v>[]</v>
          </cell>
          <cell r="AM509" t="str">
            <v>[]</v>
          </cell>
          <cell r="AN509">
            <v>1</v>
          </cell>
          <cell r="AO509" t="str">
            <v>1.1,0.3,0.3,0.3,0.3,0.3</v>
          </cell>
          <cell r="AP509">
            <v>900029</v>
          </cell>
          <cell r="AQ509" t="str">
            <v>900029</v>
          </cell>
          <cell r="AR509" t="str">
            <v>[]</v>
          </cell>
          <cell r="AS509" t="str">
            <v>[]</v>
          </cell>
          <cell r="AT509" t="str">
            <v>1214</v>
          </cell>
          <cell r="AU509" t="str">
            <v>5710</v>
          </cell>
          <cell r="AV509" t="str">
            <v>暴风雪</v>
          </cell>
          <cell r="AW509" t="str">
            <v>01</v>
          </cell>
          <cell r="AX509" t="str">
            <v>[]</v>
          </cell>
          <cell r="AY509">
            <v>6</v>
          </cell>
          <cell r="BE509"/>
          <cell r="BF509"/>
        </row>
        <row r="510">
          <cell r="A510" t="str">
            <v>bingbao_skill01</v>
          </cell>
          <cell r="B510" t="str">
            <v>冰爆</v>
          </cell>
          <cell r="C510" t="str">
            <v>对范围内目标造成主角攻击力@s的伤害</v>
          </cell>
          <cell r="D510" t="str">
            <v>[]</v>
          </cell>
          <cell r="E510">
            <v>0</v>
          </cell>
          <cell r="F510" t="str">
            <v>[]</v>
          </cell>
          <cell r="G510" t="str">
            <v>冰爆</v>
          </cell>
          <cell r="H510" t="str">
            <v>bingbao</v>
          </cell>
          <cell r="I510" t="str">
            <v>bingbao</v>
          </cell>
          <cell r="J510">
            <v>0</v>
          </cell>
          <cell r="K510">
            <v>10</v>
          </cell>
          <cell r="L510" t="str">
            <v>1|50</v>
          </cell>
          <cell r="M510">
            <v>2</v>
          </cell>
          <cell r="N510">
            <v>2</v>
          </cell>
          <cell r="O510">
            <v>2</v>
          </cell>
          <cell r="P510">
            <v>2</v>
          </cell>
          <cell r="Q510">
            <v>12</v>
          </cell>
          <cell r="R510" t="str">
            <v>2|1</v>
          </cell>
          <cell r="S510" t="str">
            <v>2|10</v>
          </cell>
          <cell r="T510">
            <v>10</v>
          </cell>
          <cell r="U510">
            <v>0</v>
          </cell>
          <cell r="V510">
            <v>0</v>
          </cell>
          <cell r="W510" t="str">
            <v>[]</v>
          </cell>
          <cell r="X510">
            <v>0</v>
          </cell>
          <cell r="Y510" t="str">
            <v>[]</v>
          </cell>
          <cell r="Z510" t="str">
            <v>0,0,0</v>
          </cell>
          <cell r="AA510">
            <v>0</v>
          </cell>
          <cell r="AB510" t="str">
            <v>12</v>
          </cell>
          <cell r="AC510" t="str">
            <v>[]</v>
          </cell>
          <cell r="AD510" t="str">
            <v>[]</v>
          </cell>
          <cell r="AE510" t="str">
            <v>[]</v>
          </cell>
          <cell r="AF510" t="str">
            <v>bingbao</v>
          </cell>
          <cell r="AG510" t="str">
            <v>common_hit_fashu</v>
          </cell>
          <cell r="AH510" t="str">
            <v>[]</v>
          </cell>
          <cell r="AI510" t="str">
            <v>[]</v>
          </cell>
          <cell r="AJ510" t="str">
            <v>bingbao_zhenping</v>
          </cell>
          <cell r="AK510" t="str">
            <v>[]</v>
          </cell>
          <cell r="AL510" t="str">
            <v>[]</v>
          </cell>
          <cell r="AM510" t="str">
            <v>[]</v>
          </cell>
          <cell r="AN510">
            <v>1</v>
          </cell>
          <cell r="AO510">
            <v>0.45</v>
          </cell>
          <cell r="AP510">
            <v>900030</v>
          </cell>
          <cell r="AQ510" t="str">
            <v>900030</v>
          </cell>
          <cell r="AR510" t="str">
            <v>[]</v>
          </cell>
          <cell r="AS510" t="str">
            <v>[]</v>
          </cell>
          <cell r="AT510" t="str">
            <v>1214</v>
          </cell>
          <cell r="AU510" t="str">
            <v>5720</v>
          </cell>
          <cell r="AV510" t="str">
            <v>冰爆</v>
          </cell>
          <cell r="AW510" t="str">
            <v>01</v>
          </cell>
          <cell r="AX510" t="str">
            <v>[]</v>
          </cell>
          <cell r="AY510">
            <v>1</v>
          </cell>
          <cell r="BE510"/>
          <cell r="BF510"/>
        </row>
        <row r="511">
          <cell r="A511" t="str">
            <v>huoguangqusan_skill01</v>
          </cell>
          <cell r="B511" t="str">
            <v>火光驱散</v>
          </cell>
          <cell r="C511" t="str">
            <v>对目标造成主角攻击力@s的伤害</v>
          </cell>
          <cell r="D511" t="str">
            <v>[]</v>
          </cell>
          <cell r="E511">
            <v>0</v>
          </cell>
          <cell r="F511" t="str">
            <v>[]</v>
          </cell>
          <cell r="G511" t="str">
            <v>火光驱散</v>
          </cell>
          <cell r="H511" t="str">
            <v>huoguangqusan</v>
          </cell>
          <cell r="I511" t="str">
            <v>huoguangqusan</v>
          </cell>
          <cell r="J511">
            <v>0</v>
          </cell>
          <cell r="K511">
            <v>10</v>
          </cell>
          <cell r="L511" t="str">
            <v>1|53</v>
          </cell>
          <cell r="M511">
            <v>2</v>
          </cell>
          <cell r="N511">
            <v>2</v>
          </cell>
          <cell r="O511">
            <v>1</v>
          </cell>
          <cell r="P511">
            <v>3</v>
          </cell>
          <cell r="Q511">
            <v>12</v>
          </cell>
          <cell r="R511" t="str">
            <v>2|1</v>
          </cell>
          <cell r="S511" t="str">
            <v>1|0.5|4</v>
          </cell>
          <cell r="T511">
            <v>10</v>
          </cell>
          <cell r="U511">
            <v>1</v>
          </cell>
          <cell r="V511">
            <v>0</v>
          </cell>
          <cell r="W511" t="str">
            <v>[]</v>
          </cell>
          <cell r="X511">
            <v>0</v>
          </cell>
          <cell r="Y511" t="str">
            <v>[]</v>
          </cell>
          <cell r="Z511" t="str">
            <v>0,0,0</v>
          </cell>
          <cell r="AA511">
            <v>0</v>
          </cell>
          <cell r="AB511" t="str">
            <v>12</v>
          </cell>
          <cell r="AC511" t="str">
            <v>[]</v>
          </cell>
          <cell r="AD511" t="str">
            <v>[]</v>
          </cell>
          <cell r="AE511" t="str">
            <v>[]</v>
          </cell>
          <cell r="AF511" t="str">
            <v>huoguang</v>
          </cell>
          <cell r="AG511" t="str">
            <v>common_hit_zhongwuqi</v>
          </cell>
          <cell r="AH511" t="str">
            <v>[]</v>
          </cell>
          <cell r="AI511" t="str">
            <v>[]</v>
          </cell>
          <cell r="AJ511" t="str">
            <v>[]</v>
          </cell>
          <cell r="AK511" t="str">
            <v>[]</v>
          </cell>
          <cell r="AL511" t="str">
            <v>[]</v>
          </cell>
          <cell r="AM511" t="str">
            <v>[]</v>
          </cell>
          <cell r="AN511">
            <v>1</v>
          </cell>
          <cell r="AO511">
            <v>-5</v>
          </cell>
          <cell r="AP511">
            <v>900031</v>
          </cell>
          <cell r="AQ511" t="str">
            <v>900031</v>
          </cell>
          <cell r="AR511" t="str">
            <v>[]</v>
          </cell>
          <cell r="AS511" t="str">
            <v>[]</v>
          </cell>
          <cell r="AT511" t="str">
            <v>1214</v>
          </cell>
          <cell r="AU511" t="str">
            <v>5730</v>
          </cell>
          <cell r="AV511" t="str">
            <v>火光驱散</v>
          </cell>
          <cell r="AW511" t="str">
            <v>01</v>
          </cell>
          <cell r="AX511" t="str">
            <v>[]</v>
          </cell>
          <cell r="AY511">
            <v>1</v>
          </cell>
          <cell r="BE511"/>
          <cell r="BF511"/>
        </row>
        <row r="512">
          <cell r="A512" t="str">
            <v>shengguangshuiyu_skill01</v>
          </cell>
          <cell r="B512" t="str">
            <v>圣光水域</v>
          </cell>
          <cell r="C512" t="str">
            <v>对队友治疗，恢复3次主角攻击力@s的生命值</v>
          </cell>
          <cell r="D512" t="str">
            <v>[]</v>
          </cell>
          <cell r="E512">
            <v>0</v>
          </cell>
          <cell r="F512" t="str">
            <v>[]</v>
          </cell>
          <cell r="G512" t="str">
            <v>圣光水域</v>
          </cell>
          <cell r="H512" t="str">
            <v>shengguangshuiyu</v>
          </cell>
          <cell r="I512" t="str">
            <v>shengguangshuiyu</v>
          </cell>
          <cell r="J512">
            <v>0</v>
          </cell>
          <cell r="K512">
            <v>10</v>
          </cell>
          <cell r="L512" t="str">
            <v>1|63</v>
          </cell>
          <cell r="M512">
            <v>2</v>
          </cell>
          <cell r="N512">
            <v>2</v>
          </cell>
          <cell r="O512">
            <v>2</v>
          </cell>
          <cell r="P512">
            <v>4</v>
          </cell>
          <cell r="Q512">
            <v>4</v>
          </cell>
          <cell r="R512">
            <v>3</v>
          </cell>
          <cell r="S512">
            <v>5</v>
          </cell>
          <cell r="T512">
            <v>10</v>
          </cell>
          <cell r="U512">
            <v>0</v>
          </cell>
          <cell r="V512">
            <v>0</v>
          </cell>
          <cell r="W512" t="str">
            <v>[]</v>
          </cell>
          <cell r="X512">
            <v>0</v>
          </cell>
          <cell r="Y512" t="str">
            <v>[]</v>
          </cell>
          <cell r="Z512" t="str">
            <v>0,0,0</v>
          </cell>
          <cell r="AA512">
            <v>0</v>
          </cell>
          <cell r="AB512" t="str">
            <v>12</v>
          </cell>
          <cell r="AC512" t="str">
            <v>[]</v>
          </cell>
          <cell r="AD512" t="str">
            <v>[]</v>
          </cell>
          <cell r="AE512" t="str">
            <v>[]</v>
          </cell>
          <cell r="AF512" t="str">
            <v>shengguangshuiyu</v>
          </cell>
          <cell r="AG512" t="str">
            <v>respond_hp</v>
          </cell>
          <cell r="AH512" t="str">
            <v>[]</v>
          </cell>
          <cell r="AI512" t="str">
            <v>[]</v>
          </cell>
          <cell r="AJ512" t="str">
            <v>[]</v>
          </cell>
          <cell r="AK512" t="str">
            <v>[]</v>
          </cell>
          <cell r="AL512" t="str">
            <v>[]</v>
          </cell>
          <cell r="AM512" t="str">
            <v>[]</v>
          </cell>
          <cell r="AN512">
            <v>1</v>
          </cell>
          <cell r="AO512" t="str">
            <v>1,0.6,0.6</v>
          </cell>
          <cell r="AP512" t="str">
            <v>[]</v>
          </cell>
          <cell r="AQ512" t="str">
            <v>900032</v>
          </cell>
          <cell r="AR512" t="str">
            <v>[]</v>
          </cell>
          <cell r="AS512" t="str">
            <v>[]</v>
          </cell>
          <cell r="AT512" t="str">
            <v>1214</v>
          </cell>
          <cell r="AU512" t="str">
            <v>5740</v>
          </cell>
          <cell r="AV512" t="str">
            <v>圣光水域</v>
          </cell>
          <cell r="AW512" t="str">
            <v>01</v>
          </cell>
          <cell r="AX512" t="str">
            <v>[]</v>
          </cell>
          <cell r="AY512">
            <v>3</v>
          </cell>
          <cell r="BE512"/>
          <cell r="BF512"/>
        </row>
        <row r="513">
          <cell r="A513" t="str">
            <v>shuiwuqinshi_skill01</v>
          </cell>
          <cell r="B513" t="str">
            <v>水雾侵蚀</v>
          </cell>
          <cell r="C513" t="str">
            <v>降低范围内目标@s的命中率，@s的防御，持续5秒</v>
          </cell>
          <cell r="D513" t="str">
            <v>[]</v>
          </cell>
          <cell r="E513">
            <v>0</v>
          </cell>
          <cell r="F513" t="str">
            <v>[]</v>
          </cell>
          <cell r="G513" t="str">
            <v>水雾侵蚀</v>
          </cell>
          <cell r="H513" t="str">
            <v>shuiwuqinshi</v>
          </cell>
          <cell r="I513" t="str">
            <v>shuiwuqinshi</v>
          </cell>
          <cell r="J513">
            <v>0</v>
          </cell>
          <cell r="K513">
            <v>10</v>
          </cell>
          <cell r="L513" t="str">
            <v>1|81</v>
          </cell>
          <cell r="M513">
            <v>2</v>
          </cell>
          <cell r="N513">
            <v>2</v>
          </cell>
          <cell r="O513">
            <v>2</v>
          </cell>
          <cell r="P513">
            <v>4</v>
          </cell>
          <cell r="Q513">
            <v>12</v>
          </cell>
          <cell r="R513" t="str">
            <v>2|1</v>
          </cell>
          <cell r="S513" t="str">
            <v>2|10</v>
          </cell>
          <cell r="T513">
            <v>10</v>
          </cell>
          <cell r="U513">
            <v>0</v>
          </cell>
          <cell r="V513">
            <v>0</v>
          </cell>
          <cell r="W513" t="str">
            <v>[]</v>
          </cell>
          <cell r="X513">
            <v>0</v>
          </cell>
          <cell r="Y513" t="str">
            <v>[]</v>
          </cell>
          <cell r="Z513" t="str">
            <v>0,0,0</v>
          </cell>
          <cell r="AA513">
            <v>0</v>
          </cell>
          <cell r="AB513" t="str">
            <v>12</v>
          </cell>
          <cell r="AC513" t="str">
            <v>[]</v>
          </cell>
          <cell r="AD513" t="str">
            <v>[]</v>
          </cell>
          <cell r="AE513" t="str">
            <v>[]</v>
          </cell>
          <cell r="AF513" t="str">
            <v>shuiwuqinshi</v>
          </cell>
          <cell r="AG513" t="str">
            <v>[]</v>
          </cell>
          <cell r="AH513" t="str">
            <v>[]</v>
          </cell>
          <cell r="AI513" t="str">
            <v>[]</v>
          </cell>
          <cell r="AJ513" t="str">
            <v>[]</v>
          </cell>
          <cell r="AK513" t="str">
            <v>[]</v>
          </cell>
          <cell r="AL513" t="str">
            <v>[]</v>
          </cell>
          <cell r="AM513" t="str">
            <v>[]</v>
          </cell>
          <cell r="AN513">
            <v>1</v>
          </cell>
          <cell r="AO513">
            <v>-3</v>
          </cell>
          <cell r="AP513" t="str">
            <v>[]</v>
          </cell>
          <cell r="AQ513" t="str">
            <v>9010,9010</v>
          </cell>
          <cell r="AR513" t="str">
            <v>[]</v>
          </cell>
          <cell r="AS513" t="str">
            <v>[]</v>
          </cell>
          <cell r="AT513" t="str">
            <v>1226</v>
          </cell>
          <cell r="AU513" t="str">
            <v>5753</v>
          </cell>
          <cell r="AV513" t="str">
            <v>水雾侵蚀</v>
          </cell>
          <cell r="AW513" t="str">
            <v>01</v>
          </cell>
          <cell r="AX513" t="str">
            <v>[]</v>
          </cell>
          <cell r="AY513">
            <v>1</v>
          </cell>
          <cell r="BE513"/>
          <cell r="BF513"/>
        </row>
        <row r="514">
          <cell r="A514" t="str">
            <v>huoniao_skill01</v>
          </cell>
          <cell r="B514" t="str">
            <v>火鸟</v>
          </cell>
          <cell r="C514" t="str">
            <v>对范围内目标造成主角攻击力@s的伤害</v>
          </cell>
          <cell r="D514" t="str">
            <v>[]</v>
          </cell>
          <cell r="E514">
            <v>0</v>
          </cell>
          <cell r="F514" t="str">
            <v>[]</v>
          </cell>
          <cell r="G514" t="str">
            <v>火鸟</v>
          </cell>
          <cell r="H514" t="str">
            <v>huoniao</v>
          </cell>
          <cell r="I514" t="str">
            <v>huoniao</v>
          </cell>
          <cell r="J514">
            <v>0</v>
          </cell>
          <cell r="K514">
            <v>10</v>
          </cell>
          <cell r="L514" t="str">
            <v>1|42</v>
          </cell>
          <cell r="M514">
            <v>2</v>
          </cell>
          <cell r="N514">
            <v>2</v>
          </cell>
          <cell r="O514">
            <v>1</v>
          </cell>
          <cell r="P514">
            <v>2</v>
          </cell>
          <cell r="Q514">
            <v>12</v>
          </cell>
          <cell r="R514" t="str">
            <v>2|1</v>
          </cell>
          <cell r="S514" t="str">
            <v>3|12|60</v>
          </cell>
          <cell r="T514">
            <v>10</v>
          </cell>
          <cell r="U514">
            <v>1</v>
          </cell>
          <cell r="V514">
            <v>0</v>
          </cell>
          <cell r="W514" t="str">
            <v>[]</v>
          </cell>
          <cell r="X514">
            <v>0</v>
          </cell>
          <cell r="Y514" t="str">
            <v>[]</v>
          </cell>
          <cell r="Z514" t="str">
            <v>0,0,0</v>
          </cell>
          <cell r="AA514">
            <v>0</v>
          </cell>
          <cell r="AB514" t="str">
            <v>12</v>
          </cell>
          <cell r="AC514" t="str">
            <v>[]</v>
          </cell>
          <cell r="AD514" t="str">
            <v>[]</v>
          </cell>
          <cell r="AE514" t="str">
            <v>[]</v>
          </cell>
          <cell r="AF514" t="str">
            <v>huimiao</v>
          </cell>
          <cell r="AG514" t="str">
            <v>common_hit_fashu</v>
          </cell>
          <cell r="AH514" t="str">
            <v>[]</v>
          </cell>
          <cell r="AI514" t="str">
            <v>[]</v>
          </cell>
          <cell r="AJ514" t="str">
            <v>[]</v>
          </cell>
          <cell r="AK514" t="str">
            <v>[]</v>
          </cell>
          <cell r="AL514" t="str">
            <v>[]</v>
          </cell>
          <cell r="AM514" t="str">
            <v>[]</v>
          </cell>
          <cell r="AN514">
            <v>1</v>
          </cell>
          <cell r="AO514">
            <v>0.2</v>
          </cell>
          <cell r="AP514">
            <v>900034</v>
          </cell>
          <cell r="AQ514" t="str">
            <v>900034</v>
          </cell>
          <cell r="AR514" t="str">
            <v>[]</v>
          </cell>
          <cell r="AS514" t="str">
            <v>[]</v>
          </cell>
          <cell r="AT514" t="str">
            <v>1226</v>
          </cell>
          <cell r="AU514" t="str">
            <v>5810</v>
          </cell>
          <cell r="AV514" t="str">
            <v>火鸟</v>
          </cell>
          <cell r="AW514" t="str">
            <v>01</v>
          </cell>
          <cell r="AX514" t="str">
            <v>[]</v>
          </cell>
          <cell r="AY514">
            <v>1</v>
          </cell>
          <cell r="BE514"/>
          <cell r="BF514"/>
        </row>
        <row r="515">
          <cell r="A515" t="str">
            <v>huoqiuzhadan_skill01</v>
          </cell>
          <cell r="B515" t="str">
            <v>火球炸弹</v>
          </cell>
          <cell r="C515" t="str">
            <v>对范围内目标造成主角攻击力@s的伤害</v>
          </cell>
          <cell r="D515" t="str">
            <v>[]</v>
          </cell>
          <cell r="E515">
            <v>0</v>
          </cell>
          <cell r="F515" t="str">
            <v>[]</v>
          </cell>
          <cell r="G515" t="str">
            <v>火球炸弹</v>
          </cell>
          <cell r="H515" t="str">
            <v>huoqiuzhadan</v>
          </cell>
          <cell r="I515" t="str">
            <v>huoqiuzhadan</v>
          </cell>
          <cell r="J515">
            <v>0</v>
          </cell>
          <cell r="K515">
            <v>10</v>
          </cell>
          <cell r="L515" t="str">
            <v>1|44</v>
          </cell>
          <cell r="M515">
            <v>2</v>
          </cell>
          <cell r="N515">
            <v>2</v>
          </cell>
          <cell r="O515">
            <v>1</v>
          </cell>
          <cell r="P515">
            <v>2</v>
          </cell>
          <cell r="Q515">
            <v>12</v>
          </cell>
          <cell r="R515" t="str">
            <v>2|1</v>
          </cell>
          <cell r="S515" t="str">
            <v>4|0.2</v>
          </cell>
          <cell r="T515">
            <v>1</v>
          </cell>
          <cell r="U515">
            <v>1</v>
          </cell>
          <cell r="V515">
            <v>0</v>
          </cell>
          <cell r="W515" t="str">
            <v>[]</v>
          </cell>
          <cell r="X515">
            <v>0</v>
          </cell>
          <cell r="Y515" t="str">
            <v>[]</v>
          </cell>
          <cell r="Z515" t="str">
            <v>0,0,0</v>
          </cell>
          <cell r="AA515">
            <v>0</v>
          </cell>
          <cell r="AB515" t="str">
            <v>12</v>
          </cell>
          <cell r="AC515" t="str">
            <v>[]</v>
          </cell>
          <cell r="AD515" t="str">
            <v>[]</v>
          </cell>
          <cell r="AE515" t="str">
            <v>[]</v>
          </cell>
          <cell r="AF515" t="str">
            <v>huoqiuzhadan</v>
          </cell>
          <cell r="AG515" t="str">
            <v>[]</v>
          </cell>
          <cell r="AH515" t="str">
            <v>[]</v>
          </cell>
          <cell r="AI515" t="str">
            <v>[]</v>
          </cell>
          <cell r="AJ515" t="str">
            <v>[]</v>
          </cell>
          <cell r="AK515" t="str">
            <v>humeiren_bomb</v>
          </cell>
          <cell r="AL515" t="str">
            <v>[]</v>
          </cell>
          <cell r="AM515" t="str">
            <v>[]</v>
          </cell>
          <cell r="AN515">
            <v>2</v>
          </cell>
          <cell r="AO515">
            <v>-2</v>
          </cell>
          <cell r="AP515">
            <v>900035</v>
          </cell>
          <cell r="AQ515" t="str">
            <v>900035</v>
          </cell>
          <cell r="AR515" t="str">
            <v>[]</v>
          </cell>
          <cell r="AS515" t="str">
            <v>[]</v>
          </cell>
          <cell r="AT515" t="str">
            <v>1226</v>
          </cell>
          <cell r="AU515" t="str">
            <v>5820</v>
          </cell>
          <cell r="AV515" t="str">
            <v>火球炸弹</v>
          </cell>
          <cell r="AW515" t="str">
            <v>01</v>
          </cell>
          <cell r="AX515" t="str">
            <v>[]</v>
          </cell>
          <cell r="AY515">
            <v>1</v>
          </cell>
          <cell r="BE515"/>
          <cell r="BF515"/>
        </row>
        <row r="516">
          <cell r="A516" t="str">
            <v>rexuebaofa_skill01</v>
          </cell>
          <cell r="B516" t="str">
            <v>热血爆发</v>
          </cell>
          <cell r="C516" t="str">
            <v>提高全体队友@s的攻击速度，持续5秒</v>
          </cell>
          <cell r="D516" t="str">
            <v>[]</v>
          </cell>
          <cell r="E516">
            <v>0</v>
          </cell>
          <cell r="F516" t="str">
            <v>[]</v>
          </cell>
          <cell r="G516" t="str">
            <v>热血爆发</v>
          </cell>
          <cell r="H516" t="str">
            <v>rexuebaofa</v>
          </cell>
          <cell r="I516" t="str">
            <v>rexuebaofa</v>
          </cell>
          <cell r="J516">
            <v>0</v>
          </cell>
          <cell r="K516">
            <v>10</v>
          </cell>
          <cell r="L516" t="str">
            <v>1|72</v>
          </cell>
          <cell r="M516">
            <v>2</v>
          </cell>
          <cell r="N516">
            <v>2</v>
          </cell>
          <cell r="O516">
            <v>2</v>
          </cell>
          <cell r="P516">
            <v>4</v>
          </cell>
          <cell r="Q516">
            <v>12</v>
          </cell>
          <cell r="R516">
            <v>3</v>
          </cell>
          <cell r="S516">
            <v>5</v>
          </cell>
          <cell r="T516">
            <v>10</v>
          </cell>
          <cell r="U516">
            <v>0</v>
          </cell>
          <cell r="V516">
            <v>0</v>
          </cell>
          <cell r="W516" t="str">
            <v>[]</v>
          </cell>
          <cell r="X516">
            <v>0</v>
          </cell>
          <cell r="Y516" t="str">
            <v>[]</v>
          </cell>
          <cell r="Z516" t="str">
            <v>0,0,0</v>
          </cell>
          <cell r="AA516">
            <v>0</v>
          </cell>
          <cell r="AB516" t="str">
            <v>12</v>
          </cell>
          <cell r="AC516" t="str">
            <v>[]</v>
          </cell>
          <cell r="AD516" t="str">
            <v>[]</v>
          </cell>
          <cell r="AE516" t="str">
            <v>huo_kuloubing_skill01_act</v>
          </cell>
          <cell r="AF516" t="str">
            <v>rexuebaofa</v>
          </cell>
          <cell r="AG516" t="str">
            <v>[]</v>
          </cell>
          <cell r="AH516" t="str">
            <v>[]</v>
          </cell>
          <cell r="AI516" t="str">
            <v>[]</v>
          </cell>
          <cell r="AJ516" t="str">
            <v>[]</v>
          </cell>
          <cell r="AK516" t="str">
            <v>[]</v>
          </cell>
          <cell r="AL516" t="str">
            <v>[]</v>
          </cell>
          <cell r="AM516" t="str">
            <v>[]</v>
          </cell>
          <cell r="AN516">
            <v>1</v>
          </cell>
          <cell r="AO516">
            <v>0.01</v>
          </cell>
          <cell r="AP516" t="str">
            <v>[]</v>
          </cell>
          <cell r="AQ516" t="str">
            <v>9020</v>
          </cell>
          <cell r="AR516" t="str">
            <v>[]</v>
          </cell>
          <cell r="AS516" t="str">
            <v>[]</v>
          </cell>
          <cell r="AT516" t="str">
            <v>1226</v>
          </cell>
          <cell r="AU516" t="str">
            <v>5830</v>
          </cell>
          <cell r="AV516" t="str">
            <v>热血爆发</v>
          </cell>
          <cell r="AW516" t="str">
            <v>01</v>
          </cell>
          <cell r="AX516" t="str">
            <v>[]</v>
          </cell>
          <cell r="AY516">
            <v>1</v>
          </cell>
          <cell r="BE516"/>
          <cell r="BF516"/>
        </row>
        <row r="517">
          <cell r="A517" t="str">
            <v>diyuhuohai_skill01</v>
          </cell>
          <cell r="B517" t="str">
            <v>地狱火海</v>
          </cell>
          <cell r="C517" t="str">
            <v>对范围内目标造成6次主角攻击力@s的伤害</v>
          </cell>
          <cell r="D517" t="str">
            <v>[]</v>
          </cell>
          <cell r="E517">
            <v>0</v>
          </cell>
          <cell r="F517" t="str">
            <v>[]</v>
          </cell>
          <cell r="G517" t="str">
            <v>地狱火海</v>
          </cell>
          <cell r="H517" t="str">
            <v>diyuhuohai</v>
          </cell>
          <cell r="I517" t="str">
            <v>diyuhuohai</v>
          </cell>
          <cell r="J517">
            <v>0</v>
          </cell>
          <cell r="K517">
            <v>10</v>
          </cell>
          <cell r="L517" t="str">
            <v>1|76</v>
          </cell>
          <cell r="M517">
            <v>2</v>
          </cell>
          <cell r="N517">
            <v>2</v>
          </cell>
          <cell r="O517">
            <v>2</v>
          </cell>
          <cell r="P517">
            <v>2</v>
          </cell>
          <cell r="Q517">
            <v>12</v>
          </cell>
          <cell r="R517" t="str">
            <v>2|1</v>
          </cell>
          <cell r="S517" t="str">
            <v>2|10</v>
          </cell>
          <cell r="T517">
            <v>10</v>
          </cell>
          <cell r="U517">
            <v>0</v>
          </cell>
          <cell r="V517">
            <v>0</v>
          </cell>
          <cell r="W517" t="str">
            <v>[]</v>
          </cell>
          <cell r="X517">
            <v>0</v>
          </cell>
          <cell r="Y517" t="str">
            <v>[]</v>
          </cell>
          <cell r="Z517" t="str">
            <v>0,0,0</v>
          </cell>
          <cell r="AA517">
            <v>0</v>
          </cell>
          <cell r="AB517" t="str">
            <v>12</v>
          </cell>
          <cell r="AC517" t="str">
            <v>[]</v>
          </cell>
          <cell r="AD517" t="str">
            <v>[]</v>
          </cell>
          <cell r="AE517" t="str">
            <v>[]</v>
          </cell>
          <cell r="AF517" t="str">
            <v>diyuhuohai</v>
          </cell>
          <cell r="AG517" t="str">
            <v>common_hit_fashu</v>
          </cell>
          <cell r="AH517" t="str">
            <v>[]</v>
          </cell>
          <cell r="AI517" t="str">
            <v>[]</v>
          </cell>
          <cell r="AJ517" t="str">
            <v>[]</v>
          </cell>
          <cell r="AK517" t="str">
            <v>[]</v>
          </cell>
          <cell r="AL517" t="str">
            <v>[]</v>
          </cell>
          <cell r="AM517" t="str">
            <v>[]</v>
          </cell>
          <cell r="AN517">
            <v>1</v>
          </cell>
          <cell r="AO517" t="str">
            <v>0.2,0.2,0.2,0.2,0.2,0.2</v>
          </cell>
          <cell r="AP517">
            <v>900037</v>
          </cell>
          <cell r="AQ517" t="str">
            <v>900037</v>
          </cell>
          <cell r="AR517" t="str">
            <v>[]</v>
          </cell>
          <cell r="AS517" t="str">
            <v>[]</v>
          </cell>
          <cell r="AT517" t="str">
            <v>1226</v>
          </cell>
          <cell r="AU517" t="str">
            <v>5840</v>
          </cell>
          <cell r="AV517" t="str">
            <v>地狱火海</v>
          </cell>
          <cell r="AW517" t="str">
            <v>01</v>
          </cell>
          <cell r="AX517" t="str">
            <v>[]</v>
          </cell>
          <cell r="AY517">
            <v>6</v>
          </cell>
          <cell r="BE517"/>
          <cell r="BF517"/>
        </row>
        <row r="518">
          <cell r="A518" t="str">
            <v>dicituxi_skill01</v>
          </cell>
          <cell r="B518" t="str">
            <v>地刺突袭</v>
          </cell>
          <cell r="C518" t="str">
            <v>对范围内目标造成主角攻击力@s的伤害</v>
          </cell>
          <cell r="D518" t="str">
            <v>[]</v>
          </cell>
          <cell r="E518">
            <v>0</v>
          </cell>
          <cell r="F518" t="str">
            <v>[]</v>
          </cell>
          <cell r="G518" t="str">
            <v>地刺突袭</v>
          </cell>
          <cell r="H518" t="str">
            <v>dicituxi</v>
          </cell>
          <cell r="I518" t="str">
            <v>dicituxi</v>
          </cell>
          <cell r="J518">
            <v>0</v>
          </cell>
          <cell r="K518">
            <v>10</v>
          </cell>
          <cell r="L518" t="str">
            <v>1|45</v>
          </cell>
          <cell r="M518">
            <v>2</v>
          </cell>
          <cell r="N518">
            <v>2</v>
          </cell>
          <cell r="O518">
            <v>2</v>
          </cell>
          <cell r="P518">
            <v>2</v>
          </cell>
          <cell r="Q518">
            <v>12</v>
          </cell>
          <cell r="R518" t="str">
            <v>2|1</v>
          </cell>
          <cell r="S518" t="str">
            <v>2|10</v>
          </cell>
          <cell r="T518">
            <v>10</v>
          </cell>
          <cell r="U518">
            <v>0</v>
          </cell>
          <cell r="V518">
            <v>0</v>
          </cell>
          <cell r="W518" t="str">
            <v>[]</v>
          </cell>
          <cell r="X518">
            <v>0</v>
          </cell>
          <cell r="Y518" t="str">
            <v>[]</v>
          </cell>
          <cell r="Z518" t="str">
            <v>0,0,0</v>
          </cell>
          <cell r="AA518">
            <v>0</v>
          </cell>
          <cell r="AB518" t="str">
            <v>12</v>
          </cell>
          <cell r="AC518" t="str">
            <v>[]</v>
          </cell>
          <cell r="AD518" t="str">
            <v>[]</v>
          </cell>
          <cell r="AE518" t="str">
            <v>[]</v>
          </cell>
          <cell r="AF518" t="str">
            <v>dicituji</v>
          </cell>
          <cell r="AG518" t="str">
            <v>common_hit_qinwuqi</v>
          </cell>
          <cell r="AH518" t="str">
            <v>[]</v>
          </cell>
          <cell r="AI518" t="str">
            <v>[]</v>
          </cell>
          <cell r="AJ518" t="str">
            <v>dicituxi_zhenping</v>
          </cell>
          <cell r="AK518" t="str">
            <v>[]</v>
          </cell>
          <cell r="AL518" t="str">
            <v>[]</v>
          </cell>
          <cell r="AM518" t="str">
            <v>[]</v>
          </cell>
          <cell r="AN518">
            <v>1</v>
          </cell>
          <cell r="AO518">
            <v>0.5</v>
          </cell>
          <cell r="AP518">
            <v>900038</v>
          </cell>
          <cell r="AQ518" t="str">
            <v>900038</v>
          </cell>
          <cell r="AR518" t="str">
            <v>[]</v>
          </cell>
          <cell r="AS518" t="str">
            <v>[]</v>
          </cell>
          <cell r="AT518" t="str">
            <v>6690</v>
          </cell>
          <cell r="AU518" t="str">
            <v>5910</v>
          </cell>
          <cell r="AV518" t="str">
            <v>地刺突袭</v>
          </cell>
          <cell r="AW518" t="str">
            <v>01</v>
          </cell>
          <cell r="AX518" t="str">
            <v>[]</v>
          </cell>
          <cell r="AY518">
            <v>1</v>
          </cell>
          <cell r="BE518"/>
          <cell r="BF518"/>
        </row>
        <row r="519">
          <cell r="A519" t="str">
            <v>feishazoushi_skill01</v>
          </cell>
          <cell r="B519" t="str">
            <v>飞沙走石</v>
          </cell>
          <cell r="C519" t="str">
            <v>对范围内目标造成6次主角攻击力@s的伤害</v>
          </cell>
          <cell r="D519" t="str">
            <v>[]</v>
          </cell>
          <cell r="E519">
            <v>0</v>
          </cell>
          <cell r="F519" t="str">
            <v>[]</v>
          </cell>
          <cell r="G519" t="str">
            <v>飞沙走石</v>
          </cell>
          <cell r="H519" t="str">
            <v>feishazoushi</v>
          </cell>
          <cell r="I519" t="str">
            <v>feishazoushi</v>
          </cell>
          <cell r="J519">
            <v>0</v>
          </cell>
          <cell r="K519">
            <v>10</v>
          </cell>
          <cell r="L519" t="str">
            <v>1|43</v>
          </cell>
          <cell r="M519">
            <v>2</v>
          </cell>
          <cell r="N519">
            <v>2</v>
          </cell>
          <cell r="O519">
            <v>2</v>
          </cell>
          <cell r="P519">
            <v>2</v>
          </cell>
          <cell r="Q519">
            <v>12</v>
          </cell>
          <cell r="R519" t="str">
            <v>2|1</v>
          </cell>
          <cell r="S519" t="str">
            <v>2|10</v>
          </cell>
          <cell r="T519">
            <v>10</v>
          </cell>
          <cell r="U519">
            <v>0</v>
          </cell>
          <cell r="V519">
            <v>0</v>
          </cell>
          <cell r="W519" t="str">
            <v>[]</v>
          </cell>
          <cell r="X519">
            <v>0</v>
          </cell>
          <cell r="Y519" t="str">
            <v>[]</v>
          </cell>
          <cell r="Z519" t="str">
            <v>0,0,0</v>
          </cell>
          <cell r="AA519">
            <v>0</v>
          </cell>
          <cell r="AB519" t="str">
            <v>12</v>
          </cell>
          <cell r="AC519" t="str">
            <v>[]</v>
          </cell>
          <cell r="AD519" t="str">
            <v>[]</v>
          </cell>
          <cell r="AE519" t="str">
            <v>[]</v>
          </cell>
          <cell r="AF519" t="str">
            <v>feishazoushi</v>
          </cell>
          <cell r="AG519" t="str">
            <v>common_hit_fashu</v>
          </cell>
          <cell r="AH519" t="str">
            <v>[]</v>
          </cell>
          <cell r="AI519" t="str">
            <v>[]</v>
          </cell>
          <cell r="AJ519" t="str">
            <v>[]</v>
          </cell>
          <cell r="AK519" t="str">
            <v>[]</v>
          </cell>
          <cell r="AL519" t="str">
            <v>[]</v>
          </cell>
          <cell r="AM519" t="str">
            <v>[]</v>
          </cell>
          <cell r="AN519">
            <v>1</v>
          </cell>
          <cell r="AO519" t="str">
            <v>0.35,0.35,0.50,0.50,0.35,0.40</v>
          </cell>
          <cell r="AP519">
            <v>900039</v>
          </cell>
          <cell r="AQ519" t="str">
            <v>900039</v>
          </cell>
          <cell r="AR519" t="str">
            <v>[]</v>
          </cell>
          <cell r="AS519" t="str">
            <v>[]</v>
          </cell>
          <cell r="AT519" t="str">
            <v>1226</v>
          </cell>
          <cell r="AU519" t="str">
            <v>5920</v>
          </cell>
          <cell r="AV519" t="str">
            <v>飞沙走石</v>
          </cell>
          <cell r="AW519" t="str">
            <v>01</v>
          </cell>
          <cell r="AX519" t="str">
            <v>[]</v>
          </cell>
          <cell r="AY519">
            <v>6</v>
          </cell>
          <cell r="BE519"/>
          <cell r="BF519"/>
        </row>
        <row r="520">
          <cell r="A520" t="str">
            <v>taishanyading_skill01</v>
          </cell>
          <cell r="B520" t="str">
            <v>泰山压顶</v>
          </cell>
          <cell r="C520" t="str">
            <v>对范围内目标造成主角攻击力@s的伤害</v>
          </cell>
          <cell r="D520" t="str">
            <v>[]</v>
          </cell>
          <cell r="E520">
            <v>0</v>
          </cell>
          <cell r="F520" t="str">
            <v>[]</v>
          </cell>
          <cell r="G520" t="str">
            <v>泰山压顶</v>
          </cell>
          <cell r="H520" t="str">
            <v>taishanyading</v>
          </cell>
          <cell r="I520" t="str">
            <v>taishanyading</v>
          </cell>
          <cell r="J520">
            <v>0</v>
          </cell>
          <cell r="K520">
            <v>10</v>
          </cell>
          <cell r="L520" t="str">
            <v>1|51</v>
          </cell>
          <cell r="M520">
            <v>2</v>
          </cell>
          <cell r="N520">
            <v>2</v>
          </cell>
          <cell r="O520">
            <v>2</v>
          </cell>
          <cell r="P520">
            <v>2</v>
          </cell>
          <cell r="Q520">
            <v>12</v>
          </cell>
          <cell r="R520" t="str">
            <v>2|1</v>
          </cell>
          <cell r="S520" t="str">
            <v>2|10</v>
          </cell>
          <cell r="T520">
            <v>10</v>
          </cell>
          <cell r="U520">
            <v>0</v>
          </cell>
          <cell r="V520">
            <v>0</v>
          </cell>
          <cell r="W520" t="str">
            <v>[]</v>
          </cell>
          <cell r="X520">
            <v>0</v>
          </cell>
          <cell r="Y520" t="str">
            <v>[]</v>
          </cell>
          <cell r="Z520" t="str">
            <v>0,0,0</v>
          </cell>
          <cell r="AA520">
            <v>0</v>
          </cell>
          <cell r="AB520" t="str">
            <v>12</v>
          </cell>
          <cell r="AC520" t="str">
            <v>[]</v>
          </cell>
          <cell r="AD520" t="str">
            <v>[]</v>
          </cell>
          <cell r="AE520" t="str">
            <v>[]</v>
          </cell>
          <cell r="AF520" t="str">
            <v>taishangyading</v>
          </cell>
          <cell r="AG520" t="str">
            <v>common_hit_zhongwuqi</v>
          </cell>
          <cell r="AH520" t="str">
            <v>[]</v>
          </cell>
          <cell r="AI520" t="str">
            <v>[]</v>
          </cell>
          <cell r="AJ520" t="str">
            <v>taishanyading_zhenping</v>
          </cell>
          <cell r="AK520" t="str">
            <v>[]</v>
          </cell>
          <cell r="AL520" t="str">
            <v>[]</v>
          </cell>
          <cell r="AM520" t="str">
            <v>[]</v>
          </cell>
          <cell r="AN520">
            <v>1</v>
          </cell>
          <cell r="AO520">
            <v>0.45</v>
          </cell>
          <cell r="AP520">
            <v>900040</v>
          </cell>
          <cell r="AQ520" t="str">
            <v>900040</v>
          </cell>
          <cell r="AR520" t="str">
            <v>[]</v>
          </cell>
          <cell r="AS520" t="str">
            <v>[]</v>
          </cell>
          <cell r="AT520" t="str">
            <v>1215</v>
          </cell>
          <cell r="AU520" t="str">
            <v>5930</v>
          </cell>
          <cell r="AV520" t="str">
            <v>泰山压顶</v>
          </cell>
          <cell r="AW520" t="str">
            <v>01</v>
          </cell>
          <cell r="AX520" t="str">
            <v>[]</v>
          </cell>
          <cell r="AY520">
            <v>1</v>
          </cell>
          <cell r="BE520"/>
          <cell r="BF520"/>
        </row>
        <row r="521">
          <cell r="A521" t="str">
            <v>tuqiangfanghu_skill01</v>
          </cell>
          <cell r="B521" t="str">
            <v>土墙防护</v>
          </cell>
          <cell r="C521" t="str">
            <v>减少全体队友@s所受伤害，持续5秒</v>
          </cell>
          <cell r="D521" t="str">
            <v>[]</v>
          </cell>
          <cell r="E521">
            <v>0</v>
          </cell>
          <cell r="F521" t="str">
            <v>[]</v>
          </cell>
          <cell r="G521" t="str">
            <v>土墙防护</v>
          </cell>
          <cell r="H521" t="str">
            <v>tuqiangfanghu</v>
          </cell>
          <cell r="I521" t="str">
            <v>tuqiangfanghu</v>
          </cell>
          <cell r="J521">
            <v>0</v>
          </cell>
          <cell r="K521">
            <v>10</v>
          </cell>
          <cell r="L521" t="str">
            <v>1|48</v>
          </cell>
          <cell r="M521">
            <v>2</v>
          </cell>
          <cell r="N521">
            <v>2</v>
          </cell>
          <cell r="O521">
            <v>1</v>
          </cell>
          <cell r="P521">
            <v>4</v>
          </cell>
          <cell r="Q521">
            <v>12</v>
          </cell>
          <cell r="R521">
            <v>3</v>
          </cell>
          <cell r="S521">
            <v>7</v>
          </cell>
          <cell r="T521">
            <v>10</v>
          </cell>
          <cell r="U521">
            <v>0</v>
          </cell>
          <cell r="V521">
            <v>0</v>
          </cell>
          <cell r="W521" t="str">
            <v>[]</v>
          </cell>
          <cell r="X521">
            <v>0</v>
          </cell>
          <cell r="Y521" t="str">
            <v>[]</v>
          </cell>
          <cell r="Z521" t="str">
            <v>0,0,0</v>
          </cell>
          <cell r="AA521">
            <v>0</v>
          </cell>
          <cell r="AB521" t="str">
            <v>12</v>
          </cell>
          <cell r="AC521" t="str">
            <v>[]</v>
          </cell>
          <cell r="AD521" t="str">
            <v>[]</v>
          </cell>
          <cell r="AE521" t="str">
            <v>[]</v>
          </cell>
          <cell r="AF521" t="str">
            <v>tuqiangfanghu</v>
          </cell>
          <cell r="AG521" t="str">
            <v>[]</v>
          </cell>
          <cell r="AH521" t="str">
            <v>[]</v>
          </cell>
          <cell r="AI521" t="str">
            <v>[]</v>
          </cell>
          <cell r="AJ521" t="str">
            <v>[]</v>
          </cell>
          <cell r="AK521" t="str">
            <v>[]</v>
          </cell>
          <cell r="AL521" t="str">
            <v>[]</v>
          </cell>
          <cell r="AM521" t="str">
            <v>[]</v>
          </cell>
          <cell r="AN521">
            <v>1</v>
          </cell>
          <cell r="AO521">
            <v>0.01</v>
          </cell>
          <cell r="AP521" t="str">
            <v>[]</v>
          </cell>
          <cell r="AQ521" t="str">
            <v>9015</v>
          </cell>
          <cell r="AR521" t="str">
            <v>[]</v>
          </cell>
          <cell r="AS521" t="str">
            <v>[]</v>
          </cell>
          <cell r="AT521" t="str">
            <v>1215</v>
          </cell>
          <cell r="AU521" t="str">
            <v>5940</v>
          </cell>
          <cell r="AV521" t="str">
            <v>土墙防护</v>
          </cell>
          <cell r="AW521" t="str">
            <v>01</v>
          </cell>
          <cell r="AX521" t="str">
            <v>[]</v>
          </cell>
          <cell r="AY521">
            <v>1</v>
          </cell>
          <cell r="BE521"/>
          <cell r="BF521"/>
        </row>
        <row r="522">
          <cell r="A522" t="str">
            <v>leiji_skill01</v>
          </cell>
          <cell r="B522" t="str">
            <v>雷击</v>
          </cell>
          <cell r="C522" t="str">
            <v>对范围内目标造成2次主角攻击力@s的伤害</v>
          </cell>
          <cell r="D522" t="str">
            <v>[]</v>
          </cell>
          <cell r="E522">
            <v>0</v>
          </cell>
          <cell r="F522" t="str">
            <v>[]</v>
          </cell>
          <cell r="G522" t="str">
            <v>雷击</v>
          </cell>
          <cell r="H522" t="str">
            <v>leiji</v>
          </cell>
          <cell r="I522" t="str">
            <v>leiji</v>
          </cell>
          <cell r="J522">
            <v>0</v>
          </cell>
          <cell r="K522">
            <v>10</v>
          </cell>
          <cell r="L522" t="str">
            <v>1|67</v>
          </cell>
          <cell r="M522">
            <v>2</v>
          </cell>
          <cell r="N522">
            <v>2</v>
          </cell>
          <cell r="O522">
            <v>2</v>
          </cell>
          <cell r="P522">
            <v>2</v>
          </cell>
          <cell r="Q522">
            <v>4</v>
          </cell>
          <cell r="R522" t="str">
            <v>2|1</v>
          </cell>
          <cell r="S522" t="str">
            <v>2|10</v>
          </cell>
          <cell r="T522">
            <v>10</v>
          </cell>
          <cell r="U522">
            <v>0</v>
          </cell>
          <cell r="V522">
            <v>0</v>
          </cell>
          <cell r="W522" t="str">
            <v>[]</v>
          </cell>
          <cell r="X522">
            <v>0</v>
          </cell>
          <cell r="Y522" t="str">
            <v>[]</v>
          </cell>
          <cell r="Z522" t="str">
            <v>0,0,0</v>
          </cell>
          <cell r="AA522">
            <v>0</v>
          </cell>
          <cell r="AB522" t="str">
            <v>12</v>
          </cell>
          <cell r="AC522" t="str">
            <v>[]</v>
          </cell>
          <cell r="AD522" t="str">
            <v>[]</v>
          </cell>
          <cell r="AE522" t="str">
            <v>[]</v>
          </cell>
          <cell r="AF522" t="str">
            <v>leiji</v>
          </cell>
          <cell r="AG522" t="str">
            <v>common_hit_fashu</v>
          </cell>
          <cell r="AH522" t="str">
            <v>[]</v>
          </cell>
          <cell r="AI522" t="str">
            <v>[]</v>
          </cell>
          <cell r="AJ522" t="str">
            <v>leiji_zhenping</v>
          </cell>
          <cell r="AK522" t="str">
            <v>common_yunxuan</v>
          </cell>
          <cell r="AL522" t="str">
            <v>[]</v>
          </cell>
          <cell r="AM522" t="str">
            <v>[]</v>
          </cell>
          <cell r="AN522">
            <v>1</v>
          </cell>
          <cell r="AO522" t="str">
            <v>0.5,0.7</v>
          </cell>
          <cell r="AP522">
            <v>900042</v>
          </cell>
          <cell r="AQ522" t="str">
            <v>900042</v>
          </cell>
          <cell r="AR522" t="str">
            <v>[]</v>
          </cell>
          <cell r="AS522" t="str">
            <v>[]</v>
          </cell>
          <cell r="AT522" t="str">
            <v>1215</v>
          </cell>
          <cell r="AU522" t="str">
            <v>5950</v>
          </cell>
          <cell r="AV522" t="str">
            <v>雷击</v>
          </cell>
          <cell r="AW522" t="str">
            <v>01</v>
          </cell>
          <cell r="AX522" t="str">
            <v>[]</v>
          </cell>
          <cell r="AY522">
            <v>2</v>
          </cell>
          <cell r="BE522"/>
          <cell r="BF522"/>
        </row>
        <row r="523">
          <cell r="A523" t="str">
            <v>mamian_attack</v>
          </cell>
          <cell r="B523" t="str">
            <v>马面</v>
          </cell>
          <cell r="C523" t="str">
            <v>攻击目标</v>
          </cell>
          <cell r="D523" t="str">
            <v>[]</v>
          </cell>
          <cell r="E523">
            <v>0</v>
          </cell>
          <cell r="F523" t="str">
            <v>[]</v>
          </cell>
          <cell r="G523" t="str">
            <v>近战攻击</v>
          </cell>
          <cell r="H523" t="str">
            <v>[]</v>
          </cell>
          <cell r="I523" t="str">
            <v>[]</v>
          </cell>
          <cell r="J523">
            <v>0</v>
          </cell>
          <cell r="K523">
            <v>1</v>
          </cell>
          <cell r="L523" t="str">
            <v>[]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3</v>
          </cell>
          <cell r="R523" t="str">
            <v>2|1</v>
          </cell>
          <cell r="S523" t="str">
            <v>4|0.2</v>
          </cell>
          <cell r="T523">
            <v>1</v>
          </cell>
          <cell r="U523">
            <v>0</v>
          </cell>
          <cell r="V523">
            <v>0</v>
          </cell>
          <cell r="W523" t="str">
            <v>[]</v>
          </cell>
          <cell r="X523">
            <v>0</v>
          </cell>
          <cell r="Y523" t="str">
            <v>[]</v>
          </cell>
          <cell r="Z523" t="str">
            <v>0,1,0</v>
          </cell>
          <cell r="AA523">
            <v>0</v>
          </cell>
          <cell r="AB523" t="str">
            <v>[]</v>
          </cell>
          <cell r="AC523" t="str">
            <v>[]</v>
          </cell>
          <cell r="AD523" t="str">
            <v>[]</v>
          </cell>
          <cell r="AE523" t="str">
            <v>[]</v>
          </cell>
          <cell r="AF523" t="str">
            <v>mamian_attack</v>
          </cell>
          <cell r="AG523" t="str">
            <v>common_hit_zhongwuqi</v>
          </cell>
          <cell r="AH523" t="str">
            <v>[]</v>
          </cell>
          <cell r="AI523" t="str">
            <v>[]</v>
          </cell>
          <cell r="AJ523" t="str">
            <v>[]</v>
          </cell>
          <cell r="AK523" t="str">
            <v>[]</v>
          </cell>
          <cell r="AL523" t="str">
            <v>[]</v>
          </cell>
          <cell r="AM523" t="str">
            <v>[]</v>
          </cell>
          <cell r="AN523">
            <v>1</v>
          </cell>
          <cell r="AO523">
            <v>0.47</v>
          </cell>
          <cell r="AP523">
            <v>120500</v>
          </cell>
          <cell r="AQ523" t="str">
            <v>120500</v>
          </cell>
          <cell r="AR523" t="str">
            <v>[]</v>
          </cell>
          <cell r="AS523" t="str">
            <v>[]</v>
          </cell>
          <cell r="AT523" t="str">
            <v>9010</v>
          </cell>
          <cell r="AU523" t="str">
            <v>6010</v>
          </cell>
          <cell r="AV523" t="str">
            <v>近战攻击</v>
          </cell>
          <cell r="AW523" t="str">
            <v>ck</v>
          </cell>
          <cell r="AX523" t="str">
            <v>[]</v>
          </cell>
          <cell r="AY523">
            <v>1</v>
          </cell>
          <cell r="BE523"/>
          <cell r="BF523"/>
        </row>
        <row r="524">
          <cell r="A524" t="str">
            <v>mamian_skill01</v>
          </cell>
          <cell r="B524" t="str">
            <v>激增灵魂</v>
          </cell>
          <cell r="C524" t="str">
            <v>提高全体队友@s的攻击速度，持续5秒</v>
          </cell>
          <cell r="D524" t="str">
            <v>[]</v>
          </cell>
          <cell r="E524">
            <v>0</v>
          </cell>
          <cell r="F524" t="str">
            <v>[]</v>
          </cell>
          <cell r="G524" t="str">
            <v>马面核心技能</v>
          </cell>
          <cell r="H524" t="str">
            <v>mamian_skill01</v>
          </cell>
          <cell r="I524" t="str">
            <v>mamian_skill01</v>
          </cell>
          <cell r="J524">
            <v>0</v>
          </cell>
          <cell r="K524">
            <v>10</v>
          </cell>
          <cell r="L524" t="str">
            <v>1|24</v>
          </cell>
          <cell r="M524">
            <v>2</v>
          </cell>
          <cell r="N524">
            <v>2</v>
          </cell>
          <cell r="O524">
            <v>1</v>
          </cell>
          <cell r="P524">
            <v>2</v>
          </cell>
          <cell r="Q524">
            <v>12</v>
          </cell>
          <cell r="R524">
            <v>3</v>
          </cell>
          <cell r="S524" t="str">
            <v>2|20</v>
          </cell>
          <cell r="T524">
            <v>10</v>
          </cell>
          <cell r="U524">
            <v>1</v>
          </cell>
          <cell r="V524">
            <v>0</v>
          </cell>
          <cell r="W524" t="str">
            <v>[]</v>
          </cell>
          <cell r="X524">
            <v>0</v>
          </cell>
          <cell r="Y524" t="str">
            <v>[]</v>
          </cell>
          <cell r="Z524" t="str">
            <v>0,0,0</v>
          </cell>
          <cell r="AA524">
            <v>0</v>
          </cell>
          <cell r="AB524" t="str">
            <v>12</v>
          </cell>
          <cell r="AC524" t="str">
            <v>[]</v>
          </cell>
          <cell r="AD524" t="str">
            <v>[]</v>
          </cell>
          <cell r="AE524" t="str">
            <v>[]</v>
          </cell>
          <cell r="AF524" t="str">
            <v>mamian_skill01</v>
          </cell>
          <cell r="AG524" t="str">
            <v>[]</v>
          </cell>
          <cell r="AH524" t="str">
            <v>[]</v>
          </cell>
          <cell r="AI524" t="str">
            <v>[]</v>
          </cell>
          <cell r="AJ524" t="str">
            <v>[]</v>
          </cell>
          <cell r="AK524" t="str">
            <v>[]</v>
          </cell>
          <cell r="AL524" t="str">
            <v>[]</v>
          </cell>
          <cell r="AM524" t="str">
            <v>[]</v>
          </cell>
          <cell r="AN524">
            <v>2</v>
          </cell>
          <cell r="AO524">
            <v>0.6</v>
          </cell>
          <cell r="AP524" t="str">
            <v>[]</v>
          </cell>
          <cell r="AQ524" t="str">
            <v>9020</v>
          </cell>
          <cell r="AR524" t="str">
            <v>[]</v>
          </cell>
          <cell r="AS524" t="str">
            <v>[]</v>
          </cell>
          <cell r="AT524" t="str">
            <v>6750</v>
          </cell>
          <cell r="AU524" t="str">
            <v>6020</v>
          </cell>
          <cell r="AV524" t="str">
            <v>马面</v>
          </cell>
          <cell r="AW524" t="str">
            <v>01</v>
          </cell>
          <cell r="AX524" t="str">
            <v>[]</v>
          </cell>
          <cell r="AY524">
            <v>1</v>
          </cell>
          <cell r="BE524"/>
          <cell r="BF524"/>
        </row>
        <row r="525">
          <cell r="A525" t="str">
            <v>mamian_skill02</v>
          </cell>
          <cell r="B525" t="str">
            <v>流星拳</v>
          </cell>
          <cell r="C525" t="str">
            <v>对目标造成7次自身攻击力@s的伤害</v>
          </cell>
          <cell r="D525" t="str">
            <v>[]</v>
          </cell>
          <cell r="E525">
            <v>2</v>
          </cell>
          <cell r="F525" t="str">
            <v>boss_warning_shanxing90</v>
          </cell>
          <cell r="G525" t="str">
            <v>马面技能2</v>
          </cell>
          <cell r="H525" t="str">
            <v>mamian_skill02</v>
          </cell>
          <cell r="I525" t="str">
            <v>[]</v>
          </cell>
          <cell r="J525">
            <v>1</v>
          </cell>
          <cell r="K525">
            <v>10</v>
          </cell>
          <cell r="L525" t="str">
            <v>[]</v>
          </cell>
          <cell r="M525">
            <v>2</v>
          </cell>
          <cell r="N525">
            <v>2</v>
          </cell>
          <cell r="O525">
            <v>1</v>
          </cell>
          <cell r="P525">
            <v>2</v>
          </cell>
          <cell r="Q525">
            <v>4</v>
          </cell>
          <cell r="R525" t="str">
            <v>2|1</v>
          </cell>
          <cell r="S525" t="str">
            <v>4|0.2</v>
          </cell>
          <cell r="T525">
            <v>10</v>
          </cell>
          <cell r="U525">
            <v>1</v>
          </cell>
          <cell r="V525">
            <v>0</v>
          </cell>
          <cell r="W525" t="str">
            <v>[]</v>
          </cell>
          <cell r="X525">
            <v>3</v>
          </cell>
          <cell r="Y525" t="str">
            <v>[]</v>
          </cell>
          <cell r="Z525" t="str">
            <v>0,2.6,0</v>
          </cell>
          <cell r="AA525">
            <v>0</v>
          </cell>
          <cell r="AB525">
            <v>6</v>
          </cell>
          <cell r="AC525" t="str">
            <v>[]</v>
          </cell>
          <cell r="AD525" t="str">
            <v>[]</v>
          </cell>
          <cell r="AE525" t="str">
            <v>[]</v>
          </cell>
          <cell r="AF525" t="str">
            <v>mamian_skill02</v>
          </cell>
          <cell r="AG525" t="str">
            <v>common_hit_dunqi</v>
          </cell>
          <cell r="AH525" t="str">
            <v>[]</v>
          </cell>
          <cell r="AI525" t="str">
            <v>[]</v>
          </cell>
          <cell r="AJ525" t="str">
            <v>[]</v>
          </cell>
          <cell r="AK525" t="str">
            <v>[]</v>
          </cell>
          <cell r="AL525" t="str">
            <v>[]</v>
          </cell>
          <cell r="AM525" t="str">
            <v>[]</v>
          </cell>
          <cell r="AN525">
            <v>1</v>
          </cell>
          <cell r="AO525" t="str">
            <v>0.8,0.2,0.2,0.2,0.2,0.2,0.2</v>
          </cell>
          <cell r="AP525">
            <v>120502</v>
          </cell>
          <cell r="AQ525" t="str">
            <v>120502</v>
          </cell>
          <cell r="AR525" t="str">
            <v>[]</v>
          </cell>
          <cell r="AS525" t="str">
            <v>[]</v>
          </cell>
          <cell r="AT525" t="str">
            <v>1215</v>
          </cell>
          <cell r="AU525" t="str">
            <v>6030</v>
          </cell>
          <cell r="AV525" t="str">
            <v>马面</v>
          </cell>
          <cell r="AW525" t="str">
            <v>02</v>
          </cell>
          <cell r="AX525" t="str">
            <v>[]</v>
          </cell>
          <cell r="AY525">
            <v>7</v>
          </cell>
          <cell r="BE525"/>
          <cell r="BF525"/>
        </row>
        <row r="526">
          <cell r="A526" t="str">
            <v>mamian_skill03</v>
          </cell>
          <cell r="B526" t="str">
            <v>攻速提升</v>
          </cell>
          <cell r="C526" t="str">
            <v>进入战斗场景时，增加自身@s的攻击速度</v>
          </cell>
          <cell r="D526">
            <v>1262</v>
          </cell>
          <cell r="E526">
            <v>0</v>
          </cell>
          <cell r="F526" t="str">
            <v>[]</v>
          </cell>
          <cell r="G526" t="str">
            <v>马面被动技能</v>
          </cell>
          <cell r="H526" t="str">
            <v>gongsu</v>
          </cell>
          <cell r="I526" t="str">
            <v>[]</v>
          </cell>
          <cell r="J526">
            <v>2</v>
          </cell>
          <cell r="K526">
            <v>10</v>
          </cell>
          <cell r="L526" t="str">
            <v>[]</v>
          </cell>
          <cell r="M526">
            <v>2</v>
          </cell>
          <cell r="N526">
            <v>2</v>
          </cell>
          <cell r="O526">
            <v>3</v>
          </cell>
          <cell r="P526">
            <v>0</v>
          </cell>
          <cell r="Q526">
            <v>12</v>
          </cell>
          <cell r="R526">
            <v>1</v>
          </cell>
          <cell r="S526" t="str">
            <v>4|0.2</v>
          </cell>
          <cell r="T526">
            <v>1</v>
          </cell>
          <cell r="U526">
            <v>0</v>
          </cell>
          <cell r="V526">
            <v>0</v>
          </cell>
          <cell r="W526" t="str">
            <v>[]</v>
          </cell>
          <cell r="X526">
            <v>0</v>
          </cell>
          <cell r="Y526" t="str">
            <v>[]</v>
          </cell>
          <cell r="Z526" t="str">
            <v>0,0,0</v>
          </cell>
          <cell r="AA526">
            <v>0</v>
          </cell>
          <cell r="AB526" t="str">
            <v>[]</v>
          </cell>
          <cell r="AC526" t="str">
            <v>[]</v>
          </cell>
          <cell r="AD526" t="str">
            <v>[]</v>
          </cell>
          <cell r="AE526" t="str">
            <v>[]</v>
          </cell>
          <cell r="AF526" t="str">
            <v>[]</v>
          </cell>
          <cell r="AG526" t="str">
            <v>[]</v>
          </cell>
          <cell r="AH526" t="str">
            <v>[]</v>
          </cell>
          <cell r="AI526" t="str">
            <v>[]</v>
          </cell>
          <cell r="AJ526" t="str">
            <v>[]</v>
          </cell>
          <cell r="AK526" t="str">
            <v>[]</v>
          </cell>
          <cell r="AL526" t="str">
            <v>passive_mamian</v>
          </cell>
          <cell r="AM526" t="str">
            <v>[]</v>
          </cell>
          <cell r="AN526">
            <v>0</v>
          </cell>
          <cell r="AO526" t="str">
            <v>[]</v>
          </cell>
          <cell r="AP526" t="str">
            <v>[]</v>
          </cell>
          <cell r="AQ526" t="str">
            <v>9020</v>
          </cell>
          <cell r="AR526" t="str">
            <v>[]</v>
          </cell>
          <cell r="AS526" t="str">
            <v>[]</v>
          </cell>
          <cell r="AT526" t="str">
            <v>1215</v>
          </cell>
          <cell r="AU526" t="str">
            <v>6040</v>
          </cell>
          <cell r="AV526" t="str">
            <v>马面</v>
          </cell>
          <cell r="AW526" t="str">
            <v>03</v>
          </cell>
          <cell r="AX526">
            <v>1262</v>
          </cell>
          <cell r="AY526">
            <v>1</v>
          </cell>
          <cell r="BE526"/>
          <cell r="BF526"/>
        </row>
        <row r="527">
          <cell r="A527" t="str">
            <v>mamian_skill04</v>
          </cell>
          <cell r="B527" t="str">
            <v>驱魂神令</v>
          </cell>
          <cell r="C527" t="str">
            <v>对目标造成自身攻击力@s的伤害</v>
          </cell>
          <cell r="D527">
            <v>1264</v>
          </cell>
          <cell r="E527">
            <v>2</v>
          </cell>
          <cell r="F527" t="str">
            <v>boss_warning_shanxing90</v>
          </cell>
          <cell r="G527" t="str">
            <v>马面技能4</v>
          </cell>
          <cell r="H527" t="str">
            <v>mamian_skill04</v>
          </cell>
          <cell r="I527" t="str">
            <v>[]</v>
          </cell>
          <cell r="J527">
            <v>3</v>
          </cell>
          <cell r="K527">
            <v>10</v>
          </cell>
          <cell r="L527" t="str">
            <v>[]</v>
          </cell>
          <cell r="M527">
            <v>2</v>
          </cell>
          <cell r="N527">
            <v>2</v>
          </cell>
          <cell r="O527">
            <v>1</v>
          </cell>
          <cell r="P527">
            <v>2</v>
          </cell>
          <cell r="Q527">
            <v>4</v>
          </cell>
          <cell r="R527" t="str">
            <v>2|1</v>
          </cell>
          <cell r="S527" t="str">
            <v>4|0.2</v>
          </cell>
          <cell r="T527">
            <v>1</v>
          </cell>
          <cell r="U527">
            <v>1</v>
          </cell>
          <cell r="V527">
            <v>0</v>
          </cell>
          <cell r="W527" t="str">
            <v>[]</v>
          </cell>
          <cell r="X527">
            <v>3</v>
          </cell>
          <cell r="Y527" t="str">
            <v>[]</v>
          </cell>
          <cell r="Z527" t="str">
            <v>0,2.27,0</v>
          </cell>
          <cell r="AA527">
            <v>0</v>
          </cell>
          <cell r="AB527">
            <v>6</v>
          </cell>
          <cell r="AC527" t="str">
            <v>[]</v>
          </cell>
          <cell r="AD527" t="str">
            <v>[]</v>
          </cell>
          <cell r="AE527" t="str">
            <v>[]</v>
          </cell>
          <cell r="AF527" t="str">
            <v>mamian_skill04</v>
          </cell>
          <cell r="AG527" t="str">
            <v>common_hit_zhongwuqi</v>
          </cell>
          <cell r="AH527" t="str">
            <v>[]</v>
          </cell>
          <cell r="AI527" t="str">
            <v>[]</v>
          </cell>
          <cell r="AJ527" t="str">
            <v>mamian_zhenping</v>
          </cell>
          <cell r="AK527" t="str">
            <v>[]</v>
          </cell>
          <cell r="AL527" t="str">
            <v>[]</v>
          </cell>
          <cell r="AM527" t="str">
            <v>[]</v>
          </cell>
          <cell r="AN527">
            <v>1</v>
          </cell>
          <cell r="AO527">
            <v>1.6</v>
          </cell>
          <cell r="AP527">
            <v>120504</v>
          </cell>
          <cell r="AQ527" t="str">
            <v>120504</v>
          </cell>
          <cell r="AR527" t="str">
            <v>[]</v>
          </cell>
          <cell r="AS527" t="str">
            <v>[]</v>
          </cell>
          <cell r="AT527" t="str">
            <v>1215</v>
          </cell>
          <cell r="AU527" t="str">
            <v>6050</v>
          </cell>
          <cell r="AV527" t="str">
            <v>马面</v>
          </cell>
          <cell r="AW527" t="str">
            <v>04</v>
          </cell>
          <cell r="AX527">
            <v>1264</v>
          </cell>
          <cell r="AY527">
            <v>1</v>
          </cell>
          <cell r="BE527"/>
          <cell r="BF527"/>
        </row>
        <row r="528">
          <cell r="A528" t="str">
            <v>hundun_skill05</v>
          </cell>
          <cell r="B528" t="str">
            <v>混沌阵</v>
          </cell>
          <cell r="C528" t="str">
            <v>对范围内目标造成9次主角攻击力@s的伤害</v>
          </cell>
          <cell r="D528" t="str">
            <v>[]</v>
          </cell>
          <cell r="E528">
            <v>0</v>
          </cell>
          <cell r="F528" t="str">
            <v>[]</v>
          </cell>
          <cell r="G528" t="str">
            <v>混沌核心技能</v>
          </cell>
          <cell r="H528" t="str">
            <v>hundunzhen</v>
          </cell>
          <cell r="I528" t="str">
            <v>hundunzhen</v>
          </cell>
          <cell r="J528">
            <v>0</v>
          </cell>
          <cell r="K528">
            <v>10</v>
          </cell>
          <cell r="L528" t="str">
            <v>1|93</v>
          </cell>
          <cell r="M528">
            <v>2</v>
          </cell>
          <cell r="N528">
            <v>2</v>
          </cell>
          <cell r="O528">
            <v>2</v>
          </cell>
          <cell r="P528">
            <v>2</v>
          </cell>
          <cell r="Q528">
            <v>8</v>
          </cell>
          <cell r="R528" t="str">
            <v>2|1</v>
          </cell>
          <cell r="S528" t="str">
            <v>2|4</v>
          </cell>
          <cell r="T528">
            <v>10</v>
          </cell>
          <cell r="U528">
            <v>0</v>
          </cell>
          <cell r="V528">
            <v>0</v>
          </cell>
          <cell r="W528" t="str">
            <v>[]</v>
          </cell>
          <cell r="X528">
            <v>0</v>
          </cell>
          <cell r="Y528" t="str">
            <v>[]</v>
          </cell>
          <cell r="Z528" t="str">
            <v>0,1.167,0</v>
          </cell>
          <cell r="AA528">
            <v>0</v>
          </cell>
          <cell r="AB528" t="str">
            <v>[]</v>
          </cell>
          <cell r="AC528" t="str">
            <v>[]</v>
          </cell>
          <cell r="AD528" t="str">
            <v>[]</v>
          </cell>
          <cell r="AE528" t="str">
            <v>[]</v>
          </cell>
          <cell r="AF528" t="str">
            <v>hundun_skill01</v>
          </cell>
          <cell r="AG528" t="str">
            <v>common_hit_fashu</v>
          </cell>
          <cell r="AH528" t="str">
            <v>[]</v>
          </cell>
          <cell r="AI528" t="str">
            <v>[]</v>
          </cell>
          <cell r="AJ528" t="str">
            <v>[]</v>
          </cell>
          <cell r="AK528" t="str">
            <v>[]</v>
          </cell>
          <cell r="AL528" t="str">
            <v>[]</v>
          </cell>
          <cell r="AM528" t="str">
            <v>[]</v>
          </cell>
          <cell r="AN528">
            <v>1</v>
          </cell>
          <cell r="AO528" t="str">
            <v>0.65,0.2,0.2,0.2,0.2,0.20,0.3,0.2,0.2</v>
          </cell>
          <cell r="AP528">
            <v>3570</v>
          </cell>
          <cell r="AQ528" t="str">
            <v>111805</v>
          </cell>
          <cell r="AR528" t="str">
            <v>[]</v>
          </cell>
          <cell r="AS528" t="str">
            <v>[]</v>
          </cell>
          <cell r="AT528">
            <v>3570</v>
          </cell>
          <cell r="AU528" t="str">
            <v>3570</v>
          </cell>
          <cell r="AV528" t="str">
            <v>混沌</v>
          </cell>
          <cell r="AW528" t="str">
            <v>05</v>
          </cell>
          <cell r="AY528">
            <v>9</v>
          </cell>
          <cell r="BE528"/>
          <cell r="BF528"/>
        </row>
        <row r="529">
          <cell r="A529" t="str">
            <v>zhubajie_skill05</v>
          </cell>
          <cell r="B529" t="str">
            <v>雷霆天罚</v>
          </cell>
          <cell r="C529" t="str">
            <v>新手引导技能</v>
          </cell>
          <cell r="D529" t="str">
            <v>[]</v>
          </cell>
          <cell r="E529">
            <v>0</v>
          </cell>
          <cell r="F529" t="str">
            <v>[]</v>
          </cell>
          <cell r="G529" t="str">
            <v>猪八戒核心技能</v>
          </cell>
          <cell r="H529" t="str">
            <v>zhubajie_skill01</v>
          </cell>
          <cell r="I529" t="str">
            <v>zhubajie_skill01</v>
          </cell>
          <cell r="J529">
            <v>1</v>
          </cell>
          <cell r="K529">
            <v>10</v>
          </cell>
          <cell r="L529" t="str">
            <v>[]</v>
          </cell>
          <cell r="M529">
            <v>2</v>
          </cell>
          <cell r="N529">
            <v>2</v>
          </cell>
          <cell r="O529">
            <v>1</v>
          </cell>
          <cell r="P529">
            <v>2</v>
          </cell>
          <cell r="Q529">
            <v>12</v>
          </cell>
          <cell r="R529" t="str">
            <v>2|1</v>
          </cell>
          <cell r="S529" t="str">
            <v>2|2</v>
          </cell>
          <cell r="T529">
            <v>10</v>
          </cell>
          <cell r="U529">
            <v>1</v>
          </cell>
          <cell r="V529">
            <v>0</v>
          </cell>
          <cell r="W529" t="str">
            <v>[]</v>
          </cell>
          <cell r="X529">
            <v>0</v>
          </cell>
          <cell r="Y529" t="str">
            <v>[]</v>
          </cell>
          <cell r="Z529" t="str">
            <v>0,2.0,0</v>
          </cell>
          <cell r="AA529">
            <v>0</v>
          </cell>
          <cell r="AB529">
            <v>6</v>
          </cell>
          <cell r="AC529" t="str">
            <v>[]</v>
          </cell>
          <cell r="AD529" t="str">
            <v>[]</v>
          </cell>
          <cell r="AE529" t="str">
            <v>[]</v>
          </cell>
          <cell r="AF529" t="str">
            <v>zhubajie_skill01</v>
          </cell>
          <cell r="AG529" t="str">
            <v>zhubajie_hit</v>
          </cell>
          <cell r="AH529" t="str">
            <v>[]</v>
          </cell>
          <cell r="AI529" t="str">
            <v>[]</v>
          </cell>
          <cell r="AJ529" t="str">
            <v>[]</v>
          </cell>
          <cell r="AK529" t="str">
            <v>[]</v>
          </cell>
          <cell r="AL529" t="str">
            <v>[]</v>
          </cell>
          <cell r="AM529" t="str">
            <v>[]</v>
          </cell>
          <cell r="AN529">
            <v>1</v>
          </cell>
          <cell r="AO529" t="str">
            <v>1.1,0.5,0.5</v>
          </cell>
          <cell r="AP529">
            <v>2320</v>
          </cell>
          <cell r="AQ529">
            <v>112010</v>
          </cell>
          <cell r="AR529" t="str">
            <v>[]</v>
          </cell>
          <cell r="AS529" t="str">
            <v>[]</v>
          </cell>
          <cell r="AT529">
            <v>2320</v>
          </cell>
          <cell r="AU529" t="str">
            <v>2320</v>
          </cell>
          <cell r="AV529" t="str">
            <v>猪八戒</v>
          </cell>
          <cell r="AW529" t="str">
            <v>05</v>
          </cell>
          <cell r="AY529">
            <v>3</v>
          </cell>
          <cell r="BE529"/>
          <cell r="BF529"/>
        </row>
        <row r="530">
          <cell r="A530" t="str">
            <v>zhubajie_skill06</v>
          </cell>
          <cell r="B530" t="str">
            <v>生命提升</v>
          </cell>
          <cell r="C530" t="str">
            <v>新手引导技能</v>
          </cell>
          <cell r="D530" t="str">
            <v>[]</v>
          </cell>
          <cell r="E530">
            <v>0</v>
          </cell>
          <cell r="F530" t="str">
            <v>[]</v>
          </cell>
          <cell r="G530" t="str">
            <v>猪八戒被动技能</v>
          </cell>
          <cell r="H530" t="str">
            <v>shengming</v>
          </cell>
          <cell r="I530" t="str">
            <v>[]</v>
          </cell>
          <cell r="J530">
            <v>2</v>
          </cell>
          <cell r="K530">
            <v>10</v>
          </cell>
          <cell r="L530" t="str">
            <v>[]</v>
          </cell>
          <cell r="M530">
            <v>2</v>
          </cell>
          <cell r="N530">
            <v>2</v>
          </cell>
          <cell r="O530">
            <v>3</v>
          </cell>
          <cell r="P530">
            <v>0</v>
          </cell>
          <cell r="Q530">
            <v>12</v>
          </cell>
          <cell r="R530">
            <v>1</v>
          </cell>
          <cell r="S530" t="str">
            <v>4|0.2</v>
          </cell>
          <cell r="T530">
            <v>1</v>
          </cell>
          <cell r="U530">
            <v>0</v>
          </cell>
          <cell r="V530">
            <v>0</v>
          </cell>
          <cell r="W530" t="str">
            <v>[]</v>
          </cell>
          <cell r="X530">
            <v>0</v>
          </cell>
          <cell r="Y530" t="str">
            <v>[]</v>
          </cell>
          <cell r="Z530" t="str">
            <v>0,0,0</v>
          </cell>
          <cell r="AA530">
            <v>0</v>
          </cell>
          <cell r="AB530" t="str">
            <v>[]</v>
          </cell>
          <cell r="AC530" t="str">
            <v>[]</v>
          </cell>
          <cell r="AD530" t="str">
            <v>[]</v>
          </cell>
          <cell r="AE530" t="str">
            <v>[]</v>
          </cell>
          <cell r="AF530" t="str">
            <v>[]</v>
          </cell>
          <cell r="AG530" t="str">
            <v>[]</v>
          </cell>
          <cell r="AH530" t="str">
            <v>[]</v>
          </cell>
          <cell r="AI530" t="str">
            <v>[]</v>
          </cell>
          <cell r="AJ530" t="str">
            <v>[]</v>
          </cell>
          <cell r="AK530" t="str">
            <v>[]</v>
          </cell>
          <cell r="AL530" t="str">
            <v>passive_zhubajie</v>
          </cell>
          <cell r="AM530" t="str">
            <v>[]</v>
          </cell>
          <cell r="AN530">
            <v>0</v>
          </cell>
          <cell r="AO530" t="str">
            <v>[]</v>
          </cell>
          <cell r="AP530" t="str">
            <v>[]</v>
          </cell>
          <cell r="AQ530">
            <v>112011</v>
          </cell>
          <cell r="AR530" t="str">
            <v>[]</v>
          </cell>
          <cell r="AS530" t="str">
            <v>[]</v>
          </cell>
          <cell r="AT530" t="str">
            <v>[]</v>
          </cell>
          <cell r="AU530" t="str">
            <v>2340</v>
          </cell>
          <cell r="AV530" t="str">
            <v>猪八戒</v>
          </cell>
          <cell r="AW530" t="str">
            <v>06</v>
          </cell>
          <cell r="AY530">
            <v>1</v>
          </cell>
          <cell r="BE530"/>
          <cell r="BF530"/>
        </row>
        <row r="531">
          <cell r="A531" t="str">
            <v>zhubajie_skill07</v>
          </cell>
          <cell r="B531" t="str">
            <v>九齿钉耙</v>
          </cell>
          <cell r="C531" t="str">
            <v>新手引导技能</v>
          </cell>
          <cell r="D531" t="str">
            <v>[]</v>
          </cell>
          <cell r="E531">
            <v>0</v>
          </cell>
          <cell r="F531" t="str">
            <v>[]</v>
          </cell>
          <cell r="G531" t="str">
            <v>猪八戒技能4</v>
          </cell>
          <cell r="H531" t="str">
            <v>zhubajie_skill04</v>
          </cell>
          <cell r="I531" t="str">
            <v>[]</v>
          </cell>
          <cell r="J531">
            <v>3</v>
          </cell>
          <cell r="K531">
            <v>10</v>
          </cell>
          <cell r="L531" t="str">
            <v>[]</v>
          </cell>
          <cell r="M531">
            <v>2</v>
          </cell>
          <cell r="N531">
            <v>2</v>
          </cell>
          <cell r="O531">
            <v>1</v>
          </cell>
          <cell r="P531">
            <v>2</v>
          </cell>
          <cell r="Q531">
            <v>4</v>
          </cell>
          <cell r="R531" t="str">
            <v>2|1</v>
          </cell>
          <cell r="S531" t="str">
            <v>3|10|60</v>
          </cell>
          <cell r="T531">
            <v>10</v>
          </cell>
          <cell r="U531">
            <v>0</v>
          </cell>
          <cell r="V531">
            <v>0</v>
          </cell>
          <cell r="W531" t="str">
            <v>[]</v>
          </cell>
          <cell r="X531">
            <v>3</v>
          </cell>
          <cell r="Y531" t="str">
            <v>[]</v>
          </cell>
          <cell r="Z531" t="str">
            <v>0,2.0,0</v>
          </cell>
          <cell r="AA531">
            <v>0</v>
          </cell>
          <cell r="AB531">
            <v>6</v>
          </cell>
          <cell r="AC531" t="str">
            <v>[]</v>
          </cell>
          <cell r="AD531" t="str">
            <v>[]</v>
          </cell>
          <cell r="AE531" t="str">
            <v>[]</v>
          </cell>
          <cell r="AF531" t="str">
            <v>zhubajie_skill04</v>
          </cell>
          <cell r="AG531" t="str">
            <v>zhubajie_hit</v>
          </cell>
          <cell r="AH531" t="str">
            <v>[]</v>
          </cell>
          <cell r="AI531" t="str">
            <v>[]</v>
          </cell>
          <cell r="AJ531" t="str">
            <v>[]</v>
          </cell>
          <cell r="AK531" t="str">
            <v>shock</v>
          </cell>
          <cell r="AL531" t="str">
            <v>[]</v>
          </cell>
          <cell r="AM531" t="str">
            <v>[]</v>
          </cell>
          <cell r="AN531">
            <v>1</v>
          </cell>
          <cell r="AO531">
            <v>0.9</v>
          </cell>
          <cell r="AP531">
            <v>2350</v>
          </cell>
          <cell r="AQ531">
            <v>112012</v>
          </cell>
          <cell r="AR531" t="str">
            <v>[]</v>
          </cell>
          <cell r="AS531" t="str">
            <v>[]</v>
          </cell>
          <cell r="AT531">
            <v>2350</v>
          </cell>
          <cell r="AU531" t="str">
            <v>2350</v>
          </cell>
          <cell r="AV531" t="str">
            <v>猪八戒</v>
          </cell>
          <cell r="AW531" t="str">
            <v>07</v>
          </cell>
          <cell r="AY531">
            <v>1</v>
          </cell>
          <cell r="BE531"/>
          <cell r="BF531"/>
        </row>
        <row r="532">
          <cell r="A532" t="str">
            <v>sunwukong_skill051</v>
          </cell>
          <cell r="B532" t="str">
            <v>大圣降临</v>
          </cell>
          <cell r="C532" t="str">
            <v>对范围内敌人造成4次主角攻击力@s的物伤，并昏迷敌人2秒</v>
          </cell>
          <cell r="D532" t="str">
            <v>[]</v>
          </cell>
          <cell r="E532">
            <v>0</v>
          </cell>
          <cell r="F532" t="str">
            <v>[]</v>
          </cell>
          <cell r="G532" t="str">
            <v>孙悟空核心技能</v>
          </cell>
          <cell r="H532" t="str">
            <v>[]</v>
          </cell>
          <cell r="I532" t="str">
            <v>sunwukong_skill01</v>
          </cell>
          <cell r="J532">
            <v>0</v>
          </cell>
          <cell r="K532">
            <v>1</v>
          </cell>
          <cell r="L532" t="str">
            <v>1|11</v>
          </cell>
          <cell r="M532">
            <v>2</v>
          </cell>
          <cell r="N532">
            <v>2</v>
          </cell>
          <cell r="O532">
            <v>2</v>
          </cell>
          <cell r="P532">
            <v>2</v>
          </cell>
          <cell r="Q532">
            <v>12</v>
          </cell>
          <cell r="R532" t="str">
            <v>2|1</v>
          </cell>
          <cell r="S532" t="str">
            <v>1|6|6</v>
          </cell>
          <cell r="T532">
            <v>10</v>
          </cell>
          <cell r="U532">
            <v>1</v>
          </cell>
          <cell r="V532">
            <v>0</v>
          </cell>
          <cell r="W532" t="str">
            <v>[]</v>
          </cell>
          <cell r="X532">
            <v>0</v>
          </cell>
          <cell r="Y532" t="str">
            <v>[]</v>
          </cell>
          <cell r="Z532" t="str">
            <v>0,0,0</v>
          </cell>
          <cell r="AA532">
            <v>0</v>
          </cell>
          <cell r="AB532" t="str">
            <v>12</v>
          </cell>
          <cell r="AC532" t="str">
            <v>[]</v>
          </cell>
          <cell r="AD532" t="str">
            <v>[]</v>
          </cell>
          <cell r="AE532" t="str">
            <v>sunwukong_skill01_atc</v>
          </cell>
          <cell r="AF532" t="str">
            <v>sunwukong_skill01_temp</v>
          </cell>
          <cell r="AG532" t="str">
            <v>sunwukong_hit</v>
          </cell>
          <cell r="AH532" t="str">
            <v>[]</v>
          </cell>
          <cell r="AI532" t="str">
            <v>[]</v>
          </cell>
          <cell r="AJ532" t="str">
            <v>shaheshang_zhenping</v>
          </cell>
          <cell r="AK532" t="str">
            <v>[]</v>
          </cell>
          <cell r="AL532" t="str">
            <v>[]</v>
          </cell>
          <cell r="AM532" t="str">
            <v>[]</v>
          </cell>
          <cell r="AN532">
            <v>2</v>
          </cell>
          <cell r="AO532" t="str">
            <v>2.2,0.1,0.1,0.1</v>
          </cell>
          <cell r="AP532">
            <v>890</v>
          </cell>
          <cell r="AQ532" t="str">
            <v>111903</v>
          </cell>
          <cell r="AR532" t="str">
            <v>[]</v>
          </cell>
          <cell r="AS532" t="str">
            <v>[]</v>
          </cell>
          <cell r="AT532" t="str">
            <v>1119</v>
          </cell>
          <cell r="AU532" t="str">
            <v>2371</v>
          </cell>
          <cell r="AV532" t="str">
            <v>孙悟空</v>
          </cell>
          <cell r="AW532" t="str">
            <v>01</v>
          </cell>
          <cell r="AX532" t="str">
            <v>[]</v>
          </cell>
          <cell r="AY532">
            <v>4</v>
          </cell>
          <cell r="BE532"/>
          <cell r="BF532"/>
        </row>
        <row r="533">
          <cell r="A533" t="str">
            <v>sunwukong_skill05</v>
          </cell>
          <cell r="B533" t="str">
            <v>无双一击</v>
          </cell>
          <cell r="C533" t="str">
            <v>新手引导技能（@s血以下释放，万伤高血技能）</v>
          </cell>
          <cell r="D533" t="str">
            <v>[]</v>
          </cell>
          <cell r="E533">
            <v>0</v>
          </cell>
          <cell r="F533" t="str">
            <v>[]</v>
          </cell>
          <cell r="G533" t="str">
            <v>孙悟空技能1</v>
          </cell>
          <cell r="H533" t="str">
            <v>sunwukong_skill02</v>
          </cell>
          <cell r="I533" t="str">
            <v>[]</v>
          </cell>
          <cell r="J533">
            <v>1</v>
          </cell>
          <cell r="K533">
            <v>10</v>
          </cell>
          <cell r="L533" t="str">
            <v>[]</v>
          </cell>
          <cell r="M533">
            <v>2</v>
          </cell>
          <cell r="N533">
            <v>2</v>
          </cell>
          <cell r="O533">
            <v>1</v>
          </cell>
          <cell r="P533">
            <v>2</v>
          </cell>
          <cell r="Q533">
            <v>4</v>
          </cell>
          <cell r="R533" t="str">
            <v>2|1</v>
          </cell>
          <cell r="S533" t="str">
            <v>2|6</v>
          </cell>
          <cell r="T533">
            <v>10</v>
          </cell>
          <cell r="U533">
            <v>0</v>
          </cell>
          <cell r="V533">
            <v>0</v>
          </cell>
          <cell r="W533" t="str">
            <v>[]</v>
          </cell>
          <cell r="X533">
            <v>3</v>
          </cell>
          <cell r="Y533" t="str">
            <v>[]</v>
          </cell>
          <cell r="Z533" t="str">
            <v>0,2.0,0</v>
          </cell>
          <cell r="AA533">
            <v>0</v>
          </cell>
          <cell r="AB533">
            <v>6</v>
          </cell>
          <cell r="AC533" t="str">
            <v>[]</v>
          </cell>
          <cell r="AD533" t="str">
            <v>[]</v>
          </cell>
          <cell r="AE533" t="str">
            <v>[]</v>
          </cell>
          <cell r="AF533" t="str">
            <v>sunwukong_skill02</v>
          </cell>
          <cell r="AG533" t="str">
            <v>sunwukong_hit</v>
          </cell>
          <cell r="AH533" t="str">
            <v>[]</v>
          </cell>
          <cell r="AI533" t="str">
            <v>[]</v>
          </cell>
          <cell r="AJ533" t="str">
            <v>[]</v>
          </cell>
          <cell r="AK533" t="str">
            <v>xinshou_shock</v>
          </cell>
          <cell r="AL533" t="str">
            <v>[]</v>
          </cell>
          <cell r="AM533" t="str">
            <v>[]</v>
          </cell>
          <cell r="AN533">
            <v>1</v>
          </cell>
          <cell r="AO533" t="str">
            <v>0.7,0.1</v>
          </cell>
          <cell r="AP533">
            <v>889</v>
          </cell>
          <cell r="AQ533" t="str">
            <v>111910</v>
          </cell>
          <cell r="AR533" t="str">
            <v>3|2|0.9</v>
          </cell>
          <cell r="AS533" t="str">
            <v>[]</v>
          </cell>
          <cell r="AT533">
            <v>889</v>
          </cell>
          <cell r="AU533" t="str">
            <v>889</v>
          </cell>
          <cell r="AV533" t="str">
            <v>孙悟空</v>
          </cell>
          <cell r="AW533" t="str">
            <v>05</v>
          </cell>
          <cell r="AY533">
            <v>2</v>
          </cell>
          <cell r="BE533"/>
          <cell r="BF533"/>
        </row>
        <row r="534">
          <cell r="A534" t="str">
            <v>sunwukong_skill06</v>
          </cell>
          <cell r="B534" t="str">
            <v>攻击提升</v>
          </cell>
          <cell r="C534" t="str">
            <v>新手引导技能</v>
          </cell>
          <cell r="D534" t="str">
            <v>[]</v>
          </cell>
          <cell r="E534">
            <v>0</v>
          </cell>
          <cell r="F534" t="str">
            <v>[]</v>
          </cell>
          <cell r="G534" t="str">
            <v>孙悟空被动技能</v>
          </cell>
          <cell r="H534" t="str">
            <v>wugong</v>
          </cell>
          <cell r="I534" t="str">
            <v>[]</v>
          </cell>
          <cell r="J534">
            <v>2</v>
          </cell>
          <cell r="K534">
            <v>10</v>
          </cell>
          <cell r="L534" t="str">
            <v>[]</v>
          </cell>
          <cell r="M534">
            <v>2</v>
          </cell>
          <cell r="N534">
            <v>2</v>
          </cell>
          <cell r="O534">
            <v>3</v>
          </cell>
          <cell r="P534">
            <v>0</v>
          </cell>
          <cell r="Q534">
            <v>12</v>
          </cell>
          <cell r="R534">
            <v>3</v>
          </cell>
          <cell r="S534">
            <v>5</v>
          </cell>
          <cell r="T534">
            <v>10</v>
          </cell>
          <cell r="U534">
            <v>0</v>
          </cell>
          <cell r="V534">
            <v>0</v>
          </cell>
          <cell r="W534" t="str">
            <v>[]</v>
          </cell>
          <cell r="X534">
            <v>0</v>
          </cell>
          <cell r="Y534" t="str">
            <v>[]</v>
          </cell>
          <cell r="Z534" t="str">
            <v>0,0,0</v>
          </cell>
          <cell r="AA534">
            <v>0</v>
          </cell>
          <cell r="AB534" t="str">
            <v>[]</v>
          </cell>
          <cell r="AC534" t="str">
            <v>[]</v>
          </cell>
          <cell r="AD534" t="str">
            <v>[]</v>
          </cell>
          <cell r="AE534" t="str">
            <v>[]</v>
          </cell>
          <cell r="AF534" t="str">
            <v>[]</v>
          </cell>
          <cell r="AG534" t="str">
            <v>[]</v>
          </cell>
          <cell r="AH534" t="str">
            <v>[]</v>
          </cell>
          <cell r="AI534" t="str">
            <v>[]</v>
          </cell>
          <cell r="AJ534" t="str">
            <v>[]</v>
          </cell>
          <cell r="AK534" t="str">
            <v>[]</v>
          </cell>
          <cell r="AL534" t="str">
            <v>[]</v>
          </cell>
          <cell r="AM534" t="str">
            <v>[]</v>
          </cell>
          <cell r="AN534">
            <v>0</v>
          </cell>
          <cell r="AO534" t="str">
            <v>[]</v>
          </cell>
          <cell r="AP534" t="str">
            <v>[]</v>
          </cell>
          <cell r="AQ534">
            <v>111911</v>
          </cell>
          <cell r="AR534" t="str">
            <v>[]</v>
          </cell>
          <cell r="AS534" t="str">
            <v>[]</v>
          </cell>
          <cell r="AT534" t="str">
            <v>[]</v>
          </cell>
          <cell r="AU534" t="str">
            <v>2390</v>
          </cell>
          <cell r="AV534" t="str">
            <v>孙悟空</v>
          </cell>
          <cell r="AW534" t="str">
            <v>06</v>
          </cell>
          <cell r="AY534">
            <v>1</v>
          </cell>
          <cell r="BE534"/>
          <cell r="BF534"/>
        </row>
        <row r="535">
          <cell r="A535" t="str">
            <v>sunwukong_skill07</v>
          </cell>
          <cell r="B535" t="str">
            <v>火云之轮</v>
          </cell>
          <cell r="C535" t="str">
            <v>新手引导技能</v>
          </cell>
          <cell r="D535" t="str">
            <v>[]</v>
          </cell>
          <cell r="E535">
            <v>0</v>
          </cell>
          <cell r="F535" t="str">
            <v>[]</v>
          </cell>
          <cell r="G535" t="str">
            <v>孙悟空技能2</v>
          </cell>
          <cell r="H535" t="str">
            <v>sunwukong_skill04</v>
          </cell>
          <cell r="I535" t="str">
            <v>[]</v>
          </cell>
          <cell r="J535">
            <v>3</v>
          </cell>
          <cell r="K535">
            <v>10</v>
          </cell>
          <cell r="L535" t="str">
            <v>[]</v>
          </cell>
          <cell r="M535">
            <v>2</v>
          </cell>
          <cell r="N535">
            <v>2</v>
          </cell>
          <cell r="O535">
            <v>1</v>
          </cell>
          <cell r="P535">
            <v>2</v>
          </cell>
          <cell r="Q535">
            <v>4</v>
          </cell>
          <cell r="R535" t="str">
            <v>2|1</v>
          </cell>
          <cell r="S535" t="str">
            <v>1|10|6</v>
          </cell>
          <cell r="T535">
            <v>10</v>
          </cell>
          <cell r="U535">
            <v>0</v>
          </cell>
          <cell r="V535">
            <v>0</v>
          </cell>
          <cell r="W535" t="str">
            <v>[]</v>
          </cell>
          <cell r="X535">
            <v>3</v>
          </cell>
          <cell r="Y535" t="str">
            <v>[]</v>
          </cell>
          <cell r="Z535" t="str">
            <v>0,2.6,0</v>
          </cell>
          <cell r="AA535">
            <v>0</v>
          </cell>
          <cell r="AB535">
            <v>20</v>
          </cell>
          <cell r="AC535" t="str">
            <v>[]</v>
          </cell>
          <cell r="AD535" t="str">
            <v>[]</v>
          </cell>
          <cell r="AE535" t="str">
            <v>[]</v>
          </cell>
          <cell r="AF535" t="str">
            <v>sunwukong_skill04</v>
          </cell>
          <cell r="AG535" t="str">
            <v>sunwukong_hit</v>
          </cell>
          <cell r="AH535" t="str">
            <v>[]</v>
          </cell>
          <cell r="AI535" t="str">
            <v>[]</v>
          </cell>
          <cell r="AJ535" t="str">
            <v>[]</v>
          </cell>
          <cell r="AK535" t="str">
            <v>[]</v>
          </cell>
          <cell r="AL535" t="str">
            <v>[]</v>
          </cell>
          <cell r="AM535" t="str">
            <v>[]</v>
          </cell>
          <cell r="AN535">
            <v>2</v>
          </cell>
          <cell r="AO535" t="str">
            <v>0.2,0.2,0.2,0.2</v>
          </cell>
          <cell r="AP535">
            <v>2400</v>
          </cell>
          <cell r="AQ535">
            <v>111912</v>
          </cell>
          <cell r="AR535" t="str">
            <v>[]</v>
          </cell>
          <cell r="AS535" t="str">
            <v>[]</v>
          </cell>
          <cell r="AT535">
            <v>2400</v>
          </cell>
          <cell r="AU535" t="str">
            <v>2400</v>
          </cell>
          <cell r="AV535" t="str">
            <v>孙悟空</v>
          </cell>
          <cell r="AW535" t="str">
            <v>07</v>
          </cell>
          <cell r="AY535">
            <v>4</v>
          </cell>
          <cell r="BE535"/>
          <cell r="BF535"/>
        </row>
        <row r="536">
          <cell r="A536" t="str">
            <v>zixiaxianzi_skill05</v>
          </cell>
          <cell r="B536" t="str">
            <v>满月光华</v>
          </cell>
          <cell r="C536" t="str">
            <v>新手引导技能</v>
          </cell>
          <cell r="D536" t="str">
            <v>[]</v>
          </cell>
          <cell r="E536">
            <v>0</v>
          </cell>
          <cell r="F536" t="str">
            <v>[]</v>
          </cell>
          <cell r="G536" t="str">
            <v>紫霞仙子技能2</v>
          </cell>
          <cell r="H536" t="str">
            <v>zixiaxianzi_skill02</v>
          </cell>
          <cell r="I536" t="str">
            <v>[]</v>
          </cell>
          <cell r="J536">
            <v>1</v>
          </cell>
          <cell r="K536">
            <v>10</v>
          </cell>
          <cell r="L536" t="str">
            <v>[]</v>
          </cell>
          <cell r="M536">
            <v>2</v>
          </cell>
          <cell r="N536">
            <v>2</v>
          </cell>
          <cell r="O536">
            <v>1</v>
          </cell>
          <cell r="P536">
            <v>4</v>
          </cell>
          <cell r="Q536">
            <v>4</v>
          </cell>
          <cell r="R536">
            <v>3</v>
          </cell>
          <cell r="S536">
            <v>7</v>
          </cell>
          <cell r="T536">
            <v>10</v>
          </cell>
          <cell r="U536">
            <v>0</v>
          </cell>
          <cell r="V536">
            <v>0</v>
          </cell>
          <cell r="W536" t="str">
            <v>[]</v>
          </cell>
          <cell r="X536">
            <v>3</v>
          </cell>
          <cell r="Y536" t="str">
            <v>[]</v>
          </cell>
          <cell r="Z536" t="str">
            <v>0,1.667,0</v>
          </cell>
          <cell r="AA536">
            <v>0</v>
          </cell>
          <cell r="AB536">
            <v>20</v>
          </cell>
          <cell r="AC536" t="str">
            <v>[]</v>
          </cell>
          <cell r="AD536" t="str">
            <v>[]</v>
          </cell>
          <cell r="AE536" t="str">
            <v>[]</v>
          </cell>
          <cell r="AF536" t="str">
            <v>zixiaxianzi_skill02</v>
          </cell>
          <cell r="AG536" t="str">
            <v>respond_hp</v>
          </cell>
          <cell r="AH536" t="str">
            <v>[]</v>
          </cell>
          <cell r="AI536" t="str">
            <v>[]</v>
          </cell>
          <cell r="AJ536" t="str">
            <v>[]</v>
          </cell>
          <cell r="AK536" t="str">
            <v>[]</v>
          </cell>
          <cell r="AL536" t="str">
            <v>[]</v>
          </cell>
          <cell r="AM536" t="str">
            <v>[]</v>
          </cell>
          <cell r="AN536">
            <v>1</v>
          </cell>
          <cell r="AO536">
            <v>0.5</v>
          </cell>
          <cell r="AP536">
            <v>888</v>
          </cell>
          <cell r="AQ536">
            <v>112110</v>
          </cell>
          <cell r="AR536" t="str">
            <v>2|0|0.5</v>
          </cell>
          <cell r="AS536" t="str">
            <v>[]</v>
          </cell>
          <cell r="AT536">
            <v>888</v>
          </cell>
          <cell r="AU536" t="str">
            <v>2430</v>
          </cell>
          <cell r="AV536" t="str">
            <v>紫霞仙子</v>
          </cell>
          <cell r="AW536" t="str">
            <v>05</v>
          </cell>
          <cell r="AY536">
            <v>1</v>
          </cell>
          <cell r="BE536"/>
          <cell r="BF536"/>
        </row>
        <row r="537">
          <cell r="A537" t="str">
            <v>zixiaxianzi_skill06</v>
          </cell>
          <cell r="B537" t="str">
            <v>全属性增加</v>
          </cell>
          <cell r="C537" t="str">
            <v>新手引导技能</v>
          </cell>
          <cell r="D537" t="str">
            <v>[]</v>
          </cell>
          <cell r="E537">
            <v>0</v>
          </cell>
          <cell r="F537" t="str">
            <v>[]</v>
          </cell>
          <cell r="G537" t="str">
            <v>紫霞仙子被动技能</v>
          </cell>
          <cell r="H537" t="str">
            <v>quanzhuangtai</v>
          </cell>
          <cell r="I537" t="str">
            <v>[]</v>
          </cell>
          <cell r="J537">
            <v>2</v>
          </cell>
          <cell r="K537">
            <v>10</v>
          </cell>
          <cell r="L537" t="str">
            <v>[]</v>
          </cell>
          <cell r="M537">
            <v>2</v>
          </cell>
          <cell r="N537">
            <v>2</v>
          </cell>
          <cell r="O537">
            <v>3</v>
          </cell>
          <cell r="P537">
            <v>0</v>
          </cell>
          <cell r="Q537">
            <v>12</v>
          </cell>
          <cell r="R537">
            <v>3</v>
          </cell>
          <cell r="S537">
            <v>5</v>
          </cell>
          <cell r="T537">
            <v>10</v>
          </cell>
          <cell r="U537">
            <v>0</v>
          </cell>
          <cell r="V537">
            <v>0</v>
          </cell>
          <cell r="W537" t="str">
            <v>[]</v>
          </cell>
          <cell r="X537">
            <v>0</v>
          </cell>
          <cell r="Y537" t="str">
            <v>[]</v>
          </cell>
          <cell r="Z537" t="str">
            <v>0,0,0</v>
          </cell>
          <cell r="AA537">
            <v>0</v>
          </cell>
          <cell r="AB537" t="str">
            <v>[]</v>
          </cell>
          <cell r="AC537" t="str">
            <v>[]</v>
          </cell>
          <cell r="AD537" t="str">
            <v>[]</v>
          </cell>
          <cell r="AE537" t="str">
            <v>[]</v>
          </cell>
          <cell r="AF537" t="str">
            <v>[]</v>
          </cell>
          <cell r="AG537" t="str">
            <v>[]</v>
          </cell>
          <cell r="AH537" t="str">
            <v>[]</v>
          </cell>
          <cell r="AI537" t="str">
            <v>[]</v>
          </cell>
          <cell r="AJ537" t="str">
            <v>[]</v>
          </cell>
          <cell r="AK537" t="str">
            <v>[]</v>
          </cell>
          <cell r="AL537" t="str">
            <v>[]</v>
          </cell>
          <cell r="AM537" t="str">
            <v>[]</v>
          </cell>
          <cell r="AN537">
            <v>0</v>
          </cell>
          <cell r="AO537" t="str">
            <v>[]</v>
          </cell>
          <cell r="AP537" t="str">
            <v>[]</v>
          </cell>
          <cell r="AQ537">
            <v>112111</v>
          </cell>
          <cell r="AR537" t="str">
            <v>[]</v>
          </cell>
          <cell r="AS537" t="str">
            <v>[]</v>
          </cell>
          <cell r="AT537" t="str">
            <v>[]</v>
          </cell>
          <cell r="AU537" t="str">
            <v>2441</v>
          </cell>
          <cell r="AV537" t="str">
            <v>紫霞仙子</v>
          </cell>
          <cell r="AW537" t="str">
            <v>06</v>
          </cell>
          <cell r="AY537">
            <v>1</v>
          </cell>
          <cell r="BE537"/>
          <cell r="BF537"/>
        </row>
        <row r="538">
          <cell r="A538" t="str">
            <v>zixiaxianzi_skill07</v>
          </cell>
          <cell r="B538" t="str">
            <v>弦月之舞</v>
          </cell>
          <cell r="C538" t="str">
            <v>新手引导技能</v>
          </cell>
          <cell r="D538" t="str">
            <v>[]</v>
          </cell>
          <cell r="E538">
            <v>0</v>
          </cell>
          <cell r="F538" t="str">
            <v>[]</v>
          </cell>
          <cell r="G538" t="str">
            <v>紫霞仙子技能4</v>
          </cell>
          <cell r="H538" t="str">
            <v>zixiaxianzi_skill04</v>
          </cell>
          <cell r="I538" t="str">
            <v>[]</v>
          </cell>
          <cell r="J538">
            <v>3</v>
          </cell>
          <cell r="K538">
            <v>10</v>
          </cell>
          <cell r="L538" t="str">
            <v>[]</v>
          </cell>
          <cell r="M538">
            <v>2</v>
          </cell>
          <cell r="N538">
            <v>2</v>
          </cell>
          <cell r="O538">
            <v>1</v>
          </cell>
          <cell r="P538">
            <v>2</v>
          </cell>
          <cell r="Q538">
            <v>12</v>
          </cell>
          <cell r="R538" t="str">
            <v>2|1</v>
          </cell>
          <cell r="S538" t="str">
            <v>1|1|2</v>
          </cell>
          <cell r="T538">
            <v>10</v>
          </cell>
          <cell r="U538">
            <v>1</v>
          </cell>
          <cell r="V538">
            <v>0</v>
          </cell>
          <cell r="W538" t="str">
            <v>[]</v>
          </cell>
          <cell r="X538">
            <v>3</v>
          </cell>
          <cell r="Y538" t="str">
            <v>[]</v>
          </cell>
          <cell r="Z538" t="str">
            <v>0,2.667,0</v>
          </cell>
          <cell r="AA538">
            <v>0</v>
          </cell>
          <cell r="AB538">
            <v>20</v>
          </cell>
          <cell r="AC538" t="str">
            <v>[]</v>
          </cell>
          <cell r="AD538" t="str">
            <v>[]</v>
          </cell>
          <cell r="AE538" t="str">
            <v>[]</v>
          </cell>
          <cell r="AF538" t="str">
            <v>zixiaxianzi_skill04</v>
          </cell>
          <cell r="AG538" t="str">
            <v>common_hit_qinwuqi</v>
          </cell>
          <cell r="AH538" t="str">
            <v>[]</v>
          </cell>
          <cell r="AI538" t="str">
            <v>[]</v>
          </cell>
          <cell r="AJ538" t="str">
            <v>[]</v>
          </cell>
          <cell r="AK538" t="str">
            <v>[]</v>
          </cell>
          <cell r="AL538" t="str">
            <v>[]</v>
          </cell>
          <cell r="AM538" t="str">
            <v>[]</v>
          </cell>
          <cell r="AN538">
            <v>2</v>
          </cell>
          <cell r="AO538" t="str">
            <v>0.1,0.05,0.15,0.15,0.15</v>
          </cell>
          <cell r="AP538">
            <v>2450</v>
          </cell>
          <cell r="AQ538">
            <v>112112</v>
          </cell>
          <cell r="AR538" t="str">
            <v>[]</v>
          </cell>
          <cell r="AS538" t="str">
            <v>[]</v>
          </cell>
          <cell r="AT538">
            <v>2450</v>
          </cell>
          <cell r="AU538" t="str">
            <v>2450</v>
          </cell>
          <cell r="AV538" t="str">
            <v>紫霞仙子</v>
          </cell>
          <cell r="AW538" t="str">
            <v>07</v>
          </cell>
          <cell r="AY538">
            <v>5</v>
          </cell>
          <cell r="BE538"/>
          <cell r="BF538"/>
        </row>
        <row r="539">
          <cell r="A539" t="str">
            <v>yuhuangdadi_skill05</v>
          </cell>
          <cell r="B539" t="str">
            <v>天下我心</v>
          </cell>
          <cell r="C539" t="str">
            <v>双手举剑插入地面，使自身附近敌人造成自身攻击力@s的伤害，持续3秒</v>
          </cell>
          <cell r="D539" t="str">
            <v>[]</v>
          </cell>
          <cell r="E539">
            <v>0</v>
          </cell>
          <cell r="F539" t="str">
            <v>[]</v>
          </cell>
          <cell r="G539" t="str">
            <v>玉皇大帝AI技能1</v>
          </cell>
          <cell r="H539" t="str">
            <v>yuhuangdadi_skill02</v>
          </cell>
          <cell r="I539" t="str">
            <v>[]</v>
          </cell>
          <cell r="J539">
            <v>1</v>
          </cell>
          <cell r="K539">
            <v>10</v>
          </cell>
          <cell r="L539" t="str">
            <v>[]</v>
          </cell>
          <cell r="M539">
            <v>2</v>
          </cell>
          <cell r="N539">
            <v>2</v>
          </cell>
          <cell r="O539">
            <v>2</v>
          </cell>
          <cell r="P539">
            <v>2</v>
          </cell>
          <cell r="Q539">
            <v>12</v>
          </cell>
          <cell r="R539" t="str">
            <v>2|1</v>
          </cell>
          <cell r="S539" t="str">
            <v>2|10</v>
          </cell>
          <cell r="T539">
            <v>10</v>
          </cell>
          <cell r="U539">
            <v>1</v>
          </cell>
          <cell r="V539">
            <v>0</v>
          </cell>
          <cell r="W539" t="str">
            <v>[]</v>
          </cell>
          <cell r="X539">
            <v>3</v>
          </cell>
          <cell r="Y539" t="str">
            <v>[]</v>
          </cell>
          <cell r="Z539" t="str">
            <v>0,1.2,0.9</v>
          </cell>
          <cell r="AA539">
            <v>0</v>
          </cell>
          <cell r="AB539">
            <v>20</v>
          </cell>
          <cell r="AC539" t="str">
            <v>[]</v>
          </cell>
          <cell r="AD539" t="str">
            <v>[]</v>
          </cell>
          <cell r="AE539" t="str">
            <v>[]</v>
          </cell>
          <cell r="AF539" t="str">
            <v>yuhuangdadi_skill02</v>
          </cell>
          <cell r="AG539" t="str">
            <v>common_hit_fashu</v>
          </cell>
          <cell r="AH539" t="str">
            <v>[]</v>
          </cell>
          <cell r="AI539" t="str">
            <v>[]</v>
          </cell>
          <cell r="AJ539" t="str">
            <v>yuhuangdadi_zhenping</v>
          </cell>
          <cell r="AK539" t="str">
            <v>[]</v>
          </cell>
          <cell r="AL539" t="str">
            <v>[]</v>
          </cell>
          <cell r="AM539" t="str">
            <v>[]</v>
          </cell>
          <cell r="AN539">
            <v>1</v>
          </cell>
          <cell r="AO539">
            <v>1.2</v>
          </cell>
          <cell r="AP539">
            <v>898</v>
          </cell>
          <cell r="AQ539" t="str">
            <v>110410</v>
          </cell>
          <cell r="AR539" t="str">
            <v>[]</v>
          </cell>
          <cell r="AS539" t="str">
            <v>[]</v>
          </cell>
          <cell r="AT539">
            <v>899</v>
          </cell>
          <cell r="AU539" t="str">
            <v>3030</v>
          </cell>
          <cell r="AV539" t="str">
            <v>玉皇大帝</v>
          </cell>
          <cell r="AW539" t="str">
            <v>05</v>
          </cell>
          <cell r="AY539">
            <v>1</v>
          </cell>
          <cell r="BE539"/>
          <cell r="BF539"/>
        </row>
        <row r="540">
          <cell r="A540" t="str">
            <v>yuhuangdadi_skill06</v>
          </cell>
          <cell r="B540" t="str">
            <v>闪避提升</v>
          </cell>
          <cell r="C540" t="str">
            <v>新手引导boss技能</v>
          </cell>
          <cell r="D540" t="str">
            <v>[]</v>
          </cell>
          <cell r="E540">
            <v>0</v>
          </cell>
          <cell r="F540" t="str">
            <v>[]</v>
          </cell>
          <cell r="G540" t="str">
            <v>玉皇大帝被动技能</v>
          </cell>
          <cell r="H540" t="str">
            <v>shanbi</v>
          </cell>
          <cell r="I540" t="str">
            <v>[]</v>
          </cell>
          <cell r="J540">
            <v>2</v>
          </cell>
          <cell r="K540">
            <v>10</v>
          </cell>
          <cell r="L540" t="str">
            <v>[]</v>
          </cell>
          <cell r="M540">
            <v>2</v>
          </cell>
          <cell r="N540">
            <v>2</v>
          </cell>
          <cell r="O540">
            <v>3</v>
          </cell>
          <cell r="P540">
            <v>0</v>
          </cell>
          <cell r="Q540">
            <v>12</v>
          </cell>
          <cell r="R540">
            <v>1</v>
          </cell>
          <cell r="S540" t="str">
            <v>4|0.2</v>
          </cell>
          <cell r="T540">
            <v>1</v>
          </cell>
          <cell r="U540">
            <v>0</v>
          </cell>
          <cell r="V540">
            <v>0</v>
          </cell>
          <cell r="W540" t="str">
            <v>[]</v>
          </cell>
          <cell r="X540">
            <v>0</v>
          </cell>
          <cell r="Y540" t="str">
            <v>[]</v>
          </cell>
          <cell r="Z540" t="str">
            <v>0,0,0</v>
          </cell>
          <cell r="AA540">
            <v>0</v>
          </cell>
          <cell r="AB540" t="str">
            <v>[]</v>
          </cell>
          <cell r="AC540" t="str">
            <v>[]</v>
          </cell>
          <cell r="AD540" t="str">
            <v>[]</v>
          </cell>
          <cell r="AE540" t="str">
            <v>[]</v>
          </cell>
          <cell r="AF540" t="str">
            <v>[]</v>
          </cell>
          <cell r="AG540" t="str">
            <v>[]</v>
          </cell>
          <cell r="AH540" t="str">
            <v>[]</v>
          </cell>
          <cell r="AI540" t="str">
            <v>[]</v>
          </cell>
          <cell r="AJ540" t="str">
            <v>[]</v>
          </cell>
          <cell r="AK540" t="str">
            <v>[]</v>
          </cell>
          <cell r="AL540" t="str">
            <v>passive_yuhuangdadi</v>
          </cell>
          <cell r="AM540" t="str">
            <v>[]</v>
          </cell>
          <cell r="AN540">
            <v>0</v>
          </cell>
          <cell r="AO540" t="str">
            <v>[]</v>
          </cell>
          <cell r="AP540" t="str">
            <v>[]</v>
          </cell>
          <cell r="AQ540">
            <v>110411</v>
          </cell>
          <cell r="AR540" t="str">
            <v>[]</v>
          </cell>
          <cell r="AS540" t="str">
            <v>[]</v>
          </cell>
          <cell r="AT540" t="str">
            <v>[]</v>
          </cell>
          <cell r="AU540" t="str">
            <v>3041</v>
          </cell>
          <cell r="AV540" t="str">
            <v>玉皇大帝</v>
          </cell>
          <cell r="AW540" t="str">
            <v>06</v>
          </cell>
          <cell r="AY540">
            <v>1</v>
          </cell>
          <cell r="BE540"/>
          <cell r="BF540"/>
        </row>
        <row r="541">
          <cell r="A541" t="str">
            <v>yuhuangdadi_skill07</v>
          </cell>
          <cell r="B541" t="str">
            <v>神圣大地</v>
          </cell>
          <cell r="C541" t="str">
            <v>新手引导boss技能万伤终结技能</v>
          </cell>
          <cell r="D541" t="str">
            <v>[]</v>
          </cell>
          <cell r="E541">
            <v>0</v>
          </cell>
          <cell r="F541" t="str">
            <v>[]</v>
          </cell>
          <cell r="G541" t="str">
            <v>玉皇大帝技能2</v>
          </cell>
          <cell r="H541" t="str">
            <v>yuhuangdadi_skill04</v>
          </cell>
          <cell r="I541" t="str">
            <v>[]</v>
          </cell>
          <cell r="J541">
            <v>3</v>
          </cell>
          <cell r="K541">
            <v>10</v>
          </cell>
          <cell r="L541" t="str">
            <v>[]</v>
          </cell>
          <cell r="M541">
            <v>2</v>
          </cell>
          <cell r="N541">
            <v>2</v>
          </cell>
          <cell r="O541">
            <v>2</v>
          </cell>
          <cell r="P541">
            <v>2</v>
          </cell>
          <cell r="Q541">
            <v>12</v>
          </cell>
          <cell r="R541" t="str">
            <v>2|1</v>
          </cell>
          <cell r="S541" t="str">
            <v>2|20</v>
          </cell>
          <cell r="T541">
            <v>10</v>
          </cell>
          <cell r="U541">
            <v>0</v>
          </cell>
          <cell r="V541">
            <v>0</v>
          </cell>
          <cell r="W541" t="str">
            <v>[]</v>
          </cell>
          <cell r="X541">
            <v>3</v>
          </cell>
          <cell r="Y541" t="str">
            <v>[]</v>
          </cell>
          <cell r="Z541" t="str">
            <v>0,2.0,0</v>
          </cell>
          <cell r="AA541">
            <v>0</v>
          </cell>
          <cell r="AB541">
            <v>20</v>
          </cell>
          <cell r="AC541" t="str">
            <v>[]</v>
          </cell>
          <cell r="AD541" t="str">
            <v>[]</v>
          </cell>
          <cell r="AE541" t="str">
            <v>yuhuangdadi_skill04_q</v>
          </cell>
          <cell r="AF541" t="str">
            <v>yuhuangdadi_skill01</v>
          </cell>
          <cell r="AG541" t="str">
            <v>common_hit_fashu</v>
          </cell>
          <cell r="AH541" t="str">
            <v>[]</v>
          </cell>
          <cell r="AI541" t="str">
            <v>[]</v>
          </cell>
          <cell r="AJ541" t="str">
            <v>[]</v>
          </cell>
          <cell r="AK541" t="str">
            <v>xinshou_shock</v>
          </cell>
          <cell r="AL541" t="str">
            <v>[]</v>
          </cell>
          <cell r="AM541" t="str">
            <v>[]</v>
          </cell>
          <cell r="AN541">
            <v>2</v>
          </cell>
          <cell r="AO541" t="str">
            <v>0.5,0.5,0.5,0.5</v>
          </cell>
          <cell r="AP541">
            <v>899</v>
          </cell>
          <cell r="AQ541">
            <v>110412</v>
          </cell>
          <cell r="AR541" t="str">
            <v>2|0|0.7</v>
          </cell>
          <cell r="AS541" t="str">
            <v>[]</v>
          </cell>
          <cell r="AT541">
            <v>899</v>
          </cell>
          <cell r="AU541" t="str">
            <v>899</v>
          </cell>
          <cell r="AV541" t="str">
            <v>玉皇大帝</v>
          </cell>
          <cell r="AW541" t="str">
            <v>07</v>
          </cell>
          <cell r="AY541">
            <v>4</v>
          </cell>
          <cell r="BE541"/>
          <cell r="BF541"/>
        </row>
        <row r="542">
          <cell r="A542" t="str">
            <v>boss_miankong</v>
          </cell>
          <cell r="B542" t="str">
            <v>boss免疫控制</v>
          </cell>
          <cell r="C542" t="str">
            <v>boss不受到任何负面buff</v>
          </cell>
          <cell r="D542" t="str">
            <v>[]</v>
          </cell>
          <cell r="E542">
            <v>0</v>
          </cell>
          <cell r="F542" t="str">
            <v>[]</v>
          </cell>
          <cell r="G542" t="str">
            <v>boss免疫控制</v>
          </cell>
          <cell r="H542" t="str">
            <v>[]</v>
          </cell>
          <cell r="I542" t="str">
            <v>[]</v>
          </cell>
          <cell r="J542">
            <v>2</v>
          </cell>
          <cell r="K542">
            <v>1</v>
          </cell>
          <cell r="L542" t="str">
            <v>[]</v>
          </cell>
          <cell r="M542">
            <v>2</v>
          </cell>
          <cell r="N542">
            <v>2</v>
          </cell>
          <cell r="O542">
            <v>3</v>
          </cell>
          <cell r="P542">
            <v>0</v>
          </cell>
          <cell r="Q542">
            <v>12</v>
          </cell>
          <cell r="R542">
            <v>1</v>
          </cell>
          <cell r="S542" t="str">
            <v>4|0.2</v>
          </cell>
          <cell r="T542">
            <v>1</v>
          </cell>
          <cell r="U542">
            <v>0</v>
          </cell>
          <cell r="V542">
            <v>0</v>
          </cell>
          <cell r="W542" t="str">
            <v>[]</v>
          </cell>
          <cell r="X542">
            <v>0</v>
          </cell>
          <cell r="Y542" t="str">
            <v>[]</v>
          </cell>
          <cell r="Z542" t="str">
            <v>0,0,0</v>
          </cell>
          <cell r="AA542">
            <v>0</v>
          </cell>
          <cell r="AB542" t="str">
            <v>[]</v>
          </cell>
          <cell r="AC542" t="str">
            <v>[]</v>
          </cell>
          <cell r="AD542" t="str">
            <v>[]</v>
          </cell>
          <cell r="AE542" t="str">
            <v>[]</v>
          </cell>
          <cell r="AF542" t="str">
            <v>[]</v>
          </cell>
          <cell r="AG542" t="str">
            <v>[]</v>
          </cell>
          <cell r="AH542" t="str">
            <v>[]</v>
          </cell>
          <cell r="AI542" t="str">
            <v>[]</v>
          </cell>
          <cell r="AJ542" t="str">
            <v>boss_momian</v>
          </cell>
          <cell r="AK542" t="str">
            <v>[]</v>
          </cell>
          <cell r="AL542" t="str">
            <v>[]</v>
          </cell>
          <cell r="AM542" t="str">
            <v>[]</v>
          </cell>
          <cell r="AN542">
            <v>0</v>
          </cell>
          <cell r="AO542" t="str">
            <v>[]</v>
          </cell>
          <cell r="AP542" t="str">
            <v>[]</v>
          </cell>
          <cell r="AQ542">
            <v>900043</v>
          </cell>
          <cell r="AR542" t="str">
            <v>[]</v>
          </cell>
          <cell r="AS542" t="str">
            <v>[]</v>
          </cell>
          <cell r="AT542" t="str">
            <v>[]</v>
          </cell>
          <cell r="AU542" t="str">
            <v>[]</v>
          </cell>
          <cell r="AV542" t="str">
            <v>boss免疫控制</v>
          </cell>
          <cell r="AW542" t="str">
            <v>ng</v>
          </cell>
          <cell r="AY542">
            <v>1</v>
          </cell>
          <cell r="BE542"/>
          <cell r="BF542"/>
        </row>
        <row r="543">
          <cell r="A543" t="str">
            <v>boss_spawn_monster</v>
          </cell>
          <cell r="B543" t="str">
            <v>boss召出小怪</v>
          </cell>
          <cell r="C543" t="str">
            <v>[]</v>
          </cell>
          <cell r="D543" t="str">
            <v>[]</v>
          </cell>
          <cell r="E543">
            <v>0</v>
          </cell>
          <cell r="F543" t="str">
            <v>[]</v>
          </cell>
          <cell r="G543" t="str">
            <v>boss召出小怪</v>
          </cell>
          <cell r="H543" t="str">
            <v>[]</v>
          </cell>
          <cell r="I543" t="str">
            <v>[]</v>
          </cell>
          <cell r="J543">
            <v>1</v>
          </cell>
          <cell r="K543">
            <v>1</v>
          </cell>
          <cell r="L543" t="str">
            <v>[]</v>
          </cell>
          <cell r="M543">
            <v>2</v>
          </cell>
          <cell r="N543">
            <v>2</v>
          </cell>
          <cell r="O543">
            <v>1</v>
          </cell>
          <cell r="P543">
            <v>2</v>
          </cell>
          <cell r="Q543">
            <v>3</v>
          </cell>
          <cell r="R543" t="str">
            <v>2|1</v>
          </cell>
          <cell r="S543" t="str">
            <v>1|2|4</v>
          </cell>
          <cell r="T543">
            <v>10</v>
          </cell>
          <cell r="U543">
            <v>0</v>
          </cell>
          <cell r="V543">
            <v>0</v>
          </cell>
          <cell r="W543" t="str">
            <v>[]</v>
          </cell>
          <cell r="X543">
            <v>0</v>
          </cell>
          <cell r="Y543" t="str">
            <v>[]</v>
          </cell>
          <cell r="Z543" t="str">
            <v>0,1.5,0</v>
          </cell>
          <cell r="AA543">
            <v>0</v>
          </cell>
          <cell r="AB543">
            <v>20</v>
          </cell>
          <cell r="AC543" t="str">
            <v>[]</v>
          </cell>
          <cell r="AD543" t="str">
            <v>[]</v>
          </cell>
          <cell r="AE543" t="str">
            <v>[]</v>
          </cell>
          <cell r="AF543" t="str">
            <v>[]</v>
          </cell>
          <cell r="AG543" t="str">
            <v>[]</v>
          </cell>
          <cell r="AH543" t="str">
            <v>[]</v>
          </cell>
          <cell r="AI543" t="str">
            <v>[]</v>
          </cell>
          <cell r="AJ543" t="str">
            <v>boss_spawn_monster</v>
          </cell>
          <cell r="AK543" t="str">
            <v>[]</v>
          </cell>
          <cell r="AL543" t="str">
            <v>[]</v>
          </cell>
          <cell r="AM543" t="str">
            <v>[]</v>
          </cell>
          <cell r="AN543">
            <v>0</v>
          </cell>
          <cell r="AO543" t="str">
            <v>[]</v>
          </cell>
          <cell r="AP543" t="str">
            <v>[]</v>
          </cell>
          <cell r="AQ543">
            <v>900044</v>
          </cell>
          <cell r="AR543" t="str">
            <v>[]</v>
          </cell>
          <cell r="AS543" t="str">
            <v>[]</v>
          </cell>
          <cell r="AT543" t="str">
            <v>[]</v>
          </cell>
          <cell r="AU543" t="str">
            <v>[]</v>
          </cell>
          <cell r="AV543" t="str">
            <v>boss召出小怪</v>
          </cell>
          <cell r="AW543" t="str">
            <v>er</v>
          </cell>
          <cell r="AY543">
            <v>1</v>
          </cell>
          <cell r="BE543"/>
          <cell r="BF543"/>
        </row>
        <row r="544">
          <cell r="A544" t="str">
            <v>hulidaxian_skill02_boss</v>
          </cell>
          <cell r="B544" t="str">
            <v>震裂怒吼</v>
          </cell>
          <cell r="C544" t="str">
            <v>蓄力怒吼，对范围内目标造成自身攻击力@s的伤害，并触发1秒眩晕</v>
          </cell>
          <cell r="D544" t="str">
            <v>[]</v>
          </cell>
          <cell r="E544">
            <v>2</v>
          </cell>
          <cell r="F544" t="str">
            <v>boss_warning_yuanxing</v>
          </cell>
          <cell r="G544" t="str">
            <v>虎力大仙技能2</v>
          </cell>
          <cell r="H544" t="str">
            <v>hulidaxian_skill02</v>
          </cell>
          <cell r="I544" t="str">
            <v>[]</v>
          </cell>
          <cell r="J544">
            <v>1</v>
          </cell>
          <cell r="K544">
            <v>10</v>
          </cell>
          <cell r="L544" t="str">
            <v>[]</v>
          </cell>
          <cell r="M544">
            <v>2</v>
          </cell>
          <cell r="N544">
            <v>2</v>
          </cell>
          <cell r="O544">
            <v>1</v>
          </cell>
          <cell r="P544">
            <v>2</v>
          </cell>
          <cell r="Q544">
            <v>4</v>
          </cell>
          <cell r="R544" t="str">
            <v>2|1</v>
          </cell>
          <cell r="S544" t="str">
            <v>2|10</v>
          </cell>
          <cell r="T544">
            <v>10</v>
          </cell>
          <cell r="U544">
            <v>0</v>
          </cell>
          <cell r="V544">
            <v>0</v>
          </cell>
          <cell r="W544" t="str">
            <v>[]</v>
          </cell>
          <cell r="X544">
            <v>0</v>
          </cell>
          <cell r="Y544" t="str">
            <v>[]</v>
          </cell>
          <cell r="Z544" t="str">
            <v>0,1.6,0</v>
          </cell>
          <cell r="AA544">
            <v>0</v>
          </cell>
          <cell r="AB544">
            <v>20</v>
          </cell>
          <cell r="AC544" t="str">
            <v>[]</v>
          </cell>
          <cell r="AD544" t="str">
            <v>[]</v>
          </cell>
          <cell r="AE544" t="str">
            <v>[]</v>
          </cell>
          <cell r="AF544" t="str">
            <v>hulidaxian_skill02</v>
          </cell>
          <cell r="AG544" t="str">
            <v>common_hit_dunqi</v>
          </cell>
          <cell r="AH544" t="str">
            <v>[]</v>
          </cell>
          <cell r="AI544" t="str">
            <v>[]</v>
          </cell>
          <cell r="AJ544" t="str">
            <v>[]</v>
          </cell>
          <cell r="AK544" t="str">
            <v>[]</v>
          </cell>
          <cell r="AL544" t="str">
            <v>[]</v>
          </cell>
          <cell r="AM544" t="str">
            <v>[]</v>
          </cell>
          <cell r="AN544">
            <v>2</v>
          </cell>
          <cell r="AO544">
            <v>0.9</v>
          </cell>
          <cell r="AP544">
            <v>3330</v>
          </cell>
          <cell r="AQ544" t="str">
            <v>111310</v>
          </cell>
          <cell r="AR544" t="str">
            <v>[]</v>
          </cell>
          <cell r="AS544" t="str">
            <v>[]</v>
          </cell>
          <cell r="AT544">
            <v>3330</v>
          </cell>
          <cell r="AU544" t="str">
            <v>3330</v>
          </cell>
          <cell r="AV544" t="str">
            <v>虎力大仙</v>
          </cell>
          <cell r="AW544" t="str">
            <v>ss</v>
          </cell>
          <cell r="AY544">
            <v>1</v>
          </cell>
          <cell r="BE544"/>
          <cell r="BF544"/>
        </row>
        <row r="545">
          <cell r="A545" t="str">
            <v>common_fangyu</v>
          </cell>
          <cell r="B545" t="str">
            <v>天下我心</v>
          </cell>
          <cell r="C545" t="str">
            <v>双手举剑插入地面，使自身附近敌人造成自身攻击力@s的伤害，持续3秒</v>
          </cell>
          <cell r="D545" t="str">
            <v>[]</v>
          </cell>
          <cell r="E545">
            <v>0</v>
          </cell>
          <cell r="F545" t="str">
            <v>[]</v>
          </cell>
          <cell r="G545" t="str">
            <v>玉皇大帝AI技能1</v>
          </cell>
          <cell r="H545" t="str">
            <v>yuhuangdadi_skill02</v>
          </cell>
          <cell r="I545" t="str">
            <v>[]</v>
          </cell>
          <cell r="J545">
            <v>1</v>
          </cell>
          <cell r="K545">
            <v>10</v>
          </cell>
          <cell r="L545" t="str">
            <v>[]</v>
          </cell>
          <cell r="M545">
            <v>2</v>
          </cell>
          <cell r="N545">
            <v>2</v>
          </cell>
          <cell r="O545">
            <v>2</v>
          </cell>
          <cell r="P545">
            <v>2</v>
          </cell>
          <cell r="Q545">
            <v>12</v>
          </cell>
          <cell r="R545" t="str">
            <v>2|1</v>
          </cell>
          <cell r="S545" t="str">
            <v>2|4</v>
          </cell>
          <cell r="T545">
            <v>10</v>
          </cell>
          <cell r="U545">
            <v>1</v>
          </cell>
          <cell r="V545">
            <v>0</v>
          </cell>
          <cell r="W545" t="str">
            <v>[]</v>
          </cell>
          <cell r="X545">
            <v>3</v>
          </cell>
          <cell r="Y545" t="str">
            <v>[]</v>
          </cell>
          <cell r="Z545" t="str">
            <v>0,1.2,0.9</v>
          </cell>
          <cell r="AA545">
            <v>0</v>
          </cell>
          <cell r="AB545">
            <v>20</v>
          </cell>
          <cell r="AC545" t="str">
            <v>[]</v>
          </cell>
          <cell r="AD545" t="str">
            <v>[]</v>
          </cell>
          <cell r="AE545" t="str">
            <v>[]</v>
          </cell>
          <cell r="AF545" t="str">
            <v>yuhuangdadi_skill02</v>
          </cell>
          <cell r="AG545" t="str">
            <v>common_hit_fashu</v>
          </cell>
          <cell r="AH545" t="str">
            <v>[]</v>
          </cell>
          <cell r="AI545" t="str">
            <v>[]</v>
          </cell>
          <cell r="AJ545" t="str">
            <v>yuhuangdadi_zhenping</v>
          </cell>
          <cell r="AK545" t="str">
            <v>[]</v>
          </cell>
          <cell r="AL545" t="str">
            <v>[]</v>
          </cell>
          <cell r="AM545" t="str">
            <v>[]</v>
          </cell>
          <cell r="AN545">
            <v>1</v>
          </cell>
          <cell r="AO545">
            <v>1.2</v>
          </cell>
          <cell r="AP545">
            <v>898</v>
          </cell>
          <cell r="AQ545" t="str">
            <v>900045</v>
          </cell>
          <cell r="AR545" t="str">
            <v>[]</v>
          </cell>
          <cell r="AS545" t="str">
            <v>[]</v>
          </cell>
          <cell r="AT545">
            <v>898</v>
          </cell>
          <cell r="AU545" t="str">
            <v>3030</v>
          </cell>
          <cell r="AV545" t="str">
            <v>玉皇大帝</v>
          </cell>
          <cell r="AW545" t="str">
            <v>yu</v>
          </cell>
          <cell r="AY545">
            <v>1</v>
          </cell>
          <cell r="BE545"/>
          <cell r="BF545"/>
        </row>
        <row r="546">
          <cell r="A546" t="str">
            <v>common_chaofeng</v>
          </cell>
          <cell r="B546" t="str">
            <v>天下我心</v>
          </cell>
          <cell r="C546" t="str">
            <v>双手举剑插入地面，使自身附近敌人造成自身攻击力@s的伤害，持续3秒</v>
          </cell>
          <cell r="D546" t="str">
            <v>[]</v>
          </cell>
          <cell r="E546">
            <v>0</v>
          </cell>
          <cell r="F546" t="str">
            <v>[]</v>
          </cell>
          <cell r="G546" t="str">
            <v>玉皇大帝AI技能1</v>
          </cell>
          <cell r="H546" t="str">
            <v>yuhuangdadi_skill02</v>
          </cell>
          <cell r="I546" t="str">
            <v>[]</v>
          </cell>
          <cell r="J546">
            <v>1</v>
          </cell>
          <cell r="K546">
            <v>10</v>
          </cell>
          <cell r="L546" t="str">
            <v>[]</v>
          </cell>
          <cell r="M546">
            <v>2</v>
          </cell>
          <cell r="N546">
            <v>2</v>
          </cell>
          <cell r="O546">
            <v>2</v>
          </cell>
          <cell r="P546">
            <v>2</v>
          </cell>
          <cell r="Q546">
            <v>12</v>
          </cell>
          <cell r="R546" t="str">
            <v>2|1</v>
          </cell>
          <cell r="S546" t="str">
            <v>2|4</v>
          </cell>
          <cell r="T546">
            <v>10</v>
          </cell>
          <cell r="U546">
            <v>1</v>
          </cell>
          <cell r="V546">
            <v>0</v>
          </cell>
          <cell r="W546" t="str">
            <v>[]</v>
          </cell>
          <cell r="X546">
            <v>3</v>
          </cell>
          <cell r="Y546" t="str">
            <v>[]</v>
          </cell>
          <cell r="Z546" t="str">
            <v>0,1.2,0.9</v>
          </cell>
          <cell r="AA546">
            <v>0</v>
          </cell>
          <cell r="AB546">
            <v>20</v>
          </cell>
          <cell r="AC546" t="str">
            <v>[]</v>
          </cell>
          <cell r="AD546" t="str">
            <v>[]</v>
          </cell>
          <cell r="AE546" t="str">
            <v>[]</v>
          </cell>
          <cell r="AF546" t="str">
            <v>yuhuangdadi_skill02</v>
          </cell>
          <cell r="AG546" t="str">
            <v>common_hit_fashu</v>
          </cell>
          <cell r="AH546" t="str">
            <v>[]</v>
          </cell>
          <cell r="AI546" t="str">
            <v>[]</v>
          </cell>
          <cell r="AJ546" t="str">
            <v>yuhuangdadi_zhenping</v>
          </cell>
          <cell r="AK546" t="str">
            <v>[]</v>
          </cell>
          <cell r="AL546" t="str">
            <v>[]</v>
          </cell>
          <cell r="AM546" t="str">
            <v>[]</v>
          </cell>
          <cell r="AN546">
            <v>1</v>
          </cell>
          <cell r="AO546">
            <v>1.2</v>
          </cell>
          <cell r="AP546">
            <v>898</v>
          </cell>
          <cell r="AQ546" t="str">
            <v>900046</v>
          </cell>
          <cell r="AR546" t="str">
            <v>[]</v>
          </cell>
          <cell r="AS546" t="str">
            <v>[]</v>
          </cell>
          <cell r="AT546">
            <v>898</v>
          </cell>
          <cell r="AU546" t="str">
            <v>3030</v>
          </cell>
          <cell r="AV546" t="str">
            <v>玉皇大帝</v>
          </cell>
          <cell r="AW546" t="str">
            <v>ng</v>
          </cell>
          <cell r="AY546">
            <v>1</v>
          </cell>
          <cell r="BE546"/>
          <cell r="BF546"/>
        </row>
        <row r="547">
          <cell r="A547" t="str">
            <v>wudidong_skill01</v>
          </cell>
          <cell r="B547" t="str">
            <v>乾-天-伤害</v>
          </cell>
          <cell r="C547" t="str">
            <v>乾-天-伤害</v>
          </cell>
          <cell r="D547" t="str">
            <v>[]</v>
          </cell>
          <cell r="E547">
            <v>0</v>
          </cell>
          <cell r="F547" t="str">
            <v>[]</v>
          </cell>
          <cell r="G547" t="str">
            <v>无底洞阵法buff</v>
          </cell>
          <cell r="H547" t="str">
            <v>baoji</v>
          </cell>
          <cell r="I547" t="str">
            <v>[]</v>
          </cell>
          <cell r="J547">
            <v>2</v>
          </cell>
          <cell r="K547">
            <v>10</v>
          </cell>
          <cell r="L547" t="str">
            <v>[]</v>
          </cell>
          <cell r="M547">
            <v>2</v>
          </cell>
          <cell r="N547">
            <v>2</v>
          </cell>
          <cell r="O547">
            <v>3</v>
          </cell>
          <cell r="P547">
            <v>0</v>
          </cell>
          <cell r="Q547">
            <v>12</v>
          </cell>
          <cell r="R547">
            <v>3</v>
          </cell>
          <cell r="S547" t="str">
            <v>4|0.2</v>
          </cell>
          <cell r="T547">
            <v>1</v>
          </cell>
          <cell r="U547">
            <v>0</v>
          </cell>
          <cell r="V547">
            <v>0</v>
          </cell>
          <cell r="W547" t="str">
            <v>[]</v>
          </cell>
          <cell r="X547">
            <v>0</v>
          </cell>
          <cell r="Y547" t="str">
            <v>[]</v>
          </cell>
          <cell r="Z547" t="str">
            <v>0,0,0</v>
          </cell>
          <cell r="AA547">
            <v>0</v>
          </cell>
          <cell r="AB547" t="str">
            <v>[]</v>
          </cell>
          <cell r="AC547" t="str">
            <v>[]</v>
          </cell>
          <cell r="AD547" t="str">
            <v>[]</v>
          </cell>
          <cell r="AE547" t="str">
            <v>[]</v>
          </cell>
          <cell r="AF547" t="str">
            <v>[]</v>
          </cell>
          <cell r="AG547" t="str">
            <v>[]</v>
          </cell>
          <cell r="AH547" t="str">
            <v>[]</v>
          </cell>
          <cell r="AI547" t="str">
            <v>[]</v>
          </cell>
          <cell r="AJ547" t="str">
            <v>[]</v>
          </cell>
          <cell r="AK547" t="str">
            <v>[]</v>
          </cell>
          <cell r="AL547" t="str">
            <v>wudidong_skill01_buff_1</v>
          </cell>
          <cell r="AM547" t="str">
            <v>[]</v>
          </cell>
          <cell r="AN547">
            <v>0</v>
          </cell>
          <cell r="AO547" t="str">
            <v>[]</v>
          </cell>
          <cell r="AP547" t="str">
            <v>[]</v>
          </cell>
          <cell r="AQ547">
            <v>900047</v>
          </cell>
          <cell r="AR547" t="str">
            <v>[]</v>
          </cell>
          <cell r="AS547" t="str">
            <v>[]</v>
          </cell>
          <cell r="AT547" t="str">
            <v>[]</v>
          </cell>
          <cell r="AV547" t="str">
            <v>无底洞阵法buff</v>
          </cell>
          <cell r="AW547" t="str">
            <v>01</v>
          </cell>
          <cell r="AY547">
            <v>1</v>
          </cell>
          <cell r="BE547"/>
          <cell r="BF547"/>
        </row>
        <row r="548">
          <cell r="A548" t="str">
            <v>wudidong_skill02</v>
          </cell>
          <cell r="B548" t="str">
            <v>坤-地-暴击</v>
          </cell>
          <cell r="C548" t="str">
            <v>坤-地-暴击</v>
          </cell>
          <cell r="D548" t="str">
            <v>[]</v>
          </cell>
          <cell r="E548">
            <v>0</v>
          </cell>
          <cell r="F548" t="str">
            <v>[]</v>
          </cell>
          <cell r="G548" t="str">
            <v>无底洞阵法buff</v>
          </cell>
          <cell r="H548" t="str">
            <v>baoji</v>
          </cell>
          <cell r="I548" t="str">
            <v>[]</v>
          </cell>
          <cell r="J548">
            <v>2</v>
          </cell>
          <cell r="K548">
            <v>10</v>
          </cell>
          <cell r="L548" t="str">
            <v>[]</v>
          </cell>
          <cell r="M548">
            <v>2</v>
          </cell>
          <cell r="N548">
            <v>2</v>
          </cell>
          <cell r="O548">
            <v>3</v>
          </cell>
          <cell r="P548">
            <v>0</v>
          </cell>
          <cell r="Q548">
            <v>12</v>
          </cell>
          <cell r="R548">
            <v>3</v>
          </cell>
          <cell r="S548" t="str">
            <v>4|0.2</v>
          </cell>
          <cell r="T548">
            <v>1</v>
          </cell>
          <cell r="U548">
            <v>0</v>
          </cell>
          <cell r="V548">
            <v>0</v>
          </cell>
          <cell r="W548" t="str">
            <v>[]</v>
          </cell>
          <cell r="X548">
            <v>0</v>
          </cell>
          <cell r="Y548" t="str">
            <v>[]</v>
          </cell>
          <cell r="Z548" t="str">
            <v>0,0,0</v>
          </cell>
          <cell r="AA548">
            <v>0</v>
          </cell>
          <cell r="AB548" t="str">
            <v>[]</v>
          </cell>
          <cell r="AC548" t="str">
            <v>[]</v>
          </cell>
          <cell r="AD548" t="str">
            <v>[]</v>
          </cell>
          <cell r="AE548" t="str">
            <v>[]</v>
          </cell>
          <cell r="AF548" t="str">
            <v>[]</v>
          </cell>
          <cell r="AG548" t="str">
            <v>[]</v>
          </cell>
          <cell r="AH548" t="str">
            <v>[]</v>
          </cell>
          <cell r="AI548" t="str">
            <v>[]</v>
          </cell>
          <cell r="AJ548" t="str">
            <v>[]</v>
          </cell>
          <cell r="AK548" t="str">
            <v>[]</v>
          </cell>
          <cell r="AL548" t="str">
            <v>wudidong_skill02_buff_1</v>
          </cell>
          <cell r="AM548" t="str">
            <v>[]</v>
          </cell>
          <cell r="AN548">
            <v>0</v>
          </cell>
          <cell r="AO548" t="str">
            <v>[]</v>
          </cell>
          <cell r="AP548" t="str">
            <v>[]</v>
          </cell>
          <cell r="AQ548">
            <v>900048</v>
          </cell>
          <cell r="AR548" t="str">
            <v>[]</v>
          </cell>
          <cell r="AS548" t="str">
            <v>[]</v>
          </cell>
          <cell r="AT548" t="str">
            <v>[]</v>
          </cell>
          <cell r="AV548" t="str">
            <v>无底洞阵法buff</v>
          </cell>
          <cell r="AW548" t="str">
            <v>02</v>
          </cell>
          <cell r="AY548">
            <v>1</v>
          </cell>
          <cell r="BE548"/>
          <cell r="BF548"/>
        </row>
        <row r="549">
          <cell r="A549" t="str">
            <v>wudidong_skill03</v>
          </cell>
          <cell r="B549" t="str">
            <v>震-雷-命中</v>
          </cell>
          <cell r="C549" t="str">
            <v>震-雷-命中</v>
          </cell>
          <cell r="D549" t="str">
            <v>[]</v>
          </cell>
          <cell r="E549">
            <v>0</v>
          </cell>
          <cell r="F549" t="str">
            <v>[]</v>
          </cell>
          <cell r="G549" t="str">
            <v>无底洞阵法buff</v>
          </cell>
          <cell r="H549" t="str">
            <v>baoji</v>
          </cell>
          <cell r="I549" t="str">
            <v>[]</v>
          </cell>
          <cell r="J549">
            <v>2</v>
          </cell>
          <cell r="K549">
            <v>10</v>
          </cell>
          <cell r="L549" t="str">
            <v>[]</v>
          </cell>
          <cell r="M549">
            <v>2</v>
          </cell>
          <cell r="N549">
            <v>2</v>
          </cell>
          <cell r="O549">
            <v>3</v>
          </cell>
          <cell r="P549">
            <v>0</v>
          </cell>
          <cell r="Q549">
            <v>12</v>
          </cell>
          <cell r="R549">
            <v>3</v>
          </cell>
          <cell r="S549" t="str">
            <v>4|0.2</v>
          </cell>
          <cell r="T549">
            <v>1</v>
          </cell>
          <cell r="U549">
            <v>0</v>
          </cell>
          <cell r="V549">
            <v>0</v>
          </cell>
          <cell r="W549" t="str">
            <v>[]</v>
          </cell>
          <cell r="X549">
            <v>0</v>
          </cell>
          <cell r="Y549" t="str">
            <v>[]</v>
          </cell>
          <cell r="Z549" t="str">
            <v>0,0,0</v>
          </cell>
          <cell r="AA549">
            <v>0</v>
          </cell>
          <cell r="AB549" t="str">
            <v>[]</v>
          </cell>
          <cell r="AC549" t="str">
            <v>[]</v>
          </cell>
          <cell r="AD549" t="str">
            <v>[]</v>
          </cell>
          <cell r="AE549" t="str">
            <v>[]</v>
          </cell>
          <cell r="AF549" t="str">
            <v>[]</v>
          </cell>
          <cell r="AG549" t="str">
            <v>[]</v>
          </cell>
          <cell r="AH549" t="str">
            <v>[]</v>
          </cell>
          <cell r="AI549" t="str">
            <v>[]</v>
          </cell>
          <cell r="AJ549" t="str">
            <v>[]</v>
          </cell>
          <cell r="AK549" t="str">
            <v>[]</v>
          </cell>
          <cell r="AL549" t="str">
            <v>wudidong_skill03_buff_1</v>
          </cell>
          <cell r="AM549" t="str">
            <v>[]</v>
          </cell>
          <cell r="AN549">
            <v>0</v>
          </cell>
          <cell r="AO549" t="str">
            <v>[]</v>
          </cell>
          <cell r="AP549" t="str">
            <v>[]</v>
          </cell>
          <cell r="AQ549" t="str">
            <v>[]</v>
          </cell>
          <cell r="AR549" t="str">
            <v>[]</v>
          </cell>
          <cell r="AS549" t="str">
            <v>[]</v>
          </cell>
          <cell r="AT549" t="str">
            <v>[]</v>
          </cell>
          <cell r="AV549" t="str">
            <v>无底洞阵法buff</v>
          </cell>
          <cell r="AW549" t="str">
            <v>03</v>
          </cell>
          <cell r="AY549">
            <v>1</v>
          </cell>
          <cell r="BE549"/>
          <cell r="BF549"/>
        </row>
        <row r="550">
          <cell r="A550" t="str">
            <v>wudidong_skill04</v>
          </cell>
          <cell r="B550" t="str">
            <v>巽-风-攻速</v>
          </cell>
          <cell r="C550" t="str">
            <v>巽-风-攻速</v>
          </cell>
          <cell r="D550" t="str">
            <v>[]</v>
          </cell>
          <cell r="E550">
            <v>0</v>
          </cell>
          <cell r="F550" t="str">
            <v>[]</v>
          </cell>
          <cell r="G550" t="str">
            <v>无底洞阵法buff</v>
          </cell>
          <cell r="H550" t="str">
            <v>baoji</v>
          </cell>
          <cell r="I550" t="str">
            <v>[]</v>
          </cell>
          <cell r="J550">
            <v>2</v>
          </cell>
          <cell r="K550">
            <v>10</v>
          </cell>
          <cell r="L550" t="str">
            <v>[]</v>
          </cell>
          <cell r="M550">
            <v>2</v>
          </cell>
          <cell r="N550">
            <v>2</v>
          </cell>
          <cell r="O550">
            <v>3</v>
          </cell>
          <cell r="P550">
            <v>0</v>
          </cell>
          <cell r="Q550">
            <v>12</v>
          </cell>
          <cell r="R550">
            <v>3</v>
          </cell>
          <cell r="S550" t="str">
            <v>4|0.2</v>
          </cell>
          <cell r="T550">
            <v>1</v>
          </cell>
          <cell r="U550">
            <v>0</v>
          </cell>
          <cell r="V550">
            <v>0</v>
          </cell>
          <cell r="W550" t="str">
            <v>[]</v>
          </cell>
          <cell r="X550">
            <v>0</v>
          </cell>
          <cell r="Y550" t="str">
            <v>[]</v>
          </cell>
          <cell r="Z550" t="str">
            <v>0,0,0</v>
          </cell>
          <cell r="AA550">
            <v>0</v>
          </cell>
          <cell r="AB550" t="str">
            <v>[]</v>
          </cell>
          <cell r="AC550" t="str">
            <v>[]</v>
          </cell>
          <cell r="AD550" t="str">
            <v>[]</v>
          </cell>
          <cell r="AE550" t="str">
            <v>[]</v>
          </cell>
          <cell r="AF550" t="str">
            <v>[]</v>
          </cell>
          <cell r="AG550" t="str">
            <v>[]</v>
          </cell>
          <cell r="AH550" t="str">
            <v>[]</v>
          </cell>
          <cell r="AI550" t="str">
            <v>[]</v>
          </cell>
          <cell r="AJ550" t="str">
            <v>[]</v>
          </cell>
          <cell r="AK550" t="str">
            <v>[]</v>
          </cell>
          <cell r="AL550" t="str">
            <v>wudidong_skill04_buff_1</v>
          </cell>
          <cell r="AM550" t="str">
            <v>[]</v>
          </cell>
          <cell r="AN550">
            <v>0</v>
          </cell>
          <cell r="AO550" t="str">
            <v>[]</v>
          </cell>
          <cell r="AP550" t="str">
            <v>[]</v>
          </cell>
          <cell r="AQ550">
            <v>900050</v>
          </cell>
          <cell r="AR550" t="str">
            <v>[]</v>
          </cell>
          <cell r="AS550" t="str">
            <v>[]</v>
          </cell>
          <cell r="AT550" t="str">
            <v>[]</v>
          </cell>
          <cell r="AV550" t="str">
            <v>无底洞阵法buff</v>
          </cell>
          <cell r="AW550" t="str">
            <v>04</v>
          </cell>
          <cell r="AX550"/>
          <cell r="AY550">
            <v>1</v>
          </cell>
          <cell r="BE550"/>
          <cell r="BF550"/>
        </row>
        <row r="551">
          <cell r="A551" t="str">
            <v>wudidong_skill05</v>
          </cell>
          <cell r="B551" t="str">
            <v xml:space="preserve">坎-水-减cd </v>
          </cell>
          <cell r="C551" t="str">
            <v xml:space="preserve">坎-水-减cd </v>
          </cell>
          <cell r="D551" t="str">
            <v>[]</v>
          </cell>
          <cell r="E551">
            <v>0</v>
          </cell>
          <cell r="F551" t="str">
            <v>[]</v>
          </cell>
          <cell r="G551" t="str">
            <v>无底洞阵法buff</v>
          </cell>
          <cell r="H551" t="str">
            <v>baoji</v>
          </cell>
          <cell r="I551" t="str">
            <v>[]</v>
          </cell>
          <cell r="J551">
            <v>2</v>
          </cell>
          <cell r="K551">
            <v>10</v>
          </cell>
          <cell r="L551" t="str">
            <v>[]</v>
          </cell>
          <cell r="M551">
            <v>2</v>
          </cell>
          <cell r="N551">
            <v>2</v>
          </cell>
          <cell r="O551">
            <v>3</v>
          </cell>
          <cell r="P551">
            <v>0</v>
          </cell>
          <cell r="Q551">
            <v>12</v>
          </cell>
          <cell r="R551">
            <v>3</v>
          </cell>
          <cell r="S551" t="str">
            <v>4|0.2</v>
          </cell>
          <cell r="T551">
            <v>1</v>
          </cell>
          <cell r="U551">
            <v>0</v>
          </cell>
          <cell r="V551">
            <v>0</v>
          </cell>
          <cell r="W551" t="str">
            <v>[]</v>
          </cell>
          <cell r="X551">
            <v>0</v>
          </cell>
          <cell r="Y551" t="str">
            <v>[]</v>
          </cell>
          <cell r="Z551" t="str">
            <v>0,0,0</v>
          </cell>
          <cell r="AA551">
            <v>0</v>
          </cell>
          <cell r="AB551" t="str">
            <v>[]</v>
          </cell>
          <cell r="AC551" t="str">
            <v>[]</v>
          </cell>
          <cell r="AD551" t="str">
            <v>[]</v>
          </cell>
          <cell r="AE551" t="str">
            <v>[]</v>
          </cell>
          <cell r="AF551" t="str">
            <v>[]</v>
          </cell>
          <cell r="AG551" t="str">
            <v>[]</v>
          </cell>
          <cell r="AH551" t="str">
            <v>[]</v>
          </cell>
          <cell r="AI551" t="str">
            <v>[]</v>
          </cell>
          <cell r="AJ551" t="str">
            <v>[]</v>
          </cell>
          <cell r="AK551" t="str">
            <v>[]</v>
          </cell>
          <cell r="AL551" t="str">
            <v>wudidong_skill05_buff_1</v>
          </cell>
          <cell r="AM551" t="str">
            <v>[]</v>
          </cell>
          <cell r="AN551">
            <v>0</v>
          </cell>
          <cell r="AO551" t="str">
            <v>[]</v>
          </cell>
          <cell r="AP551" t="str">
            <v>[]</v>
          </cell>
          <cell r="AQ551">
            <v>900051</v>
          </cell>
          <cell r="AR551" t="str">
            <v>[]</v>
          </cell>
          <cell r="AS551" t="str">
            <v>[]</v>
          </cell>
          <cell r="AT551" t="str">
            <v>[]</v>
          </cell>
          <cell r="AV551" t="str">
            <v>无底洞阵法buff</v>
          </cell>
          <cell r="AW551" t="str">
            <v>05</v>
          </cell>
          <cell r="AY551">
            <v>1</v>
          </cell>
          <cell r="BE551"/>
          <cell r="BF551"/>
        </row>
        <row r="552">
          <cell r="A552" t="str">
            <v>wudidong_skill06</v>
          </cell>
          <cell r="B552" t="str">
            <v>离-火-攻击</v>
          </cell>
          <cell r="C552" t="str">
            <v>离-火-攻击</v>
          </cell>
          <cell r="D552" t="str">
            <v>[]</v>
          </cell>
          <cell r="E552">
            <v>0</v>
          </cell>
          <cell r="F552" t="str">
            <v>[]</v>
          </cell>
          <cell r="G552" t="str">
            <v>无底洞阵法buff</v>
          </cell>
          <cell r="H552" t="str">
            <v>baoji</v>
          </cell>
          <cell r="I552" t="str">
            <v>[]</v>
          </cell>
          <cell r="J552">
            <v>2</v>
          </cell>
          <cell r="K552">
            <v>10</v>
          </cell>
          <cell r="L552" t="str">
            <v>[]</v>
          </cell>
          <cell r="M552">
            <v>2</v>
          </cell>
          <cell r="N552">
            <v>2</v>
          </cell>
          <cell r="O552">
            <v>3</v>
          </cell>
          <cell r="P552">
            <v>0</v>
          </cell>
          <cell r="Q552">
            <v>12</v>
          </cell>
          <cell r="R552">
            <v>3</v>
          </cell>
          <cell r="S552" t="str">
            <v>4|0.2</v>
          </cell>
          <cell r="T552">
            <v>1</v>
          </cell>
          <cell r="U552">
            <v>0</v>
          </cell>
          <cell r="V552">
            <v>0</v>
          </cell>
          <cell r="W552" t="str">
            <v>[]</v>
          </cell>
          <cell r="X552">
            <v>0</v>
          </cell>
          <cell r="Y552" t="str">
            <v>[]</v>
          </cell>
          <cell r="Z552" t="str">
            <v>0,0,0</v>
          </cell>
          <cell r="AA552">
            <v>0</v>
          </cell>
          <cell r="AB552" t="str">
            <v>[]</v>
          </cell>
          <cell r="AC552" t="str">
            <v>[]</v>
          </cell>
          <cell r="AD552" t="str">
            <v>[]</v>
          </cell>
          <cell r="AE552" t="str">
            <v>[]</v>
          </cell>
          <cell r="AF552" t="str">
            <v>[]</v>
          </cell>
          <cell r="AG552" t="str">
            <v>[]</v>
          </cell>
          <cell r="AH552" t="str">
            <v>[]</v>
          </cell>
          <cell r="AI552" t="str">
            <v>[]</v>
          </cell>
          <cell r="AJ552" t="str">
            <v>[]</v>
          </cell>
          <cell r="AK552" t="str">
            <v>[]</v>
          </cell>
          <cell r="AL552" t="str">
            <v>wudidong_skill06_buff_1</v>
          </cell>
          <cell r="AM552" t="str">
            <v>[]</v>
          </cell>
          <cell r="AN552">
            <v>0</v>
          </cell>
          <cell r="AO552" t="str">
            <v>[]</v>
          </cell>
          <cell r="AP552" t="str">
            <v>[]</v>
          </cell>
          <cell r="AQ552">
            <v>900052</v>
          </cell>
          <cell r="AR552" t="str">
            <v>[]</v>
          </cell>
          <cell r="AS552" t="str">
            <v>[]</v>
          </cell>
          <cell r="AT552" t="str">
            <v>[]</v>
          </cell>
          <cell r="AV552" t="str">
            <v>无底洞阵法buff</v>
          </cell>
          <cell r="AW552" t="str">
            <v>06</v>
          </cell>
          <cell r="AY552">
            <v>1</v>
          </cell>
          <cell r="BE552"/>
          <cell r="BF552"/>
        </row>
        <row r="553">
          <cell r="A553" t="str">
            <v>wudidong_skill07</v>
          </cell>
          <cell r="B553" t="str">
            <v>艮-山-防御</v>
          </cell>
          <cell r="C553" t="str">
            <v>艮-山-防御</v>
          </cell>
          <cell r="D553" t="str">
            <v>[]</v>
          </cell>
          <cell r="E553">
            <v>0</v>
          </cell>
          <cell r="F553" t="str">
            <v>[]</v>
          </cell>
          <cell r="G553" t="str">
            <v>无底洞阵法buff</v>
          </cell>
          <cell r="H553" t="str">
            <v>baoji</v>
          </cell>
          <cell r="I553" t="str">
            <v>[]</v>
          </cell>
          <cell r="J553">
            <v>2</v>
          </cell>
          <cell r="K553">
            <v>10</v>
          </cell>
          <cell r="L553" t="str">
            <v>[]</v>
          </cell>
          <cell r="M553">
            <v>2</v>
          </cell>
          <cell r="N553">
            <v>2</v>
          </cell>
          <cell r="O553">
            <v>3</v>
          </cell>
          <cell r="P553">
            <v>0</v>
          </cell>
          <cell r="Q553">
            <v>12</v>
          </cell>
          <cell r="R553">
            <v>3</v>
          </cell>
          <cell r="S553" t="str">
            <v>4|0.2</v>
          </cell>
          <cell r="T553">
            <v>1</v>
          </cell>
          <cell r="U553">
            <v>0</v>
          </cell>
          <cell r="V553">
            <v>0</v>
          </cell>
          <cell r="W553" t="str">
            <v>[]</v>
          </cell>
          <cell r="X553">
            <v>0</v>
          </cell>
          <cell r="Y553" t="str">
            <v>[]</v>
          </cell>
          <cell r="Z553" t="str">
            <v>0,0,0</v>
          </cell>
          <cell r="AA553">
            <v>0</v>
          </cell>
          <cell r="AB553" t="str">
            <v>[]</v>
          </cell>
          <cell r="AC553" t="str">
            <v>[]</v>
          </cell>
          <cell r="AD553" t="str">
            <v>[]</v>
          </cell>
          <cell r="AE553" t="str">
            <v>[]</v>
          </cell>
          <cell r="AF553" t="str">
            <v>[]</v>
          </cell>
          <cell r="AG553" t="str">
            <v>[]</v>
          </cell>
          <cell r="AH553" t="str">
            <v>[]</v>
          </cell>
          <cell r="AI553" t="str">
            <v>[]</v>
          </cell>
          <cell r="AJ553" t="str">
            <v>[]</v>
          </cell>
          <cell r="AK553" t="str">
            <v>[]</v>
          </cell>
          <cell r="AL553" t="str">
            <v>wudidong_skill07_buff_1</v>
          </cell>
          <cell r="AM553" t="str">
            <v>[]</v>
          </cell>
          <cell r="AN553">
            <v>0</v>
          </cell>
          <cell r="AO553" t="str">
            <v>[]</v>
          </cell>
          <cell r="AP553" t="str">
            <v>[]</v>
          </cell>
          <cell r="AQ553">
            <v>900053</v>
          </cell>
          <cell r="AR553" t="str">
            <v>[]</v>
          </cell>
          <cell r="AS553" t="str">
            <v>[]</v>
          </cell>
          <cell r="AT553" t="str">
            <v>[]</v>
          </cell>
          <cell r="AV553" t="str">
            <v>无底洞阵法buff</v>
          </cell>
          <cell r="AW553" t="str">
            <v>07</v>
          </cell>
          <cell r="AY553">
            <v>1</v>
          </cell>
          <cell r="BE553"/>
          <cell r="BF553"/>
        </row>
        <row r="554">
          <cell r="A554" t="str">
            <v>wudidong_skill08</v>
          </cell>
          <cell r="B554" t="str">
            <v>兑-泽-吸血</v>
          </cell>
          <cell r="C554" t="str">
            <v>兑-泽-吸血</v>
          </cell>
          <cell r="D554" t="str">
            <v>[]</v>
          </cell>
          <cell r="E554">
            <v>0</v>
          </cell>
          <cell r="F554" t="str">
            <v>[]</v>
          </cell>
          <cell r="G554" t="str">
            <v>无底洞阵法buff</v>
          </cell>
          <cell r="H554" t="str">
            <v>baoji</v>
          </cell>
          <cell r="I554" t="str">
            <v>[]</v>
          </cell>
          <cell r="J554">
            <v>2</v>
          </cell>
          <cell r="K554">
            <v>10</v>
          </cell>
          <cell r="L554" t="str">
            <v>[]</v>
          </cell>
          <cell r="M554">
            <v>2</v>
          </cell>
          <cell r="N554">
            <v>2</v>
          </cell>
          <cell r="O554">
            <v>3</v>
          </cell>
          <cell r="P554">
            <v>0</v>
          </cell>
          <cell r="Q554">
            <v>12</v>
          </cell>
          <cell r="R554">
            <v>3</v>
          </cell>
          <cell r="S554" t="str">
            <v>4|0.2</v>
          </cell>
          <cell r="T554">
            <v>1</v>
          </cell>
          <cell r="U554">
            <v>0</v>
          </cell>
          <cell r="V554">
            <v>0</v>
          </cell>
          <cell r="W554" t="str">
            <v>[]</v>
          </cell>
          <cell r="X554">
            <v>0</v>
          </cell>
          <cell r="Y554" t="str">
            <v>[]</v>
          </cell>
          <cell r="Z554" t="str">
            <v>0,0,0</v>
          </cell>
          <cell r="AA554">
            <v>0</v>
          </cell>
          <cell r="AB554" t="str">
            <v>[]</v>
          </cell>
          <cell r="AC554" t="str">
            <v>[]</v>
          </cell>
          <cell r="AD554" t="str">
            <v>[]</v>
          </cell>
          <cell r="AE554" t="str">
            <v>[]</v>
          </cell>
          <cell r="AF554" t="str">
            <v>[]</v>
          </cell>
          <cell r="AG554" t="str">
            <v>[]</v>
          </cell>
          <cell r="AH554" t="str">
            <v>[]</v>
          </cell>
          <cell r="AI554" t="str">
            <v>[]</v>
          </cell>
          <cell r="AJ554" t="str">
            <v>wudidong_skill08_higeff_1</v>
          </cell>
          <cell r="AK554" t="str">
            <v>[]</v>
          </cell>
          <cell r="AL554" t="str">
            <v>[]</v>
          </cell>
          <cell r="AM554" t="str">
            <v>[]</v>
          </cell>
          <cell r="AN554">
            <v>0</v>
          </cell>
          <cell r="AO554" t="str">
            <v>[]</v>
          </cell>
          <cell r="AP554" t="str">
            <v>[]</v>
          </cell>
          <cell r="AQ554">
            <v>900054</v>
          </cell>
          <cell r="AR554" t="str">
            <v>[]</v>
          </cell>
          <cell r="AS554" t="str">
            <v>[]</v>
          </cell>
          <cell r="AT554" t="str">
            <v>[]</v>
          </cell>
          <cell r="AV554" t="str">
            <v>无底洞阵法buff</v>
          </cell>
          <cell r="AW554" t="str">
            <v>08</v>
          </cell>
          <cell r="AY554">
            <v>1</v>
          </cell>
          <cell r="BE554"/>
          <cell r="BF554"/>
        </row>
        <row r="555">
          <cell r="A555" t="str">
            <v>boss_erlangshen_skill01</v>
          </cell>
          <cell r="B555" t="str">
            <v>仙君领域</v>
          </cell>
          <cell r="C555" t="str">
            <v>erlangshen_skill01</v>
          </cell>
          <cell r="D555" t="str">
            <v>[]</v>
          </cell>
          <cell r="E555" t="str">
            <v>1</v>
          </cell>
          <cell r="F555" t="str">
            <v>boss_warning_yuanxing</v>
          </cell>
          <cell r="G555" t="str">
            <v>二郎神核心技能</v>
          </cell>
          <cell r="H555" t="str">
            <v>erlangshen_skill01</v>
          </cell>
          <cell r="I555" t="str">
            <v>erlangshen_skill01</v>
          </cell>
          <cell r="J555">
            <v>0</v>
          </cell>
          <cell r="K555">
            <v>1</v>
          </cell>
          <cell r="L555" t="str">
            <v>1|11</v>
          </cell>
          <cell r="M555">
            <v>2</v>
          </cell>
          <cell r="N555">
            <v>2</v>
          </cell>
          <cell r="O555">
            <v>2</v>
          </cell>
          <cell r="P555">
            <v>2</v>
          </cell>
          <cell r="Q555">
            <v>12</v>
          </cell>
          <cell r="R555" t="str">
            <v>2|1</v>
          </cell>
          <cell r="S555" t="str">
            <v>2|10</v>
          </cell>
          <cell r="T555">
            <v>10</v>
          </cell>
          <cell r="U555">
            <v>1</v>
          </cell>
          <cell r="V555">
            <v>0</v>
          </cell>
          <cell r="W555" t="str">
            <v>[]</v>
          </cell>
          <cell r="X555">
            <v>0</v>
          </cell>
          <cell r="Y555" t="str">
            <v>[]</v>
          </cell>
          <cell r="Z555" t="str">
            <v>0,0,0</v>
          </cell>
          <cell r="AA555">
            <v>0</v>
          </cell>
          <cell r="AB555" t="str">
            <v>10</v>
          </cell>
          <cell r="AC555" t="str">
            <v>[]</v>
          </cell>
          <cell r="AD555" t="str">
            <v>[]</v>
          </cell>
          <cell r="AE555" t="str">
            <v>[]</v>
          </cell>
          <cell r="AF555" t="str">
            <v>erlangshen_skill01</v>
          </cell>
          <cell r="AG555" t="str">
            <v>erlangshen_hit</v>
          </cell>
          <cell r="AH555" t="str">
            <v>[]</v>
          </cell>
          <cell r="AI555" t="str">
            <v>[]</v>
          </cell>
          <cell r="AJ555" t="str">
            <v>[]</v>
          </cell>
          <cell r="AK555" t="str">
            <v>yunxuanT1NP0.2</v>
          </cell>
          <cell r="AL555" t="str">
            <v>[]</v>
          </cell>
          <cell r="AM555" t="str">
            <v>[]</v>
          </cell>
          <cell r="AN555">
            <v>2</v>
          </cell>
          <cell r="AO555" t="str">
            <v>1</v>
          </cell>
          <cell r="AP555">
            <v>636</v>
          </cell>
          <cell r="AQ555">
            <v>636</v>
          </cell>
          <cell r="AR555" t="str">
            <v>[]</v>
          </cell>
          <cell r="AS555" t="str">
            <v>[]</v>
          </cell>
          <cell r="AT555" t="str">
            <v>2020</v>
          </cell>
          <cell r="AU555" t="str">
            <v>2020</v>
          </cell>
          <cell r="AV555" t="str">
            <v>[]</v>
          </cell>
          <cell r="AW555" t="str">
            <v>01</v>
          </cell>
          <cell r="AY555">
            <v>1</v>
          </cell>
          <cell r="BE555"/>
          <cell r="BF555"/>
        </row>
        <row r="556">
          <cell r="A556" t="str">
            <v>boss_erlangshen_skill02</v>
          </cell>
          <cell r="B556" t="str">
            <v>仙君附体</v>
          </cell>
          <cell r="C556" t="str">
            <v>erlangshen_skill02</v>
          </cell>
          <cell r="D556" t="str">
            <v>[]</v>
          </cell>
          <cell r="E556">
            <v>0</v>
          </cell>
          <cell r="F556" t="str">
            <v>[]</v>
          </cell>
          <cell r="G556" t="str">
            <v>二郎神技能2</v>
          </cell>
          <cell r="H556" t="str">
            <v>erlangshen_skill02</v>
          </cell>
          <cell r="I556" t="str">
            <v>[]</v>
          </cell>
          <cell r="J556">
            <v>1</v>
          </cell>
          <cell r="K556">
            <v>1</v>
          </cell>
          <cell r="L556" t="str">
            <v>[]</v>
          </cell>
          <cell r="M556">
            <v>2</v>
          </cell>
          <cell r="N556">
            <v>2</v>
          </cell>
          <cell r="O556">
            <v>1</v>
          </cell>
          <cell r="P556">
            <v>2</v>
          </cell>
          <cell r="Q556">
            <v>4</v>
          </cell>
          <cell r="R556">
            <v>1</v>
          </cell>
          <cell r="S556" t="str">
            <v>3|12|90</v>
          </cell>
          <cell r="T556">
            <v>10</v>
          </cell>
          <cell r="U556">
            <v>0</v>
          </cell>
          <cell r="V556">
            <v>0</v>
          </cell>
          <cell r="W556" t="str">
            <v>[]</v>
          </cell>
          <cell r="X556">
            <v>3</v>
          </cell>
          <cell r="Y556" t="str">
            <v>[]</v>
          </cell>
          <cell r="Z556" t="str">
            <v>0,1.65,2.017</v>
          </cell>
          <cell r="AA556">
            <v>0</v>
          </cell>
          <cell r="AB556" t="str">
            <v>10</v>
          </cell>
          <cell r="AC556" t="str">
            <v>[]</v>
          </cell>
          <cell r="AD556" t="str">
            <v>[]</v>
          </cell>
          <cell r="AE556" t="str">
            <v>[]</v>
          </cell>
          <cell r="AF556" t="str">
            <v>erlangshen_skill02</v>
          </cell>
          <cell r="AG556" t="str">
            <v>erlangshen_hit</v>
          </cell>
          <cell r="AH556" t="str">
            <v>[]</v>
          </cell>
          <cell r="AI556" t="str">
            <v>[]</v>
          </cell>
          <cell r="AJ556" t="str">
            <v>[]</v>
          </cell>
          <cell r="AK556" t="str">
            <v>[]</v>
          </cell>
          <cell r="AL556" t="str">
            <v>[]</v>
          </cell>
          <cell r="AM556" t="str">
            <v>jiashangupT3N0.1</v>
          </cell>
          <cell r="AN556">
            <v>2</v>
          </cell>
          <cell r="AO556" t="str">
            <v>1</v>
          </cell>
          <cell r="AP556">
            <v>636</v>
          </cell>
          <cell r="AQ556" t="str">
            <v>[]</v>
          </cell>
          <cell r="AR556" t="str">
            <v>[]</v>
          </cell>
          <cell r="AS556" t="str">
            <v>[]</v>
          </cell>
          <cell r="AT556" t="str">
            <v>2030</v>
          </cell>
          <cell r="AU556" t="str">
            <v>2030</v>
          </cell>
          <cell r="AV556" t="str">
            <v>二郎神</v>
          </cell>
          <cell r="AW556" t="str">
            <v>02</v>
          </cell>
          <cell r="AY556">
            <v>1</v>
          </cell>
          <cell r="BE556"/>
          <cell r="BF556"/>
        </row>
        <row r="557">
          <cell r="A557" t="str">
            <v>boss_erlangshen_skill04</v>
          </cell>
          <cell r="B557" t="str">
            <v>纵横天下</v>
          </cell>
          <cell r="C557" t="str">
            <v>erlangshen_skill04</v>
          </cell>
          <cell r="D557" t="str">
            <v>[]</v>
          </cell>
          <cell r="E557">
            <v>2</v>
          </cell>
          <cell r="F557" t="str">
            <v>boss_warning_shanxing90</v>
          </cell>
          <cell r="G557" t="str">
            <v>二郎神技能4</v>
          </cell>
          <cell r="H557" t="str">
            <v>erlangshen_skill04</v>
          </cell>
          <cell r="I557" t="str">
            <v>[]</v>
          </cell>
          <cell r="J557">
            <v>3</v>
          </cell>
          <cell r="K557">
            <v>1</v>
          </cell>
          <cell r="L557" t="str">
            <v>[]</v>
          </cell>
          <cell r="M557">
            <v>2</v>
          </cell>
          <cell r="N557">
            <v>2</v>
          </cell>
          <cell r="O557">
            <v>1</v>
          </cell>
          <cell r="P557">
            <v>2</v>
          </cell>
          <cell r="Q557">
            <v>4</v>
          </cell>
          <cell r="R557" t="str">
            <v>2|1</v>
          </cell>
          <cell r="S557" t="str">
            <v>3|5|90</v>
          </cell>
          <cell r="T557">
            <v>10</v>
          </cell>
          <cell r="U557">
            <v>0</v>
          </cell>
          <cell r="V557">
            <v>0</v>
          </cell>
          <cell r="W557" t="str">
            <v>[]</v>
          </cell>
          <cell r="X557">
            <v>3</v>
          </cell>
          <cell r="Y557" t="str">
            <v>[]</v>
          </cell>
          <cell r="Z557" t="str">
            <v>0,0.924,0.943</v>
          </cell>
          <cell r="AA557">
            <v>0</v>
          </cell>
          <cell r="AB557" t="str">
            <v>10</v>
          </cell>
          <cell r="AC557" t="str">
            <v>[]</v>
          </cell>
          <cell r="AD557" t="str">
            <v>[]</v>
          </cell>
          <cell r="AE557" t="str">
            <v>[]</v>
          </cell>
          <cell r="AF557" t="str">
            <v>erlangshen_skill04</v>
          </cell>
          <cell r="AG557" t="str">
            <v>[]</v>
          </cell>
          <cell r="AH557" t="str">
            <v>[]</v>
          </cell>
          <cell r="AI557" t="str">
            <v>[]</v>
          </cell>
          <cell r="AJ557" t="str">
            <v>[]</v>
          </cell>
          <cell r="AK557" t="str">
            <v>[]</v>
          </cell>
          <cell r="AL557" t="str">
            <v>buff_douzhanshengfo_bibao</v>
          </cell>
          <cell r="AM557" t="str">
            <v>liuxueT6N0.1</v>
          </cell>
          <cell r="AN557">
            <v>2</v>
          </cell>
          <cell r="AO557" t="str">
            <v>1</v>
          </cell>
          <cell r="AP557">
            <v>636</v>
          </cell>
          <cell r="AQ557">
            <v>636</v>
          </cell>
          <cell r="AR557" t="str">
            <v>[]</v>
          </cell>
          <cell r="AS557" t="str">
            <v>[]</v>
          </cell>
          <cell r="AT557" t="str">
            <v>2050</v>
          </cell>
          <cell r="AU557" t="str">
            <v>2050</v>
          </cell>
          <cell r="AV557" t="str">
            <v>二郎神</v>
          </cell>
          <cell r="AW557" t="str">
            <v>04</v>
          </cell>
          <cell r="AX557"/>
          <cell r="AY557">
            <v>1</v>
          </cell>
          <cell r="BE557"/>
          <cell r="BF557"/>
        </row>
        <row r="558">
          <cell r="A558" t="str">
            <v>boss_nezha_skill01</v>
          </cell>
          <cell r="B558" t="str">
            <v>仙怒火莲</v>
          </cell>
          <cell r="C558" t="str">
            <v>nezha_skill01</v>
          </cell>
          <cell r="D558" t="str">
            <v>[]</v>
          </cell>
          <cell r="E558" t="str">
            <v>1</v>
          </cell>
          <cell r="F558" t="str">
            <v>boss_warning_yuanxing</v>
          </cell>
          <cell r="G558" t="str">
            <v>哪吒核心技能</v>
          </cell>
          <cell r="H558" t="str">
            <v>nezha_skill01</v>
          </cell>
          <cell r="I558" t="str">
            <v>nezha_skill01</v>
          </cell>
          <cell r="J558">
            <v>0</v>
          </cell>
          <cell r="K558">
            <v>10</v>
          </cell>
          <cell r="L558" t="str">
            <v>1|2</v>
          </cell>
          <cell r="M558">
            <v>2</v>
          </cell>
          <cell r="N558">
            <v>2</v>
          </cell>
          <cell r="O558">
            <v>2</v>
          </cell>
          <cell r="P558">
            <v>2</v>
          </cell>
          <cell r="Q558">
            <v>12</v>
          </cell>
          <cell r="R558" t="str">
            <v>2|1</v>
          </cell>
          <cell r="S558" t="str">
            <v>2|10</v>
          </cell>
          <cell r="T558">
            <v>10</v>
          </cell>
          <cell r="U558">
            <v>0</v>
          </cell>
          <cell r="V558">
            <v>0</v>
          </cell>
          <cell r="W558" t="str">
            <v>[]</v>
          </cell>
          <cell r="X558">
            <v>0</v>
          </cell>
          <cell r="Y558" t="str">
            <v>[]</v>
          </cell>
          <cell r="Z558" t="str">
            <v>0,0,0</v>
          </cell>
          <cell r="AA558">
            <v>0</v>
          </cell>
          <cell r="AB558" t="str">
            <v>10</v>
          </cell>
          <cell r="AC558" t="str">
            <v>[]</v>
          </cell>
          <cell r="AD558" t="str">
            <v>[]</v>
          </cell>
          <cell r="AE558" t="str">
            <v>[]</v>
          </cell>
          <cell r="AF558" t="str">
            <v>nezha_skill01</v>
          </cell>
          <cell r="AG558" t="str">
            <v>common_hit_zhongwuqi</v>
          </cell>
          <cell r="AH558" t="str">
            <v>[]</v>
          </cell>
          <cell r="AI558" t="str">
            <v>[]</v>
          </cell>
          <cell r="AJ558" t="str">
            <v>nezha_zhenping_01</v>
          </cell>
          <cell r="AK558" t="str">
            <v>[]</v>
          </cell>
          <cell r="AL558" t="str">
            <v>[]</v>
          </cell>
          <cell r="AM558" t="str">
            <v>[]</v>
          </cell>
          <cell r="AN558">
            <v>2</v>
          </cell>
          <cell r="AO558" t="str">
            <v>1</v>
          </cell>
          <cell r="AP558">
            <v>636</v>
          </cell>
          <cell r="AQ558">
            <v>636</v>
          </cell>
          <cell r="AR558" t="str">
            <v>[]</v>
          </cell>
          <cell r="AS558" t="str">
            <v>[]</v>
          </cell>
          <cell r="AT558" t="str">
            <v>2070</v>
          </cell>
          <cell r="AU558" t="str">
            <v>2070</v>
          </cell>
          <cell r="AV558" t="str">
            <v>哪吒</v>
          </cell>
          <cell r="AW558" t="str">
            <v>01</v>
          </cell>
          <cell r="AY558">
            <v>1</v>
          </cell>
          <cell r="BE558"/>
          <cell r="BF558"/>
        </row>
        <row r="559">
          <cell r="A559" t="str">
            <v>boss_nezha_skill02</v>
          </cell>
          <cell r="B559" t="str">
            <v>聚能长枪</v>
          </cell>
          <cell r="C559" t="str">
            <v>nezha_skill02</v>
          </cell>
          <cell r="D559" t="str">
            <v>[]</v>
          </cell>
          <cell r="E559">
            <v>2</v>
          </cell>
          <cell r="F559" t="str">
            <v>boss_warning_shanxing90</v>
          </cell>
          <cell r="G559" t="str">
            <v>哪吒技能2</v>
          </cell>
          <cell r="H559" t="str">
            <v>nezha_skill02</v>
          </cell>
          <cell r="I559" t="str">
            <v>[]</v>
          </cell>
          <cell r="J559">
            <v>1</v>
          </cell>
          <cell r="K559">
            <v>10</v>
          </cell>
          <cell r="L559" t="str">
            <v>[]</v>
          </cell>
          <cell r="M559">
            <v>2</v>
          </cell>
          <cell r="N559">
            <v>2</v>
          </cell>
          <cell r="O559">
            <v>1</v>
          </cell>
          <cell r="P559">
            <v>2</v>
          </cell>
          <cell r="Q559">
            <v>4</v>
          </cell>
          <cell r="R559" t="str">
            <v>2|1</v>
          </cell>
          <cell r="S559" t="str">
            <v>4|0.2</v>
          </cell>
          <cell r="T559">
            <v>1</v>
          </cell>
          <cell r="U559">
            <v>0</v>
          </cell>
          <cell r="V559">
            <v>0</v>
          </cell>
          <cell r="W559" t="str">
            <v>[]</v>
          </cell>
          <cell r="X559">
            <v>3</v>
          </cell>
          <cell r="Y559" t="str">
            <v>[]</v>
          </cell>
          <cell r="Z559" t="str">
            <v>0.198,1.479,0</v>
          </cell>
          <cell r="AA559">
            <v>0</v>
          </cell>
          <cell r="AB559" t="str">
            <v>10</v>
          </cell>
          <cell r="AC559" t="str">
            <v>[]</v>
          </cell>
          <cell r="AD559" t="str">
            <v>[]</v>
          </cell>
          <cell r="AE559" t="str">
            <v>nezha_skill02</v>
          </cell>
          <cell r="AF559" t="str">
            <v>nezha_attack_wq</v>
          </cell>
          <cell r="AG559" t="str">
            <v>common_hit_zhongwuqi</v>
          </cell>
          <cell r="AH559" t="str">
            <v>[]</v>
          </cell>
          <cell r="AI559" t="str">
            <v>[]</v>
          </cell>
          <cell r="AJ559" t="str">
            <v>nezha_zhenping_02</v>
          </cell>
          <cell r="AK559" t="str">
            <v>[]</v>
          </cell>
          <cell r="AL559" t="str">
            <v>[]</v>
          </cell>
          <cell r="AM559" t="str">
            <v>jiashangupT3N0.1</v>
          </cell>
          <cell r="AN559">
            <v>2</v>
          </cell>
          <cell r="AO559" t="str">
            <v>1</v>
          </cell>
          <cell r="AP559">
            <v>636</v>
          </cell>
          <cell r="AQ559">
            <v>636</v>
          </cell>
          <cell r="AR559" t="str">
            <v>[]</v>
          </cell>
          <cell r="AS559" t="str">
            <v>[]</v>
          </cell>
          <cell r="AT559" t="str">
            <v>2080</v>
          </cell>
          <cell r="AU559" t="str">
            <v>2080</v>
          </cell>
          <cell r="AV559" t="str">
            <v>哪吒</v>
          </cell>
          <cell r="AW559" t="str">
            <v>02</v>
          </cell>
          <cell r="AY559">
            <v>1</v>
          </cell>
          <cell r="BE559"/>
          <cell r="BF559"/>
        </row>
        <row r="560">
          <cell r="A560" t="str">
            <v>boss_nezha_skill04</v>
          </cell>
          <cell r="B560" t="str">
            <v>烈焰冲击</v>
          </cell>
          <cell r="C560" t="str">
            <v>nezha_skill04</v>
          </cell>
          <cell r="D560" t="str">
            <v>[]</v>
          </cell>
          <cell r="E560">
            <v>2</v>
          </cell>
          <cell r="F560" t="str">
            <v>boss_warning_juxing</v>
          </cell>
          <cell r="G560" t="str">
            <v>哪吒技能4</v>
          </cell>
          <cell r="H560" t="str">
            <v>nezha_skill04</v>
          </cell>
          <cell r="I560" t="str">
            <v>[]</v>
          </cell>
          <cell r="J560">
            <v>3</v>
          </cell>
          <cell r="K560">
            <v>10</v>
          </cell>
          <cell r="L560" t="str">
            <v>[]</v>
          </cell>
          <cell r="M560">
            <v>2</v>
          </cell>
          <cell r="N560">
            <v>2</v>
          </cell>
          <cell r="O560">
            <v>1</v>
          </cell>
          <cell r="P560">
            <v>2</v>
          </cell>
          <cell r="Q560">
            <v>4</v>
          </cell>
          <cell r="R560" t="str">
            <v>2|1</v>
          </cell>
          <cell r="S560" t="str">
            <v>1|8|6</v>
          </cell>
          <cell r="T560">
            <v>10</v>
          </cell>
          <cell r="U560">
            <v>0</v>
          </cell>
          <cell r="V560">
            <v>0</v>
          </cell>
          <cell r="W560" t="str">
            <v>[]</v>
          </cell>
          <cell r="X560">
            <v>3</v>
          </cell>
          <cell r="Y560" t="str">
            <v>[]</v>
          </cell>
          <cell r="Z560" t="str">
            <v>0,2.5,0</v>
          </cell>
          <cell r="AA560">
            <v>0</v>
          </cell>
          <cell r="AB560" t="str">
            <v>10</v>
          </cell>
          <cell r="AC560" t="str">
            <v>[]</v>
          </cell>
          <cell r="AD560" t="str">
            <v>[]</v>
          </cell>
          <cell r="AE560" t="str">
            <v>[]</v>
          </cell>
          <cell r="AF560" t="str">
            <v>nezha_skill04</v>
          </cell>
          <cell r="AG560" t="str">
            <v>common_hit_zhongwuqi</v>
          </cell>
          <cell r="AH560" t="str">
            <v>[]</v>
          </cell>
          <cell r="AI560" t="str">
            <v>[]</v>
          </cell>
          <cell r="AJ560" t="str">
            <v>[]</v>
          </cell>
          <cell r="AK560" t="str">
            <v>[]</v>
          </cell>
          <cell r="AL560" t="str">
            <v>[]</v>
          </cell>
          <cell r="AM560" t="str">
            <v>jiashangupT3N0.1</v>
          </cell>
          <cell r="AN560">
            <v>2</v>
          </cell>
          <cell r="AO560" t="str">
            <v>1</v>
          </cell>
          <cell r="AP560">
            <v>636</v>
          </cell>
          <cell r="AQ560">
            <v>636</v>
          </cell>
          <cell r="AR560" t="str">
            <v>[]</v>
          </cell>
          <cell r="AS560" t="str">
            <v>[]</v>
          </cell>
          <cell r="AT560" t="str">
            <v>2100</v>
          </cell>
          <cell r="AU560" t="str">
            <v>2100</v>
          </cell>
          <cell r="AV560" t="str">
            <v>哪吒</v>
          </cell>
          <cell r="AW560" t="str">
            <v>04</v>
          </cell>
          <cell r="AX560"/>
          <cell r="AY560">
            <v>1</v>
          </cell>
          <cell r="BE560"/>
          <cell r="BF560"/>
        </row>
        <row r="561">
          <cell r="A561" t="str">
            <v>boss_change_skill01</v>
          </cell>
          <cell r="B561" t="str">
            <v>流星坠月</v>
          </cell>
          <cell r="C561" t="str">
            <v>change_skill01</v>
          </cell>
          <cell r="D561" t="str">
            <v>[]</v>
          </cell>
          <cell r="E561">
            <v>0</v>
          </cell>
          <cell r="F561" t="str">
            <v>[]</v>
          </cell>
          <cell r="G561" t="str">
            <v>嫦娥核心技能</v>
          </cell>
          <cell r="H561" t="str">
            <v>change_skill01</v>
          </cell>
          <cell r="I561" t="str">
            <v>change_skill01</v>
          </cell>
          <cell r="J561">
            <v>0</v>
          </cell>
          <cell r="K561">
            <v>10</v>
          </cell>
          <cell r="L561" t="str">
            <v>1|3</v>
          </cell>
          <cell r="M561">
            <v>2</v>
          </cell>
          <cell r="N561">
            <v>2</v>
          </cell>
          <cell r="O561">
            <v>2</v>
          </cell>
          <cell r="P561">
            <v>5</v>
          </cell>
          <cell r="Q561">
            <v>12</v>
          </cell>
          <cell r="R561">
            <v>3</v>
          </cell>
          <cell r="S561" t="str">
            <v>2|10</v>
          </cell>
          <cell r="T561">
            <v>10</v>
          </cell>
          <cell r="U561">
            <v>0</v>
          </cell>
          <cell r="V561">
            <v>0</v>
          </cell>
          <cell r="W561" t="str">
            <v>[]</v>
          </cell>
          <cell r="X561">
            <v>0</v>
          </cell>
          <cell r="Y561" t="str">
            <v>[]</v>
          </cell>
          <cell r="Z561" t="str">
            <v>0,0,0</v>
          </cell>
          <cell r="AA561">
            <v>0</v>
          </cell>
          <cell r="AB561" t="str">
            <v>10</v>
          </cell>
          <cell r="AC561" t="str">
            <v>[]</v>
          </cell>
          <cell r="AD561" t="str">
            <v>[]</v>
          </cell>
          <cell r="AE561" t="str">
            <v>[]</v>
          </cell>
          <cell r="AF561" t="str">
            <v>change_skill01_q</v>
          </cell>
          <cell r="AG561" t="str">
            <v>respond_hp</v>
          </cell>
          <cell r="AH561" t="str">
            <v>[]</v>
          </cell>
          <cell r="AI561" t="str">
            <v>[]</v>
          </cell>
          <cell r="AJ561" t="str">
            <v>[]</v>
          </cell>
          <cell r="AK561" t="str">
            <v>[]</v>
          </cell>
          <cell r="AL561" t="str">
            <v>[]</v>
          </cell>
          <cell r="AM561" t="str">
            <v>huifuT3N0.4</v>
          </cell>
          <cell r="AN561">
            <v>2</v>
          </cell>
          <cell r="AO561" t="str">
            <v>1</v>
          </cell>
          <cell r="AP561" t="str">
            <v>[]</v>
          </cell>
          <cell r="AQ561">
            <v>622</v>
          </cell>
          <cell r="AR561" t="str">
            <v>[]</v>
          </cell>
          <cell r="AS561" t="str">
            <v>[]</v>
          </cell>
          <cell r="AT561" t="str">
            <v>2120</v>
          </cell>
          <cell r="AU561" t="str">
            <v>2120</v>
          </cell>
          <cell r="AV561" t="str">
            <v>嫦娥</v>
          </cell>
          <cell r="AW561" t="str">
            <v>01</v>
          </cell>
          <cell r="AY561">
            <v>1</v>
          </cell>
          <cell r="BE561"/>
          <cell r="BF561"/>
        </row>
        <row r="562">
          <cell r="A562" t="str">
            <v>boss_change_skill02</v>
          </cell>
          <cell r="B562" t="str">
            <v>月光祝福</v>
          </cell>
          <cell r="C562" t="str">
            <v>change_skill02</v>
          </cell>
          <cell r="D562" t="str">
            <v>[]</v>
          </cell>
          <cell r="E562">
            <v>0</v>
          </cell>
          <cell r="F562" t="str">
            <v>[]</v>
          </cell>
          <cell r="G562" t="str">
            <v>嫦娥技能2</v>
          </cell>
          <cell r="H562" t="str">
            <v>change_skill02</v>
          </cell>
          <cell r="I562" t="str">
            <v>[]</v>
          </cell>
          <cell r="J562">
            <v>1</v>
          </cell>
          <cell r="K562">
            <v>10</v>
          </cell>
          <cell r="L562" t="str">
            <v>[]</v>
          </cell>
          <cell r="M562">
            <v>2</v>
          </cell>
          <cell r="N562">
            <v>2</v>
          </cell>
          <cell r="O562">
            <v>1</v>
          </cell>
          <cell r="P562">
            <v>5</v>
          </cell>
          <cell r="Q562">
            <v>4</v>
          </cell>
          <cell r="R562">
            <v>3</v>
          </cell>
          <cell r="S562" t="str">
            <v>2|10</v>
          </cell>
          <cell r="T562">
            <v>10</v>
          </cell>
          <cell r="U562">
            <v>0</v>
          </cell>
          <cell r="V562">
            <v>0</v>
          </cell>
          <cell r="W562" t="str">
            <v>[]</v>
          </cell>
          <cell r="X562">
            <v>3</v>
          </cell>
          <cell r="Y562" t="str">
            <v>[]</v>
          </cell>
          <cell r="Z562" t="str">
            <v>0,0.8,0.2</v>
          </cell>
          <cell r="AA562">
            <v>0</v>
          </cell>
          <cell r="AB562" t="str">
            <v>10</v>
          </cell>
          <cell r="AC562" t="str">
            <v>[]</v>
          </cell>
          <cell r="AD562" t="str">
            <v>[]</v>
          </cell>
          <cell r="AE562" t="str">
            <v>[]</v>
          </cell>
          <cell r="AF562" t="str">
            <v>change_skill02</v>
          </cell>
          <cell r="AG562" t="str">
            <v>respond_hp</v>
          </cell>
          <cell r="AH562" t="str">
            <v>[]</v>
          </cell>
          <cell r="AI562" t="str">
            <v>[]</v>
          </cell>
          <cell r="AJ562" t="str">
            <v>[]</v>
          </cell>
          <cell r="AK562" t="str">
            <v>jinghuaTN1P1</v>
          </cell>
          <cell r="AL562" t="str">
            <v>[]</v>
          </cell>
          <cell r="AM562" t="str">
            <v>[]</v>
          </cell>
          <cell r="AN562">
            <v>2</v>
          </cell>
          <cell r="AO562" t="str">
            <v>1</v>
          </cell>
          <cell r="AP562">
            <v>622</v>
          </cell>
          <cell r="AQ562">
            <v>622</v>
          </cell>
          <cell r="AR562" t="str">
            <v>[]</v>
          </cell>
          <cell r="AS562" t="str">
            <v>[]</v>
          </cell>
          <cell r="AT562" t="str">
            <v>2130</v>
          </cell>
          <cell r="AU562" t="str">
            <v>2130</v>
          </cell>
          <cell r="AV562" t="str">
            <v>嫦娥</v>
          </cell>
          <cell r="AW562" t="str">
            <v>02</v>
          </cell>
          <cell r="AY562">
            <v>1</v>
          </cell>
          <cell r="BE562"/>
          <cell r="BF562"/>
        </row>
        <row r="563">
          <cell r="A563" t="str">
            <v>boss_change_skill04</v>
          </cell>
          <cell r="B563" t="str">
            <v>月刃之舞</v>
          </cell>
          <cell r="C563" t="str">
            <v>change_skill04</v>
          </cell>
          <cell r="D563" t="str">
            <v>[]</v>
          </cell>
          <cell r="E563" t="str">
            <v>2</v>
          </cell>
          <cell r="F563" t="str">
            <v>boss_warning_yuanxing</v>
          </cell>
          <cell r="G563" t="str">
            <v>嫦娥技能4</v>
          </cell>
          <cell r="H563" t="str">
            <v>change_skill04</v>
          </cell>
          <cell r="I563" t="str">
            <v>[]</v>
          </cell>
          <cell r="J563">
            <v>3</v>
          </cell>
          <cell r="K563">
            <v>10</v>
          </cell>
          <cell r="L563" t="str">
            <v>[]</v>
          </cell>
          <cell r="M563">
            <v>2</v>
          </cell>
          <cell r="N563">
            <v>2</v>
          </cell>
          <cell r="O563">
            <v>1</v>
          </cell>
          <cell r="P563">
            <v>5</v>
          </cell>
          <cell r="Q563">
            <v>4</v>
          </cell>
          <cell r="R563" t="str">
            <v>2|1</v>
          </cell>
          <cell r="S563" t="str">
            <v>1|1|2</v>
          </cell>
          <cell r="T563">
            <v>1</v>
          </cell>
          <cell r="U563">
            <v>1</v>
          </cell>
          <cell r="V563">
            <v>0</v>
          </cell>
          <cell r="W563" t="str">
            <v>[]</v>
          </cell>
          <cell r="X563">
            <v>3</v>
          </cell>
          <cell r="Y563" t="str">
            <v>[]</v>
          </cell>
          <cell r="Z563" t="str">
            <v>0,1,0</v>
          </cell>
          <cell r="AA563">
            <v>0</v>
          </cell>
          <cell r="AB563" t="str">
            <v>10</v>
          </cell>
          <cell r="AC563" t="str">
            <v>[]</v>
          </cell>
          <cell r="AD563" t="str">
            <v>[]</v>
          </cell>
          <cell r="AE563" t="str">
            <v>[]</v>
          </cell>
          <cell r="AF563" t="str">
            <v>change_skill04</v>
          </cell>
          <cell r="AG563" t="str">
            <v>respond_hp</v>
          </cell>
          <cell r="AH563" t="str">
            <v>[]</v>
          </cell>
          <cell r="AI563" t="str">
            <v>[]</v>
          </cell>
          <cell r="AJ563" t="str">
            <v>[]</v>
          </cell>
          <cell r="AK563" t="str">
            <v>[]</v>
          </cell>
          <cell r="AL563" t="str">
            <v>[]</v>
          </cell>
          <cell r="AM563" t="str">
            <v>huifuT3N0.25</v>
          </cell>
          <cell r="AN563">
            <v>2</v>
          </cell>
          <cell r="AO563" t="str">
            <v>1</v>
          </cell>
          <cell r="AP563" t="str">
            <v>[]</v>
          </cell>
          <cell r="AQ563">
            <v>622</v>
          </cell>
          <cell r="AR563" t="str">
            <v>[]</v>
          </cell>
          <cell r="AS563" t="str">
            <v>[]</v>
          </cell>
          <cell r="AT563" t="str">
            <v>2150</v>
          </cell>
          <cell r="AU563" t="str">
            <v>2150</v>
          </cell>
          <cell r="AV563" t="str">
            <v>嫦娥</v>
          </cell>
          <cell r="AW563" t="str">
            <v>04</v>
          </cell>
          <cell r="AX563"/>
          <cell r="AY563">
            <v>1</v>
          </cell>
          <cell r="BE563"/>
          <cell r="BF563"/>
        </row>
        <row r="564">
          <cell r="A564" t="str">
            <v>boss_niumowang_skill01</v>
          </cell>
          <cell r="B564" t="str">
            <v>扭转乾坤</v>
          </cell>
          <cell r="C564" t="str">
            <v>niumowang_skill01</v>
          </cell>
          <cell r="D564" t="str">
            <v>[]</v>
          </cell>
          <cell r="E564" t="str">
            <v>1</v>
          </cell>
          <cell r="F564" t="str">
            <v>boss_warning_yuanxing</v>
          </cell>
          <cell r="G564" t="str">
            <v>牛魔王核心技能</v>
          </cell>
          <cell r="H564" t="str">
            <v>niumowang_skill01</v>
          </cell>
          <cell r="I564" t="str">
            <v>niumowang_skill01</v>
          </cell>
          <cell r="J564">
            <v>0</v>
          </cell>
          <cell r="K564">
            <v>10</v>
          </cell>
          <cell r="L564" t="str">
            <v>1|12</v>
          </cell>
          <cell r="M564">
            <v>2</v>
          </cell>
          <cell r="N564">
            <v>2</v>
          </cell>
          <cell r="O564">
            <v>2</v>
          </cell>
          <cell r="P564">
            <v>2</v>
          </cell>
          <cell r="Q564">
            <v>12</v>
          </cell>
          <cell r="R564" t="str">
            <v>2|1</v>
          </cell>
          <cell r="S564" t="str">
            <v>2|10</v>
          </cell>
          <cell r="T564">
            <v>10</v>
          </cell>
          <cell r="U564">
            <v>0</v>
          </cell>
          <cell r="V564">
            <v>0</v>
          </cell>
          <cell r="W564" t="str">
            <v>[]</v>
          </cell>
          <cell r="X564">
            <v>0</v>
          </cell>
          <cell r="Y564" t="str">
            <v>[]</v>
          </cell>
          <cell r="Z564" t="str">
            <v>0,0,0</v>
          </cell>
          <cell r="AA564">
            <v>0</v>
          </cell>
          <cell r="AB564" t="str">
            <v>10</v>
          </cell>
          <cell r="AC564" t="str">
            <v>[]</v>
          </cell>
          <cell r="AD564" t="str">
            <v>[]</v>
          </cell>
          <cell r="AE564" t="str">
            <v>[]</v>
          </cell>
          <cell r="AF564" t="str">
            <v>niumowang_skill01</v>
          </cell>
          <cell r="AG564" t="str">
            <v>[]</v>
          </cell>
          <cell r="AH564" t="str">
            <v>[]</v>
          </cell>
          <cell r="AI564" t="str">
            <v>[]</v>
          </cell>
          <cell r="AJ564" t="str">
            <v>[]</v>
          </cell>
          <cell r="AK564" t="str">
            <v>[]</v>
          </cell>
          <cell r="AL564" t="str">
            <v>[]</v>
          </cell>
          <cell r="AM564" t="str">
            <v>zhuoshaoT6N0.1</v>
          </cell>
          <cell r="AN564">
            <v>2</v>
          </cell>
          <cell r="AO564" t="str">
            <v>1</v>
          </cell>
          <cell r="AP564">
            <v>636</v>
          </cell>
          <cell r="AQ564">
            <v>636</v>
          </cell>
          <cell r="AR564" t="str">
            <v>[]</v>
          </cell>
          <cell r="AS564" t="str">
            <v>[]</v>
          </cell>
          <cell r="AT564" t="str">
            <v>2170</v>
          </cell>
          <cell r="AU564" t="str">
            <v>2170</v>
          </cell>
          <cell r="AV564" t="str">
            <v>牛魔王</v>
          </cell>
          <cell r="AW564" t="str">
            <v>01</v>
          </cell>
          <cell r="AY564">
            <v>1</v>
          </cell>
          <cell r="BE564"/>
          <cell r="BF564"/>
        </row>
        <row r="565">
          <cell r="A565" t="str">
            <v>boss_niumowang_skill02</v>
          </cell>
          <cell r="B565" t="str">
            <v>地裂击</v>
          </cell>
          <cell r="C565" t="str">
            <v>niumowang_skill02</v>
          </cell>
          <cell r="D565" t="str">
            <v>[]</v>
          </cell>
          <cell r="E565">
            <v>2</v>
          </cell>
          <cell r="F565" t="str">
            <v>boss_warning_yuanxing</v>
          </cell>
          <cell r="G565" t="str">
            <v>牛魔王技能2</v>
          </cell>
          <cell r="H565" t="str">
            <v>niumowang_skill02</v>
          </cell>
          <cell r="I565" t="str">
            <v>[]</v>
          </cell>
          <cell r="J565">
            <v>1</v>
          </cell>
          <cell r="K565">
            <v>10</v>
          </cell>
          <cell r="L565" t="str">
            <v>[]</v>
          </cell>
          <cell r="M565">
            <v>2</v>
          </cell>
          <cell r="N565">
            <v>2</v>
          </cell>
          <cell r="O565">
            <v>1</v>
          </cell>
          <cell r="P565">
            <v>2</v>
          </cell>
          <cell r="Q565">
            <v>4</v>
          </cell>
          <cell r="R565" t="str">
            <v>2|1</v>
          </cell>
          <cell r="S565" t="str">
            <v>2|10</v>
          </cell>
          <cell r="T565">
            <v>10</v>
          </cell>
          <cell r="U565">
            <v>1</v>
          </cell>
          <cell r="V565">
            <v>0</v>
          </cell>
          <cell r="W565" t="str">
            <v>[]</v>
          </cell>
          <cell r="X565">
            <v>3</v>
          </cell>
          <cell r="Y565" t="str">
            <v>[]</v>
          </cell>
          <cell r="Z565" t="str">
            <v>0,2.0,0</v>
          </cell>
          <cell r="AA565">
            <v>0</v>
          </cell>
          <cell r="AB565" t="str">
            <v>10</v>
          </cell>
          <cell r="AC565" t="str">
            <v>[]</v>
          </cell>
          <cell r="AD565" t="str">
            <v>[]</v>
          </cell>
          <cell r="AE565" t="str">
            <v>[]</v>
          </cell>
          <cell r="AF565" t="str">
            <v>niumowang_skill02</v>
          </cell>
          <cell r="AG565" t="str">
            <v>common_hit_zhongwuqi</v>
          </cell>
          <cell r="AH565" t="str">
            <v>[]</v>
          </cell>
          <cell r="AI565" t="str">
            <v>[]</v>
          </cell>
          <cell r="AJ565" t="str">
            <v>niumowang_zhenping_02</v>
          </cell>
          <cell r="AK565" t="str">
            <v>yunxuanT1NP0.2</v>
          </cell>
          <cell r="AL565" t="str">
            <v>[]</v>
          </cell>
          <cell r="AM565" t="str">
            <v>[]</v>
          </cell>
          <cell r="AN565">
            <v>2</v>
          </cell>
          <cell r="AO565" t="str">
            <v>1</v>
          </cell>
          <cell r="AP565">
            <v>636</v>
          </cell>
          <cell r="AQ565">
            <v>636</v>
          </cell>
          <cell r="AR565" t="str">
            <v>[]</v>
          </cell>
          <cell r="AS565" t="str">
            <v>[]</v>
          </cell>
          <cell r="AT565" t="str">
            <v>2180</v>
          </cell>
          <cell r="AU565" t="str">
            <v>2180</v>
          </cell>
          <cell r="AV565" t="str">
            <v>牛魔王</v>
          </cell>
          <cell r="AW565" t="str">
            <v>02</v>
          </cell>
          <cell r="AY565">
            <v>1</v>
          </cell>
          <cell r="BE565"/>
          <cell r="BF565"/>
        </row>
        <row r="566">
          <cell r="A566" t="str">
            <v>boss_niumowang_skill04</v>
          </cell>
          <cell r="B566" t="str">
            <v>反击螺旋</v>
          </cell>
          <cell r="C566" t="str">
            <v>niumowang_skill04</v>
          </cell>
          <cell r="D566" t="str">
            <v>[]</v>
          </cell>
          <cell r="E566">
            <v>2</v>
          </cell>
          <cell r="F566" t="str">
            <v>boss_warning_yuanxing</v>
          </cell>
          <cell r="G566" t="str">
            <v>牛魔王技能4</v>
          </cell>
          <cell r="H566" t="str">
            <v>niumowang_skill04</v>
          </cell>
          <cell r="I566" t="str">
            <v>[]</v>
          </cell>
          <cell r="J566">
            <v>3</v>
          </cell>
          <cell r="K566">
            <v>10</v>
          </cell>
          <cell r="L566" t="str">
            <v>[]</v>
          </cell>
          <cell r="M566">
            <v>2</v>
          </cell>
          <cell r="N566">
            <v>2</v>
          </cell>
          <cell r="O566">
            <v>2</v>
          </cell>
          <cell r="P566">
            <v>2</v>
          </cell>
          <cell r="Q566">
            <v>4</v>
          </cell>
          <cell r="R566" t="str">
            <v>2|1</v>
          </cell>
          <cell r="S566" t="str">
            <v>2|10</v>
          </cell>
          <cell r="T566">
            <v>10</v>
          </cell>
          <cell r="U566">
            <v>1</v>
          </cell>
          <cell r="V566">
            <v>0</v>
          </cell>
          <cell r="W566" t="str">
            <v>[]</v>
          </cell>
          <cell r="X566">
            <v>3</v>
          </cell>
          <cell r="Y566" t="str">
            <v>[]</v>
          </cell>
          <cell r="Z566" t="str">
            <v>0,1.667,0</v>
          </cell>
          <cell r="AA566">
            <v>0</v>
          </cell>
          <cell r="AB566" t="str">
            <v>10</v>
          </cell>
          <cell r="AC566" t="str">
            <v>[]</v>
          </cell>
          <cell r="AD566" t="str">
            <v>[]</v>
          </cell>
          <cell r="AE566" t="str">
            <v>[]</v>
          </cell>
          <cell r="AF566" t="str">
            <v>niumowang_skill04</v>
          </cell>
          <cell r="AG566" t="str">
            <v>common_hit_zhongwuqi</v>
          </cell>
          <cell r="AH566" t="str">
            <v>[]</v>
          </cell>
          <cell r="AI566" t="str">
            <v>[]</v>
          </cell>
          <cell r="AJ566" t="str">
            <v>[]</v>
          </cell>
          <cell r="AK566" t="str">
            <v>[]</v>
          </cell>
          <cell r="AL566" t="str">
            <v>[]</v>
          </cell>
          <cell r="AM566" t="str">
            <v>jiashangupT3N0.1</v>
          </cell>
          <cell r="AN566">
            <v>2</v>
          </cell>
          <cell r="AO566" t="str">
            <v>1</v>
          </cell>
          <cell r="AP566">
            <v>636</v>
          </cell>
          <cell r="AQ566">
            <v>636</v>
          </cell>
          <cell r="AR566" t="str">
            <v>[]</v>
          </cell>
          <cell r="AS566" t="str">
            <v>[]</v>
          </cell>
          <cell r="AT566" t="str">
            <v>2200</v>
          </cell>
          <cell r="AU566" t="str">
            <v>2200</v>
          </cell>
          <cell r="AV566" t="str">
            <v>牛魔王</v>
          </cell>
          <cell r="AW566" t="str">
            <v>04</v>
          </cell>
          <cell r="AX566"/>
          <cell r="AY566">
            <v>1</v>
          </cell>
          <cell r="BE566"/>
          <cell r="BF566"/>
        </row>
        <row r="567">
          <cell r="A567" t="str">
            <v>boss_honghaier_skill01</v>
          </cell>
          <cell r="B567" t="str">
            <v>天降正义</v>
          </cell>
          <cell r="C567" t="str">
            <v>honghaier_skill01</v>
          </cell>
          <cell r="D567" t="str">
            <v>[]</v>
          </cell>
          <cell r="E567" t="str">
            <v>1</v>
          </cell>
          <cell r="F567" t="str">
            <v>boss_warning_yuanxing</v>
          </cell>
          <cell r="G567" t="str">
            <v>红孩儿核心技能</v>
          </cell>
          <cell r="H567" t="str">
            <v>honghaier_skill01</v>
          </cell>
          <cell r="I567" t="str">
            <v>honghaier_skill01</v>
          </cell>
          <cell r="J567">
            <v>0</v>
          </cell>
          <cell r="K567">
            <v>10</v>
          </cell>
          <cell r="L567" t="str">
            <v>1|10</v>
          </cell>
          <cell r="M567">
            <v>2</v>
          </cell>
          <cell r="N567">
            <v>2</v>
          </cell>
          <cell r="O567">
            <v>2</v>
          </cell>
          <cell r="P567">
            <v>2</v>
          </cell>
          <cell r="Q567">
            <v>12</v>
          </cell>
          <cell r="R567" t="str">
            <v>2|1</v>
          </cell>
          <cell r="S567" t="str">
            <v>1|10|6</v>
          </cell>
          <cell r="T567">
            <v>10</v>
          </cell>
          <cell r="U567">
            <v>0</v>
          </cell>
          <cell r="V567">
            <v>0</v>
          </cell>
          <cell r="W567" t="str">
            <v>[]</v>
          </cell>
          <cell r="X567">
            <v>0</v>
          </cell>
          <cell r="Y567" t="str">
            <v>[]</v>
          </cell>
          <cell r="Z567" t="str">
            <v>0,0,0</v>
          </cell>
          <cell r="AA567">
            <v>0</v>
          </cell>
          <cell r="AB567" t="str">
            <v>10</v>
          </cell>
          <cell r="AC567" t="str">
            <v>[]</v>
          </cell>
          <cell r="AD567" t="str">
            <v>[]</v>
          </cell>
          <cell r="AE567" t="str">
            <v>[]</v>
          </cell>
          <cell r="AF567" t="str">
            <v>honghaier_skill01,honghaier_skill01_f</v>
          </cell>
          <cell r="AG567" t="str">
            <v>common_hit_zhongwuqi</v>
          </cell>
          <cell r="AH567" t="str">
            <v>[]</v>
          </cell>
          <cell r="AI567" t="str">
            <v>[]</v>
          </cell>
          <cell r="AJ567" t="str">
            <v>honghaier_shock</v>
          </cell>
          <cell r="AK567" t="str">
            <v>yunxuanT1NP0.3</v>
          </cell>
          <cell r="AL567" t="str">
            <v>[]</v>
          </cell>
          <cell r="AM567" t="str">
            <v>[]</v>
          </cell>
          <cell r="AN567">
            <v>2</v>
          </cell>
          <cell r="AO567" t="str">
            <v>1</v>
          </cell>
          <cell r="AP567">
            <v>636</v>
          </cell>
          <cell r="AQ567">
            <v>636</v>
          </cell>
          <cell r="AR567" t="str">
            <v>[]</v>
          </cell>
          <cell r="AS567" t="str">
            <v>[]</v>
          </cell>
          <cell r="AT567" t="str">
            <v>2220</v>
          </cell>
          <cell r="AU567" t="str">
            <v>2220</v>
          </cell>
          <cell r="AV567" t="str">
            <v>红孩儿</v>
          </cell>
          <cell r="AW567" t="str">
            <v>01</v>
          </cell>
          <cell r="AY567">
            <v>1</v>
          </cell>
          <cell r="BE567"/>
          <cell r="BF567"/>
        </row>
        <row r="568">
          <cell r="A568" t="str">
            <v>boss_honghaier_skill02</v>
          </cell>
          <cell r="B568" t="str">
            <v>三昧真火</v>
          </cell>
          <cell r="C568" t="str">
            <v>honghaier_skill02</v>
          </cell>
          <cell r="D568" t="str">
            <v>[]</v>
          </cell>
          <cell r="E568">
            <v>2</v>
          </cell>
          <cell r="F568" t="str">
            <v>boss_warning_shanxing90</v>
          </cell>
          <cell r="G568" t="str">
            <v>红孩儿技能2</v>
          </cell>
          <cell r="H568" t="str">
            <v>honghaier_skill02</v>
          </cell>
          <cell r="I568" t="str">
            <v>[]</v>
          </cell>
          <cell r="J568">
            <v>1</v>
          </cell>
          <cell r="K568">
            <v>10</v>
          </cell>
          <cell r="L568" t="str">
            <v>[]</v>
          </cell>
          <cell r="M568">
            <v>2</v>
          </cell>
          <cell r="N568">
            <v>2</v>
          </cell>
          <cell r="O568">
            <v>1</v>
          </cell>
          <cell r="P568">
            <v>2</v>
          </cell>
          <cell r="Q568">
            <v>4</v>
          </cell>
          <cell r="R568" t="str">
            <v>2|1</v>
          </cell>
          <cell r="S568" t="str">
            <v>3|6|60</v>
          </cell>
          <cell r="T568">
            <v>10</v>
          </cell>
          <cell r="U568">
            <v>1</v>
          </cell>
          <cell r="V568">
            <v>0</v>
          </cell>
          <cell r="W568" t="str">
            <v>[]</v>
          </cell>
          <cell r="X568">
            <v>3</v>
          </cell>
          <cell r="Y568" t="str">
            <v>[]</v>
          </cell>
          <cell r="Z568" t="str">
            <v>0,1.5,0</v>
          </cell>
          <cell r="AA568">
            <v>0</v>
          </cell>
          <cell r="AB568" t="str">
            <v>10</v>
          </cell>
          <cell r="AC568" t="str">
            <v>[]</v>
          </cell>
          <cell r="AD568" t="str">
            <v>[]</v>
          </cell>
          <cell r="AE568" t="str">
            <v>[]</v>
          </cell>
          <cell r="AF568" t="str">
            <v>honghaier_skill02</v>
          </cell>
          <cell r="AG568" t="str">
            <v>common_hit_zhongwuqi</v>
          </cell>
          <cell r="AH568" t="str">
            <v>[]</v>
          </cell>
          <cell r="AI568" t="str">
            <v>[]</v>
          </cell>
          <cell r="AJ568" t="str">
            <v>[]</v>
          </cell>
          <cell r="AK568" t="str">
            <v>[]</v>
          </cell>
          <cell r="AL568" t="str">
            <v>[]</v>
          </cell>
          <cell r="AM568" t="str">
            <v>zhuoshaoT6N0.1</v>
          </cell>
          <cell r="AN568">
            <v>2</v>
          </cell>
          <cell r="AO568" t="str">
            <v>1</v>
          </cell>
          <cell r="AP568">
            <v>636</v>
          </cell>
          <cell r="AQ568">
            <v>636</v>
          </cell>
          <cell r="AR568" t="str">
            <v>[]</v>
          </cell>
          <cell r="AS568" t="str">
            <v>[]</v>
          </cell>
          <cell r="AT568" t="str">
            <v>2230</v>
          </cell>
          <cell r="AU568" t="str">
            <v>2230</v>
          </cell>
          <cell r="AV568" t="str">
            <v>红孩儿</v>
          </cell>
          <cell r="AW568" t="str">
            <v>02</v>
          </cell>
          <cell r="AY568">
            <v>1</v>
          </cell>
          <cell r="BE568"/>
          <cell r="BF568"/>
        </row>
        <row r="569">
          <cell r="A569" t="str">
            <v>boss_honghaier_skill04</v>
          </cell>
          <cell r="B569" t="str">
            <v>烈火三连</v>
          </cell>
          <cell r="C569" t="str">
            <v>honghaier_skill04</v>
          </cell>
          <cell r="D569" t="str">
            <v>[]</v>
          </cell>
          <cell r="E569" t="str">
            <v>2</v>
          </cell>
          <cell r="F569" t="str">
            <v>boss_warning_juxing</v>
          </cell>
          <cell r="G569" t="str">
            <v>红孩儿技能4</v>
          </cell>
          <cell r="H569" t="str">
            <v>honghaier_skill04</v>
          </cell>
          <cell r="I569" t="str">
            <v>[]</v>
          </cell>
          <cell r="J569">
            <v>3</v>
          </cell>
          <cell r="K569">
            <v>10</v>
          </cell>
          <cell r="L569" t="str">
            <v>[]</v>
          </cell>
          <cell r="M569">
            <v>2</v>
          </cell>
          <cell r="N569">
            <v>2</v>
          </cell>
          <cell r="O569">
            <v>1</v>
          </cell>
          <cell r="P569">
            <v>2</v>
          </cell>
          <cell r="Q569">
            <v>4</v>
          </cell>
          <cell r="R569" t="str">
            <v>2|1</v>
          </cell>
          <cell r="S569" t="str">
            <v>4|0.2</v>
          </cell>
          <cell r="T569">
            <v>1</v>
          </cell>
          <cell r="U569">
            <v>0</v>
          </cell>
          <cell r="V569">
            <v>0</v>
          </cell>
          <cell r="W569" t="str">
            <v>[]</v>
          </cell>
          <cell r="X569">
            <v>3</v>
          </cell>
          <cell r="Y569" t="str">
            <v>[]</v>
          </cell>
          <cell r="Z569" t="str">
            <v>0,2.7,0</v>
          </cell>
          <cell r="AA569">
            <v>0</v>
          </cell>
          <cell r="AB569" t="str">
            <v>10</v>
          </cell>
          <cell r="AC569" t="str">
            <v>[]</v>
          </cell>
          <cell r="AD569" t="str">
            <v>[]</v>
          </cell>
          <cell r="AE569" t="str">
            <v>[]</v>
          </cell>
          <cell r="AF569" t="str">
            <v>honghaier_skill04</v>
          </cell>
          <cell r="AG569" t="str">
            <v>common_hit_zhongwuqi</v>
          </cell>
          <cell r="AH569" t="str">
            <v>[]</v>
          </cell>
          <cell r="AI569" t="str">
            <v>[]</v>
          </cell>
          <cell r="AJ569" t="str">
            <v>[]</v>
          </cell>
          <cell r="AK569" t="str">
            <v>[]</v>
          </cell>
          <cell r="AL569" t="str">
            <v>[]</v>
          </cell>
          <cell r="AM569" t="str">
            <v>[]</v>
          </cell>
          <cell r="AN569">
            <v>2</v>
          </cell>
          <cell r="AO569" t="str">
            <v>1</v>
          </cell>
          <cell r="AP569">
            <v>636</v>
          </cell>
          <cell r="AQ569">
            <v>636</v>
          </cell>
          <cell r="AR569" t="str">
            <v>[]</v>
          </cell>
          <cell r="AS569" t="str">
            <v>[]</v>
          </cell>
          <cell r="AT569" t="str">
            <v>2250</v>
          </cell>
          <cell r="AU569" t="str">
            <v>2250</v>
          </cell>
          <cell r="AV569" t="str">
            <v>红孩儿</v>
          </cell>
          <cell r="AW569" t="str">
            <v>04</v>
          </cell>
          <cell r="AX569"/>
          <cell r="AY569">
            <v>1</v>
          </cell>
          <cell r="BE569"/>
          <cell r="BF569"/>
        </row>
        <row r="570">
          <cell r="A570" t="str">
            <v>boss_tieshangongzhu_skill01</v>
          </cell>
          <cell r="B570" t="str">
            <v>暴风掠音</v>
          </cell>
          <cell r="C570" t="str">
            <v>tieshangongzhu_skill01</v>
          </cell>
          <cell r="D570" t="str">
            <v>[]</v>
          </cell>
          <cell r="E570" t="str">
            <v>1</v>
          </cell>
          <cell r="F570" t="str">
            <v>boss_warning_yuanxing</v>
          </cell>
          <cell r="G570" t="str">
            <v>铁扇公主核心技能</v>
          </cell>
          <cell r="H570" t="str">
            <v>tieshangongzhu_skill01</v>
          </cell>
          <cell r="I570" t="str">
            <v>tieshangongzhu_skill01</v>
          </cell>
          <cell r="J570">
            <v>0</v>
          </cell>
          <cell r="K570">
            <v>1</v>
          </cell>
          <cell r="L570" t="str">
            <v>1|11</v>
          </cell>
          <cell r="M570">
            <v>2</v>
          </cell>
          <cell r="N570">
            <v>2</v>
          </cell>
          <cell r="O570">
            <v>2</v>
          </cell>
          <cell r="P570">
            <v>2</v>
          </cell>
          <cell r="Q570">
            <v>12</v>
          </cell>
          <cell r="R570" t="str">
            <v>2|1</v>
          </cell>
          <cell r="S570" t="str">
            <v>2|10</v>
          </cell>
          <cell r="T570">
            <v>10</v>
          </cell>
          <cell r="U570">
            <v>1</v>
          </cell>
          <cell r="V570">
            <v>0</v>
          </cell>
          <cell r="W570" t="str">
            <v>[]</v>
          </cell>
          <cell r="X570">
            <v>0</v>
          </cell>
          <cell r="Y570" t="str">
            <v>[]</v>
          </cell>
          <cell r="Z570" t="str">
            <v>0,0,0</v>
          </cell>
          <cell r="AA570">
            <v>0</v>
          </cell>
          <cell r="AB570" t="str">
            <v>10</v>
          </cell>
          <cell r="AC570" t="str">
            <v>[]</v>
          </cell>
          <cell r="AD570" t="str">
            <v>[]</v>
          </cell>
          <cell r="AE570" t="str">
            <v>[]</v>
          </cell>
          <cell r="AF570" t="str">
            <v>tieshangongzhu_skill01</v>
          </cell>
          <cell r="AG570" t="str">
            <v>common_hit_fashu</v>
          </cell>
          <cell r="AH570" t="str">
            <v>[]</v>
          </cell>
          <cell r="AI570" t="str">
            <v>[]</v>
          </cell>
          <cell r="AJ570" t="str">
            <v>[]</v>
          </cell>
          <cell r="AK570" t="str">
            <v>[]</v>
          </cell>
          <cell r="AL570" t="str">
            <v>[]</v>
          </cell>
          <cell r="AM570" t="str">
            <v>[]</v>
          </cell>
          <cell r="AN570">
            <v>2</v>
          </cell>
          <cell r="AO570" t="str">
            <v>1</v>
          </cell>
          <cell r="AP570">
            <v>636</v>
          </cell>
          <cell r="AQ570">
            <v>636</v>
          </cell>
          <cell r="AR570" t="str">
            <v>[]</v>
          </cell>
          <cell r="AS570" t="str">
            <v>[]</v>
          </cell>
          <cell r="AT570" t="str">
            <v>2270</v>
          </cell>
          <cell r="AU570" t="str">
            <v>2270</v>
          </cell>
          <cell r="AV570" t="str">
            <v>铁扇公主</v>
          </cell>
          <cell r="AW570" t="str">
            <v>01</v>
          </cell>
          <cell r="AY570">
            <v>1</v>
          </cell>
          <cell r="BE570"/>
          <cell r="BF570"/>
        </row>
        <row r="571">
          <cell r="A571" t="str">
            <v>boss_tieshangongzhu_skill02</v>
          </cell>
          <cell r="B571" t="str">
            <v>风雷涌动</v>
          </cell>
          <cell r="C571" t="str">
            <v>tieshangongzhu_skill02</v>
          </cell>
          <cell r="D571" t="str">
            <v>[]</v>
          </cell>
          <cell r="E571">
            <v>0</v>
          </cell>
          <cell r="F571" t="str">
            <v>[]</v>
          </cell>
          <cell r="G571" t="str">
            <v>铁扇公主技能2</v>
          </cell>
          <cell r="H571" t="str">
            <v>tieshangongzhu_skill02</v>
          </cell>
          <cell r="I571" t="str">
            <v>[]</v>
          </cell>
          <cell r="J571">
            <v>1</v>
          </cell>
          <cell r="K571">
            <v>1</v>
          </cell>
          <cell r="L571" t="str">
            <v>[]</v>
          </cell>
          <cell r="M571">
            <v>2</v>
          </cell>
          <cell r="N571">
            <v>2</v>
          </cell>
          <cell r="O571">
            <v>1</v>
          </cell>
          <cell r="P571">
            <v>2</v>
          </cell>
          <cell r="Q571">
            <v>12</v>
          </cell>
          <cell r="R571">
            <v>3</v>
          </cell>
          <cell r="S571" t="str">
            <v>2|10</v>
          </cell>
          <cell r="T571">
            <v>10</v>
          </cell>
          <cell r="U571">
            <v>0</v>
          </cell>
          <cell r="V571">
            <v>0</v>
          </cell>
          <cell r="W571" t="str">
            <v>[]</v>
          </cell>
          <cell r="X571">
            <v>3</v>
          </cell>
          <cell r="Y571" t="str">
            <v>[]</v>
          </cell>
          <cell r="Z571" t="str">
            <v>0,1.386,0.781</v>
          </cell>
          <cell r="AA571">
            <v>0</v>
          </cell>
          <cell r="AB571" t="str">
            <v>10</v>
          </cell>
          <cell r="AC571" t="str">
            <v>[]</v>
          </cell>
          <cell r="AD571" t="str">
            <v>[]</v>
          </cell>
          <cell r="AE571" t="str">
            <v>[]</v>
          </cell>
          <cell r="AF571" t="str">
            <v>tieshangongzhu_skill02</v>
          </cell>
          <cell r="AG571" t="str">
            <v>common_hit_fashu</v>
          </cell>
          <cell r="AH571" t="str">
            <v>[]</v>
          </cell>
          <cell r="AI571" t="str">
            <v>[]</v>
          </cell>
          <cell r="AJ571" t="str">
            <v>[]</v>
          </cell>
          <cell r="AK571" t="str">
            <v>[]</v>
          </cell>
          <cell r="AL571" t="str">
            <v>baojiupT3N0.1</v>
          </cell>
          <cell r="AM571" t="str">
            <v>[]</v>
          </cell>
          <cell r="AN571">
            <v>2</v>
          </cell>
          <cell r="AO571" t="str">
            <v>1</v>
          </cell>
          <cell r="AP571">
            <v>636</v>
          </cell>
          <cell r="AQ571" t="str">
            <v>[]</v>
          </cell>
          <cell r="AR571" t="str">
            <v>[]</v>
          </cell>
          <cell r="AS571" t="str">
            <v>[]</v>
          </cell>
          <cell r="AT571" t="str">
            <v>2280</v>
          </cell>
          <cell r="AU571" t="str">
            <v>2280</v>
          </cell>
          <cell r="AV571" t="str">
            <v>铁扇公主</v>
          </cell>
          <cell r="AW571" t="str">
            <v>02</v>
          </cell>
          <cell r="AY571">
            <v>1</v>
          </cell>
          <cell r="BE571"/>
          <cell r="BF571"/>
        </row>
        <row r="572">
          <cell r="A572" t="str">
            <v>boss_tieshangongzhu_skill04</v>
          </cell>
          <cell r="B572" t="str">
            <v>呼啸之风</v>
          </cell>
          <cell r="C572" t="str">
            <v>tieshangongzhu_skill04</v>
          </cell>
          <cell r="D572" t="str">
            <v>[]</v>
          </cell>
          <cell r="E572" t="str">
            <v>2</v>
          </cell>
          <cell r="F572" t="str">
            <v>boss_warning_juxing</v>
          </cell>
          <cell r="G572" t="str">
            <v>铁扇公主技能4</v>
          </cell>
          <cell r="H572" t="str">
            <v>tieshangongzhu_skill04</v>
          </cell>
          <cell r="I572" t="str">
            <v>[]</v>
          </cell>
          <cell r="J572">
            <v>3</v>
          </cell>
          <cell r="K572">
            <v>1</v>
          </cell>
          <cell r="L572" t="str">
            <v>[]</v>
          </cell>
          <cell r="M572">
            <v>2</v>
          </cell>
          <cell r="N572">
            <v>2</v>
          </cell>
          <cell r="O572">
            <v>1</v>
          </cell>
          <cell r="P572">
            <v>2</v>
          </cell>
          <cell r="Q572">
            <v>4</v>
          </cell>
          <cell r="R572" t="str">
            <v>2|1</v>
          </cell>
          <cell r="S572" t="str">
            <v>1|10|6</v>
          </cell>
          <cell r="T572">
            <v>10</v>
          </cell>
          <cell r="U572">
            <v>1</v>
          </cell>
          <cell r="V572">
            <v>0</v>
          </cell>
          <cell r="W572" t="str">
            <v>[]</v>
          </cell>
          <cell r="X572">
            <v>3</v>
          </cell>
          <cell r="Y572" t="str">
            <v>[]</v>
          </cell>
          <cell r="Z572" t="str">
            <v>0,0.792,0.875</v>
          </cell>
          <cell r="AA572">
            <v>0</v>
          </cell>
          <cell r="AB572" t="str">
            <v>10</v>
          </cell>
          <cell r="AC572" t="str">
            <v>[]</v>
          </cell>
          <cell r="AD572" t="str">
            <v>[]</v>
          </cell>
          <cell r="AE572" t="str">
            <v>[]</v>
          </cell>
          <cell r="AF572" t="str">
            <v>tieshangongzhu_skill04</v>
          </cell>
          <cell r="AG572" t="str">
            <v>common_hit_fashu</v>
          </cell>
          <cell r="AH572" t="str">
            <v>[]</v>
          </cell>
          <cell r="AI572" t="str">
            <v>[]</v>
          </cell>
          <cell r="AJ572" t="str">
            <v>[]</v>
          </cell>
          <cell r="AK572" t="str">
            <v>jifei0.3</v>
          </cell>
          <cell r="AL572" t="str">
            <v>baojiupT3N0.1</v>
          </cell>
          <cell r="AM572" t="str">
            <v>[]</v>
          </cell>
          <cell r="AN572">
            <v>2</v>
          </cell>
          <cell r="AO572" t="str">
            <v>1</v>
          </cell>
          <cell r="AP572">
            <v>636</v>
          </cell>
          <cell r="AQ572">
            <v>636</v>
          </cell>
          <cell r="AR572" t="str">
            <v>[]</v>
          </cell>
          <cell r="AS572" t="str">
            <v>[]</v>
          </cell>
          <cell r="AT572" t="str">
            <v>2300</v>
          </cell>
          <cell r="AU572" t="str">
            <v>2300</v>
          </cell>
          <cell r="AV572" t="str">
            <v>铁扇公主</v>
          </cell>
          <cell r="AW572" t="str">
            <v>04</v>
          </cell>
          <cell r="AX572"/>
          <cell r="AY572">
            <v>1</v>
          </cell>
          <cell r="BE572"/>
          <cell r="BF572"/>
        </row>
        <row r="573">
          <cell r="A573" t="str">
            <v>boss_zhubajie_skill01</v>
          </cell>
          <cell r="B573" t="str">
            <v>天蓬神威</v>
          </cell>
          <cell r="C573" t="str">
            <v>zhubajie_skill01</v>
          </cell>
          <cell r="D573" t="str">
            <v>[]</v>
          </cell>
          <cell r="E573">
            <v>0</v>
          </cell>
          <cell r="F573" t="str">
            <v>[]</v>
          </cell>
          <cell r="G573" t="str">
            <v>猪八戒核心技能</v>
          </cell>
          <cell r="H573" t="str">
            <v>zhubajie_skill01</v>
          </cell>
          <cell r="I573" t="str">
            <v>zhubajie_skill01</v>
          </cell>
          <cell r="J573">
            <v>0</v>
          </cell>
          <cell r="K573">
            <v>10</v>
          </cell>
          <cell r="L573" t="str">
            <v>1|20</v>
          </cell>
          <cell r="M573">
            <v>2</v>
          </cell>
          <cell r="N573">
            <v>2</v>
          </cell>
          <cell r="O573">
            <v>1</v>
          </cell>
          <cell r="P573">
            <v>4</v>
          </cell>
          <cell r="Q573">
            <v>12</v>
          </cell>
          <cell r="R573">
            <v>3</v>
          </cell>
          <cell r="S573">
            <v>5</v>
          </cell>
          <cell r="T573">
            <v>10</v>
          </cell>
          <cell r="U573">
            <v>0</v>
          </cell>
          <cell r="V573">
            <v>0</v>
          </cell>
          <cell r="W573" t="str">
            <v>[]</v>
          </cell>
          <cell r="X573">
            <v>0</v>
          </cell>
          <cell r="Y573" t="str">
            <v>[]</v>
          </cell>
          <cell r="Z573" t="str">
            <v>0,0,0</v>
          </cell>
          <cell r="AA573">
            <v>0</v>
          </cell>
          <cell r="AB573" t="str">
            <v>10</v>
          </cell>
          <cell r="AC573" t="str">
            <v>[]</v>
          </cell>
          <cell r="AD573" t="str">
            <v>[]</v>
          </cell>
          <cell r="AE573" t="str">
            <v>[]</v>
          </cell>
          <cell r="AF573" t="str">
            <v>zhubajie_skill01</v>
          </cell>
          <cell r="AG573" t="str">
            <v>[]</v>
          </cell>
          <cell r="AH573" t="str">
            <v>[]</v>
          </cell>
          <cell r="AI573" t="str">
            <v>[]</v>
          </cell>
          <cell r="AJ573" t="str">
            <v>[]</v>
          </cell>
          <cell r="AK573" t="str">
            <v>wudiT2NP0.4</v>
          </cell>
          <cell r="AL573" t="str">
            <v>[]</v>
          </cell>
          <cell r="AM573" t="str">
            <v>[]</v>
          </cell>
          <cell r="AN573">
            <v>2</v>
          </cell>
          <cell r="AO573" t="str">
            <v>1</v>
          </cell>
          <cell r="AP573" t="str">
            <v>[]</v>
          </cell>
          <cell r="AQ573" t="str">
            <v>[]</v>
          </cell>
          <cell r="AR573" t="str">
            <v>[]</v>
          </cell>
          <cell r="AS573" t="str">
            <v>[]</v>
          </cell>
          <cell r="AT573" t="str">
            <v>2320</v>
          </cell>
          <cell r="AU573" t="str">
            <v>2320</v>
          </cell>
          <cell r="AV573" t="str">
            <v>猪八戒</v>
          </cell>
          <cell r="AW573" t="str">
            <v>01</v>
          </cell>
          <cell r="AY573">
            <v>1</v>
          </cell>
          <cell r="BE573"/>
          <cell r="BF573"/>
        </row>
        <row r="574">
          <cell r="A574" t="str">
            <v>boss_zhubajie_skill02</v>
          </cell>
          <cell r="B574" t="str">
            <v>天神护体</v>
          </cell>
          <cell r="C574" t="str">
            <v>zhubajie_skill02</v>
          </cell>
          <cell r="D574" t="str">
            <v>[]</v>
          </cell>
          <cell r="E574">
            <v>0</v>
          </cell>
          <cell r="F574" t="str">
            <v>[]</v>
          </cell>
          <cell r="G574" t="str">
            <v>人生娃核心技能</v>
          </cell>
          <cell r="H574" t="str">
            <v>renshenwa_skill01</v>
          </cell>
          <cell r="I574" t="str">
            <v>renshenwa_skill01</v>
          </cell>
          <cell r="J574">
            <v>1</v>
          </cell>
          <cell r="K574">
            <v>10</v>
          </cell>
          <cell r="L574" t="str">
            <v>1|29</v>
          </cell>
          <cell r="M574">
            <v>2</v>
          </cell>
          <cell r="N574">
            <v>2</v>
          </cell>
          <cell r="O574">
            <v>2</v>
          </cell>
          <cell r="P574">
            <v>4</v>
          </cell>
          <cell r="Q574">
            <v>12</v>
          </cell>
          <cell r="R574">
            <v>3</v>
          </cell>
          <cell r="S574" t="str">
            <v>2|20</v>
          </cell>
          <cell r="T574">
            <v>10</v>
          </cell>
          <cell r="U574">
            <v>0</v>
          </cell>
          <cell r="V574">
            <v>0</v>
          </cell>
          <cell r="W574" t="str">
            <v>[]</v>
          </cell>
          <cell r="X574">
            <v>0</v>
          </cell>
          <cell r="Y574" t="str">
            <v>[]</v>
          </cell>
          <cell r="Z574" t="str">
            <v>0,0,1.667</v>
          </cell>
          <cell r="AA574">
            <v>0</v>
          </cell>
          <cell r="AB574" t="str">
            <v>10</v>
          </cell>
          <cell r="AC574" t="str">
            <v>[]</v>
          </cell>
          <cell r="AD574" t="str">
            <v>[]</v>
          </cell>
          <cell r="AE574" t="str">
            <v>[]</v>
          </cell>
          <cell r="AF574" t="str">
            <v>zhubajie_skill02_q</v>
          </cell>
          <cell r="AG574" t="str">
            <v>[]</v>
          </cell>
          <cell r="AH574" t="str">
            <v>[]</v>
          </cell>
          <cell r="AI574" t="str">
            <v>[]</v>
          </cell>
          <cell r="AJ574" t="str">
            <v>wudiT2NP0.4</v>
          </cell>
          <cell r="AK574" t="str">
            <v>[]</v>
          </cell>
          <cell r="AL574" t="str">
            <v>jianshangupT6N0.1</v>
          </cell>
          <cell r="AM574" t="str">
            <v>[]</v>
          </cell>
          <cell r="AN574">
            <v>2</v>
          </cell>
          <cell r="AO574" t="str">
            <v>1</v>
          </cell>
          <cell r="AP574" t="str">
            <v>[]</v>
          </cell>
          <cell r="AQ574" t="str">
            <v>[]</v>
          </cell>
          <cell r="AR574" t="str">
            <v>[]</v>
          </cell>
          <cell r="AS574" t="str">
            <v>[]</v>
          </cell>
          <cell r="AT574" t="str">
            <v>2330</v>
          </cell>
          <cell r="AU574" t="str">
            <v>2330</v>
          </cell>
          <cell r="AV574" t="str">
            <v>人生娃</v>
          </cell>
          <cell r="AW574" t="str">
            <v>02</v>
          </cell>
          <cell r="AY574">
            <v>1</v>
          </cell>
          <cell r="BE574"/>
          <cell r="BF574"/>
        </row>
        <row r="575">
          <cell r="A575" t="str">
            <v>boss_zhubajie_skill04</v>
          </cell>
          <cell r="B575" t="str">
            <v>天神震慑</v>
          </cell>
          <cell r="C575" t="str">
            <v>zhubajie_skill04</v>
          </cell>
          <cell r="D575" t="str">
            <v>[]</v>
          </cell>
          <cell r="E575">
            <v>2</v>
          </cell>
          <cell r="F575" t="str">
            <v>boss_warning_yuanxing</v>
          </cell>
          <cell r="G575" t="str">
            <v>猪八戒技能4</v>
          </cell>
          <cell r="H575" t="str">
            <v>zhubajie_skill04</v>
          </cell>
          <cell r="I575" t="str">
            <v>[]</v>
          </cell>
          <cell r="J575">
            <v>3</v>
          </cell>
          <cell r="K575">
            <v>10</v>
          </cell>
          <cell r="L575" t="str">
            <v>[]</v>
          </cell>
          <cell r="M575">
            <v>2</v>
          </cell>
          <cell r="N575">
            <v>2</v>
          </cell>
          <cell r="O575">
            <v>1</v>
          </cell>
          <cell r="P575">
            <v>2</v>
          </cell>
          <cell r="Q575">
            <v>4</v>
          </cell>
          <cell r="R575" t="str">
            <v>2|1</v>
          </cell>
          <cell r="S575" t="str">
            <v>2|10</v>
          </cell>
          <cell r="T575">
            <v>10</v>
          </cell>
          <cell r="U575">
            <v>0</v>
          </cell>
          <cell r="V575">
            <v>0</v>
          </cell>
          <cell r="W575" t="str">
            <v>[]</v>
          </cell>
          <cell r="X575">
            <v>3</v>
          </cell>
          <cell r="Y575" t="str">
            <v>[]</v>
          </cell>
          <cell r="Z575" t="str">
            <v>0,2.0,0</v>
          </cell>
          <cell r="AA575">
            <v>0</v>
          </cell>
          <cell r="AB575" t="str">
            <v>10</v>
          </cell>
          <cell r="AC575" t="str">
            <v>[]</v>
          </cell>
          <cell r="AD575" t="str">
            <v>[]</v>
          </cell>
          <cell r="AE575" t="str">
            <v>[]</v>
          </cell>
          <cell r="AF575" t="str">
            <v>zhubajie_skill04</v>
          </cell>
          <cell r="AG575" t="str">
            <v>zhubajie_hit</v>
          </cell>
          <cell r="AH575" t="str">
            <v>[]</v>
          </cell>
          <cell r="AI575" t="str">
            <v>[]</v>
          </cell>
          <cell r="AJ575" t="str">
            <v>[]</v>
          </cell>
          <cell r="AK575" t="str">
            <v>jifei0.3</v>
          </cell>
          <cell r="AL575" t="str">
            <v>[]</v>
          </cell>
          <cell r="AM575" t="str">
            <v>[]</v>
          </cell>
          <cell r="AN575">
            <v>2</v>
          </cell>
          <cell r="AO575" t="str">
            <v>1</v>
          </cell>
          <cell r="AP575">
            <v>636</v>
          </cell>
          <cell r="AQ575">
            <v>636</v>
          </cell>
          <cell r="AR575" t="str">
            <v>[]</v>
          </cell>
          <cell r="AS575" t="str">
            <v>[]</v>
          </cell>
          <cell r="AT575" t="str">
            <v>2350</v>
          </cell>
          <cell r="AU575" t="str">
            <v>2350</v>
          </cell>
          <cell r="AV575" t="str">
            <v>猪八戒</v>
          </cell>
          <cell r="AW575" t="str">
            <v>04</v>
          </cell>
          <cell r="AX575"/>
          <cell r="AY575">
            <v>1</v>
          </cell>
          <cell r="BE575"/>
          <cell r="BF575"/>
        </row>
        <row r="576">
          <cell r="A576" t="str">
            <v>boss_sunwukong_skill01</v>
          </cell>
          <cell r="B576" t="str">
            <v>大圣降临</v>
          </cell>
          <cell r="C576" t="str">
            <v>sunwukong_skill01</v>
          </cell>
          <cell r="D576" t="str">
            <v>[]</v>
          </cell>
          <cell r="E576">
            <v>0</v>
          </cell>
          <cell r="F576" t="str">
            <v>boss_warning_yuanxing</v>
          </cell>
          <cell r="G576" t="str">
            <v>孙悟空核心技能</v>
          </cell>
          <cell r="H576" t="str">
            <v>sunwukong_skill01</v>
          </cell>
          <cell r="I576" t="str">
            <v>sunwukong_skill01</v>
          </cell>
          <cell r="J576">
            <v>0</v>
          </cell>
          <cell r="K576">
            <v>1</v>
          </cell>
          <cell r="L576" t="str">
            <v>1|11</v>
          </cell>
          <cell r="M576">
            <v>2</v>
          </cell>
          <cell r="N576">
            <v>2</v>
          </cell>
          <cell r="O576">
            <v>1</v>
          </cell>
          <cell r="P576">
            <v>2</v>
          </cell>
          <cell r="Q576">
            <v>12</v>
          </cell>
          <cell r="R576" t="str">
            <v>2|1</v>
          </cell>
          <cell r="S576" t="str">
            <v>2|6</v>
          </cell>
          <cell r="T576">
            <v>10</v>
          </cell>
          <cell r="U576">
            <v>1</v>
          </cell>
          <cell r="V576">
            <v>0</v>
          </cell>
          <cell r="W576" t="str">
            <v>[]</v>
          </cell>
          <cell r="X576">
            <v>0</v>
          </cell>
          <cell r="Y576" t="str">
            <v>[]</v>
          </cell>
          <cell r="Z576" t="str">
            <v>0,0,0</v>
          </cell>
          <cell r="AA576">
            <v>0</v>
          </cell>
          <cell r="AB576" t="str">
            <v>10</v>
          </cell>
          <cell r="AC576" t="str">
            <v>[]</v>
          </cell>
          <cell r="AD576" t="str">
            <v>[]</v>
          </cell>
          <cell r="AE576" t="str">
            <v>sunwukong_skill01_atc</v>
          </cell>
          <cell r="AF576" t="str">
            <v>sunwukong_skill01_temp</v>
          </cell>
          <cell r="AG576" t="str">
            <v>sunwukong_hit</v>
          </cell>
          <cell r="AH576" t="str">
            <v>[]</v>
          </cell>
          <cell r="AI576" t="str">
            <v>[]</v>
          </cell>
          <cell r="AJ576" t="str">
            <v>shaheshang_zhenping</v>
          </cell>
          <cell r="AK576" t="str">
            <v>yunxuanT1NP0.2</v>
          </cell>
          <cell r="AL576" t="str">
            <v>[]</v>
          </cell>
          <cell r="AM576" t="str">
            <v>[]</v>
          </cell>
          <cell r="AN576">
            <v>2</v>
          </cell>
          <cell r="AO576" t="str">
            <v>1</v>
          </cell>
          <cell r="AP576">
            <v>636</v>
          </cell>
          <cell r="AQ576" t="str">
            <v>[]</v>
          </cell>
          <cell r="AR576" t="str">
            <v>[]</v>
          </cell>
          <cell r="AS576" t="str">
            <v>[]</v>
          </cell>
          <cell r="AT576" t="str">
            <v>2370</v>
          </cell>
          <cell r="AU576" t="str">
            <v>2371</v>
          </cell>
          <cell r="AV576" t="str">
            <v>孙悟空</v>
          </cell>
          <cell r="AW576" t="str">
            <v>01</v>
          </cell>
          <cell r="AY576">
            <v>1</v>
          </cell>
          <cell r="BE576"/>
          <cell r="BF576"/>
        </row>
        <row r="577">
          <cell r="A577" t="str">
            <v>boss_sunwukong_skill02</v>
          </cell>
          <cell r="B577" t="str">
            <v>无双一击</v>
          </cell>
          <cell r="C577" t="str">
            <v>sunwukong_skill02</v>
          </cell>
          <cell r="D577" t="str">
            <v>[]</v>
          </cell>
          <cell r="E577">
            <v>2</v>
          </cell>
          <cell r="F577" t="str">
            <v>boss_warning_yuanxing</v>
          </cell>
          <cell r="G577" t="str">
            <v>孙悟空技能1</v>
          </cell>
          <cell r="H577" t="str">
            <v>sunwukong_skill02</v>
          </cell>
          <cell r="I577" t="str">
            <v>[]</v>
          </cell>
          <cell r="J577">
            <v>1</v>
          </cell>
          <cell r="K577">
            <v>10</v>
          </cell>
          <cell r="L577" t="str">
            <v>[]</v>
          </cell>
          <cell r="M577">
            <v>2</v>
          </cell>
          <cell r="N577">
            <v>2</v>
          </cell>
          <cell r="O577">
            <v>1</v>
          </cell>
          <cell r="P577">
            <v>2</v>
          </cell>
          <cell r="Q577">
            <v>4</v>
          </cell>
          <cell r="R577" t="str">
            <v>2|1</v>
          </cell>
          <cell r="S577" t="str">
            <v>2|6</v>
          </cell>
          <cell r="T577">
            <v>10</v>
          </cell>
          <cell r="U577">
            <v>0</v>
          </cell>
          <cell r="V577">
            <v>0</v>
          </cell>
          <cell r="W577" t="str">
            <v>[]</v>
          </cell>
          <cell r="X577">
            <v>3</v>
          </cell>
          <cell r="Y577" t="str">
            <v>[]</v>
          </cell>
          <cell r="Z577" t="str">
            <v>0,2.0,0</v>
          </cell>
          <cell r="AA577">
            <v>0</v>
          </cell>
          <cell r="AB577" t="str">
            <v>10</v>
          </cell>
          <cell r="AC577" t="str">
            <v>[]</v>
          </cell>
          <cell r="AD577" t="str">
            <v>[]</v>
          </cell>
          <cell r="AE577" t="str">
            <v>[]</v>
          </cell>
          <cell r="AF577" t="str">
            <v>sunwukong_skill02</v>
          </cell>
          <cell r="AG577" t="str">
            <v>sunwukong_hit</v>
          </cell>
          <cell r="AH577" t="str">
            <v>[]</v>
          </cell>
          <cell r="AI577" t="str">
            <v>[]</v>
          </cell>
          <cell r="AJ577" t="str">
            <v>shaheshang_zhenping</v>
          </cell>
          <cell r="AK577" t="str">
            <v>[]</v>
          </cell>
          <cell r="AL577" t="str">
            <v>[]</v>
          </cell>
          <cell r="AM577" t="str">
            <v>jiashangupT3N0.1</v>
          </cell>
          <cell r="AN577">
            <v>2</v>
          </cell>
          <cell r="AO577" t="str">
            <v>1</v>
          </cell>
          <cell r="AP577">
            <v>636</v>
          </cell>
          <cell r="AQ577">
            <v>636</v>
          </cell>
          <cell r="AR577" t="str">
            <v>[]</v>
          </cell>
          <cell r="AS577" t="str">
            <v>[]</v>
          </cell>
          <cell r="AT577" t="str">
            <v>2380</v>
          </cell>
          <cell r="AU577" t="str">
            <v>2380</v>
          </cell>
          <cell r="AV577" t="str">
            <v>孙悟空</v>
          </cell>
          <cell r="AW577" t="str">
            <v>02</v>
          </cell>
          <cell r="AY577">
            <v>1</v>
          </cell>
          <cell r="BE577"/>
          <cell r="BF577"/>
        </row>
        <row r="578">
          <cell r="A578" t="str">
            <v>boss_sunwukong_skill04</v>
          </cell>
          <cell r="B578" t="str">
            <v>无双乱舞</v>
          </cell>
          <cell r="C578" t="str">
            <v>sunwukong_skill04</v>
          </cell>
          <cell r="D578" t="str">
            <v>[]</v>
          </cell>
          <cell r="E578">
            <v>2</v>
          </cell>
          <cell r="F578" t="str">
            <v>boss_warning_juxing</v>
          </cell>
          <cell r="G578" t="str">
            <v>孙悟空技能2</v>
          </cell>
          <cell r="H578" t="str">
            <v>sunwukong_skill04</v>
          </cell>
          <cell r="I578" t="str">
            <v>[]</v>
          </cell>
          <cell r="J578">
            <v>3</v>
          </cell>
          <cell r="K578">
            <v>10</v>
          </cell>
          <cell r="L578" t="str">
            <v>[]</v>
          </cell>
          <cell r="M578">
            <v>2</v>
          </cell>
          <cell r="N578">
            <v>2</v>
          </cell>
          <cell r="O578">
            <v>1</v>
          </cell>
          <cell r="P578">
            <v>2</v>
          </cell>
          <cell r="Q578">
            <v>4</v>
          </cell>
          <cell r="R578" t="str">
            <v>2|1</v>
          </cell>
          <cell r="S578" t="str">
            <v>1|10|6</v>
          </cell>
          <cell r="T578">
            <v>10</v>
          </cell>
          <cell r="U578">
            <v>0</v>
          </cell>
          <cell r="V578">
            <v>0</v>
          </cell>
          <cell r="W578" t="str">
            <v>[]</v>
          </cell>
          <cell r="X578">
            <v>3</v>
          </cell>
          <cell r="Y578" t="str">
            <v>[]</v>
          </cell>
          <cell r="Z578" t="str">
            <v>0,2.6,0</v>
          </cell>
          <cell r="AA578">
            <v>0</v>
          </cell>
          <cell r="AB578" t="str">
            <v>10</v>
          </cell>
          <cell r="AC578" t="str">
            <v>[]</v>
          </cell>
          <cell r="AD578" t="str">
            <v>[]</v>
          </cell>
          <cell r="AE578" t="str">
            <v>[]</v>
          </cell>
          <cell r="AF578" t="str">
            <v>sunwukong_skill04</v>
          </cell>
          <cell r="AG578" t="str">
            <v>sunwukong_hit</v>
          </cell>
          <cell r="AH578" t="str">
            <v>[]</v>
          </cell>
          <cell r="AI578" t="str">
            <v>[]</v>
          </cell>
          <cell r="AJ578" t="str">
            <v>[]</v>
          </cell>
          <cell r="AK578" t="str">
            <v>[]</v>
          </cell>
          <cell r="AL578" t="str">
            <v>buff_douzhanshengfo_bibao</v>
          </cell>
          <cell r="AM578" t="str">
            <v>zhuoshaoT6N0.1</v>
          </cell>
          <cell r="AN578">
            <v>2</v>
          </cell>
          <cell r="AO578" t="str">
            <v>1</v>
          </cell>
          <cell r="AP578">
            <v>636</v>
          </cell>
          <cell r="AQ578">
            <v>636</v>
          </cell>
          <cell r="AR578" t="str">
            <v>[]</v>
          </cell>
          <cell r="AS578" t="str">
            <v>[]</v>
          </cell>
          <cell r="AT578" t="str">
            <v>2400</v>
          </cell>
          <cell r="AU578" t="str">
            <v>2400</v>
          </cell>
          <cell r="AV578" t="str">
            <v>孙悟空</v>
          </cell>
          <cell r="AW578" t="str">
            <v>04</v>
          </cell>
          <cell r="AX578"/>
          <cell r="AY578">
            <v>1</v>
          </cell>
          <cell r="BE578"/>
          <cell r="BF578"/>
        </row>
        <row r="579">
          <cell r="A579" t="str">
            <v>boss_zixiaxianzi_skill01</v>
          </cell>
          <cell r="B579" t="str">
            <v>盖世英雄</v>
          </cell>
          <cell r="C579" t="str">
            <v>zixiaxianzi_skill01</v>
          </cell>
          <cell r="D579" t="str">
            <v>[]</v>
          </cell>
          <cell r="E579" t="str">
            <v>1</v>
          </cell>
          <cell r="F579" t="str">
            <v>boss_warning_yuanxing</v>
          </cell>
          <cell r="G579" t="str">
            <v>紫霞仙子核心技能</v>
          </cell>
          <cell r="H579" t="str">
            <v>zixiaxianzi_skill01</v>
          </cell>
          <cell r="I579" t="str">
            <v>zixiaxianzi_skill01</v>
          </cell>
          <cell r="J579">
            <v>0</v>
          </cell>
          <cell r="K579">
            <v>10</v>
          </cell>
          <cell r="L579" t="str">
            <v>1|21</v>
          </cell>
          <cell r="M579">
            <v>2</v>
          </cell>
          <cell r="N579">
            <v>2</v>
          </cell>
          <cell r="O579">
            <v>2</v>
          </cell>
          <cell r="P579">
            <v>2</v>
          </cell>
          <cell r="Q579">
            <v>12</v>
          </cell>
          <cell r="R579" t="str">
            <v>2|1</v>
          </cell>
          <cell r="S579" t="str">
            <v>2|10</v>
          </cell>
          <cell r="T579">
            <v>10</v>
          </cell>
          <cell r="U579">
            <v>1</v>
          </cell>
          <cell r="V579">
            <v>0</v>
          </cell>
          <cell r="W579" t="str">
            <v>2|2|1</v>
          </cell>
          <cell r="X579">
            <v>0</v>
          </cell>
          <cell r="Y579" t="str">
            <v>[]</v>
          </cell>
          <cell r="Z579" t="str">
            <v>0,0,0</v>
          </cell>
          <cell r="AA579">
            <v>0</v>
          </cell>
          <cell r="AB579" t="str">
            <v>10</v>
          </cell>
          <cell r="AC579" t="str">
            <v>[]</v>
          </cell>
          <cell r="AD579" t="str">
            <v>[]</v>
          </cell>
          <cell r="AE579" t="str">
            <v>[]</v>
          </cell>
          <cell r="AF579" t="str">
            <v>zixiaxianzi_skill01</v>
          </cell>
          <cell r="AG579" t="str">
            <v>common_hit_qinwuqi</v>
          </cell>
          <cell r="AH579" t="str">
            <v>[]</v>
          </cell>
          <cell r="AI579" t="str">
            <v>[]</v>
          </cell>
          <cell r="AJ579" t="str">
            <v>[]</v>
          </cell>
          <cell r="AK579" t="str">
            <v>[]</v>
          </cell>
          <cell r="AL579" t="str">
            <v>yishangT3N0.15</v>
          </cell>
          <cell r="AM579" t="str">
            <v>[]</v>
          </cell>
          <cell r="AN579">
            <v>2</v>
          </cell>
          <cell r="AO579" t="str">
            <v>1</v>
          </cell>
          <cell r="AP579">
            <v>636</v>
          </cell>
          <cell r="AQ579">
            <v>636</v>
          </cell>
          <cell r="AR579" t="str">
            <v>[]</v>
          </cell>
          <cell r="AS579" t="str">
            <v>[]</v>
          </cell>
          <cell r="AT579" t="str">
            <v>2420</v>
          </cell>
          <cell r="AU579" t="str">
            <v>2420</v>
          </cell>
          <cell r="AV579" t="str">
            <v>紫霞仙子</v>
          </cell>
          <cell r="AW579" t="str">
            <v>01</v>
          </cell>
          <cell r="AY579">
            <v>1</v>
          </cell>
          <cell r="BE579"/>
          <cell r="BF579"/>
        </row>
        <row r="580">
          <cell r="A580" t="str">
            <v>boss_zixiaxianzi_skill02</v>
          </cell>
          <cell r="B580" t="str">
            <v>紫霄之芒</v>
          </cell>
          <cell r="C580" t="str">
            <v>zixiaxianzi_skill02</v>
          </cell>
          <cell r="D580" t="str">
            <v>[]</v>
          </cell>
          <cell r="E580" t="str">
            <v>2</v>
          </cell>
          <cell r="F580" t="str">
            <v>boss_warning_yuanxing</v>
          </cell>
          <cell r="G580" t="str">
            <v>紫霞仙子技能2</v>
          </cell>
          <cell r="H580" t="str">
            <v>zixiaxianzi_skill02</v>
          </cell>
          <cell r="I580" t="str">
            <v>[]</v>
          </cell>
          <cell r="J580">
            <v>1</v>
          </cell>
          <cell r="K580">
            <v>10</v>
          </cell>
          <cell r="L580" t="str">
            <v>[]</v>
          </cell>
          <cell r="M580">
            <v>2</v>
          </cell>
          <cell r="N580">
            <v>2</v>
          </cell>
          <cell r="O580">
            <v>1</v>
          </cell>
          <cell r="P580">
            <v>2</v>
          </cell>
          <cell r="Q580">
            <v>4</v>
          </cell>
          <cell r="R580" t="str">
            <v>3|1</v>
          </cell>
          <cell r="S580" t="str">
            <v>2|10</v>
          </cell>
          <cell r="T580">
            <v>10</v>
          </cell>
          <cell r="U580">
            <v>1</v>
          </cell>
          <cell r="V580">
            <v>0</v>
          </cell>
          <cell r="W580" t="str">
            <v>[]</v>
          </cell>
          <cell r="X580">
            <v>3</v>
          </cell>
          <cell r="Y580" t="str">
            <v>[]</v>
          </cell>
          <cell r="Z580" t="str">
            <v>0,0.5,0</v>
          </cell>
          <cell r="AA580">
            <v>0</v>
          </cell>
          <cell r="AB580" t="str">
            <v>10</v>
          </cell>
          <cell r="AC580" t="str">
            <v>[]</v>
          </cell>
          <cell r="AD580" t="str">
            <v>[]</v>
          </cell>
          <cell r="AE580" t="str">
            <v>[]</v>
          </cell>
          <cell r="AF580" t="str">
            <v>zixiaxianzi_skill02_q</v>
          </cell>
          <cell r="AG580" t="str">
            <v>common_hit_qinwuqi</v>
          </cell>
          <cell r="AH580" t="str">
            <v>[]</v>
          </cell>
          <cell r="AI580" t="str">
            <v>[]</v>
          </cell>
          <cell r="AJ580" t="str">
            <v>[]</v>
          </cell>
          <cell r="AK580" t="str">
            <v>[]</v>
          </cell>
          <cell r="AL580" t="str">
            <v>[]</v>
          </cell>
          <cell r="AM580" t="str">
            <v>jiashangupT3N0.1</v>
          </cell>
          <cell r="AN580">
            <v>2</v>
          </cell>
          <cell r="AO580" t="str">
            <v>1</v>
          </cell>
          <cell r="AP580">
            <v>636</v>
          </cell>
          <cell r="AQ580" t="str">
            <v>[]</v>
          </cell>
          <cell r="AR580" t="str">
            <v>[]</v>
          </cell>
          <cell r="AS580" t="str">
            <v>[]</v>
          </cell>
          <cell r="AT580" t="str">
            <v>2430</v>
          </cell>
          <cell r="AU580" t="str">
            <v>2430</v>
          </cell>
          <cell r="AV580" t="str">
            <v>紫霞仙子</v>
          </cell>
          <cell r="AW580" t="str">
            <v>02</v>
          </cell>
          <cell r="AY580">
            <v>1</v>
          </cell>
          <cell r="BE580"/>
          <cell r="BF580"/>
        </row>
        <row r="581">
          <cell r="A581" t="str">
            <v>boss_zixiaxianzi_skill04</v>
          </cell>
          <cell r="B581" t="str">
            <v>惊鸿掠影</v>
          </cell>
          <cell r="C581" t="str">
            <v>zixiaxianzi_skill04</v>
          </cell>
          <cell r="D581" t="str">
            <v>[]</v>
          </cell>
          <cell r="E581">
            <v>2</v>
          </cell>
          <cell r="F581" t="str">
            <v>boss_warning_juxing</v>
          </cell>
          <cell r="G581" t="str">
            <v>紫霞仙子技能4</v>
          </cell>
          <cell r="H581" t="str">
            <v>zixiaxianzi_skill04</v>
          </cell>
          <cell r="I581" t="str">
            <v>[]</v>
          </cell>
          <cell r="J581">
            <v>3</v>
          </cell>
          <cell r="K581">
            <v>10</v>
          </cell>
          <cell r="L581" t="str">
            <v>[]</v>
          </cell>
          <cell r="M581">
            <v>2</v>
          </cell>
          <cell r="N581">
            <v>2</v>
          </cell>
          <cell r="O581">
            <v>1</v>
          </cell>
          <cell r="P581">
            <v>2</v>
          </cell>
          <cell r="Q581">
            <v>4</v>
          </cell>
          <cell r="R581" t="str">
            <v>2|1</v>
          </cell>
          <cell r="S581" t="str">
            <v>1|5|5</v>
          </cell>
          <cell r="T581">
            <v>1</v>
          </cell>
          <cell r="U581">
            <v>1</v>
          </cell>
          <cell r="V581">
            <v>0</v>
          </cell>
          <cell r="W581" t="str">
            <v>[]</v>
          </cell>
          <cell r="X581">
            <v>3</v>
          </cell>
          <cell r="Y581" t="str">
            <v>[]</v>
          </cell>
          <cell r="Z581" t="str">
            <v>0,2.667,0</v>
          </cell>
          <cell r="AA581">
            <v>0</v>
          </cell>
          <cell r="AB581" t="str">
            <v>10</v>
          </cell>
          <cell r="AC581" t="str">
            <v>[]</v>
          </cell>
          <cell r="AD581" t="str">
            <v>[]</v>
          </cell>
          <cell r="AE581" t="str">
            <v>[]</v>
          </cell>
          <cell r="AF581" t="str">
            <v>zixiaxianzi_skill04</v>
          </cell>
          <cell r="AG581" t="str">
            <v>common_hit_qinwuqi</v>
          </cell>
          <cell r="AH581" t="str">
            <v>[]</v>
          </cell>
          <cell r="AI581" t="str">
            <v>[]</v>
          </cell>
          <cell r="AJ581" t="str">
            <v>[]</v>
          </cell>
          <cell r="AK581" t="str">
            <v>[]</v>
          </cell>
          <cell r="AL581" t="str">
            <v>[]</v>
          </cell>
          <cell r="AM581" t="str">
            <v>zhuoshaoT6N0.1</v>
          </cell>
          <cell r="AN581">
            <v>2</v>
          </cell>
          <cell r="AO581" t="str">
            <v>1</v>
          </cell>
          <cell r="AP581">
            <v>636</v>
          </cell>
          <cell r="AQ581">
            <v>636</v>
          </cell>
          <cell r="AR581" t="str">
            <v>[]</v>
          </cell>
          <cell r="AS581" t="str">
            <v>[]</v>
          </cell>
          <cell r="AT581" t="str">
            <v>2450</v>
          </cell>
          <cell r="AU581" t="str">
            <v>2450</v>
          </cell>
          <cell r="AV581" t="str">
            <v>紫霞仙子</v>
          </cell>
          <cell r="AW581" t="str">
            <v>04</v>
          </cell>
          <cell r="AX581"/>
          <cell r="AY581">
            <v>1</v>
          </cell>
          <cell r="BE581"/>
          <cell r="BF581"/>
        </row>
        <row r="582">
          <cell r="A582" t="str">
            <v>boss_douzhanshengfo_skill01</v>
          </cell>
          <cell r="B582" t="str">
            <v>如意金箍棒</v>
          </cell>
          <cell r="C582" t="str">
            <v>douzhanshengfo_skill01</v>
          </cell>
          <cell r="D582" t="str">
            <v>[]</v>
          </cell>
          <cell r="E582" t="str">
            <v>2</v>
          </cell>
          <cell r="F582" t="str">
            <v>boss_warning_juxing</v>
          </cell>
          <cell r="G582" t="str">
            <v>斗战胜佛核心技能</v>
          </cell>
          <cell r="H582" t="str">
            <v>douzhanshengfo_skill01</v>
          </cell>
          <cell r="I582" t="str">
            <v>douzhanshengfo_skill01</v>
          </cell>
          <cell r="J582">
            <v>0</v>
          </cell>
          <cell r="K582">
            <v>10</v>
          </cell>
          <cell r="L582" t="str">
            <v>1|19</v>
          </cell>
          <cell r="M582">
            <v>2</v>
          </cell>
          <cell r="N582">
            <v>2</v>
          </cell>
          <cell r="O582">
            <v>2</v>
          </cell>
          <cell r="P582">
            <v>2</v>
          </cell>
          <cell r="Q582">
            <v>12</v>
          </cell>
          <cell r="R582" t="str">
            <v>2|1</v>
          </cell>
          <cell r="S582" t="str">
            <v>1|15|10</v>
          </cell>
          <cell r="T582">
            <v>10</v>
          </cell>
          <cell r="U582">
            <v>1</v>
          </cell>
          <cell r="V582">
            <v>0</v>
          </cell>
          <cell r="W582" t="str">
            <v>[]</v>
          </cell>
          <cell r="X582">
            <v>0</v>
          </cell>
          <cell r="Y582" t="str">
            <v>[]</v>
          </cell>
          <cell r="Z582" t="str">
            <v>0,0,0</v>
          </cell>
          <cell r="AA582">
            <v>0</v>
          </cell>
          <cell r="AB582" t="str">
            <v>10</v>
          </cell>
          <cell r="AC582" t="str">
            <v>[]</v>
          </cell>
          <cell r="AD582" t="str">
            <v>[]</v>
          </cell>
          <cell r="AE582" t="str">
            <v>[]</v>
          </cell>
          <cell r="AF582" t="str">
            <v>douzhanshengfo_skill01</v>
          </cell>
          <cell r="AG582" t="str">
            <v>common_hit_dunqi</v>
          </cell>
          <cell r="AH582" t="str">
            <v>[]</v>
          </cell>
          <cell r="AI582" t="str">
            <v>[]</v>
          </cell>
          <cell r="AJ582" t="str">
            <v>douzhanshengfo_skill01_shock</v>
          </cell>
          <cell r="AK582" t="str">
            <v>yunxuanT1NP0.2</v>
          </cell>
          <cell r="AL582" t="str">
            <v>[]</v>
          </cell>
          <cell r="AM582" t="str">
            <v>[]</v>
          </cell>
          <cell r="AN582">
            <v>2</v>
          </cell>
          <cell r="AO582" t="str">
            <v>1</v>
          </cell>
          <cell r="AP582">
            <v>636</v>
          </cell>
          <cell r="AQ582">
            <v>636</v>
          </cell>
          <cell r="AR582" t="str">
            <v>[]</v>
          </cell>
          <cell r="AS582" t="str">
            <v>[]</v>
          </cell>
          <cell r="AT582" t="str">
            <v>2470</v>
          </cell>
          <cell r="AU582" t="str">
            <v>2470</v>
          </cell>
          <cell r="AV582" t="str">
            <v>斗战胜佛</v>
          </cell>
          <cell r="AW582" t="str">
            <v>01</v>
          </cell>
          <cell r="AY582">
            <v>1</v>
          </cell>
          <cell r="BE582"/>
          <cell r="BF582"/>
        </row>
        <row r="583">
          <cell r="A583" t="str">
            <v>boss_douzhanshengfo_skill02</v>
          </cell>
          <cell r="B583" t="str">
            <v>封石棍</v>
          </cell>
          <cell r="C583" t="str">
            <v>douzhanshengfo_skill02</v>
          </cell>
          <cell r="D583" t="str">
            <v>[]</v>
          </cell>
          <cell r="E583">
            <v>2</v>
          </cell>
          <cell r="F583" t="str">
            <v>boss_warning_shanxing90</v>
          </cell>
          <cell r="G583" t="str">
            <v>斗战胜佛技能1</v>
          </cell>
          <cell r="H583" t="str">
            <v>douzhanshengfo_skill02</v>
          </cell>
          <cell r="I583" t="str">
            <v>[]</v>
          </cell>
          <cell r="J583">
            <v>1</v>
          </cell>
          <cell r="K583">
            <v>10</v>
          </cell>
          <cell r="L583" t="str">
            <v>[]</v>
          </cell>
          <cell r="M583">
            <v>2</v>
          </cell>
          <cell r="N583">
            <v>2</v>
          </cell>
          <cell r="O583">
            <v>1</v>
          </cell>
          <cell r="P583">
            <v>2</v>
          </cell>
          <cell r="Q583">
            <v>4</v>
          </cell>
          <cell r="R583" t="str">
            <v>2|1</v>
          </cell>
          <cell r="S583" t="str">
            <v>4|0.2</v>
          </cell>
          <cell r="T583">
            <v>10</v>
          </cell>
          <cell r="U583">
            <v>0</v>
          </cell>
          <cell r="V583">
            <v>0</v>
          </cell>
          <cell r="W583" t="str">
            <v>[]</v>
          </cell>
          <cell r="X583">
            <v>3</v>
          </cell>
          <cell r="Y583" t="str">
            <v>[]</v>
          </cell>
          <cell r="Z583" t="str">
            <v>0,1.8,0</v>
          </cell>
          <cell r="AA583">
            <v>0</v>
          </cell>
          <cell r="AB583" t="str">
            <v>10</v>
          </cell>
          <cell r="AC583" t="str">
            <v>[]</v>
          </cell>
          <cell r="AD583" t="str">
            <v>[]</v>
          </cell>
          <cell r="AE583" t="str">
            <v>[]</v>
          </cell>
          <cell r="AF583" t="str">
            <v>douzhanshengfo_skill02</v>
          </cell>
          <cell r="AG583" t="str">
            <v>[]</v>
          </cell>
          <cell r="AH583" t="str">
            <v>[]</v>
          </cell>
          <cell r="AI583" t="str">
            <v>[]</v>
          </cell>
          <cell r="AJ583" t="str">
            <v>[]</v>
          </cell>
          <cell r="AK583" t="str">
            <v>[]</v>
          </cell>
          <cell r="AL583" t="str">
            <v>[]</v>
          </cell>
          <cell r="AM583" t="str">
            <v>jiashangupT3N0.1</v>
          </cell>
          <cell r="AN583">
            <v>2</v>
          </cell>
          <cell r="AO583" t="str">
            <v>1</v>
          </cell>
          <cell r="AP583">
            <v>636</v>
          </cell>
          <cell r="AQ583">
            <v>636</v>
          </cell>
          <cell r="AR583" t="str">
            <v>[]</v>
          </cell>
          <cell r="AS583" t="str">
            <v>[]</v>
          </cell>
          <cell r="AT583" t="str">
            <v>2480</v>
          </cell>
          <cell r="AU583" t="str">
            <v>2480</v>
          </cell>
          <cell r="AV583" t="str">
            <v>斗战胜佛</v>
          </cell>
          <cell r="AW583" t="str">
            <v>02</v>
          </cell>
          <cell r="AY583">
            <v>1</v>
          </cell>
          <cell r="BE583"/>
          <cell r="BF583"/>
        </row>
        <row r="584">
          <cell r="A584" t="str">
            <v>boss_douzhanshengfo_skill04</v>
          </cell>
          <cell r="B584" t="str">
            <v>缩地成寸</v>
          </cell>
          <cell r="C584" t="str">
            <v>douzhanshengfo_skill04</v>
          </cell>
          <cell r="D584" t="str">
            <v>[]</v>
          </cell>
          <cell r="E584">
            <v>2</v>
          </cell>
          <cell r="F584" t="str">
            <v>boss_warning_yuanxing</v>
          </cell>
          <cell r="G584" t="str">
            <v>斗战胜佛技能2</v>
          </cell>
          <cell r="H584" t="str">
            <v>douzhanshengfo_skill04</v>
          </cell>
          <cell r="I584" t="str">
            <v>[]</v>
          </cell>
          <cell r="J584">
            <v>3</v>
          </cell>
          <cell r="K584">
            <v>10</v>
          </cell>
          <cell r="L584" t="str">
            <v>[]</v>
          </cell>
          <cell r="M584">
            <v>2</v>
          </cell>
          <cell r="N584">
            <v>2</v>
          </cell>
          <cell r="O584">
            <v>1</v>
          </cell>
          <cell r="P584">
            <v>2</v>
          </cell>
          <cell r="Q584">
            <v>4</v>
          </cell>
          <cell r="R584" t="str">
            <v>2|1</v>
          </cell>
          <cell r="S584" t="str">
            <v>2|15</v>
          </cell>
          <cell r="T584">
            <v>10</v>
          </cell>
          <cell r="U584">
            <v>0</v>
          </cell>
          <cell r="V584">
            <v>0</v>
          </cell>
          <cell r="W584" t="str">
            <v>[]</v>
          </cell>
          <cell r="X584">
            <v>0</v>
          </cell>
          <cell r="Y584" t="str">
            <v>[]</v>
          </cell>
          <cell r="Z584" t="str">
            <v>0,2.2,0</v>
          </cell>
          <cell r="AA584">
            <v>0</v>
          </cell>
          <cell r="AB584" t="str">
            <v>10</v>
          </cell>
          <cell r="AC584" t="str">
            <v>[]</v>
          </cell>
          <cell r="AD584" t="str">
            <v>[]</v>
          </cell>
          <cell r="AE584" t="str">
            <v>douzhanshengfo_skill04_wq</v>
          </cell>
          <cell r="AF584" t="str">
            <v>douzhanshengfo_skill04</v>
          </cell>
          <cell r="AG584" t="str">
            <v>common_hit_dunqi</v>
          </cell>
          <cell r="AH584" t="str">
            <v>[]</v>
          </cell>
          <cell r="AI584" t="str">
            <v>[]</v>
          </cell>
          <cell r="AJ584" t="str">
            <v>shock</v>
          </cell>
          <cell r="AK584" t="str">
            <v>[]</v>
          </cell>
          <cell r="AL584" t="str">
            <v>buff_douzhanshengfo_bibao</v>
          </cell>
          <cell r="AM584" t="str">
            <v>liuxueT6N0.1</v>
          </cell>
          <cell r="AN584">
            <v>2</v>
          </cell>
          <cell r="AO584" t="str">
            <v>1</v>
          </cell>
          <cell r="AP584">
            <v>636</v>
          </cell>
          <cell r="AQ584">
            <v>636</v>
          </cell>
          <cell r="AR584" t="str">
            <v>[]</v>
          </cell>
          <cell r="AS584" t="str">
            <v>[]</v>
          </cell>
          <cell r="AT584" t="str">
            <v>2500</v>
          </cell>
          <cell r="AU584" t="str">
            <v>2500</v>
          </cell>
          <cell r="AV584" t="str">
            <v>斗战胜佛</v>
          </cell>
          <cell r="AW584" t="str">
            <v>04</v>
          </cell>
          <cell r="AX584"/>
          <cell r="AY584">
            <v>1</v>
          </cell>
          <cell r="BE584"/>
          <cell r="BF584"/>
        </row>
        <row r="585">
          <cell r="A585" t="str">
            <v>boss_yuhuangdadi_skill01</v>
          </cell>
          <cell r="B585" t="str">
            <v>驱散神光</v>
          </cell>
          <cell r="C585" t="str">
            <v>yuhuangdadi_skill01</v>
          </cell>
          <cell r="D585" t="str">
            <v>[]</v>
          </cell>
          <cell r="E585" t="str">
            <v>2</v>
          </cell>
          <cell r="F585" t="str">
            <v>boss_warning_yuanxing</v>
          </cell>
          <cell r="G585" t="str">
            <v>玉皇大帝核心技能</v>
          </cell>
          <cell r="H585" t="str">
            <v>yuhuangdadi_skill01</v>
          </cell>
          <cell r="I585" t="str">
            <v>yuhuangdadi_skill01</v>
          </cell>
          <cell r="J585">
            <v>0</v>
          </cell>
          <cell r="K585">
            <v>10</v>
          </cell>
          <cell r="L585" t="str">
            <v>1|4</v>
          </cell>
          <cell r="M585">
            <v>2</v>
          </cell>
          <cell r="N585">
            <v>2</v>
          </cell>
          <cell r="O585">
            <v>1</v>
          </cell>
          <cell r="P585">
            <v>2</v>
          </cell>
          <cell r="Q585">
            <v>12</v>
          </cell>
          <cell r="R585" t="str">
            <v>2|1</v>
          </cell>
          <cell r="S585" t="str">
            <v>2|20</v>
          </cell>
          <cell r="T585">
            <v>10</v>
          </cell>
          <cell r="U585">
            <v>0</v>
          </cell>
          <cell r="V585">
            <v>0</v>
          </cell>
          <cell r="W585" t="str">
            <v>[]</v>
          </cell>
          <cell r="X585">
            <v>0</v>
          </cell>
          <cell r="Y585" t="str">
            <v>[]</v>
          </cell>
          <cell r="Z585" t="str">
            <v>0,0,0</v>
          </cell>
          <cell r="AA585">
            <v>0</v>
          </cell>
          <cell r="AB585" t="str">
            <v>10</v>
          </cell>
          <cell r="AC585" t="str">
            <v>[]</v>
          </cell>
          <cell r="AD585" t="str">
            <v>[]</v>
          </cell>
          <cell r="AE585" t="str">
            <v>[]</v>
          </cell>
          <cell r="AF585" t="str">
            <v>yuhuangdadi_skill01</v>
          </cell>
          <cell r="AG585" t="str">
            <v>common_hit_fashu</v>
          </cell>
          <cell r="AH585" t="str">
            <v>[]</v>
          </cell>
          <cell r="AI585" t="str">
            <v>[]</v>
          </cell>
          <cell r="AJ585" t="str">
            <v>[]</v>
          </cell>
          <cell r="AK585" t="str">
            <v>chengmoT2NP0.3</v>
          </cell>
          <cell r="AL585" t="str">
            <v>[]</v>
          </cell>
          <cell r="AM585" t="str">
            <v>[]</v>
          </cell>
          <cell r="AN585">
            <v>2</v>
          </cell>
          <cell r="AO585" t="str">
            <v>1</v>
          </cell>
          <cell r="AP585">
            <v>636</v>
          </cell>
          <cell r="AQ585">
            <v>636</v>
          </cell>
          <cell r="AR585" t="str">
            <v>[]</v>
          </cell>
          <cell r="AS585" t="str">
            <v>[]</v>
          </cell>
          <cell r="AT585" t="str">
            <v>3020</v>
          </cell>
          <cell r="AU585" t="str">
            <v>3020</v>
          </cell>
          <cell r="AV585" t="str">
            <v>玉皇大帝</v>
          </cell>
          <cell r="AW585" t="str">
            <v>01</v>
          </cell>
          <cell r="AY585">
            <v>1</v>
          </cell>
          <cell r="BE585"/>
          <cell r="BF585"/>
        </row>
        <row r="586">
          <cell r="A586" t="str">
            <v>boss_yuhuangdadi_skill02</v>
          </cell>
          <cell r="B586" t="str">
            <v>天下我心</v>
          </cell>
          <cell r="C586" t="str">
            <v>yuhuangdadi_skill02</v>
          </cell>
          <cell r="D586" t="str">
            <v>[]</v>
          </cell>
          <cell r="E586">
            <v>2</v>
          </cell>
          <cell r="F586" t="str">
            <v>boss_warning_yuanxing</v>
          </cell>
          <cell r="G586" t="str">
            <v>玉皇大帝AI技能1</v>
          </cell>
          <cell r="H586" t="str">
            <v>yuhuangdadi_skill02</v>
          </cell>
          <cell r="I586" t="str">
            <v>[]</v>
          </cell>
          <cell r="J586">
            <v>1</v>
          </cell>
          <cell r="K586">
            <v>10</v>
          </cell>
          <cell r="L586" t="str">
            <v>[]</v>
          </cell>
          <cell r="M586">
            <v>2</v>
          </cell>
          <cell r="N586">
            <v>2</v>
          </cell>
          <cell r="O586">
            <v>2</v>
          </cell>
          <cell r="P586">
            <v>2</v>
          </cell>
          <cell r="Q586">
            <v>4</v>
          </cell>
          <cell r="R586" t="str">
            <v>2|1</v>
          </cell>
          <cell r="S586" t="str">
            <v>2|10</v>
          </cell>
          <cell r="T586">
            <v>10</v>
          </cell>
          <cell r="U586">
            <v>1</v>
          </cell>
          <cell r="V586">
            <v>0</v>
          </cell>
          <cell r="W586" t="str">
            <v>[]</v>
          </cell>
          <cell r="X586">
            <v>3</v>
          </cell>
          <cell r="Y586" t="str">
            <v>[]</v>
          </cell>
          <cell r="Z586" t="str">
            <v>0,1.2,0.9</v>
          </cell>
          <cell r="AA586">
            <v>0</v>
          </cell>
          <cell r="AB586" t="str">
            <v>10</v>
          </cell>
          <cell r="AC586" t="str">
            <v>[]</v>
          </cell>
          <cell r="AD586" t="str">
            <v>[]</v>
          </cell>
          <cell r="AE586" t="str">
            <v>[]</v>
          </cell>
          <cell r="AF586" t="str">
            <v>yuhuangdadi_skill02</v>
          </cell>
          <cell r="AG586" t="str">
            <v>common_hit_fashu</v>
          </cell>
          <cell r="AH586" t="str">
            <v>[]</v>
          </cell>
          <cell r="AI586" t="str">
            <v>[]</v>
          </cell>
          <cell r="AJ586" t="str">
            <v>yuhuangdadi_zhenping</v>
          </cell>
          <cell r="AK586" t="str">
            <v>[]</v>
          </cell>
          <cell r="AL586" t="str">
            <v>[]</v>
          </cell>
          <cell r="AM586" t="str">
            <v>[]</v>
          </cell>
          <cell r="AN586">
            <v>2</v>
          </cell>
          <cell r="AO586" t="str">
            <v>1</v>
          </cell>
          <cell r="AP586">
            <v>636</v>
          </cell>
          <cell r="AQ586">
            <v>636</v>
          </cell>
          <cell r="AR586" t="str">
            <v>[]</v>
          </cell>
          <cell r="AS586" t="str">
            <v>[]</v>
          </cell>
          <cell r="AT586" t="str">
            <v>3030</v>
          </cell>
          <cell r="AU586" t="str">
            <v>3030</v>
          </cell>
          <cell r="AV586" t="str">
            <v>玉皇大帝</v>
          </cell>
          <cell r="AW586" t="str">
            <v>02</v>
          </cell>
          <cell r="AY586">
            <v>1</v>
          </cell>
          <cell r="BE586"/>
          <cell r="BF586"/>
        </row>
        <row r="587">
          <cell r="A587" t="str">
            <v>boss_yuhuangdadi_skill04</v>
          </cell>
          <cell r="B587" t="str">
            <v>神圣大地</v>
          </cell>
          <cell r="C587" t="str">
            <v>yuhuangdadi_skill04</v>
          </cell>
          <cell r="D587" t="str">
            <v>[]</v>
          </cell>
          <cell r="E587">
            <v>1</v>
          </cell>
          <cell r="F587" t="str">
            <v>boss_warning_yuanxing</v>
          </cell>
          <cell r="G587" t="str">
            <v>玉皇大帝技能2</v>
          </cell>
          <cell r="H587" t="str">
            <v>yuhuangdadi_skill04</v>
          </cell>
          <cell r="I587" t="str">
            <v>[]</v>
          </cell>
          <cell r="J587">
            <v>3</v>
          </cell>
          <cell r="K587">
            <v>10</v>
          </cell>
          <cell r="L587" t="str">
            <v>[]</v>
          </cell>
          <cell r="M587">
            <v>2</v>
          </cell>
          <cell r="N587">
            <v>2</v>
          </cell>
          <cell r="O587">
            <v>2</v>
          </cell>
          <cell r="P587">
            <v>2</v>
          </cell>
          <cell r="Q587">
            <v>12</v>
          </cell>
          <cell r="R587" t="str">
            <v>2|1</v>
          </cell>
          <cell r="S587" t="str">
            <v>2|10</v>
          </cell>
          <cell r="T587">
            <v>10</v>
          </cell>
          <cell r="U587">
            <v>0</v>
          </cell>
          <cell r="V587">
            <v>0</v>
          </cell>
          <cell r="W587" t="str">
            <v>[]</v>
          </cell>
          <cell r="X587">
            <v>3</v>
          </cell>
          <cell r="Y587" t="str">
            <v>[]</v>
          </cell>
          <cell r="Z587" t="str">
            <v>0,1.8,0.63</v>
          </cell>
          <cell r="AA587">
            <v>0</v>
          </cell>
          <cell r="AB587" t="str">
            <v>10</v>
          </cell>
          <cell r="AC587" t="str">
            <v>[]</v>
          </cell>
          <cell r="AD587" t="str">
            <v>[]</v>
          </cell>
          <cell r="AE587" t="str">
            <v>yuhuangdadi_skill04_q</v>
          </cell>
          <cell r="AF587" t="str">
            <v>yuhuangdadi_skill04</v>
          </cell>
          <cell r="AG587" t="str">
            <v>common_hit_fashu</v>
          </cell>
          <cell r="AH587" t="str">
            <v>[]</v>
          </cell>
          <cell r="AI587" t="str">
            <v>[]</v>
          </cell>
          <cell r="AJ587" t="str">
            <v>[]</v>
          </cell>
          <cell r="AK587" t="str">
            <v>[]</v>
          </cell>
          <cell r="AL587" t="str">
            <v>[]</v>
          </cell>
          <cell r="AM587" t="str">
            <v>baojidownT3N0.1</v>
          </cell>
          <cell r="AN587">
            <v>2</v>
          </cell>
          <cell r="AO587" t="str">
            <v>1</v>
          </cell>
          <cell r="AP587">
            <v>636</v>
          </cell>
          <cell r="AQ587">
            <v>636</v>
          </cell>
          <cell r="AR587" t="str">
            <v>[]</v>
          </cell>
          <cell r="AS587" t="str">
            <v>[]</v>
          </cell>
          <cell r="AT587" t="str">
            <v>3050</v>
          </cell>
          <cell r="AU587" t="str">
            <v>3050</v>
          </cell>
          <cell r="AV587" t="str">
            <v>玉皇大帝</v>
          </cell>
          <cell r="AW587" t="str">
            <v>04</v>
          </cell>
          <cell r="AX587"/>
          <cell r="AY587">
            <v>1</v>
          </cell>
          <cell r="BE587"/>
          <cell r="BF587"/>
        </row>
        <row r="588">
          <cell r="A588" t="str">
            <v>boss_wangmuniangniang_skill01</v>
          </cell>
          <cell r="B588" t="str">
            <v>地狱冥焰</v>
          </cell>
          <cell r="C588" t="str">
            <v>wangmuniangniang_skill01</v>
          </cell>
          <cell r="D588" t="str">
            <v>[]</v>
          </cell>
          <cell r="E588" t="str">
            <v>2</v>
          </cell>
          <cell r="F588" t="str">
            <v>boss_warning_yuanxing</v>
          </cell>
          <cell r="G588" t="str">
            <v>王母娘娘核心技能</v>
          </cell>
          <cell r="H588" t="str">
            <v>wangmuniangniang_skill01</v>
          </cell>
          <cell r="I588" t="str">
            <v>wangmuniangniang_skill01</v>
          </cell>
          <cell r="J588">
            <v>0</v>
          </cell>
          <cell r="K588">
            <v>1</v>
          </cell>
          <cell r="L588" t="str">
            <v>1|11</v>
          </cell>
          <cell r="M588">
            <v>2</v>
          </cell>
          <cell r="N588">
            <v>2</v>
          </cell>
          <cell r="O588">
            <v>2</v>
          </cell>
          <cell r="P588">
            <v>2</v>
          </cell>
          <cell r="Q588">
            <v>12</v>
          </cell>
          <cell r="R588" t="str">
            <v>2|1</v>
          </cell>
          <cell r="S588" t="str">
            <v>2|10</v>
          </cell>
          <cell r="T588">
            <v>10</v>
          </cell>
          <cell r="U588">
            <v>0</v>
          </cell>
          <cell r="V588">
            <v>0</v>
          </cell>
          <cell r="W588" t="str">
            <v>[]</v>
          </cell>
          <cell r="X588">
            <v>0</v>
          </cell>
          <cell r="Y588" t="str">
            <v>[]</v>
          </cell>
          <cell r="Z588" t="str">
            <v>0,0,0</v>
          </cell>
          <cell r="AA588">
            <v>0</v>
          </cell>
          <cell r="AB588" t="str">
            <v>10</v>
          </cell>
          <cell r="AC588" t="str">
            <v>[]</v>
          </cell>
          <cell r="AD588" t="str">
            <v>[]</v>
          </cell>
          <cell r="AE588" t="str">
            <v>[]</v>
          </cell>
          <cell r="AF588" t="str">
            <v>wangmuniangniang_skill01</v>
          </cell>
          <cell r="AG588" t="str">
            <v>common_hit_fashu</v>
          </cell>
          <cell r="AH588" t="str">
            <v>[]</v>
          </cell>
          <cell r="AI588" t="str">
            <v>[]</v>
          </cell>
          <cell r="AJ588" t="str">
            <v>[]</v>
          </cell>
          <cell r="AK588" t="str">
            <v>[]</v>
          </cell>
          <cell r="AL588" t="str">
            <v>yishangT3N0.15</v>
          </cell>
          <cell r="AM588" t="str">
            <v>[]</v>
          </cell>
          <cell r="AN588">
            <v>2</v>
          </cell>
          <cell r="AO588" t="str">
            <v>1</v>
          </cell>
          <cell r="AP588">
            <v>636</v>
          </cell>
          <cell r="AQ588">
            <v>636</v>
          </cell>
          <cell r="AR588" t="str">
            <v>[]</v>
          </cell>
          <cell r="AS588" t="str">
            <v>[]</v>
          </cell>
          <cell r="AT588" t="str">
            <v>3070</v>
          </cell>
          <cell r="AU588" t="str">
            <v>3070</v>
          </cell>
          <cell r="AV588" t="str">
            <v>王母娘娘</v>
          </cell>
          <cell r="AW588" t="str">
            <v>01</v>
          </cell>
          <cell r="AY588">
            <v>1</v>
          </cell>
          <cell r="BE588"/>
          <cell r="BF588"/>
        </row>
        <row r="589">
          <cell r="A589" t="str">
            <v>boss_wangmuniangniang_skill02</v>
          </cell>
          <cell r="B589" t="str">
            <v>圣洁烈焰</v>
          </cell>
          <cell r="C589" t="str">
            <v>wangmuniangniang_skill02</v>
          </cell>
          <cell r="D589" t="str">
            <v>[]</v>
          </cell>
          <cell r="E589">
            <v>1</v>
          </cell>
          <cell r="F589" t="str">
            <v>boss_warning_yuanxing</v>
          </cell>
          <cell r="G589" t="str">
            <v>王母娘娘技能2</v>
          </cell>
          <cell r="H589" t="str">
            <v>wangmuniangniang_skill02</v>
          </cell>
          <cell r="I589" t="str">
            <v>[]</v>
          </cell>
          <cell r="J589">
            <v>1</v>
          </cell>
          <cell r="K589">
            <v>1</v>
          </cell>
          <cell r="L589" t="str">
            <v>[]</v>
          </cell>
          <cell r="M589">
            <v>2</v>
          </cell>
          <cell r="N589">
            <v>2</v>
          </cell>
          <cell r="O589">
            <v>1</v>
          </cell>
          <cell r="P589">
            <v>2</v>
          </cell>
          <cell r="Q589">
            <v>12</v>
          </cell>
          <cell r="R589" t="str">
            <v>2|1</v>
          </cell>
          <cell r="S589" t="str">
            <v>2|10</v>
          </cell>
          <cell r="T589">
            <v>10</v>
          </cell>
          <cell r="U589">
            <v>0</v>
          </cell>
          <cell r="V589">
            <v>0</v>
          </cell>
          <cell r="W589" t="str">
            <v>[]</v>
          </cell>
          <cell r="X589">
            <v>3</v>
          </cell>
          <cell r="Y589" t="str">
            <v>[]</v>
          </cell>
          <cell r="Z589" t="str">
            <v>0,0.66,0.673</v>
          </cell>
          <cell r="AA589">
            <v>0</v>
          </cell>
          <cell r="AB589" t="str">
            <v>10</v>
          </cell>
          <cell r="AC589" t="str">
            <v>[]</v>
          </cell>
          <cell r="AD589" t="str">
            <v>[]</v>
          </cell>
          <cell r="AE589" t="str">
            <v>[]</v>
          </cell>
          <cell r="AF589" t="str">
            <v>wangmuniangniang_skill02</v>
          </cell>
          <cell r="AG589" t="str">
            <v>common_hit_fashu</v>
          </cell>
          <cell r="AH589" t="str">
            <v>[]</v>
          </cell>
          <cell r="AI589" t="str">
            <v>[]</v>
          </cell>
          <cell r="AJ589" t="str">
            <v>[]</v>
          </cell>
          <cell r="AK589" t="str">
            <v>[]</v>
          </cell>
          <cell r="AL589" t="str">
            <v>[]</v>
          </cell>
          <cell r="AM589" t="str">
            <v>jiashangupT3N0.1</v>
          </cell>
          <cell r="AN589">
            <v>2</v>
          </cell>
          <cell r="AO589" t="str">
            <v>1</v>
          </cell>
          <cell r="AP589">
            <v>636</v>
          </cell>
          <cell r="AQ589">
            <v>636</v>
          </cell>
          <cell r="AR589" t="str">
            <v>[]</v>
          </cell>
          <cell r="AS589" t="str">
            <v>[]</v>
          </cell>
          <cell r="AT589" t="str">
            <v>3080</v>
          </cell>
          <cell r="AU589" t="str">
            <v>3080</v>
          </cell>
          <cell r="AV589" t="str">
            <v>王母娘娘</v>
          </cell>
          <cell r="AW589" t="str">
            <v>02</v>
          </cell>
          <cell r="AY589">
            <v>1</v>
          </cell>
          <cell r="BE589"/>
          <cell r="BF589"/>
        </row>
        <row r="590">
          <cell r="A590" t="str">
            <v>boss_wangmuniangniang_skill04</v>
          </cell>
          <cell r="B590" t="str">
            <v>凤凰焚焰</v>
          </cell>
          <cell r="C590" t="str">
            <v>wangmuniangniang_skill04</v>
          </cell>
          <cell r="D590" t="str">
            <v>[]</v>
          </cell>
          <cell r="E590">
            <v>1</v>
          </cell>
          <cell r="F590" t="str">
            <v>boss_warning_yuanxing</v>
          </cell>
          <cell r="G590" t="str">
            <v>王母娘娘技能4</v>
          </cell>
          <cell r="H590" t="str">
            <v>wangmuniangniang_skill04</v>
          </cell>
          <cell r="I590" t="str">
            <v>[]</v>
          </cell>
          <cell r="J590">
            <v>3</v>
          </cell>
          <cell r="K590">
            <v>1</v>
          </cell>
          <cell r="L590" t="str">
            <v>[]</v>
          </cell>
          <cell r="M590">
            <v>2</v>
          </cell>
          <cell r="N590">
            <v>2</v>
          </cell>
          <cell r="O590">
            <v>2</v>
          </cell>
          <cell r="P590">
            <v>2</v>
          </cell>
          <cell r="Q590">
            <v>12</v>
          </cell>
          <cell r="R590" t="str">
            <v>2|1</v>
          </cell>
          <cell r="S590" t="str">
            <v>2|10</v>
          </cell>
          <cell r="T590">
            <v>10</v>
          </cell>
          <cell r="U590">
            <v>1</v>
          </cell>
          <cell r="V590">
            <v>0</v>
          </cell>
          <cell r="W590" t="str">
            <v>[]</v>
          </cell>
          <cell r="X590">
            <v>3</v>
          </cell>
          <cell r="Y590" t="str">
            <v>[]</v>
          </cell>
          <cell r="Z590" t="str">
            <v>0,0.891,0.776</v>
          </cell>
          <cell r="AA590">
            <v>0</v>
          </cell>
          <cell r="AB590" t="str">
            <v>10</v>
          </cell>
          <cell r="AC590" t="str">
            <v>[]</v>
          </cell>
          <cell r="AD590" t="str">
            <v>[]</v>
          </cell>
          <cell r="AE590" t="str">
            <v>[]</v>
          </cell>
          <cell r="AF590" t="str">
            <v>wangmuniangniang_skill04</v>
          </cell>
          <cell r="AG590" t="str">
            <v>common_hit_fashu</v>
          </cell>
          <cell r="AH590" t="str">
            <v>[]</v>
          </cell>
          <cell r="AI590" t="str">
            <v>[]</v>
          </cell>
          <cell r="AJ590" t="str">
            <v>[]</v>
          </cell>
          <cell r="AK590" t="str">
            <v>[]</v>
          </cell>
          <cell r="AL590" t="str">
            <v>[]</v>
          </cell>
          <cell r="AM590" t="str">
            <v>zhuoshaoT6N0.1</v>
          </cell>
          <cell r="AN590">
            <v>2</v>
          </cell>
          <cell r="AO590" t="str">
            <v>1</v>
          </cell>
          <cell r="AP590">
            <v>636</v>
          </cell>
          <cell r="AQ590">
            <v>636</v>
          </cell>
          <cell r="AR590" t="str">
            <v>[]</v>
          </cell>
          <cell r="AS590" t="str">
            <v>[]</v>
          </cell>
          <cell r="AT590" t="str">
            <v>3100</v>
          </cell>
          <cell r="AU590" t="str">
            <v>3100</v>
          </cell>
          <cell r="AV590" t="str">
            <v>王母娘娘</v>
          </cell>
          <cell r="AW590" t="str">
            <v>04</v>
          </cell>
          <cell r="AX590"/>
          <cell r="AY590">
            <v>1</v>
          </cell>
          <cell r="BE590"/>
          <cell r="BF590"/>
        </row>
        <row r="591">
          <cell r="A591" t="str">
            <v>boss_taibaijinxing_skill01</v>
          </cell>
          <cell r="B591" t="str">
            <v>紫薇仙法</v>
          </cell>
          <cell r="C591" t="str">
            <v>taibaijinxing_skill01</v>
          </cell>
          <cell r="D591" t="str">
            <v>[]</v>
          </cell>
          <cell r="E591">
            <v>2</v>
          </cell>
          <cell r="F591" t="str">
            <v>boss_warning_shanxing90</v>
          </cell>
          <cell r="G591" t="str">
            <v>太白金星核心技能</v>
          </cell>
          <cell r="H591" t="str">
            <v>taibaijinxing_skill01</v>
          </cell>
          <cell r="I591" t="str">
            <v>taibaijinxing_skill01</v>
          </cell>
          <cell r="J591">
            <v>0</v>
          </cell>
          <cell r="K591">
            <v>10</v>
          </cell>
          <cell r="L591" t="str">
            <v>1|6</v>
          </cell>
          <cell r="M591">
            <v>2</v>
          </cell>
          <cell r="N591">
            <v>2</v>
          </cell>
          <cell r="O591">
            <v>1</v>
          </cell>
          <cell r="P591">
            <v>2</v>
          </cell>
          <cell r="Q591">
            <v>12</v>
          </cell>
          <cell r="R591">
            <v>3</v>
          </cell>
          <cell r="S591">
            <v>5</v>
          </cell>
          <cell r="T591">
            <v>10</v>
          </cell>
          <cell r="U591">
            <v>0</v>
          </cell>
          <cell r="V591">
            <v>0</v>
          </cell>
          <cell r="W591" t="str">
            <v>[]</v>
          </cell>
          <cell r="X591">
            <v>0</v>
          </cell>
          <cell r="Y591" t="str">
            <v>[]</v>
          </cell>
          <cell r="Z591" t="str">
            <v>0,0,0</v>
          </cell>
          <cell r="AA591">
            <v>0</v>
          </cell>
          <cell r="AB591" t="str">
            <v>10</v>
          </cell>
          <cell r="AC591" t="str">
            <v>[]</v>
          </cell>
          <cell r="AD591" t="str">
            <v>[]</v>
          </cell>
          <cell r="AE591" t="str">
            <v>[]</v>
          </cell>
          <cell r="AF591" t="str">
            <v>taibaijinxing_effect1</v>
          </cell>
          <cell r="AG591" t="str">
            <v>[]</v>
          </cell>
          <cell r="AH591" t="str">
            <v>[]</v>
          </cell>
          <cell r="AI591" t="str">
            <v>[]</v>
          </cell>
          <cell r="AJ591" t="str">
            <v>[]</v>
          </cell>
          <cell r="AK591" t="str">
            <v>[]</v>
          </cell>
          <cell r="AL591" t="str">
            <v>[]</v>
          </cell>
          <cell r="AM591" t="str">
            <v>yishangT3N0.2,gongsuupT3N0.2</v>
          </cell>
          <cell r="AN591">
            <v>2</v>
          </cell>
          <cell r="AO591" t="str">
            <v>1</v>
          </cell>
          <cell r="AP591">
            <v>636</v>
          </cell>
          <cell r="AQ591">
            <v>636</v>
          </cell>
          <cell r="AR591" t="str">
            <v>[]</v>
          </cell>
          <cell r="AS591" t="str">
            <v>[]</v>
          </cell>
          <cell r="AT591" t="str">
            <v>3120</v>
          </cell>
          <cell r="AU591" t="str">
            <v>3120</v>
          </cell>
          <cell r="AV591" t="str">
            <v>太白金星</v>
          </cell>
          <cell r="AW591" t="str">
            <v>01</v>
          </cell>
          <cell r="AY591">
            <v>1</v>
          </cell>
          <cell r="BE591"/>
          <cell r="BF591"/>
        </row>
        <row r="592">
          <cell r="A592" t="str">
            <v>boss_taibaijinxing_skill02</v>
          </cell>
          <cell r="B592" t="str">
            <v>幻灭仙光</v>
          </cell>
          <cell r="C592" t="str">
            <v>taibaijinxing_skill02</v>
          </cell>
          <cell r="D592" t="str">
            <v>[]</v>
          </cell>
          <cell r="E592">
            <v>1</v>
          </cell>
          <cell r="F592" t="str">
            <v>boss_warning_yuanxing</v>
          </cell>
          <cell r="G592" t="str">
            <v>太白金星技能2</v>
          </cell>
          <cell r="H592" t="str">
            <v>taibaijinxing_skill02</v>
          </cell>
          <cell r="I592" t="str">
            <v>[]</v>
          </cell>
          <cell r="J592">
            <v>1</v>
          </cell>
          <cell r="K592">
            <v>10</v>
          </cell>
          <cell r="L592" t="str">
            <v>[]</v>
          </cell>
          <cell r="M592">
            <v>2</v>
          </cell>
          <cell r="N592">
            <v>2</v>
          </cell>
          <cell r="O592">
            <v>1</v>
          </cell>
          <cell r="P592">
            <v>2</v>
          </cell>
          <cell r="Q592">
            <v>12</v>
          </cell>
          <cell r="R592" t="str">
            <v>2|1</v>
          </cell>
          <cell r="S592" t="str">
            <v>4|0.2</v>
          </cell>
          <cell r="T592">
            <v>1</v>
          </cell>
          <cell r="U592">
            <v>1</v>
          </cell>
          <cell r="V592">
            <v>0</v>
          </cell>
          <cell r="W592" t="str">
            <v>[]</v>
          </cell>
          <cell r="X592">
            <v>3</v>
          </cell>
          <cell r="Y592" t="str">
            <v>[]</v>
          </cell>
          <cell r="Z592" t="str">
            <v>0,0.6,1.067</v>
          </cell>
          <cell r="AA592">
            <v>0</v>
          </cell>
          <cell r="AB592" t="str">
            <v>10</v>
          </cell>
          <cell r="AC592" t="str">
            <v>[]</v>
          </cell>
          <cell r="AD592" t="str">
            <v>[]</v>
          </cell>
          <cell r="AE592" t="str">
            <v>[]</v>
          </cell>
          <cell r="AF592" t="str">
            <v>taibaijinxing_effect2</v>
          </cell>
          <cell r="AG592" t="str">
            <v>common_hit_fashu</v>
          </cell>
          <cell r="AH592" t="str">
            <v>[]</v>
          </cell>
          <cell r="AI592" t="str">
            <v>[]</v>
          </cell>
          <cell r="AJ592" t="str">
            <v>[]</v>
          </cell>
          <cell r="AK592" t="str">
            <v>[]</v>
          </cell>
          <cell r="AL592" t="str">
            <v>[]</v>
          </cell>
          <cell r="AM592" t="str">
            <v>liuxueT6N0.1</v>
          </cell>
          <cell r="AN592">
            <v>2</v>
          </cell>
          <cell r="AO592" t="str">
            <v>1</v>
          </cell>
          <cell r="AP592">
            <v>636</v>
          </cell>
          <cell r="AQ592">
            <v>636</v>
          </cell>
          <cell r="AR592" t="str">
            <v>[]</v>
          </cell>
          <cell r="AS592" t="str">
            <v>[]</v>
          </cell>
          <cell r="AT592" t="str">
            <v>3130</v>
          </cell>
          <cell r="AU592" t="str">
            <v>3130</v>
          </cell>
          <cell r="AV592" t="str">
            <v>太白金星</v>
          </cell>
          <cell r="AW592" t="str">
            <v>02</v>
          </cell>
          <cell r="AY592">
            <v>1</v>
          </cell>
          <cell r="BE592"/>
          <cell r="BF592"/>
        </row>
        <row r="593">
          <cell r="A593" t="str">
            <v>boss_taibaijinxing_skill04</v>
          </cell>
          <cell r="B593" t="str">
            <v>星辰回击</v>
          </cell>
          <cell r="C593" t="str">
            <v>taibaijinxing_skill04</v>
          </cell>
          <cell r="D593" t="str">
            <v>[]</v>
          </cell>
          <cell r="E593" t="str">
            <v>2</v>
          </cell>
          <cell r="F593" t="str">
            <v>boss_warning_juxing</v>
          </cell>
          <cell r="G593" t="str">
            <v>太白金星技能4</v>
          </cell>
          <cell r="H593" t="str">
            <v>taibaijinxing_skill04</v>
          </cell>
          <cell r="I593" t="str">
            <v>[]</v>
          </cell>
          <cell r="J593">
            <v>3</v>
          </cell>
          <cell r="K593">
            <v>10</v>
          </cell>
          <cell r="L593" t="str">
            <v>[]</v>
          </cell>
          <cell r="M593">
            <v>2</v>
          </cell>
          <cell r="N593">
            <v>2</v>
          </cell>
          <cell r="O593">
            <v>1</v>
          </cell>
          <cell r="P593">
            <v>2</v>
          </cell>
          <cell r="Q593">
            <v>4</v>
          </cell>
          <cell r="R593" t="str">
            <v>2|1</v>
          </cell>
          <cell r="S593" t="str">
            <v>4|0.2</v>
          </cell>
          <cell r="T593">
            <v>1</v>
          </cell>
          <cell r="U593">
            <v>1</v>
          </cell>
          <cell r="V593">
            <v>0</v>
          </cell>
          <cell r="W593" t="str">
            <v>[]</v>
          </cell>
          <cell r="X593">
            <v>3</v>
          </cell>
          <cell r="Y593" t="str">
            <v>[]</v>
          </cell>
          <cell r="Z593" t="str">
            <v>0,1.667,0</v>
          </cell>
          <cell r="AA593">
            <v>0</v>
          </cell>
          <cell r="AB593" t="str">
            <v>10</v>
          </cell>
          <cell r="AC593" t="str">
            <v>[]</v>
          </cell>
          <cell r="AD593" t="str">
            <v>[]</v>
          </cell>
          <cell r="AE593" t="str">
            <v>taibaijinxing_effect4_q</v>
          </cell>
          <cell r="AF593" t="str">
            <v>taibaijinxing_effect4</v>
          </cell>
          <cell r="AG593" t="str">
            <v>taibaijinxing_effect4_b</v>
          </cell>
          <cell r="AH593" t="str">
            <v>[]</v>
          </cell>
          <cell r="AI593" t="str">
            <v>[]</v>
          </cell>
          <cell r="AJ593" t="str">
            <v>[]</v>
          </cell>
          <cell r="AK593" t="str">
            <v>bingdongT1NP0.4</v>
          </cell>
          <cell r="AL593" t="str">
            <v>[]</v>
          </cell>
          <cell r="AM593" t="str">
            <v>[]</v>
          </cell>
          <cell r="AN593">
            <v>2</v>
          </cell>
          <cell r="AO593" t="str">
            <v>1</v>
          </cell>
          <cell r="AP593">
            <v>636</v>
          </cell>
          <cell r="AQ593">
            <v>636</v>
          </cell>
          <cell r="AR593" t="str">
            <v>[]</v>
          </cell>
          <cell r="AS593" t="str">
            <v>[]</v>
          </cell>
          <cell r="AT593" t="str">
            <v>3150</v>
          </cell>
          <cell r="AU593" t="str">
            <v>3150</v>
          </cell>
          <cell r="AV593" t="str">
            <v>太白金星</v>
          </cell>
          <cell r="AW593" t="str">
            <v>04</v>
          </cell>
          <cell r="AX593"/>
          <cell r="AY593">
            <v>1</v>
          </cell>
          <cell r="BE593"/>
          <cell r="BF593"/>
        </row>
        <row r="594">
          <cell r="A594" t="str">
            <v>boss_chijiaodaxian_skill01</v>
          </cell>
          <cell r="B594" t="str">
            <v>爆裂双斧</v>
          </cell>
          <cell r="C594" t="str">
            <v>chijiaodaxian_skill01</v>
          </cell>
          <cell r="D594" t="str">
            <v>[]</v>
          </cell>
          <cell r="E594" t="str">
            <v>2</v>
          </cell>
          <cell r="F594" t="str">
            <v>boss_warning_juxing</v>
          </cell>
          <cell r="G594" t="str">
            <v>赤脚大仙核心技能</v>
          </cell>
          <cell r="H594" t="str">
            <v>chijiaodaxian_skill01</v>
          </cell>
          <cell r="I594" t="str">
            <v>chijiaodaxian_skill01</v>
          </cell>
          <cell r="J594">
            <v>0</v>
          </cell>
          <cell r="K594">
            <v>10</v>
          </cell>
          <cell r="L594" t="str">
            <v>1|7</v>
          </cell>
          <cell r="M594">
            <v>2</v>
          </cell>
          <cell r="N594">
            <v>2</v>
          </cell>
          <cell r="O594">
            <v>1</v>
          </cell>
          <cell r="P594">
            <v>2</v>
          </cell>
          <cell r="Q594">
            <v>7</v>
          </cell>
          <cell r="R594" t="str">
            <v>2|1</v>
          </cell>
          <cell r="S594" t="str">
            <v>1|10|6</v>
          </cell>
          <cell r="T594">
            <v>10</v>
          </cell>
          <cell r="U594">
            <v>1</v>
          </cell>
          <cell r="V594">
            <v>0</v>
          </cell>
          <cell r="W594" t="str">
            <v>[]</v>
          </cell>
          <cell r="X594">
            <v>0</v>
          </cell>
          <cell r="Y594" t="str">
            <v>[]</v>
          </cell>
          <cell r="Z594" t="str">
            <v>0,0,0</v>
          </cell>
          <cell r="AA594">
            <v>0</v>
          </cell>
          <cell r="AB594" t="str">
            <v>10</v>
          </cell>
          <cell r="AC594" t="str">
            <v>[]</v>
          </cell>
          <cell r="AD594" t="str">
            <v>[]</v>
          </cell>
          <cell r="AE594" t="str">
            <v>[]</v>
          </cell>
          <cell r="AF594" t="str">
            <v>chijiaodaxian_skill01</v>
          </cell>
          <cell r="AG594" t="str">
            <v>common_hit_zhongwuqi</v>
          </cell>
          <cell r="AH594" t="str">
            <v>[]</v>
          </cell>
          <cell r="AI594" t="str">
            <v>[]</v>
          </cell>
          <cell r="AJ594" t="str">
            <v>[]</v>
          </cell>
          <cell r="AK594" t="str">
            <v>[]</v>
          </cell>
          <cell r="AL594" t="str">
            <v>[]</v>
          </cell>
          <cell r="AM594" t="str">
            <v>mingzhongdownT3N0.2</v>
          </cell>
          <cell r="AN594">
            <v>2</v>
          </cell>
          <cell r="AO594" t="str">
            <v>1</v>
          </cell>
          <cell r="AP594">
            <v>636</v>
          </cell>
          <cell r="AQ594">
            <v>636</v>
          </cell>
          <cell r="AR594" t="str">
            <v>[]</v>
          </cell>
          <cell r="AS594" t="str">
            <v>[]</v>
          </cell>
          <cell r="AT594" t="str">
            <v>3170</v>
          </cell>
          <cell r="AU594" t="str">
            <v>3170</v>
          </cell>
          <cell r="AV594" t="str">
            <v>赤脚大仙</v>
          </cell>
          <cell r="AW594" t="str">
            <v>01</v>
          </cell>
          <cell r="AY594">
            <v>1</v>
          </cell>
          <cell r="BE594"/>
          <cell r="BF594"/>
        </row>
        <row r="595">
          <cell r="A595" t="str">
            <v>boss_chijiaodaxian_skill02</v>
          </cell>
          <cell r="B595" t="str">
            <v>真元爆发</v>
          </cell>
          <cell r="C595" t="str">
            <v>chijiaodaxian_skill02</v>
          </cell>
          <cell r="D595" t="str">
            <v>[]</v>
          </cell>
          <cell r="E595">
            <v>0</v>
          </cell>
          <cell r="F595" t="str">
            <v>[]</v>
          </cell>
          <cell r="G595" t="str">
            <v>赤脚大仙技能2</v>
          </cell>
          <cell r="H595" t="str">
            <v>chijiaodaxian_skill02</v>
          </cell>
          <cell r="I595" t="str">
            <v>[]</v>
          </cell>
          <cell r="J595">
            <v>1</v>
          </cell>
          <cell r="K595">
            <v>10</v>
          </cell>
          <cell r="L595" t="str">
            <v>[]</v>
          </cell>
          <cell r="M595">
            <v>2</v>
          </cell>
          <cell r="N595">
            <v>2</v>
          </cell>
          <cell r="O595">
            <v>1</v>
          </cell>
          <cell r="P595">
            <v>2</v>
          </cell>
          <cell r="Q595">
            <v>12</v>
          </cell>
          <cell r="R595">
            <v>1</v>
          </cell>
          <cell r="S595" t="str">
            <v>4|0.2</v>
          </cell>
          <cell r="T595">
            <v>1</v>
          </cell>
          <cell r="U595">
            <v>1</v>
          </cell>
          <cell r="V595">
            <v>0</v>
          </cell>
          <cell r="W595" t="str">
            <v>[]</v>
          </cell>
          <cell r="X595">
            <v>3</v>
          </cell>
          <cell r="Y595" t="str">
            <v>[]</v>
          </cell>
          <cell r="Z595" t="str">
            <v>0,1.933,0</v>
          </cell>
          <cell r="AA595">
            <v>0</v>
          </cell>
          <cell r="AB595" t="str">
            <v>10</v>
          </cell>
          <cell r="AC595" t="str">
            <v>[]</v>
          </cell>
          <cell r="AD595" t="str">
            <v>[]</v>
          </cell>
          <cell r="AE595" t="str">
            <v>[]</v>
          </cell>
          <cell r="AF595" t="str">
            <v>chijiaodaxian_skill02</v>
          </cell>
          <cell r="AG595" t="str">
            <v>respond_hp</v>
          </cell>
          <cell r="AH595" t="str">
            <v>[]</v>
          </cell>
          <cell r="AI595" t="str">
            <v>[]</v>
          </cell>
          <cell r="AJ595" t="str">
            <v>[]</v>
          </cell>
          <cell r="AK595" t="str">
            <v>[]</v>
          </cell>
          <cell r="AL595" t="str">
            <v>hpmaxhuifu2</v>
          </cell>
          <cell r="AM595" t="str">
            <v>[]</v>
          </cell>
          <cell r="AN595">
            <v>2</v>
          </cell>
          <cell r="AO595" t="str">
            <v>1</v>
          </cell>
          <cell r="AP595">
            <v>636</v>
          </cell>
          <cell r="AQ595">
            <v>636</v>
          </cell>
          <cell r="AR595" t="str">
            <v>[]</v>
          </cell>
          <cell r="AS595" t="str">
            <v>[]</v>
          </cell>
          <cell r="AT595" t="str">
            <v>3180</v>
          </cell>
          <cell r="AU595" t="str">
            <v>3180</v>
          </cell>
          <cell r="AV595" t="str">
            <v>赤脚大仙</v>
          </cell>
          <cell r="AW595" t="str">
            <v>02</v>
          </cell>
          <cell r="AY595">
            <v>1</v>
          </cell>
          <cell r="BE595"/>
          <cell r="BF595"/>
        </row>
        <row r="596">
          <cell r="A596" t="str">
            <v>boss_chijiaodaxian_skill04</v>
          </cell>
          <cell r="B596" t="str">
            <v>天崩地裂</v>
          </cell>
          <cell r="C596" t="str">
            <v>chijiaodaxian_skill04</v>
          </cell>
          <cell r="D596" t="str">
            <v>[]</v>
          </cell>
          <cell r="E596">
            <v>2</v>
          </cell>
          <cell r="F596" t="str">
            <v>boss_warning_shanxing90</v>
          </cell>
          <cell r="G596" t="str">
            <v>赤脚大仙技能4</v>
          </cell>
          <cell r="H596" t="str">
            <v>chijiaodaxian_skill04</v>
          </cell>
          <cell r="I596" t="str">
            <v>[]</v>
          </cell>
          <cell r="J596">
            <v>3</v>
          </cell>
          <cell r="K596">
            <v>10</v>
          </cell>
          <cell r="L596" t="str">
            <v>[]</v>
          </cell>
          <cell r="M596">
            <v>2</v>
          </cell>
          <cell r="N596">
            <v>2</v>
          </cell>
          <cell r="O596">
            <v>1</v>
          </cell>
          <cell r="P596">
            <v>2</v>
          </cell>
          <cell r="Q596">
            <v>4</v>
          </cell>
          <cell r="R596" t="str">
            <v>2|1</v>
          </cell>
          <cell r="S596" t="str">
            <v>3|6|60</v>
          </cell>
          <cell r="T596">
            <v>10</v>
          </cell>
          <cell r="U596">
            <v>1</v>
          </cell>
          <cell r="V596">
            <v>0</v>
          </cell>
          <cell r="W596" t="str">
            <v>[]</v>
          </cell>
          <cell r="X596">
            <v>3</v>
          </cell>
          <cell r="Y596" t="str">
            <v>[]</v>
          </cell>
          <cell r="Z596" t="str">
            <v>0,2.467,0</v>
          </cell>
          <cell r="AA596">
            <v>0</v>
          </cell>
          <cell r="AB596" t="str">
            <v>10</v>
          </cell>
          <cell r="AC596" t="str">
            <v>[]</v>
          </cell>
          <cell r="AD596" t="str">
            <v>[]</v>
          </cell>
          <cell r="AE596" t="str">
            <v>chijiaodaxian_skill04_Bip</v>
          </cell>
          <cell r="AF596" t="str">
            <v>chijiaodaxian_skill04</v>
          </cell>
          <cell r="AG596" t="str">
            <v>[]</v>
          </cell>
          <cell r="AH596" t="str">
            <v>[]</v>
          </cell>
          <cell r="AI596" t="str">
            <v>[]</v>
          </cell>
          <cell r="AJ596" t="str">
            <v>chijiaodaxian_skill04_xixue</v>
          </cell>
          <cell r="AK596" t="str">
            <v>[]</v>
          </cell>
          <cell r="AL596" t="str">
            <v>[]</v>
          </cell>
          <cell r="AM596" t="str">
            <v>[]</v>
          </cell>
          <cell r="AN596">
            <v>2</v>
          </cell>
          <cell r="AO596" t="str">
            <v>1</v>
          </cell>
          <cell r="AP596">
            <v>636</v>
          </cell>
          <cell r="AQ596">
            <v>636</v>
          </cell>
          <cell r="AR596" t="str">
            <v>[]</v>
          </cell>
          <cell r="AS596" t="str">
            <v>[]</v>
          </cell>
          <cell r="AT596" t="str">
            <v>3200</v>
          </cell>
          <cell r="AU596" t="str">
            <v>3200</v>
          </cell>
          <cell r="AV596" t="str">
            <v>赤脚大仙</v>
          </cell>
          <cell r="AW596" t="str">
            <v>04</v>
          </cell>
          <cell r="AX596"/>
          <cell r="AY596">
            <v>1</v>
          </cell>
          <cell r="BE596"/>
          <cell r="BF596"/>
        </row>
        <row r="597">
          <cell r="A597" t="str">
            <v>boss_tuotatianwang_skill01</v>
          </cell>
          <cell r="B597" t="str">
            <v>玲珑宝塔</v>
          </cell>
          <cell r="C597" t="str">
            <v>tuotatianwang_skill01</v>
          </cell>
          <cell r="D597" t="str">
            <v>[]</v>
          </cell>
          <cell r="E597">
            <v>1</v>
          </cell>
          <cell r="F597" t="str">
            <v>boss_warning_yuanxing</v>
          </cell>
          <cell r="G597" t="str">
            <v>托塔天王核心技能</v>
          </cell>
          <cell r="H597" t="str">
            <v>tuotatianwang_skill01</v>
          </cell>
          <cell r="I597" t="str">
            <v>tuotatianwang_skill01</v>
          </cell>
          <cell r="J597">
            <v>0</v>
          </cell>
          <cell r="K597">
            <v>10</v>
          </cell>
          <cell r="L597" t="str">
            <v>1|8</v>
          </cell>
          <cell r="M597">
            <v>2</v>
          </cell>
          <cell r="N597">
            <v>2</v>
          </cell>
          <cell r="O597">
            <v>2</v>
          </cell>
          <cell r="P597">
            <v>4</v>
          </cell>
          <cell r="Q597">
            <v>12</v>
          </cell>
          <cell r="R597" t="str">
            <v>2|1</v>
          </cell>
          <cell r="S597" t="str">
            <v>2|10</v>
          </cell>
          <cell r="T597">
            <v>10</v>
          </cell>
          <cell r="U597">
            <v>0</v>
          </cell>
          <cell r="V597">
            <v>0</v>
          </cell>
          <cell r="W597" t="str">
            <v>[]</v>
          </cell>
          <cell r="X597">
            <v>0</v>
          </cell>
          <cell r="Y597" t="str">
            <v>[]</v>
          </cell>
          <cell r="Z597" t="str">
            <v>0,0,0</v>
          </cell>
          <cell r="AA597">
            <v>0</v>
          </cell>
          <cell r="AB597" t="str">
            <v>10</v>
          </cell>
          <cell r="AC597" t="str">
            <v>[]</v>
          </cell>
          <cell r="AD597" t="str">
            <v>[]</v>
          </cell>
          <cell r="AE597" t="str">
            <v>[]</v>
          </cell>
          <cell r="AF597" t="str">
            <v>tuotatianwang_skill01</v>
          </cell>
          <cell r="AG597" t="str">
            <v>[]</v>
          </cell>
          <cell r="AH597" t="str">
            <v>[]</v>
          </cell>
          <cell r="AI597" t="str">
            <v>[]</v>
          </cell>
          <cell r="AJ597" t="str">
            <v>[]</v>
          </cell>
          <cell r="AK597" t="str">
            <v>gedanghudunTN3P0.3</v>
          </cell>
          <cell r="AL597" t="str">
            <v>[]</v>
          </cell>
          <cell r="AM597" t="str">
            <v>jianshangupT6N0.3</v>
          </cell>
          <cell r="AN597">
            <v>2</v>
          </cell>
          <cell r="AO597" t="str">
            <v>1</v>
          </cell>
          <cell r="AP597">
            <v>636</v>
          </cell>
          <cell r="AQ597">
            <v>636</v>
          </cell>
          <cell r="AR597" t="str">
            <v>[]</v>
          </cell>
          <cell r="AS597" t="str">
            <v>[]</v>
          </cell>
          <cell r="AT597" t="str">
            <v>3220</v>
          </cell>
          <cell r="AU597" t="str">
            <v>3220</v>
          </cell>
          <cell r="AV597" t="str">
            <v>托塔天王</v>
          </cell>
          <cell r="AW597" t="str">
            <v>01</v>
          </cell>
          <cell r="AY597">
            <v>1</v>
          </cell>
          <cell r="BE597"/>
          <cell r="BF597"/>
        </row>
        <row r="598">
          <cell r="A598" t="str">
            <v>boss_tuotatianwang_skill02</v>
          </cell>
          <cell r="B598" t="str">
            <v>天王护法</v>
          </cell>
          <cell r="C598" t="str">
            <v>tuotatianwang_skill02</v>
          </cell>
          <cell r="D598" t="str">
            <v>[]</v>
          </cell>
          <cell r="E598">
            <v>0</v>
          </cell>
          <cell r="F598" t="str">
            <v>[]</v>
          </cell>
          <cell r="G598" t="str">
            <v>托塔天王技能2</v>
          </cell>
          <cell r="H598" t="str">
            <v>tuotatianwang_skill02</v>
          </cell>
          <cell r="I598" t="str">
            <v>[]</v>
          </cell>
          <cell r="J598">
            <v>1</v>
          </cell>
          <cell r="K598">
            <v>10</v>
          </cell>
          <cell r="L598" t="str">
            <v>[]</v>
          </cell>
          <cell r="M598">
            <v>2</v>
          </cell>
          <cell r="N598">
            <v>2</v>
          </cell>
          <cell r="O598">
            <v>1</v>
          </cell>
          <cell r="P598">
            <v>4</v>
          </cell>
          <cell r="Q598">
            <v>5</v>
          </cell>
          <cell r="R598">
            <v>1</v>
          </cell>
          <cell r="S598" t="str">
            <v>4|0.2</v>
          </cell>
          <cell r="T598">
            <v>1</v>
          </cell>
          <cell r="U598">
            <v>0</v>
          </cell>
          <cell r="V598">
            <v>0</v>
          </cell>
          <cell r="W598" t="str">
            <v>[]</v>
          </cell>
          <cell r="X598">
            <v>3</v>
          </cell>
          <cell r="Y598" t="str">
            <v>[]</v>
          </cell>
          <cell r="Z598" t="str">
            <v>0.99,1.337,0</v>
          </cell>
          <cell r="AA598">
            <v>0</v>
          </cell>
          <cell r="AB598" t="str">
            <v>10</v>
          </cell>
          <cell r="AC598" t="str">
            <v>[]</v>
          </cell>
          <cell r="AD598" t="str">
            <v>[]</v>
          </cell>
          <cell r="AE598" t="str">
            <v>[]</v>
          </cell>
          <cell r="AF598" t="str">
            <v>tuotatianwang_skill02</v>
          </cell>
          <cell r="AG598" t="str">
            <v>tuotatianwang_skill02_b</v>
          </cell>
          <cell r="AH598" t="str">
            <v>[]</v>
          </cell>
          <cell r="AI598" t="str">
            <v>[]</v>
          </cell>
          <cell r="AJ598" t="str">
            <v>batiT3NP1</v>
          </cell>
          <cell r="AK598" t="str">
            <v>[]</v>
          </cell>
          <cell r="AL598" t="str">
            <v>jianshangupT6N0.1</v>
          </cell>
          <cell r="AM598" t="str">
            <v>[]</v>
          </cell>
          <cell r="AN598">
            <v>2</v>
          </cell>
          <cell r="AO598" t="str">
            <v>1</v>
          </cell>
          <cell r="AP598" t="str">
            <v>[]</v>
          </cell>
          <cell r="AQ598" t="str">
            <v>[]</v>
          </cell>
          <cell r="AR598" t="str">
            <v>[]</v>
          </cell>
          <cell r="AS598" t="str">
            <v>[]</v>
          </cell>
          <cell r="AT598" t="str">
            <v>3230</v>
          </cell>
          <cell r="AU598" t="str">
            <v>3230</v>
          </cell>
          <cell r="AV598" t="str">
            <v>托塔天王</v>
          </cell>
          <cell r="AW598" t="str">
            <v>02</v>
          </cell>
          <cell r="AY598">
            <v>1</v>
          </cell>
          <cell r="BE598"/>
          <cell r="BF598"/>
        </row>
        <row r="599">
          <cell r="A599" t="str">
            <v>boss_tuotatianwang_skill04</v>
          </cell>
          <cell r="B599" t="str">
            <v>宝塔镇压</v>
          </cell>
          <cell r="C599" t="str">
            <v>tuotatianwang_skill04</v>
          </cell>
          <cell r="D599" t="str">
            <v>[]</v>
          </cell>
          <cell r="E599">
            <v>2</v>
          </cell>
          <cell r="F599" t="str">
            <v>boss_warning_shanxing90</v>
          </cell>
          <cell r="G599" t="str">
            <v>托塔天王技能4</v>
          </cell>
          <cell r="H599" t="str">
            <v>tuotatianwang_skill04</v>
          </cell>
          <cell r="I599" t="str">
            <v>[]</v>
          </cell>
          <cell r="J599">
            <v>3</v>
          </cell>
          <cell r="K599">
            <v>10</v>
          </cell>
          <cell r="L599" t="str">
            <v>[]</v>
          </cell>
          <cell r="M599">
            <v>2</v>
          </cell>
          <cell r="N599">
            <v>2</v>
          </cell>
          <cell r="O599">
            <v>1</v>
          </cell>
          <cell r="P599">
            <v>2</v>
          </cell>
          <cell r="Q599">
            <v>4</v>
          </cell>
          <cell r="R599" t="str">
            <v>2|1</v>
          </cell>
          <cell r="S599" t="str">
            <v>3|6|60</v>
          </cell>
          <cell r="T599">
            <v>10</v>
          </cell>
          <cell r="U599">
            <v>0</v>
          </cell>
          <cell r="V599">
            <v>0</v>
          </cell>
          <cell r="W599" t="str">
            <v>[]</v>
          </cell>
          <cell r="X599">
            <v>3</v>
          </cell>
          <cell r="Y599" t="str">
            <v>[]</v>
          </cell>
          <cell r="Z599" t="str">
            <v>0,2.367,0</v>
          </cell>
          <cell r="AA599">
            <v>0</v>
          </cell>
          <cell r="AB599" t="str">
            <v>10</v>
          </cell>
          <cell r="AC599" t="str">
            <v>[]</v>
          </cell>
          <cell r="AD599" t="str">
            <v>[]</v>
          </cell>
          <cell r="AE599" t="str">
            <v>[]</v>
          </cell>
          <cell r="AF599" t="str">
            <v>tuotatianwang_skill04</v>
          </cell>
          <cell r="AG599" t="str">
            <v>common_hit_qinwuqi</v>
          </cell>
          <cell r="AH599" t="str">
            <v>[]</v>
          </cell>
          <cell r="AI599" t="str">
            <v>[]</v>
          </cell>
          <cell r="AJ599" t="str">
            <v>[]</v>
          </cell>
          <cell r="AK599" t="str">
            <v>yunxuanT1NP0.2</v>
          </cell>
          <cell r="AL599" t="str">
            <v>[]</v>
          </cell>
          <cell r="AM599" t="str">
            <v>[]</v>
          </cell>
          <cell r="AN599">
            <v>2</v>
          </cell>
          <cell r="AO599" t="str">
            <v>1</v>
          </cell>
          <cell r="AP599">
            <v>636</v>
          </cell>
          <cell r="AQ599">
            <v>636</v>
          </cell>
          <cell r="AR599" t="str">
            <v>[]</v>
          </cell>
          <cell r="AS599" t="str">
            <v>[]</v>
          </cell>
          <cell r="AT599" t="str">
            <v>3250</v>
          </cell>
          <cell r="AU599" t="str">
            <v>3250</v>
          </cell>
          <cell r="AV599" t="str">
            <v>托塔天王</v>
          </cell>
          <cell r="AW599" t="str">
            <v>04</v>
          </cell>
          <cell r="AX599"/>
          <cell r="AY599">
            <v>1</v>
          </cell>
          <cell r="BE599"/>
          <cell r="BF599"/>
        </row>
        <row r="600">
          <cell r="A600" t="str">
            <v>boss_jiutianxuannv_skill01</v>
          </cell>
          <cell r="B600" t="str">
            <v>沐浴晨光</v>
          </cell>
          <cell r="C600" t="str">
            <v>jiutianxuannv_skill01</v>
          </cell>
          <cell r="D600" t="str">
            <v>[]</v>
          </cell>
          <cell r="E600">
            <v>0</v>
          </cell>
          <cell r="F600" t="str">
            <v>[]</v>
          </cell>
          <cell r="G600" t="str">
            <v>九天玄女核心技能</v>
          </cell>
          <cell r="H600" t="str">
            <v>jiutianxuannv_skill01</v>
          </cell>
          <cell r="I600" t="str">
            <v>jiutianxuannv_skill01</v>
          </cell>
          <cell r="J600">
            <v>0</v>
          </cell>
          <cell r="K600">
            <v>1</v>
          </cell>
          <cell r="L600" t="str">
            <v>1|11</v>
          </cell>
          <cell r="M600">
            <v>2</v>
          </cell>
          <cell r="N600">
            <v>2</v>
          </cell>
          <cell r="O600">
            <v>1</v>
          </cell>
          <cell r="P600">
            <v>5</v>
          </cell>
          <cell r="Q600">
            <v>12</v>
          </cell>
          <cell r="R600">
            <v>3</v>
          </cell>
          <cell r="S600" t="str">
            <v>2|20</v>
          </cell>
          <cell r="T600">
            <v>10</v>
          </cell>
          <cell r="U600">
            <v>0</v>
          </cell>
          <cell r="V600">
            <v>0</v>
          </cell>
          <cell r="W600" t="str">
            <v>[]</v>
          </cell>
          <cell r="X600">
            <v>0</v>
          </cell>
          <cell r="Y600" t="str">
            <v>[]</v>
          </cell>
          <cell r="Z600" t="str">
            <v>0,0,0</v>
          </cell>
          <cell r="AA600">
            <v>0</v>
          </cell>
          <cell r="AB600" t="str">
            <v>10</v>
          </cell>
          <cell r="AC600" t="str">
            <v>[]</v>
          </cell>
          <cell r="AD600" t="str">
            <v>[]</v>
          </cell>
          <cell r="AE600" t="str">
            <v>[]</v>
          </cell>
          <cell r="AF600" t="str">
            <v>jiutianxuannv_skill01</v>
          </cell>
          <cell r="AG600" t="str">
            <v>respond_hp</v>
          </cell>
          <cell r="AH600" t="str">
            <v>[]</v>
          </cell>
          <cell r="AI600" t="str">
            <v>[]</v>
          </cell>
          <cell r="AJ600" t="str">
            <v>[]</v>
          </cell>
          <cell r="AK600" t="str">
            <v>[]</v>
          </cell>
          <cell r="AL600" t="str">
            <v>[]</v>
          </cell>
          <cell r="AM600" t="str">
            <v>huifuT3N0.4</v>
          </cell>
          <cell r="AN600">
            <v>2</v>
          </cell>
          <cell r="AO600" t="str">
            <v>1</v>
          </cell>
          <cell r="AP600" t="str">
            <v>[]</v>
          </cell>
          <cell r="AQ600">
            <v>622</v>
          </cell>
          <cell r="AR600" t="str">
            <v>[]</v>
          </cell>
          <cell r="AS600" t="str">
            <v>[]</v>
          </cell>
          <cell r="AT600" t="str">
            <v>3270</v>
          </cell>
          <cell r="AU600" t="str">
            <v>3270</v>
          </cell>
          <cell r="AV600" t="str">
            <v>九天玄女</v>
          </cell>
          <cell r="AW600" t="str">
            <v>01</v>
          </cell>
          <cell r="AY600">
            <v>1</v>
          </cell>
          <cell r="BE600"/>
          <cell r="BF600"/>
        </row>
        <row r="601">
          <cell r="A601" t="str">
            <v>boss_jiutianxuannv_skill02</v>
          </cell>
          <cell r="B601" t="str">
            <v>九蕴灵光</v>
          </cell>
          <cell r="C601" t="str">
            <v>jiutianxuannv_skill02</v>
          </cell>
          <cell r="D601" t="str">
            <v>[]</v>
          </cell>
          <cell r="E601">
            <v>0</v>
          </cell>
          <cell r="F601" t="str">
            <v>[]</v>
          </cell>
          <cell r="G601" t="str">
            <v>九天玄女技能2</v>
          </cell>
          <cell r="H601" t="str">
            <v>jiutianxuannv_skill02</v>
          </cell>
          <cell r="I601" t="str">
            <v>[]</v>
          </cell>
          <cell r="J601">
            <v>1</v>
          </cell>
          <cell r="K601">
            <v>1</v>
          </cell>
          <cell r="L601" t="str">
            <v>[]</v>
          </cell>
          <cell r="M601">
            <v>2</v>
          </cell>
          <cell r="N601">
            <v>2</v>
          </cell>
          <cell r="O601">
            <v>2</v>
          </cell>
          <cell r="P601">
            <v>5</v>
          </cell>
          <cell r="Q601">
            <v>12</v>
          </cell>
          <cell r="R601">
            <v>3</v>
          </cell>
          <cell r="S601">
            <v>7</v>
          </cell>
          <cell r="T601">
            <v>1</v>
          </cell>
          <cell r="U601">
            <v>1</v>
          </cell>
          <cell r="V601">
            <v>0</v>
          </cell>
          <cell r="W601" t="str">
            <v>[]</v>
          </cell>
          <cell r="X601">
            <v>3</v>
          </cell>
          <cell r="Y601" t="str">
            <v>[]</v>
          </cell>
          <cell r="Z601" t="str">
            <v>0,0.825,1.008</v>
          </cell>
          <cell r="AA601">
            <v>0</v>
          </cell>
          <cell r="AB601" t="str">
            <v>10</v>
          </cell>
          <cell r="AC601" t="str">
            <v>[]</v>
          </cell>
          <cell r="AD601" t="str">
            <v>[]</v>
          </cell>
          <cell r="AE601" t="str">
            <v>[]</v>
          </cell>
          <cell r="AF601" t="str">
            <v>jiutianxuannv_skill02</v>
          </cell>
          <cell r="AG601" t="str">
            <v>jiutianxuannv_skill02_b</v>
          </cell>
          <cell r="AH601" t="str">
            <v>[]</v>
          </cell>
          <cell r="AI601" t="str">
            <v>[]</v>
          </cell>
          <cell r="AJ601" t="str">
            <v>[]</v>
          </cell>
          <cell r="AK601" t="str">
            <v>[]</v>
          </cell>
          <cell r="AL601" t="str">
            <v>[]</v>
          </cell>
          <cell r="AM601" t="str">
            <v>[]</v>
          </cell>
          <cell r="AN601">
            <v>2</v>
          </cell>
          <cell r="AO601" t="str">
            <v>1</v>
          </cell>
          <cell r="AP601">
            <v>622</v>
          </cell>
          <cell r="AQ601">
            <v>622</v>
          </cell>
          <cell r="AR601" t="str">
            <v>[]</v>
          </cell>
          <cell r="AS601" t="str">
            <v>[]</v>
          </cell>
          <cell r="AT601" t="str">
            <v>3280</v>
          </cell>
          <cell r="AU601" t="str">
            <v>3280</v>
          </cell>
          <cell r="AV601" t="str">
            <v>九天玄女</v>
          </cell>
          <cell r="AW601" t="str">
            <v>02</v>
          </cell>
          <cell r="AY601">
            <v>1</v>
          </cell>
          <cell r="BE601"/>
          <cell r="BF601"/>
        </row>
        <row r="602">
          <cell r="A602" t="str">
            <v>boss_jiutianxuannv_skill04</v>
          </cell>
          <cell r="B602" t="str">
            <v>奥义·天女神佑</v>
          </cell>
          <cell r="C602" t="str">
            <v>jiutianxuannv_skill04</v>
          </cell>
          <cell r="D602" t="str">
            <v>[]</v>
          </cell>
          <cell r="E602">
            <v>0</v>
          </cell>
          <cell r="F602" t="str">
            <v>[]</v>
          </cell>
          <cell r="G602" t="str">
            <v>九天玄女技能4</v>
          </cell>
          <cell r="H602" t="str">
            <v>jiutianxuannv_skill04</v>
          </cell>
          <cell r="I602" t="str">
            <v>[]</v>
          </cell>
          <cell r="J602">
            <v>3</v>
          </cell>
          <cell r="K602">
            <v>1</v>
          </cell>
          <cell r="L602" t="str">
            <v>[]</v>
          </cell>
          <cell r="M602">
            <v>2</v>
          </cell>
          <cell r="N602">
            <v>2</v>
          </cell>
          <cell r="O602">
            <v>1</v>
          </cell>
          <cell r="P602">
            <v>2</v>
          </cell>
          <cell r="Q602">
            <v>12</v>
          </cell>
          <cell r="R602">
            <v>3</v>
          </cell>
          <cell r="S602" t="str">
            <v>2|10</v>
          </cell>
          <cell r="T602">
            <v>10</v>
          </cell>
          <cell r="U602">
            <v>0</v>
          </cell>
          <cell r="V602">
            <v>0</v>
          </cell>
          <cell r="W602" t="str">
            <v>[]</v>
          </cell>
          <cell r="X602">
            <v>3</v>
          </cell>
          <cell r="Y602" t="str">
            <v>[]</v>
          </cell>
          <cell r="Z602" t="str">
            <v>0.1,1.22,1.047</v>
          </cell>
          <cell r="AA602">
            <v>0</v>
          </cell>
          <cell r="AB602" t="str">
            <v>10</v>
          </cell>
          <cell r="AC602" t="str">
            <v>[]</v>
          </cell>
          <cell r="AD602" t="str">
            <v>[]</v>
          </cell>
          <cell r="AE602" t="str">
            <v>jiutianxuannv_skill04_q</v>
          </cell>
          <cell r="AF602" t="str">
            <v>jiutianxuannv_skill04</v>
          </cell>
          <cell r="AG602" t="str">
            <v>common_hit_fashu</v>
          </cell>
          <cell r="AH602" t="str">
            <v>[]</v>
          </cell>
          <cell r="AI602" t="str">
            <v>[]</v>
          </cell>
          <cell r="AJ602" t="str">
            <v>[]</v>
          </cell>
          <cell r="AK602" t="str">
            <v>qusanTN1P1</v>
          </cell>
          <cell r="AL602" t="str">
            <v>[]</v>
          </cell>
          <cell r="AM602" t="str">
            <v>[]</v>
          </cell>
          <cell r="AN602">
            <v>2</v>
          </cell>
          <cell r="AO602" t="str">
            <v>1</v>
          </cell>
          <cell r="AP602">
            <v>636</v>
          </cell>
          <cell r="AQ602">
            <v>622</v>
          </cell>
          <cell r="AR602" t="str">
            <v>[]</v>
          </cell>
          <cell r="AS602" t="str">
            <v>[]</v>
          </cell>
          <cell r="AT602" t="str">
            <v>3300</v>
          </cell>
          <cell r="AU602" t="str">
            <v>3300</v>
          </cell>
          <cell r="AV602" t="str">
            <v>九天玄女</v>
          </cell>
          <cell r="AW602" t="str">
            <v>04</v>
          </cell>
          <cell r="AX602"/>
          <cell r="AY602">
            <v>1</v>
          </cell>
          <cell r="BE602"/>
          <cell r="BF602"/>
        </row>
        <row r="603">
          <cell r="A603" t="str">
            <v>boss_hulidaxian_skill01</v>
          </cell>
          <cell r="B603" t="str">
            <v>野性护盾</v>
          </cell>
          <cell r="C603" t="str">
            <v>hulidaxian_skill01</v>
          </cell>
          <cell r="D603" t="str">
            <v>[]</v>
          </cell>
          <cell r="E603">
            <v>0</v>
          </cell>
          <cell r="F603" t="str">
            <v>[]</v>
          </cell>
          <cell r="G603" t="str">
            <v>虎力大仙核心技能</v>
          </cell>
          <cell r="H603" t="str">
            <v>hulidaxian_skill01</v>
          </cell>
          <cell r="I603" t="str">
            <v>hulidaxian_skill01</v>
          </cell>
          <cell r="J603">
            <v>0</v>
          </cell>
          <cell r="K603">
            <v>10</v>
          </cell>
          <cell r="L603" t="str">
            <v>1|13</v>
          </cell>
          <cell r="M603">
            <v>2</v>
          </cell>
          <cell r="N603">
            <v>2</v>
          </cell>
          <cell r="O603">
            <v>1</v>
          </cell>
          <cell r="P603">
            <v>4</v>
          </cell>
          <cell r="Q603">
            <v>4</v>
          </cell>
          <cell r="R603" t="str">
            <v>3|1</v>
          </cell>
          <cell r="S603">
            <v>5</v>
          </cell>
          <cell r="T603">
            <v>10</v>
          </cell>
          <cell r="U603">
            <v>0</v>
          </cell>
          <cell r="V603">
            <v>0</v>
          </cell>
          <cell r="W603" t="str">
            <v>[]</v>
          </cell>
          <cell r="X603">
            <v>0</v>
          </cell>
          <cell r="Y603" t="str">
            <v>[]</v>
          </cell>
          <cell r="Z603" t="str">
            <v>0,0,0</v>
          </cell>
          <cell r="AA603">
            <v>0</v>
          </cell>
          <cell r="AB603" t="str">
            <v>10</v>
          </cell>
          <cell r="AC603" t="str">
            <v>[]</v>
          </cell>
          <cell r="AD603" t="str">
            <v>[]</v>
          </cell>
          <cell r="AE603" t="str">
            <v>[]</v>
          </cell>
          <cell r="AF603" t="str">
            <v>hulidaxian_skill01</v>
          </cell>
          <cell r="AG603" t="str">
            <v>zhubajie_skill01_b</v>
          </cell>
          <cell r="AH603" t="str">
            <v>[]</v>
          </cell>
          <cell r="AI603" t="str">
            <v>[]</v>
          </cell>
          <cell r="AJ603" t="str">
            <v>[]</v>
          </cell>
          <cell r="AK603" t="str">
            <v>shengminghudunT3N0.3P1</v>
          </cell>
          <cell r="AL603" t="str">
            <v>[]</v>
          </cell>
          <cell r="AM603" t="str">
            <v>[]</v>
          </cell>
          <cell r="AN603">
            <v>2</v>
          </cell>
          <cell r="AO603" t="str">
            <v>1</v>
          </cell>
          <cell r="AP603" t="str">
            <v>[]</v>
          </cell>
          <cell r="AQ603" t="str">
            <v>[]</v>
          </cell>
          <cell r="AR603" t="str">
            <v>[]</v>
          </cell>
          <cell r="AS603" t="str">
            <v>[]</v>
          </cell>
          <cell r="AT603" t="str">
            <v>3320</v>
          </cell>
          <cell r="AU603" t="str">
            <v>3320</v>
          </cell>
          <cell r="AV603" t="str">
            <v>虎力大仙</v>
          </cell>
          <cell r="AW603" t="str">
            <v>01</v>
          </cell>
          <cell r="AY603">
            <v>1</v>
          </cell>
          <cell r="BE603"/>
          <cell r="BF603"/>
        </row>
        <row r="604">
          <cell r="A604" t="str">
            <v>boss_hulidaxian_skill02</v>
          </cell>
          <cell r="B604" t="str">
            <v>虎啸山林</v>
          </cell>
          <cell r="C604" t="str">
            <v>hulidaxian_skill02</v>
          </cell>
          <cell r="D604" t="str">
            <v>[]</v>
          </cell>
          <cell r="E604">
            <v>2</v>
          </cell>
          <cell r="F604" t="str">
            <v>boss_warning_yuanxing</v>
          </cell>
          <cell r="G604" t="str">
            <v>虎力大仙技能2</v>
          </cell>
          <cell r="H604" t="str">
            <v>hulidaxian_skill02</v>
          </cell>
          <cell r="I604" t="str">
            <v>[]</v>
          </cell>
          <cell r="J604">
            <v>1</v>
          </cell>
          <cell r="K604">
            <v>10</v>
          </cell>
          <cell r="L604" t="str">
            <v>[]</v>
          </cell>
          <cell r="M604">
            <v>2</v>
          </cell>
          <cell r="N604">
            <v>2</v>
          </cell>
          <cell r="O604">
            <v>1</v>
          </cell>
          <cell r="P604">
            <v>2</v>
          </cell>
          <cell r="Q604">
            <v>4</v>
          </cell>
          <cell r="R604" t="str">
            <v>2|1</v>
          </cell>
          <cell r="S604" t="str">
            <v>2|10</v>
          </cell>
          <cell r="T604">
            <v>10</v>
          </cell>
          <cell r="U604">
            <v>0</v>
          </cell>
          <cell r="V604">
            <v>0</v>
          </cell>
          <cell r="W604" t="str">
            <v>[]</v>
          </cell>
          <cell r="X604">
            <v>3</v>
          </cell>
          <cell r="Y604" t="str">
            <v>[]</v>
          </cell>
          <cell r="Z604" t="str">
            <v>0,1.6,0</v>
          </cell>
          <cell r="AA604">
            <v>0</v>
          </cell>
          <cell r="AB604" t="str">
            <v>10</v>
          </cell>
          <cell r="AC604" t="str">
            <v>[]</v>
          </cell>
          <cell r="AD604" t="str">
            <v>[]</v>
          </cell>
          <cell r="AE604" t="str">
            <v>[]</v>
          </cell>
          <cell r="AF604" t="str">
            <v>hulidaxian_skill02</v>
          </cell>
          <cell r="AG604" t="str">
            <v>common_hit_dunqi</v>
          </cell>
          <cell r="AH604" t="str">
            <v>[]</v>
          </cell>
          <cell r="AI604" t="str">
            <v>[]</v>
          </cell>
          <cell r="AJ604" t="str">
            <v>hulidaxian_zhenping_01</v>
          </cell>
          <cell r="AK604" t="str">
            <v>chaofengT2NP1</v>
          </cell>
          <cell r="AL604" t="str">
            <v>[]</v>
          </cell>
          <cell r="AM604" t="str">
            <v>xuruoT3N0.1</v>
          </cell>
          <cell r="AN604">
            <v>2</v>
          </cell>
          <cell r="AO604" t="str">
            <v>1</v>
          </cell>
          <cell r="AP604">
            <v>636</v>
          </cell>
          <cell r="AQ604">
            <v>636</v>
          </cell>
          <cell r="AR604" t="str">
            <v>[]</v>
          </cell>
          <cell r="AS604" t="str">
            <v>[]</v>
          </cell>
          <cell r="AT604" t="str">
            <v>3330</v>
          </cell>
          <cell r="AU604" t="str">
            <v>3330</v>
          </cell>
          <cell r="AV604" t="str">
            <v>虎力大仙</v>
          </cell>
          <cell r="AW604" t="str">
            <v>02</v>
          </cell>
          <cell r="AY604">
            <v>1</v>
          </cell>
          <cell r="BE604"/>
          <cell r="BF604"/>
        </row>
        <row r="605">
          <cell r="A605" t="str">
            <v>boss_hulidaxian_skill04</v>
          </cell>
          <cell r="B605" t="str">
            <v>反伤甲</v>
          </cell>
          <cell r="C605" t="str">
            <v>hulidaxian_skill04</v>
          </cell>
          <cell r="D605" t="str">
            <v>[]</v>
          </cell>
          <cell r="E605">
            <v>2</v>
          </cell>
          <cell r="F605" t="str">
            <v>boss_warning_shanxing90</v>
          </cell>
          <cell r="G605" t="str">
            <v>虎力大仙技能4</v>
          </cell>
          <cell r="H605" t="str">
            <v>hulidaxian_skill04</v>
          </cell>
          <cell r="I605" t="str">
            <v>[]</v>
          </cell>
          <cell r="J605">
            <v>3</v>
          </cell>
          <cell r="K605">
            <v>10</v>
          </cell>
          <cell r="L605" t="str">
            <v>[]</v>
          </cell>
          <cell r="M605">
            <v>2</v>
          </cell>
          <cell r="N605">
            <v>2</v>
          </cell>
          <cell r="O605">
            <v>1</v>
          </cell>
          <cell r="P605">
            <v>5</v>
          </cell>
          <cell r="Q605">
            <v>4</v>
          </cell>
          <cell r="R605">
            <v>1</v>
          </cell>
          <cell r="S605" t="str">
            <v>4|0.2</v>
          </cell>
          <cell r="T605">
            <v>10</v>
          </cell>
          <cell r="U605">
            <v>0</v>
          </cell>
          <cell r="V605">
            <v>0</v>
          </cell>
          <cell r="W605" t="str">
            <v>[]</v>
          </cell>
          <cell r="X605">
            <v>3</v>
          </cell>
          <cell r="Y605" t="str">
            <v>[]</v>
          </cell>
          <cell r="Z605" t="str">
            <v>0,2.5,0</v>
          </cell>
          <cell r="AA605">
            <v>0</v>
          </cell>
          <cell r="AB605" t="str">
            <v>10</v>
          </cell>
          <cell r="AC605" t="str">
            <v>[]</v>
          </cell>
          <cell r="AD605" t="str">
            <v>[]</v>
          </cell>
          <cell r="AE605" t="str">
            <v>[]</v>
          </cell>
          <cell r="AF605" t="str">
            <v>hulidaxian_skill04</v>
          </cell>
          <cell r="AG605" t="str">
            <v>respond_hp</v>
          </cell>
          <cell r="AH605" t="str">
            <v>[]</v>
          </cell>
          <cell r="AI605" t="str">
            <v>[]</v>
          </cell>
          <cell r="AJ605" t="str">
            <v>jinghuaTN1P1</v>
          </cell>
          <cell r="AK605" t="str">
            <v>[]</v>
          </cell>
          <cell r="AL605" t="str">
            <v>[]</v>
          </cell>
          <cell r="AM605" t="str">
            <v>[]</v>
          </cell>
          <cell r="AN605">
            <v>2</v>
          </cell>
          <cell r="AO605" t="str">
            <v>1</v>
          </cell>
          <cell r="AP605" t="str">
            <v>[]</v>
          </cell>
          <cell r="AQ605">
            <v>636</v>
          </cell>
          <cell r="AR605" t="str">
            <v>[]</v>
          </cell>
          <cell r="AS605" t="str">
            <v>[]</v>
          </cell>
          <cell r="AT605" t="str">
            <v>3350</v>
          </cell>
          <cell r="AU605" t="str">
            <v>3350</v>
          </cell>
          <cell r="AV605" t="str">
            <v>虎力大仙</v>
          </cell>
          <cell r="AW605" t="str">
            <v>04</v>
          </cell>
          <cell r="AX605"/>
          <cell r="AY605">
            <v>1</v>
          </cell>
          <cell r="BE605"/>
          <cell r="BF605"/>
        </row>
        <row r="606">
          <cell r="A606" t="str">
            <v>boss_lulidaxian_skill01</v>
          </cell>
          <cell r="B606" t="str">
            <v>灵鹿赐福</v>
          </cell>
          <cell r="C606" t="str">
            <v>lulidaxian_skill01</v>
          </cell>
          <cell r="D606" t="str">
            <v>[]</v>
          </cell>
          <cell r="E606">
            <v>0</v>
          </cell>
          <cell r="F606" t="str">
            <v>[]</v>
          </cell>
          <cell r="G606" t="str">
            <v>鹿力大仙核心技能</v>
          </cell>
          <cell r="H606" t="str">
            <v>lulidaxian_skill01</v>
          </cell>
          <cell r="I606" t="str">
            <v>lulidaxian_skill01</v>
          </cell>
          <cell r="J606">
            <v>0</v>
          </cell>
          <cell r="K606">
            <v>10</v>
          </cell>
          <cell r="L606" t="str">
            <v>1|14</v>
          </cell>
          <cell r="M606">
            <v>2</v>
          </cell>
          <cell r="N606">
            <v>2</v>
          </cell>
          <cell r="O606">
            <v>1</v>
          </cell>
          <cell r="P606">
            <v>4</v>
          </cell>
          <cell r="Q606">
            <v>12</v>
          </cell>
          <cell r="R606">
            <v>3</v>
          </cell>
          <cell r="S606">
            <v>5</v>
          </cell>
          <cell r="T606">
            <v>10</v>
          </cell>
          <cell r="U606">
            <v>0</v>
          </cell>
          <cell r="V606">
            <v>0</v>
          </cell>
          <cell r="W606" t="str">
            <v>[]</v>
          </cell>
          <cell r="X606">
            <v>0</v>
          </cell>
          <cell r="Y606" t="str">
            <v>[]</v>
          </cell>
          <cell r="Z606" t="str">
            <v>0,0,0</v>
          </cell>
          <cell r="AA606">
            <v>0</v>
          </cell>
          <cell r="AB606" t="str">
            <v>10</v>
          </cell>
          <cell r="AC606" t="str">
            <v>[]</v>
          </cell>
          <cell r="AD606" t="str">
            <v>[]</v>
          </cell>
          <cell r="AE606" t="str">
            <v>[]</v>
          </cell>
          <cell r="AF606" t="str">
            <v>lulidaxian_skill01_atc</v>
          </cell>
          <cell r="AG606" t="str">
            <v>lulidaxian_skill01</v>
          </cell>
          <cell r="AH606" t="str">
            <v>[]</v>
          </cell>
          <cell r="AI606" t="str">
            <v>[]</v>
          </cell>
          <cell r="AJ606" t="str">
            <v>[]</v>
          </cell>
          <cell r="AK606" t="str">
            <v>[]</v>
          </cell>
          <cell r="AL606" t="str">
            <v>[]</v>
          </cell>
          <cell r="AM606" t="str">
            <v>gongsuupT3N0.2,mingzhongupT3N0.2</v>
          </cell>
          <cell r="AN606">
            <v>2</v>
          </cell>
          <cell r="AO606" t="str">
            <v>1</v>
          </cell>
          <cell r="AP606" t="str">
            <v>[]</v>
          </cell>
          <cell r="AQ606" t="str">
            <v>[]</v>
          </cell>
          <cell r="AR606" t="str">
            <v>[]</v>
          </cell>
          <cell r="AS606" t="str">
            <v>[]</v>
          </cell>
          <cell r="AT606" t="str">
            <v>3370</v>
          </cell>
          <cell r="AU606" t="str">
            <v>3370</v>
          </cell>
          <cell r="AV606" t="str">
            <v>鹿力大仙</v>
          </cell>
          <cell r="AW606" t="str">
            <v>01</v>
          </cell>
          <cell r="AY606">
            <v>1</v>
          </cell>
          <cell r="BE606"/>
          <cell r="BF606"/>
        </row>
        <row r="607">
          <cell r="A607" t="str">
            <v>boss_lulidaxian_skill02</v>
          </cell>
          <cell r="B607" t="str">
            <v>回旋刀刃</v>
          </cell>
          <cell r="C607" t="str">
            <v>lulidaxian_skill02</v>
          </cell>
          <cell r="D607" t="str">
            <v>[]</v>
          </cell>
          <cell r="E607">
            <v>2</v>
          </cell>
          <cell r="F607" t="str">
            <v>boss_warning_juxing</v>
          </cell>
          <cell r="G607" t="str">
            <v>鹿力大仙技能2</v>
          </cell>
          <cell r="H607" t="str">
            <v>lulidaxian_skill02</v>
          </cell>
          <cell r="I607" t="str">
            <v>[]</v>
          </cell>
          <cell r="J607">
            <v>1</v>
          </cell>
          <cell r="K607">
            <v>10</v>
          </cell>
          <cell r="L607" t="str">
            <v>[]</v>
          </cell>
          <cell r="M607">
            <v>2</v>
          </cell>
          <cell r="N607">
            <v>2</v>
          </cell>
          <cell r="O607">
            <v>1</v>
          </cell>
          <cell r="P607">
            <v>2</v>
          </cell>
          <cell r="Q607">
            <v>4</v>
          </cell>
          <cell r="R607" t="str">
            <v>2|1</v>
          </cell>
          <cell r="S607" t="str">
            <v>1|10|6</v>
          </cell>
          <cell r="T607">
            <v>10</v>
          </cell>
          <cell r="U607">
            <v>0</v>
          </cell>
          <cell r="V607">
            <v>0</v>
          </cell>
          <cell r="W607" t="str">
            <v>[]</v>
          </cell>
          <cell r="X607">
            <v>3</v>
          </cell>
          <cell r="Y607" t="str">
            <v>[]</v>
          </cell>
          <cell r="Z607" t="str">
            <v>0,0,0</v>
          </cell>
          <cell r="AA607">
            <v>0</v>
          </cell>
          <cell r="AB607" t="str">
            <v>10</v>
          </cell>
          <cell r="AC607" t="str">
            <v>[]</v>
          </cell>
          <cell r="AD607" t="str">
            <v>[]</v>
          </cell>
          <cell r="AE607" t="str">
            <v>[]</v>
          </cell>
          <cell r="AF607" t="str">
            <v>lulidaxian_skill02</v>
          </cell>
          <cell r="AG607" t="str">
            <v>common_hit_fashu</v>
          </cell>
          <cell r="AH607" t="str">
            <v>[]</v>
          </cell>
          <cell r="AI607" t="str">
            <v>[]</v>
          </cell>
          <cell r="AJ607" t="str">
            <v>[]</v>
          </cell>
          <cell r="AK607" t="str">
            <v>[]</v>
          </cell>
          <cell r="AL607" t="str">
            <v>[]</v>
          </cell>
          <cell r="AM607" t="str">
            <v>[]</v>
          </cell>
          <cell r="AN607">
            <v>2</v>
          </cell>
          <cell r="AO607" t="str">
            <v>1</v>
          </cell>
          <cell r="AP607">
            <v>636</v>
          </cell>
          <cell r="AQ607">
            <v>636</v>
          </cell>
          <cell r="AR607" t="str">
            <v>[]</v>
          </cell>
          <cell r="AS607" t="str">
            <v>[]</v>
          </cell>
          <cell r="AT607" t="str">
            <v>3380</v>
          </cell>
          <cell r="AU607" t="str">
            <v>3380</v>
          </cell>
          <cell r="AV607" t="str">
            <v>鹿力大仙</v>
          </cell>
          <cell r="AW607" t="str">
            <v>02</v>
          </cell>
          <cell r="AY607">
            <v>1</v>
          </cell>
          <cell r="BE607"/>
          <cell r="BF607"/>
        </row>
        <row r="608">
          <cell r="A608" t="str">
            <v>boss_lulidaxian_skill04</v>
          </cell>
          <cell r="B608" t="str">
            <v>璀璨星光</v>
          </cell>
          <cell r="C608" t="str">
            <v>lulidaxian_skill04</v>
          </cell>
          <cell r="D608" t="str">
            <v>[]</v>
          </cell>
          <cell r="E608">
            <v>2</v>
          </cell>
          <cell r="F608" t="str">
            <v>boss_warning_juxing</v>
          </cell>
          <cell r="G608" t="str">
            <v>鹿力大仙技能4</v>
          </cell>
          <cell r="H608" t="str">
            <v>lulidaxian_skill04</v>
          </cell>
          <cell r="I608" t="str">
            <v>[]</v>
          </cell>
          <cell r="J608">
            <v>3</v>
          </cell>
          <cell r="K608">
            <v>10</v>
          </cell>
          <cell r="L608" t="str">
            <v>[]</v>
          </cell>
          <cell r="M608">
            <v>2</v>
          </cell>
          <cell r="N608">
            <v>2</v>
          </cell>
          <cell r="O608">
            <v>1</v>
          </cell>
          <cell r="P608">
            <v>2</v>
          </cell>
          <cell r="Q608">
            <v>4</v>
          </cell>
          <cell r="R608" t="str">
            <v>2|1</v>
          </cell>
          <cell r="S608" t="str">
            <v>4|0.2</v>
          </cell>
          <cell r="T608">
            <v>10</v>
          </cell>
          <cell r="U608">
            <v>1</v>
          </cell>
          <cell r="V608">
            <v>0</v>
          </cell>
          <cell r="W608" t="str">
            <v>[]</v>
          </cell>
          <cell r="X608">
            <v>3</v>
          </cell>
          <cell r="Y608" t="str">
            <v>[]</v>
          </cell>
          <cell r="Z608" t="str">
            <v>0,2.0,0</v>
          </cell>
          <cell r="AA608">
            <v>0</v>
          </cell>
          <cell r="AB608" t="str">
            <v>10</v>
          </cell>
          <cell r="AC608" t="str">
            <v>[]</v>
          </cell>
          <cell r="AD608" t="str">
            <v>[]</v>
          </cell>
          <cell r="AE608" t="str">
            <v>[]</v>
          </cell>
          <cell r="AF608" t="str">
            <v>lulidaxian_skill04</v>
          </cell>
          <cell r="AG608" t="str">
            <v>common_hit_fashu</v>
          </cell>
          <cell r="AH608" t="str">
            <v>[]</v>
          </cell>
          <cell r="AI608" t="str">
            <v>[]</v>
          </cell>
          <cell r="AJ608" t="str">
            <v>[]</v>
          </cell>
          <cell r="AK608" t="str">
            <v>[]</v>
          </cell>
          <cell r="AL608" t="str">
            <v>gongsuupT3N0.15</v>
          </cell>
          <cell r="AM608" t="str">
            <v>[]</v>
          </cell>
          <cell r="AN608">
            <v>2</v>
          </cell>
          <cell r="AO608" t="str">
            <v>1</v>
          </cell>
          <cell r="AP608">
            <v>636</v>
          </cell>
          <cell r="AQ608">
            <v>636</v>
          </cell>
          <cell r="AR608" t="str">
            <v>[]</v>
          </cell>
          <cell r="AS608" t="str">
            <v>[]</v>
          </cell>
          <cell r="AT608" t="str">
            <v>3400</v>
          </cell>
          <cell r="AU608" t="str">
            <v>3400</v>
          </cell>
          <cell r="AV608" t="str">
            <v>鹿力大仙</v>
          </cell>
          <cell r="AW608" t="str">
            <v>04</v>
          </cell>
          <cell r="AX608"/>
          <cell r="AY608">
            <v>1</v>
          </cell>
          <cell r="BE608"/>
          <cell r="BF608"/>
        </row>
        <row r="609">
          <cell r="A609" t="str">
            <v>boss_yanglidaxian_skill01</v>
          </cell>
          <cell r="B609" t="str">
            <v>万物复苏</v>
          </cell>
          <cell r="C609" t="str">
            <v>yanglidaxian_skill01</v>
          </cell>
          <cell r="D609" t="str">
            <v>[]</v>
          </cell>
          <cell r="E609">
            <v>0</v>
          </cell>
          <cell r="F609" t="str">
            <v>[]</v>
          </cell>
          <cell r="G609" t="str">
            <v>羊力大仙核心技能</v>
          </cell>
          <cell r="H609" t="str">
            <v>yanglidaxian_skill01</v>
          </cell>
          <cell r="I609" t="str">
            <v>yanglidaxian_skill01</v>
          </cell>
          <cell r="J609">
            <v>0</v>
          </cell>
          <cell r="K609">
            <v>10</v>
          </cell>
          <cell r="L609" t="str">
            <v>1|15</v>
          </cell>
          <cell r="M609">
            <v>2</v>
          </cell>
          <cell r="N609">
            <v>2</v>
          </cell>
          <cell r="O609">
            <v>1</v>
          </cell>
          <cell r="P609">
            <v>5</v>
          </cell>
          <cell r="Q609">
            <v>12</v>
          </cell>
          <cell r="R609">
            <v>3</v>
          </cell>
          <cell r="S609" t="str">
            <v>2|20</v>
          </cell>
          <cell r="T609">
            <v>10</v>
          </cell>
          <cell r="U609">
            <v>0</v>
          </cell>
          <cell r="V609">
            <v>0</v>
          </cell>
          <cell r="W609" t="str">
            <v>[]</v>
          </cell>
          <cell r="X609">
            <v>0</v>
          </cell>
          <cell r="Y609" t="str">
            <v>[]</v>
          </cell>
          <cell r="Z609" t="str">
            <v>0,0,0</v>
          </cell>
          <cell r="AA609">
            <v>0</v>
          </cell>
          <cell r="AB609" t="str">
            <v>10</v>
          </cell>
          <cell r="AC609" t="str">
            <v>[]</v>
          </cell>
          <cell r="AD609" t="str">
            <v>[]</v>
          </cell>
          <cell r="AE609" t="str">
            <v>[]</v>
          </cell>
          <cell r="AF609" t="str">
            <v>yanglidaxian_skill01</v>
          </cell>
          <cell r="AG609" t="str">
            <v>respond_hp</v>
          </cell>
          <cell r="AH609" t="str">
            <v>[]</v>
          </cell>
          <cell r="AI609" t="str">
            <v>[]</v>
          </cell>
          <cell r="AJ609" t="str">
            <v>[]</v>
          </cell>
          <cell r="AK609" t="str">
            <v>[]</v>
          </cell>
          <cell r="AL609" t="str">
            <v>[]</v>
          </cell>
          <cell r="AM609" t="str">
            <v>huifuT3N0.4</v>
          </cell>
          <cell r="AN609">
            <v>2</v>
          </cell>
          <cell r="AO609" t="str">
            <v>1</v>
          </cell>
          <cell r="AP609" t="str">
            <v>[]</v>
          </cell>
          <cell r="AQ609">
            <v>622</v>
          </cell>
          <cell r="AR609" t="str">
            <v>[]</v>
          </cell>
          <cell r="AS609" t="str">
            <v>[]</v>
          </cell>
          <cell r="AT609" t="str">
            <v>3420</v>
          </cell>
          <cell r="AU609" t="str">
            <v>3420</v>
          </cell>
          <cell r="AV609" t="str">
            <v>羊力大仙</v>
          </cell>
          <cell r="AW609" t="str">
            <v>01</v>
          </cell>
          <cell r="AY609">
            <v>1</v>
          </cell>
          <cell r="BE609"/>
          <cell r="BF609"/>
        </row>
        <row r="610">
          <cell r="A610" t="str">
            <v>boss_yanglidaxian_skill02</v>
          </cell>
          <cell r="B610" t="str">
            <v>治愈之光</v>
          </cell>
          <cell r="C610" t="str">
            <v>yanglidaxian_skill02</v>
          </cell>
          <cell r="D610" t="str">
            <v>[]</v>
          </cell>
          <cell r="E610">
            <v>0</v>
          </cell>
          <cell r="F610" t="str">
            <v>[]</v>
          </cell>
          <cell r="G610" t="str">
            <v>羊力大仙技能2</v>
          </cell>
          <cell r="H610" t="str">
            <v>yanglidaxian_skill02</v>
          </cell>
          <cell r="I610" t="str">
            <v>[]</v>
          </cell>
          <cell r="J610">
            <v>1</v>
          </cell>
          <cell r="K610">
            <v>10</v>
          </cell>
          <cell r="L610" t="str">
            <v>[]</v>
          </cell>
          <cell r="M610">
            <v>2</v>
          </cell>
          <cell r="N610">
            <v>2</v>
          </cell>
          <cell r="O610">
            <v>1</v>
          </cell>
          <cell r="P610">
            <v>5</v>
          </cell>
          <cell r="Q610">
            <v>12</v>
          </cell>
          <cell r="R610">
            <v>3</v>
          </cell>
          <cell r="S610">
            <v>7</v>
          </cell>
          <cell r="T610">
            <v>1</v>
          </cell>
          <cell r="U610">
            <v>0</v>
          </cell>
          <cell r="V610">
            <v>0</v>
          </cell>
          <cell r="W610" t="str">
            <v>[]</v>
          </cell>
          <cell r="X610">
            <v>3</v>
          </cell>
          <cell r="Y610" t="str">
            <v>[]</v>
          </cell>
          <cell r="Z610" t="str">
            <v>0,1.667,0</v>
          </cell>
          <cell r="AA610">
            <v>0</v>
          </cell>
          <cell r="AB610" t="str">
            <v>10</v>
          </cell>
          <cell r="AC610" t="str">
            <v>[]</v>
          </cell>
          <cell r="AD610" t="str">
            <v>[]</v>
          </cell>
          <cell r="AE610" t="str">
            <v>[]</v>
          </cell>
          <cell r="AF610" t="str">
            <v>yanglidaxian_skill02_atk</v>
          </cell>
          <cell r="AG610" t="str">
            <v>yanglidaxian_skill02</v>
          </cell>
          <cell r="AH610" t="str">
            <v>[]</v>
          </cell>
          <cell r="AI610" t="str">
            <v>[]</v>
          </cell>
          <cell r="AJ610" t="str">
            <v>[]</v>
          </cell>
          <cell r="AK610" t="str">
            <v>jinghuaTN1P1</v>
          </cell>
          <cell r="AL610" t="str">
            <v>[]</v>
          </cell>
          <cell r="AM610" t="str">
            <v>[]</v>
          </cell>
          <cell r="AN610">
            <v>2</v>
          </cell>
          <cell r="AO610" t="str">
            <v>1</v>
          </cell>
          <cell r="AP610">
            <v>622</v>
          </cell>
          <cell r="AQ610">
            <v>622</v>
          </cell>
          <cell r="AR610" t="str">
            <v>[]</v>
          </cell>
          <cell r="AS610" t="str">
            <v>[]</v>
          </cell>
          <cell r="AT610" t="str">
            <v>3430</v>
          </cell>
          <cell r="AU610" t="str">
            <v>3430</v>
          </cell>
          <cell r="AV610" t="str">
            <v>羊力大仙</v>
          </cell>
          <cell r="AW610" t="str">
            <v>02</v>
          </cell>
          <cell r="AY610">
            <v>1</v>
          </cell>
          <cell r="BE610"/>
          <cell r="BF610"/>
        </row>
        <row r="611">
          <cell r="A611" t="str">
            <v>boss_yanglidaxian_skill04</v>
          </cell>
          <cell r="B611" t="str">
            <v>灵能法球</v>
          </cell>
          <cell r="C611" t="str">
            <v>yanglidaxian_skill04</v>
          </cell>
          <cell r="D611" t="str">
            <v>[]</v>
          </cell>
          <cell r="E611">
            <v>1</v>
          </cell>
          <cell r="F611" t="str">
            <v>boss_warning_juxing</v>
          </cell>
          <cell r="G611" t="str">
            <v>羊力大仙技能4</v>
          </cell>
          <cell r="H611" t="str">
            <v>yanglidaxian_skill04</v>
          </cell>
          <cell r="I611" t="str">
            <v>[]</v>
          </cell>
          <cell r="J611">
            <v>3</v>
          </cell>
          <cell r="K611">
            <v>10</v>
          </cell>
          <cell r="L611" t="str">
            <v>[]</v>
          </cell>
          <cell r="M611">
            <v>2</v>
          </cell>
          <cell r="N611">
            <v>2</v>
          </cell>
          <cell r="O611">
            <v>1</v>
          </cell>
          <cell r="P611">
            <v>5</v>
          </cell>
          <cell r="Q611">
            <v>12</v>
          </cell>
          <cell r="R611" t="str">
            <v>2|1</v>
          </cell>
          <cell r="S611" t="str">
            <v>4|6</v>
          </cell>
          <cell r="T611">
            <v>10</v>
          </cell>
          <cell r="U611">
            <v>0</v>
          </cell>
          <cell r="V611">
            <v>0</v>
          </cell>
          <cell r="W611" t="str">
            <v>[]</v>
          </cell>
          <cell r="X611">
            <v>3</v>
          </cell>
          <cell r="Y611" t="str">
            <v>[]</v>
          </cell>
          <cell r="Z611" t="str">
            <v>0,0.6,0.4</v>
          </cell>
          <cell r="AA611">
            <v>0</v>
          </cell>
          <cell r="AB611" t="str">
            <v>10</v>
          </cell>
          <cell r="AC611" t="str">
            <v>[]</v>
          </cell>
          <cell r="AD611" t="str">
            <v>[]</v>
          </cell>
          <cell r="AE611" t="str">
            <v>[]</v>
          </cell>
          <cell r="AF611" t="str">
            <v>yanglidaxian_skill04_f</v>
          </cell>
          <cell r="AG611" t="str">
            <v>yanglidaxian_skill04_b</v>
          </cell>
          <cell r="AH611" t="str">
            <v>[]</v>
          </cell>
          <cell r="AI611" t="str">
            <v>[]</v>
          </cell>
          <cell r="AJ611" t="str">
            <v>[]</v>
          </cell>
          <cell r="AK611" t="str">
            <v>[]</v>
          </cell>
          <cell r="AL611" t="str">
            <v>[]</v>
          </cell>
          <cell r="AM611" t="str">
            <v>huifuT3N0.25</v>
          </cell>
          <cell r="AN611">
            <v>2</v>
          </cell>
          <cell r="AO611" t="str">
            <v>1</v>
          </cell>
          <cell r="AP611" t="str">
            <v>[]</v>
          </cell>
          <cell r="AQ611">
            <v>636</v>
          </cell>
          <cell r="AR611" t="str">
            <v>[]</v>
          </cell>
          <cell r="AS611" t="str">
            <v>[]</v>
          </cell>
          <cell r="AT611" t="str">
            <v>3450</v>
          </cell>
          <cell r="AU611" t="str">
            <v>3450</v>
          </cell>
          <cell r="AV611" t="str">
            <v>羊力大仙</v>
          </cell>
          <cell r="AW611" t="str">
            <v>04</v>
          </cell>
          <cell r="AX611"/>
          <cell r="AY611">
            <v>1</v>
          </cell>
          <cell r="BE611"/>
          <cell r="BF611"/>
        </row>
        <row r="612">
          <cell r="A612" t="str">
            <v>boss_liuermihou_skill01</v>
          </cell>
          <cell r="B612" t="str">
            <v>玄光伏魔阵</v>
          </cell>
          <cell r="C612" t="str">
            <v>liuermihou_skill01</v>
          </cell>
          <cell r="D612" t="str">
            <v>[]</v>
          </cell>
          <cell r="E612">
            <v>1</v>
          </cell>
          <cell r="F612" t="str">
            <v>boss_warning_yuanxing</v>
          </cell>
          <cell r="G612" t="str">
            <v>六耳猕猴核心技能</v>
          </cell>
          <cell r="H612" t="str">
            <v>liuermihou_skill01</v>
          </cell>
          <cell r="I612" t="str">
            <v>liuermihou_skill01</v>
          </cell>
          <cell r="J612">
            <v>0</v>
          </cell>
          <cell r="K612">
            <v>10</v>
          </cell>
          <cell r="L612" t="str">
            <v>1|18</v>
          </cell>
          <cell r="M612">
            <v>2</v>
          </cell>
          <cell r="N612">
            <v>2</v>
          </cell>
          <cell r="O612">
            <v>2</v>
          </cell>
          <cell r="P612">
            <v>2</v>
          </cell>
          <cell r="Q612">
            <v>12</v>
          </cell>
          <cell r="R612" t="str">
            <v>2|1</v>
          </cell>
          <cell r="S612" t="str">
            <v>2|10</v>
          </cell>
          <cell r="T612">
            <v>10</v>
          </cell>
          <cell r="U612">
            <v>0</v>
          </cell>
          <cell r="V612">
            <v>0</v>
          </cell>
          <cell r="W612" t="str">
            <v>[]</v>
          </cell>
          <cell r="X612">
            <v>0</v>
          </cell>
          <cell r="Y612" t="str">
            <v>[]</v>
          </cell>
          <cell r="Z612" t="str">
            <v>0,0,0</v>
          </cell>
          <cell r="AA612">
            <v>0</v>
          </cell>
          <cell r="AB612" t="str">
            <v>10</v>
          </cell>
          <cell r="AC612" t="str">
            <v>[]</v>
          </cell>
          <cell r="AD612" t="str">
            <v>[]</v>
          </cell>
          <cell r="AE612" t="str">
            <v>[]</v>
          </cell>
          <cell r="AF612" t="str">
            <v>liuermihou_skill01</v>
          </cell>
          <cell r="AG612" t="str">
            <v>common_hit_qinwuqi</v>
          </cell>
          <cell r="AH612" t="str">
            <v>[]</v>
          </cell>
          <cell r="AI612" t="str">
            <v>[]</v>
          </cell>
          <cell r="AJ612" t="str">
            <v>[]</v>
          </cell>
          <cell r="AK612" t="str">
            <v>[]</v>
          </cell>
          <cell r="AL612" t="str">
            <v>[]</v>
          </cell>
          <cell r="AM612" t="str">
            <v>mingzhongdownT3N0.2</v>
          </cell>
          <cell r="AN612">
            <v>2</v>
          </cell>
          <cell r="AO612" t="str">
            <v>1</v>
          </cell>
          <cell r="AP612">
            <v>636</v>
          </cell>
          <cell r="AQ612">
            <v>636</v>
          </cell>
          <cell r="AR612" t="str">
            <v>[]</v>
          </cell>
          <cell r="AS612" t="str">
            <v>[]</v>
          </cell>
          <cell r="AT612" t="str">
            <v xml:space="preserve">  </v>
          </cell>
          <cell r="AU612" t="str">
            <v>3470</v>
          </cell>
          <cell r="AV612" t="str">
            <v>六耳猕猴</v>
          </cell>
          <cell r="AW612" t="str">
            <v>01</v>
          </cell>
          <cell r="AY612">
            <v>1</v>
          </cell>
          <cell r="BE612"/>
          <cell r="BF612"/>
        </row>
        <row r="613">
          <cell r="A613" t="str">
            <v>boss_liuermihou_skill02</v>
          </cell>
          <cell r="B613" t="str">
            <v>灵猴重击</v>
          </cell>
          <cell r="C613" t="str">
            <v>liuermihou_skill02</v>
          </cell>
          <cell r="D613" t="str">
            <v>[]</v>
          </cell>
          <cell r="E613">
            <v>2</v>
          </cell>
          <cell r="F613" t="str">
            <v>boss_warning_juxing</v>
          </cell>
          <cell r="G613" t="str">
            <v>猕猴技能2</v>
          </cell>
          <cell r="H613" t="str">
            <v>liuermihou_skill02</v>
          </cell>
          <cell r="I613" t="str">
            <v>[]</v>
          </cell>
          <cell r="J613">
            <v>1</v>
          </cell>
          <cell r="K613">
            <v>10</v>
          </cell>
          <cell r="L613" t="str">
            <v>[]</v>
          </cell>
          <cell r="M613">
            <v>2</v>
          </cell>
          <cell r="N613">
            <v>2</v>
          </cell>
          <cell r="O613">
            <v>1</v>
          </cell>
          <cell r="P613">
            <v>2</v>
          </cell>
          <cell r="Q613">
            <v>4</v>
          </cell>
          <cell r="R613" t="str">
            <v>2|1</v>
          </cell>
          <cell r="S613" t="str">
            <v>4|0.2</v>
          </cell>
          <cell r="T613">
            <v>1</v>
          </cell>
          <cell r="U613">
            <v>1</v>
          </cell>
          <cell r="V613">
            <v>0</v>
          </cell>
          <cell r="W613" t="str">
            <v>[]</v>
          </cell>
          <cell r="X613">
            <v>3</v>
          </cell>
          <cell r="Y613" t="str">
            <v>[]</v>
          </cell>
          <cell r="Z613" t="str">
            <v>0,2.0,0</v>
          </cell>
          <cell r="AA613">
            <v>0</v>
          </cell>
          <cell r="AB613" t="str">
            <v>10</v>
          </cell>
          <cell r="AC613" t="str">
            <v>[]</v>
          </cell>
          <cell r="AD613" t="str">
            <v>[]</v>
          </cell>
          <cell r="AE613" t="str">
            <v>liuermihou_skill02_wq</v>
          </cell>
          <cell r="AF613" t="str">
            <v>liuermihou_skill02</v>
          </cell>
          <cell r="AG613" t="str">
            <v>common_hit_qinwuqi</v>
          </cell>
          <cell r="AH613" t="str">
            <v>[]</v>
          </cell>
          <cell r="AI613" t="str">
            <v>[]</v>
          </cell>
          <cell r="AJ613" t="str">
            <v>[]</v>
          </cell>
          <cell r="AK613" t="str">
            <v>shock</v>
          </cell>
          <cell r="AL613" t="str">
            <v>shanbiupT3N0.3</v>
          </cell>
          <cell r="AM613" t="str">
            <v>[]</v>
          </cell>
          <cell r="AN613">
            <v>2</v>
          </cell>
          <cell r="AO613" t="str">
            <v>1</v>
          </cell>
          <cell r="AP613">
            <v>636</v>
          </cell>
          <cell r="AQ613">
            <v>636</v>
          </cell>
          <cell r="AR613" t="str">
            <v>[]</v>
          </cell>
          <cell r="AS613" t="str">
            <v>[]</v>
          </cell>
          <cell r="AT613" t="str">
            <v>3480</v>
          </cell>
          <cell r="AU613" t="str">
            <v>3480</v>
          </cell>
          <cell r="AV613" t="str">
            <v>猕猴</v>
          </cell>
          <cell r="AW613" t="str">
            <v>02</v>
          </cell>
          <cell r="AY613">
            <v>1</v>
          </cell>
          <cell r="BE613"/>
          <cell r="BF613"/>
        </row>
        <row r="614">
          <cell r="A614" t="str">
            <v>boss_liuermihou_skill04</v>
          </cell>
          <cell r="B614" t="str">
            <v>剑刃风暴</v>
          </cell>
          <cell r="C614" t="str">
            <v>liuermihou_skill04</v>
          </cell>
          <cell r="D614" t="str">
            <v>[]</v>
          </cell>
          <cell r="E614">
            <v>2</v>
          </cell>
          <cell r="F614" t="str">
            <v>boss_warning_yuanxing</v>
          </cell>
          <cell r="G614" t="str">
            <v>猕猴技能4</v>
          </cell>
          <cell r="H614" t="str">
            <v>liuermihou_skill04</v>
          </cell>
          <cell r="I614" t="str">
            <v>[]</v>
          </cell>
          <cell r="J614">
            <v>3</v>
          </cell>
          <cell r="K614">
            <v>10</v>
          </cell>
          <cell r="L614" t="str">
            <v>[]</v>
          </cell>
          <cell r="M614">
            <v>2</v>
          </cell>
          <cell r="N614">
            <v>2</v>
          </cell>
          <cell r="O614">
            <v>2</v>
          </cell>
          <cell r="P614">
            <v>2</v>
          </cell>
          <cell r="Q614">
            <v>4</v>
          </cell>
          <cell r="R614" t="str">
            <v>2|1</v>
          </cell>
          <cell r="S614" t="str">
            <v>2|10</v>
          </cell>
          <cell r="T614">
            <v>10</v>
          </cell>
          <cell r="U614">
            <v>1</v>
          </cell>
          <cell r="V614">
            <v>0</v>
          </cell>
          <cell r="W614" t="str">
            <v>[]</v>
          </cell>
          <cell r="X614">
            <v>3</v>
          </cell>
          <cell r="Y614" t="str">
            <v>[]</v>
          </cell>
          <cell r="Z614" t="str">
            <v>0,2.0,0</v>
          </cell>
          <cell r="AA614">
            <v>0</v>
          </cell>
          <cell r="AB614" t="str">
            <v>10</v>
          </cell>
          <cell r="AC614" t="str">
            <v>[]</v>
          </cell>
          <cell r="AD614" t="str">
            <v>[]</v>
          </cell>
          <cell r="AE614" t="str">
            <v>[]</v>
          </cell>
          <cell r="AF614" t="str">
            <v>liuermihou_skill04</v>
          </cell>
          <cell r="AG614" t="str">
            <v>common_hit_qinwuqi</v>
          </cell>
          <cell r="AH614" t="str">
            <v>[]</v>
          </cell>
          <cell r="AI614" t="str">
            <v>[]</v>
          </cell>
          <cell r="AJ614" t="str">
            <v>[]</v>
          </cell>
          <cell r="AK614" t="str">
            <v>[]</v>
          </cell>
          <cell r="AL614" t="str">
            <v>[]</v>
          </cell>
          <cell r="AM614" t="str">
            <v>[]</v>
          </cell>
          <cell r="AN614">
            <v>2</v>
          </cell>
          <cell r="AO614" t="str">
            <v>1</v>
          </cell>
          <cell r="AP614">
            <v>636</v>
          </cell>
          <cell r="AQ614">
            <v>636</v>
          </cell>
          <cell r="AR614" t="str">
            <v>[]</v>
          </cell>
          <cell r="AS614" t="str">
            <v>[]</v>
          </cell>
          <cell r="AT614" t="str">
            <v>3500</v>
          </cell>
          <cell r="AU614" t="str">
            <v>3500</v>
          </cell>
          <cell r="AV614" t="str">
            <v>猕猴</v>
          </cell>
          <cell r="AW614" t="str">
            <v>04</v>
          </cell>
          <cell r="AX614"/>
          <cell r="AY614">
            <v>1</v>
          </cell>
          <cell r="BE614"/>
          <cell r="BF614"/>
        </row>
        <row r="615">
          <cell r="A615" t="str">
            <v>boss_baigufuren_skill01</v>
          </cell>
          <cell r="B615" t="str">
            <v>枯骨逢春</v>
          </cell>
          <cell r="C615" t="str">
            <v>baigufuren_skill01</v>
          </cell>
          <cell r="D615" t="str">
            <v>[]</v>
          </cell>
          <cell r="E615">
            <v>0</v>
          </cell>
          <cell r="F615">
            <v>0</v>
          </cell>
          <cell r="G615" t="str">
            <v>白骨夫人核心技能</v>
          </cell>
          <cell r="H615" t="str">
            <v>baigufuren_skill01</v>
          </cell>
          <cell r="I615" t="str">
            <v>baigufuren_skill01</v>
          </cell>
          <cell r="J615">
            <v>0</v>
          </cell>
          <cell r="K615">
            <v>10</v>
          </cell>
          <cell r="L615" t="str">
            <v>1|16</v>
          </cell>
          <cell r="M615">
            <v>2</v>
          </cell>
          <cell r="N615">
            <v>2</v>
          </cell>
          <cell r="O615">
            <v>1</v>
          </cell>
          <cell r="P615">
            <v>5</v>
          </cell>
          <cell r="Q615">
            <v>12</v>
          </cell>
          <cell r="R615" t="str">
            <v>3|1</v>
          </cell>
          <cell r="S615">
            <v>5</v>
          </cell>
          <cell r="T615">
            <v>10</v>
          </cell>
          <cell r="U615">
            <v>1</v>
          </cell>
          <cell r="V615">
            <v>0</v>
          </cell>
          <cell r="W615" t="str">
            <v>[]</v>
          </cell>
          <cell r="X615">
            <v>0</v>
          </cell>
          <cell r="Y615" t="str">
            <v>[]</v>
          </cell>
          <cell r="Z615" t="str">
            <v>0,0,0</v>
          </cell>
          <cell r="AA615">
            <v>0</v>
          </cell>
          <cell r="AB615" t="str">
            <v>10</v>
          </cell>
          <cell r="AC615" t="str">
            <v>[]</v>
          </cell>
          <cell r="AD615" t="str">
            <v>[]</v>
          </cell>
          <cell r="AE615" t="str">
            <v>[]</v>
          </cell>
          <cell r="AF615" t="str">
            <v>baigufuren_skill01</v>
          </cell>
          <cell r="AG615" t="str">
            <v>respond_hp</v>
          </cell>
          <cell r="AH615" t="str">
            <v>[]</v>
          </cell>
          <cell r="AI615" t="str">
            <v>[]</v>
          </cell>
          <cell r="AJ615" t="str">
            <v>[]</v>
          </cell>
          <cell r="AK615" t="str">
            <v>[]</v>
          </cell>
          <cell r="AL615" t="str">
            <v>[]</v>
          </cell>
          <cell r="AM615" t="str">
            <v>huifuT3N0.4</v>
          </cell>
          <cell r="AN615">
            <v>2</v>
          </cell>
          <cell r="AO615" t="str">
            <v>1</v>
          </cell>
          <cell r="AP615" t="str">
            <v>[]</v>
          </cell>
          <cell r="AQ615">
            <v>622</v>
          </cell>
          <cell r="AR615" t="str">
            <v>[]</v>
          </cell>
          <cell r="AS615" t="str">
            <v>[]</v>
          </cell>
          <cell r="AT615" t="str">
            <v>3520</v>
          </cell>
          <cell r="AU615" t="str">
            <v>3520</v>
          </cell>
          <cell r="AV615" t="str">
            <v>白骨夫人</v>
          </cell>
          <cell r="AW615" t="str">
            <v>01</v>
          </cell>
          <cell r="AY615">
            <v>1</v>
          </cell>
          <cell r="BE615"/>
          <cell r="BF615"/>
        </row>
        <row r="616">
          <cell r="A616" t="str">
            <v>boss_baigufuren_skill02</v>
          </cell>
          <cell r="B616" t="str">
            <v>嗜血充饥</v>
          </cell>
          <cell r="C616" t="str">
            <v>baigufuren_skill02</v>
          </cell>
          <cell r="D616" t="str">
            <v>[]</v>
          </cell>
          <cell r="E616">
            <v>0</v>
          </cell>
          <cell r="F616" t="str">
            <v>[]</v>
          </cell>
          <cell r="G616" t="str">
            <v>白骨夫人技能2</v>
          </cell>
          <cell r="H616" t="str">
            <v>baigufuren_skill02</v>
          </cell>
          <cell r="I616" t="str">
            <v>[]</v>
          </cell>
          <cell r="J616">
            <v>1</v>
          </cell>
          <cell r="K616">
            <v>10</v>
          </cell>
          <cell r="L616" t="str">
            <v>[]</v>
          </cell>
          <cell r="M616">
            <v>2</v>
          </cell>
          <cell r="N616">
            <v>2</v>
          </cell>
          <cell r="O616">
            <v>1</v>
          </cell>
          <cell r="P616">
            <v>5</v>
          </cell>
          <cell r="Q616">
            <v>12</v>
          </cell>
          <cell r="R616" t="str">
            <v>3|1</v>
          </cell>
          <cell r="S616">
            <v>5</v>
          </cell>
          <cell r="T616">
            <v>10</v>
          </cell>
          <cell r="U616">
            <v>1</v>
          </cell>
          <cell r="V616">
            <v>0</v>
          </cell>
          <cell r="W616" t="str">
            <v>[]</v>
          </cell>
          <cell r="X616">
            <v>3</v>
          </cell>
          <cell r="Y616" t="str">
            <v>[]</v>
          </cell>
          <cell r="Z616" t="str">
            <v>0,0.8,0.2</v>
          </cell>
          <cell r="AA616">
            <v>0</v>
          </cell>
          <cell r="AB616" t="str">
            <v>10</v>
          </cell>
          <cell r="AC616" t="str">
            <v>[]</v>
          </cell>
          <cell r="AD616" t="str">
            <v>[]</v>
          </cell>
          <cell r="AE616" t="str">
            <v>[]</v>
          </cell>
          <cell r="AF616" t="str">
            <v>baigufuren_skill02_blank</v>
          </cell>
          <cell r="AG616" t="str">
            <v>baigufuren_skill02,respond_hp</v>
          </cell>
          <cell r="AH616" t="str">
            <v>[]</v>
          </cell>
          <cell r="AI616" t="str">
            <v>[]</v>
          </cell>
          <cell r="AJ616" t="str">
            <v>[]</v>
          </cell>
          <cell r="AK616" t="str">
            <v>[]</v>
          </cell>
          <cell r="AL616" t="str">
            <v>[]</v>
          </cell>
          <cell r="AM616" t="str">
            <v>[]</v>
          </cell>
          <cell r="AN616">
            <v>2</v>
          </cell>
          <cell r="AO616" t="str">
            <v>1</v>
          </cell>
          <cell r="AP616">
            <v>622</v>
          </cell>
          <cell r="AQ616">
            <v>622</v>
          </cell>
          <cell r="AR616" t="str">
            <v>[]</v>
          </cell>
          <cell r="AS616" t="str">
            <v>[]</v>
          </cell>
          <cell r="AT616" t="str">
            <v>3532</v>
          </cell>
          <cell r="AU616" t="str">
            <v>3532</v>
          </cell>
          <cell r="AV616" t="str">
            <v>白骨夫人</v>
          </cell>
          <cell r="AW616" t="str">
            <v>02</v>
          </cell>
          <cell r="AY616">
            <v>1</v>
          </cell>
          <cell r="BE616"/>
          <cell r="BF616"/>
        </row>
        <row r="617">
          <cell r="A617" t="str">
            <v>boss_baigufuren_skill04</v>
          </cell>
          <cell r="B617" t="str">
            <v>痛苦之灵</v>
          </cell>
          <cell r="C617" t="str">
            <v>baigufuren_skill04</v>
          </cell>
          <cell r="D617" t="str">
            <v>[]</v>
          </cell>
          <cell r="E617">
            <v>0</v>
          </cell>
          <cell r="F617" t="str">
            <v>[]</v>
          </cell>
          <cell r="G617" t="str">
            <v>白骨夫人技能4</v>
          </cell>
          <cell r="H617" t="str">
            <v>baigufuren_skill04</v>
          </cell>
          <cell r="I617" t="str">
            <v>[]</v>
          </cell>
          <cell r="J617">
            <v>3</v>
          </cell>
          <cell r="K617">
            <v>10</v>
          </cell>
          <cell r="L617" t="str">
            <v>[]</v>
          </cell>
          <cell r="M617">
            <v>2</v>
          </cell>
          <cell r="N617">
            <v>2</v>
          </cell>
          <cell r="O617">
            <v>1</v>
          </cell>
          <cell r="P617">
            <v>2</v>
          </cell>
          <cell r="Q617">
            <v>12</v>
          </cell>
          <cell r="R617" t="str">
            <v>3|1</v>
          </cell>
          <cell r="S617">
            <v>5</v>
          </cell>
          <cell r="T617">
            <v>10</v>
          </cell>
          <cell r="U617">
            <v>0</v>
          </cell>
          <cell r="V617">
            <v>0</v>
          </cell>
          <cell r="W617" t="str">
            <v>[]</v>
          </cell>
          <cell r="X617">
            <v>3</v>
          </cell>
          <cell r="Y617" t="str">
            <v>[]</v>
          </cell>
          <cell r="Z617" t="str">
            <v>0,0.8,1.4</v>
          </cell>
          <cell r="AA617">
            <v>0</v>
          </cell>
          <cell r="AB617" t="str">
            <v>10</v>
          </cell>
          <cell r="AC617" t="str">
            <v>[]</v>
          </cell>
          <cell r="AD617" t="str">
            <v>[]</v>
          </cell>
          <cell r="AE617" t="str">
            <v>[]</v>
          </cell>
          <cell r="AF617" t="str">
            <v>baigufuren_skill04_ack</v>
          </cell>
          <cell r="AG617" t="str">
            <v>baigufuren_skill04</v>
          </cell>
          <cell r="AH617" t="str">
            <v>[]</v>
          </cell>
          <cell r="AI617" t="str">
            <v>[]</v>
          </cell>
          <cell r="AJ617" t="str">
            <v>[]</v>
          </cell>
          <cell r="AK617" t="str">
            <v>qusanTN1P1</v>
          </cell>
          <cell r="AL617" t="str">
            <v>[]</v>
          </cell>
          <cell r="AM617" t="str">
            <v>[]</v>
          </cell>
          <cell r="AN617">
            <v>2</v>
          </cell>
          <cell r="AO617" t="str">
            <v>1</v>
          </cell>
          <cell r="AP617">
            <v>636</v>
          </cell>
          <cell r="AQ617" t="str">
            <v>[]</v>
          </cell>
          <cell r="AR617" t="str">
            <v>[]</v>
          </cell>
          <cell r="AS617" t="str">
            <v>[]</v>
          </cell>
          <cell r="AT617" t="str">
            <v>3550</v>
          </cell>
          <cell r="AU617" t="str">
            <v>3550</v>
          </cell>
          <cell r="AV617" t="str">
            <v>白骨夫人</v>
          </cell>
          <cell r="AW617" t="str">
            <v>04</v>
          </cell>
          <cell r="AX617"/>
          <cell r="AY617">
            <v>1</v>
          </cell>
          <cell r="BE617"/>
          <cell r="BF617"/>
        </row>
        <row r="618">
          <cell r="A618" t="str">
            <v>boss_hundun_skill01</v>
          </cell>
          <cell r="B618" t="str">
            <v>混沌阵</v>
          </cell>
          <cell r="C618" t="str">
            <v>hundun_skill01</v>
          </cell>
          <cell r="D618" t="str">
            <v>[]</v>
          </cell>
          <cell r="E618">
            <v>1</v>
          </cell>
          <cell r="F618" t="str">
            <v>boss_warning_yuanxing</v>
          </cell>
          <cell r="G618" t="str">
            <v>混沌核心技能</v>
          </cell>
          <cell r="H618" t="str">
            <v>hundun_skill01</v>
          </cell>
          <cell r="I618" t="str">
            <v>hundun_skill01</v>
          </cell>
          <cell r="J618">
            <v>0</v>
          </cell>
          <cell r="K618">
            <v>10</v>
          </cell>
          <cell r="L618" t="str">
            <v>1|18</v>
          </cell>
          <cell r="M618">
            <v>2</v>
          </cell>
          <cell r="N618">
            <v>2</v>
          </cell>
          <cell r="O618">
            <v>2</v>
          </cell>
          <cell r="P618">
            <v>2</v>
          </cell>
          <cell r="Q618">
            <v>12</v>
          </cell>
          <cell r="R618" t="str">
            <v>2|1</v>
          </cell>
          <cell r="S618" t="str">
            <v>2|10</v>
          </cell>
          <cell r="T618">
            <v>10</v>
          </cell>
          <cell r="U618">
            <v>0</v>
          </cell>
          <cell r="V618">
            <v>0</v>
          </cell>
          <cell r="W618" t="str">
            <v>[]</v>
          </cell>
          <cell r="X618">
            <v>0</v>
          </cell>
          <cell r="Y618" t="str">
            <v>[]</v>
          </cell>
          <cell r="Z618" t="str">
            <v>0,0,0</v>
          </cell>
          <cell r="AA618">
            <v>0</v>
          </cell>
          <cell r="AB618" t="str">
            <v>10</v>
          </cell>
          <cell r="AC618" t="str">
            <v>[]</v>
          </cell>
          <cell r="AD618" t="str">
            <v>[]</v>
          </cell>
          <cell r="AE618" t="str">
            <v>[]</v>
          </cell>
          <cell r="AF618" t="str">
            <v>hundun_skill01</v>
          </cell>
          <cell r="AG618" t="str">
            <v>common_hit_fashu</v>
          </cell>
          <cell r="AH618" t="str">
            <v>[]</v>
          </cell>
          <cell r="AI618" t="str">
            <v>[]</v>
          </cell>
          <cell r="AJ618" t="str">
            <v>[]</v>
          </cell>
          <cell r="AK618" t="str">
            <v>[]</v>
          </cell>
          <cell r="AL618" t="str">
            <v>[]</v>
          </cell>
          <cell r="AM618" t="str">
            <v>[]</v>
          </cell>
          <cell r="AN618">
            <v>2</v>
          </cell>
          <cell r="AO618" t="str">
            <v>1</v>
          </cell>
          <cell r="AP618">
            <v>636</v>
          </cell>
          <cell r="AQ618">
            <v>636</v>
          </cell>
          <cell r="AR618" t="str">
            <v>[]</v>
          </cell>
          <cell r="AS618" t="str">
            <v>[]</v>
          </cell>
          <cell r="AT618" t="str">
            <v>3570</v>
          </cell>
          <cell r="AU618" t="str">
            <v>3570</v>
          </cell>
          <cell r="AV618" t="str">
            <v>混沌</v>
          </cell>
          <cell r="AW618" t="str">
            <v>01</v>
          </cell>
          <cell r="AY618">
            <v>1</v>
          </cell>
          <cell r="BE618"/>
          <cell r="BF618"/>
        </row>
        <row r="619">
          <cell r="A619" t="str">
            <v>boss_hundun_skill02</v>
          </cell>
          <cell r="B619" t="str">
            <v>死亡飞鸟</v>
          </cell>
          <cell r="C619" t="str">
            <v>hundun_skill02</v>
          </cell>
          <cell r="D619" t="str">
            <v>[]</v>
          </cell>
          <cell r="E619">
            <v>2</v>
          </cell>
          <cell r="F619" t="str">
            <v>boss_warning_juxing</v>
          </cell>
          <cell r="G619" t="str">
            <v>混沌技能2</v>
          </cell>
          <cell r="H619" t="str">
            <v>hundun_skill02</v>
          </cell>
          <cell r="I619" t="str">
            <v>[]</v>
          </cell>
          <cell r="J619">
            <v>1</v>
          </cell>
          <cell r="K619">
            <v>10</v>
          </cell>
          <cell r="L619" t="str">
            <v>[]</v>
          </cell>
          <cell r="M619">
            <v>2</v>
          </cell>
          <cell r="N619">
            <v>2</v>
          </cell>
          <cell r="O619">
            <v>1</v>
          </cell>
          <cell r="P619">
            <v>2</v>
          </cell>
          <cell r="Q619">
            <v>4</v>
          </cell>
          <cell r="R619" t="str">
            <v>2|1</v>
          </cell>
          <cell r="S619" t="str">
            <v>1|1|2</v>
          </cell>
          <cell r="T619">
            <v>1</v>
          </cell>
          <cell r="U619">
            <v>0</v>
          </cell>
          <cell r="V619">
            <v>0</v>
          </cell>
          <cell r="W619" t="str">
            <v>[]</v>
          </cell>
          <cell r="X619">
            <v>3</v>
          </cell>
          <cell r="Y619" t="str">
            <v>[]</v>
          </cell>
          <cell r="Z619" t="str">
            <v>0,0.9,0.1</v>
          </cell>
          <cell r="AA619">
            <v>0</v>
          </cell>
          <cell r="AB619" t="str">
            <v>10</v>
          </cell>
          <cell r="AC619" t="str">
            <v>[]</v>
          </cell>
          <cell r="AD619" t="str">
            <v>[]</v>
          </cell>
          <cell r="AE619" t="str">
            <v>[]</v>
          </cell>
          <cell r="AF619" t="str">
            <v>hundun_skill02_f</v>
          </cell>
          <cell r="AG619" t="str">
            <v>hundun_skill02_b,common_hit</v>
          </cell>
          <cell r="AH619" t="str">
            <v>[]</v>
          </cell>
          <cell r="AI619" t="str">
            <v>[]</v>
          </cell>
          <cell r="AJ619" t="str">
            <v>[]</v>
          </cell>
          <cell r="AK619" t="str">
            <v>[]</v>
          </cell>
          <cell r="AL619" t="str">
            <v>[]</v>
          </cell>
          <cell r="AM619" t="str">
            <v>[]</v>
          </cell>
          <cell r="AN619">
            <v>2</v>
          </cell>
          <cell r="AO619" t="str">
            <v>1</v>
          </cell>
          <cell r="AP619">
            <v>636</v>
          </cell>
          <cell r="AQ619">
            <v>636</v>
          </cell>
          <cell r="AR619" t="str">
            <v>[]</v>
          </cell>
          <cell r="AS619" t="str">
            <v>[]</v>
          </cell>
          <cell r="AT619" t="str">
            <v>3580</v>
          </cell>
          <cell r="AU619" t="str">
            <v>3580</v>
          </cell>
          <cell r="AV619" t="str">
            <v>混沌</v>
          </cell>
          <cell r="AW619" t="str">
            <v>02</v>
          </cell>
          <cell r="AY619">
            <v>1</v>
          </cell>
          <cell r="BE619"/>
          <cell r="BF619"/>
        </row>
        <row r="620">
          <cell r="A620" t="str">
            <v>boss_hundun_skill04</v>
          </cell>
          <cell r="B620" t="str">
            <v>夺命地刺</v>
          </cell>
          <cell r="C620" t="str">
            <v>hundun_skill04</v>
          </cell>
          <cell r="D620" t="str">
            <v>[]</v>
          </cell>
          <cell r="E620">
            <v>1</v>
          </cell>
          <cell r="F620" t="str">
            <v>boss_warning_yuanxing</v>
          </cell>
          <cell r="G620" t="str">
            <v>混沌技能4</v>
          </cell>
          <cell r="H620" t="str">
            <v>hundun_skill04</v>
          </cell>
          <cell r="I620" t="str">
            <v>[]</v>
          </cell>
          <cell r="J620">
            <v>3</v>
          </cell>
          <cell r="K620">
            <v>10</v>
          </cell>
          <cell r="L620" t="str">
            <v>[]</v>
          </cell>
          <cell r="M620">
            <v>2</v>
          </cell>
          <cell r="N620">
            <v>2</v>
          </cell>
          <cell r="O620">
            <v>1</v>
          </cell>
          <cell r="P620">
            <v>2</v>
          </cell>
          <cell r="Q620">
            <v>12</v>
          </cell>
          <cell r="R620" t="str">
            <v>2|1</v>
          </cell>
          <cell r="S620" t="str">
            <v>1|11|3</v>
          </cell>
          <cell r="T620">
            <v>10</v>
          </cell>
          <cell r="U620">
            <v>0</v>
          </cell>
          <cell r="V620">
            <v>0</v>
          </cell>
          <cell r="W620" t="str">
            <v>[]</v>
          </cell>
          <cell r="X620">
            <v>3</v>
          </cell>
          <cell r="Y620" t="str">
            <v>[]</v>
          </cell>
          <cell r="Z620" t="str">
            <v>0,1.167,0</v>
          </cell>
          <cell r="AA620">
            <v>0</v>
          </cell>
          <cell r="AB620" t="str">
            <v>10</v>
          </cell>
          <cell r="AC620" t="str">
            <v>[]</v>
          </cell>
          <cell r="AD620" t="str">
            <v>[]</v>
          </cell>
          <cell r="AE620" t="str">
            <v>[]</v>
          </cell>
          <cell r="AF620" t="str">
            <v>hundun_skill04</v>
          </cell>
          <cell r="AG620" t="str">
            <v>common_hit_fashu</v>
          </cell>
          <cell r="AH620" t="str">
            <v>[]</v>
          </cell>
          <cell r="AI620" t="str">
            <v>[]</v>
          </cell>
          <cell r="AJ620" t="str">
            <v>hundun_zhenping</v>
          </cell>
          <cell r="AK620" t="str">
            <v>[]</v>
          </cell>
          <cell r="AL620" t="str">
            <v>[]</v>
          </cell>
          <cell r="AM620" t="str">
            <v>[]</v>
          </cell>
          <cell r="AN620">
            <v>2</v>
          </cell>
          <cell r="AO620" t="str">
            <v>1</v>
          </cell>
          <cell r="AP620">
            <v>636</v>
          </cell>
          <cell r="AQ620">
            <v>636</v>
          </cell>
          <cell r="AR620" t="str">
            <v>[]</v>
          </cell>
          <cell r="AS620" t="str">
            <v>[]</v>
          </cell>
          <cell r="AT620" t="str">
            <v>3600</v>
          </cell>
          <cell r="AU620" t="str">
            <v>3600</v>
          </cell>
          <cell r="AV620" t="str">
            <v>混沌</v>
          </cell>
          <cell r="AW620" t="str">
            <v>04</v>
          </cell>
          <cell r="AX620"/>
          <cell r="AY620">
            <v>1</v>
          </cell>
          <cell r="BE620"/>
          <cell r="BF620"/>
        </row>
        <row r="621">
          <cell r="A621" t="str">
            <v>boss_xiaobailong_skill01</v>
          </cell>
          <cell r="B621" t="str">
            <v>蛟龙出海</v>
          </cell>
          <cell r="C621" t="str">
            <v>xiaobailong_skill01</v>
          </cell>
          <cell r="D621" t="str">
            <v>[]</v>
          </cell>
          <cell r="E621">
            <v>1</v>
          </cell>
          <cell r="F621" t="str">
            <v>boss_warning_yuanxing</v>
          </cell>
          <cell r="G621" t="str">
            <v>小白龙核心技能</v>
          </cell>
          <cell r="H621" t="str">
            <v>xiaobailong_skill01</v>
          </cell>
          <cell r="I621" t="str">
            <v>xiaobailong_skill01</v>
          </cell>
          <cell r="J621">
            <v>0</v>
          </cell>
          <cell r="K621">
            <v>10</v>
          </cell>
          <cell r="L621" t="str">
            <v>1|23</v>
          </cell>
          <cell r="M621">
            <v>2</v>
          </cell>
          <cell r="N621">
            <v>2</v>
          </cell>
          <cell r="O621">
            <v>2</v>
          </cell>
          <cell r="P621">
            <v>2</v>
          </cell>
          <cell r="Q621">
            <v>12</v>
          </cell>
          <cell r="R621" t="str">
            <v>2|1</v>
          </cell>
          <cell r="S621" t="str">
            <v>2|10</v>
          </cell>
          <cell r="T621">
            <v>10</v>
          </cell>
          <cell r="U621">
            <v>0</v>
          </cell>
          <cell r="V621">
            <v>0</v>
          </cell>
          <cell r="W621" t="str">
            <v>[]</v>
          </cell>
          <cell r="X621">
            <v>0</v>
          </cell>
          <cell r="Y621" t="str">
            <v>[]</v>
          </cell>
          <cell r="Z621" t="str">
            <v>0,0,0</v>
          </cell>
          <cell r="AA621">
            <v>0</v>
          </cell>
          <cell r="AB621" t="str">
            <v>10</v>
          </cell>
          <cell r="AC621" t="str">
            <v>[]</v>
          </cell>
          <cell r="AD621" t="str">
            <v>[]</v>
          </cell>
          <cell r="AE621" t="str">
            <v>[]</v>
          </cell>
          <cell r="AF621" t="str">
            <v>xiaobailong_skill01</v>
          </cell>
          <cell r="AG621" t="str">
            <v>common_hit_zhongwuqi</v>
          </cell>
          <cell r="AH621" t="str">
            <v>[]</v>
          </cell>
          <cell r="AI621" t="str">
            <v>[]</v>
          </cell>
          <cell r="AJ621" t="str">
            <v>[]</v>
          </cell>
          <cell r="AK621" t="str">
            <v>[]</v>
          </cell>
          <cell r="AL621" t="str">
            <v>[]</v>
          </cell>
          <cell r="AM621" t="str">
            <v>[]</v>
          </cell>
          <cell r="AN621">
            <v>2</v>
          </cell>
          <cell r="AO621" t="str">
            <v>1</v>
          </cell>
          <cell r="AP621">
            <v>636</v>
          </cell>
          <cell r="AQ621">
            <v>636</v>
          </cell>
          <cell r="AR621" t="str">
            <v>[]</v>
          </cell>
          <cell r="AS621" t="str">
            <v>[]</v>
          </cell>
          <cell r="AT621" t="str">
            <v>3620</v>
          </cell>
          <cell r="AU621" t="str">
            <v>3620</v>
          </cell>
          <cell r="AV621" t="str">
            <v>小白龙</v>
          </cell>
          <cell r="AW621" t="str">
            <v>01</v>
          </cell>
          <cell r="AY621">
            <v>1</v>
          </cell>
          <cell r="BE621"/>
          <cell r="BF621"/>
        </row>
        <row r="622">
          <cell r="A622" t="str">
            <v>boss_xiaobailong_skill02</v>
          </cell>
          <cell r="B622" t="str">
            <v>神龙摆尾</v>
          </cell>
          <cell r="C622" t="str">
            <v>xiaobailong_skill02</v>
          </cell>
          <cell r="D622" t="str">
            <v>[]</v>
          </cell>
          <cell r="E622">
            <v>2</v>
          </cell>
          <cell r="F622" t="str">
            <v>boss_warning_juxing</v>
          </cell>
          <cell r="G622" t="str">
            <v>小白龙技能2</v>
          </cell>
          <cell r="H622" t="str">
            <v>xiaobailong_skill02</v>
          </cell>
          <cell r="I622" t="str">
            <v>[]</v>
          </cell>
          <cell r="J622">
            <v>1</v>
          </cell>
          <cell r="K622">
            <v>10</v>
          </cell>
          <cell r="L622" t="str">
            <v>[]</v>
          </cell>
          <cell r="M622">
            <v>2</v>
          </cell>
          <cell r="N622">
            <v>2</v>
          </cell>
          <cell r="O622">
            <v>1</v>
          </cell>
          <cell r="P622">
            <v>2</v>
          </cell>
          <cell r="Q622">
            <v>4</v>
          </cell>
          <cell r="R622" t="str">
            <v>2|1</v>
          </cell>
          <cell r="S622" t="str">
            <v>4|0.2</v>
          </cell>
          <cell r="T622">
            <v>10</v>
          </cell>
          <cell r="U622">
            <v>0</v>
          </cell>
          <cell r="V622">
            <v>0</v>
          </cell>
          <cell r="W622" t="str">
            <v>[]</v>
          </cell>
          <cell r="X622">
            <v>3</v>
          </cell>
          <cell r="Y622" t="str">
            <v>[]</v>
          </cell>
          <cell r="Z622" t="str">
            <v>0,1.833,0</v>
          </cell>
          <cell r="AA622">
            <v>0</v>
          </cell>
          <cell r="AB622" t="str">
            <v>10</v>
          </cell>
          <cell r="AC622" t="str">
            <v>[]</v>
          </cell>
          <cell r="AD622" t="str">
            <v>[]</v>
          </cell>
          <cell r="AE622" t="str">
            <v>[]</v>
          </cell>
          <cell r="AF622" t="str">
            <v>xiaobailong_skill02</v>
          </cell>
          <cell r="AG622" t="str">
            <v>common_hit_zhongwuqi</v>
          </cell>
          <cell r="AH622" t="str">
            <v>[]</v>
          </cell>
          <cell r="AI622" t="str">
            <v>[]</v>
          </cell>
          <cell r="AJ622" t="str">
            <v>xiaobailong_zhenping_01,xiaobailong_zhenping</v>
          </cell>
          <cell r="AK622" t="str">
            <v>yunxuanT1NP0.1</v>
          </cell>
          <cell r="AL622" t="str">
            <v>[]</v>
          </cell>
          <cell r="AM622" t="str">
            <v>[]</v>
          </cell>
          <cell r="AN622">
            <v>2</v>
          </cell>
          <cell r="AO622" t="str">
            <v>1</v>
          </cell>
          <cell r="AP622">
            <v>636</v>
          </cell>
          <cell r="AQ622">
            <v>636</v>
          </cell>
          <cell r="AR622" t="str">
            <v>[]</v>
          </cell>
          <cell r="AS622" t="str">
            <v>[]</v>
          </cell>
          <cell r="AT622" t="str">
            <v>3630</v>
          </cell>
          <cell r="AU622" t="str">
            <v>3630</v>
          </cell>
          <cell r="AV622" t="str">
            <v>小白龙</v>
          </cell>
          <cell r="AW622" t="str">
            <v>02</v>
          </cell>
          <cell r="AY622">
            <v>1</v>
          </cell>
          <cell r="BE622"/>
          <cell r="BF622"/>
        </row>
        <row r="623">
          <cell r="A623" t="str">
            <v>boss_xiaobailong_skill04</v>
          </cell>
          <cell r="B623" t="str">
            <v>豪龙胆</v>
          </cell>
          <cell r="C623" t="str">
            <v>xiaobailong_skill04</v>
          </cell>
          <cell r="D623" t="str">
            <v>[]</v>
          </cell>
          <cell r="E623">
            <v>2</v>
          </cell>
          <cell r="F623" t="str">
            <v>boss_warning_juxing</v>
          </cell>
          <cell r="G623" t="str">
            <v>小白龙技能4</v>
          </cell>
          <cell r="H623" t="str">
            <v>xiaobailong_skill04</v>
          </cell>
          <cell r="I623" t="str">
            <v>[]</v>
          </cell>
          <cell r="J623">
            <v>3</v>
          </cell>
          <cell r="K623">
            <v>10</v>
          </cell>
          <cell r="L623" t="str">
            <v>[]</v>
          </cell>
          <cell r="M623">
            <v>2</v>
          </cell>
          <cell r="N623">
            <v>2</v>
          </cell>
          <cell r="O623">
            <v>1</v>
          </cell>
          <cell r="P623">
            <v>2</v>
          </cell>
          <cell r="Q623">
            <v>4</v>
          </cell>
          <cell r="R623" t="str">
            <v>2|1</v>
          </cell>
          <cell r="S623" t="str">
            <v>1|12|5</v>
          </cell>
          <cell r="T623">
            <v>10</v>
          </cell>
          <cell r="U623">
            <v>0</v>
          </cell>
          <cell r="V623">
            <v>0</v>
          </cell>
          <cell r="W623" t="str">
            <v>[]</v>
          </cell>
          <cell r="X623">
            <v>3</v>
          </cell>
          <cell r="Y623" t="str">
            <v>[]</v>
          </cell>
          <cell r="Z623" t="str">
            <v>0,2.333,0</v>
          </cell>
          <cell r="AA623">
            <v>0</v>
          </cell>
          <cell r="AB623" t="str">
            <v>10</v>
          </cell>
          <cell r="AC623" t="str">
            <v>[]</v>
          </cell>
          <cell r="AD623" t="str">
            <v>[]</v>
          </cell>
          <cell r="AE623" t="str">
            <v>[]</v>
          </cell>
          <cell r="AF623" t="str">
            <v>xiaobailong_skill04</v>
          </cell>
          <cell r="AG623" t="str">
            <v>common_hit_zhongwuqi</v>
          </cell>
          <cell r="AH623" t="str">
            <v>[]</v>
          </cell>
          <cell r="AI623" t="str">
            <v>[]</v>
          </cell>
          <cell r="AJ623" t="str">
            <v>xiaobailong_zhenping_02</v>
          </cell>
          <cell r="AK623" t="str">
            <v>[]</v>
          </cell>
          <cell r="AL623" t="str">
            <v>baojiupT3N0.2</v>
          </cell>
          <cell r="AM623" t="str">
            <v>[]</v>
          </cell>
          <cell r="AN623">
            <v>2</v>
          </cell>
          <cell r="AO623" t="str">
            <v>1</v>
          </cell>
          <cell r="AP623">
            <v>636</v>
          </cell>
          <cell r="AQ623">
            <v>636</v>
          </cell>
          <cell r="AR623" t="str">
            <v>[]</v>
          </cell>
          <cell r="AS623" t="str">
            <v>[]</v>
          </cell>
          <cell r="AT623" t="str">
            <v>3650</v>
          </cell>
          <cell r="AU623" t="str">
            <v>3650</v>
          </cell>
          <cell r="AV623" t="str">
            <v>小白龙</v>
          </cell>
          <cell r="AW623" t="str">
            <v>04</v>
          </cell>
          <cell r="AX623"/>
          <cell r="AY623">
            <v>1</v>
          </cell>
          <cell r="BE623"/>
          <cell r="BF623"/>
        </row>
        <row r="624">
          <cell r="A624" t="str">
            <v>boss_shaheshang_skill01</v>
          </cell>
          <cell r="B624" t="str">
            <v>河神怒</v>
          </cell>
          <cell r="C624" t="str">
            <v>shaheshang_skill01</v>
          </cell>
          <cell r="D624" t="str">
            <v>[]</v>
          </cell>
          <cell r="E624">
            <v>1</v>
          </cell>
          <cell r="F624" t="str">
            <v>boss_warning_yuanxing</v>
          </cell>
          <cell r="G624" t="str">
            <v>沙和尚核心技能</v>
          </cell>
          <cell r="H624" t="str">
            <v>shaheshang_skill01</v>
          </cell>
          <cell r="I624" t="str">
            <v>shaheshang_skill01</v>
          </cell>
          <cell r="J624">
            <v>0</v>
          </cell>
          <cell r="K624">
            <v>10</v>
          </cell>
          <cell r="L624" t="str">
            <v>1|22</v>
          </cell>
          <cell r="M624">
            <v>2</v>
          </cell>
          <cell r="N624">
            <v>2</v>
          </cell>
          <cell r="O624">
            <v>2</v>
          </cell>
          <cell r="P624">
            <v>2</v>
          </cell>
          <cell r="Q624">
            <v>12</v>
          </cell>
          <cell r="R624" t="str">
            <v>2|1</v>
          </cell>
          <cell r="S624">
            <v>5</v>
          </cell>
          <cell r="T624">
            <v>10</v>
          </cell>
          <cell r="U624">
            <v>0</v>
          </cell>
          <cell r="V624">
            <v>0</v>
          </cell>
          <cell r="W624" t="str">
            <v>[]</v>
          </cell>
          <cell r="X624">
            <v>0</v>
          </cell>
          <cell r="Y624" t="str">
            <v>[]</v>
          </cell>
          <cell r="Z624" t="str">
            <v>0,0,0</v>
          </cell>
          <cell r="AA624">
            <v>0</v>
          </cell>
          <cell r="AB624" t="str">
            <v>10</v>
          </cell>
          <cell r="AC624" t="str">
            <v>[]</v>
          </cell>
          <cell r="AD624" t="str">
            <v>[]</v>
          </cell>
          <cell r="AE624" t="str">
            <v>[]</v>
          </cell>
          <cell r="AF624" t="str">
            <v>shaheshang_skill01</v>
          </cell>
          <cell r="AG624" t="str">
            <v>common_hit_fashu</v>
          </cell>
          <cell r="AH624" t="str">
            <v>[]</v>
          </cell>
          <cell r="AI624" t="str">
            <v>[]</v>
          </cell>
          <cell r="AJ624" t="str">
            <v>[]</v>
          </cell>
          <cell r="AK624" t="str">
            <v>[]</v>
          </cell>
          <cell r="AL624" t="str">
            <v>yishangT3N0.15</v>
          </cell>
          <cell r="AM624" t="str">
            <v>[]</v>
          </cell>
          <cell r="AN624">
            <v>2</v>
          </cell>
          <cell r="AO624" t="str">
            <v>1</v>
          </cell>
          <cell r="AP624">
            <v>636</v>
          </cell>
          <cell r="AQ624">
            <v>636</v>
          </cell>
          <cell r="AR624" t="str">
            <v>[]</v>
          </cell>
          <cell r="AS624" t="str">
            <v>[]</v>
          </cell>
          <cell r="AT624" t="str">
            <v>3670</v>
          </cell>
          <cell r="AU624" t="str">
            <v>3670</v>
          </cell>
          <cell r="AV624" t="str">
            <v>沙和尚</v>
          </cell>
          <cell r="AW624" t="str">
            <v>01</v>
          </cell>
          <cell r="AY624">
            <v>1</v>
          </cell>
          <cell r="BE624"/>
          <cell r="BF624"/>
        </row>
        <row r="625">
          <cell r="A625" t="str">
            <v>boss_shaheshang_skill02</v>
          </cell>
          <cell r="B625" t="str">
            <v>破浪流沙</v>
          </cell>
          <cell r="C625" t="str">
            <v>shaheshang_skill02</v>
          </cell>
          <cell r="D625" t="str">
            <v>[]</v>
          </cell>
          <cell r="E625">
            <v>2</v>
          </cell>
          <cell r="F625" t="str">
            <v>boss_warning_juxing</v>
          </cell>
          <cell r="G625" t="str">
            <v>沙和尚技能4</v>
          </cell>
          <cell r="H625" t="str">
            <v>shaheshang_skill04</v>
          </cell>
          <cell r="I625" t="str">
            <v>[]</v>
          </cell>
          <cell r="J625">
            <v>1</v>
          </cell>
          <cell r="K625">
            <v>10</v>
          </cell>
          <cell r="L625" t="str">
            <v>[]</v>
          </cell>
          <cell r="M625">
            <v>2</v>
          </cell>
          <cell r="N625">
            <v>2</v>
          </cell>
          <cell r="O625">
            <v>1</v>
          </cell>
          <cell r="P625">
            <v>2</v>
          </cell>
          <cell r="Q625">
            <v>4</v>
          </cell>
          <cell r="R625" t="str">
            <v>2|1</v>
          </cell>
          <cell r="S625" t="str">
            <v>1|5|10</v>
          </cell>
          <cell r="T625">
            <v>10</v>
          </cell>
          <cell r="U625">
            <v>1</v>
          </cell>
          <cell r="V625">
            <v>0</v>
          </cell>
          <cell r="W625" t="str">
            <v>[]</v>
          </cell>
          <cell r="X625">
            <v>3</v>
          </cell>
          <cell r="Y625" t="str">
            <v>[]</v>
          </cell>
          <cell r="Z625" t="str">
            <v>0,1.0,0</v>
          </cell>
          <cell r="AA625">
            <v>0</v>
          </cell>
          <cell r="AB625" t="str">
            <v>10</v>
          </cell>
          <cell r="AC625" t="str">
            <v>[]</v>
          </cell>
          <cell r="AD625" t="str">
            <v>[]</v>
          </cell>
          <cell r="AE625" t="str">
            <v>[]</v>
          </cell>
          <cell r="AF625" t="str">
            <v>shaheshang_skill02</v>
          </cell>
          <cell r="AG625" t="str">
            <v>common_hit_fashu</v>
          </cell>
          <cell r="AH625" t="str">
            <v>[]</v>
          </cell>
          <cell r="AI625" t="str">
            <v>[]</v>
          </cell>
          <cell r="AJ625" t="str">
            <v>[]</v>
          </cell>
          <cell r="AK625" t="str">
            <v>[]</v>
          </cell>
          <cell r="AL625" t="str">
            <v>[]</v>
          </cell>
          <cell r="AM625" t="str">
            <v>jiashangupT3N0.1</v>
          </cell>
          <cell r="AN625">
            <v>2</v>
          </cell>
          <cell r="AO625" t="str">
            <v>1</v>
          </cell>
          <cell r="AP625">
            <v>636</v>
          </cell>
          <cell r="AQ625">
            <v>636</v>
          </cell>
          <cell r="AR625" t="str">
            <v>[]</v>
          </cell>
          <cell r="AS625" t="str">
            <v>[]</v>
          </cell>
          <cell r="AT625" t="str">
            <v>3700</v>
          </cell>
          <cell r="AU625" t="str">
            <v>3680</v>
          </cell>
          <cell r="AV625" t="str">
            <v>沙和尚</v>
          </cell>
          <cell r="AW625" t="str">
            <v>02</v>
          </cell>
          <cell r="AY625">
            <v>1</v>
          </cell>
          <cell r="BE625"/>
          <cell r="BF625"/>
        </row>
        <row r="626">
          <cell r="A626" t="str">
            <v>boss_shaheshang_skill04</v>
          </cell>
          <cell r="B626" t="str">
            <v>飞流击水</v>
          </cell>
          <cell r="C626" t="str">
            <v>shaheshang_skill04</v>
          </cell>
          <cell r="D626" t="str">
            <v>[]</v>
          </cell>
          <cell r="E626">
            <v>0</v>
          </cell>
          <cell r="F626" t="str">
            <v>[]</v>
          </cell>
          <cell r="G626" t="str">
            <v>沙和尚技能2</v>
          </cell>
          <cell r="H626" t="str">
            <v>shaheshang_skill02</v>
          </cell>
          <cell r="I626" t="str">
            <v>[]</v>
          </cell>
          <cell r="J626">
            <v>3</v>
          </cell>
          <cell r="K626">
            <v>10</v>
          </cell>
          <cell r="L626" t="str">
            <v>[]</v>
          </cell>
          <cell r="M626">
            <v>2</v>
          </cell>
          <cell r="N626">
            <v>2</v>
          </cell>
          <cell r="O626">
            <v>1</v>
          </cell>
          <cell r="P626">
            <v>2</v>
          </cell>
          <cell r="Q626">
            <v>12</v>
          </cell>
          <cell r="R626" t="str">
            <v>2|1</v>
          </cell>
          <cell r="S626">
            <v>210</v>
          </cell>
          <cell r="T626">
            <v>10</v>
          </cell>
          <cell r="U626">
            <v>0</v>
          </cell>
          <cell r="V626">
            <v>0</v>
          </cell>
          <cell r="W626" t="str">
            <v>[]</v>
          </cell>
          <cell r="X626">
            <v>3</v>
          </cell>
          <cell r="Y626" t="str">
            <v>[]</v>
          </cell>
          <cell r="Z626" t="str">
            <v>0,1.35,0</v>
          </cell>
          <cell r="AA626">
            <v>0</v>
          </cell>
          <cell r="AB626" t="str">
            <v>10</v>
          </cell>
          <cell r="AC626" t="str">
            <v>[]</v>
          </cell>
          <cell r="AD626" t="str">
            <v>[]</v>
          </cell>
          <cell r="AE626" t="str">
            <v>[]</v>
          </cell>
          <cell r="AF626" t="str">
            <v>shaheshang_skill04_ack</v>
          </cell>
          <cell r="AG626" t="str">
            <v>shaheshang_skill04</v>
          </cell>
          <cell r="AH626" t="str">
            <v>[]</v>
          </cell>
          <cell r="AI626" t="str">
            <v>[]</v>
          </cell>
          <cell r="AJ626" t="str">
            <v>[]</v>
          </cell>
          <cell r="AK626" t="str">
            <v>[]</v>
          </cell>
          <cell r="AL626" t="str">
            <v>[]</v>
          </cell>
          <cell r="AM626" t="str">
            <v>liuxueT6N0.1</v>
          </cell>
          <cell r="AN626">
            <v>2</v>
          </cell>
          <cell r="AO626" t="str">
            <v>1</v>
          </cell>
          <cell r="AP626">
            <v>636</v>
          </cell>
          <cell r="AQ626" t="str">
            <v>[]</v>
          </cell>
          <cell r="AR626" t="str">
            <v>[]</v>
          </cell>
          <cell r="AS626" t="str">
            <v>[]</v>
          </cell>
          <cell r="AT626" t="str">
            <v>3680</v>
          </cell>
          <cell r="AU626" t="str">
            <v>3700</v>
          </cell>
          <cell r="AV626" t="str">
            <v>沙和尚</v>
          </cell>
          <cell r="AW626" t="str">
            <v>04</v>
          </cell>
          <cell r="AX626"/>
          <cell r="AY626">
            <v>1</v>
          </cell>
          <cell r="BE626"/>
          <cell r="BF626"/>
        </row>
        <row r="627">
          <cell r="A627" t="str">
            <v>boss_tangsanzang_skill01</v>
          </cell>
          <cell r="B627" t="str">
            <v>我佛慈悲</v>
          </cell>
          <cell r="C627" t="str">
            <v>tangsanzang_skill01</v>
          </cell>
          <cell r="D627" t="str">
            <v>[]</v>
          </cell>
          <cell r="E627">
            <v>0</v>
          </cell>
          <cell r="F627" t="str">
            <v>[]</v>
          </cell>
          <cell r="G627" t="str">
            <v>唐三藏核心技能</v>
          </cell>
          <cell r="H627" t="str">
            <v>tangsanzang_skill04</v>
          </cell>
          <cell r="I627" t="str">
            <v>tangsanzang_skill04</v>
          </cell>
          <cell r="J627">
            <v>0</v>
          </cell>
          <cell r="K627">
            <v>10</v>
          </cell>
          <cell r="L627" t="str">
            <v>1|24</v>
          </cell>
          <cell r="M627">
            <v>2</v>
          </cell>
          <cell r="N627">
            <v>2</v>
          </cell>
          <cell r="O627">
            <v>1</v>
          </cell>
          <cell r="P627">
            <v>4</v>
          </cell>
          <cell r="Q627">
            <v>12</v>
          </cell>
          <cell r="R627">
            <v>3</v>
          </cell>
          <cell r="S627">
            <v>5</v>
          </cell>
          <cell r="T627">
            <v>10</v>
          </cell>
          <cell r="U627">
            <v>0</v>
          </cell>
          <cell r="V627">
            <v>0</v>
          </cell>
          <cell r="W627" t="str">
            <v>[]</v>
          </cell>
          <cell r="X627">
            <v>0</v>
          </cell>
          <cell r="Y627">
            <v>0</v>
          </cell>
          <cell r="Z627" t="str">
            <v>0,0,0</v>
          </cell>
          <cell r="AA627">
            <v>0</v>
          </cell>
          <cell r="AB627" t="str">
            <v>10</v>
          </cell>
          <cell r="AC627" t="str">
            <v>[]</v>
          </cell>
          <cell r="AD627" t="str">
            <v>[]</v>
          </cell>
          <cell r="AE627" t="str">
            <v>[]</v>
          </cell>
          <cell r="AF627" t="str">
            <v>tangsanzang_skill01_ack</v>
          </cell>
          <cell r="AG627" t="str">
            <v>tangsanzang_skill01</v>
          </cell>
          <cell r="AH627" t="str">
            <v>[]</v>
          </cell>
          <cell r="AI627" t="str">
            <v>[]</v>
          </cell>
          <cell r="AJ627" t="str">
            <v>[]</v>
          </cell>
          <cell r="AK627" t="str">
            <v>shengminghudunT3N0.25P1</v>
          </cell>
          <cell r="AL627" t="str">
            <v>[]</v>
          </cell>
          <cell r="AM627" t="str">
            <v>[]</v>
          </cell>
          <cell r="AN627">
            <v>2</v>
          </cell>
          <cell r="AO627" t="str">
            <v>1</v>
          </cell>
          <cell r="AP627" t="str">
            <v>[]</v>
          </cell>
          <cell r="AQ627" t="str">
            <v>[]</v>
          </cell>
          <cell r="AR627" t="str">
            <v>[]</v>
          </cell>
          <cell r="AS627" t="str">
            <v>[]</v>
          </cell>
          <cell r="AT627" t="str">
            <v>3720</v>
          </cell>
          <cell r="AU627" t="str">
            <v>3720</v>
          </cell>
          <cell r="AV627" t="str">
            <v>唐三藏</v>
          </cell>
          <cell r="AW627" t="str">
            <v>01</v>
          </cell>
          <cell r="AY627">
            <v>1</v>
          </cell>
          <cell r="BE627"/>
          <cell r="BF627"/>
          <cell r="BO627">
            <v>0</v>
          </cell>
        </row>
        <row r="628">
          <cell r="A628" t="str">
            <v>boss_tangsanzang_skill02</v>
          </cell>
          <cell r="B628" t="str">
            <v>佛光守护</v>
          </cell>
          <cell r="C628" t="str">
            <v>tangsanzang_skill02</v>
          </cell>
          <cell r="D628" t="str">
            <v>[]</v>
          </cell>
          <cell r="E628">
            <v>0</v>
          </cell>
          <cell r="F628" t="str">
            <v>[]</v>
          </cell>
          <cell r="G628" t="str">
            <v>唐三藏技能2</v>
          </cell>
          <cell r="H628" t="str">
            <v>tangsanzang_skill01</v>
          </cell>
          <cell r="I628" t="str">
            <v>[]</v>
          </cell>
          <cell r="J628">
            <v>1</v>
          </cell>
          <cell r="K628">
            <v>10</v>
          </cell>
          <cell r="L628" t="str">
            <v>[]</v>
          </cell>
          <cell r="M628">
            <v>2</v>
          </cell>
          <cell r="N628">
            <v>2</v>
          </cell>
          <cell r="O628">
            <v>2</v>
          </cell>
          <cell r="P628">
            <v>2</v>
          </cell>
          <cell r="Q628">
            <v>12</v>
          </cell>
          <cell r="R628">
            <v>1</v>
          </cell>
          <cell r="S628" t="str">
            <v>4|0.2</v>
          </cell>
          <cell r="T628">
            <v>10</v>
          </cell>
          <cell r="U628">
            <v>0</v>
          </cell>
          <cell r="V628">
            <v>0</v>
          </cell>
          <cell r="W628" t="str">
            <v>[]</v>
          </cell>
          <cell r="X628">
            <v>3</v>
          </cell>
          <cell r="Y628" t="str">
            <v>[]</v>
          </cell>
          <cell r="Z628" t="str">
            <v>0,4,0</v>
          </cell>
          <cell r="AA628">
            <v>0</v>
          </cell>
          <cell r="AB628" t="str">
            <v>10</v>
          </cell>
          <cell r="AC628" t="str">
            <v>[]</v>
          </cell>
          <cell r="AD628" t="str">
            <v>[]</v>
          </cell>
          <cell r="AE628" t="str">
            <v>[]</v>
          </cell>
          <cell r="AF628" t="str">
            <v>tangsanzang_skill02</v>
          </cell>
          <cell r="AG628" t="str">
            <v>common_hit_fashu</v>
          </cell>
          <cell r="AH628" t="str">
            <v>[]</v>
          </cell>
          <cell r="AI628" t="str">
            <v>[]</v>
          </cell>
          <cell r="AJ628" t="str">
            <v>[]</v>
          </cell>
          <cell r="AK628" t="str">
            <v>[]</v>
          </cell>
          <cell r="AL628" t="str">
            <v>jianshangupT3N0.1</v>
          </cell>
          <cell r="AM628" t="str">
            <v>[]</v>
          </cell>
          <cell r="AN628">
            <v>2</v>
          </cell>
          <cell r="AO628" t="str">
            <v>1</v>
          </cell>
          <cell r="AP628">
            <v>636</v>
          </cell>
          <cell r="AQ628" t="str">
            <v>[]</v>
          </cell>
          <cell r="AR628" t="str">
            <v>[]</v>
          </cell>
          <cell r="AS628" t="str">
            <v>[]</v>
          </cell>
          <cell r="AT628" t="str">
            <v>3730</v>
          </cell>
          <cell r="AU628" t="str">
            <v>3730</v>
          </cell>
          <cell r="AV628" t="str">
            <v>唐三藏</v>
          </cell>
          <cell r="AW628" t="str">
            <v>02</v>
          </cell>
          <cell r="AY628">
            <v>1</v>
          </cell>
          <cell r="BE628"/>
          <cell r="BF628"/>
        </row>
        <row r="629">
          <cell r="A629" t="str">
            <v>boss_tangsanzang_skill04</v>
          </cell>
          <cell r="B629" t="str">
            <v>紧箍咒</v>
          </cell>
          <cell r="C629" t="str">
            <v>tangsanzang_skill04</v>
          </cell>
          <cell r="D629" t="str">
            <v>[]</v>
          </cell>
          <cell r="E629">
            <v>2</v>
          </cell>
          <cell r="F629" t="str">
            <v>boss_warning_yuanxing</v>
          </cell>
          <cell r="G629" t="str">
            <v>唐三藏技能4</v>
          </cell>
          <cell r="H629" t="str">
            <v>tangsanzang_skill02</v>
          </cell>
          <cell r="I629" t="str">
            <v>[]</v>
          </cell>
          <cell r="J629">
            <v>3</v>
          </cell>
          <cell r="K629">
            <v>10</v>
          </cell>
          <cell r="L629" t="str">
            <v>[]</v>
          </cell>
          <cell r="M629">
            <v>2</v>
          </cell>
          <cell r="N629">
            <v>2</v>
          </cell>
          <cell r="O629">
            <v>1</v>
          </cell>
          <cell r="P629">
            <v>2</v>
          </cell>
          <cell r="Q629">
            <v>4</v>
          </cell>
          <cell r="R629" t="str">
            <v>2|1</v>
          </cell>
          <cell r="S629" t="str">
            <v>2|10</v>
          </cell>
          <cell r="T629">
            <v>1</v>
          </cell>
          <cell r="U629">
            <v>1</v>
          </cell>
          <cell r="V629">
            <v>0</v>
          </cell>
          <cell r="W629" t="str">
            <v>[]</v>
          </cell>
          <cell r="X629">
            <v>3</v>
          </cell>
          <cell r="Y629" t="str">
            <v>[]</v>
          </cell>
          <cell r="Z629" t="str">
            <v>0,2,0</v>
          </cell>
          <cell r="AA629">
            <v>0</v>
          </cell>
          <cell r="AB629" t="str">
            <v>10</v>
          </cell>
          <cell r="AC629" t="str">
            <v>[]</v>
          </cell>
          <cell r="AD629" t="str">
            <v>[]</v>
          </cell>
          <cell r="AE629" t="str">
            <v>[]</v>
          </cell>
          <cell r="AF629" t="str">
            <v>tangsanzang_skill04</v>
          </cell>
          <cell r="AG629" t="str">
            <v>tangsanzang_skill04_b</v>
          </cell>
          <cell r="AH629" t="str">
            <v>[]</v>
          </cell>
          <cell r="AI629" t="str">
            <v>[]</v>
          </cell>
          <cell r="AJ629" t="str">
            <v>[]</v>
          </cell>
          <cell r="AK629" t="str">
            <v>yunxuanT1NP0.4</v>
          </cell>
          <cell r="AL629" t="str">
            <v>[]</v>
          </cell>
          <cell r="AM629" t="str">
            <v>[]</v>
          </cell>
          <cell r="AN629">
            <v>2</v>
          </cell>
          <cell r="AO629" t="str">
            <v>1</v>
          </cell>
          <cell r="AP629">
            <v>636</v>
          </cell>
          <cell r="AQ629">
            <v>636</v>
          </cell>
          <cell r="AR629" t="str">
            <v>[]</v>
          </cell>
          <cell r="AS629" t="str">
            <v>[]</v>
          </cell>
          <cell r="AT629" t="str">
            <v>3750</v>
          </cell>
          <cell r="AU629" t="str">
            <v>3750</v>
          </cell>
          <cell r="AV629" t="str">
            <v>唐三藏</v>
          </cell>
          <cell r="AW629" t="str">
            <v>04</v>
          </cell>
          <cell r="AX629"/>
          <cell r="AY629">
            <v>1</v>
          </cell>
          <cell r="BE629"/>
          <cell r="BF629"/>
        </row>
        <row r="630">
          <cell r="A630" t="str">
            <v>boss_jiaye_skill01</v>
          </cell>
          <cell r="B630" t="str">
            <v>天罡正气</v>
          </cell>
          <cell r="C630" t="str">
            <v>jiaye_skill01</v>
          </cell>
          <cell r="D630" t="str">
            <v>[]</v>
          </cell>
          <cell r="E630">
            <v>0</v>
          </cell>
          <cell r="F630" t="str">
            <v>[]</v>
          </cell>
          <cell r="G630" t="str">
            <v>迦叶核心技能</v>
          </cell>
          <cell r="H630" t="str">
            <v>jiaye_skill01</v>
          </cell>
          <cell r="I630" t="str">
            <v>jiaye_skill01</v>
          </cell>
          <cell r="J630">
            <v>0</v>
          </cell>
          <cell r="K630">
            <v>10</v>
          </cell>
          <cell r="L630" t="str">
            <v>1|9</v>
          </cell>
          <cell r="M630">
            <v>2</v>
          </cell>
          <cell r="N630">
            <v>2</v>
          </cell>
          <cell r="O630">
            <v>1</v>
          </cell>
          <cell r="P630">
            <v>4</v>
          </cell>
          <cell r="Q630">
            <v>12</v>
          </cell>
          <cell r="R630">
            <v>3</v>
          </cell>
          <cell r="S630">
            <v>5</v>
          </cell>
          <cell r="T630">
            <v>10</v>
          </cell>
          <cell r="U630">
            <v>0</v>
          </cell>
          <cell r="V630">
            <v>0</v>
          </cell>
          <cell r="W630" t="str">
            <v>[]</v>
          </cell>
          <cell r="X630">
            <v>0</v>
          </cell>
          <cell r="Y630" t="str">
            <v>[]</v>
          </cell>
          <cell r="Z630" t="str">
            <v>0,0,0</v>
          </cell>
          <cell r="AA630">
            <v>0</v>
          </cell>
          <cell r="AB630" t="str">
            <v>10</v>
          </cell>
          <cell r="AC630" t="str">
            <v>[]</v>
          </cell>
          <cell r="AD630" t="str">
            <v>[]</v>
          </cell>
          <cell r="AE630" t="str">
            <v>[]</v>
          </cell>
          <cell r="AF630" t="str">
            <v>jiaye_skill01</v>
          </cell>
          <cell r="AG630" t="str">
            <v>jiaye_skill01_d</v>
          </cell>
          <cell r="AH630" t="str">
            <v>[]</v>
          </cell>
          <cell r="AI630" t="str">
            <v>[]</v>
          </cell>
          <cell r="AJ630" t="str">
            <v>[]</v>
          </cell>
          <cell r="AK630" t="str">
            <v>[]</v>
          </cell>
          <cell r="AL630" t="str">
            <v>[]</v>
          </cell>
          <cell r="AM630" t="str">
            <v>jianshangupT3N0.2</v>
          </cell>
          <cell r="AN630">
            <v>2</v>
          </cell>
          <cell r="AO630" t="str">
            <v>1</v>
          </cell>
          <cell r="AP630" t="str">
            <v>[]</v>
          </cell>
          <cell r="AQ630" t="str">
            <v>[]</v>
          </cell>
          <cell r="AR630" t="str">
            <v>[]</v>
          </cell>
          <cell r="AS630" t="str">
            <v>[]</v>
          </cell>
          <cell r="AT630" t="str">
            <v>3770</v>
          </cell>
          <cell r="AU630" t="str">
            <v>3770</v>
          </cell>
          <cell r="AV630" t="str">
            <v>迦叶</v>
          </cell>
          <cell r="AW630" t="str">
            <v>01</v>
          </cell>
          <cell r="AY630">
            <v>1</v>
          </cell>
          <cell r="BE630"/>
          <cell r="BF630"/>
        </row>
        <row r="631">
          <cell r="A631" t="str">
            <v>boss_jiaye_skill02</v>
          </cell>
          <cell r="B631" t="str">
            <v>贯日神拳</v>
          </cell>
          <cell r="C631" t="str">
            <v>jiaye_skill02</v>
          </cell>
          <cell r="D631" t="str">
            <v>[]</v>
          </cell>
          <cell r="E631">
            <v>2</v>
          </cell>
          <cell r="F631" t="str">
            <v>boss_warning_shanxing90</v>
          </cell>
          <cell r="G631" t="str">
            <v>迦叶技能2</v>
          </cell>
          <cell r="H631" t="str">
            <v>jiaye_skill02</v>
          </cell>
          <cell r="I631" t="str">
            <v>[]</v>
          </cell>
          <cell r="J631">
            <v>1</v>
          </cell>
          <cell r="K631">
            <v>10</v>
          </cell>
          <cell r="L631" t="str">
            <v>[]</v>
          </cell>
          <cell r="M631">
            <v>2</v>
          </cell>
          <cell r="N631">
            <v>2</v>
          </cell>
          <cell r="O631">
            <v>1</v>
          </cell>
          <cell r="P631">
            <v>2</v>
          </cell>
          <cell r="Q631">
            <v>4</v>
          </cell>
          <cell r="R631" t="str">
            <v>2|1</v>
          </cell>
          <cell r="S631" t="str">
            <v>3|6|60</v>
          </cell>
          <cell r="T631">
            <v>10</v>
          </cell>
          <cell r="U631">
            <v>0</v>
          </cell>
          <cell r="V631">
            <v>0</v>
          </cell>
          <cell r="W631" t="str">
            <v>[]</v>
          </cell>
          <cell r="X631">
            <v>3</v>
          </cell>
          <cell r="Y631" t="str">
            <v>[]</v>
          </cell>
          <cell r="Z631" t="str">
            <v>0,2.63,0</v>
          </cell>
          <cell r="AA631">
            <v>0</v>
          </cell>
          <cell r="AB631" t="str">
            <v>10</v>
          </cell>
          <cell r="AC631" t="str">
            <v>[]</v>
          </cell>
          <cell r="AD631" t="str">
            <v>[]</v>
          </cell>
          <cell r="AE631" t="str">
            <v>[]</v>
          </cell>
          <cell r="AF631" t="str">
            <v>jiaye_skill02</v>
          </cell>
          <cell r="AG631" t="str">
            <v>common_hit_dunqi</v>
          </cell>
          <cell r="AH631" t="str">
            <v>[]</v>
          </cell>
          <cell r="AI631" t="str">
            <v>[]</v>
          </cell>
          <cell r="AJ631" t="str">
            <v>[]</v>
          </cell>
          <cell r="AK631" t="str">
            <v>yunxuanT1NP0.1</v>
          </cell>
          <cell r="AL631" t="str">
            <v>[]</v>
          </cell>
          <cell r="AM631" t="str">
            <v>[]</v>
          </cell>
          <cell r="AN631">
            <v>2</v>
          </cell>
          <cell r="AO631" t="str">
            <v>1</v>
          </cell>
          <cell r="AP631">
            <v>636</v>
          </cell>
          <cell r="AQ631">
            <v>636</v>
          </cell>
          <cell r="AR631" t="str">
            <v>[]</v>
          </cell>
          <cell r="AS631" t="str">
            <v>[]</v>
          </cell>
          <cell r="AT631" t="str">
            <v>3780</v>
          </cell>
          <cell r="AU631" t="str">
            <v>3780</v>
          </cell>
          <cell r="AV631" t="str">
            <v>迦叶</v>
          </cell>
          <cell r="AW631" t="str">
            <v>02</v>
          </cell>
          <cell r="AY631">
            <v>1</v>
          </cell>
          <cell r="BE631"/>
          <cell r="BF631"/>
        </row>
        <row r="632">
          <cell r="A632" t="str">
            <v>boss_jiaye_skill04</v>
          </cell>
          <cell r="B632" t="str">
            <v>佛祖保佑</v>
          </cell>
          <cell r="C632" t="str">
            <v>jiaye_skill04</v>
          </cell>
          <cell r="D632" t="str">
            <v>[]</v>
          </cell>
          <cell r="E632">
            <v>0</v>
          </cell>
          <cell r="F632" t="str">
            <v>[]</v>
          </cell>
          <cell r="G632" t="str">
            <v>迦叶技能4</v>
          </cell>
          <cell r="H632" t="str">
            <v>jiaye_skill04</v>
          </cell>
          <cell r="I632" t="str">
            <v>[]</v>
          </cell>
          <cell r="J632">
            <v>3</v>
          </cell>
          <cell r="K632">
            <v>10</v>
          </cell>
          <cell r="L632" t="str">
            <v>[]</v>
          </cell>
          <cell r="M632">
            <v>2</v>
          </cell>
          <cell r="N632">
            <v>2</v>
          </cell>
          <cell r="O632">
            <v>1</v>
          </cell>
          <cell r="P632">
            <v>5</v>
          </cell>
          <cell r="Q632">
            <v>4</v>
          </cell>
          <cell r="R632" t="str">
            <v>2|1</v>
          </cell>
          <cell r="S632" t="str">
            <v>4|0.2</v>
          </cell>
          <cell r="T632">
            <v>10</v>
          </cell>
          <cell r="U632">
            <v>0</v>
          </cell>
          <cell r="V632">
            <v>0</v>
          </cell>
          <cell r="W632" t="str">
            <v>[]</v>
          </cell>
          <cell r="X632">
            <v>3</v>
          </cell>
          <cell r="Y632" t="str">
            <v>[]</v>
          </cell>
          <cell r="Z632" t="str">
            <v>0,4.03,0</v>
          </cell>
          <cell r="AA632">
            <v>0</v>
          </cell>
          <cell r="AB632" t="str">
            <v>10</v>
          </cell>
          <cell r="AC632" t="str">
            <v>[]</v>
          </cell>
          <cell r="AD632" t="str">
            <v>[]</v>
          </cell>
          <cell r="AE632" t="str">
            <v>[]</v>
          </cell>
          <cell r="AF632" t="str">
            <v>jiaye_skill04</v>
          </cell>
          <cell r="AG632" t="str">
            <v>jiaye_skill04</v>
          </cell>
          <cell r="AH632" t="str">
            <v>[]</v>
          </cell>
          <cell r="AI632" t="str">
            <v>[]</v>
          </cell>
          <cell r="AJ632" t="str">
            <v>[]</v>
          </cell>
          <cell r="AK632" t="str">
            <v>[]</v>
          </cell>
          <cell r="AL632" t="str">
            <v>[]</v>
          </cell>
          <cell r="AM632" t="str">
            <v>[]</v>
          </cell>
          <cell r="AN632">
            <v>2</v>
          </cell>
          <cell r="AO632" t="str">
            <v>1</v>
          </cell>
          <cell r="AP632">
            <v>622</v>
          </cell>
          <cell r="AQ632">
            <v>622</v>
          </cell>
          <cell r="AR632" t="str">
            <v>[]</v>
          </cell>
          <cell r="AS632" t="str">
            <v>[]</v>
          </cell>
          <cell r="AT632" t="str">
            <v>3800</v>
          </cell>
          <cell r="AU632" t="str">
            <v>3800</v>
          </cell>
          <cell r="AV632" t="str">
            <v>迦叶</v>
          </cell>
          <cell r="AW632" t="str">
            <v>04</v>
          </cell>
          <cell r="AX632"/>
          <cell r="AY632">
            <v>1</v>
          </cell>
          <cell r="BE632"/>
          <cell r="BF632"/>
        </row>
        <row r="633">
          <cell r="A633" t="str">
            <v>boss_wenshupusa_skill01</v>
          </cell>
          <cell r="B633" t="str">
            <v>大治疗波</v>
          </cell>
          <cell r="C633" t="str">
            <v>wenshupusa_skill01</v>
          </cell>
          <cell r="D633" t="str">
            <v>[]</v>
          </cell>
          <cell r="E633">
            <v>0</v>
          </cell>
          <cell r="F633" t="str">
            <v>[]</v>
          </cell>
          <cell r="G633" t="str">
            <v>文殊菩萨核心技能</v>
          </cell>
          <cell r="H633" t="str">
            <v>wenshupusa_skill01</v>
          </cell>
          <cell r="I633" t="str">
            <v>wenshupusa_skill01</v>
          </cell>
          <cell r="J633">
            <v>0</v>
          </cell>
          <cell r="K633">
            <v>10</v>
          </cell>
          <cell r="L633" t="str">
            <v>1|26</v>
          </cell>
          <cell r="M633">
            <v>2</v>
          </cell>
          <cell r="N633">
            <v>2</v>
          </cell>
          <cell r="O633">
            <v>2</v>
          </cell>
          <cell r="P633">
            <v>5</v>
          </cell>
          <cell r="Q633">
            <v>12</v>
          </cell>
          <cell r="R633" t="str">
            <v>3|1</v>
          </cell>
          <cell r="S633" t="str">
            <v>1|8|8</v>
          </cell>
          <cell r="T633">
            <v>10</v>
          </cell>
          <cell r="U633">
            <v>1</v>
          </cell>
          <cell r="V633">
            <v>0</v>
          </cell>
          <cell r="W633" t="str">
            <v>[]</v>
          </cell>
          <cell r="X633">
            <v>0</v>
          </cell>
          <cell r="Y633" t="str">
            <v>[]</v>
          </cell>
          <cell r="Z633" t="str">
            <v>0,0,0</v>
          </cell>
          <cell r="AA633">
            <v>0</v>
          </cell>
          <cell r="AB633" t="str">
            <v>10</v>
          </cell>
          <cell r="AC633" t="str">
            <v>[]</v>
          </cell>
          <cell r="AD633" t="str">
            <v>[]</v>
          </cell>
          <cell r="AE633" t="str">
            <v>[]</v>
          </cell>
          <cell r="AF633" t="str">
            <v>wenshupusa_skill01</v>
          </cell>
          <cell r="AG633" t="str">
            <v>respond_hp</v>
          </cell>
          <cell r="AH633" t="str">
            <v>[]</v>
          </cell>
          <cell r="AI633" t="str">
            <v>[]</v>
          </cell>
          <cell r="AJ633" t="str">
            <v>[]</v>
          </cell>
          <cell r="AK633" t="str">
            <v>[]</v>
          </cell>
          <cell r="AL633" t="str">
            <v>[]</v>
          </cell>
          <cell r="AM633" t="str">
            <v>huifuT3N0.4</v>
          </cell>
          <cell r="AN633">
            <v>2</v>
          </cell>
          <cell r="AO633" t="str">
            <v>1</v>
          </cell>
          <cell r="AP633" t="str">
            <v>[]</v>
          </cell>
          <cell r="AQ633">
            <v>622</v>
          </cell>
          <cell r="AR633" t="str">
            <v>[]</v>
          </cell>
          <cell r="AS633" t="str">
            <v>[]</v>
          </cell>
          <cell r="AT633" t="str">
            <v>3820</v>
          </cell>
          <cell r="AU633" t="str">
            <v>3820</v>
          </cell>
          <cell r="AV633" t="str">
            <v>文殊菩萨</v>
          </cell>
          <cell r="AW633" t="str">
            <v>01</v>
          </cell>
          <cell r="AY633">
            <v>1</v>
          </cell>
          <cell r="BE633"/>
          <cell r="BF633"/>
        </row>
        <row r="634">
          <cell r="A634" t="str">
            <v>boss_wenshupusa_skill02</v>
          </cell>
          <cell r="B634" t="str">
            <v>大治疗阵</v>
          </cell>
          <cell r="C634" t="str">
            <v>wenshupusa_skill02</v>
          </cell>
          <cell r="D634" t="str">
            <v>[]</v>
          </cell>
          <cell r="E634">
            <v>0</v>
          </cell>
          <cell r="F634" t="str">
            <v>[]</v>
          </cell>
          <cell r="G634" t="str">
            <v>文殊菩萨技能1</v>
          </cell>
          <cell r="H634" t="str">
            <v>wenshupusa_skill02</v>
          </cell>
          <cell r="I634" t="str">
            <v>[]</v>
          </cell>
          <cell r="J634">
            <v>1</v>
          </cell>
          <cell r="K634">
            <v>10</v>
          </cell>
          <cell r="L634" t="str">
            <v>[]</v>
          </cell>
          <cell r="M634">
            <v>2</v>
          </cell>
          <cell r="N634">
            <v>2</v>
          </cell>
          <cell r="O634">
            <v>1</v>
          </cell>
          <cell r="P634">
            <v>5</v>
          </cell>
          <cell r="Q634">
            <v>12</v>
          </cell>
          <cell r="R634" t="str">
            <v>3|1</v>
          </cell>
          <cell r="S634" t="str">
            <v>2|10</v>
          </cell>
          <cell r="T634">
            <v>10</v>
          </cell>
          <cell r="U634">
            <v>0</v>
          </cell>
          <cell r="V634">
            <v>0</v>
          </cell>
          <cell r="W634" t="str">
            <v>[]</v>
          </cell>
          <cell r="X634">
            <v>3</v>
          </cell>
          <cell r="Y634" t="str">
            <v>[]</v>
          </cell>
          <cell r="Z634" t="str">
            <v>0.733,3,0.34</v>
          </cell>
          <cell r="AA634">
            <v>0</v>
          </cell>
          <cell r="AB634" t="str">
            <v>10</v>
          </cell>
          <cell r="AC634" t="str">
            <v>[]</v>
          </cell>
          <cell r="AD634" t="str">
            <v>[]</v>
          </cell>
          <cell r="AE634" t="str">
            <v>[]</v>
          </cell>
          <cell r="AF634" t="str">
            <v>wenshupusa_skill02</v>
          </cell>
          <cell r="AG634" t="str">
            <v>respond_hp</v>
          </cell>
          <cell r="AH634" t="str">
            <v>[]</v>
          </cell>
          <cell r="AI634" t="str">
            <v>[]</v>
          </cell>
          <cell r="AJ634" t="str">
            <v>[]</v>
          </cell>
          <cell r="AK634" t="str">
            <v>[]</v>
          </cell>
          <cell r="AL634" t="str">
            <v>[]</v>
          </cell>
          <cell r="AM634" t="str">
            <v>[]</v>
          </cell>
          <cell r="AN634">
            <v>2</v>
          </cell>
          <cell r="AO634" t="str">
            <v>1</v>
          </cell>
          <cell r="AP634">
            <v>622</v>
          </cell>
          <cell r="AQ634">
            <v>622</v>
          </cell>
          <cell r="AR634" t="str">
            <v>[]</v>
          </cell>
          <cell r="AS634" t="str">
            <v>[]</v>
          </cell>
          <cell r="AT634" t="str">
            <v>3830</v>
          </cell>
          <cell r="AU634" t="str">
            <v>3830</v>
          </cell>
          <cell r="AV634" t="str">
            <v>文殊菩萨</v>
          </cell>
          <cell r="AW634" t="str">
            <v>02</v>
          </cell>
          <cell r="AY634">
            <v>1</v>
          </cell>
          <cell r="BE634"/>
          <cell r="BF634"/>
        </row>
        <row r="635">
          <cell r="A635" t="str">
            <v>boss_wenshupusa_skill04</v>
          </cell>
          <cell r="B635" t="str">
            <v>梵音领域</v>
          </cell>
          <cell r="C635" t="str">
            <v>wenshupusa_skill04</v>
          </cell>
          <cell r="D635" t="str">
            <v>[]</v>
          </cell>
          <cell r="E635">
            <v>1</v>
          </cell>
          <cell r="F635" t="str">
            <v>boss_warning_juxing</v>
          </cell>
          <cell r="G635" t="str">
            <v>文殊菩萨技能2</v>
          </cell>
          <cell r="H635" t="str">
            <v>wenshupusa_skill04</v>
          </cell>
          <cell r="I635" t="str">
            <v>[]</v>
          </cell>
          <cell r="J635">
            <v>3</v>
          </cell>
          <cell r="K635">
            <v>10</v>
          </cell>
          <cell r="L635" t="str">
            <v>[]</v>
          </cell>
          <cell r="M635">
            <v>2</v>
          </cell>
          <cell r="N635">
            <v>2</v>
          </cell>
          <cell r="O635">
            <v>2</v>
          </cell>
          <cell r="P635">
            <v>2</v>
          </cell>
          <cell r="Q635">
            <v>5</v>
          </cell>
          <cell r="R635" t="str">
            <v>2|1</v>
          </cell>
          <cell r="S635" t="str">
            <v>1|10|6</v>
          </cell>
          <cell r="T635">
            <v>10</v>
          </cell>
          <cell r="U635">
            <v>0</v>
          </cell>
          <cell r="V635">
            <v>0</v>
          </cell>
          <cell r="W635" t="str">
            <v>[]</v>
          </cell>
          <cell r="X635">
            <v>3</v>
          </cell>
          <cell r="Y635" t="str">
            <v>[]</v>
          </cell>
          <cell r="Z635" t="str">
            <v>0,1.367,0</v>
          </cell>
          <cell r="AA635">
            <v>0</v>
          </cell>
          <cell r="AB635" t="str">
            <v>10</v>
          </cell>
          <cell r="AC635" t="str">
            <v>[]</v>
          </cell>
          <cell r="AD635" t="str">
            <v>[]</v>
          </cell>
          <cell r="AE635" t="str">
            <v>[]</v>
          </cell>
          <cell r="AF635" t="str">
            <v>wenshupusa_skill04</v>
          </cell>
          <cell r="AG635" t="str">
            <v>common_hit_fashu</v>
          </cell>
          <cell r="AH635" t="str">
            <v>[]</v>
          </cell>
          <cell r="AI635" t="str">
            <v>[]</v>
          </cell>
          <cell r="AJ635" t="str">
            <v>[]</v>
          </cell>
          <cell r="AK635" t="str">
            <v>qusanTN1P1</v>
          </cell>
          <cell r="AL635" t="str">
            <v>[]</v>
          </cell>
          <cell r="AM635" t="str">
            <v>[]</v>
          </cell>
          <cell r="AN635">
            <v>2</v>
          </cell>
          <cell r="AO635" t="str">
            <v>1</v>
          </cell>
          <cell r="AP635">
            <v>636</v>
          </cell>
          <cell r="AQ635">
            <v>636</v>
          </cell>
          <cell r="AR635" t="str">
            <v>[]</v>
          </cell>
          <cell r="AS635" t="str">
            <v>[]</v>
          </cell>
          <cell r="AT635" t="str">
            <v>3850</v>
          </cell>
          <cell r="AU635" t="str">
            <v>3850</v>
          </cell>
          <cell r="AV635" t="str">
            <v>文殊菩萨</v>
          </cell>
          <cell r="AW635" t="str">
            <v>04</v>
          </cell>
          <cell r="AX635"/>
          <cell r="AY635">
            <v>1</v>
          </cell>
          <cell r="BE635"/>
          <cell r="BF635"/>
        </row>
        <row r="636">
          <cell r="A636" t="str">
            <v>boss_milefo_skill01</v>
          </cell>
          <cell r="B636" t="str">
            <v>慈心三昧</v>
          </cell>
          <cell r="C636" t="str">
            <v>milefo_skill01</v>
          </cell>
          <cell r="D636" t="str">
            <v>[]</v>
          </cell>
          <cell r="E636">
            <v>0</v>
          </cell>
          <cell r="F636" t="str">
            <v>[]</v>
          </cell>
          <cell r="G636" t="str">
            <v>弥勒佛核心技能</v>
          </cell>
          <cell r="H636" t="str">
            <v>milefo_skill01</v>
          </cell>
          <cell r="I636" t="str">
            <v>milefo_skill01</v>
          </cell>
          <cell r="J636">
            <v>0</v>
          </cell>
          <cell r="K636">
            <v>10</v>
          </cell>
          <cell r="L636" t="str">
            <v>1|27</v>
          </cell>
          <cell r="M636">
            <v>2</v>
          </cell>
          <cell r="N636">
            <v>2</v>
          </cell>
          <cell r="O636">
            <v>1</v>
          </cell>
          <cell r="P636">
            <v>4</v>
          </cell>
          <cell r="Q636">
            <v>12</v>
          </cell>
          <cell r="R636" t="str">
            <v>3|1</v>
          </cell>
          <cell r="S636" t="str">
            <v>2|20</v>
          </cell>
          <cell r="T636">
            <v>10</v>
          </cell>
          <cell r="U636">
            <v>0</v>
          </cell>
          <cell r="V636">
            <v>0</v>
          </cell>
          <cell r="W636" t="str">
            <v>[]</v>
          </cell>
          <cell r="X636">
            <v>0</v>
          </cell>
          <cell r="Y636" t="str">
            <v>[]</v>
          </cell>
          <cell r="Z636" t="str">
            <v>0,0,0</v>
          </cell>
          <cell r="AA636">
            <v>0</v>
          </cell>
          <cell r="AB636" t="str">
            <v>10</v>
          </cell>
          <cell r="AC636" t="str">
            <v>[]</v>
          </cell>
          <cell r="AD636" t="str">
            <v>[]</v>
          </cell>
          <cell r="AE636" t="str">
            <v>[]</v>
          </cell>
          <cell r="AF636" t="str">
            <v>milefo_skill01_q</v>
          </cell>
          <cell r="AG636" t="str">
            <v>milefo_skill01</v>
          </cell>
          <cell r="AH636" t="str">
            <v>[]</v>
          </cell>
          <cell r="AI636" t="str">
            <v>[]</v>
          </cell>
          <cell r="AJ636" t="str">
            <v>[]</v>
          </cell>
          <cell r="AK636" t="str">
            <v>shengminghudunT3N0.3P1</v>
          </cell>
          <cell r="AL636" t="str">
            <v>[]</v>
          </cell>
          <cell r="AM636" t="str">
            <v>[]</v>
          </cell>
          <cell r="AN636">
            <v>2</v>
          </cell>
          <cell r="AO636" t="str">
            <v>1</v>
          </cell>
          <cell r="AP636" t="str">
            <v>[]</v>
          </cell>
          <cell r="AQ636">
            <v>636</v>
          </cell>
          <cell r="AR636" t="str">
            <v>[]</v>
          </cell>
          <cell r="AS636" t="str">
            <v>[]</v>
          </cell>
          <cell r="AT636" t="str">
            <v>3870</v>
          </cell>
          <cell r="AU636" t="str">
            <v>3870</v>
          </cell>
          <cell r="AV636" t="str">
            <v>弥勒佛</v>
          </cell>
          <cell r="AW636" t="str">
            <v>01</v>
          </cell>
          <cell r="AY636">
            <v>1</v>
          </cell>
          <cell r="BE636"/>
          <cell r="BF636"/>
        </row>
        <row r="637">
          <cell r="A637" t="str">
            <v>boss_milefo_skill02</v>
          </cell>
          <cell r="B637" t="str">
            <v>佛光普照</v>
          </cell>
          <cell r="C637" t="str">
            <v>milefo_skill02</v>
          </cell>
          <cell r="D637" t="str">
            <v>[]</v>
          </cell>
          <cell r="E637">
            <v>0</v>
          </cell>
          <cell r="F637" t="str">
            <v>[]</v>
          </cell>
          <cell r="G637" t="str">
            <v>弥勒佛技能2</v>
          </cell>
          <cell r="H637" t="str">
            <v>milefo_skill02</v>
          </cell>
          <cell r="I637" t="str">
            <v>[]</v>
          </cell>
          <cell r="J637">
            <v>1</v>
          </cell>
          <cell r="K637">
            <v>10</v>
          </cell>
          <cell r="L637" t="str">
            <v>[]</v>
          </cell>
          <cell r="M637">
            <v>2</v>
          </cell>
          <cell r="N637">
            <v>2</v>
          </cell>
          <cell r="O637">
            <v>1</v>
          </cell>
          <cell r="P637">
            <v>2</v>
          </cell>
          <cell r="Q637">
            <v>12</v>
          </cell>
          <cell r="R637" t="str">
            <v>2|1</v>
          </cell>
          <cell r="S637" t="str">
            <v>2|10</v>
          </cell>
          <cell r="T637">
            <v>10</v>
          </cell>
          <cell r="U637">
            <v>0</v>
          </cell>
          <cell r="V637">
            <v>0</v>
          </cell>
          <cell r="W637" t="str">
            <v>[]</v>
          </cell>
          <cell r="X637">
            <v>3</v>
          </cell>
          <cell r="Y637" t="str">
            <v>[]</v>
          </cell>
          <cell r="Z637" t="str">
            <v>1.2,1.667,0</v>
          </cell>
          <cell r="AA637">
            <v>0</v>
          </cell>
          <cell r="AB637" t="str">
            <v>10</v>
          </cell>
          <cell r="AC637" t="str">
            <v>[]</v>
          </cell>
          <cell r="AD637" t="str">
            <v>[]</v>
          </cell>
          <cell r="AE637" t="str">
            <v>[]</v>
          </cell>
          <cell r="AF637" t="str">
            <v>milefo_skill02</v>
          </cell>
          <cell r="AG637" t="str">
            <v>[]</v>
          </cell>
          <cell r="AH637" t="str">
            <v>[]</v>
          </cell>
          <cell r="AI637" t="str">
            <v>[]</v>
          </cell>
          <cell r="AJ637" t="str">
            <v>[]</v>
          </cell>
          <cell r="AK637" t="str">
            <v>chaofengT2NP1</v>
          </cell>
          <cell r="AL637" t="str">
            <v>[]</v>
          </cell>
          <cell r="AM637" t="str">
            <v>xuruoT3N0.1</v>
          </cell>
          <cell r="AN637">
            <v>2</v>
          </cell>
          <cell r="AO637" t="str">
            <v>1</v>
          </cell>
          <cell r="AP637">
            <v>636</v>
          </cell>
          <cell r="AQ637">
            <v>636</v>
          </cell>
          <cell r="AR637" t="str">
            <v>[]</v>
          </cell>
          <cell r="AS637" t="str">
            <v>[]</v>
          </cell>
          <cell r="AT637" t="str">
            <v>3880</v>
          </cell>
          <cell r="AU637" t="str">
            <v>3880</v>
          </cell>
          <cell r="AV637" t="str">
            <v>弥勒佛</v>
          </cell>
          <cell r="AW637" t="str">
            <v>02</v>
          </cell>
          <cell r="AY637">
            <v>1</v>
          </cell>
          <cell r="BE637"/>
          <cell r="BF637"/>
        </row>
        <row r="638">
          <cell r="A638" t="str">
            <v>boss_milefo_skill04</v>
          </cell>
          <cell r="B638" t="str">
            <v>和乐善生</v>
          </cell>
          <cell r="C638" t="str">
            <v>milefo_skill04</v>
          </cell>
          <cell r="D638" t="str">
            <v>[]</v>
          </cell>
          <cell r="E638">
            <v>0</v>
          </cell>
          <cell r="F638" t="str">
            <v>[]</v>
          </cell>
          <cell r="G638" t="str">
            <v>弥勒佛技能4</v>
          </cell>
          <cell r="H638" t="str">
            <v>milefo_skill04</v>
          </cell>
          <cell r="I638" t="str">
            <v>[]</v>
          </cell>
          <cell r="J638">
            <v>3</v>
          </cell>
          <cell r="K638">
            <v>10</v>
          </cell>
          <cell r="L638" t="str">
            <v>[]</v>
          </cell>
          <cell r="M638">
            <v>2</v>
          </cell>
          <cell r="N638">
            <v>2</v>
          </cell>
          <cell r="O638">
            <v>1</v>
          </cell>
          <cell r="P638">
            <v>5</v>
          </cell>
          <cell r="Q638">
            <v>12</v>
          </cell>
          <cell r="R638">
            <v>1</v>
          </cell>
          <cell r="S638" t="str">
            <v>4|0.2</v>
          </cell>
          <cell r="T638">
            <v>10</v>
          </cell>
          <cell r="U638">
            <v>0</v>
          </cell>
          <cell r="V638">
            <v>0</v>
          </cell>
          <cell r="W638" t="str">
            <v>[]</v>
          </cell>
          <cell r="X638">
            <v>3</v>
          </cell>
          <cell r="Y638" t="str">
            <v>[]</v>
          </cell>
          <cell r="Z638" t="str">
            <v>1.2,1.267,0</v>
          </cell>
          <cell r="AA638">
            <v>0</v>
          </cell>
          <cell r="AB638" t="str">
            <v>10</v>
          </cell>
          <cell r="AC638" t="str">
            <v>[]</v>
          </cell>
          <cell r="AD638" t="str">
            <v>[]</v>
          </cell>
          <cell r="AE638" t="str">
            <v>[]</v>
          </cell>
          <cell r="AF638" t="str">
            <v>milefo_skill04</v>
          </cell>
          <cell r="AG638" t="str">
            <v>respond_hp</v>
          </cell>
          <cell r="AH638" t="str">
            <v>[]</v>
          </cell>
          <cell r="AI638" t="str">
            <v>[]</v>
          </cell>
          <cell r="AJ638" t="str">
            <v>jinghuaTN1P1</v>
          </cell>
          <cell r="AK638" t="str">
            <v>[]</v>
          </cell>
          <cell r="AL638" t="str">
            <v>[]</v>
          </cell>
          <cell r="AM638" t="str">
            <v>[]</v>
          </cell>
          <cell r="AN638">
            <v>2</v>
          </cell>
          <cell r="AO638" t="str">
            <v>1</v>
          </cell>
          <cell r="AP638">
            <v>622</v>
          </cell>
          <cell r="AQ638">
            <v>622</v>
          </cell>
          <cell r="AR638" t="str">
            <v>[]</v>
          </cell>
          <cell r="AS638" t="str">
            <v>[]</v>
          </cell>
          <cell r="AT638" t="str">
            <v>3900</v>
          </cell>
          <cell r="AU638" t="str">
            <v>3900</v>
          </cell>
          <cell r="AV638" t="str">
            <v>弥勒佛</v>
          </cell>
          <cell r="AW638" t="str">
            <v>04</v>
          </cell>
          <cell r="AX638"/>
          <cell r="AY638">
            <v>1</v>
          </cell>
          <cell r="BE638"/>
          <cell r="BF638"/>
        </row>
        <row r="639">
          <cell r="A639" t="str">
            <v>boss_guishibai_skill01</v>
          </cell>
          <cell r="B639" t="str">
            <v>摄魂令</v>
          </cell>
          <cell r="C639" t="str">
            <v>guishibai_skill01</v>
          </cell>
          <cell r="D639" t="str">
            <v>[]</v>
          </cell>
          <cell r="E639">
            <v>0</v>
          </cell>
          <cell r="F639" t="str">
            <v>[]</v>
          </cell>
          <cell r="G639" t="str">
            <v>鬼使白核心技能</v>
          </cell>
          <cell r="H639" t="str">
            <v>guishibai_skill01</v>
          </cell>
          <cell r="I639" t="str">
            <v>guishibai_skill01</v>
          </cell>
          <cell r="J639">
            <v>0</v>
          </cell>
          <cell r="K639">
            <v>10</v>
          </cell>
          <cell r="L639" t="str">
            <v>1|24</v>
          </cell>
          <cell r="M639">
            <v>2</v>
          </cell>
          <cell r="N639">
            <v>2</v>
          </cell>
          <cell r="O639">
            <v>1</v>
          </cell>
          <cell r="P639">
            <v>2</v>
          </cell>
          <cell r="Q639">
            <v>12</v>
          </cell>
          <cell r="R639" t="str">
            <v>2|1</v>
          </cell>
          <cell r="S639" t="str">
            <v>1|1|4</v>
          </cell>
          <cell r="T639">
            <v>10</v>
          </cell>
          <cell r="U639">
            <v>1</v>
          </cell>
          <cell r="V639">
            <v>0</v>
          </cell>
          <cell r="W639" t="str">
            <v>[]</v>
          </cell>
          <cell r="X639">
            <v>0</v>
          </cell>
          <cell r="Y639" t="str">
            <v>[]</v>
          </cell>
          <cell r="Z639" t="str">
            <v>0,0,0</v>
          </cell>
          <cell r="AA639">
            <v>0</v>
          </cell>
          <cell r="AB639" t="str">
            <v>10</v>
          </cell>
          <cell r="AC639" t="str">
            <v>[]</v>
          </cell>
          <cell r="AD639" t="str">
            <v>[]</v>
          </cell>
          <cell r="AE639" t="str">
            <v>[]</v>
          </cell>
          <cell r="AF639" t="str">
            <v>guishibai_skill01</v>
          </cell>
          <cell r="AG639" t="str">
            <v>common_hit_fashu</v>
          </cell>
          <cell r="AH639" t="str">
            <v>[]</v>
          </cell>
          <cell r="AI639" t="str">
            <v>[]</v>
          </cell>
          <cell r="AJ639" t="str">
            <v>[]</v>
          </cell>
          <cell r="AK639" t="str">
            <v>[]</v>
          </cell>
          <cell r="AL639" t="str">
            <v>[]</v>
          </cell>
          <cell r="AM639" t="str">
            <v>buff_guishibai_skill01</v>
          </cell>
          <cell r="AN639">
            <v>2</v>
          </cell>
          <cell r="AO639" t="str">
            <v>1</v>
          </cell>
          <cell r="AP639">
            <v>636</v>
          </cell>
          <cell r="AQ639">
            <v>636</v>
          </cell>
          <cell r="AR639" t="str">
            <v>[]</v>
          </cell>
          <cell r="AS639" t="str">
            <v>[]</v>
          </cell>
          <cell r="AT639" t="str">
            <v>3920</v>
          </cell>
          <cell r="AU639" t="str">
            <v>3920</v>
          </cell>
          <cell r="AV639" t="str">
            <v>鬼使白</v>
          </cell>
          <cell r="AW639" t="str">
            <v>01</v>
          </cell>
          <cell r="AY639">
            <v>1</v>
          </cell>
          <cell r="BE639"/>
          <cell r="BF639"/>
        </row>
        <row r="640">
          <cell r="A640" t="str">
            <v>boss_guishibai_skill02</v>
          </cell>
          <cell r="B640" t="str">
            <v>阎罗令</v>
          </cell>
          <cell r="C640" t="str">
            <v>guishibai_skill02</v>
          </cell>
          <cell r="D640" t="str">
            <v>[]</v>
          </cell>
          <cell r="E640">
            <v>2</v>
          </cell>
          <cell r="F640" t="str">
            <v>boss_warning_juxing</v>
          </cell>
          <cell r="G640" t="str">
            <v>鬼使白技能2</v>
          </cell>
          <cell r="H640" t="str">
            <v>guishibai_skill02</v>
          </cell>
          <cell r="I640" t="str">
            <v>[]</v>
          </cell>
          <cell r="J640">
            <v>1</v>
          </cell>
          <cell r="K640">
            <v>10</v>
          </cell>
          <cell r="L640" t="str">
            <v>[]</v>
          </cell>
          <cell r="M640">
            <v>2</v>
          </cell>
          <cell r="N640">
            <v>2</v>
          </cell>
          <cell r="O640">
            <v>1</v>
          </cell>
          <cell r="P640">
            <v>2</v>
          </cell>
          <cell r="Q640">
            <v>4</v>
          </cell>
          <cell r="R640" t="str">
            <v>2|1</v>
          </cell>
          <cell r="S640" t="str">
            <v>4|0.2</v>
          </cell>
          <cell r="T640">
            <v>10</v>
          </cell>
          <cell r="U640">
            <v>1</v>
          </cell>
          <cell r="V640">
            <v>0</v>
          </cell>
          <cell r="W640" t="str">
            <v>[]</v>
          </cell>
          <cell r="X640">
            <v>3</v>
          </cell>
          <cell r="Y640" t="str">
            <v>[]</v>
          </cell>
          <cell r="Z640" t="str">
            <v>0,2.4,0</v>
          </cell>
          <cell r="AA640">
            <v>0</v>
          </cell>
          <cell r="AB640" t="str">
            <v>10</v>
          </cell>
          <cell r="AC640" t="str">
            <v>[]</v>
          </cell>
          <cell r="AD640" t="str">
            <v>[]</v>
          </cell>
          <cell r="AE640" t="str">
            <v>guishibai_skill02</v>
          </cell>
          <cell r="AF640" t="str">
            <v>guishibai_skill02_f</v>
          </cell>
          <cell r="AG640" t="str">
            <v>guishibai_skill02_b</v>
          </cell>
          <cell r="AH640" t="str">
            <v>[]</v>
          </cell>
          <cell r="AI640" t="str">
            <v>[]</v>
          </cell>
          <cell r="AJ640" t="str">
            <v>[]</v>
          </cell>
          <cell r="AK640" t="str">
            <v>[]</v>
          </cell>
          <cell r="AL640" t="str">
            <v>[]</v>
          </cell>
          <cell r="AM640" t="str">
            <v>jiashangupT3N0.1</v>
          </cell>
          <cell r="AN640">
            <v>2</v>
          </cell>
          <cell r="AO640" t="str">
            <v>1</v>
          </cell>
          <cell r="AP640">
            <v>636</v>
          </cell>
          <cell r="AQ640">
            <v>636</v>
          </cell>
          <cell r="AR640" t="str">
            <v>[]</v>
          </cell>
          <cell r="AS640" t="str">
            <v>[]</v>
          </cell>
          <cell r="AT640" t="str">
            <v>3930</v>
          </cell>
          <cell r="AU640" t="str">
            <v>3930</v>
          </cell>
          <cell r="AV640" t="str">
            <v>鬼使白</v>
          </cell>
          <cell r="AW640" t="str">
            <v>02</v>
          </cell>
          <cell r="AY640">
            <v>1</v>
          </cell>
          <cell r="BE640"/>
          <cell r="BF640"/>
        </row>
        <row r="641">
          <cell r="A641" t="str">
            <v>boss_guishibai_skill04</v>
          </cell>
          <cell r="B641" t="str">
            <v>拘魂令</v>
          </cell>
          <cell r="C641" t="str">
            <v>guishibai_skill04</v>
          </cell>
          <cell r="D641" t="str">
            <v>[]</v>
          </cell>
          <cell r="E641">
            <v>2</v>
          </cell>
          <cell r="F641" t="str">
            <v>boss_warning_juxing</v>
          </cell>
          <cell r="G641" t="str">
            <v>鬼使白技能4</v>
          </cell>
          <cell r="H641" t="str">
            <v>guishibai_skill04</v>
          </cell>
          <cell r="I641" t="str">
            <v>[]</v>
          </cell>
          <cell r="J641">
            <v>3</v>
          </cell>
          <cell r="K641">
            <v>10</v>
          </cell>
          <cell r="L641" t="str">
            <v>[]</v>
          </cell>
          <cell r="M641">
            <v>2</v>
          </cell>
          <cell r="N641">
            <v>2</v>
          </cell>
          <cell r="O641">
            <v>1</v>
          </cell>
          <cell r="P641">
            <v>2</v>
          </cell>
          <cell r="Q641">
            <v>4</v>
          </cell>
          <cell r="R641" t="str">
            <v>2|1</v>
          </cell>
          <cell r="S641" t="str">
            <v>4|0.2</v>
          </cell>
          <cell r="T641">
            <v>10</v>
          </cell>
          <cell r="U641">
            <v>1</v>
          </cell>
          <cell r="V641">
            <v>0</v>
          </cell>
          <cell r="W641" t="str">
            <v>[]</v>
          </cell>
          <cell r="X641">
            <v>3</v>
          </cell>
          <cell r="Y641" t="str">
            <v>[]</v>
          </cell>
          <cell r="Z641" t="str">
            <v>0,2.33,0</v>
          </cell>
          <cell r="AA641">
            <v>0</v>
          </cell>
          <cell r="AB641" t="str">
            <v>10</v>
          </cell>
          <cell r="AC641" t="str">
            <v>[]</v>
          </cell>
          <cell r="AD641" t="str">
            <v>[]</v>
          </cell>
          <cell r="AE641" t="str">
            <v>guishibai_skill04</v>
          </cell>
          <cell r="AF641" t="str">
            <v>guishibai_skill04_f</v>
          </cell>
          <cell r="AG641" t="str">
            <v>guishibai_skill04_b</v>
          </cell>
          <cell r="AH641" t="str">
            <v>[]</v>
          </cell>
          <cell r="AI641" t="str">
            <v>[]</v>
          </cell>
          <cell r="AJ641" t="str">
            <v>[]</v>
          </cell>
          <cell r="AK641" t="str">
            <v>guishibai_skill04_dingsheng</v>
          </cell>
          <cell r="AL641" t="str">
            <v>[]</v>
          </cell>
          <cell r="AM641" t="str">
            <v>[]</v>
          </cell>
          <cell r="AN641">
            <v>2</v>
          </cell>
          <cell r="AO641" t="str">
            <v>1</v>
          </cell>
          <cell r="AP641">
            <v>636</v>
          </cell>
          <cell r="AQ641">
            <v>636</v>
          </cell>
          <cell r="AR641" t="str">
            <v>[]</v>
          </cell>
          <cell r="AS641" t="str">
            <v>[]</v>
          </cell>
          <cell r="AT641" t="str">
            <v>3950</v>
          </cell>
          <cell r="AU641" t="str">
            <v>3950</v>
          </cell>
          <cell r="AV641" t="str">
            <v>鬼使白</v>
          </cell>
          <cell r="AW641" t="str">
            <v>04</v>
          </cell>
          <cell r="AX641"/>
          <cell r="AY641">
            <v>1</v>
          </cell>
          <cell r="BE641"/>
          <cell r="BF641"/>
        </row>
        <row r="642">
          <cell r="A642" t="str">
            <v>boss_niutou_skill01</v>
          </cell>
          <cell r="B642" t="str">
            <v>巨力飞斧</v>
          </cell>
          <cell r="C642" t="str">
            <v>niutou_skill01</v>
          </cell>
          <cell r="D642" t="str">
            <v>[]</v>
          </cell>
          <cell r="E642">
            <v>0</v>
          </cell>
          <cell r="F642" t="str">
            <v>[]</v>
          </cell>
          <cell r="G642" t="str">
            <v>牛头核心技能</v>
          </cell>
          <cell r="H642" t="str">
            <v>niutou_skill01</v>
          </cell>
          <cell r="I642" t="str">
            <v>niutou_skill01</v>
          </cell>
          <cell r="J642">
            <v>0</v>
          </cell>
          <cell r="K642">
            <v>10</v>
          </cell>
          <cell r="L642" t="str">
            <v>1|24</v>
          </cell>
          <cell r="M642">
            <v>2</v>
          </cell>
          <cell r="N642">
            <v>2</v>
          </cell>
          <cell r="O642">
            <v>1</v>
          </cell>
          <cell r="P642">
            <v>2</v>
          </cell>
          <cell r="Q642">
            <v>12</v>
          </cell>
          <cell r="R642" t="str">
            <v>2|1</v>
          </cell>
          <cell r="S642" t="str">
            <v>1|1|4</v>
          </cell>
          <cell r="T642">
            <v>10</v>
          </cell>
          <cell r="U642">
            <v>1</v>
          </cell>
          <cell r="V642">
            <v>0</v>
          </cell>
          <cell r="W642" t="str">
            <v>[]</v>
          </cell>
          <cell r="X642">
            <v>0</v>
          </cell>
          <cell r="Y642" t="str">
            <v>[]</v>
          </cell>
          <cell r="Z642" t="str">
            <v>0,0,0</v>
          </cell>
          <cell r="AA642">
            <v>0</v>
          </cell>
          <cell r="AB642" t="str">
            <v>10</v>
          </cell>
          <cell r="AC642" t="str">
            <v>[]</v>
          </cell>
          <cell r="AD642" t="str">
            <v>[]</v>
          </cell>
          <cell r="AE642" t="str">
            <v>niutou_skill01</v>
          </cell>
          <cell r="AF642" t="str">
            <v>niutou_skill01_f</v>
          </cell>
          <cell r="AG642" t="str">
            <v>common_hit_zhongwuqi</v>
          </cell>
          <cell r="AH642" t="str">
            <v>[]</v>
          </cell>
          <cell r="AI642" t="str">
            <v>[]</v>
          </cell>
          <cell r="AJ642" t="str">
            <v>[]</v>
          </cell>
          <cell r="AK642" t="str">
            <v>[]</v>
          </cell>
          <cell r="AL642" t="str">
            <v>[]</v>
          </cell>
          <cell r="AM642" t="str">
            <v>l</v>
          </cell>
          <cell r="AN642">
            <v>2</v>
          </cell>
          <cell r="AO642" t="str">
            <v>1</v>
          </cell>
          <cell r="AP642">
            <v>636</v>
          </cell>
          <cell r="AQ642">
            <v>636</v>
          </cell>
          <cell r="AR642" t="str">
            <v>[]</v>
          </cell>
          <cell r="AS642" t="str">
            <v>[]</v>
          </cell>
          <cell r="AT642" t="str">
            <v>3970</v>
          </cell>
          <cell r="AU642" t="str">
            <v>3970</v>
          </cell>
          <cell r="AV642" t="str">
            <v>牛头</v>
          </cell>
          <cell r="AW642" t="str">
            <v>01</v>
          </cell>
          <cell r="AY642">
            <v>1</v>
          </cell>
          <cell r="BE642"/>
          <cell r="BF642"/>
        </row>
        <row r="643">
          <cell r="A643" t="str">
            <v>boss_niutou_skill02</v>
          </cell>
          <cell r="B643" t="str">
            <v>蛮牛怒吼</v>
          </cell>
          <cell r="C643" t="str">
            <v>niutou_skill02</v>
          </cell>
          <cell r="D643" t="str">
            <v>[]</v>
          </cell>
          <cell r="E643">
            <v>2</v>
          </cell>
          <cell r="F643" t="str">
            <v>boss_warning_juxing</v>
          </cell>
          <cell r="G643" t="str">
            <v>牛头技能2</v>
          </cell>
          <cell r="H643" t="str">
            <v>niutou_skill02</v>
          </cell>
          <cell r="I643" t="str">
            <v>[]</v>
          </cell>
          <cell r="J643">
            <v>1</v>
          </cell>
          <cell r="K643">
            <v>10</v>
          </cell>
          <cell r="L643" t="str">
            <v>[]</v>
          </cell>
          <cell r="M643">
            <v>2</v>
          </cell>
          <cell r="N643">
            <v>2</v>
          </cell>
          <cell r="O643">
            <v>1</v>
          </cell>
          <cell r="P643">
            <v>2</v>
          </cell>
          <cell r="Q643">
            <v>4</v>
          </cell>
          <cell r="R643" t="str">
            <v>2|1</v>
          </cell>
          <cell r="S643" t="str">
            <v>1|6|4</v>
          </cell>
          <cell r="T643">
            <v>10</v>
          </cell>
          <cell r="U643">
            <v>1</v>
          </cell>
          <cell r="V643">
            <v>0</v>
          </cell>
          <cell r="W643" t="str">
            <v>[]</v>
          </cell>
          <cell r="X643">
            <v>3</v>
          </cell>
          <cell r="Y643" t="str">
            <v>[]</v>
          </cell>
          <cell r="Z643" t="str">
            <v>0,2.1,0</v>
          </cell>
          <cell r="AA643">
            <v>0</v>
          </cell>
          <cell r="AB643" t="str">
            <v>10</v>
          </cell>
          <cell r="AC643" t="str">
            <v>[]</v>
          </cell>
          <cell r="AD643" t="str">
            <v>[]</v>
          </cell>
          <cell r="AE643" t="str">
            <v>[]</v>
          </cell>
          <cell r="AF643" t="str">
            <v>niutou_skill02</v>
          </cell>
          <cell r="AG643" t="str">
            <v>common_hit_zhongwuqi</v>
          </cell>
          <cell r="AH643" t="str">
            <v>[]</v>
          </cell>
          <cell r="AI643" t="str">
            <v>[]</v>
          </cell>
          <cell r="AJ643" t="str">
            <v>[]</v>
          </cell>
          <cell r="AK643" t="str">
            <v>[]</v>
          </cell>
          <cell r="AL643" t="str">
            <v>[]</v>
          </cell>
          <cell r="AM643" t="str">
            <v>[]</v>
          </cell>
          <cell r="AN643">
            <v>2</v>
          </cell>
          <cell r="AO643" t="str">
            <v>1</v>
          </cell>
          <cell r="AP643">
            <v>636</v>
          </cell>
          <cell r="AQ643">
            <v>636</v>
          </cell>
          <cell r="AR643" t="str">
            <v>[]</v>
          </cell>
          <cell r="AS643" t="str">
            <v>[]</v>
          </cell>
          <cell r="AT643" t="str">
            <v>3980</v>
          </cell>
          <cell r="AU643" t="str">
            <v>3980</v>
          </cell>
          <cell r="AV643" t="str">
            <v>牛头</v>
          </cell>
          <cell r="AW643" t="str">
            <v>02</v>
          </cell>
          <cell r="AY643">
            <v>1</v>
          </cell>
          <cell r="BE643"/>
          <cell r="BF643"/>
        </row>
        <row r="644">
          <cell r="A644" t="str">
            <v>boss_niutou_skill04</v>
          </cell>
          <cell r="B644" t="str">
            <v>组合神拳</v>
          </cell>
          <cell r="C644" t="str">
            <v>niutou_skill04</v>
          </cell>
          <cell r="D644" t="str">
            <v>[]</v>
          </cell>
          <cell r="E644">
            <v>2</v>
          </cell>
          <cell r="F644" t="str">
            <v>boss_warning_juxing</v>
          </cell>
          <cell r="G644" t="str">
            <v>牛头技能4</v>
          </cell>
          <cell r="H644" t="str">
            <v>niutou_skill04</v>
          </cell>
          <cell r="I644" t="str">
            <v>[]</v>
          </cell>
          <cell r="J644">
            <v>3</v>
          </cell>
          <cell r="K644">
            <v>10</v>
          </cell>
          <cell r="L644" t="str">
            <v>[]</v>
          </cell>
          <cell r="M644">
            <v>2</v>
          </cell>
          <cell r="N644">
            <v>2</v>
          </cell>
          <cell r="O644">
            <v>1</v>
          </cell>
          <cell r="P644">
            <v>2</v>
          </cell>
          <cell r="Q644">
            <v>4</v>
          </cell>
          <cell r="R644" t="str">
            <v>2|1</v>
          </cell>
          <cell r="S644" t="str">
            <v>4|0.2</v>
          </cell>
          <cell r="T644">
            <v>1</v>
          </cell>
          <cell r="U644">
            <v>1</v>
          </cell>
          <cell r="V644">
            <v>0</v>
          </cell>
          <cell r="W644" t="str">
            <v>[]</v>
          </cell>
          <cell r="X644">
            <v>3</v>
          </cell>
          <cell r="Y644" t="str">
            <v>[]</v>
          </cell>
          <cell r="Z644" t="str">
            <v>0,3.53,0</v>
          </cell>
          <cell r="AA644">
            <v>0</v>
          </cell>
          <cell r="AB644" t="str">
            <v>10</v>
          </cell>
          <cell r="AC644" t="str">
            <v>[]</v>
          </cell>
          <cell r="AD644" t="str">
            <v>[]</v>
          </cell>
          <cell r="AE644" t="str">
            <v>[]</v>
          </cell>
          <cell r="AF644" t="str">
            <v>niutou_skill04,niutou_skill04_l,niutou_skill04_r</v>
          </cell>
          <cell r="AG644" t="str">
            <v>common_hit_zhongwuqi</v>
          </cell>
          <cell r="AH644" t="str">
            <v>[]</v>
          </cell>
          <cell r="AI644" t="str">
            <v>[]</v>
          </cell>
          <cell r="AJ644" t="str">
            <v>niutou_zhenping,niutou_zhenping_01,niutou_zhenping_02</v>
          </cell>
          <cell r="AK644" t="str">
            <v>niutou_jifei</v>
          </cell>
          <cell r="AL644" t="str">
            <v>[]</v>
          </cell>
          <cell r="AM644" t="str">
            <v>[]</v>
          </cell>
          <cell r="AN644">
            <v>2</v>
          </cell>
          <cell r="AO644" t="str">
            <v>1</v>
          </cell>
          <cell r="AP644">
            <v>636</v>
          </cell>
          <cell r="AQ644">
            <v>636</v>
          </cell>
          <cell r="AR644" t="str">
            <v>[]</v>
          </cell>
          <cell r="AS644" t="str">
            <v>[]</v>
          </cell>
          <cell r="AT644" t="str">
            <v>4000</v>
          </cell>
          <cell r="AU644" t="str">
            <v>4000</v>
          </cell>
          <cell r="AV644" t="str">
            <v>牛头</v>
          </cell>
          <cell r="AW644" t="str">
            <v>04</v>
          </cell>
          <cell r="AX644"/>
          <cell r="AY644">
            <v>1</v>
          </cell>
          <cell r="BE644"/>
          <cell r="BF644"/>
        </row>
        <row r="645">
          <cell r="A645" t="str">
            <v>boss_leigong_skill01</v>
          </cell>
          <cell r="B645" t="str">
            <v>雷击</v>
          </cell>
          <cell r="C645" t="str">
            <v>leigong_skill01</v>
          </cell>
          <cell r="D645" t="str">
            <v>[]</v>
          </cell>
          <cell r="E645">
            <v>0</v>
          </cell>
          <cell r="F645" t="str">
            <v>[]</v>
          </cell>
          <cell r="G645" t="str">
            <v>雷击</v>
          </cell>
          <cell r="H645" t="str">
            <v>leiji</v>
          </cell>
          <cell r="I645" t="str">
            <v>leiji</v>
          </cell>
          <cell r="J645">
            <v>0</v>
          </cell>
          <cell r="K645">
            <v>10</v>
          </cell>
          <cell r="L645" t="str">
            <v>1|33</v>
          </cell>
          <cell r="M645">
            <v>2</v>
          </cell>
          <cell r="N645">
            <v>2</v>
          </cell>
          <cell r="O645">
            <v>2</v>
          </cell>
          <cell r="P645">
            <v>2</v>
          </cell>
          <cell r="Q645">
            <v>12</v>
          </cell>
          <cell r="R645" t="str">
            <v>2|1</v>
          </cell>
          <cell r="S645" t="str">
            <v>2|8</v>
          </cell>
          <cell r="T645">
            <v>10</v>
          </cell>
          <cell r="U645">
            <v>0</v>
          </cell>
          <cell r="V645">
            <v>0</v>
          </cell>
          <cell r="W645" t="str">
            <v>[]</v>
          </cell>
          <cell r="X645">
            <v>0</v>
          </cell>
          <cell r="Y645" t="str">
            <v>[]</v>
          </cell>
          <cell r="Z645" t="str">
            <v>0,0,0</v>
          </cell>
          <cell r="AA645">
            <v>0</v>
          </cell>
          <cell r="AB645" t="str">
            <v>10</v>
          </cell>
          <cell r="AC645" t="str">
            <v>[]</v>
          </cell>
          <cell r="AD645" t="str">
            <v>[]</v>
          </cell>
          <cell r="AE645" t="str">
            <v>[]</v>
          </cell>
          <cell r="AF645" t="str">
            <v>leigong_skill01</v>
          </cell>
          <cell r="AG645" t="str">
            <v>leigong_hit</v>
          </cell>
          <cell r="AH645" t="str">
            <v>[]</v>
          </cell>
          <cell r="AI645" t="str">
            <v>[]</v>
          </cell>
          <cell r="AJ645" t="str">
            <v>[]</v>
          </cell>
          <cell r="AK645" t="str">
            <v>common_yunxuan</v>
          </cell>
          <cell r="AL645" t="str">
            <v>[]</v>
          </cell>
          <cell r="AM645" t="str">
            <v>[]</v>
          </cell>
          <cell r="AN645">
            <v>2</v>
          </cell>
          <cell r="AO645" t="str">
            <v>1</v>
          </cell>
          <cell r="AP645">
            <v>636</v>
          </cell>
          <cell r="AQ645">
            <v>636</v>
          </cell>
          <cell r="AR645" t="str">
            <v>[]</v>
          </cell>
          <cell r="AS645" t="str">
            <v>[]</v>
          </cell>
          <cell r="AT645" t="str">
            <v>4070</v>
          </cell>
          <cell r="AU645" t="str">
            <v>4070</v>
          </cell>
          <cell r="AV645" t="str">
            <v>雷击</v>
          </cell>
          <cell r="AW645" t="str">
            <v>01</v>
          </cell>
          <cell r="AY645">
            <v>1</v>
          </cell>
          <cell r="BE645"/>
          <cell r="BF645"/>
        </row>
        <row r="646">
          <cell r="A646" t="str">
            <v>boss_leigong_skill02</v>
          </cell>
          <cell r="B646" t="str">
            <v>雷暴</v>
          </cell>
          <cell r="C646" t="str">
            <v>leigong_skill02</v>
          </cell>
          <cell r="D646" t="str">
            <v>[]</v>
          </cell>
          <cell r="E646">
            <v>1</v>
          </cell>
          <cell r="F646" t="str">
            <v>boss_warning_yuanxing</v>
          </cell>
          <cell r="G646" t="str">
            <v>雷公技能2</v>
          </cell>
          <cell r="H646" t="str">
            <v>leigong_skill02</v>
          </cell>
          <cell r="I646" t="str">
            <v>[]</v>
          </cell>
          <cell r="J646">
            <v>1</v>
          </cell>
          <cell r="K646">
            <v>10</v>
          </cell>
          <cell r="L646" t="str">
            <v>[]</v>
          </cell>
          <cell r="M646">
            <v>2</v>
          </cell>
          <cell r="N646">
            <v>2</v>
          </cell>
          <cell r="O646">
            <v>1</v>
          </cell>
          <cell r="P646">
            <v>2</v>
          </cell>
          <cell r="Q646">
            <v>4</v>
          </cell>
          <cell r="R646" t="str">
            <v>2|1</v>
          </cell>
          <cell r="S646" t="str">
            <v>2|4</v>
          </cell>
          <cell r="T646">
            <v>10</v>
          </cell>
          <cell r="U646">
            <v>0</v>
          </cell>
          <cell r="V646">
            <v>0</v>
          </cell>
          <cell r="W646" t="str">
            <v>[]</v>
          </cell>
          <cell r="X646">
            <v>3</v>
          </cell>
          <cell r="Y646" t="str">
            <v>[]</v>
          </cell>
          <cell r="Z646" t="str">
            <v>0,2.0,0</v>
          </cell>
          <cell r="AA646">
            <v>0</v>
          </cell>
          <cell r="AB646" t="str">
            <v>10</v>
          </cell>
          <cell r="AC646" t="str">
            <v>[]</v>
          </cell>
          <cell r="AD646" t="str">
            <v>[]</v>
          </cell>
          <cell r="AE646" t="str">
            <v>[]</v>
          </cell>
          <cell r="AF646" t="str">
            <v>leigong_skill02</v>
          </cell>
          <cell r="AG646" t="str">
            <v>leigong_hit</v>
          </cell>
          <cell r="AH646" t="str">
            <v>[]</v>
          </cell>
          <cell r="AI646" t="str">
            <v>[]</v>
          </cell>
          <cell r="AJ646" t="str">
            <v>leigong_zhenping_01</v>
          </cell>
          <cell r="AK646" t="str">
            <v>[]</v>
          </cell>
          <cell r="AL646" t="str">
            <v>[]</v>
          </cell>
          <cell r="AM646" t="str">
            <v>[]</v>
          </cell>
          <cell r="AN646">
            <v>2</v>
          </cell>
          <cell r="AO646" t="str">
            <v>1</v>
          </cell>
          <cell r="AP646">
            <v>636</v>
          </cell>
          <cell r="AQ646">
            <v>636</v>
          </cell>
          <cell r="AR646" t="str">
            <v>[]</v>
          </cell>
          <cell r="AS646" t="str">
            <v>[]</v>
          </cell>
          <cell r="AT646" t="str">
            <v>4080</v>
          </cell>
          <cell r="AU646" t="str">
            <v>4080</v>
          </cell>
          <cell r="AV646" t="str">
            <v>雷公</v>
          </cell>
          <cell r="AW646" t="str">
            <v>02</v>
          </cell>
          <cell r="AY646">
            <v>1</v>
          </cell>
          <cell r="BE646"/>
          <cell r="BF646"/>
        </row>
        <row r="647">
          <cell r="A647" t="str">
            <v>boss_leigong_skill04</v>
          </cell>
          <cell r="B647" t="str">
            <v>天雷斩</v>
          </cell>
          <cell r="C647" t="str">
            <v>leigong_skill04</v>
          </cell>
          <cell r="D647" t="str">
            <v>[]</v>
          </cell>
          <cell r="E647">
            <v>1</v>
          </cell>
          <cell r="F647" t="str">
            <v>boss_warning_yuanxing</v>
          </cell>
          <cell r="G647" t="str">
            <v>雷公技能4</v>
          </cell>
          <cell r="H647" t="str">
            <v>leigong_skill04</v>
          </cell>
          <cell r="I647" t="str">
            <v>[]</v>
          </cell>
          <cell r="J647">
            <v>3</v>
          </cell>
          <cell r="K647">
            <v>10</v>
          </cell>
          <cell r="L647" t="str">
            <v>[]</v>
          </cell>
          <cell r="M647">
            <v>2</v>
          </cell>
          <cell r="N647">
            <v>2</v>
          </cell>
          <cell r="O647">
            <v>2</v>
          </cell>
          <cell r="P647">
            <v>2</v>
          </cell>
          <cell r="Q647">
            <v>4</v>
          </cell>
          <cell r="R647" t="str">
            <v>2|1</v>
          </cell>
          <cell r="S647" t="str">
            <v>2|4</v>
          </cell>
          <cell r="T647">
            <v>10</v>
          </cell>
          <cell r="U647">
            <v>0</v>
          </cell>
          <cell r="V647">
            <v>0</v>
          </cell>
          <cell r="W647" t="str">
            <v>[]</v>
          </cell>
          <cell r="X647">
            <v>3</v>
          </cell>
          <cell r="Y647" t="str">
            <v>[]</v>
          </cell>
          <cell r="Z647" t="str">
            <v>0,2.5,0</v>
          </cell>
          <cell r="AA647">
            <v>0</v>
          </cell>
          <cell r="AB647" t="str">
            <v>10</v>
          </cell>
          <cell r="AC647" t="str">
            <v>[]</v>
          </cell>
          <cell r="AD647" t="str">
            <v>[]</v>
          </cell>
          <cell r="AE647" t="str">
            <v>[]</v>
          </cell>
          <cell r="AF647" t="str">
            <v>leigong_skill04</v>
          </cell>
          <cell r="AG647" t="str">
            <v>leigong_hit</v>
          </cell>
          <cell r="AH647" t="str">
            <v>[]</v>
          </cell>
          <cell r="AI647" t="str">
            <v>[]</v>
          </cell>
          <cell r="AJ647" t="str">
            <v>leigong_zhenping_02</v>
          </cell>
          <cell r="AK647" t="str">
            <v>[]</v>
          </cell>
          <cell r="AL647" t="str">
            <v>[]</v>
          </cell>
          <cell r="AM647" t="str">
            <v>[]</v>
          </cell>
          <cell r="AN647">
            <v>2</v>
          </cell>
          <cell r="AO647" t="str">
            <v>1</v>
          </cell>
          <cell r="AP647">
            <v>636</v>
          </cell>
          <cell r="AQ647">
            <v>636</v>
          </cell>
          <cell r="AR647" t="str">
            <v>[]</v>
          </cell>
          <cell r="AS647" t="str">
            <v>[]</v>
          </cell>
          <cell r="AT647" t="str">
            <v>4100</v>
          </cell>
          <cell r="AU647" t="str">
            <v>4100</v>
          </cell>
          <cell r="AV647" t="str">
            <v>雷公</v>
          </cell>
          <cell r="AW647" t="str">
            <v>04</v>
          </cell>
          <cell r="AX647"/>
          <cell r="AY647">
            <v>1</v>
          </cell>
          <cell r="BE647"/>
          <cell r="BF647"/>
        </row>
        <row r="648">
          <cell r="A648" t="str">
            <v>boss_donghailongwang_skill01</v>
          </cell>
          <cell r="B648" t="str">
            <v>千年龙鳞</v>
          </cell>
          <cell r="C648" t="str">
            <v>donghailongwang_skill01</v>
          </cell>
          <cell r="D648" t="str">
            <v>[]</v>
          </cell>
          <cell r="E648">
            <v>0</v>
          </cell>
          <cell r="F648" t="str">
            <v>[]</v>
          </cell>
          <cell r="G648" t="str">
            <v>东海龙王核心技能</v>
          </cell>
          <cell r="H648" t="str">
            <v>donghailongwang_skill01</v>
          </cell>
          <cell r="I648" t="str">
            <v>donghailongwang_skill01</v>
          </cell>
          <cell r="J648">
            <v>0</v>
          </cell>
          <cell r="K648">
            <v>10</v>
          </cell>
          <cell r="L648" t="str">
            <v>1|35</v>
          </cell>
          <cell r="M648">
            <v>2</v>
          </cell>
          <cell r="N648">
            <v>2</v>
          </cell>
          <cell r="O648">
            <v>1</v>
          </cell>
          <cell r="P648">
            <v>4</v>
          </cell>
          <cell r="Q648">
            <v>12</v>
          </cell>
          <cell r="R648">
            <v>3</v>
          </cell>
          <cell r="S648">
            <v>5</v>
          </cell>
          <cell r="T648">
            <v>10</v>
          </cell>
          <cell r="U648">
            <v>0</v>
          </cell>
          <cell r="V648">
            <v>0</v>
          </cell>
          <cell r="W648" t="str">
            <v>[]</v>
          </cell>
          <cell r="X648">
            <v>0</v>
          </cell>
          <cell r="Y648" t="str">
            <v>[]</v>
          </cell>
          <cell r="Z648" t="str">
            <v>0,0,0</v>
          </cell>
          <cell r="AA648">
            <v>0</v>
          </cell>
          <cell r="AB648" t="str">
            <v>10</v>
          </cell>
          <cell r="AC648" t="str">
            <v>[]</v>
          </cell>
          <cell r="AD648" t="str">
            <v>[]</v>
          </cell>
          <cell r="AE648" t="str">
            <v>[]</v>
          </cell>
          <cell r="AF648" t="str">
            <v>donghailongwang_skill01_atk</v>
          </cell>
          <cell r="AG648" t="str">
            <v>donghailongwang_skill01</v>
          </cell>
          <cell r="AH648" t="str">
            <v>[]</v>
          </cell>
          <cell r="AI648" t="str">
            <v>[]</v>
          </cell>
          <cell r="AJ648" t="str">
            <v>batiT3NP1</v>
          </cell>
          <cell r="AK648" t="str">
            <v>shengminghudunT3N0.3P1</v>
          </cell>
          <cell r="AL648" t="str">
            <v>[]</v>
          </cell>
          <cell r="AM648" t="str">
            <v>[]</v>
          </cell>
          <cell r="AN648">
            <v>2</v>
          </cell>
          <cell r="AO648" t="str">
            <v>1</v>
          </cell>
          <cell r="AP648" t="str">
            <v>[]</v>
          </cell>
          <cell r="AQ648" t="str">
            <v>[]</v>
          </cell>
          <cell r="AR648" t="str">
            <v>[]</v>
          </cell>
          <cell r="AS648" t="str">
            <v>[]</v>
          </cell>
          <cell r="AT648" t="str">
            <v>4120</v>
          </cell>
          <cell r="AU648" t="str">
            <v>4120</v>
          </cell>
          <cell r="AV648" t="str">
            <v>东海龙王</v>
          </cell>
          <cell r="AW648" t="str">
            <v>01</v>
          </cell>
          <cell r="AY648">
            <v>1</v>
          </cell>
          <cell r="BE648"/>
          <cell r="BF648"/>
        </row>
        <row r="649">
          <cell r="A649" t="str">
            <v>boss_donghailongwang_skill02</v>
          </cell>
          <cell r="B649" t="str">
            <v>海龙咆哮</v>
          </cell>
          <cell r="C649" t="str">
            <v>donghailongwang_skill02</v>
          </cell>
          <cell r="D649" t="str">
            <v>[]</v>
          </cell>
          <cell r="E649">
            <v>2</v>
          </cell>
          <cell r="F649" t="str">
            <v>boss_warning_juxing</v>
          </cell>
          <cell r="G649" t="str">
            <v>东海龙王技能2</v>
          </cell>
          <cell r="H649" t="str">
            <v>donghailongwang_skill02</v>
          </cell>
          <cell r="I649" t="str">
            <v>[]</v>
          </cell>
          <cell r="J649">
            <v>1</v>
          </cell>
          <cell r="K649">
            <v>10</v>
          </cell>
          <cell r="L649" t="str">
            <v>[]</v>
          </cell>
          <cell r="M649">
            <v>2</v>
          </cell>
          <cell r="N649">
            <v>2</v>
          </cell>
          <cell r="O649">
            <v>1</v>
          </cell>
          <cell r="P649">
            <v>2</v>
          </cell>
          <cell r="Q649">
            <v>4</v>
          </cell>
          <cell r="R649" t="str">
            <v>2|1</v>
          </cell>
          <cell r="S649" t="str">
            <v>1|10|4</v>
          </cell>
          <cell r="T649">
            <v>10</v>
          </cell>
          <cell r="U649">
            <v>0</v>
          </cell>
          <cell r="V649">
            <v>0</v>
          </cell>
          <cell r="W649" t="str">
            <v>[]</v>
          </cell>
          <cell r="X649">
            <v>3</v>
          </cell>
          <cell r="Y649" t="str">
            <v>[]</v>
          </cell>
          <cell r="Z649" t="str">
            <v>0,0.76,0.5</v>
          </cell>
          <cell r="AA649">
            <v>0</v>
          </cell>
          <cell r="AB649" t="str">
            <v>10</v>
          </cell>
          <cell r="AC649" t="str">
            <v>[]</v>
          </cell>
          <cell r="AD649" t="str">
            <v>[]</v>
          </cell>
          <cell r="AE649" t="str">
            <v>[]</v>
          </cell>
          <cell r="AF649" t="str">
            <v>donghailongwang_skill02</v>
          </cell>
          <cell r="AG649" t="str">
            <v>[]</v>
          </cell>
          <cell r="AH649" t="str">
            <v>[]</v>
          </cell>
          <cell r="AI649" t="str">
            <v>[]</v>
          </cell>
          <cell r="AJ649" t="str">
            <v>[]</v>
          </cell>
          <cell r="AK649" t="str">
            <v>bingdongT1NP0.2</v>
          </cell>
          <cell r="AL649" t="str">
            <v>[]</v>
          </cell>
          <cell r="AM649" t="str">
            <v>[]</v>
          </cell>
          <cell r="AN649">
            <v>2</v>
          </cell>
          <cell r="AO649" t="str">
            <v>1</v>
          </cell>
          <cell r="AP649">
            <v>636</v>
          </cell>
          <cell r="AQ649">
            <v>636</v>
          </cell>
          <cell r="AR649" t="str">
            <v>[]</v>
          </cell>
          <cell r="AS649" t="str">
            <v>[]</v>
          </cell>
          <cell r="AT649" t="str">
            <v>4130</v>
          </cell>
          <cell r="AU649" t="str">
            <v>4130</v>
          </cell>
          <cell r="AV649" t="str">
            <v>东海龙王</v>
          </cell>
          <cell r="AW649" t="str">
            <v>02</v>
          </cell>
          <cell r="AY649">
            <v>1</v>
          </cell>
          <cell r="BE649"/>
          <cell r="BF649"/>
        </row>
        <row r="650">
          <cell r="A650" t="str">
            <v>boss_donghailongwang_skill04</v>
          </cell>
          <cell r="B650" t="str">
            <v>深海问候</v>
          </cell>
          <cell r="C650" t="str">
            <v>donghailongwang_skill04</v>
          </cell>
          <cell r="D650" t="str">
            <v>[]</v>
          </cell>
          <cell r="E650">
            <v>2</v>
          </cell>
          <cell r="F650" t="str">
            <v>boss_warning_yuanxing</v>
          </cell>
          <cell r="G650" t="str">
            <v>东海龙王技能4</v>
          </cell>
          <cell r="H650" t="str">
            <v>donghailongwang_skill04</v>
          </cell>
          <cell r="I650" t="str">
            <v>[]</v>
          </cell>
          <cell r="J650">
            <v>3</v>
          </cell>
          <cell r="K650">
            <v>10</v>
          </cell>
          <cell r="L650" t="str">
            <v>[]</v>
          </cell>
          <cell r="M650">
            <v>2</v>
          </cell>
          <cell r="N650">
            <v>2</v>
          </cell>
          <cell r="O650">
            <v>1</v>
          </cell>
          <cell r="P650">
            <v>2</v>
          </cell>
          <cell r="Q650">
            <v>4</v>
          </cell>
          <cell r="R650" t="str">
            <v>2|1</v>
          </cell>
          <cell r="S650" t="str">
            <v>2|10</v>
          </cell>
          <cell r="T650">
            <v>10</v>
          </cell>
          <cell r="U650">
            <v>0</v>
          </cell>
          <cell r="V650">
            <v>0</v>
          </cell>
          <cell r="W650" t="str">
            <v>[]</v>
          </cell>
          <cell r="X650">
            <v>3</v>
          </cell>
          <cell r="Y650" t="str">
            <v>[]</v>
          </cell>
          <cell r="Z650" t="str">
            <v>0,1.1,0.66</v>
          </cell>
          <cell r="AA650">
            <v>0</v>
          </cell>
          <cell r="AB650" t="str">
            <v>10</v>
          </cell>
          <cell r="AC650" t="str">
            <v>[]</v>
          </cell>
          <cell r="AD650" t="str">
            <v>[]</v>
          </cell>
          <cell r="AE650" t="str">
            <v>[]</v>
          </cell>
          <cell r="AF650" t="str">
            <v>donghailongwang_skill04</v>
          </cell>
          <cell r="AG650" t="str">
            <v>[]</v>
          </cell>
          <cell r="AH650" t="str">
            <v>[]</v>
          </cell>
          <cell r="AI650" t="str">
            <v>[]</v>
          </cell>
          <cell r="AJ650" t="str">
            <v>donghailongwang_zhenping</v>
          </cell>
          <cell r="AK650" t="str">
            <v>[]</v>
          </cell>
          <cell r="AL650" t="str">
            <v>hpmaxhuifu2T2</v>
          </cell>
          <cell r="AM650" t="str">
            <v>[]</v>
          </cell>
          <cell r="AN650">
            <v>2</v>
          </cell>
          <cell r="AO650" t="str">
            <v>1</v>
          </cell>
          <cell r="AP650">
            <v>636</v>
          </cell>
          <cell r="AQ650">
            <v>636</v>
          </cell>
          <cell r="AR650" t="str">
            <v>[]</v>
          </cell>
          <cell r="AS650" t="str">
            <v>[]</v>
          </cell>
          <cell r="AT650" t="str">
            <v>4150</v>
          </cell>
          <cell r="AU650" t="str">
            <v>4150</v>
          </cell>
          <cell r="AV650" t="str">
            <v>东海龙王</v>
          </cell>
          <cell r="AW650" t="str">
            <v>04</v>
          </cell>
          <cell r="AX650"/>
          <cell r="AY650">
            <v>1</v>
          </cell>
          <cell r="BE650"/>
          <cell r="BF650"/>
        </row>
        <row r="651">
          <cell r="A651" t="str">
            <v>boss_jinghelongwang_skill01</v>
          </cell>
          <cell r="B651" t="str">
            <v>冰封万里</v>
          </cell>
          <cell r="C651" t="str">
            <v>jinghelongwang_skill01</v>
          </cell>
          <cell r="D651" t="str">
            <v>[]</v>
          </cell>
          <cell r="E651">
            <v>1</v>
          </cell>
          <cell r="F651" t="str">
            <v>boss_warning_yuanxing</v>
          </cell>
          <cell r="G651" t="str">
            <v>冰封万里</v>
          </cell>
          <cell r="H651" t="str">
            <v>bingfengwanli</v>
          </cell>
          <cell r="I651" t="str">
            <v>bingfengwanli</v>
          </cell>
          <cell r="J651">
            <v>0</v>
          </cell>
          <cell r="K651">
            <v>10</v>
          </cell>
          <cell r="L651" t="str">
            <v>1|34</v>
          </cell>
          <cell r="M651">
            <v>2</v>
          </cell>
          <cell r="N651">
            <v>2</v>
          </cell>
          <cell r="O651">
            <v>1</v>
          </cell>
          <cell r="P651">
            <v>2</v>
          </cell>
          <cell r="Q651">
            <v>12</v>
          </cell>
          <cell r="R651" t="str">
            <v>2|1</v>
          </cell>
          <cell r="S651" t="str">
            <v>1|15|4</v>
          </cell>
          <cell r="T651">
            <v>10</v>
          </cell>
          <cell r="U651">
            <v>1</v>
          </cell>
          <cell r="V651">
            <v>0</v>
          </cell>
          <cell r="W651" t="str">
            <v>[]</v>
          </cell>
          <cell r="X651">
            <v>0</v>
          </cell>
          <cell r="Y651" t="str">
            <v>[]</v>
          </cell>
          <cell r="Z651" t="str">
            <v>0,0,0</v>
          </cell>
          <cell r="AA651">
            <v>0</v>
          </cell>
          <cell r="AB651" t="str">
            <v>10</v>
          </cell>
          <cell r="AC651" t="str">
            <v>[]</v>
          </cell>
          <cell r="AD651" t="str">
            <v>[]</v>
          </cell>
          <cell r="AE651" t="str">
            <v>[]</v>
          </cell>
          <cell r="AF651" t="str">
            <v>jinghelongwang_skill01</v>
          </cell>
          <cell r="AG651" t="str">
            <v>jinghelongwang_hit</v>
          </cell>
          <cell r="AH651" t="str">
            <v>[]</v>
          </cell>
          <cell r="AI651" t="str">
            <v>[]</v>
          </cell>
          <cell r="AJ651" t="str">
            <v>jinghelongwang_zhenping_01</v>
          </cell>
          <cell r="AK651" t="str">
            <v>[]</v>
          </cell>
          <cell r="AL651" t="str">
            <v>[]</v>
          </cell>
          <cell r="AM651" t="str">
            <v>jiashangupT3N0.1</v>
          </cell>
          <cell r="AN651">
            <v>2</v>
          </cell>
          <cell r="AO651" t="str">
            <v>1</v>
          </cell>
          <cell r="AP651">
            <v>636</v>
          </cell>
          <cell r="AQ651">
            <v>636</v>
          </cell>
          <cell r="AR651" t="str">
            <v>[]</v>
          </cell>
          <cell r="AS651" t="str">
            <v>[]</v>
          </cell>
          <cell r="AT651" t="str">
            <v>4170</v>
          </cell>
          <cell r="AU651" t="str">
            <v>4170</v>
          </cell>
          <cell r="AV651" t="str">
            <v>冰封万里</v>
          </cell>
          <cell r="AW651" t="str">
            <v>01</v>
          </cell>
          <cell r="AY651">
            <v>1</v>
          </cell>
          <cell r="BE651"/>
          <cell r="BF651"/>
        </row>
        <row r="652">
          <cell r="A652" t="str">
            <v>boss_jinghelongwang_skill02</v>
          </cell>
          <cell r="B652" t="str">
            <v>水之契约</v>
          </cell>
          <cell r="C652" t="str">
            <v>jinghelongwang_skill02</v>
          </cell>
          <cell r="D652" t="str">
            <v>[]</v>
          </cell>
          <cell r="E652">
            <v>1</v>
          </cell>
          <cell r="F652" t="str">
            <v>boss_warning_yuanxing</v>
          </cell>
          <cell r="G652" t="str">
            <v>泾河龙王技能2</v>
          </cell>
          <cell r="H652" t="str">
            <v>jinghelongwang_skill02</v>
          </cell>
          <cell r="I652" t="str">
            <v>[]</v>
          </cell>
          <cell r="J652">
            <v>1</v>
          </cell>
          <cell r="K652">
            <v>10</v>
          </cell>
          <cell r="L652" t="str">
            <v>[]</v>
          </cell>
          <cell r="M652">
            <v>2</v>
          </cell>
          <cell r="N652">
            <v>2</v>
          </cell>
          <cell r="O652">
            <v>1</v>
          </cell>
          <cell r="P652">
            <v>2</v>
          </cell>
          <cell r="Q652">
            <v>4</v>
          </cell>
          <cell r="R652">
            <v>1</v>
          </cell>
          <cell r="S652" t="str">
            <v>4|0.2</v>
          </cell>
          <cell r="T652">
            <v>10</v>
          </cell>
          <cell r="U652">
            <v>1</v>
          </cell>
          <cell r="V652">
            <v>0</v>
          </cell>
          <cell r="W652" t="str">
            <v>[]</v>
          </cell>
          <cell r="X652">
            <v>3</v>
          </cell>
          <cell r="Y652" t="str">
            <v>[]</v>
          </cell>
          <cell r="Z652" t="str">
            <v>0,2.0,0</v>
          </cell>
          <cell r="AA652">
            <v>0</v>
          </cell>
          <cell r="AB652" t="str">
            <v>10</v>
          </cell>
          <cell r="AC652" t="str">
            <v>[]</v>
          </cell>
          <cell r="AD652" t="str">
            <v>[]</v>
          </cell>
          <cell r="AE652" t="str">
            <v>jinghelongwang_skill02_q</v>
          </cell>
          <cell r="AF652" t="str">
            <v>jinghelongwang_skill02</v>
          </cell>
          <cell r="AG652" t="str">
            <v>[]</v>
          </cell>
          <cell r="AH652" t="str">
            <v>[]</v>
          </cell>
          <cell r="AI652" t="str">
            <v>[]</v>
          </cell>
          <cell r="AJ652" t="str">
            <v>jinghelongwang_skill02_higheff</v>
          </cell>
          <cell r="AK652" t="str">
            <v>[]</v>
          </cell>
          <cell r="AL652" t="str">
            <v>[]</v>
          </cell>
          <cell r="AM652" t="str">
            <v>[]</v>
          </cell>
          <cell r="AN652">
            <v>2</v>
          </cell>
          <cell r="AO652" t="str">
            <v>1</v>
          </cell>
          <cell r="AP652">
            <v>636</v>
          </cell>
          <cell r="AQ652">
            <v>636</v>
          </cell>
          <cell r="AR652" t="str">
            <v>[]</v>
          </cell>
          <cell r="AS652" t="str">
            <v>[]</v>
          </cell>
          <cell r="AT652" t="str">
            <v>4180</v>
          </cell>
          <cell r="AU652" t="str">
            <v>4180</v>
          </cell>
          <cell r="AV652" t="str">
            <v>泾河龙王</v>
          </cell>
          <cell r="AW652" t="str">
            <v>02</v>
          </cell>
          <cell r="AY652">
            <v>1</v>
          </cell>
          <cell r="BE652"/>
          <cell r="BF652"/>
        </row>
        <row r="653">
          <cell r="A653" t="str">
            <v>boss_jinghelongwang_skill04</v>
          </cell>
          <cell r="B653" t="str">
            <v>龙王叹息</v>
          </cell>
          <cell r="C653" t="str">
            <v>jinghelongwang_skill04</v>
          </cell>
          <cell r="D653" t="str">
            <v>[]</v>
          </cell>
          <cell r="E653">
            <v>2</v>
          </cell>
          <cell r="F653" t="str">
            <v>boss_warning_shanxing90</v>
          </cell>
          <cell r="G653" t="str">
            <v>泾河龙王技能4</v>
          </cell>
          <cell r="H653" t="str">
            <v>jinghelongwang_skill04</v>
          </cell>
          <cell r="I653" t="str">
            <v>[]</v>
          </cell>
          <cell r="J653">
            <v>3</v>
          </cell>
          <cell r="K653">
            <v>10</v>
          </cell>
          <cell r="L653" t="str">
            <v>[]</v>
          </cell>
          <cell r="M653">
            <v>2</v>
          </cell>
          <cell r="N653">
            <v>2</v>
          </cell>
          <cell r="O653">
            <v>1</v>
          </cell>
          <cell r="P653">
            <v>2</v>
          </cell>
          <cell r="Q653">
            <v>4</v>
          </cell>
          <cell r="R653" t="str">
            <v>2|1</v>
          </cell>
          <cell r="S653" t="str">
            <v>2|5</v>
          </cell>
          <cell r="T653">
            <v>10</v>
          </cell>
          <cell r="U653">
            <v>0</v>
          </cell>
          <cell r="V653">
            <v>0</v>
          </cell>
          <cell r="W653" t="str">
            <v>[]</v>
          </cell>
          <cell r="X653">
            <v>3</v>
          </cell>
          <cell r="Y653" t="str">
            <v>[]</v>
          </cell>
          <cell r="Z653" t="str">
            <v>0,2.0,0</v>
          </cell>
          <cell r="AA653">
            <v>0</v>
          </cell>
          <cell r="AB653" t="str">
            <v>10</v>
          </cell>
          <cell r="AC653" t="str">
            <v>[]</v>
          </cell>
          <cell r="AD653" t="str">
            <v>[]</v>
          </cell>
          <cell r="AE653" t="str">
            <v>[]</v>
          </cell>
          <cell r="AF653" t="str">
            <v>jinghelongwang_skill04</v>
          </cell>
          <cell r="AG653" t="str">
            <v>jinghelongwang_hit</v>
          </cell>
          <cell r="AH653" t="str">
            <v>[]</v>
          </cell>
          <cell r="AI653" t="str">
            <v>[]</v>
          </cell>
          <cell r="AJ653" t="str">
            <v>[]</v>
          </cell>
          <cell r="AK653" t="str">
            <v>[]</v>
          </cell>
          <cell r="AL653" t="str">
            <v>[]</v>
          </cell>
          <cell r="AM653" t="str">
            <v>[]</v>
          </cell>
          <cell r="AN653">
            <v>2</v>
          </cell>
          <cell r="AO653" t="str">
            <v>1</v>
          </cell>
          <cell r="AP653">
            <v>636</v>
          </cell>
          <cell r="AQ653">
            <v>636</v>
          </cell>
          <cell r="AR653" t="str">
            <v>[]</v>
          </cell>
          <cell r="AS653" t="str">
            <v>[]</v>
          </cell>
          <cell r="AT653" t="str">
            <v>4200</v>
          </cell>
          <cell r="AU653" t="str">
            <v>4200</v>
          </cell>
          <cell r="AV653" t="str">
            <v>泾河龙王</v>
          </cell>
          <cell r="AW653" t="str">
            <v>04</v>
          </cell>
          <cell r="AX653"/>
          <cell r="AY653">
            <v>1</v>
          </cell>
          <cell r="BE653"/>
          <cell r="BF653"/>
        </row>
        <row r="654">
          <cell r="A654" t="str">
            <v>boss_yutu_skill01</v>
          </cell>
          <cell r="B654" t="str">
            <v>仙灵祝福</v>
          </cell>
          <cell r="C654" t="str">
            <v>yutu_skill01</v>
          </cell>
          <cell r="D654" t="str">
            <v>[]</v>
          </cell>
          <cell r="E654">
            <v>0</v>
          </cell>
          <cell r="F654" t="str">
            <v>[]</v>
          </cell>
          <cell r="G654" t="str">
            <v>仙灵祝福</v>
          </cell>
          <cell r="H654" t="str">
            <v>xianlingzhufu</v>
          </cell>
          <cell r="I654" t="str">
            <v>xianlingzhufu</v>
          </cell>
          <cell r="J654">
            <v>0</v>
          </cell>
          <cell r="K654">
            <v>10</v>
          </cell>
          <cell r="L654" t="str">
            <v>1|41</v>
          </cell>
          <cell r="M654">
            <v>2</v>
          </cell>
          <cell r="N654">
            <v>2</v>
          </cell>
          <cell r="O654">
            <v>1</v>
          </cell>
          <cell r="P654">
            <v>5</v>
          </cell>
          <cell r="Q654">
            <v>12</v>
          </cell>
          <cell r="R654">
            <v>3</v>
          </cell>
          <cell r="S654">
            <v>7</v>
          </cell>
          <cell r="T654">
            <v>1</v>
          </cell>
          <cell r="U654">
            <v>1</v>
          </cell>
          <cell r="V654">
            <v>0</v>
          </cell>
          <cell r="W654" t="str">
            <v>[]</v>
          </cell>
          <cell r="X654">
            <v>0</v>
          </cell>
          <cell r="Y654" t="str">
            <v>[]</v>
          </cell>
          <cell r="Z654" t="str">
            <v>0,0,0</v>
          </cell>
          <cell r="AA654">
            <v>0</v>
          </cell>
          <cell r="AB654" t="str">
            <v>10</v>
          </cell>
          <cell r="AC654" t="str">
            <v>[]</v>
          </cell>
          <cell r="AD654" t="str">
            <v>[]</v>
          </cell>
          <cell r="AE654" t="str">
            <v>[]</v>
          </cell>
          <cell r="AF654" t="str">
            <v>yutu_skill01</v>
          </cell>
          <cell r="AG654" t="str">
            <v>respond_hp</v>
          </cell>
          <cell r="AH654" t="str">
            <v>[]</v>
          </cell>
          <cell r="AI654" t="str">
            <v>[]</v>
          </cell>
          <cell r="AJ654" t="str">
            <v>[]</v>
          </cell>
          <cell r="AK654" t="str">
            <v>[]</v>
          </cell>
          <cell r="AL654" t="str">
            <v>[]</v>
          </cell>
          <cell r="AM654" t="str">
            <v>buff_yutu_skill01</v>
          </cell>
          <cell r="AN654">
            <v>2</v>
          </cell>
          <cell r="AO654" t="str">
            <v>1</v>
          </cell>
          <cell r="AP654" t="str">
            <v>[]</v>
          </cell>
          <cell r="AQ654" t="str">
            <v>[]</v>
          </cell>
          <cell r="AR654" t="str">
            <v>[]</v>
          </cell>
          <cell r="AS654" t="str">
            <v>[]</v>
          </cell>
          <cell r="AT654" t="str">
            <v>4220</v>
          </cell>
          <cell r="AU654" t="str">
            <v>4220</v>
          </cell>
          <cell r="AV654" t="str">
            <v>仙灵祝福</v>
          </cell>
          <cell r="AW654" t="str">
            <v>01</v>
          </cell>
          <cell r="AY654">
            <v>1</v>
          </cell>
          <cell r="BE654"/>
          <cell r="BF654"/>
        </row>
        <row r="655">
          <cell r="A655" t="str">
            <v>boss_yutu_skill02</v>
          </cell>
          <cell r="B655" t="str">
            <v>樱花扇舞</v>
          </cell>
          <cell r="C655" t="str">
            <v>yutu_skill02</v>
          </cell>
          <cell r="D655" t="str">
            <v>[]</v>
          </cell>
          <cell r="E655">
            <v>0</v>
          </cell>
          <cell r="F655" t="str">
            <v>[]</v>
          </cell>
          <cell r="G655" t="str">
            <v>玉兔精技能2</v>
          </cell>
          <cell r="H655" t="str">
            <v>yutu_skill02</v>
          </cell>
          <cell r="I655" t="str">
            <v>[]</v>
          </cell>
          <cell r="J655">
            <v>1</v>
          </cell>
          <cell r="K655">
            <v>10</v>
          </cell>
          <cell r="L655" t="str">
            <v>[]</v>
          </cell>
          <cell r="M655">
            <v>2</v>
          </cell>
          <cell r="N655">
            <v>2</v>
          </cell>
          <cell r="O655">
            <v>2</v>
          </cell>
          <cell r="P655">
            <v>2</v>
          </cell>
          <cell r="Q655">
            <v>12</v>
          </cell>
          <cell r="R655" t="str">
            <v>2|1</v>
          </cell>
          <cell r="S655" t="str">
            <v>2|2</v>
          </cell>
          <cell r="T655">
            <v>10</v>
          </cell>
          <cell r="U655">
            <v>0</v>
          </cell>
          <cell r="V655">
            <v>0</v>
          </cell>
          <cell r="W655" t="str">
            <v>[]</v>
          </cell>
          <cell r="X655">
            <v>3</v>
          </cell>
          <cell r="Y655" t="str">
            <v>[]</v>
          </cell>
          <cell r="Z655" t="str">
            <v>0,1,0</v>
          </cell>
          <cell r="AA655">
            <v>0</v>
          </cell>
          <cell r="AB655" t="str">
            <v>10</v>
          </cell>
          <cell r="AC655" t="str">
            <v>[]</v>
          </cell>
          <cell r="AD655" t="str">
            <v>[]</v>
          </cell>
          <cell r="AE655" t="str">
            <v>[]</v>
          </cell>
          <cell r="AF655" t="str">
            <v>yutu_skill02</v>
          </cell>
          <cell r="AG655" t="str">
            <v>common_hit_fashu</v>
          </cell>
          <cell r="AH655" t="str">
            <v>[]</v>
          </cell>
          <cell r="AI655" t="str">
            <v>[]</v>
          </cell>
          <cell r="AJ655" t="str">
            <v>[]</v>
          </cell>
          <cell r="AK655" t="str">
            <v>[]</v>
          </cell>
          <cell r="AL655" t="str">
            <v>[]</v>
          </cell>
          <cell r="AM655" t="str">
            <v>[]</v>
          </cell>
          <cell r="AN655">
            <v>2</v>
          </cell>
          <cell r="AO655" t="str">
            <v>1</v>
          </cell>
          <cell r="AP655">
            <v>636</v>
          </cell>
          <cell r="AQ655">
            <v>636</v>
          </cell>
          <cell r="AR655" t="str">
            <v>[]</v>
          </cell>
          <cell r="AS655" t="str">
            <v>[]</v>
          </cell>
          <cell r="AT655" t="str">
            <v>4230</v>
          </cell>
          <cell r="AU655" t="str">
            <v>4230</v>
          </cell>
          <cell r="AV655" t="str">
            <v>玉兔精</v>
          </cell>
          <cell r="AW655" t="str">
            <v>02</v>
          </cell>
          <cell r="AY655">
            <v>1</v>
          </cell>
          <cell r="BE655"/>
          <cell r="BF655"/>
        </row>
        <row r="656">
          <cell r="A656" t="str">
            <v>boss_yutu_skill04</v>
          </cell>
          <cell r="B656" t="str">
            <v>迷幻旋风</v>
          </cell>
          <cell r="C656" t="str">
            <v>yutu_skill04</v>
          </cell>
          <cell r="D656" t="str">
            <v>[]</v>
          </cell>
          <cell r="E656">
            <v>2</v>
          </cell>
          <cell r="F656" t="str">
            <v>boss_warning_juxing</v>
          </cell>
          <cell r="G656" t="str">
            <v>玉兔精技能4</v>
          </cell>
          <cell r="H656" t="str">
            <v>yutu_skill04</v>
          </cell>
          <cell r="I656" t="str">
            <v>[]</v>
          </cell>
          <cell r="J656">
            <v>3</v>
          </cell>
          <cell r="K656">
            <v>10</v>
          </cell>
          <cell r="L656" t="str">
            <v>[]</v>
          </cell>
          <cell r="M656">
            <v>2</v>
          </cell>
          <cell r="N656">
            <v>2</v>
          </cell>
          <cell r="O656">
            <v>1</v>
          </cell>
          <cell r="P656">
            <v>2</v>
          </cell>
          <cell r="Q656">
            <v>4</v>
          </cell>
          <cell r="R656" t="str">
            <v>2|1</v>
          </cell>
          <cell r="S656" t="str">
            <v>4|0.2</v>
          </cell>
          <cell r="T656">
            <v>1</v>
          </cell>
          <cell r="U656">
            <v>1</v>
          </cell>
          <cell r="V656">
            <v>0</v>
          </cell>
          <cell r="W656" t="str">
            <v>[]</v>
          </cell>
          <cell r="X656">
            <v>3</v>
          </cell>
          <cell r="Y656" t="str">
            <v>[]</v>
          </cell>
          <cell r="Z656" t="str">
            <v>0,1.167,0</v>
          </cell>
          <cell r="AA656">
            <v>0</v>
          </cell>
          <cell r="AB656" t="str">
            <v>10</v>
          </cell>
          <cell r="AC656" t="str">
            <v>[]</v>
          </cell>
          <cell r="AD656" t="str">
            <v>[]</v>
          </cell>
          <cell r="AE656" t="str">
            <v>[]</v>
          </cell>
          <cell r="AF656" t="str">
            <v>yutu_skill04</v>
          </cell>
          <cell r="AG656" t="str">
            <v>common_hit_fashu</v>
          </cell>
          <cell r="AH656" t="str">
            <v>[]</v>
          </cell>
          <cell r="AI656" t="str">
            <v>[]</v>
          </cell>
          <cell r="AJ656" t="str">
            <v>[]</v>
          </cell>
          <cell r="AK656" t="str">
            <v>[]</v>
          </cell>
          <cell r="AL656" t="str">
            <v>[]</v>
          </cell>
          <cell r="AM656" t="str">
            <v>[]</v>
          </cell>
          <cell r="AN656">
            <v>2</v>
          </cell>
          <cell r="AO656" t="str">
            <v>1</v>
          </cell>
          <cell r="AP656">
            <v>636</v>
          </cell>
          <cell r="AQ656">
            <v>636</v>
          </cell>
          <cell r="AR656" t="str">
            <v>[]</v>
          </cell>
          <cell r="AS656" t="str">
            <v>[]</v>
          </cell>
          <cell r="AT656" t="str">
            <v>4250</v>
          </cell>
          <cell r="AU656" t="str">
            <v>4250</v>
          </cell>
          <cell r="AV656" t="str">
            <v>玉兔精</v>
          </cell>
          <cell r="AW656" t="str">
            <v>04</v>
          </cell>
          <cell r="AX656"/>
          <cell r="AY656">
            <v>1</v>
          </cell>
          <cell r="BE656"/>
          <cell r="BF656"/>
        </row>
        <row r="657">
          <cell r="A657" t="str">
            <v>boss_zhizhujing_skill01</v>
          </cell>
          <cell r="B657" t="str">
            <v>天罗地网</v>
          </cell>
          <cell r="C657" t="str">
            <v>zhizhujing_skill01</v>
          </cell>
          <cell r="D657" t="str">
            <v>[]</v>
          </cell>
          <cell r="E657">
            <v>2</v>
          </cell>
          <cell r="F657" t="str">
            <v>boss_warning_juxing</v>
          </cell>
          <cell r="G657" t="str">
            <v>毒箭雨</v>
          </cell>
          <cell r="H657" t="str">
            <v>zhizhujing_skill01</v>
          </cell>
          <cell r="I657" t="str">
            <v>zhizhujing_skill01</v>
          </cell>
          <cell r="J657">
            <v>0</v>
          </cell>
          <cell r="K657">
            <v>10</v>
          </cell>
          <cell r="L657" t="str">
            <v>1|37</v>
          </cell>
          <cell r="M657">
            <v>2</v>
          </cell>
          <cell r="N657">
            <v>2</v>
          </cell>
          <cell r="O657">
            <v>2</v>
          </cell>
          <cell r="P657">
            <v>2</v>
          </cell>
          <cell r="Q657">
            <v>12</v>
          </cell>
          <cell r="R657" t="str">
            <v>2|1</v>
          </cell>
          <cell r="S657" t="str">
            <v>2|10</v>
          </cell>
          <cell r="T657">
            <v>10</v>
          </cell>
          <cell r="U657">
            <v>0</v>
          </cell>
          <cell r="V657">
            <v>0</v>
          </cell>
          <cell r="W657" t="str">
            <v>[]</v>
          </cell>
          <cell r="X657">
            <v>0</v>
          </cell>
          <cell r="Y657" t="str">
            <v>[]</v>
          </cell>
          <cell r="Z657" t="str">
            <v>0,0,0</v>
          </cell>
          <cell r="AA657">
            <v>0</v>
          </cell>
          <cell r="AB657" t="str">
            <v>10</v>
          </cell>
          <cell r="AC657" t="str">
            <v>[]</v>
          </cell>
          <cell r="AD657" t="str">
            <v>[]</v>
          </cell>
          <cell r="AE657" t="str">
            <v>[]</v>
          </cell>
          <cell r="AF657" t="str">
            <v>zhizhujing_skill01</v>
          </cell>
          <cell r="AG657" t="str">
            <v>zhizhujing_skill01_b</v>
          </cell>
          <cell r="AH657" t="str">
            <v>[]</v>
          </cell>
          <cell r="AI657" t="str">
            <v>[]</v>
          </cell>
          <cell r="AJ657" t="str">
            <v>[]</v>
          </cell>
          <cell r="AK657" t="str">
            <v>[]</v>
          </cell>
          <cell r="AL657" t="str">
            <v>[]</v>
          </cell>
          <cell r="AM657" t="str">
            <v>[]</v>
          </cell>
          <cell r="AN657">
            <v>2</v>
          </cell>
          <cell r="AO657" t="str">
            <v>1</v>
          </cell>
          <cell r="AP657">
            <v>636</v>
          </cell>
          <cell r="AQ657">
            <v>636</v>
          </cell>
          <cell r="AR657" t="str">
            <v>[]</v>
          </cell>
          <cell r="AS657" t="str">
            <v>[]</v>
          </cell>
          <cell r="AT657" t="str">
            <v>4270</v>
          </cell>
          <cell r="AU657" t="str">
            <v>4270</v>
          </cell>
          <cell r="AV657" t="str">
            <v>毒箭雨</v>
          </cell>
          <cell r="AW657" t="str">
            <v>01</v>
          </cell>
          <cell r="AY657">
            <v>1</v>
          </cell>
          <cell r="BE657"/>
          <cell r="BF657"/>
        </row>
        <row r="658">
          <cell r="A658" t="str">
            <v>boss_zhizhujing_skill02</v>
          </cell>
          <cell r="B658" t="str">
            <v>蛛后附身</v>
          </cell>
          <cell r="C658" t="str">
            <v>zhizhujing_skill02</v>
          </cell>
          <cell r="D658" t="str">
            <v>[]</v>
          </cell>
          <cell r="E658">
            <v>0</v>
          </cell>
          <cell r="F658" t="str">
            <v>[]</v>
          </cell>
          <cell r="G658" t="str">
            <v>蜘蛛精技能2</v>
          </cell>
          <cell r="H658" t="str">
            <v>zhizhujing_skill02</v>
          </cell>
          <cell r="I658" t="str">
            <v>[]</v>
          </cell>
          <cell r="J658">
            <v>1</v>
          </cell>
          <cell r="K658">
            <v>10</v>
          </cell>
          <cell r="L658" t="str">
            <v>[]</v>
          </cell>
          <cell r="M658">
            <v>2</v>
          </cell>
          <cell r="N658">
            <v>2</v>
          </cell>
          <cell r="O658">
            <v>1</v>
          </cell>
          <cell r="P658">
            <v>4</v>
          </cell>
          <cell r="Q658">
            <v>12</v>
          </cell>
          <cell r="R658">
            <v>3</v>
          </cell>
          <cell r="S658" t="str">
            <v>2|15</v>
          </cell>
          <cell r="T658">
            <v>10</v>
          </cell>
          <cell r="U658">
            <v>0</v>
          </cell>
          <cell r="V658">
            <v>0</v>
          </cell>
          <cell r="W658" t="str">
            <v>[]</v>
          </cell>
          <cell r="X658">
            <v>3</v>
          </cell>
          <cell r="Y658" t="str">
            <v>[]</v>
          </cell>
          <cell r="Z658" t="str">
            <v>0,1.567,0</v>
          </cell>
          <cell r="AA658">
            <v>0</v>
          </cell>
          <cell r="AB658" t="str">
            <v>10</v>
          </cell>
          <cell r="AC658" t="str">
            <v>[]</v>
          </cell>
          <cell r="AD658" t="str">
            <v>[]</v>
          </cell>
          <cell r="AE658" t="str">
            <v>[]</v>
          </cell>
          <cell r="AF658" t="str">
            <v>zhizhujing_skill02</v>
          </cell>
          <cell r="AG658" t="str">
            <v>zhizhujing_skill02_b</v>
          </cell>
          <cell r="AH658" t="str">
            <v>[]</v>
          </cell>
          <cell r="AI658" t="str">
            <v>[]</v>
          </cell>
          <cell r="AJ658" t="str">
            <v>[]</v>
          </cell>
          <cell r="AK658" t="str">
            <v>[]</v>
          </cell>
          <cell r="AL658" t="str">
            <v>[]</v>
          </cell>
          <cell r="AM658" t="str">
            <v>gongsuupT3N0.15</v>
          </cell>
          <cell r="AN658">
            <v>2</v>
          </cell>
          <cell r="AO658" t="str">
            <v>1</v>
          </cell>
          <cell r="AP658" t="str">
            <v>[]</v>
          </cell>
          <cell r="AQ658">
            <v>636</v>
          </cell>
          <cell r="AR658" t="str">
            <v>[]</v>
          </cell>
          <cell r="AS658" t="str">
            <v>[]</v>
          </cell>
          <cell r="AT658" t="str">
            <v>4280</v>
          </cell>
          <cell r="AU658" t="str">
            <v>4280</v>
          </cell>
          <cell r="AV658" t="str">
            <v>蜘蛛精</v>
          </cell>
          <cell r="AW658" t="str">
            <v>02</v>
          </cell>
          <cell r="AY658">
            <v>1</v>
          </cell>
          <cell r="BE658"/>
          <cell r="BF658"/>
        </row>
        <row r="659">
          <cell r="A659" t="str">
            <v>boss_zhizhujing_skill04</v>
          </cell>
          <cell r="B659" t="str">
            <v>魔蛛绝杀</v>
          </cell>
          <cell r="C659" t="str">
            <v>zhizhujing_skill04</v>
          </cell>
          <cell r="D659" t="str">
            <v>[]</v>
          </cell>
          <cell r="E659">
            <v>2</v>
          </cell>
          <cell r="F659" t="str">
            <v>boss_warning_shanxing90</v>
          </cell>
          <cell r="G659" t="str">
            <v>蜘蛛精技能4</v>
          </cell>
          <cell r="H659" t="str">
            <v>zhizhujing_skill04</v>
          </cell>
          <cell r="I659" t="str">
            <v>[]</v>
          </cell>
          <cell r="J659">
            <v>3</v>
          </cell>
          <cell r="K659">
            <v>10</v>
          </cell>
          <cell r="L659" t="str">
            <v>[]</v>
          </cell>
          <cell r="M659">
            <v>2</v>
          </cell>
          <cell r="N659">
            <v>2</v>
          </cell>
          <cell r="O659">
            <v>2</v>
          </cell>
          <cell r="P659">
            <v>2</v>
          </cell>
          <cell r="Q659">
            <v>12</v>
          </cell>
          <cell r="R659" t="str">
            <v>2|1</v>
          </cell>
          <cell r="S659" t="str">
            <v>2|10</v>
          </cell>
          <cell r="T659">
            <v>10</v>
          </cell>
          <cell r="U659">
            <v>0</v>
          </cell>
          <cell r="V659">
            <v>0</v>
          </cell>
          <cell r="W659" t="str">
            <v>[]</v>
          </cell>
          <cell r="X659">
            <v>3</v>
          </cell>
          <cell r="Y659" t="str">
            <v>[]</v>
          </cell>
          <cell r="Z659" t="str">
            <v>0,1.533,0</v>
          </cell>
          <cell r="AA659">
            <v>0</v>
          </cell>
          <cell r="AB659" t="str">
            <v>10</v>
          </cell>
          <cell r="AC659" t="str">
            <v>[]</v>
          </cell>
          <cell r="AD659" t="str">
            <v>[]</v>
          </cell>
          <cell r="AE659" t="str">
            <v>[]</v>
          </cell>
          <cell r="AF659" t="str">
            <v>zhizhujing_skill04</v>
          </cell>
          <cell r="AG659" t="str">
            <v>common_hit_fashu</v>
          </cell>
          <cell r="AH659" t="str">
            <v>[]</v>
          </cell>
          <cell r="AI659" t="str">
            <v>[]</v>
          </cell>
          <cell r="AJ659" t="str">
            <v>[]</v>
          </cell>
          <cell r="AK659" t="str">
            <v>[]</v>
          </cell>
          <cell r="AL659" t="str">
            <v>[]</v>
          </cell>
          <cell r="AM659" t="str">
            <v>zhongduT6N0.1</v>
          </cell>
          <cell r="AN659">
            <v>2</v>
          </cell>
          <cell r="AO659" t="str">
            <v>1</v>
          </cell>
          <cell r="AP659">
            <v>636</v>
          </cell>
          <cell r="AQ659">
            <v>636</v>
          </cell>
          <cell r="AR659" t="str">
            <v>[]</v>
          </cell>
          <cell r="AS659" t="str">
            <v>[]</v>
          </cell>
          <cell r="AT659" t="str">
            <v>4300</v>
          </cell>
          <cell r="AU659" t="str">
            <v>4300</v>
          </cell>
          <cell r="AV659" t="str">
            <v>蜘蛛精</v>
          </cell>
          <cell r="AW659" t="str">
            <v>04</v>
          </cell>
          <cell r="AX659"/>
          <cell r="AY659">
            <v>1</v>
          </cell>
          <cell r="BE659"/>
          <cell r="BF659"/>
        </row>
        <row r="660">
          <cell r="A660" t="str">
            <v>boss_hunshimowang_skill01</v>
          </cell>
          <cell r="B660" t="str">
            <v>飞沙走石</v>
          </cell>
          <cell r="C660" t="str">
            <v>hunshimowang_skill01</v>
          </cell>
          <cell r="D660" t="str">
            <v>[]</v>
          </cell>
          <cell r="E660">
            <v>2</v>
          </cell>
          <cell r="F660" t="str">
            <v>boss_warning_yuanxing</v>
          </cell>
          <cell r="G660" t="str">
            <v>飞沙走石</v>
          </cell>
          <cell r="H660" t="str">
            <v>feishazoushi</v>
          </cell>
          <cell r="I660" t="str">
            <v>feishazoushi</v>
          </cell>
          <cell r="J660">
            <v>0</v>
          </cell>
          <cell r="K660">
            <v>10</v>
          </cell>
          <cell r="L660" t="str">
            <v>1|32</v>
          </cell>
          <cell r="M660">
            <v>2</v>
          </cell>
          <cell r="N660">
            <v>2</v>
          </cell>
          <cell r="O660">
            <v>2</v>
          </cell>
          <cell r="P660">
            <v>2</v>
          </cell>
          <cell r="Q660">
            <v>12</v>
          </cell>
          <cell r="R660" t="str">
            <v>2|1</v>
          </cell>
          <cell r="S660" t="str">
            <v>2|10</v>
          </cell>
          <cell r="T660">
            <v>10</v>
          </cell>
          <cell r="U660">
            <v>0</v>
          </cell>
          <cell r="V660">
            <v>0</v>
          </cell>
          <cell r="W660" t="str">
            <v>[]</v>
          </cell>
          <cell r="X660">
            <v>0</v>
          </cell>
          <cell r="Y660" t="str">
            <v>[]</v>
          </cell>
          <cell r="Z660" t="str">
            <v>0,0,0</v>
          </cell>
          <cell r="AA660">
            <v>0</v>
          </cell>
          <cell r="AB660" t="str">
            <v>10</v>
          </cell>
          <cell r="AC660" t="str">
            <v>[]</v>
          </cell>
          <cell r="AD660" t="str">
            <v>[]</v>
          </cell>
          <cell r="AE660" t="str">
            <v>[]</v>
          </cell>
          <cell r="AF660" t="str">
            <v>hunshimowang_skill01</v>
          </cell>
          <cell r="AG660" t="str">
            <v>common_hit_dunqi</v>
          </cell>
          <cell r="AH660" t="str">
            <v>[]</v>
          </cell>
          <cell r="AI660" t="str">
            <v>[]</v>
          </cell>
          <cell r="AJ660" t="str">
            <v>[]</v>
          </cell>
          <cell r="AK660" t="str">
            <v>[]</v>
          </cell>
          <cell r="AL660" t="str">
            <v>[]</v>
          </cell>
          <cell r="AM660" t="str">
            <v>mingzhongdownT3N0.2</v>
          </cell>
          <cell r="AN660">
            <v>2</v>
          </cell>
          <cell r="AO660" t="str">
            <v>1</v>
          </cell>
          <cell r="AP660">
            <v>636</v>
          </cell>
          <cell r="AQ660">
            <v>636</v>
          </cell>
          <cell r="AR660" t="str">
            <v>[]</v>
          </cell>
          <cell r="AS660" t="str">
            <v>[]</v>
          </cell>
          <cell r="AT660" t="str">
            <v>4320</v>
          </cell>
          <cell r="AU660" t="str">
            <v>4320</v>
          </cell>
          <cell r="AV660" t="str">
            <v>飞沙走石</v>
          </cell>
          <cell r="AW660" t="str">
            <v>01</v>
          </cell>
          <cell r="AY660">
            <v>1</v>
          </cell>
          <cell r="BE660"/>
          <cell r="BF660"/>
        </row>
        <row r="661">
          <cell r="A661" t="str">
            <v>boss_hunshimowang_skill02</v>
          </cell>
          <cell r="B661" t="str">
            <v>狼牙重击</v>
          </cell>
          <cell r="C661" t="str">
            <v>hunshimowang_skill02</v>
          </cell>
          <cell r="D661" t="str">
            <v>[]</v>
          </cell>
          <cell r="E661">
            <v>2</v>
          </cell>
          <cell r="F661" t="str">
            <v>boss_warning_juxing</v>
          </cell>
          <cell r="G661" t="str">
            <v>混世魔王技能2</v>
          </cell>
          <cell r="H661" t="str">
            <v>hunshimowang_skill02</v>
          </cell>
          <cell r="I661" t="str">
            <v>[]</v>
          </cell>
          <cell r="J661">
            <v>1</v>
          </cell>
          <cell r="K661">
            <v>10</v>
          </cell>
          <cell r="L661" t="str">
            <v>[]</v>
          </cell>
          <cell r="M661">
            <v>2</v>
          </cell>
          <cell r="N661">
            <v>2</v>
          </cell>
          <cell r="O661">
            <v>1</v>
          </cell>
          <cell r="P661">
            <v>2</v>
          </cell>
          <cell r="Q661">
            <v>4</v>
          </cell>
          <cell r="R661" t="str">
            <v>2|1</v>
          </cell>
          <cell r="S661" t="str">
            <v>4|0.2</v>
          </cell>
          <cell r="T661">
            <v>1</v>
          </cell>
          <cell r="U661">
            <v>1</v>
          </cell>
          <cell r="V661">
            <v>0</v>
          </cell>
          <cell r="W661" t="str">
            <v>[]</v>
          </cell>
          <cell r="X661">
            <v>3</v>
          </cell>
          <cell r="Y661" t="str">
            <v>[]</v>
          </cell>
          <cell r="Z661" t="str">
            <v>0,2.0,0</v>
          </cell>
          <cell r="AA661">
            <v>0</v>
          </cell>
          <cell r="AB661" t="str">
            <v>10</v>
          </cell>
          <cell r="AC661" t="str">
            <v>[]</v>
          </cell>
          <cell r="AD661" t="str">
            <v>[]</v>
          </cell>
          <cell r="AE661" t="str">
            <v>[]</v>
          </cell>
          <cell r="AF661" t="str">
            <v>hunshimowang_skill02</v>
          </cell>
          <cell r="AG661" t="str">
            <v>common_hit_dunqi</v>
          </cell>
          <cell r="AH661" t="str">
            <v>[]</v>
          </cell>
          <cell r="AI661" t="str">
            <v>[]</v>
          </cell>
          <cell r="AJ661" t="str">
            <v>hunshimowang_zhenping</v>
          </cell>
          <cell r="AK661" t="str">
            <v>[]</v>
          </cell>
          <cell r="AL661" t="str">
            <v>[]</v>
          </cell>
          <cell r="AM661" t="str">
            <v>[]</v>
          </cell>
          <cell r="AN661">
            <v>2</v>
          </cell>
          <cell r="AO661" t="str">
            <v>1</v>
          </cell>
          <cell r="AP661">
            <v>636</v>
          </cell>
          <cell r="AQ661">
            <v>636</v>
          </cell>
          <cell r="AR661" t="str">
            <v>[]</v>
          </cell>
          <cell r="AS661" t="str">
            <v>[]</v>
          </cell>
          <cell r="AT661" t="str">
            <v>4330</v>
          </cell>
          <cell r="AU661" t="str">
            <v>4330</v>
          </cell>
          <cell r="AV661" t="str">
            <v>混世魔王</v>
          </cell>
          <cell r="AW661" t="str">
            <v>02</v>
          </cell>
          <cell r="AY661">
            <v>1</v>
          </cell>
          <cell r="BE661"/>
          <cell r="BF661"/>
        </row>
        <row r="662">
          <cell r="A662" t="str">
            <v>boss_hunshimowang_skill04</v>
          </cell>
          <cell r="B662" t="str">
            <v>野蛮冲撞</v>
          </cell>
          <cell r="C662" t="str">
            <v>hunshimowang_skill04</v>
          </cell>
          <cell r="D662" t="str">
            <v>[]</v>
          </cell>
          <cell r="E662">
            <v>2</v>
          </cell>
          <cell r="F662" t="str">
            <v>boss_warning_juxing</v>
          </cell>
          <cell r="G662" t="str">
            <v>混世魔王技能4</v>
          </cell>
          <cell r="H662" t="str">
            <v>hunshimowang_skill04</v>
          </cell>
          <cell r="I662" t="str">
            <v>[]</v>
          </cell>
          <cell r="J662">
            <v>3</v>
          </cell>
          <cell r="K662">
            <v>10</v>
          </cell>
          <cell r="L662" t="str">
            <v>[]</v>
          </cell>
          <cell r="M662">
            <v>2</v>
          </cell>
          <cell r="N662">
            <v>2</v>
          </cell>
          <cell r="O662">
            <v>1</v>
          </cell>
          <cell r="P662">
            <v>2</v>
          </cell>
          <cell r="Q662">
            <v>4</v>
          </cell>
          <cell r="R662" t="str">
            <v>2|1</v>
          </cell>
          <cell r="S662" t="str">
            <v>4|0.2</v>
          </cell>
          <cell r="T662">
            <v>1</v>
          </cell>
          <cell r="U662">
            <v>1</v>
          </cell>
          <cell r="V662">
            <v>0</v>
          </cell>
          <cell r="W662" t="str">
            <v>[]</v>
          </cell>
          <cell r="X662">
            <v>3</v>
          </cell>
          <cell r="Y662" t="str">
            <v>[]</v>
          </cell>
          <cell r="Z662" t="str">
            <v>0,2,0</v>
          </cell>
          <cell r="AA662">
            <v>0</v>
          </cell>
          <cell r="AB662" t="str">
            <v>10</v>
          </cell>
          <cell r="AC662" t="str">
            <v>[]</v>
          </cell>
          <cell r="AD662" t="str">
            <v>[]</v>
          </cell>
          <cell r="AE662" t="str">
            <v>[]</v>
          </cell>
          <cell r="AF662" t="str">
            <v>hunshimowang_skill04</v>
          </cell>
          <cell r="AG662" t="str">
            <v>common_hit_dunqi</v>
          </cell>
          <cell r="AH662" t="str">
            <v>[]</v>
          </cell>
          <cell r="AI662" t="str">
            <v>[]</v>
          </cell>
          <cell r="AJ662" t="str">
            <v>[]</v>
          </cell>
          <cell r="AK662" t="str">
            <v>yunxuanT1NP0.4</v>
          </cell>
          <cell r="AL662" t="str">
            <v>hpmaxhuifu2T2</v>
          </cell>
          <cell r="AM662" t="str">
            <v>[]</v>
          </cell>
          <cell r="AN662">
            <v>2</v>
          </cell>
          <cell r="AO662" t="str">
            <v>1</v>
          </cell>
          <cell r="AP662">
            <v>636</v>
          </cell>
          <cell r="AQ662">
            <v>636</v>
          </cell>
          <cell r="AR662" t="str">
            <v>[]</v>
          </cell>
          <cell r="AS662" t="str">
            <v>[]</v>
          </cell>
          <cell r="AT662" t="str">
            <v>4350</v>
          </cell>
          <cell r="AU662" t="str">
            <v>4350</v>
          </cell>
          <cell r="AV662" t="str">
            <v>混世魔王</v>
          </cell>
          <cell r="AW662" t="str">
            <v>04</v>
          </cell>
          <cell r="AX662"/>
          <cell r="AY662">
            <v>1</v>
          </cell>
          <cell r="BE662"/>
          <cell r="BF662"/>
        </row>
        <row r="663">
          <cell r="A663" t="str">
            <v>boss_moyujing_skill01</v>
          </cell>
          <cell r="B663" t="str">
            <v>水雾侵蚀</v>
          </cell>
          <cell r="C663" t="str">
            <v>moyujing_skill01</v>
          </cell>
          <cell r="D663" t="str">
            <v>[]</v>
          </cell>
          <cell r="E663">
            <v>1</v>
          </cell>
          <cell r="F663" t="str">
            <v>boss_warning_yuanxing</v>
          </cell>
          <cell r="G663" t="str">
            <v>水雾侵蚀</v>
          </cell>
          <cell r="H663" t="str">
            <v>shuiwuqinshi</v>
          </cell>
          <cell r="I663" t="str">
            <v>shuiwuqinshi</v>
          </cell>
          <cell r="J663">
            <v>0</v>
          </cell>
          <cell r="K663">
            <v>10</v>
          </cell>
          <cell r="L663" t="str">
            <v>1|40</v>
          </cell>
          <cell r="M663">
            <v>2</v>
          </cell>
          <cell r="N663">
            <v>2</v>
          </cell>
          <cell r="O663">
            <v>2</v>
          </cell>
          <cell r="P663">
            <v>4</v>
          </cell>
          <cell r="Q663">
            <v>12</v>
          </cell>
          <cell r="R663" t="str">
            <v>2|1</v>
          </cell>
          <cell r="S663" t="str">
            <v>2|10</v>
          </cell>
          <cell r="T663">
            <v>10</v>
          </cell>
          <cell r="U663">
            <v>0</v>
          </cell>
          <cell r="V663">
            <v>0</v>
          </cell>
          <cell r="W663" t="str">
            <v>[]</v>
          </cell>
          <cell r="X663">
            <v>0</v>
          </cell>
          <cell r="Y663" t="str">
            <v>[]</v>
          </cell>
          <cell r="Z663" t="str">
            <v>0,0,0</v>
          </cell>
          <cell r="AA663">
            <v>0</v>
          </cell>
          <cell r="AB663" t="str">
            <v>10</v>
          </cell>
          <cell r="AC663" t="str">
            <v>[]</v>
          </cell>
          <cell r="AD663" t="str">
            <v>[]</v>
          </cell>
          <cell r="AE663" t="str">
            <v>[]</v>
          </cell>
          <cell r="AF663" t="str">
            <v>moyujing_skill01</v>
          </cell>
          <cell r="AG663" t="str">
            <v>[]</v>
          </cell>
          <cell r="AH663" t="str">
            <v>[]</v>
          </cell>
          <cell r="AI663" t="str">
            <v>[]</v>
          </cell>
          <cell r="AJ663" t="str">
            <v>[]</v>
          </cell>
          <cell r="AK663" t="str">
            <v>[]</v>
          </cell>
          <cell r="AL663" t="str">
            <v>[]</v>
          </cell>
          <cell r="AM663" t="str">
            <v>jiashangupT3N0.1</v>
          </cell>
          <cell r="AN663">
            <v>2</v>
          </cell>
          <cell r="AO663" t="str">
            <v>1</v>
          </cell>
          <cell r="AP663" t="str">
            <v>[]</v>
          </cell>
          <cell r="AQ663" t="str">
            <v>[]</v>
          </cell>
          <cell r="AR663" t="str">
            <v>[]</v>
          </cell>
          <cell r="AS663" t="str">
            <v>[]</v>
          </cell>
          <cell r="AT663" t="str">
            <v>4373</v>
          </cell>
          <cell r="AU663" t="str">
            <v>4373</v>
          </cell>
          <cell r="AV663" t="str">
            <v>水雾侵蚀</v>
          </cell>
          <cell r="AW663" t="str">
            <v>01</v>
          </cell>
          <cell r="AY663">
            <v>1</v>
          </cell>
          <cell r="BE663"/>
          <cell r="BF663"/>
        </row>
        <row r="664">
          <cell r="A664" t="str">
            <v>boss_moyujing_skill02</v>
          </cell>
          <cell r="B664" t="str">
            <v>重击</v>
          </cell>
          <cell r="C664" t="str">
            <v>moyujing_skill02</v>
          </cell>
          <cell r="D664" t="str">
            <v>[]</v>
          </cell>
          <cell r="E664">
            <v>2</v>
          </cell>
          <cell r="F664" t="str">
            <v xml:space="preserve">boss_warning_shanxing60  </v>
          </cell>
          <cell r="G664" t="str">
            <v>墨鱼精技能2</v>
          </cell>
          <cell r="H664" t="str">
            <v>moyujing_skill02</v>
          </cell>
          <cell r="I664" t="str">
            <v>[]</v>
          </cell>
          <cell r="J664">
            <v>1</v>
          </cell>
          <cell r="K664">
            <v>10</v>
          </cell>
          <cell r="L664" t="str">
            <v>[]</v>
          </cell>
          <cell r="M664">
            <v>2</v>
          </cell>
          <cell r="N664">
            <v>2</v>
          </cell>
          <cell r="O664">
            <v>1</v>
          </cell>
          <cell r="P664">
            <v>2</v>
          </cell>
          <cell r="Q664">
            <v>4</v>
          </cell>
          <cell r="R664" t="str">
            <v>2|1</v>
          </cell>
          <cell r="S664" t="str">
            <v>4|0.2</v>
          </cell>
          <cell r="T664">
            <v>10</v>
          </cell>
          <cell r="U664">
            <v>1</v>
          </cell>
          <cell r="V664">
            <v>0</v>
          </cell>
          <cell r="W664" t="str">
            <v>[]</v>
          </cell>
          <cell r="X664">
            <v>3</v>
          </cell>
          <cell r="Y664" t="str">
            <v>[]</v>
          </cell>
          <cell r="Z664" t="str">
            <v>0,2.0,0</v>
          </cell>
          <cell r="AA664">
            <v>0</v>
          </cell>
          <cell r="AB664" t="str">
            <v>10</v>
          </cell>
          <cell r="AC664" t="str">
            <v>[]</v>
          </cell>
          <cell r="AD664" t="str">
            <v>[]</v>
          </cell>
          <cell r="AE664" t="str">
            <v>moyujing_skill02_bip</v>
          </cell>
          <cell r="AF664" t="str">
            <v>moyujing_skill02</v>
          </cell>
          <cell r="AG664" t="str">
            <v>common_hit_qinwuqi</v>
          </cell>
          <cell r="AH664" t="str">
            <v>[]</v>
          </cell>
          <cell r="AI664" t="str">
            <v>[]</v>
          </cell>
          <cell r="AJ664" t="str">
            <v>[]</v>
          </cell>
          <cell r="AK664" t="str">
            <v>shock</v>
          </cell>
          <cell r="AL664" t="str">
            <v>[]</v>
          </cell>
          <cell r="AM664" t="str">
            <v>[]</v>
          </cell>
          <cell r="AN664">
            <v>2</v>
          </cell>
          <cell r="AO664" t="str">
            <v>1</v>
          </cell>
          <cell r="AP664">
            <v>636</v>
          </cell>
          <cell r="AQ664">
            <v>636</v>
          </cell>
          <cell r="AR664" t="str">
            <v>[]</v>
          </cell>
          <cell r="AS664" t="str">
            <v>[]</v>
          </cell>
          <cell r="AT664" t="str">
            <v>4380</v>
          </cell>
          <cell r="AU664" t="str">
            <v>4380</v>
          </cell>
          <cell r="AV664" t="str">
            <v>墨鱼精</v>
          </cell>
          <cell r="AW664" t="str">
            <v>02</v>
          </cell>
          <cell r="AY664">
            <v>1</v>
          </cell>
          <cell r="BE664"/>
          <cell r="BF664"/>
        </row>
        <row r="665">
          <cell r="A665" t="str">
            <v>boss_moyujing_skill04</v>
          </cell>
          <cell r="B665" t="str">
            <v>致命连击</v>
          </cell>
          <cell r="C665" t="str">
            <v>moyujing_skill04</v>
          </cell>
          <cell r="D665" t="str">
            <v>[]</v>
          </cell>
          <cell r="E665">
            <v>2</v>
          </cell>
          <cell r="F665" t="str">
            <v xml:space="preserve">boss_warning_shanxing60  </v>
          </cell>
          <cell r="G665" t="str">
            <v>墨鱼精技能4</v>
          </cell>
          <cell r="H665" t="str">
            <v>moyujing_skill04</v>
          </cell>
          <cell r="I665" t="str">
            <v>[]</v>
          </cell>
          <cell r="J665">
            <v>3</v>
          </cell>
          <cell r="K665">
            <v>10</v>
          </cell>
          <cell r="L665" t="str">
            <v>[]</v>
          </cell>
          <cell r="M665">
            <v>2</v>
          </cell>
          <cell r="N665">
            <v>2</v>
          </cell>
          <cell r="O665">
            <v>1</v>
          </cell>
          <cell r="P665">
            <v>2</v>
          </cell>
          <cell r="Q665">
            <v>4</v>
          </cell>
          <cell r="R665" t="str">
            <v>2|1</v>
          </cell>
          <cell r="S665" t="str">
            <v>4|0.2</v>
          </cell>
          <cell r="T665">
            <v>10</v>
          </cell>
          <cell r="U665">
            <v>1</v>
          </cell>
          <cell r="V665">
            <v>0</v>
          </cell>
          <cell r="W665" t="str">
            <v>[]</v>
          </cell>
          <cell r="X665">
            <v>3</v>
          </cell>
          <cell r="Y665" t="str">
            <v>[]</v>
          </cell>
          <cell r="Z665" t="str">
            <v>0,2.667,0</v>
          </cell>
          <cell r="AA665">
            <v>0</v>
          </cell>
          <cell r="AB665" t="str">
            <v>10</v>
          </cell>
          <cell r="AC665" t="str">
            <v>[]</v>
          </cell>
          <cell r="AD665" t="str">
            <v>[]</v>
          </cell>
          <cell r="AE665" t="str">
            <v>moyujing_skill04_bip</v>
          </cell>
          <cell r="AF665" t="str">
            <v>moyujing_skill04</v>
          </cell>
          <cell r="AG665" t="str">
            <v>common_hit_qinwuqi</v>
          </cell>
          <cell r="AH665" t="str">
            <v>[]</v>
          </cell>
          <cell r="AI665" t="str">
            <v>[]</v>
          </cell>
          <cell r="AJ665" t="str">
            <v>[]</v>
          </cell>
          <cell r="AK665" t="str">
            <v>shock</v>
          </cell>
          <cell r="AL665" t="str">
            <v>[]</v>
          </cell>
          <cell r="AM665" t="str">
            <v>[]</v>
          </cell>
          <cell r="AN665">
            <v>2</v>
          </cell>
          <cell r="AO665" t="str">
            <v>1</v>
          </cell>
          <cell r="AP665">
            <v>636</v>
          </cell>
          <cell r="AQ665">
            <v>636</v>
          </cell>
          <cell r="AR665" t="str">
            <v>[]</v>
          </cell>
          <cell r="AS665" t="str">
            <v>[]</v>
          </cell>
          <cell r="AT665" t="str">
            <v>4400</v>
          </cell>
          <cell r="AU665" t="str">
            <v>4400</v>
          </cell>
          <cell r="AV665" t="str">
            <v>墨鱼精</v>
          </cell>
          <cell r="AW665" t="str">
            <v>04</v>
          </cell>
          <cell r="AX665"/>
          <cell r="AY665">
            <v>1</v>
          </cell>
          <cell r="BE665"/>
          <cell r="BF665"/>
        </row>
        <row r="666">
          <cell r="A666" t="str">
            <v>boss_jinqianbaowang_skill01</v>
          </cell>
          <cell r="B666" t="str">
            <v>砺剑血刃</v>
          </cell>
          <cell r="C666" t="str">
            <v>jinqianbaowang_skill01</v>
          </cell>
          <cell r="D666" t="str">
            <v>[]</v>
          </cell>
          <cell r="E666">
            <v>2</v>
          </cell>
          <cell r="F666" t="str">
            <v>boss_warning_juxing</v>
          </cell>
          <cell r="G666" t="str">
            <v>砺剑血刃</v>
          </cell>
          <cell r="H666" t="str">
            <v>lijianxueren</v>
          </cell>
          <cell r="I666" t="str">
            <v>lijianxueren</v>
          </cell>
          <cell r="J666">
            <v>0</v>
          </cell>
          <cell r="K666">
            <v>10</v>
          </cell>
          <cell r="L666" t="str">
            <v>1|39</v>
          </cell>
          <cell r="M666">
            <v>2</v>
          </cell>
          <cell r="N666">
            <v>2</v>
          </cell>
          <cell r="O666">
            <v>1</v>
          </cell>
          <cell r="P666">
            <v>4</v>
          </cell>
          <cell r="Q666">
            <v>12</v>
          </cell>
          <cell r="R666">
            <v>3</v>
          </cell>
          <cell r="S666">
            <v>5</v>
          </cell>
          <cell r="T666">
            <v>10</v>
          </cell>
          <cell r="U666">
            <v>1</v>
          </cell>
          <cell r="V666">
            <v>0</v>
          </cell>
          <cell r="W666" t="str">
            <v>[]</v>
          </cell>
          <cell r="X666">
            <v>0</v>
          </cell>
          <cell r="Y666" t="str">
            <v>[]</v>
          </cell>
          <cell r="Z666" t="str">
            <v>0,0,0</v>
          </cell>
          <cell r="AA666">
            <v>0</v>
          </cell>
          <cell r="AB666" t="str">
            <v>10</v>
          </cell>
          <cell r="AC666" t="str">
            <v>[]</v>
          </cell>
          <cell r="AD666" t="str">
            <v>[]</v>
          </cell>
          <cell r="AE666" t="str">
            <v>[]</v>
          </cell>
          <cell r="AF666" t="str">
            <v>jinqianbaowang_skill01</v>
          </cell>
          <cell r="AG666" t="str">
            <v>[]</v>
          </cell>
          <cell r="AH666" t="str">
            <v>[]</v>
          </cell>
          <cell r="AI666" t="str">
            <v>[]</v>
          </cell>
          <cell r="AJ666" t="str">
            <v>[]</v>
          </cell>
          <cell r="AK666" t="str">
            <v>[]</v>
          </cell>
          <cell r="AL666" t="str">
            <v>[]</v>
          </cell>
          <cell r="AM666" t="str">
            <v>[]</v>
          </cell>
          <cell r="AN666">
            <v>2</v>
          </cell>
          <cell r="AO666" t="str">
            <v>1</v>
          </cell>
          <cell r="AP666" t="str">
            <v>[]</v>
          </cell>
          <cell r="AQ666" t="str">
            <v>[]</v>
          </cell>
          <cell r="AR666" t="str">
            <v>[]</v>
          </cell>
          <cell r="AS666" t="str">
            <v>[]</v>
          </cell>
          <cell r="AT666" t="str">
            <v>4420</v>
          </cell>
          <cell r="AU666" t="str">
            <v>4420</v>
          </cell>
          <cell r="AV666" t="str">
            <v>砺剑血刃</v>
          </cell>
          <cell r="AW666" t="str">
            <v>01</v>
          </cell>
          <cell r="AY666">
            <v>1</v>
          </cell>
          <cell r="BE666"/>
          <cell r="BF666"/>
        </row>
        <row r="667">
          <cell r="A667" t="str">
            <v>boss_jinqianbaowang_skill02</v>
          </cell>
          <cell r="B667" t="str">
            <v>旋风杀</v>
          </cell>
          <cell r="C667" t="str">
            <v>jinqianbaowang_skill02</v>
          </cell>
          <cell r="D667" t="str">
            <v>[]</v>
          </cell>
          <cell r="E667">
            <v>2</v>
          </cell>
          <cell r="F667" t="str">
            <v>boss_warning_yuanxing</v>
          </cell>
          <cell r="G667" t="str">
            <v>金钱豹王技能2</v>
          </cell>
          <cell r="H667" t="str">
            <v>jinqianbaowang_skill02</v>
          </cell>
          <cell r="I667" t="str">
            <v>[]</v>
          </cell>
          <cell r="J667">
            <v>1</v>
          </cell>
          <cell r="K667">
            <v>10</v>
          </cell>
          <cell r="L667" t="str">
            <v>[]</v>
          </cell>
          <cell r="M667">
            <v>2</v>
          </cell>
          <cell r="N667">
            <v>2</v>
          </cell>
          <cell r="O667">
            <v>1</v>
          </cell>
          <cell r="P667">
            <v>2</v>
          </cell>
          <cell r="Q667">
            <v>4</v>
          </cell>
          <cell r="R667" t="str">
            <v>2|1</v>
          </cell>
          <cell r="S667" t="str">
            <v>2|4</v>
          </cell>
          <cell r="T667">
            <v>10</v>
          </cell>
          <cell r="U667">
            <v>0</v>
          </cell>
          <cell r="V667">
            <v>0</v>
          </cell>
          <cell r="W667" t="str">
            <v>[]</v>
          </cell>
          <cell r="X667">
            <v>3</v>
          </cell>
          <cell r="Y667" t="str">
            <v>[]</v>
          </cell>
          <cell r="Z667" t="str">
            <v>0,2.0,0</v>
          </cell>
          <cell r="AA667">
            <v>0</v>
          </cell>
          <cell r="AB667" t="str">
            <v>10</v>
          </cell>
          <cell r="AC667" t="str">
            <v>[]</v>
          </cell>
          <cell r="AD667" t="str">
            <v>[]</v>
          </cell>
          <cell r="AE667" t="str">
            <v>jinqianbaowang_skill02_bip</v>
          </cell>
          <cell r="AF667" t="str">
            <v>jinqianbaowang_skill02</v>
          </cell>
          <cell r="AG667" t="str">
            <v>common_hit_qinwuqi</v>
          </cell>
          <cell r="AH667" t="str">
            <v>[]</v>
          </cell>
          <cell r="AI667" t="str">
            <v>[]</v>
          </cell>
          <cell r="AJ667" t="str">
            <v>[]</v>
          </cell>
          <cell r="AK667" t="str">
            <v>[]</v>
          </cell>
          <cell r="AL667" t="str">
            <v>[]</v>
          </cell>
          <cell r="AM667" t="str">
            <v>[]</v>
          </cell>
          <cell r="AN667">
            <v>2</v>
          </cell>
          <cell r="AO667" t="str">
            <v>1</v>
          </cell>
          <cell r="AP667">
            <v>636</v>
          </cell>
          <cell r="AQ667">
            <v>636</v>
          </cell>
          <cell r="AR667" t="str">
            <v>[]</v>
          </cell>
          <cell r="AS667" t="str">
            <v>[]</v>
          </cell>
          <cell r="AT667" t="str">
            <v>4430</v>
          </cell>
          <cell r="AU667" t="str">
            <v>4430</v>
          </cell>
          <cell r="AV667" t="str">
            <v>金钱豹王</v>
          </cell>
          <cell r="AW667" t="str">
            <v>02</v>
          </cell>
          <cell r="AY667">
            <v>1</v>
          </cell>
          <cell r="BE667"/>
          <cell r="BF667"/>
        </row>
        <row r="668">
          <cell r="A668" t="str">
            <v>boss_jinqianbaowang_skill04</v>
          </cell>
          <cell r="B668" t="str">
            <v>滞空连斩</v>
          </cell>
          <cell r="C668" t="str">
            <v>jinqianbaowang_skill04</v>
          </cell>
          <cell r="D668" t="str">
            <v>[]</v>
          </cell>
          <cell r="E668">
            <v>2</v>
          </cell>
          <cell r="F668" t="str">
            <v>boss_warning_juxing</v>
          </cell>
          <cell r="G668" t="str">
            <v>金钱豹王技能4</v>
          </cell>
          <cell r="H668" t="str">
            <v>jinqianbaowang_skill04</v>
          </cell>
          <cell r="I668" t="str">
            <v>[]</v>
          </cell>
          <cell r="J668">
            <v>3</v>
          </cell>
          <cell r="K668">
            <v>10</v>
          </cell>
          <cell r="L668" t="str">
            <v>[]</v>
          </cell>
          <cell r="M668">
            <v>2</v>
          </cell>
          <cell r="N668">
            <v>2</v>
          </cell>
          <cell r="O668">
            <v>1</v>
          </cell>
          <cell r="P668">
            <v>2</v>
          </cell>
          <cell r="Q668">
            <v>4</v>
          </cell>
          <cell r="R668" t="str">
            <v>2|1</v>
          </cell>
          <cell r="S668" t="str">
            <v>4|0.2</v>
          </cell>
          <cell r="T668">
            <v>10</v>
          </cell>
          <cell r="U668">
            <v>1</v>
          </cell>
          <cell r="V668">
            <v>0</v>
          </cell>
          <cell r="W668" t="str">
            <v>[]</v>
          </cell>
          <cell r="X668">
            <v>3</v>
          </cell>
          <cell r="Y668" t="str">
            <v>[]</v>
          </cell>
          <cell r="Z668" t="str">
            <v>0,3.167,0</v>
          </cell>
          <cell r="AA668">
            <v>0</v>
          </cell>
          <cell r="AB668" t="str">
            <v>10</v>
          </cell>
          <cell r="AC668" t="str">
            <v>[]</v>
          </cell>
          <cell r="AD668" t="str">
            <v>[]</v>
          </cell>
          <cell r="AE668" t="str">
            <v>jinqianbaowang_skill04_bip</v>
          </cell>
          <cell r="AF668" t="str">
            <v>jinqianbaowang_skill04</v>
          </cell>
          <cell r="AG668" t="str">
            <v>common_hit_qinwuqi</v>
          </cell>
          <cell r="AH668" t="str">
            <v>[]</v>
          </cell>
          <cell r="AI668" t="str">
            <v>[]</v>
          </cell>
          <cell r="AJ668" t="str">
            <v>[]</v>
          </cell>
          <cell r="AK668" t="str">
            <v>[]</v>
          </cell>
          <cell r="AL668" t="str">
            <v>[]</v>
          </cell>
          <cell r="AM668" t="str">
            <v>[]</v>
          </cell>
          <cell r="AN668">
            <v>2</v>
          </cell>
          <cell r="AO668" t="str">
            <v>1</v>
          </cell>
          <cell r="AP668">
            <v>636</v>
          </cell>
          <cell r="AQ668">
            <v>636</v>
          </cell>
          <cell r="AR668" t="str">
            <v>[]</v>
          </cell>
          <cell r="AS668" t="str">
            <v>[]</v>
          </cell>
          <cell r="AT668" t="str">
            <v>4450</v>
          </cell>
          <cell r="AU668" t="str">
            <v>4450</v>
          </cell>
          <cell r="AV668" t="str">
            <v>金钱豹王</v>
          </cell>
          <cell r="AW668" t="str">
            <v>04</v>
          </cell>
          <cell r="AX668"/>
          <cell r="AY668">
            <v>1</v>
          </cell>
          <cell r="BE668"/>
          <cell r="BF668"/>
        </row>
        <row r="669">
          <cell r="A669" t="str">
            <v>boss_yumianfuren_skill01</v>
          </cell>
          <cell r="B669" t="str">
            <v>急速飞箭</v>
          </cell>
          <cell r="C669" t="str">
            <v>yumianfuren_skill01</v>
          </cell>
          <cell r="D669" t="str">
            <v>[]</v>
          </cell>
          <cell r="E669">
            <v>2</v>
          </cell>
          <cell r="F669" t="str">
            <v>boss_warning_juxing</v>
          </cell>
          <cell r="G669" t="str">
            <v>急速飞箭</v>
          </cell>
          <cell r="H669" t="str">
            <v>jisufeijian</v>
          </cell>
          <cell r="I669" t="str">
            <v>jisufeijian</v>
          </cell>
          <cell r="J669">
            <v>0</v>
          </cell>
          <cell r="K669">
            <v>10</v>
          </cell>
          <cell r="L669" t="str">
            <v>1|38</v>
          </cell>
          <cell r="M669">
            <v>2</v>
          </cell>
          <cell r="N669">
            <v>2</v>
          </cell>
          <cell r="O669">
            <v>1</v>
          </cell>
          <cell r="P669">
            <v>2</v>
          </cell>
          <cell r="Q669">
            <v>12</v>
          </cell>
          <cell r="R669" t="str">
            <v>2|1</v>
          </cell>
          <cell r="S669" t="str">
            <v>3|12|60</v>
          </cell>
          <cell r="T669">
            <v>10</v>
          </cell>
          <cell r="U669">
            <v>1</v>
          </cell>
          <cell r="V669">
            <v>0</v>
          </cell>
          <cell r="W669" t="str">
            <v>[]</v>
          </cell>
          <cell r="X669">
            <v>0</v>
          </cell>
          <cell r="Y669" t="str">
            <v>[]</v>
          </cell>
          <cell r="Z669" t="str">
            <v>0,0,0</v>
          </cell>
          <cell r="AA669">
            <v>0</v>
          </cell>
          <cell r="AB669" t="str">
            <v>10</v>
          </cell>
          <cell r="AC669" t="str">
            <v>[]</v>
          </cell>
          <cell r="AD669" t="str">
            <v>[]</v>
          </cell>
          <cell r="AE669" t="str">
            <v>[]</v>
          </cell>
          <cell r="AF669" t="str">
            <v>jisufeijian</v>
          </cell>
          <cell r="AG669" t="str">
            <v>common_hit_qinwuqi</v>
          </cell>
          <cell r="AH669" t="str">
            <v>[]</v>
          </cell>
          <cell r="AI669" t="str">
            <v>[]</v>
          </cell>
          <cell r="AJ669" t="str">
            <v>[]</v>
          </cell>
          <cell r="AK669" t="str">
            <v>[]</v>
          </cell>
          <cell r="AL669" t="str">
            <v>[]</v>
          </cell>
          <cell r="AM669" t="str">
            <v>[]</v>
          </cell>
          <cell r="AN669">
            <v>2</v>
          </cell>
          <cell r="AO669" t="str">
            <v>1</v>
          </cell>
          <cell r="AP669">
            <v>636</v>
          </cell>
          <cell r="AQ669">
            <v>636</v>
          </cell>
          <cell r="AR669" t="str">
            <v>[]</v>
          </cell>
          <cell r="AS669" t="str">
            <v>[]</v>
          </cell>
          <cell r="AT669" t="str">
            <v>4470</v>
          </cell>
          <cell r="AU669" t="str">
            <v>4470</v>
          </cell>
          <cell r="AV669" t="str">
            <v>急速飞箭</v>
          </cell>
          <cell r="AW669" t="str">
            <v>01</v>
          </cell>
          <cell r="AY669">
            <v>1</v>
          </cell>
          <cell r="BE669"/>
          <cell r="BF669"/>
        </row>
        <row r="670">
          <cell r="A670" t="str">
            <v>boss_yumianfuren_skill02</v>
          </cell>
          <cell r="B670" t="str">
            <v>震裂箭</v>
          </cell>
          <cell r="C670" t="str">
            <v>yumianfuren_skill02</v>
          </cell>
          <cell r="D670" t="str">
            <v>[]</v>
          </cell>
          <cell r="E670">
            <v>2</v>
          </cell>
          <cell r="F670" t="str">
            <v>boss_warning_shanxing90</v>
          </cell>
          <cell r="G670" t="str">
            <v>玉面夫人技能2</v>
          </cell>
          <cell r="H670" t="str">
            <v>yumianfuren_skill02</v>
          </cell>
          <cell r="I670" t="str">
            <v>[]</v>
          </cell>
          <cell r="J670">
            <v>1</v>
          </cell>
          <cell r="K670">
            <v>10</v>
          </cell>
          <cell r="L670" t="str">
            <v>[]</v>
          </cell>
          <cell r="M670">
            <v>2</v>
          </cell>
          <cell r="N670">
            <v>2</v>
          </cell>
          <cell r="O670">
            <v>1</v>
          </cell>
          <cell r="P670">
            <v>2</v>
          </cell>
          <cell r="Q670">
            <v>4</v>
          </cell>
          <cell r="R670" t="str">
            <v>2|1</v>
          </cell>
          <cell r="S670" t="str">
            <v>1|1|1</v>
          </cell>
          <cell r="T670">
            <v>10</v>
          </cell>
          <cell r="U670">
            <v>0</v>
          </cell>
          <cell r="V670">
            <v>0</v>
          </cell>
          <cell r="W670" t="str">
            <v>[]</v>
          </cell>
          <cell r="X670">
            <v>3</v>
          </cell>
          <cell r="Y670" t="str">
            <v>[]</v>
          </cell>
          <cell r="Z670" t="str">
            <v>0.85,0,0</v>
          </cell>
          <cell r="AA670">
            <v>0</v>
          </cell>
          <cell r="AB670" t="str">
            <v>10</v>
          </cell>
          <cell r="AC670" t="str">
            <v>[]</v>
          </cell>
          <cell r="AD670" t="str">
            <v>[]</v>
          </cell>
          <cell r="AE670" t="str">
            <v>yumianfuren_skill02</v>
          </cell>
          <cell r="AF670" t="str">
            <v>yumianfuren_skill02_f</v>
          </cell>
          <cell r="AG670" t="str">
            <v>yumianfuren_skill02_b,common_hit_qinwuqi</v>
          </cell>
          <cell r="AH670" t="str">
            <v>[]</v>
          </cell>
          <cell r="AI670" t="str">
            <v>[]</v>
          </cell>
          <cell r="AJ670" t="str">
            <v>[]</v>
          </cell>
          <cell r="AK670" t="str">
            <v>jituiTN5P1</v>
          </cell>
          <cell r="AL670" t="str">
            <v>[]</v>
          </cell>
          <cell r="AM670" t="str">
            <v>[]</v>
          </cell>
          <cell r="AN670">
            <v>2</v>
          </cell>
          <cell r="AO670" t="str">
            <v>1</v>
          </cell>
          <cell r="AP670">
            <v>636</v>
          </cell>
          <cell r="AQ670">
            <v>636</v>
          </cell>
          <cell r="AR670" t="str">
            <v>[]</v>
          </cell>
          <cell r="AS670" t="str">
            <v>[]</v>
          </cell>
          <cell r="AT670" t="str">
            <v>4480</v>
          </cell>
          <cell r="AU670" t="str">
            <v>4480</v>
          </cell>
          <cell r="AV670" t="str">
            <v>玉面夫人</v>
          </cell>
          <cell r="AW670" t="str">
            <v>02</v>
          </cell>
          <cell r="AY670">
            <v>1</v>
          </cell>
          <cell r="BE670"/>
          <cell r="BF670"/>
        </row>
        <row r="671">
          <cell r="A671" t="str">
            <v>boss_yumianfuren_skill04</v>
          </cell>
          <cell r="B671" t="str">
            <v>聚能一击</v>
          </cell>
          <cell r="C671" t="str">
            <v>yumianfuren_skill04</v>
          </cell>
          <cell r="D671" t="str">
            <v>[]</v>
          </cell>
          <cell r="E671">
            <v>2</v>
          </cell>
          <cell r="F671" t="str">
            <v>boss_warning_shanxing90</v>
          </cell>
          <cell r="G671" t="str">
            <v>玉面夫人技能4</v>
          </cell>
          <cell r="H671" t="str">
            <v>yumianfuren_skill04</v>
          </cell>
          <cell r="I671" t="str">
            <v>[]</v>
          </cell>
          <cell r="J671">
            <v>3</v>
          </cell>
          <cell r="K671">
            <v>10</v>
          </cell>
          <cell r="L671" t="str">
            <v>[]</v>
          </cell>
          <cell r="M671">
            <v>2</v>
          </cell>
          <cell r="N671">
            <v>2</v>
          </cell>
          <cell r="O671">
            <v>1</v>
          </cell>
          <cell r="P671">
            <v>2</v>
          </cell>
          <cell r="Q671">
            <v>4</v>
          </cell>
          <cell r="R671" t="str">
            <v>2|1</v>
          </cell>
          <cell r="S671" t="str">
            <v>1|2|2</v>
          </cell>
          <cell r="T671">
            <v>1</v>
          </cell>
          <cell r="U671">
            <v>0</v>
          </cell>
          <cell r="V671">
            <v>0</v>
          </cell>
          <cell r="W671" t="str">
            <v>[]</v>
          </cell>
          <cell r="X671">
            <v>3</v>
          </cell>
          <cell r="Y671" t="str">
            <v>[]</v>
          </cell>
          <cell r="Z671" t="str">
            <v>1.2,1.35,0</v>
          </cell>
          <cell r="AA671">
            <v>0</v>
          </cell>
          <cell r="AB671" t="str">
            <v>10</v>
          </cell>
          <cell r="AC671" t="str">
            <v>[]</v>
          </cell>
          <cell r="AD671" t="str">
            <v>[]</v>
          </cell>
          <cell r="AE671" t="str">
            <v>yumianfuren_skill04</v>
          </cell>
          <cell r="AF671" t="str">
            <v>yumianfuren_skill04_f,yumianfuren_skill04_f_tuowei</v>
          </cell>
          <cell r="AG671" t="str">
            <v>common_hit_qinwuqi</v>
          </cell>
          <cell r="AH671" t="str">
            <v>[]</v>
          </cell>
          <cell r="AI671" t="str">
            <v>[]</v>
          </cell>
          <cell r="AJ671" t="str">
            <v>[]</v>
          </cell>
          <cell r="AK671" t="str">
            <v>jituiTN5P1</v>
          </cell>
          <cell r="AL671" t="str">
            <v>[]</v>
          </cell>
          <cell r="AM671" t="str">
            <v>[]</v>
          </cell>
          <cell r="AN671">
            <v>2</v>
          </cell>
          <cell r="AO671" t="str">
            <v>1</v>
          </cell>
          <cell r="AP671">
            <v>636</v>
          </cell>
          <cell r="AQ671">
            <v>636</v>
          </cell>
          <cell r="AR671" t="str">
            <v>[]</v>
          </cell>
          <cell r="AS671" t="str">
            <v>[]</v>
          </cell>
          <cell r="AT671" t="str">
            <v>4500</v>
          </cell>
          <cell r="AU671" t="str">
            <v>4500</v>
          </cell>
          <cell r="AV671" t="str">
            <v>玉面夫人</v>
          </cell>
          <cell r="AW671" t="str">
            <v>04</v>
          </cell>
          <cell r="AX671"/>
          <cell r="AY671">
            <v>1</v>
          </cell>
          <cell r="BE671"/>
          <cell r="BF671"/>
        </row>
        <row r="672">
          <cell r="A672" t="str">
            <v>boss_dizangwang_skill01</v>
          </cell>
          <cell r="B672" t="str">
            <v>金刚之盾</v>
          </cell>
          <cell r="C672" t="str">
            <v>dizangwang_skill01</v>
          </cell>
          <cell r="D672" t="str">
            <v>[]</v>
          </cell>
          <cell r="E672">
            <v>0</v>
          </cell>
          <cell r="F672" t="str">
            <v>[]</v>
          </cell>
          <cell r="G672" t="str">
            <v>地藏王核心技能</v>
          </cell>
          <cell r="H672" t="str">
            <v>dizangwang_skill01</v>
          </cell>
          <cell r="I672" t="str">
            <v>dizangwang_skill01</v>
          </cell>
          <cell r="J672">
            <v>0</v>
          </cell>
          <cell r="K672">
            <v>10</v>
          </cell>
          <cell r="L672" t="str">
            <v>1|35</v>
          </cell>
          <cell r="M672">
            <v>2</v>
          </cell>
          <cell r="N672">
            <v>2</v>
          </cell>
          <cell r="O672">
            <v>1</v>
          </cell>
          <cell r="P672">
            <v>2</v>
          </cell>
          <cell r="Q672">
            <v>12</v>
          </cell>
          <cell r="R672" t="str">
            <v>3|1</v>
          </cell>
          <cell r="S672" t="str">
            <v>2|20</v>
          </cell>
          <cell r="T672">
            <v>10</v>
          </cell>
          <cell r="U672">
            <v>0</v>
          </cell>
          <cell r="V672">
            <v>0</v>
          </cell>
          <cell r="W672" t="str">
            <v>[]</v>
          </cell>
          <cell r="X672">
            <v>0</v>
          </cell>
          <cell r="Y672" t="str">
            <v>[]</v>
          </cell>
          <cell r="Z672" t="str">
            <v>0,0,0</v>
          </cell>
          <cell r="AA672">
            <v>0</v>
          </cell>
          <cell r="AB672" t="str">
            <v>10</v>
          </cell>
          <cell r="AC672" t="str">
            <v>[]</v>
          </cell>
          <cell r="AD672" t="str">
            <v>[]</v>
          </cell>
          <cell r="AE672" t="str">
            <v>[]</v>
          </cell>
          <cell r="AF672" t="str">
            <v>dizangwang_skill01_q</v>
          </cell>
          <cell r="AG672" t="str">
            <v>dizangwang_skill01</v>
          </cell>
          <cell r="AH672" t="str">
            <v>[]</v>
          </cell>
          <cell r="AI672" t="str">
            <v>[]</v>
          </cell>
          <cell r="AJ672" t="str">
            <v>[]</v>
          </cell>
          <cell r="AK672" t="str">
            <v>[]</v>
          </cell>
          <cell r="AL672" t="str">
            <v>[]</v>
          </cell>
          <cell r="AM672" t="str">
            <v>jianshangupT3N0.1</v>
          </cell>
          <cell r="AN672">
            <v>2</v>
          </cell>
          <cell r="AO672" t="str">
            <v>1</v>
          </cell>
          <cell r="AP672">
            <v>636</v>
          </cell>
          <cell r="AQ672">
            <v>636</v>
          </cell>
          <cell r="AR672" t="str">
            <v>[]</v>
          </cell>
          <cell r="AS672" t="str">
            <v>[]</v>
          </cell>
          <cell r="AT672" t="str">
            <v>4520</v>
          </cell>
          <cell r="AU672" t="str">
            <v>4520</v>
          </cell>
          <cell r="AV672" t="str">
            <v>地藏王</v>
          </cell>
          <cell r="AW672" t="str">
            <v>01</v>
          </cell>
          <cell r="AY672">
            <v>1</v>
          </cell>
          <cell r="BE672"/>
          <cell r="BF672"/>
        </row>
        <row r="673">
          <cell r="A673" t="str">
            <v>boss_dizangwang_skill02</v>
          </cell>
          <cell r="B673" t="str">
            <v>地涌金莲</v>
          </cell>
          <cell r="C673" t="str">
            <v>dizangwang_skill02</v>
          </cell>
          <cell r="D673" t="str">
            <v>[]</v>
          </cell>
          <cell r="E673">
            <v>1</v>
          </cell>
          <cell r="F673" t="str">
            <v>boss_warning_yuanxing</v>
          </cell>
          <cell r="G673" t="str">
            <v>地藏王技能2</v>
          </cell>
          <cell r="H673" t="str">
            <v>dizangwang_skill02</v>
          </cell>
          <cell r="I673" t="str">
            <v>[]</v>
          </cell>
          <cell r="J673">
            <v>1</v>
          </cell>
          <cell r="K673">
            <v>10</v>
          </cell>
          <cell r="L673" t="str">
            <v>[]</v>
          </cell>
          <cell r="M673">
            <v>2</v>
          </cell>
          <cell r="N673">
            <v>2</v>
          </cell>
          <cell r="O673">
            <v>1</v>
          </cell>
          <cell r="P673">
            <v>4</v>
          </cell>
          <cell r="Q673">
            <v>4</v>
          </cell>
          <cell r="R673">
            <v>3</v>
          </cell>
          <cell r="S673">
            <v>7</v>
          </cell>
          <cell r="T673">
            <v>1</v>
          </cell>
          <cell r="U673">
            <v>0</v>
          </cell>
          <cell r="V673">
            <v>0</v>
          </cell>
          <cell r="W673" t="str">
            <v>[]</v>
          </cell>
          <cell r="X673">
            <v>3</v>
          </cell>
          <cell r="Y673" t="str">
            <v>[]</v>
          </cell>
          <cell r="Z673" t="str">
            <v>0,1.0,0</v>
          </cell>
          <cell r="AA673">
            <v>0</v>
          </cell>
          <cell r="AB673" t="str">
            <v>10</v>
          </cell>
          <cell r="AC673" t="str">
            <v>[]</v>
          </cell>
          <cell r="AD673" t="str">
            <v>[]</v>
          </cell>
          <cell r="AE673" t="str">
            <v>[]</v>
          </cell>
          <cell r="AF673" t="str">
            <v>dizangwang_skill02</v>
          </cell>
          <cell r="AG673" t="str">
            <v>respond_hp</v>
          </cell>
          <cell r="AH673" t="str">
            <v>[]</v>
          </cell>
          <cell r="AI673" t="str">
            <v>[]</v>
          </cell>
          <cell r="AJ673" t="str">
            <v>[]</v>
          </cell>
          <cell r="AK673" t="str">
            <v>[]</v>
          </cell>
          <cell r="AL673" t="str">
            <v>[]</v>
          </cell>
          <cell r="AM673" t="str">
            <v>[]</v>
          </cell>
          <cell r="AN673">
            <v>2</v>
          </cell>
          <cell r="AO673" t="str">
            <v>1</v>
          </cell>
          <cell r="AP673" t="str">
            <v>[]</v>
          </cell>
          <cell r="AQ673" t="str">
            <v>[]</v>
          </cell>
          <cell r="AR673" t="str">
            <v>[]</v>
          </cell>
          <cell r="AS673" t="str">
            <v>[]</v>
          </cell>
          <cell r="AT673" t="str">
            <v>4530</v>
          </cell>
          <cell r="AU673" t="str">
            <v>4530</v>
          </cell>
          <cell r="AV673" t="str">
            <v>地藏王</v>
          </cell>
          <cell r="AW673" t="str">
            <v>02</v>
          </cell>
          <cell r="AY673">
            <v>1</v>
          </cell>
          <cell r="BE673"/>
          <cell r="BF673"/>
        </row>
        <row r="674">
          <cell r="A674" t="str">
            <v>boss_dizangwang_skill04</v>
          </cell>
          <cell r="B674" t="str">
            <v>梵音咒</v>
          </cell>
          <cell r="C674" t="str">
            <v>dizangwang_skill04</v>
          </cell>
          <cell r="D674" t="str">
            <v>[]</v>
          </cell>
          <cell r="E674">
            <v>2</v>
          </cell>
          <cell r="F674" t="str">
            <v>boss_warning_shanxing90</v>
          </cell>
          <cell r="G674" t="str">
            <v>地藏王技能4</v>
          </cell>
          <cell r="H674" t="str">
            <v>dizangwang_skill04</v>
          </cell>
          <cell r="I674" t="str">
            <v>[]</v>
          </cell>
          <cell r="J674">
            <v>3</v>
          </cell>
          <cell r="K674">
            <v>10</v>
          </cell>
          <cell r="L674" t="str">
            <v>[]</v>
          </cell>
          <cell r="M674">
            <v>2</v>
          </cell>
          <cell r="N674">
            <v>2</v>
          </cell>
          <cell r="O674">
            <v>1</v>
          </cell>
          <cell r="P674">
            <v>2</v>
          </cell>
          <cell r="Q674">
            <v>4</v>
          </cell>
          <cell r="R674" t="str">
            <v>2|1</v>
          </cell>
          <cell r="S674" t="str">
            <v>3|15|60</v>
          </cell>
          <cell r="T674">
            <v>10</v>
          </cell>
          <cell r="U674">
            <v>0</v>
          </cell>
          <cell r="V674">
            <v>0</v>
          </cell>
          <cell r="W674" t="str">
            <v>[]</v>
          </cell>
          <cell r="X674">
            <v>3</v>
          </cell>
          <cell r="Y674" t="str">
            <v>[]</v>
          </cell>
          <cell r="Z674" t="str">
            <v>0,1.167,0</v>
          </cell>
          <cell r="AA674">
            <v>0</v>
          </cell>
          <cell r="AB674" t="str">
            <v>10</v>
          </cell>
          <cell r="AC674" t="str">
            <v>[]</v>
          </cell>
          <cell r="AD674" t="str">
            <v>[]</v>
          </cell>
          <cell r="AE674" t="str">
            <v>[]</v>
          </cell>
          <cell r="AF674" t="str">
            <v>dizangwang_skill04</v>
          </cell>
          <cell r="AG674" t="str">
            <v>common_hit_fashu</v>
          </cell>
          <cell r="AH674" t="str">
            <v>[]</v>
          </cell>
          <cell r="AI674" t="str">
            <v>[]</v>
          </cell>
          <cell r="AJ674" t="str">
            <v>[]</v>
          </cell>
          <cell r="AK674" t="str">
            <v>[]</v>
          </cell>
          <cell r="AL674" t="str">
            <v>[]</v>
          </cell>
          <cell r="AM674" t="str">
            <v>jiashangupT3N0.1</v>
          </cell>
          <cell r="AN674">
            <v>2</v>
          </cell>
          <cell r="AO674" t="str">
            <v>1</v>
          </cell>
          <cell r="AP674">
            <v>636</v>
          </cell>
          <cell r="AQ674">
            <v>636</v>
          </cell>
          <cell r="AR674" t="str">
            <v>[]</v>
          </cell>
          <cell r="AS674" t="str">
            <v>[]</v>
          </cell>
          <cell r="AT674" t="str">
            <v>4550</v>
          </cell>
          <cell r="AU674" t="str">
            <v>4550</v>
          </cell>
          <cell r="AV674" t="str">
            <v>地藏王</v>
          </cell>
          <cell r="AW674" t="str">
            <v>04</v>
          </cell>
          <cell r="AX674"/>
          <cell r="AY674">
            <v>1</v>
          </cell>
          <cell r="BE674"/>
          <cell r="BF674"/>
        </row>
        <row r="675">
          <cell r="A675" t="str">
            <v>boss_xiezijing_skill01</v>
          </cell>
          <cell r="B675" t="str">
            <v>魔音灌耳</v>
          </cell>
          <cell r="C675" t="str">
            <v>xiezijing_skill01</v>
          </cell>
          <cell r="D675" t="str">
            <v>[]</v>
          </cell>
          <cell r="E675">
            <v>0</v>
          </cell>
          <cell r="F675" t="str">
            <v>[]</v>
          </cell>
          <cell r="G675" t="str">
            <v>蝎子精核心技能</v>
          </cell>
          <cell r="H675" t="str">
            <v>xiezijing_skill01</v>
          </cell>
          <cell r="I675" t="str">
            <v>xiezijing_skill01</v>
          </cell>
          <cell r="J675">
            <v>0</v>
          </cell>
          <cell r="K675">
            <v>10</v>
          </cell>
          <cell r="L675" t="str">
            <v>1|47</v>
          </cell>
          <cell r="M675">
            <v>2</v>
          </cell>
          <cell r="N675">
            <v>2</v>
          </cell>
          <cell r="O675">
            <v>1</v>
          </cell>
          <cell r="P675">
            <v>2</v>
          </cell>
          <cell r="Q675">
            <v>12</v>
          </cell>
          <cell r="R675" t="str">
            <v>2|1</v>
          </cell>
          <cell r="S675" t="str">
            <v>2|20</v>
          </cell>
          <cell r="T675">
            <v>10</v>
          </cell>
          <cell r="U675">
            <v>0</v>
          </cell>
          <cell r="V675">
            <v>0</v>
          </cell>
          <cell r="W675" t="str">
            <v>[]</v>
          </cell>
          <cell r="X675">
            <v>0</v>
          </cell>
          <cell r="Y675" t="str">
            <v>[]</v>
          </cell>
          <cell r="Z675" t="str">
            <v>0,0,0</v>
          </cell>
          <cell r="AA675">
            <v>0</v>
          </cell>
          <cell r="AB675" t="str">
            <v>10</v>
          </cell>
          <cell r="AC675" t="str">
            <v>[]</v>
          </cell>
          <cell r="AD675" t="str">
            <v>[]</v>
          </cell>
          <cell r="AE675" t="str">
            <v>[]</v>
          </cell>
          <cell r="AF675" t="str">
            <v>xiezijing_skill01</v>
          </cell>
          <cell r="AG675" t="str">
            <v>[]</v>
          </cell>
          <cell r="AH675" t="str">
            <v>[]</v>
          </cell>
          <cell r="AI675" t="str">
            <v>[]</v>
          </cell>
          <cell r="AJ675" t="str">
            <v>[]</v>
          </cell>
          <cell r="AK675" t="str">
            <v>[]</v>
          </cell>
          <cell r="AL675" t="str">
            <v>[]</v>
          </cell>
          <cell r="AM675" t="str">
            <v>[]</v>
          </cell>
          <cell r="AN675">
            <v>2</v>
          </cell>
          <cell r="AO675" t="str">
            <v>1</v>
          </cell>
          <cell r="AP675">
            <v>636</v>
          </cell>
          <cell r="AQ675">
            <v>636</v>
          </cell>
          <cell r="AR675" t="str">
            <v>[]</v>
          </cell>
          <cell r="AS675" t="str">
            <v>[]</v>
          </cell>
          <cell r="AT675" t="str">
            <v>4574</v>
          </cell>
          <cell r="AU675" t="str">
            <v>4574</v>
          </cell>
          <cell r="AV675" t="str">
            <v>蝎子精</v>
          </cell>
          <cell r="AW675" t="str">
            <v>01</v>
          </cell>
          <cell r="AY675">
            <v>1</v>
          </cell>
          <cell r="BE675"/>
          <cell r="BF675"/>
        </row>
        <row r="676">
          <cell r="A676" t="str">
            <v>boss_xiezijing_skill02</v>
          </cell>
          <cell r="B676" t="str">
            <v>彩云流风</v>
          </cell>
          <cell r="C676" t="str">
            <v>xiezijing_skill02</v>
          </cell>
          <cell r="D676" t="str">
            <v>[]</v>
          </cell>
          <cell r="E676">
            <v>2</v>
          </cell>
          <cell r="F676" t="str">
            <v>boss_warning_juxing</v>
          </cell>
          <cell r="G676" t="str">
            <v>蝎子精技能2</v>
          </cell>
          <cell r="H676" t="str">
            <v>xiezijing_skill02</v>
          </cell>
          <cell r="I676" t="str">
            <v>[]</v>
          </cell>
          <cell r="J676">
            <v>1</v>
          </cell>
          <cell r="K676">
            <v>10</v>
          </cell>
          <cell r="L676" t="str">
            <v>[]</v>
          </cell>
          <cell r="M676">
            <v>2</v>
          </cell>
          <cell r="N676">
            <v>2</v>
          </cell>
          <cell r="O676">
            <v>1</v>
          </cell>
          <cell r="P676">
            <v>2</v>
          </cell>
          <cell r="Q676">
            <v>4</v>
          </cell>
          <cell r="R676" t="str">
            <v>2|1</v>
          </cell>
          <cell r="S676" t="str">
            <v>1|10|6</v>
          </cell>
          <cell r="T676">
            <v>10</v>
          </cell>
          <cell r="U676">
            <v>0</v>
          </cell>
          <cell r="V676">
            <v>0</v>
          </cell>
          <cell r="W676" t="str">
            <v>[]</v>
          </cell>
          <cell r="X676">
            <v>3</v>
          </cell>
          <cell r="Y676" t="str">
            <v>[]</v>
          </cell>
          <cell r="Z676" t="str">
            <v>0,1.167,0</v>
          </cell>
          <cell r="AA676">
            <v>0</v>
          </cell>
          <cell r="AB676" t="str">
            <v>10</v>
          </cell>
          <cell r="AC676" t="str">
            <v>[]</v>
          </cell>
          <cell r="AD676" t="str">
            <v>[]</v>
          </cell>
          <cell r="AE676" t="str">
            <v>[]</v>
          </cell>
          <cell r="AF676" t="str">
            <v>xiezijing_skill02</v>
          </cell>
          <cell r="AG676" t="str">
            <v>common_hit_fashu</v>
          </cell>
          <cell r="AH676" t="str">
            <v>[]</v>
          </cell>
          <cell r="AI676" t="str">
            <v>[]</v>
          </cell>
          <cell r="AJ676" t="str">
            <v>[]</v>
          </cell>
          <cell r="AK676" t="str">
            <v>meihuoT2NP0.2</v>
          </cell>
          <cell r="AL676" t="str">
            <v>[]</v>
          </cell>
          <cell r="AM676" t="str">
            <v>[]</v>
          </cell>
          <cell r="AN676">
            <v>2</v>
          </cell>
          <cell r="AO676" t="str">
            <v>1</v>
          </cell>
          <cell r="AP676">
            <v>636</v>
          </cell>
          <cell r="AQ676">
            <v>636</v>
          </cell>
          <cell r="AR676" t="str">
            <v>[]</v>
          </cell>
          <cell r="AS676" t="str">
            <v>[]</v>
          </cell>
          <cell r="AT676" t="str">
            <v>4580</v>
          </cell>
          <cell r="AU676" t="str">
            <v>4580</v>
          </cell>
          <cell r="AV676" t="str">
            <v>蝎子精</v>
          </cell>
          <cell r="AW676" t="str">
            <v>02</v>
          </cell>
          <cell r="AY676">
            <v>1</v>
          </cell>
          <cell r="BE676"/>
          <cell r="BF676"/>
        </row>
        <row r="677">
          <cell r="A677" t="str">
            <v>boss_xiezijing_skill04</v>
          </cell>
          <cell r="B677" t="str">
            <v>魔蝎毒刺</v>
          </cell>
          <cell r="C677" t="str">
            <v>xiezijing_skill04</v>
          </cell>
          <cell r="D677" t="str">
            <v>[]</v>
          </cell>
          <cell r="E677">
            <v>2</v>
          </cell>
          <cell r="F677" t="str">
            <v>boss_warning_shanxing90</v>
          </cell>
          <cell r="G677" t="str">
            <v>蝎子精技能4</v>
          </cell>
          <cell r="H677" t="str">
            <v>xiezijing_skill04</v>
          </cell>
          <cell r="I677" t="str">
            <v>[]</v>
          </cell>
          <cell r="J677">
            <v>3</v>
          </cell>
          <cell r="K677">
            <v>10</v>
          </cell>
          <cell r="L677" t="str">
            <v>[]</v>
          </cell>
          <cell r="M677">
            <v>2</v>
          </cell>
          <cell r="N677">
            <v>2</v>
          </cell>
          <cell r="O677">
            <v>1</v>
          </cell>
          <cell r="P677">
            <v>2</v>
          </cell>
          <cell r="Q677">
            <v>4</v>
          </cell>
          <cell r="R677" t="str">
            <v>2|1</v>
          </cell>
          <cell r="S677" t="str">
            <v>4|0.2</v>
          </cell>
          <cell r="T677">
            <v>10</v>
          </cell>
          <cell r="U677">
            <v>1</v>
          </cell>
          <cell r="V677">
            <v>0</v>
          </cell>
          <cell r="W677" t="str">
            <v>[]</v>
          </cell>
          <cell r="X677">
            <v>3</v>
          </cell>
          <cell r="Y677" t="str">
            <v>[]</v>
          </cell>
          <cell r="Z677" t="str">
            <v>0,1.167,0</v>
          </cell>
          <cell r="AA677">
            <v>0</v>
          </cell>
          <cell r="AB677" t="str">
            <v>10</v>
          </cell>
          <cell r="AC677" t="str">
            <v>[]</v>
          </cell>
          <cell r="AD677" t="str">
            <v>[]</v>
          </cell>
          <cell r="AE677" t="str">
            <v>[]</v>
          </cell>
          <cell r="AF677" t="str">
            <v>xiezijing_skill04</v>
          </cell>
          <cell r="AG677" t="str">
            <v>xiezijing_skill04_b</v>
          </cell>
          <cell r="AH677" t="str">
            <v>[]</v>
          </cell>
          <cell r="AI677" t="str">
            <v>[]</v>
          </cell>
          <cell r="AJ677" t="str">
            <v>[]</v>
          </cell>
          <cell r="AK677" t="str">
            <v>[]</v>
          </cell>
          <cell r="AL677" t="str">
            <v>[]</v>
          </cell>
          <cell r="AM677" t="str">
            <v>zhongduT6N0.1</v>
          </cell>
          <cell r="AN677">
            <v>2</v>
          </cell>
          <cell r="AO677" t="str">
            <v>1</v>
          </cell>
          <cell r="AP677">
            <v>636</v>
          </cell>
          <cell r="AQ677">
            <v>636</v>
          </cell>
          <cell r="AR677" t="str">
            <v>[]</v>
          </cell>
          <cell r="AS677" t="str">
            <v>[]</v>
          </cell>
          <cell r="AT677" t="str">
            <v>4600</v>
          </cell>
          <cell r="AU677" t="str">
            <v>4600</v>
          </cell>
          <cell r="AV677" t="str">
            <v>蝎子精</v>
          </cell>
          <cell r="AW677" t="str">
            <v>04</v>
          </cell>
          <cell r="AX677"/>
          <cell r="AY677">
            <v>1</v>
          </cell>
          <cell r="BE677"/>
          <cell r="BF677"/>
        </row>
        <row r="678">
          <cell r="A678" t="str">
            <v>boss_bailonggongzhu_skill01</v>
          </cell>
          <cell r="B678" t="str">
            <v>圣光水域</v>
          </cell>
          <cell r="C678" t="str">
            <v>bailonggongzhu_skill01</v>
          </cell>
          <cell r="D678" t="str">
            <v>[]</v>
          </cell>
          <cell r="E678">
            <v>0</v>
          </cell>
          <cell r="F678" t="str">
            <v>[]</v>
          </cell>
          <cell r="G678" t="str">
            <v>圣光水域</v>
          </cell>
          <cell r="H678" t="str">
            <v>shengguangshuiyu</v>
          </cell>
          <cell r="I678" t="str">
            <v>shengguangshuiyu</v>
          </cell>
          <cell r="J678">
            <v>0</v>
          </cell>
          <cell r="K678">
            <v>10</v>
          </cell>
          <cell r="L678" t="str">
            <v>1|36</v>
          </cell>
          <cell r="M678">
            <v>2</v>
          </cell>
          <cell r="N678">
            <v>2</v>
          </cell>
          <cell r="O678">
            <v>1</v>
          </cell>
          <cell r="P678">
            <v>4</v>
          </cell>
          <cell r="Q678">
            <v>4</v>
          </cell>
          <cell r="R678">
            <v>3</v>
          </cell>
          <cell r="S678">
            <v>5</v>
          </cell>
          <cell r="T678">
            <v>10</v>
          </cell>
          <cell r="U678">
            <v>0</v>
          </cell>
          <cell r="V678">
            <v>0</v>
          </cell>
          <cell r="W678" t="str">
            <v>[]</v>
          </cell>
          <cell r="X678">
            <v>0</v>
          </cell>
          <cell r="Y678" t="str">
            <v>[]</v>
          </cell>
          <cell r="Z678" t="str">
            <v>0,0,0</v>
          </cell>
          <cell r="AA678">
            <v>0</v>
          </cell>
          <cell r="AB678" t="str">
            <v>10</v>
          </cell>
          <cell r="AC678" t="str">
            <v>[]</v>
          </cell>
          <cell r="AD678" t="str">
            <v>[]</v>
          </cell>
          <cell r="AE678" t="str">
            <v>[]</v>
          </cell>
          <cell r="AF678" t="str">
            <v>bailonggongzhu_skill01</v>
          </cell>
          <cell r="AG678" t="str">
            <v>respond_hp</v>
          </cell>
          <cell r="AH678" t="str">
            <v>[]</v>
          </cell>
          <cell r="AI678" t="str">
            <v>[]</v>
          </cell>
          <cell r="AJ678" t="str">
            <v>[]</v>
          </cell>
          <cell r="AK678" t="str">
            <v>[]</v>
          </cell>
          <cell r="AL678" t="str">
            <v>[]</v>
          </cell>
          <cell r="AM678" t="str">
            <v>[]</v>
          </cell>
          <cell r="AN678">
            <v>2</v>
          </cell>
          <cell r="AO678" t="str">
            <v>1</v>
          </cell>
          <cell r="AP678" t="str">
            <v>[]</v>
          </cell>
          <cell r="AQ678" t="str">
            <v>[]</v>
          </cell>
          <cell r="AR678" t="str">
            <v>[]</v>
          </cell>
          <cell r="AS678" t="str">
            <v>[]</v>
          </cell>
          <cell r="AT678" t="str">
            <v>4670</v>
          </cell>
          <cell r="AU678" t="str">
            <v>4670</v>
          </cell>
          <cell r="AV678" t="str">
            <v>圣光水域</v>
          </cell>
          <cell r="AW678" t="str">
            <v>01</v>
          </cell>
          <cell r="AY678">
            <v>1</v>
          </cell>
          <cell r="BE678"/>
          <cell r="BF678"/>
        </row>
        <row r="679">
          <cell r="A679" t="str">
            <v>boss_bailonggongzhu_skill02</v>
          </cell>
          <cell r="B679" t="str">
            <v>冰甲护体</v>
          </cell>
          <cell r="C679" t="str">
            <v>bailonggongzhu_skill02</v>
          </cell>
          <cell r="D679" t="str">
            <v>[]</v>
          </cell>
          <cell r="E679">
            <v>0</v>
          </cell>
          <cell r="F679" t="str">
            <v>[]</v>
          </cell>
          <cell r="G679" t="str">
            <v>白龙公主技能2</v>
          </cell>
          <cell r="H679" t="str">
            <v>bailonggongzhu_skill02</v>
          </cell>
          <cell r="I679" t="str">
            <v>[]</v>
          </cell>
          <cell r="J679">
            <v>1</v>
          </cell>
          <cell r="K679">
            <v>10</v>
          </cell>
          <cell r="L679" t="str">
            <v>[]</v>
          </cell>
          <cell r="M679">
            <v>2</v>
          </cell>
          <cell r="N679">
            <v>2</v>
          </cell>
          <cell r="O679">
            <v>1</v>
          </cell>
          <cell r="P679">
            <v>2</v>
          </cell>
          <cell r="Q679">
            <v>12</v>
          </cell>
          <cell r="R679">
            <v>3</v>
          </cell>
          <cell r="S679">
            <v>7</v>
          </cell>
          <cell r="T679">
            <v>1</v>
          </cell>
          <cell r="U679">
            <v>1</v>
          </cell>
          <cell r="V679">
            <v>0</v>
          </cell>
          <cell r="W679" t="str">
            <v>[]</v>
          </cell>
          <cell r="X679">
            <v>3</v>
          </cell>
          <cell r="Y679" t="str">
            <v>[]</v>
          </cell>
          <cell r="Z679" t="str">
            <v>0,1.667,0</v>
          </cell>
          <cell r="AA679">
            <v>0</v>
          </cell>
          <cell r="AB679" t="str">
            <v>10</v>
          </cell>
          <cell r="AC679" t="str">
            <v>[]</v>
          </cell>
          <cell r="AD679" t="str">
            <v>[]</v>
          </cell>
          <cell r="AE679" t="str">
            <v>[]</v>
          </cell>
          <cell r="AF679" t="str">
            <v>bailonggongzhu_skill02_q</v>
          </cell>
          <cell r="AG679" t="str">
            <v>bailonggongzhu_skill02</v>
          </cell>
          <cell r="AH679" t="str">
            <v>[]</v>
          </cell>
          <cell r="AI679" t="str">
            <v>[]</v>
          </cell>
          <cell r="AJ679" t="str">
            <v>[]</v>
          </cell>
          <cell r="AK679" t="str">
            <v>[]</v>
          </cell>
          <cell r="AL679" t="str">
            <v>shanbiupT3N0.2b</v>
          </cell>
          <cell r="AM679" t="str">
            <v>[]</v>
          </cell>
          <cell r="AN679">
            <v>2</v>
          </cell>
          <cell r="AO679" t="str">
            <v>1</v>
          </cell>
          <cell r="AP679">
            <v>636</v>
          </cell>
          <cell r="AQ679">
            <v>636</v>
          </cell>
          <cell r="AR679" t="str">
            <v>[]</v>
          </cell>
          <cell r="AS679" t="str">
            <v>[]</v>
          </cell>
          <cell r="AT679" t="str">
            <v>4680</v>
          </cell>
          <cell r="AU679" t="str">
            <v>4680</v>
          </cell>
          <cell r="AV679" t="str">
            <v>白龙公主</v>
          </cell>
          <cell r="AW679" t="str">
            <v>02</v>
          </cell>
          <cell r="AY679">
            <v>1</v>
          </cell>
          <cell r="BE679"/>
          <cell r="BF679"/>
        </row>
        <row r="680">
          <cell r="A680" t="str">
            <v>boss_bailonggongzhu_skill04</v>
          </cell>
          <cell r="B680" t="str">
            <v>玄冰突刺</v>
          </cell>
          <cell r="C680" t="str">
            <v>bailonggongzhu_skill04</v>
          </cell>
          <cell r="D680" t="str">
            <v>[]</v>
          </cell>
          <cell r="E680">
            <v>2</v>
          </cell>
          <cell r="F680" t="str">
            <v>boss_warning_yuanxing</v>
          </cell>
          <cell r="G680" t="str">
            <v>白龙公主技能4</v>
          </cell>
          <cell r="H680" t="str">
            <v>bailonggongzhu_skill04</v>
          </cell>
          <cell r="I680" t="str">
            <v>[]</v>
          </cell>
          <cell r="J680">
            <v>3</v>
          </cell>
          <cell r="K680">
            <v>10</v>
          </cell>
          <cell r="L680" t="str">
            <v>[]</v>
          </cell>
          <cell r="M680">
            <v>2</v>
          </cell>
          <cell r="N680">
            <v>2</v>
          </cell>
          <cell r="O680">
            <v>2</v>
          </cell>
          <cell r="P680">
            <v>2</v>
          </cell>
          <cell r="Q680">
            <v>12</v>
          </cell>
          <cell r="R680" t="str">
            <v>2|1</v>
          </cell>
          <cell r="S680" t="str">
            <v>2|4</v>
          </cell>
          <cell r="T680">
            <v>10</v>
          </cell>
          <cell r="U680">
            <v>0</v>
          </cell>
          <cell r="V680">
            <v>0</v>
          </cell>
          <cell r="W680" t="str">
            <v>[]</v>
          </cell>
          <cell r="X680">
            <v>3</v>
          </cell>
          <cell r="Y680" t="str">
            <v>[]</v>
          </cell>
          <cell r="Z680" t="str">
            <v>0,1.167,0</v>
          </cell>
          <cell r="AA680">
            <v>0</v>
          </cell>
          <cell r="AB680" t="str">
            <v>10</v>
          </cell>
          <cell r="AC680" t="str">
            <v>[]</v>
          </cell>
          <cell r="AD680" t="str">
            <v>[]</v>
          </cell>
          <cell r="AE680" t="str">
            <v>[]</v>
          </cell>
          <cell r="AF680" t="str">
            <v>bailonggongzhu_skill04</v>
          </cell>
          <cell r="AG680" t="str">
            <v>common_hit</v>
          </cell>
          <cell r="AH680" t="str">
            <v>[]</v>
          </cell>
          <cell r="AI680" t="str">
            <v>[]</v>
          </cell>
          <cell r="AJ680" t="str">
            <v>bailonggongzhu_zhenping</v>
          </cell>
          <cell r="AK680" t="str">
            <v>[]</v>
          </cell>
          <cell r="AL680" t="str">
            <v>[]</v>
          </cell>
          <cell r="AM680" t="str">
            <v>[]</v>
          </cell>
          <cell r="AN680">
            <v>2</v>
          </cell>
          <cell r="AO680" t="str">
            <v>1</v>
          </cell>
          <cell r="AP680">
            <v>636</v>
          </cell>
          <cell r="AQ680">
            <v>636</v>
          </cell>
          <cell r="AR680" t="str">
            <v>[]</v>
          </cell>
          <cell r="AS680" t="str">
            <v>[]</v>
          </cell>
          <cell r="AT680" t="str">
            <v>4700</v>
          </cell>
          <cell r="AU680" t="str">
            <v>4700</v>
          </cell>
          <cell r="AV680" t="str">
            <v>白龙公主</v>
          </cell>
          <cell r="AW680" t="str">
            <v>04</v>
          </cell>
          <cell r="AX680"/>
          <cell r="AY680">
            <v>1</v>
          </cell>
          <cell r="BE680"/>
          <cell r="BF680"/>
        </row>
        <row r="681">
          <cell r="A681" t="str">
            <v>boss_guishihei_skill01</v>
          </cell>
          <cell r="B681" t="str">
            <v>灵魂盛宴</v>
          </cell>
          <cell r="C681" t="str">
            <v>guishihei_skill01</v>
          </cell>
          <cell r="D681" t="str">
            <v>[]</v>
          </cell>
          <cell r="E681">
            <v>0</v>
          </cell>
          <cell r="F681" t="str">
            <v>[]</v>
          </cell>
          <cell r="G681" t="str">
            <v>鬼使黑核心技能</v>
          </cell>
          <cell r="H681" t="str">
            <v>guishihei_skill01</v>
          </cell>
          <cell r="I681" t="str">
            <v>guishihei_skill01</v>
          </cell>
          <cell r="J681">
            <v>0</v>
          </cell>
          <cell r="K681">
            <v>10</v>
          </cell>
          <cell r="L681" t="str">
            <v>1|24</v>
          </cell>
          <cell r="M681">
            <v>2</v>
          </cell>
          <cell r="N681">
            <v>2</v>
          </cell>
          <cell r="O681">
            <v>1</v>
          </cell>
          <cell r="P681">
            <v>2</v>
          </cell>
          <cell r="Q681">
            <v>4</v>
          </cell>
          <cell r="R681">
            <v>3</v>
          </cell>
          <cell r="S681" t="str">
            <v>2|20</v>
          </cell>
          <cell r="T681">
            <v>10</v>
          </cell>
          <cell r="U681">
            <v>0</v>
          </cell>
          <cell r="V681">
            <v>0</v>
          </cell>
          <cell r="W681" t="str">
            <v>[]</v>
          </cell>
          <cell r="X681">
            <v>0</v>
          </cell>
          <cell r="Y681" t="str">
            <v>[]</v>
          </cell>
          <cell r="Z681" t="str">
            <v>0,0,0</v>
          </cell>
          <cell r="AA681">
            <v>0</v>
          </cell>
          <cell r="AB681" t="str">
            <v>10</v>
          </cell>
          <cell r="AC681" t="str">
            <v>[]</v>
          </cell>
          <cell r="AD681" t="str">
            <v>[]</v>
          </cell>
          <cell r="AE681" t="str">
            <v>[]</v>
          </cell>
          <cell r="AF681" t="str">
            <v>guishihei_skill01</v>
          </cell>
          <cell r="AG681" t="str">
            <v>[]</v>
          </cell>
          <cell r="AH681" t="str">
            <v>[]</v>
          </cell>
          <cell r="AI681" t="str">
            <v>[]</v>
          </cell>
          <cell r="AJ681" t="str">
            <v>[]</v>
          </cell>
          <cell r="AK681" t="str">
            <v>[]</v>
          </cell>
          <cell r="AL681" t="str">
            <v>[]</v>
          </cell>
          <cell r="AM681" t="str">
            <v>buff_guishihei_skill01</v>
          </cell>
          <cell r="AN681">
            <v>2</v>
          </cell>
          <cell r="AO681" t="str">
            <v>1</v>
          </cell>
          <cell r="AP681">
            <v>636</v>
          </cell>
          <cell r="AQ681">
            <v>636</v>
          </cell>
          <cell r="AR681" t="str">
            <v>[]</v>
          </cell>
          <cell r="AS681" t="str">
            <v>[]</v>
          </cell>
          <cell r="AT681" t="str">
            <v>4720</v>
          </cell>
          <cell r="AU681" t="str">
            <v>4720</v>
          </cell>
          <cell r="AV681" t="str">
            <v>鬼使黑</v>
          </cell>
          <cell r="AW681" t="str">
            <v>01</v>
          </cell>
          <cell r="AY681">
            <v>1</v>
          </cell>
          <cell r="BE681"/>
          <cell r="BF681"/>
        </row>
        <row r="682">
          <cell r="A682" t="str">
            <v>boss_guishihei_skill02</v>
          </cell>
          <cell r="B682" t="str">
            <v>勾魂</v>
          </cell>
          <cell r="C682" t="str">
            <v>guishihei_skill02</v>
          </cell>
          <cell r="D682" t="str">
            <v>[]</v>
          </cell>
          <cell r="E682">
            <v>2</v>
          </cell>
          <cell r="F682" t="str">
            <v>boss_warning_juxing</v>
          </cell>
          <cell r="G682" t="str">
            <v>鬼使黑技能2</v>
          </cell>
          <cell r="H682" t="str">
            <v>guishihei_skill02</v>
          </cell>
          <cell r="I682" t="str">
            <v>[]</v>
          </cell>
          <cell r="J682">
            <v>1</v>
          </cell>
          <cell r="K682">
            <v>10</v>
          </cell>
          <cell r="L682" t="str">
            <v>[]</v>
          </cell>
          <cell r="M682">
            <v>2</v>
          </cell>
          <cell r="N682">
            <v>2</v>
          </cell>
          <cell r="O682">
            <v>1</v>
          </cell>
          <cell r="P682">
            <v>2</v>
          </cell>
          <cell r="Q682">
            <v>4</v>
          </cell>
          <cell r="R682" t="str">
            <v>2|1</v>
          </cell>
          <cell r="S682" t="str">
            <v>4|0.2</v>
          </cell>
          <cell r="T682">
            <v>1</v>
          </cell>
          <cell r="U682">
            <v>1</v>
          </cell>
          <cell r="V682">
            <v>0</v>
          </cell>
          <cell r="W682" t="str">
            <v>[]</v>
          </cell>
          <cell r="X682">
            <v>3</v>
          </cell>
          <cell r="Y682" t="str">
            <v>[]</v>
          </cell>
          <cell r="Z682" t="str">
            <v>0,1.9,0.5</v>
          </cell>
          <cell r="AA682">
            <v>0</v>
          </cell>
          <cell r="AB682" t="str">
            <v>10</v>
          </cell>
          <cell r="AC682" t="str">
            <v>[]</v>
          </cell>
          <cell r="AD682" t="str">
            <v>[]</v>
          </cell>
          <cell r="AE682" t="str">
            <v>[]</v>
          </cell>
          <cell r="AF682" t="str">
            <v>guishihei_skill02</v>
          </cell>
          <cell r="AG682" t="str">
            <v>common_hit_qinwuqi</v>
          </cell>
          <cell r="AH682" t="str">
            <v>[]</v>
          </cell>
          <cell r="AI682" t="str">
            <v>[]</v>
          </cell>
          <cell r="AJ682" t="str">
            <v>[]</v>
          </cell>
          <cell r="AK682" t="str">
            <v>[]</v>
          </cell>
          <cell r="AL682" t="str">
            <v>[]</v>
          </cell>
          <cell r="AM682" t="str">
            <v>[]</v>
          </cell>
          <cell r="AN682">
            <v>2</v>
          </cell>
          <cell r="AO682" t="str">
            <v>1</v>
          </cell>
          <cell r="AP682">
            <v>636</v>
          </cell>
          <cell r="AQ682">
            <v>636</v>
          </cell>
          <cell r="AR682" t="str">
            <v>[]</v>
          </cell>
          <cell r="AS682" t="str">
            <v>[]</v>
          </cell>
          <cell r="AT682" t="str">
            <v>4730</v>
          </cell>
          <cell r="AU682" t="str">
            <v>4730</v>
          </cell>
          <cell r="AV682" t="str">
            <v>鬼使黑</v>
          </cell>
          <cell r="AW682" t="str">
            <v>02</v>
          </cell>
          <cell r="AY682">
            <v>1</v>
          </cell>
          <cell r="BE682"/>
          <cell r="BF682"/>
        </row>
        <row r="683">
          <cell r="A683" t="str">
            <v>boss_guishihei_skill04</v>
          </cell>
          <cell r="B683" t="str">
            <v>索命</v>
          </cell>
          <cell r="C683" t="str">
            <v>guishihei_skill04</v>
          </cell>
          <cell r="D683" t="str">
            <v>[]</v>
          </cell>
          <cell r="E683">
            <v>2</v>
          </cell>
          <cell r="F683" t="str">
            <v>boss_warning_juxing</v>
          </cell>
          <cell r="G683" t="str">
            <v>鬼使黑技能4</v>
          </cell>
          <cell r="H683" t="str">
            <v>guishihei_skill04</v>
          </cell>
          <cell r="I683" t="str">
            <v>[]</v>
          </cell>
          <cell r="J683">
            <v>3</v>
          </cell>
          <cell r="K683">
            <v>10</v>
          </cell>
          <cell r="L683" t="str">
            <v>[]</v>
          </cell>
          <cell r="M683">
            <v>2</v>
          </cell>
          <cell r="N683">
            <v>2</v>
          </cell>
          <cell r="O683">
            <v>1</v>
          </cell>
          <cell r="P683">
            <v>2</v>
          </cell>
          <cell r="Q683">
            <v>4</v>
          </cell>
          <cell r="R683" t="str">
            <v>2|1</v>
          </cell>
          <cell r="S683" t="str">
            <v>1|1|2</v>
          </cell>
          <cell r="T683">
            <v>10</v>
          </cell>
          <cell r="U683">
            <v>0</v>
          </cell>
          <cell r="V683">
            <v>0</v>
          </cell>
          <cell r="W683" t="str">
            <v>[]</v>
          </cell>
          <cell r="X683">
            <v>0</v>
          </cell>
          <cell r="Y683" t="str">
            <v>[]</v>
          </cell>
          <cell r="Z683" t="str">
            <v>1.8,0.5,0.5</v>
          </cell>
          <cell r="AA683">
            <v>0</v>
          </cell>
          <cell r="AB683" t="str">
            <v>10</v>
          </cell>
          <cell r="AC683" t="str">
            <v>[]</v>
          </cell>
          <cell r="AD683" t="str">
            <v>[]</v>
          </cell>
          <cell r="AE683" t="str">
            <v>guishihei_skill04_q</v>
          </cell>
          <cell r="AF683" t="str">
            <v>guishihei_skill04</v>
          </cell>
          <cell r="AG683" t="str">
            <v>common_hit_qinwuqi</v>
          </cell>
          <cell r="AH683" t="str">
            <v>[]</v>
          </cell>
          <cell r="AI683" t="str">
            <v>[]</v>
          </cell>
          <cell r="AJ683" t="str">
            <v>guishihei_yidong</v>
          </cell>
          <cell r="AK683" t="str">
            <v>[]</v>
          </cell>
          <cell r="AL683" t="str">
            <v>[]</v>
          </cell>
          <cell r="AM683" t="str">
            <v>[]</v>
          </cell>
          <cell r="AN683">
            <v>2</v>
          </cell>
          <cell r="AO683" t="str">
            <v>1</v>
          </cell>
          <cell r="AP683">
            <v>636</v>
          </cell>
          <cell r="AQ683">
            <v>636</v>
          </cell>
          <cell r="AR683" t="str">
            <v>[]</v>
          </cell>
          <cell r="AS683" t="str">
            <v>[]</v>
          </cell>
          <cell r="AT683" t="str">
            <v>4750</v>
          </cell>
          <cell r="AU683" t="str">
            <v>4750</v>
          </cell>
          <cell r="AV683" t="str">
            <v>鬼使黑</v>
          </cell>
          <cell r="AW683" t="str">
            <v>04</v>
          </cell>
          <cell r="AX683"/>
          <cell r="AY683">
            <v>1</v>
          </cell>
          <cell r="BE683"/>
          <cell r="BF683"/>
        </row>
        <row r="684">
          <cell r="A684" t="str">
            <v>boss_huo_shiren_skill02</v>
          </cell>
          <cell r="B684" t="str">
            <v>横扫</v>
          </cell>
          <cell r="C684" t="str">
            <v>huo_shiren_skill02</v>
          </cell>
          <cell r="D684" t="str">
            <v>[]</v>
          </cell>
          <cell r="E684">
            <v>0</v>
          </cell>
          <cell r="F684" t="str">
            <v>[]</v>
          </cell>
          <cell r="G684" t="str">
            <v>火狮人技能</v>
          </cell>
          <cell r="H684" t="str">
            <v>shiren_skill02</v>
          </cell>
          <cell r="I684" t="str">
            <v>[]</v>
          </cell>
          <cell r="J684">
            <v>1</v>
          </cell>
          <cell r="K684">
            <v>10</v>
          </cell>
          <cell r="L684" t="str">
            <v>[]</v>
          </cell>
          <cell r="M684">
            <v>2</v>
          </cell>
          <cell r="N684">
            <v>2</v>
          </cell>
          <cell r="O684">
            <v>1</v>
          </cell>
          <cell r="P684">
            <v>2</v>
          </cell>
          <cell r="Q684">
            <v>4</v>
          </cell>
          <cell r="R684" t="str">
            <v>2|1</v>
          </cell>
          <cell r="S684" t="str">
            <v>1|6|4</v>
          </cell>
          <cell r="T684">
            <v>10</v>
          </cell>
          <cell r="U684">
            <v>0</v>
          </cell>
          <cell r="V684">
            <v>0</v>
          </cell>
          <cell r="W684" t="str">
            <v>[]</v>
          </cell>
          <cell r="X684">
            <v>3</v>
          </cell>
          <cell r="Y684" t="str">
            <v>[]</v>
          </cell>
          <cell r="Z684" t="str">
            <v>0,2.5,0</v>
          </cell>
          <cell r="AA684">
            <v>0</v>
          </cell>
          <cell r="AB684" t="str">
            <v>10</v>
          </cell>
          <cell r="AC684" t="str">
            <v>[]</v>
          </cell>
          <cell r="AD684" t="str">
            <v>[]</v>
          </cell>
          <cell r="AE684" t="str">
            <v>[]</v>
          </cell>
          <cell r="AF684" t="str">
            <v>huo_shiren_skill02</v>
          </cell>
          <cell r="AG684" t="str">
            <v>common_hit_zhongwuqi</v>
          </cell>
          <cell r="AH684" t="str">
            <v>[]</v>
          </cell>
          <cell r="AI684" t="str">
            <v>[]</v>
          </cell>
          <cell r="AJ684" t="str">
            <v>[]</v>
          </cell>
          <cell r="AK684" t="str">
            <v>[]</v>
          </cell>
          <cell r="AL684" t="str">
            <v>[]</v>
          </cell>
          <cell r="AM684" t="str">
            <v>[]</v>
          </cell>
          <cell r="AN684">
            <v>2</v>
          </cell>
          <cell r="AO684" t="str">
            <v>1</v>
          </cell>
          <cell r="AP684">
            <v>636</v>
          </cell>
          <cell r="AQ684">
            <v>636</v>
          </cell>
          <cell r="AR684" t="str">
            <v>[]</v>
          </cell>
          <cell r="AS684" t="str">
            <v>[]</v>
          </cell>
          <cell r="AT684" t="str">
            <v>5030</v>
          </cell>
          <cell r="AU684" t="str">
            <v>5030</v>
          </cell>
          <cell r="AV684" t="str">
            <v>火狮人</v>
          </cell>
          <cell r="AW684" t="str">
            <v>02</v>
          </cell>
          <cell r="AY684">
            <v>1</v>
          </cell>
          <cell r="BE684"/>
          <cell r="BF684"/>
        </row>
        <row r="685">
          <cell r="A685" t="str">
            <v>boss_tu_shiren_skill02</v>
          </cell>
          <cell r="B685" t="str">
            <v>横扫</v>
          </cell>
          <cell r="C685" t="str">
            <v>tu_shiren_skill02</v>
          </cell>
          <cell r="D685" t="str">
            <v>[]</v>
          </cell>
          <cell r="E685">
            <v>0</v>
          </cell>
          <cell r="F685" t="str">
            <v>[]</v>
          </cell>
          <cell r="G685" t="str">
            <v>火狮人技能</v>
          </cell>
          <cell r="H685" t="str">
            <v>shiren_skill02</v>
          </cell>
          <cell r="I685" t="str">
            <v>[]</v>
          </cell>
          <cell r="J685">
            <v>1</v>
          </cell>
          <cell r="K685">
            <v>10</v>
          </cell>
          <cell r="L685" t="str">
            <v>[]</v>
          </cell>
          <cell r="M685">
            <v>2</v>
          </cell>
          <cell r="N685">
            <v>2</v>
          </cell>
          <cell r="O685">
            <v>1</v>
          </cell>
          <cell r="P685">
            <v>2</v>
          </cell>
          <cell r="Q685">
            <v>4</v>
          </cell>
          <cell r="R685" t="str">
            <v>2|1</v>
          </cell>
          <cell r="S685" t="str">
            <v>1|6|4</v>
          </cell>
          <cell r="T685">
            <v>10</v>
          </cell>
          <cell r="U685">
            <v>0</v>
          </cell>
          <cell r="V685">
            <v>0</v>
          </cell>
          <cell r="W685" t="str">
            <v>[]</v>
          </cell>
          <cell r="X685">
            <v>3</v>
          </cell>
          <cell r="Y685" t="str">
            <v>[]</v>
          </cell>
          <cell r="Z685" t="str">
            <v>0,2.5,0</v>
          </cell>
          <cell r="AA685">
            <v>0</v>
          </cell>
          <cell r="AB685" t="str">
            <v>10</v>
          </cell>
          <cell r="AC685" t="str">
            <v>[]</v>
          </cell>
          <cell r="AD685" t="str">
            <v>[]</v>
          </cell>
          <cell r="AE685" t="str">
            <v>[]</v>
          </cell>
          <cell r="AF685" t="str">
            <v>huo_shiren_skill02</v>
          </cell>
          <cell r="AG685" t="str">
            <v>common_hit_zhongwuqi</v>
          </cell>
          <cell r="AH685" t="str">
            <v>[]</v>
          </cell>
          <cell r="AI685" t="str">
            <v>[]</v>
          </cell>
          <cell r="AJ685" t="str">
            <v>[]</v>
          </cell>
          <cell r="AK685" t="str">
            <v>[]</v>
          </cell>
          <cell r="AL685" t="str">
            <v>[]</v>
          </cell>
          <cell r="AM685" t="str">
            <v>[]</v>
          </cell>
          <cell r="AN685">
            <v>2</v>
          </cell>
          <cell r="AO685" t="str">
            <v>1</v>
          </cell>
          <cell r="AP685">
            <v>636</v>
          </cell>
          <cell r="AQ685">
            <v>636</v>
          </cell>
          <cell r="AR685" t="str">
            <v>[]</v>
          </cell>
          <cell r="AS685" t="str">
            <v>[]</v>
          </cell>
          <cell r="AT685" t="str">
            <v>5030</v>
          </cell>
          <cell r="AU685" t="str">
            <v>5030</v>
          </cell>
          <cell r="AV685" t="str">
            <v>火狮人</v>
          </cell>
          <cell r="AW685" t="str">
            <v>02</v>
          </cell>
          <cell r="AY685">
            <v>1</v>
          </cell>
          <cell r="BE685"/>
          <cell r="BF685"/>
        </row>
        <row r="686">
          <cell r="A686" t="str">
            <v>boss_heixiongjing_skill02</v>
          </cell>
          <cell r="B686" t="str">
            <v>连环击</v>
          </cell>
          <cell r="C686" t="str">
            <v>heixiongjing_skill02</v>
          </cell>
          <cell r="D686" t="str">
            <v>[]</v>
          </cell>
          <cell r="E686">
            <v>0</v>
          </cell>
          <cell r="F686" t="str">
            <v>[]</v>
          </cell>
          <cell r="G686" t="str">
            <v>黑熊精技能</v>
          </cell>
          <cell r="H686" t="str">
            <v>heixiongjing_skill02</v>
          </cell>
          <cell r="I686" t="str">
            <v>[]</v>
          </cell>
          <cell r="J686">
            <v>1</v>
          </cell>
          <cell r="K686">
            <v>10</v>
          </cell>
          <cell r="L686" t="str">
            <v>[]</v>
          </cell>
          <cell r="M686">
            <v>2</v>
          </cell>
          <cell r="N686">
            <v>2</v>
          </cell>
          <cell r="O686">
            <v>1</v>
          </cell>
          <cell r="P686">
            <v>2</v>
          </cell>
          <cell r="Q686">
            <v>4</v>
          </cell>
          <cell r="R686" t="str">
            <v>2|1</v>
          </cell>
          <cell r="S686" t="str">
            <v>1|6|4</v>
          </cell>
          <cell r="T686">
            <v>10</v>
          </cell>
          <cell r="U686">
            <v>0</v>
          </cell>
          <cell r="V686">
            <v>0</v>
          </cell>
          <cell r="W686" t="str">
            <v>[]</v>
          </cell>
          <cell r="X686">
            <v>3</v>
          </cell>
          <cell r="Y686" t="str">
            <v>[]</v>
          </cell>
          <cell r="Z686" t="str">
            <v>0,2.5,0</v>
          </cell>
          <cell r="AA686">
            <v>0</v>
          </cell>
          <cell r="AB686" t="str">
            <v>10</v>
          </cell>
          <cell r="AC686" t="str">
            <v>[]</v>
          </cell>
          <cell r="AD686" t="str">
            <v>[]</v>
          </cell>
          <cell r="AE686" t="str">
            <v>[]</v>
          </cell>
          <cell r="AF686" t="str">
            <v>heixiongjing_skill02</v>
          </cell>
          <cell r="AG686" t="str">
            <v>common_hit_qinwuqi</v>
          </cell>
          <cell r="AH686" t="str">
            <v>[]</v>
          </cell>
          <cell r="AI686" t="str">
            <v>[]</v>
          </cell>
          <cell r="AJ686" t="str">
            <v>[]</v>
          </cell>
          <cell r="AK686" t="str">
            <v>[]</v>
          </cell>
          <cell r="AL686" t="str">
            <v>[]</v>
          </cell>
          <cell r="AM686" t="str">
            <v>[]</v>
          </cell>
          <cell r="AN686">
            <v>2</v>
          </cell>
          <cell r="AO686" t="str">
            <v>1</v>
          </cell>
          <cell r="AP686">
            <v>636</v>
          </cell>
          <cell r="AQ686">
            <v>636</v>
          </cell>
          <cell r="AR686" t="str">
            <v>[]</v>
          </cell>
          <cell r="AS686" t="str">
            <v>[]</v>
          </cell>
          <cell r="AT686" t="str">
            <v>5050</v>
          </cell>
          <cell r="AU686" t="str">
            <v>5050</v>
          </cell>
          <cell r="AV686" t="str">
            <v>黑熊精</v>
          </cell>
          <cell r="AW686" t="str">
            <v>02</v>
          </cell>
          <cell r="AY686">
            <v>1</v>
          </cell>
          <cell r="BE686"/>
          <cell r="BF686"/>
        </row>
        <row r="687">
          <cell r="A687" t="str">
            <v>boss_jin_shitouren_skill02</v>
          </cell>
          <cell r="B687" t="str">
            <v>撼地重拳</v>
          </cell>
          <cell r="C687" t="str">
            <v>jin_shitouren_skill02</v>
          </cell>
          <cell r="D687" t="str">
            <v>[]</v>
          </cell>
          <cell r="E687">
            <v>0</v>
          </cell>
          <cell r="F687" t="str">
            <v>[]</v>
          </cell>
          <cell r="G687" t="str">
            <v>石头人技能1</v>
          </cell>
          <cell r="H687" t="str">
            <v>shitouren_skill02</v>
          </cell>
          <cell r="I687" t="str">
            <v>[]</v>
          </cell>
          <cell r="J687">
            <v>1</v>
          </cell>
          <cell r="K687">
            <v>10</v>
          </cell>
          <cell r="L687" t="str">
            <v>[]</v>
          </cell>
          <cell r="M687">
            <v>2</v>
          </cell>
          <cell r="N687">
            <v>2</v>
          </cell>
          <cell r="O687">
            <v>2</v>
          </cell>
          <cell r="P687">
            <v>2</v>
          </cell>
          <cell r="Q687">
            <v>4</v>
          </cell>
          <cell r="R687" t="str">
            <v>2|1</v>
          </cell>
          <cell r="S687" t="str">
            <v>2|3</v>
          </cell>
          <cell r="T687">
            <v>10</v>
          </cell>
          <cell r="U687">
            <v>1</v>
          </cell>
          <cell r="V687">
            <v>0</v>
          </cell>
          <cell r="W687" t="str">
            <v>[]</v>
          </cell>
          <cell r="X687">
            <v>3</v>
          </cell>
          <cell r="Y687" t="str">
            <v>[]</v>
          </cell>
          <cell r="Z687" t="str">
            <v>0,1.667,0</v>
          </cell>
          <cell r="AA687">
            <v>0</v>
          </cell>
          <cell r="AB687" t="str">
            <v>10</v>
          </cell>
          <cell r="AC687" t="str">
            <v>[]</v>
          </cell>
          <cell r="AD687" t="str">
            <v>[]</v>
          </cell>
          <cell r="AE687" t="str">
            <v>[]</v>
          </cell>
          <cell r="AF687" t="str">
            <v>shitouren_skill02</v>
          </cell>
          <cell r="AG687" t="str">
            <v>common_hit_dunqi</v>
          </cell>
          <cell r="AH687" t="str">
            <v>[]</v>
          </cell>
          <cell r="AI687" t="str">
            <v>[]</v>
          </cell>
          <cell r="AJ687" t="str">
            <v>[]</v>
          </cell>
          <cell r="AK687" t="str">
            <v>shitouren_skill02_yunxuan</v>
          </cell>
          <cell r="AL687" t="str">
            <v>[]</v>
          </cell>
          <cell r="AM687" t="str">
            <v>[]</v>
          </cell>
          <cell r="AN687">
            <v>2</v>
          </cell>
          <cell r="AO687" t="str">
            <v>1</v>
          </cell>
          <cell r="AP687">
            <v>636</v>
          </cell>
          <cell r="AQ687">
            <v>636</v>
          </cell>
          <cell r="AR687" t="str">
            <v>[]</v>
          </cell>
          <cell r="AS687" t="str">
            <v>[]</v>
          </cell>
          <cell r="AT687" t="str">
            <v>5080</v>
          </cell>
          <cell r="AU687" t="str">
            <v>5080</v>
          </cell>
          <cell r="AV687" t="str">
            <v>石头人</v>
          </cell>
          <cell r="AW687" t="str">
            <v>02</v>
          </cell>
          <cell r="AY687">
            <v>1</v>
          </cell>
          <cell r="BE687"/>
          <cell r="BF687"/>
        </row>
        <row r="688">
          <cell r="A688" t="str">
            <v>boss_mu_shitouren_skill02</v>
          </cell>
          <cell r="B688" t="str">
            <v>撼地重拳</v>
          </cell>
          <cell r="C688" t="str">
            <v>mu_shitouren_skill02</v>
          </cell>
          <cell r="D688" t="str">
            <v>[]</v>
          </cell>
          <cell r="E688">
            <v>0</v>
          </cell>
          <cell r="F688" t="str">
            <v>[]</v>
          </cell>
          <cell r="G688" t="str">
            <v>石头人技能1</v>
          </cell>
          <cell r="H688" t="str">
            <v>shitouren_skill02</v>
          </cell>
          <cell r="I688" t="str">
            <v>[]</v>
          </cell>
          <cell r="J688">
            <v>1</v>
          </cell>
          <cell r="K688">
            <v>10</v>
          </cell>
          <cell r="L688" t="str">
            <v>[]</v>
          </cell>
          <cell r="M688">
            <v>2</v>
          </cell>
          <cell r="N688">
            <v>2</v>
          </cell>
          <cell r="O688">
            <v>2</v>
          </cell>
          <cell r="P688">
            <v>2</v>
          </cell>
          <cell r="Q688">
            <v>4</v>
          </cell>
          <cell r="R688" t="str">
            <v>2|1</v>
          </cell>
          <cell r="S688" t="str">
            <v>2|3</v>
          </cell>
          <cell r="T688">
            <v>10</v>
          </cell>
          <cell r="U688">
            <v>1</v>
          </cell>
          <cell r="V688">
            <v>0</v>
          </cell>
          <cell r="W688" t="str">
            <v>[]</v>
          </cell>
          <cell r="X688">
            <v>3</v>
          </cell>
          <cell r="Y688" t="str">
            <v>[]</v>
          </cell>
          <cell r="Z688" t="str">
            <v>0,1.667,0</v>
          </cell>
          <cell r="AA688">
            <v>0</v>
          </cell>
          <cell r="AB688" t="str">
            <v>10</v>
          </cell>
          <cell r="AC688" t="str">
            <v>[]</v>
          </cell>
          <cell r="AD688" t="str">
            <v>[]</v>
          </cell>
          <cell r="AE688" t="str">
            <v>[]</v>
          </cell>
          <cell r="AF688" t="str">
            <v>shitouren_skill02</v>
          </cell>
          <cell r="AG688" t="str">
            <v>common_hit_dunqi</v>
          </cell>
          <cell r="AH688" t="str">
            <v>[]</v>
          </cell>
          <cell r="AI688" t="str">
            <v>[]</v>
          </cell>
          <cell r="AJ688" t="str">
            <v>[]</v>
          </cell>
          <cell r="AK688" t="str">
            <v>shitouren_skill02_yunxuan</v>
          </cell>
          <cell r="AL688" t="str">
            <v>[]</v>
          </cell>
          <cell r="AM688" t="str">
            <v>[]</v>
          </cell>
          <cell r="AN688">
            <v>2</v>
          </cell>
          <cell r="AO688" t="str">
            <v>1</v>
          </cell>
          <cell r="AP688">
            <v>636</v>
          </cell>
          <cell r="AQ688">
            <v>636</v>
          </cell>
          <cell r="AR688" t="str">
            <v>[]</v>
          </cell>
          <cell r="AS688" t="str">
            <v>[]</v>
          </cell>
          <cell r="AT688" t="str">
            <v>5080</v>
          </cell>
          <cell r="AU688" t="str">
            <v>5080</v>
          </cell>
          <cell r="AV688" t="str">
            <v>石头人</v>
          </cell>
          <cell r="AW688" t="str">
            <v>02</v>
          </cell>
          <cell r="AY688">
            <v>1</v>
          </cell>
          <cell r="BE688"/>
          <cell r="BF688"/>
        </row>
        <row r="689">
          <cell r="A689" t="str">
            <v>boss_tu_shitouren_skill02</v>
          </cell>
          <cell r="B689" t="str">
            <v>撼地重拳</v>
          </cell>
          <cell r="C689" t="str">
            <v>tu_shitouren_skill02</v>
          </cell>
          <cell r="D689" t="str">
            <v>[]</v>
          </cell>
          <cell r="E689">
            <v>0</v>
          </cell>
          <cell r="F689" t="str">
            <v>[]</v>
          </cell>
          <cell r="G689" t="str">
            <v>石头人技能1</v>
          </cell>
          <cell r="H689" t="str">
            <v>shitouren_skill02</v>
          </cell>
          <cell r="I689" t="str">
            <v>[]</v>
          </cell>
          <cell r="J689">
            <v>1</v>
          </cell>
          <cell r="K689">
            <v>10</v>
          </cell>
          <cell r="L689" t="str">
            <v>[]</v>
          </cell>
          <cell r="M689">
            <v>2</v>
          </cell>
          <cell r="N689">
            <v>2</v>
          </cell>
          <cell r="O689">
            <v>2</v>
          </cell>
          <cell r="P689">
            <v>2</v>
          </cell>
          <cell r="Q689">
            <v>4</v>
          </cell>
          <cell r="R689" t="str">
            <v>2|1</v>
          </cell>
          <cell r="S689" t="str">
            <v>2|3</v>
          </cell>
          <cell r="T689">
            <v>10</v>
          </cell>
          <cell r="U689">
            <v>1</v>
          </cell>
          <cell r="V689">
            <v>0</v>
          </cell>
          <cell r="W689" t="str">
            <v>[]</v>
          </cell>
          <cell r="X689">
            <v>3</v>
          </cell>
          <cell r="Y689" t="str">
            <v>[]</v>
          </cell>
          <cell r="Z689" t="str">
            <v>0,1.667,0</v>
          </cell>
          <cell r="AA689">
            <v>0</v>
          </cell>
          <cell r="AB689" t="str">
            <v>10</v>
          </cell>
          <cell r="AC689" t="str">
            <v>[]</v>
          </cell>
          <cell r="AD689" t="str">
            <v>[]</v>
          </cell>
          <cell r="AE689" t="str">
            <v>[]</v>
          </cell>
          <cell r="AF689" t="str">
            <v>shitouren_skill02</v>
          </cell>
          <cell r="AG689" t="str">
            <v>common_hit_dunqi</v>
          </cell>
          <cell r="AH689" t="str">
            <v>[]</v>
          </cell>
          <cell r="AI689" t="str">
            <v>[]</v>
          </cell>
          <cell r="AJ689" t="str">
            <v>[]</v>
          </cell>
          <cell r="AK689" t="str">
            <v>shitouren_skill02_yunxuan</v>
          </cell>
          <cell r="AL689" t="str">
            <v>[]</v>
          </cell>
          <cell r="AM689" t="str">
            <v>[]</v>
          </cell>
          <cell r="AN689">
            <v>2</v>
          </cell>
          <cell r="AO689" t="str">
            <v>1</v>
          </cell>
          <cell r="AP689">
            <v>636</v>
          </cell>
          <cell r="AQ689">
            <v>636</v>
          </cell>
          <cell r="AR689" t="str">
            <v>[]</v>
          </cell>
          <cell r="AS689" t="str">
            <v>[]</v>
          </cell>
          <cell r="AT689" t="str">
            <v>5080</v>
          </cell>
          <cell r="AU689" t="str">
            <v>5080</v>
          </cell>
          <cell r="AV689" t="str">
            <v>石头人</v>
          </cell>
          <cell r="AW689" t="str">
            <v>02</v>
          </cell>
          <cell r="AY689">
            <v>1</v>
          </cell>
          <cell r="BE689"/>
          <cell r="BF689"/>
        </row>
        <row r="690">
          <cell r="A690" t="str">
            <v>boss_jin_damangjing_skill02</v>
          </cell>
          <cell r="B690" t="str">
            <v>穿透箭</v>
          </cell>
          <cell r="C690" t="str">
            <v>jin_damangjing_skill02</v>
          </cell>
          <cell r="D690" t="str">
            <v>[]</v>
          </cell>
          <cell r="E690">
            <v>0</v>
          </cell>
          <cell r="F690" t="str">
            <v>[]</v>
          </cell>
          <cell r="G690" t="str">
            <v>穿透箭</v>
          </cell>
          <cell r="H690" t="str">
            <v>damangjing_skill02</v>
          </cell>
          <cell r="I690" t="str">
            <v>[]</v>
          </cell>
          <cell r="J690">
            <v>1</v>
          </cell>
          <cell r="K690">
            <v>10</v>
          </cell>
          <cell r="L690" t="str">
            <v>[]</v>
          </cell>
          <cell r="M690">
            <v>2</v>
          </cell>
          <cell r="N690">
            <v>2</v>
          </cell>
          <cell r="O690">
            <v>1</v>
          </cell>
          <cell r="P690">
            <v>2</v>
          </cell>
          <cell r="Q690">
            <v>12</v>
          </cell>
          <cell r="R690" t="str">
            <v>2|1</v>
          </cell>
          <cell r="S690" t="str">
            <v>1|30|3</v>
          </cell>
          <cell r="T690">
            <v>10</v>
          </cell>
          <cell r="U690">
            <v>1</v>
          </cell>
          <cell r="V690">
            <v>0</v>
          </cell>
          <cell r="W690" t="str">
            <v>[]</v>
          </cell>
          <cell r="X690">
            <v>3</v>
          </cell>
          <cell r="Y690" t="str">
            <v>[]</v>
          </cell>
          <cell r="Z690" t="str">
            <v>0,1.2,0</v>
          </cell>
          <cell r="AA690">
            <v>0</v>
          </cell>
          <cell r="AB690" t="str">
            <v>10</v>
          </cell>
          <cell r="AC690" t="str">
            <v>[]</v>
          </cell>
          <cell r="AD690" t="str">
            <v>[]</v>
          </cell>
          <cell r="AE690" t="str">
            <v>jin_damangjing_skill02_wq</v>
          </cell>
          <cell r="AF690" t="str">
            <v>jin_damangjing_skill02</v>
          </cell>
          <cell r="AG690" t="str">
            <v>common_hit_qinwuqi</v>
          </cell>
          <cell r="AH690" t="str">
            <v>[]</v>
          </cell>
          <cell r="AI690" t="str">
            <v>[]</v>
          </cell>
          <cell r="AJ690" t="str">
            <v>[]</v>
          </cell>
          <cell r="AK690" t="str">
            <v>[]</v>
          </cell>
          <cell r="AL690" t="str">
            <v>[]</v>
          </cell>
          <cell r="AM690" t="str">
            <v>[]</v>
          </cell>
          <cell r="AN690">
            <v>2</v>
          </cell>
          <cell r="AO690" t="str">
            <v>1</v>
          </cell>
          <cell r="AP690">
            <v>636</v>
          </cell>
          <cell r="AQ690">
            <v>636</v>
          </cell>
          <cell r="AR690" t="str">
            <v>[]</v>
          </cell>
          <cell r="AS690" t="str">
            <v>[]</v>
          </cell>
          <cell r="AT690" t="str">
            <v>5110</v>
          </cell>
          <cell r="AU690" t="str">
            <v>5110</v>
          </cell>
          <cell r="AV690" t="str">
            <v>穿透箭</v>
          </cell>
          <cell r="AW690" t="str">
            <v>02</v>
          </cell>
          <cell r="AY690">
            <v>1</v>
          </cell>
          <cell r="BE690"/>
          <cell r="BF690"/>
        </row>
        <row r="691">
          <cell r="A691" t="str">
            <v>boss_mu_damangjing_skill02</v>
          </cell>
          <cell r="B691" t="str">
            <v>穿透箭</v>
          </cell>
          <cell r="C691" t="str">
            <v>mu_damangjing_skill02</v>
          </cell>
          <cell r="D691" t="str">
            <v>[]</v>
          </cell>
          <cell r="E691">
            <v>0</v>
          </cell>
          <cell r="F691" t="str">
            <v>[]</v>
          </cell>
          <cell r="G691" t="str">
            <v>穿透箭</v>
          </cell>
          <cell r="H691" t="str">
            <v>damangjing_skill02</v>
          </cell>
          <cell r="I691" t="str">
            <v>[]</v>
          </cell>
          <cell r="J691">
            <v>1</v>
          </cell>
          <cell r="K691">
            <v>10</v>
          </cell>
          <cell r="L691" t="str">
            <v>[]</v>
          </cell>
          <cell r="M691">
            <v>2</v>
          </cell>
          <cell r="N691">
            <v>2</v>
          </cell>
          <cell r="O691">
            <v>1</v>
          </cell>
          <cell r="P691">
            <v>2</v>
          </cell>
          <cell r="Q691">
            <v>12</v>
          </cell>
          <cell r="R691" t="str">
            <v>2|1</v>
          </cell>
          <cell r="S691" t="str">
            <v>1|30|3</v>
          </cell>
          <cell r="T691">
            <v>10</v>
          </cell>
          <cell r="U691">
            <v>1</v>
          </cell>
          <cell r="V691">
            <v>0</v>
          </cell>
          <cell r="W691" t="str">
            <v>[]</v>
          </cell>
          <cell r="X691">
            <v>3</v>
          </cell>
          <cell r="Y691" t="str">
            <v>[]</v>
          </cell>
          <cell r="Z691" t="str">
            <v>0,1.2,0</v>
          </cell>
          <cell r="AA691">
            <v>0</v>
          </cell>
          <cell r="AB691" t="str">
            <v>10</v>
          </cell>
          <cell r="AC691" t="str">
            <v>[]</v>
          </cell>
          <cell r="AD691" t="str">
            <v>[]</v>
          </cell>
          <cell r="AE691" t="str">
            <v>jin_damangjing_skill02_wq</v>
          </cell>
          <cell r="AF691" t="str">
            <v>jin_damangjing_skill02</v>
          </cell>
          <cell r="AG691" t="str">
            <v>common_hit_qinwuqi</v>
          </cell>
          <cell r="AH691" t="str">
            <v>[]</v>
          </cell>
          <cell r="AI691" t="str">
            <v>[]</v>
          </cell>
          <cell r="AJ691" t="str">
            <v>[]</v>
          </cell>
          <cell r="AK691" t="str">
            <v>[]</v>
          </cell>
          <cell r="AL691" t="str">
            <v>[]</v>
          </cell>
          <cell r="AM691" t="str">
            <v>[]</v>
          </cell>
          <cell r="AN691">
            <v>2</v>
          </cell>
          <cell r="AO691" t="str">
            <v>1</v>
          </cell>
          <cell r="AP691">
            <v>636</v>
          </cell>
          <cell r="AQ691">
            <v>636</v>
          </cell>
          <cell r="AR691" t="str">
            <v>[]</v>
          </cell>
          <cell r="AS691" t="str">
            <v>[]</v>
          </cell>
          <cell r="AT691" t="str">
            <v>5110</v>
          </cell>
          <cell r="AU691" t="str">
            <v>5110</v>
          </cell>
          <cell r="AV691" t="str">
            <v>穿透箭</v>
          </cell>
          <cell r="AW691" t="str">
            <v>02</v>
          </cell>
          <cell r="AY691">
            <v>1</v>
          </cell>
          <cell r="BE691"/>
          <cell r="BF691"/>
        </row>
        <row r="692">
          <cell r="A692" t="str">
            <v>boss_huo_humeiren_skill02</v>
          </cell>
          <cell r="B692" t="str">
            <v>旋转攻击</v>
          </cell>
          <cell r="C692" t="str">
            <v>huo_humeiren_skill02</v>
          </cell>
          <cell r="D692" t="str">
            <v>[]</v>
          </cell>
          <cell r="E692">
            <v>0</v>
          </cell>
          <cell r="F692" t="str">
            <v>[]</v>
          </cell>
          <cell r="G692" t="str">
            <v>水狐美人技能2</v>
          </cell>
          <cell r="H692" t="str">
            <v>humeiren_skill02</v>
          </cell>
          <cell r="I692" t="str">
            <v>[]</v>
          </cell>
          <cell r="J692">
            <v>1</v>
          </cell>
          <cell r="K692">
            <v>10</v>
          </cell>
          <cell r="L692" t="str">
            <v>[]</v>
          </cell>
          <cell r="M692">
            <v>2</v>
          </cell>
          <cell r="N692">
            <v>2</v>
          </cell>
          <cell r="O692">
            <v>2</v>
          </cell>
          <cell r="P692">
            <v>2</v>
          </cell>
          <cell r="Q692">
            <v>4</v>
          </cell>
          <cell r="R692" t="str">
            <v>2|1</v>
          </cell>
          <cell r="S692" t="str">
            <v>2|2.5</v>
          </cell>
          <cell r="T692">
            <v>10</v>
          </cell>
          <cell r="U692">
            <v>1</v>
          </cell>
          <cell r="V692">
            <v>0</v>
          </cell>
          <cell r="W692" t="str">
            <v>[]</v>
          </cell>
          <cell r="X692">
            <v>3</v>
          </cell>
          <cell r="Y692" t="str">
            <v>[]</v>
          </cell>
          <cell r="Z692" t="str">
            <v>0,1.667,0</v>
          </cell>
          <cell r="AA692">
            <v>0</v>
          </cell>
          <cell r="AB692" t="str">
            <v>10</v>
          </cell>
          <cell r="AC692" t="str">
            <v>[]</v>
          </cell>
          <cell r="AD692" t="str">
            <v>[]</v>
          </cell>
          <cell r="AE692" t="str">
            <v>shuihumeiren_skill02_jiaoxia</v>
          </cell>
          <cell r="AF692" t="str">
            <v>shuihumeiren_skill02</v>
          </cell>
          <cell r="AG692" t="str">
            <v>common_hit_qinwuqi</v>
          </cell>
          <cell r="AH692" t="str">
            <v>[]</v>
          </cell>
          <cell r="AI692" t="str">
            <v>[]</v>
          </cell>
          <cell r="AJ692" t="str">
            <v>[]</v>
          </cell>
          <cell r="AK692" t="str">
            <v>[]</v>
          </cell>
          <cell r="AL692" t="str">
            <v>[]</v>
          </cell>
          <cell r="AM692" t="str">
            <v>[]</v>
          </cell>
          <cell r="AN692">
            <v>2</v>
          </cell>
          <cell r="AO692" t="str">
            <v>1</v>
          </cell>
          <cell r="AP692">
            <v>636</v>
          </cell>
          <cell r="AQ692">
            <v>636</v>
          </cell>
          <cell r="AR692" t="str">
            <v>[]</v>
          </cell>
          <cell r="AS692" t="str">
            <v>[]</v>
          </cell>
          <cell r="AT692" t="str">
            <v>5120</v>
          </cell>
          <cell r="AU692" t="str">
            <v>5120</v>
          </cell>
          <cell r="AV692" t="str">
            <v>水狐美人</v>
          </cell>
          <cell r="AW692" t="str">
            <v>02</v>
          </cell>
          <cell r="AY692">
            <v>1</v>
          </cell>
          <cell r="BE692"/>
          <cell r="BF692"/>
        </row>
        <row r="693">
          <cell r="A693" t="str">
            <v>boss_mu_humeiren_skill02</v>
          </cell>
          <cell r="B693" t="str">
            <v>旋转攻击</v>
          </cell>
          <cell r="C693" t="str">
            <v>mu_humeiren_skill02</v>
          </cell>
          <cell r="D693" t="str">
            <v>[]</v>
          </cell>
          <cell r="E693">
            <v>0</v>
          </cell>
          <cell r="F693" t="str">
            <v>[]</v>
          </cell>
          <cell r="G693" t="str">
            <v>木狐美人技能2</v>
          </cell>
          <cell r="H693" t="str">
            <v>humeiren_skill02</v>
          </cell>
          <cell r="I693" t="str">
            <v>[]</v>
          </cell>
          <cell r="J693">
            <v>1</v>
          </cell>
          <cell r="K693">
            <v>10</v>
          </cell>
          <cell r="L693" t="str">
            <v>[]</v>
          </cell>
          <cell r="M693">
            <v>2</v>
          </cell>
          <cell r="N693">
            <v>2</v>
          </cell>
          <cell r="O693">
            <v>2</v>
          </cell>
          <cell r="P693">
            <v>2</v>
          </cell>
          <cell r="Q693">
            <v>4</v>
          </cell>
          <cell r="R693" t="str">
            <v>2|1</v>
          </cell>
          <cell r="S693" t="str">
            <v>2|2.5</v>
          </cell>
          <cell r="T693">
            <v>10</v>
          </cell>
          <cell r="U693">
            <v>1</v>
          </cell>
          <cell r="V693">
            <v>0</v>
          </cell>
          <cell r="W693" t="str">
            <v>[]</v>
          </cell>
          <cell r="X693">
            <v>3</v>
          </cell>
          <cell r="Y693" t="str">
            <v>[]</v>
          </cell>
          <cell r="Z693" t="str">
            <v>0,1.667,0</v>
          </cell>
          <cell r="AA693">
            <v>0</v>
          </cell>
          <cell r="AB693" t="str">
            <v>10</v>
          </cell>
          <cell r="AC693" t="str">
            <v>[]</v>
          </cell>
          <cell r="AD693" t="str">
            <v>[]</v>
          </cell>
          <cell r="AE693" t="str">
            <v>caohumeiren_skill02_jiaoxia</v>
          </cell>
          <cell r="AF693" t="str">
            <v>caohumeiren_skill02</v>
          </cell>
          <cell r="AG693" t="str">
            <v>common_hit_qinwuqi</v>
          </cell>
          <cell r="AH693" t="str">
            <v>[]</v>
          </cell>
          <cell r="AI693" t="str">
            <v>[]</v>
          </cell>
          <cell r="AJ693" t="str">
            <v>[]</v>
          </cell>
          <cell r="AK693" t="str">
            <v>[]</v>
          </cell>
          <cell r="AL693" t="str">
            <v>[]</v>
          </cell>
          <cell r="AM693" t="str">
            <v>[]</v>
          </cell>
          <cell r="AN693">
            <v>2</v>
          </cell>
          <cell r="AO693" t="str">
            <v>1</v>
          </cell>
          <cell r="AP693">
            <v>636</v>
          </cell>
          <cell r="AQ693">
            <v>636</v>
          </cell>
          <cell r="AR693" t="str">
            <v>[]</v>
          </cell>
          <cell r="AS693" t="str">
            <v>[]</v>
          </cell>
          <cell r="AT693" t="str">
            <v>5120</v>
          </cell>
          <cell r="AU693" t="str">
            <v>5120</v>
          </cell>
          <cell r="AV693" t="str">
            <v>木狐美人</v>
          </cell>
          <cell r="AW693" t="str">
            <v>02</v>
          </cell>
          <cell r="AY693">
            <v>1</v>
          </cell>
          <cell r="BE693"/>
          <cell r="BF693"/>
        </row>
        <row r="694">
          <cell r="A694" t="str">
            <v>boss_shui_humeiren_skill02</v>
          </cell>
          <cell r="B694" t="str">
            <v>旋转攻击</v>
          </cell>
          <cell r="C694" t="str">
            <v>shui_humeiren_skill02</v>
          </cell>
          <cell r="D694" t="str">
            <v>[]</v>
          </cell>
          <cell r="E694">
            <v>0</v>
          </cell>
          <cell r="F694" t="str">
            <v>[]</v>
          </cell>
          <cell r="G694" t="str">
            <v>水狐美人技能2</v>
          </cell>
          <cell r="H694" t="str">
            <v>humeiren_skill02</v>
          </cell>
          <cell r="I694" t="str">
            <v>[]</v>
          </cell>
          <cell r="J694">
            <v>1</v>
          </cell>
          <cell r="K694">
            <v>10</v>
          </cell>
          <cell r="L694" t="str">
            <v>[]</v>
          </cell>
          <cell r="M694">
            <v>2</v>
          </cell>
          <cell r="N694">
            <v>2</v>
          </cell>
          <cell r="O694">
            <v>2</v>
          </cell>
          <cell r="P694">
            <v>2</v>
          </cell>
          <cell r="Q694">
            <v>4</v>
          </cell>
          <cell r="R694" t="str">
            <v>2|1</v>
          </cell>
          <cell r="S694" t="str">
            <v>2|2.5</v>
          </cell>
          <cell r="T694">
            <v>10</v>
          </cell>
          <cell r="U694">
            <v>1</v>
          </cell>
          <cell r="V694">
            <v>0</v>
          </cell>
          <cell r="W694" t="str">
            <v>[]</v>
          </cell>
          <cell r="X694">
            <v>3</v>
          </cell>
          <cell r="Y694" t="str">
            <v>[]</v>
          </cell>
          <cell r="Z694" t="str">
            <v>0,1.667,0</v>
          </cell>
          <cell r="AA694">
            <v>0</v>
          </cell>
          <cell r="AB694" t="str">
            <v>10</v>
          </cell>
          <cell r="AC694" t="str">
            <v>[]</v>
          </cell>
          <cell r="AD694" t="str">
            <v>[]</v>
          </cell>
          <cell r="AE694" t="str">
            <v>shuihumeiren_skill02_jiaoxia</v>
          </cell>
          <cell r="AF694" t="str">
            <v>shuihumeiren_skill02</v>
          </cell>
          <cell r="AG694" t="str">
            <v>common_hit_qinwuqi</v>
          </cell>
          <cell r="AH694" t="str">
            <v>[]</v>
          </cell>
          <cell r="AI694" t="str">
            <v>[]</v>
          </cell>
          <cell r="AJ694" t="str">
            <v>[]</v>
          </cell>
          <cell r="AK694" t="str">
            <v>[]</v>
          </cell>
          <cell r="AL694" t="str">
            <v>[]</v>
          </cell>
          <cell r="AM694" t="str">
            <v>[]</v>
          </cell>
          <cell r="AN694">
            <v>2</v>
          </cell>
          <cell r="AO694" t="str">
            <v>1</v>
          </cell>
          <cell r="AP694">
            <v>636</v>
          </cell>
          <cell r="AQ694">
            <v>636</v>
          </cell>
          <cell r="AR694" t="str">
            <v>[]</v>
          </cell>
          <cell r="AS694" t="str">
            <v>[]</v>
          </cell>
          <cell r="AT694" t="str">
            <v>5120</v>
          </cell>
          <cell r="AU694" t="str">
            <v>5120</v>
          </cell>
          <cell r="AV694" t="str">
            <v>水狐美人</v>
          </cell>
          <cell r="AW694" t="str">
            <v>02</v>
          </cell>
          <cell r="AY694">
            <v>1</v>
          </cell>
          <cell r="BE694"/>
          <cell r="BF694"/>
        </row>
        <row r="695">
          <cell r="A695" t="str">
            <v>boss_jin_jiaoren_skill02</v>
          </cell>
          <cell r="B695" t="str">
            <v>自然守护</v>
          </cell>
          <cell r="C695" t="str">
            <v>jin_jiaoren_skill02</v>
          </cell>
          <cell r="D695" t="str">
            <v>[]</v>
          </cell>
          <cell r="E695">
            <v>0</v>
          </cell>
          <cell r="F695" t="str">
            <v>[]</v>
          </cell>
          <cell r="G695" t="str">
            <v>鲛人技能</v>
          </cell>
          <cell r="H695" t="str">
            <v>jiaoren_skill02</v>
          </cell>
          <cell r="I695" t="str">
            <v>[]</v>
          </cell>
          <cell r="J695">
            <v>1</v>
          </cell>
          <cell r="K695">
            <v>10</v>
          </cell>
          <cell r="L695" t="str">
            <v>[]</v>
          </cell>
          <cell r="M695">
            <v>2</v>
          </cell>
          <cell r="N695">
            <v>2</v>
          </cell>
          <cell r="O695">
            <v>1</v>
          </cell>
          <cell r="P695">
            <v>0</v>
          </cell>
          <cell r="Q695">
            <v>12</v>
          </cell>
          <cell r="R695">
            <v>1</v>
          </cell>
          <cell r="S695" t="str">
            <v>4|0.2</v>
          </cell>
          <cell r="T695">
            <v>1</v>
          </cell>
          <cell r="U695">
            <v>1</v>
          </cell>
          <cell r="V695">
            <v>0</v>
          </cell>
          <cell r="W695" t="str">
            <v>[]</v>
          </cell>
          <cell r="X695">
            <v>3</v>
          </cell>
          <cell r="Y695" t="str">
            <v>[]</v>
          </cell>
          <cell r="Z695" t="str">
            <v>0,1.667,0</v>
          </cell>
          <cell r="AA695">
            <v>0</v>
          </cell>
          <cell r="AB695" t="str">
            <v>10</v>
          </cell>
          <cell r="AC695" t="str">
            <v>[]</v>
          </cell>
          <cell r="AD695" t="str">
            <v>[]</v>
          </cell>
          <cell r="AE695" t="str">
            <v>[]</v>
          </cell>
          <cell r="AF695" t="str">
            <v>jiaoren_skill02</v>
          </cell>
          <cell r="AG695" t="str">
            <v>[]</v>
          </cell>
          <cell r="AH695" t="str">
            <v>[]</v>
          </cell>
          <cell r="AI695" t="str">
            <v>[]</v>
          </cell>
          <cell r="AJ695" t="str">
            <v>[]</v>
          </cell>
          <cell r="AK695" t="str">
            <v>[]</v>
          </cell>
          <cell r="AL695" t="str">
            <v>[]</v>
          </cell>
          <cell r="AM695" t="str">
            <v>buff_jiaoren_skill02</v>
          </cell>
          <cell r="AN695">
            <v>2</v>
          </cell>
          <cell r="AO695" t="str">
            <v>1</v>
          </cell>
          <cell r="AP695" t="str">
            <v>[]</v>
          </cell>
          <cell r="AQ695">
            <v>636</v>
          </cell>
          <cell r="AR695" t="str">
            <v>[]</v>
          </cell>
          <cell r="AS695" t="str">
            <v>[]</v>
          </cell>
          <cell r="AT695" t="str">
            <v>5130</v>
          </cell>
          <cell r="AU695" t="str">
            <v>5130</v>
          </cell>
          <cell r="AV695" t="str">
            <v>鲛人</v>
          </cell>
          <cell r="AW695" t="str">
            <v>02</v>
          </cell>
          <cell r="AY695">
            <v>1</v>
          </cell>
          <cell r="BE695"/>
          <cell r="BF695"/>
        </row>
        <row r="696">
          <cell r="A696" t="str">
            <v>boss_shui_jiaoren_skill02</v>
          </cell>
          <cell r="B696" t="str">
            <v>自然守护</v>
          </cell>
          <cell r="C696" t="str">
            <v>shui_jiaoren_skill02</v>
          </cell>
          <cell r="D696" t="str">
            <v>[]</v>
          </cell>
          <cell r="E696">
            <v>0</v>
          </cell>
          <cell r="F696" t="str">
            <v>[]</v>
          </cell>
          <cell r="G696" t="str">
            <v>鲛人技能</v>
          </cell>
          <cell r="H696" t="str">
            <v>jiaoren_skill02</v>
          </cell>
          <cell r="I696" t="str">
            <v>[]</v>
          </cell>
          <cell r="J696">
            <v>1</v>
          </cell>
          <cell r="K696">
            <v>10</v>
          </cell>
          <cell r="L696" t="str">
            <v>[]</v>
          </cell>
          <cell r="M696">
            <v>2</v>
          </cell>
          <cell r="N696">
            <v>2</v>
          </cell>
          <cell r="O696">
            <v>1</v>
          </cell>
          <cell r="P696">
            <v>0</v>
          </cell>
          <cell r="Q696">
            <v>12</v>
          </cell>
          <cell r="R696">
            <v>1</v>
          </cell>
          <cell r="S696" t="str">
            <v>4|0.2</v>
          </cell>
          <cell r="T696">
            <v>1</v>
          </cell>
          <cell r="U696">
            <v>1</v>
          </cell>
          <cell r="V696">
            <v>0</v>
          </cell>
          <cell r="W696" t="str">
            <v>[]</v>
          </cell>
          <cell r="X696">
            <v>3</v>
          </cell>
          <cell r="Y696" t="str">
            <v>[]</v>
          </cell>
          <cell r="Z696" t="str">
            <v>0,1.667,0</v>
          </cell>
          <cell r="AA696">
            <v>0</v>
          </cell>
          <cell r="AB696" t="str">
            <v>10</v>
          </cell>
          <cell r="AC696" t="str">
            <v>[]</v>
          </cell>
          <cell r="AD696" t="str">
            <v>[]</v>
          </cell>
          <cell r="AE696" t="str">
            <v>[]</v>
          </cell>
          <cell r="AF696" t="str">
            <v>jiaoren_skill02</v>
          </cell>
          <cell r="AG696" t="str">
            <v>[]</v>
          </cell>
          <cell r="AH696" t="str">
            <v>[]</v>
          </cell>
          <cell r="AI696" t="str">
            <v>[]</v>
          </cell>
          <cell r="AJ696" t="str">
            <v>[]</v>
          </cell>
          <cell r="AK696" t="str">
            <v>[]</v>
          </cell>
          <cell r="AL696" t="str">
            <v>[]</v>
          </cell>
          <cell r="AM696" t="str">
            <v>buff_jiaoren_skill02</v>
          </cell>
          <cell r="AN696">
            <v>2</v>
          </cell>
          <cell r="AO696" t="str">
            <v>1</v>
          </cell>
          <cell r="AP696" t="str">
            <v>[]</v>
          </cell>
          <cell r="AQ696">
            <v>636</v>
          </cell>
          <cell r="AR696" t="str">
            <v>[]</v>
          </cell>
          <cell r="AS696" t="str">
            <v>[]</v>
          </cell>
          <cell r="AT696" t="str">
            <v>5130</v>
          </cell>
          <cell r="AU696" t="str">
            <v>5130</v>
          </cell>
          <cell r="AV696" t="str">
            <v>鲛人</v>
          </cell>
          <cell r="AW696" t="str">
            <v>02</v>
          </cell>
          <cell r="AY696">
            <v>1</v>
          </cell>
          <cell r="BE696"/>
          <cell r="BF696"/>
        </row>
        <row r="697">
          <cell r="A697" t="str">
            <v>boss_qinxian_skill02</v>
          </cell>
          <cell r="B697" t="str">
            <v>琴音缭绕</v>
          </cell>
          <cell r="C697" t="str">
            <v>qinxian_skill02</v>
          </cell>
          <cell r="D697" t="str">
            <v>[]</v>
          </cell>
          <cell r="E697">
            <v>0</v>
          </cell>
          <cell r="F697" t="str">
            <v>[]</v>
          </cell>
          <cell r="G697" t="str">
            <v>琴仙技能</v>
          </cell>
          <cell r="H697" t="str">
            <v>qinxian_skill02</v>
          </cell>
          <cell r="I697" t="str">
            <v>[]</v>
          </cell>
          <cell r="J697">
            <v>1</v>
          </cell>
          <cell r="K697">
            <v>10</v>
          </cell>
          <cell r="L697" t="str">
            <v>[]</v>
          </cell>
          <cell r="M697">
            <v>2</v>
          </cell>
          <cell r="N697">
            <v>2</v>
          </cell>
          <cell r="O697">
            <v>1</v>
          </cell>
          <cell r="P697">
            <v>2</v>
          </cell>
          <cell r="Q697">
            <v>12</v>
          </cell>
          <cell r="R697" t="str">
            <v>2|1</v>
          </cell>
          <cell r="S697" t="str">
            <v>4|0.2</v>
          </cell>
          <cell r="T697">
            <v>1</v>
          </cell>
          <cell r="U697">
            <v>1</v>
          </cell>
          <cell r="V697">
            <v>0</v>
          </cell>
          <cell r="W697" t="str">
            <v>[]</v>
          </cell>
          <cell r="X697">
            <v>3</v>
          </cell>
          <cell r="Y697" t="str">
            <v>[]</v>
          </cell>
          <cell r="Z697" t="str">
            <v>0,1.667,0</v>
          </cell>
          <cell r="AA697">
            <v>0</v>
          </cell>
          <cell r="AB697" t="str">
            <v>10</v>
          </cell>
          <cell r="AC697" t="str">
            <v>[]</v>
          </cell>
          <cell r="AD697" t="str">
            <v>[]</v>
          </cell>
          <cell r="AE697" t="str">
            <v>[]</v>
          </cell>
          <cell r="AF697" t="str">
            <v>qinxian_skill02</v>
          </cell>
          <cell r="AG697" t="str">
            <v>qinxian_skill02_hit</v>
          </cell>
          <cell r="AH697" t="str">
            <v>[]</v>
          </cell>
          <cell r="AI697" t="str">
            <v>[]</v>
          </cell>
          <cell r="AJ697" t="str">
            <v>[]</v>
          </cell>
          <cell r="AK697" t="str">
            <v>[]</v>
          </cell>
          <cell r="AL697" t="str">
            <v>[]</v>
          </cell>
          <cell r="AM697" t="str">
            <v>[]</v>
          </cell>
          <cell r="AN697">
            <v>2</v>
          </cell>
          <cell r="AO697" t="str">
            <v>1</v>
          </cell>
          <cell r="AP697">
            <v>636</v>
          </cell>
          <cell r="AQ697">
            <v>636</v>
          </cell>
          <cell r="AR697" t="str">
            <v>[]</v>
          </cell>
          <cell r="AS697" t="str">
            <v>[]</v>
          </cell>
          <cell r="AT697" t="str">
            <v>5150</v>
          </cell>
          <cell r="AU697" t="str">
            <v>5150</v>
          </cell>
          <cell r="AV697" t="str">
            <v>琴仙</v>
          </cell>
          <cell r="AW697" t="str">
            <v>02</v>
          </cell>
          <cell r="AY697">
            <v>1</v>
          </cell>
          <cell r="BE697"/>
          <cell r="BF697"/>
        </row>
        <row r="698">
          <cell r="A698" t="str">
            <v>boss_tianjiang_skill02</v>
          </cell>
          <cell r="B698" t="str">
            <v>瓮金锤</v>
          </cell>
          <cell r="C698" t="str">
            <v>tianjiang_skill02</v>
          </cell>
          <cell r="D698" t="str">
            <v>[]</v>
          </cell>
          <cell r="E698">
            <v>0</v>
          </cell>
          <cell r="F698" t="str">
            <v>[]</v>
          </cell>
          <cell r="G698" t="str">
            <v>天将</v>
          </cell>
          <cell r="H698" t="str">
            <v>tianjiang_skill02</v>
          </cell>
          <cell r="I698" t="str">
            <v>[]</v>
          </cell>
          <cell r="J698">
            <v>1</v>
          </cell>
          <cell r="K698">
            <v>10</v>
          </cell>
          <cell r="L698" t="str">
            <v>[]</v>
          </cell>
          <cell r="M698">
            <v>2</v>
          </cell>
          <cell r="N698">
            <v>2</v>
          </cell>
          <cell r="O698">
            <v>1</v>
          </cell>
          <cell r="P698">
            <v>2</v>
          </cell>
          <cell r="Q698">
            <v>12</v>
          </cell>
          <cell r="R698" t="str">
            <v>2|1</v>
          </cell>
          <cell r="S698" t="str">
            <v>1|3|5</v>
          </cell>
          <cell r="T698">
            <v>10</v>
          </cell>
          <cell r="U698">
            <v>1</v>
          </cell>
          <cell r="V698">
            <v>0</v>
          </cell>
          <cell r="W698" t="str">
            <v>[]</v>
          </cell>
          <cell r="X698">
            <v>3</v>
          </cell>
          <cell r="Y698" t="str">
            <v>[]</v>
          </cell>
          <cell r="Z698" t="str">
            <v>0,1.2,0</v>
          </cell>
          <cell r="AA698">
            <v>0</v>
          </cell>
          <cell r="AB698" t="str">
            <v>10</v>
          </cell>
          <cell r="AC698" t="str">
            <v>[]</v>
          </cell>
          <cell r="AD698" t="str">
            <v>[]</v>
          </cell>
          <cell r="AE698" t="str">
            <v>[]</v>
          </cell>
          <cell r="AF698" t="str">
            <v>tianjiang_skill02</v>
          </cell>
          <cell r="AG698" t="str">
            <v>common_hit_zhongwuqi</v>
          </cell>
          <cell r="AH698" t="str">
            <v>[]</v>
          </cell>
          <cell r="AI698" t="str">
            <v>[]</v>
          </cell>
          <cell r="AJ698" t="str">
            <v>[]</v>
          </cell>
          <cell r="AK698" t="str">
            <v>[]</v>
          </cell>
          <cell r="AL698" t="str">
            <v>[]</v>
          </cell>
          <cell r="AM698" t="str">
            <v>[]</v>
          </cell>
          <cell r="AN698">
            <v>2</v>
          </cell>
          <cell r="AO698" t="str">
            <v>1</v>
          </cell>
          <cell r="AP698">
            <v>636</v>
          </cell>
          <cell r="AQ698">
            <v>636</v>
          </cell>
          <cell r="AR698" t="str">
            <v>[]</v>
          </cell>
          <cell r="AS698" t="str">
            <v>[]</v>
          </cell>
          <cell r="AT698" t="str">
            <v>5160</v>
          </cell>
          <cell r="AU698" t="str">
            <v>5160</v>
          </cell>
          <cell r="AV698" t="str">
            <v>天将</v>
          </cell>
          <cell r="AW698" t="str">
            <v>02</v>
          </cell>
          <cell r="AY698">
            <v>1</v>
          </cell>
          <cell r="BE698"/>
          <cell r="BF698"/>
        </row>
        <row r="699">
          <cell r="A699" t="str">
            <v>boss_jisufeijian_skill01</v>
          </cell>
          <cell r="B699" t="str">
            <v>急速飞箭</v>
          </cell>
          <cell r="C699" t="str">
            <v>jisufeijian_skill01</v>
          </cell>
          <cell r="D699" t="str">
            <v>[]</v>
          </cell>
          <cell r="E699">
            <v>0</v>
          </cell>
          <cell r="F699" t="str">
            <v>[]</v>
          </cell>
          <cell r="G699" t="str">
            <v>急速飞箭</v>
          </cell>
          <cell r="H699" t="str">
            <v>jisufeijian</v>
          </cell>
          <cell r="I699" t="str">
            <v>jisufeijian</v>
          </cell>
          <cell r="J699">
            <v>0</v>
          </cell>
          <cell r="K699">
            <v>10</v>
          </cell>
          <cell r="L699" t="str">
            <v>1|55</v>
          </cell>
          <cell r="M699">
            <v>2</v>
          </cell>
          <cell r="N699">
            <v>2</v>
          </cell>
          <cell r="O699">
            <v>1</v>
          </cell>
          <cell r="P699">
            <v>2</v>
          </cell>
          <cell r="Q699">
            <v>12</v>
          </cell>
          <cell r="R699" t="str">
            <v>2|1</v>
          </cell>
          <cell r="S699" t="str">
            <v>3|12|60</v>
          </cell>
          <cell r="T699">
            <v>10</v>
          </cell>
          <cell r="U699">
            <v>1</v>
          </cell>
          <cell r="V699">
            <v>0</v>
          </cell>
          <cell r="W699" t="str">
            <v>[]</v>
          </cell>
          <cell r="X699">
            <v>0</v>
          </cell>
          <cell r="Y699" t="str">
            <v>[]</v>
          </cell>
          <cell r="Z699" t="str">
            <v>0,0,0</v>
          </cell>
          <cell r="AA699">
            <v>0</v>
          </cell>
          <cell r="AB699" t="str">
            <v>10</v>
          </cell>
          <cell r="AC699" t="str">
            <v>[]</v>
          </cell>
          <cell r="AD699" t="str">
            <v>[]</v>
          </cell>
          <cell r="AE699" t="str">
            <v>[]</v>
          </cell>
          <cell r="AF699" t="str">
            <v>jisufeijian</v>
          </cell>
          <cell r="AG699" t="str">
            <v>common_hit_qinwuqi</v>
          </cell>
          <cell r="AH699" t="str">
            <v>[]</v>
          </cell>
          <cell r="AI699" t="str">
            <v>[]</v>
          </cell>
          <cell r="AJ699" t="str">
            <v>[]</v>
          </cell>
          <cell r="AK699" t="str">
            <v>[]</v>
          </cell>
          <cell r="AL699" t="str">
            <v>[]</v>
          </cell>
          <cell r="AM699" t="str">
            <v>[]</v>
          </cell>
          <cell r="AN699">
            <v>2</v>
          </cell>
          <cell r="AO699" t="str">
            <v>1</v>
          </cell>
          <cell r="AP699">
            <v>636</v>
          </cell>
          <cell r="AQ699">
            <v>636</v>
          </cell>
          <cell r="AR699" t="str">
            <v>[]</v>
          </cell>
          <cell r="AS699" t="str">
            <v>[]</v>
          </cell>
          <cell r="AT699" t="str">
            <v>5510</v>
          </cell>
          <cell r="AU699" t="str">
            <v>5510</v>
          </cell>
          <cell r="AV699" t="str">
            <v>急速飞箭</v>
          </cell>
          <cell r="AW699" t="str">
            <v>01</v>
          </cell>
          <cell r="AY699">
            <v>1</v>
          </cell>
          <cell r="BE699"/>
          <cell r="BF699"/>
        </row>
        <row r="700">
          <cell r="A700" t="str">
            <v>boss_jianqi_skill01</v>
          </cell>
          <cell r="B700" t="str">
            <v>剑气</v>
          </cell>
          <cell r="C700" t="str">
            <v>jianqi_skill01</v>
          </cell>
          <cell r="D700" t="str">
            <v>[]</v>
          </cell>
          <cell r="E700">
            <v>0</v>
          </cell>
          <cell r="F700" t="str">
            <v>[]</v>
          </cell>
          <cell r="G700" t="str">
            <v>剑气</v>
          </cell>
          <cell r="H700" t="str">
            <v>jianqi</v>
          </cell>
          <cell r="I700" t="str">
            <v>jianqi</v>
          </cell>
          <cell r="J700">
            <v>0</v>
          </cell>
          <cell r="K700">
            <v>10</v>
          </cell>
          <cell r="L700" t="str">
            <v>1|49</v>
          </cell>
          <cell r="M700">
            <v>2</v>
          </cell>
          <cell r="N700">
            <v>2</v>
          </cell>
          <cell r="O700">
            <v>1</v>
          </cell>
          <cell r="P700">
            <v>3</v>
          </cell>
          <cell r="Q700">
            <v>12</v>
          </cell>
          <cell r="R700" t="str">
            <v>2|1</v>
          </cell>
          <cell r="S700" t="str">
            <v>3|12|60</v>
          </cell>
          <cell r="T700">
            <v>10</v>
          </cell>
          <cell r="U700">
            <v>1</v>
          </cell>
          <cell r="V700">
            <v>0</v>
          </cell>
          <cell r="W700" t="str">
            <v>[]</v>
          </cell>
          <cell r="X700">
            <v>0</v>
          </cell>
          <cell r="Y700" t="str">
            <v>[]</v>
          </cell>
          <cell r="Z700" t="str">
            <v>0,0,0</v>
          </cell>
          <cell r="AA700">
            <v>0</v>
          </cell>
          <cell r="AB700" t="str">
            <v>10</v>
          </cell>
          <cell r="AC700" t="str">
            <v>[]</v>
          </cell>
          <cell r="AD700" t="str">
            <v>[]</v>
          </cell>
          <cell r="AE700" t="str">
            <v>[]</v>
          </cell>
          <cell r="AF700" t="str">
            <v>jianqi</v>
          </cell>
          <cell r="AG700" t="str">
            <v>common_hit_qinwuqi</v>
          </cell>
          <cell r="AH700" t="str">
            <v>[]</v>
          </cell>
          <cell r="AI700" t="str">
            <v>[]</v>
          </cell>
          <cell r="AJ700" t="str">
            <v>[]</v>
          </cell>
          <cell r="AK700" t="str">
            <v>[]</v>
          </cell>
          <cell r="AL700" t="str">
            <v>[]</v>
          </cell>
          <cell r="AM700" t="str">
            <v>[]</v>
          </cell>
          <cell r="AN700">
            <v>2</v>
          </cell>
          <cell r="AO700" t="str">
            <v>1</v>
          </cell>
          <cell r="AP700">
            <v>636</v>
          </cell>
          <cell r="AQ700">
            <v>636</v>
          </cell>
          <cell r="AR700" t="str">
            <v>[]</v>
          </cell>
          <cell r="AS700" t="str">
            <v>[]</v>
          </cell>
          <cell r="AT700" t="str">
            <v>5520</v>
          </cell>
          <cell r="AU700" t="str">
            <v>5520</v>
          </cell>
          <cell r="AV700" t="str">
            <v>剑气</v>
          </cell>
          <cell r="AW700" t="str">
            <v>01</v>
          </cell>
          <cell r="AY700">
            <v>1</v>
          </cell>
          <cell r="BE700"/>
          <cell r="BF700"/>
        </row>
        <row r="701">
          <cell r="A701" t="str">
            <v>boss_lijianxueren_skill01</v>
          </cell>
          <cell r="B701" t="str">
            <v>砺剑血刃</v>
          </cell>
          <cell r="C701" t="str">
            <v>lijianxueren_skill01</v>
          </cell>
          <cell r="D701" t="str">
            <v>[]</v>
          </cell>
          <cell r="E701">
            <v>0</v>
          </cell>
          <cell r="F701" t="str">
            <v>[]</v>
          </cell>
          <cell r="G701" t="str">
            <v>砺剑血刃</v>
          </cell>
          <cell r="H701" t="str">
            <v>lijianxueren</v>
          </cell>
          <cell r="I701" t="str">
            <v>lijianxueren</v>
          </cell>
          <cell r="J701">
            <v>0</v>
          </cell>
          <cell r="K701">
            <v>10</v>
          </cell>
          <cell r="L701" t="str">
            <v>1|64</v>
          </cell>
          <cell r="M701">
            <v>2</v>
          </cell>
          <cell r="N701">
            <v>2</v>
          </cell>
          <cell r="O701">
            <v>1</v>
          </cell>
          <cell r="P701">
            <v>4</v>
          </cell>
          <cell r="Q701">
            <v>12</v>
          </cell>
          <cell r="R701">
            <v>3</v>
          </cell>
          <cell r="S701">
            <v>5</v>
          </cell>
          <cell r="T701">
            <v>10</v>
          </cell>
          <cell r="U701">
            <v>0</v>
          </cell>
          <cell r="V701">
            <v>0</v>
          </cell>
          <cell r="W701" t="str">
            <v>[]</v>
          </cell>
          <cell r="X701">
            <v>0</v>
          </cell>
          <cell r="Y701" t="str">
            <v>[]</v>
          </cell>
          <cell r="Z701" t="str">
            <v>0,0,0</v>
          </cell>
          <cell r="AA701">
            <v>0</v>
          </cell>
          <cell r="AB701" t="str">
            <v>10</v>
          </cell>
          <cell r="AC701" t="str">
            <v>[]</v>
          </cell>
          <cell r="AD701" t="str">
            <v>[]</v>
          </cell>
          <cell r="AE701" t="str">
            <v>[]</v>
          </cell>
          <cell r="AF701" t="str">
            <v>lijianxueren_ack</v>
          </cell>
          <cell r="AG701" t="str">
            <v>[]</v>
          </cell>
          <cell r="AH701" t="str">
            <v>[]</v>
          </cell>
          <cell r="AI701" t="str">
            <v>[]</v>
          </cell>
          <cell r="AJ701" t="str">
            <v>[]</v>
          </cell>
          <cell r="AK701" t="str">
            <v>[]</v>
          </cell>
          <cell r="AL701" t="str">
            <v>[]</v>
          </cell>
          <cell r="AM701" t="str">
            <v>[]</v>
          </cell>
          <cell r="AN701">
            <v>2</v>
          </cell>
          <cell r="AO701" t="str">
            <v>1</v>
          </cell>
          <cell r="AP701" t="str">
            <v>[]</v>
          </cell>
          <cell r="AQ701" t="str">
            <v>[]</v>
          </cell>
          <cell r="AR701" t="str">
            <v>[]</v>
          </cell>
          <cell r="AS701" t="str">
            <v>[]</v>
          </cell>
          <cell r="AT701" t="str">
            <v>5530</v>
          </cell>
          <cell r="AU701" t="str">
            <v>5530</v>
          </cell>
          <cell r="AV701" t="str">
            <v>砺剑血刃</v>
          </cell>
          <cell r="AW701" t="str">
            <v>01</v>
          </cell>
          <cell r="AY701">
            <v>1</v>
          </cell>
          <cell r="BE701"/>
          <cell r="BF701"/>
        </row>
        <row r="702">
          <cell r="A702" t="str">
            <v>boss_zhongchui_skill01</v>
          </cell>
          <cell r="B702" t="str">
            <v>重锤</v>
          </cell>
          <cell r="C702" t="str">
            <v>zhongchui_skill01</v>
          </cell>
          <cell r="D702" t="str">
            <v>[]</v>
          </cell>
          <cell r="E702">
            <v>0</v>
          </cell>
          <cell r="F702" t="str">
            <v>[]</v>
          </cell>
          <cell r="G702" t="str">
            <v>重锤</v>
          </cell>
          <cell r="H702" t="str">
            <v>zhongchui</v>
          </cell>
          <cell r="I702" t="str">
            <v>zhongchui</v>
          </cell>
          <cell r="J702">
            <v>0</v>
          </cell>
          <cell r="K702">
            <v>10</v>
          </cell>
          <cell r="L702" t="str">
            <v>1|46</v>
          </cell>
          <cell r="M702">
            <v>2</v>
          </cell>
          <cell r="N702">
            <v>2</v>
          </cell>
          <cell r="O702">
            <v>2</v>
          </cell>
          <cell r="P702">
            <v>2</v>
          </cell>
          <cell r="Q702">
            <v>12</v>
          </cell>
          <cell r="R702" t="str">
            <v>2|1</v>
          </cell>
          <cell r="S702" t="str">
            <v>2|10</v>
          </cell>
          <cell r="T702">
            <v>10</v>
          </cell>
          <cell r="U702">
            <v>0</v>
          </cell>
          <cell r="V702">
            <v>0</v>
          </cell>
          <cell r="W702" t="str">
            <v>[]</v>
          </cell>
          <cell r="X702">
            <v>0</v>
          </cell>
          <cell r="Y702" t="str">
            <v>[]</v>
          </cell>
          <cell r="Z702" t="str">
            <v>0,0,0</v>
          </cell>
          <cell r="AA702">
            <v>0</v>
          </cell>
          <cell r="AB702" t="str">
            <v>10</v>
          </cell>
          <cell r="AC702" t="str">
            <v>[]</v>
          </cell>
          <cell r="AD702" t="str">
            <v>[]</v>
          </cell>
          <cell r="AE702" t="str">
            <v>[]</v>
          </cell>
          <cell r="AF702" t="str">
            <v>zhongchui</v>
          </cell>
          <cell r="AG702" t="str">
            <v>common_hit_zhongwuqi</v>
          </cell>
          <cell r="AH702" t="str">
            <v>[]</v>
          </cell>
          <cell r="AI702" t="str">
            <v>[]</v>
          </cell>
          <cell r="AJ702" t="str">
            <v>[]</v>
          </cell>
          <cell r="AK702" t="str">
            <v>common_yunxuan</v>
          </cell>
          <cell r="AL702" t="str">
            <v>[]</v>
          </cell>
          <cell r="AM702" t="str">
            <v>[]</v>
          </cell>
          <cell r="AN702">
            <v>2</v>
          </cell>
          <cell r="AO702" t="str">
            <v>1</v>
          </cell>
          <cell r="AP702">
            <v>636</v>
          </cell>
          <cell r="AQ702">
            <v>636</v>
          </cell>
          <cell r="AR702" t="str">
            <v>[]</v>
          </cell>
          <cell r="AS702" t="str">
            <v>[]</v>
          </cell>
          <cell r="AT702" t="str">
            <v>5540</v>
          </cell>
          <cell r="AU702" t="str">
            <v>5540</v>
          </cell>
          <cell r="AV702" t="str">
            <v>重锤</v>
          </cell>
          <cell r="AW702" t="str">
            <v>01</v>
          </cell>
          <cell r="AY702">
            <v>1</v>
          </cell>
          <cell r="BE702"/>
          <cell r="BF702"/>
        </row>
        <row r="703">
          <cell r="A703" t="str">
            <v>boss_jinganghuti_skill01</v>
          </cell>
          <cell r="B703" t="str">
            <v>金刚护体</v>
          </cell>
          <cell r="C703" t="str">
            <v>jinganghuti_skill01</v>
          </cell>
          <cell r="D703" t="str">
            <v>[]</v>
          </cell>
          <cell r="E703">
            <v>0</v>
          </cell>
          <cell r="F703" t="str">
            <v>[]</v>
          </cell>
          <cell r="G703" t="str">
            <v>金刚护体</v>
          </cell>
          <cell r="H703" t="str">
            <v>jinganghuti</v>
          </cell>
          <cell r="I703" t="str">
            <v>jinganghuti</v>
          </cell>
          <cell r="J703">
            <v>0</v>
          </cell>
          <cell r="K703">
            <v>10</v>
          </cell>
          <cell r="L703" t="str">
            <v>1|84</v>
          </cell>
          <cell r="M703">
            <v>2</v>
          </cell>
          <cell r="N703">
            <v>2</v>
          </cell>
          <cell r="O703">
            <v>1</v>
          </cell>
          <cell r="P703">
            <v>4</v>
          </cell>
          <cell r="Q703">
            <v>12</v>
          </cell>
          <cell r="R703">
            <v>3</v>
          </cell>
          <cell r="S703">
            <v>5</v>
          </cell>
          <cell r="T703">
            <v>10</v>
          </cell>
          <cell r="U703">
            <v>1</v>
          </cell>
          <cell r="V703">
            <v>0</v>
          </cell>
          <cell r="W703" t="str">
            <v>[]</v>
          </cell>
          <cell r="X703">
            <v>0</v>
          </cell>
          <cell r="Y703" t="str">
            <v>[]</v>
          </cell>
          <cell r="Z703" t="str">
            <v>0,0,0</v>
          </cell>
          <cell r="AA703">
            <v>0</v>
          </cell>
          <cell r="AB703" t="str">
            <v>10</v>
          </cell>
          <cell r="AC703" t="str">
            <v>[]</v>
          </cell>
          <cell r="AD703" t="str">
            <v>[]</v>
          </cell>
          <cell r="AE703" t="str">
            <v>[]</v>
          </cell>
          <cell r="AF703" t="str">
            <v>jinganghuti</v>
          </cell>
          <cell r="AG703" t="str">
            <v>[]</v>
          </cell>
          <cell r="AH703" t="str">
            <v>[]</v>
          </cell>
          <cell r="AI703" t="str">
            <v>[]</v>
          </cell>
          <cell r="AJ703" t="str">
            <v>[]</v>
          </cell>
          <cell r="AK703" t="str">
            <v>[]</v>
          </cell>
          <cell r="AL703" t="str">
            <v>[]</v>
          </cell>
          <cell r="AM703" t="str">
            <v>[]</v>
          </cell>
          <cell r="AN703">
            <v>2</v>
          </cell>
          <cell r="AO703" t="str">
            <v>1</v>
          </cell>
          <cell r="AP703" t="str">
            <v>[]</v>
          </cell>
          <cell r="AQ703" t="str">
            <v>[]</v>
          </cell>
          <cell r="AR703" t="str">
            <v>[]</v>
          </cell>
          <cell r="AS703" t="str">
            <v>[]</v>
          </cell>
          <cell r="AT703" t="str">
            <v>5550</v>
          </cell>
          <cell r="AU703" t="str">
            <v>5550</v>
          </cell>
          <cell r="AV703" t="str">
            <v>金刚护体</v>
          </cell>
          <cell r="AW703" t="str">
            <v>01</v>
          </cell>
          <cell r="AY703">
            <v>1</v>
          </cell>
          <cell r="BE703"/>
          <cell r="BF703"/>
        </row>
        <row r="704">
          <cell r="A704" t="str">
            <v>boss_dujianyu_skill01</v>
          </cell>
          <cell r="B704" t="str">
            <v>毒箭雨</v>
          </cell>
          <cell r="C704" t="str">
            <v>dujianyu_skill01</v>
          </cell>
          <cell r="D704" t="str">
            <v>[]</v>
          </cell>
          <cell r="E704">
            <v>0</v>
          </cell>
          <cell r="F704" t="str">
            <v>[]</v>
          </cell>
          <cell r="G704" t="str">
            <v>毒箭雨</v>
          </cell>
          <cell r="H704" t="str">
            <v>dujianyu</v>
          </cell>
          <cell r="I704" t="str">
            <v>dujianyu</v>
          </cell>
          <cell r="J704">
            <v>0</v>
          </cell>
          <cell r="K704">
            <v>10</v>
          </cell>
          <cell r="L704" t="str">
            <v>1|56</v>
          </cell>
          <cell r="M704">
            <v>2</v>
          </cell>
          <cell r="N704">
            <v>2</v>
          </cell>
          <cell r="O704">
            <v>2</v>
          </cell>
          <cell r="P704">
            <v>2</v>
          </cell>
          <cell r="Q704">
            <v>12</v>
          </cell>
          <cell r="R704" t="str">
            <v>2|1</v>
          </cell>
          <cell r="S704" t="str">
            <v>2|10</v>
          </cell>
          <cell r="T704">
            <v>10</v>
          </cell>
          <cell r="U704">
            <v>0</v>
          </cell>
          <cell r="V704">
            <v>0</v>
          </cell>
          <cell r="W704" t="str">
            <v>[]</v>
          </cell>
          <cell r="X704">
            <v>0</v>
          </cell>
          <cell r="Y704" t="str">
            <v>[]</v>
          </cell>
          <cell r="Z704" t="str">
            <v>0,0,0</v>
          </cell>
          <cell r="AA704">
            <v>0</v>
          </cell>
          <cell r="AB704" t="str">
            <v>10</v>
          </cell>
          <cell r="AC704" t="str">
            <v>[]</v>
          </cell>
          <cell r="AD704" t="str">
            <v>[]</v>
          </cell>
          <cell r="AE704" t="str">
            <v>[]</v>
          </cell>
          <cell r="AF704" t="str">
            <v>dujianyu</v>
          </cell>
          <cell r="AG704" t="str">
            <v>common_hit_fashu</v>
          </cell>
          <cell r="AH704" t="str">
            <v>[]</v>
          </cell>
          <cell r="AI704" t="str">
            <v>[]</v>
          </cell>
          <cell r="AJ704" t="str">
            <v>[]</v>
          </cell>
          <cell r="AK704" t="str">
            <v>[]</v>
          </cell>
          <cell r="AL704" t="str">
            <v>[]</v>
          </cell>
          <cell r="AM704" t="str">
            <v>[]</v>
          </cell>
          <cell r="AN704">
            <v>2</v>
          </cell>
          <cell r="AO704" t="str">
            <v>1</v>
          </cell>
          <cell r="AP704">
            <v>636</v>
          </cell>
          <cell r="AQ704">
            <v>636</v>
          </cell>
          <cell r="AR704" t="str">
            <v>[]</v>
          </cell>
          <cell r="AS704" t="str">
            <v>[]</v>
          </cell>
          <cell r="AT704" t="str">
            <v>5610</v>
          </cell>
          <cell r="AU704" t="str">
            <v>5610</v>
          </cell>
          <cell r="AV704" t="str">
            <v>毒箭雨</v>
          </cell>
          <cell r="AW704" t="str">
            <v>01</v>
          </cell>
          <cell r="AY704">
            <v>1</v>
          </cell>
          <cell r="BE704"/>
          <cell r="BF704"/>
        </row>
        <row r="705">
          <cell r="A705" t="str">
            <v>boss_xianlingzhufu_skill01</v>
          </cell>
          <cell r="B705" t="str">
            <v>仙灵祝福</v>
          </cell>
          <cell r="C705" t="str">
            <v>xianlingzhufu_skill01</v>
          </cell>
          <cell r="D705" t="str">
            <v>[]</v>
          </cell>
          <cell r="E705">
            <v>0</v>
          </cell>
          <cell r="F705" t="str">
            <v>[]</v>
          </cell>
          <cell r="G705" t="str">
            <v>仙灵祝福</v>
          </cell>
          <cell r="H705" t="str">
            <v>xianlingzhufu</v>
          </cell>
          <cell r="I705" t="str">
            <v>xianlingzhufu</v>
          </cell>
          <cell r="J705">
            <v>0</v>
          </cell>
          <cell r="K705">
            <v>10</v>
          </cell>
          <cell r="L705" t="str">
            <v>1|62</v>
          </cell>
          <cell r="M705">
            <v>2</v>
          </cell>
          <cell r="N705">
            <v>2</v>
          </cell>
          <cell r="O705">
            <v>2</v>
          </cell>
          <cell r="P705">
            <v>4</v>
          </cell>
          <cell r="Q705">
            <v>12</v>
          </cell>
          <cell r="R705">
            <v>3</v>
          </cell>
          <cell r="S705">
            <v>5</v>
          </cell>
          <cell r="T705">
            <v>10</v>
          </cell>
          <cell r="U705">
            <v>0</v>
          </cell>
          <cell r="V705">
            <v>0</v>
          </cell>
          <cell r="W705" t="str">
            <v>[]</v>
          </cell>
          <cell r="X705">
            <v>0</v>
          </cell>
          <cell r="Y705" t="str">
            <v>[]</v>
          </cell>
          <cell r="Z705" t="str">
            <v>0,0,0</v>
          </cell>
          <cell r="AA705">
            <v>0</v>
          </cell>
          <cell r="AB705" t="str">
            <v>10</v>
          </cell>
          <cell r="AC705" t="str">
            <v>[]</v>
          </cell>
          <cell r="AD705" t="str">
            <v>[]</v>
          </cell>
          <cell r="AE705" t="str">
            <v>[]</v>
          </cell>
          <cell r="AF705" t="str">
            <v>mu_furongxianzi_skill01</v>
          </cell>
          <cell r="AG705" t="str">
            <v>[]</v>
          </cell>
          <cell r="AH705" t="str">
            <v>[]</v>
          </cell>
          <cell r="AI705" t="str">
            <v>[]</v>
          </cell>
          <cell r="AJ705" t="str">
            <v>[]</v>
          </cell>
          <cell r="AK705" t="str">
            <v>[]</v>
          </cell>
          <cell r="AL705" t="str">
            <v>[]</v>
          </cell>
          <cell r="AM705" t="str">
            <v>[]</v>
          </cell>
          <cell r="AN705">
            <v>2</v>
          </cell>
          <cell r="AO705" t="str">
            <v>1</v>
          </cell>
          <cell r="AP705" t="str">
            <v>[]</v>
          </cell>
          <cell r="AQ705" t="str">
            <v>[]</v>
          </cell>
          <cell r="AR705" t="str">
            <v>[]</v>
          </cell>
          <cell r="AS705" t="str">
            <v>[]</v>
          </cell>
          <cell r="AT705" t="str">
            <v>5620</v>
          </cell>
          <cell r="AU705" t="str">
            <v>5620</v>
          </cell>
          <cell r="AV705" t="str">
            <v>仙灵祝福</v>
          </cell>
          <cell r="AW705" t="str">
            <v>01</v>
          </cell>
          <cell r="AY705">
            <v>1</v>
          </cell>
          <cell r="BE705"/>
          <cell r="BF705"/>
        </row>
        <row r="706">
          <cell r="A706" t="str">
            <v>boss_zhangqidutan_skill01</v>
          </cell>
          <cell r="B706" t="str">
            <v>瘴气毒潭</v>
          </cell>
          <cell r="C706" t="str">
            <v>zhangqidutan_skill01</v>
          </cell>
          <cell r="D706" t="str">
            <v>[]</v>
          </cell>
          <cell r="E706">
            <v>0</v>
          </cell>
          <cell r="F706" t="str">
            <v>[]</v>
          </cell>
          <cell r="G706" t="str">
            <v>瘴气毒潭</v>
          </cell>
          <cell r="H706" t="str">
            <v>zhangqidutan</v>
          </cell>
          <cell r="I706" t="str">
            <v>zhangqidutan</v>
          </cell>
          <cell r="J706">
            <v>0</v>
          </cell>
          <cell r="K706">
            <v>10</v>
          </cell>
          <cell r="L706" t="str">
            <v>1|47</v>
          </cell>
          <cell r="M706">
            <v>2</v>
          </cell>
          <cell r="N706">
            <v>2</v>
          </cell>
          <cell r="O706">
            <v>2</v>
          </cell>
          <cell r="P706">
            <v>2</v>
          </cell>
          <cell r="Q706">
            <v>12</v>
          </cell>
          <cell r="R706" t="str">
            <v>2|1</v>
          </cell>
          <cell r="S706" t="str">
            <v>2|5</v>
          </cell>
          <cell r="T706">
            <v>10</v>
          </cell>
          <cell r="U706">
            <v>0</v>
          </cell>
          <cell r="V706">
            <v>0</v>
          </cell>
          <cell r="W706" t="str">
            <v>[]</v>
          </cell>
          <cell r="X706">
            <v>0</v>
          </cell>
          <cell r="Y706" t="str">
            <v>[]</v>
          </cell>
          <cell r="Z706" t="str">
            <v>0,0,0</v>
          </cell>
          <cell r="AA706">
            <v>0</v>
          </cell>
          <cell r="AB706" t="str">
            <v>10</v>
          </cell>
          <cell r="AC706" t="str">
            <v>[]</v>
          </cell>
          <cell r="AD706" t="str">
            <v>[]</v>
          </cell>
          <cell r="AE706" t="str">
            <v>[]</v>
          </cell>
          <cell r="AF706" t="str">
            <v>zhangqidutan</v>
          </cell>
          <cell r="AG706" t="str">
            <v>common_hit_fashu</v>
          </cell>
          <cell r="AH706" t="str">
            <v>[]</v>
          </cell>
          <cell r="AI706" t="str">
            <v>[]</v>
          </cell>
          <cell r="AJ706" t="str">
            <v>[]</v>
          </cell>
          <cell r="AK706" t="str">
            <v>[]</v>
          </cell>
          <cell r="AL706" t="str">
            <v>[]</v>
          </cell>
          <cell r="AM706" t="str">
            <v>[]</v>
          </cell>
          <cell r="AN706">
            <v>2</v>
          </cell>
          <cell r="AO706" t="str">
            <v>1</v>
          </cell>
          <cell r="AP706">
            <v>636</v>
          </cell>
          <cell r="AQ706">
            <v>636</v>
          </cell>
          <cell r="AR706" t="str">
            <v>[]</v>
          </cell>
          <cell r="AS706" t="str">
            <v>[]</v>
          </cell>
          <cell r="AT706" t="str">
            <v>5630</v>
          </cell>
          <cell r="AU706" t="str">
            <v>5630</v>
          </cell>
          <cell r="AV706" t="str">
            <v>瘴气毒潭</v>
          </cell>
          <cell r="AW706" t="str">
            <v>01</v>
          </cell>
          <cell r="AY706">
            <v>1</v>
          </cell>
          <cell r="BE706"/>
          <cell r="BF706"/>
        </row>
        <row r="707">
          <cell r="A707" t="str">
            <v>boss_yingyan_skill01</v>
          </cell>
          <cell r="B707" t="str">
            <v>鹰眼</v>
          </cell>
          <cell r="C707" t="str">
            <v>yingyan_skill01</v>
          </cell>
          <cell r="D707" t="str">
            <v>[]</v>
          </cell>
          <cell r="E707">
            <v>0</v>
          </cell>
          <cell r="F707" t="str">
            <v>[]</v>
          </cell>
          <cell r="G707" t="str">
            <v>鹰眼</v>
          </cell>
          <cell r="H707" t="str">
            <v>yingyan</v>
          </cell>
          <cell r="I707" t="str">
            <v>yingyan</v>
          </cell>
          <cell r="J707">
            <v>0</v>
          </cell>
          <cell r="K707">
            <v>10</v>
          </cell>
          <cell r="L707" t="str">
            <v>1|70</v>
          </cell>
          <cell r="M707">
            <v>2</v>
          </cell>
          <cell r="N707">
            <v>2</v>
          </cell>
          <cell r="O707">
            <v>2</v>
          </cell>
          <cell r="P707">
            <v>4</v>
          </cell>
          <cell r="Q707">
            <v>12</v>
          </cell>
          <cell r="R707">
            <v>3</v>
          </cell>
          <cell r="S707">
            <v>5</v>
          </cell>
          <cell r="T707">
            <v>10</v>
          </cell>
          <cell r="U707">
            <v>0</v>
          </cell>
          <cell r="V707">
            <v>0</v>
          </cell>
          <cell r="W707" t="str">
            <v>[]</v>
          </cell>
          <cell r="X707">
            <v>0</v>
          </cell>
          <cell r="Y707" t="str">
            <v>[]</v>
          </cell>
          <cell r="Z707" t="str">
            <v>0,0,0</v>
          </cell>
          <cell r="AA707">
            <v>0</v>
          </cell>
          <cell r="AB707" t="str">
            <v>10</v>
          </cell>
          <cell r="AC707" t="str">
            <v>[]</v>
          </cell>
          <cell r="AD707" t="str">
            <v>[]</v>
          </cell>
          <cell r="AE707" t="str">
            <v>[]</v>
          </cell>
          <cell r="AF707" t="str">
            <v>yingyan</v>
          </cell>
          <cell r="AG707" t="str">
            <v>[]</v>
          </cell>
          <cell r="AH707" t="str">
            <v>[]</v>
          </cell>
          <cell r="AI707" t="str">
            <v>[]</v>
          </cell>
          <cell r="AJ707" t="str">
            <v>[]</v>
          </cell>
          <cell r="AK707" t="str">
            <v>[]</v>
          </cell>
          <cell r="AL707" t="str">
            <v>[]</v>
          </cell>
          <cell r="AM707" t="str">
            <v>[]</v>
          </cell>
          <cell r="AN707">
            <v>2</v>
          </cell>
          <cell r="AO707" t="str">
            <v>1</v>
          </cell>
          <cell r="AP707" t="str">
            <v>[]</v>
          </cell>
          <cell r="AQ707" t="str">
            <v>[]</v>
          </cell>
          <cell r="AR707" t="str">
            <v>[]</v>
          </cell>
          <cell r="AS707" t="str">
            <v>[]</v>
          </cell>
          <cell r="AT707" t="str">
            <v>5640</v>
          </cell>
          <cell r="AU707" t="str">
            <v>5640</v>
          </cell>
          <cell r="AV707" t="str">
            <v>鹰眼</v>
          </cell>
          <cell r="AW707" t="str">
            <v>01</v>
          </cell>
          <cell r="AY707">
            <v>1</v>
          </cell>
          <cell r="BE707"/>
          <cell r="BF707"/>
        </row>
        <row r="708">
          <cell r="A708" t="str">
            <v>boss_duchi_skill01</v>
          </cell>
          <cell r="B708" t="str">
            <v>毒池</v>
          </cell>
          <cell r="C708" t="str">
            <v>duchi_skill01</v>
          </cell>
          <cell r="D708" t="str">
            <v>[]</v>
          </cell>
          <cell r="E708">
            <v>0</v>
          </cell>
          <cell r="F708" t="str">
            <v>[]</v>
          </cell>
          <cell r="G708" t="str">
            <v>毒池</v>
          </cell>
          <cell r="H708" t="str">
            <v>duchi</v>
          </cell>
          <cell r="I708" t="str">
            <v>duchi</v>
          </cell>
          <cell r="J708">
            <v>0</v>
          </cell>
          <cell r="K708">
            <v>10</v>
          </cell>
          <cell r="L708" t="str">
            <v>1|90</v>
          </cell>
          <cell r="M708">
            <v>2</v>
          </cell>
          <cell r="N708">
            <v>2</v>
          </cell>
          <cell r="O708">
            <v>2</v>
          </cell>
          <cell r="P708">
            <v>2</v>
          </cell>
          <cell r="Q708">
            <v>12</v>
          </cell>
          <cell r="R708" t="str">
            <v>2|1</v>
          </cell>
          <cell r="S708" t="str">
            <v>2|10</v>
          </cell>
          <cell r="T708">
            <v>10</v>
          </cell>
          <cell r="U708">
            <v>0</v>
          </cell>
          <cell r="V708">
            <v>0</v>
          </cell>
          <cell r="W708" t="str">
            <v>[]</v>
          </cell>
          <cell r="X708">
            <v>0</v>
          </cell>
          <cell r="Y708" t="str">
            <v>[]</v>
          </cell>
          <cell r="Z708" t="str">
            <v>0,0,0</v>
          </cell>
          <cell r="AA708">
            <v>0</v>
          </cell>
          <cell r="AB708" t="str">
            <v>10</v>
          </cell>
          <cell r="AC708" t="str">
            <v>[]</v>
          </cell>
          <cell r="AD708" t="str">
            <v>[]</v>
          </cell>
          <cell r="AE708" t="str">
            <v>[]</v>
          </cell>
          <cell r="AF708" t="str">
            <v>duci</v>
          </cell>
          <cell r="AG708" t="str">
            <v>common_hit_fashu</v>
          </cell>
          <cell r="AH708" t="str">
            <v>[]</v>
          </cell>
          <cell r="AI708" t="str">
            <v>[]</v>
          </cell>
          <cell r="AJ708" t="str">
            <v>[]</v>
          </cell>
          <cell r="AK708" t="str">
            <v>[]</v>
          </cell>
          <cell r="AL708" t="str">
            <v>[]</v>
          </cell>
          <cell r="AM708" t="str">
            <v>[]</v>
          </cell>
          <cell r="AN708">
            <v>2</v>
          </cell>
          <cell r="AO708" t="str">
            <v>1</v>
          </cell>
          <cell r="AP708">
            <v>636</v>
          </cell>
          <cell r="AQ708">
            <v>636</v>
          </cell>
          <cell r="AR708" t="str">
            <v>[]</v>
          </cell>
          <cell r="AS708" t="str">
            <v>[]</v>
          </cell>
          <cell r="AT708" t="str">
            <v>5650</v>
          </cell>
          <cell r="AU708" t="str">
            <v>5650</v>
          </cell>
          <cell r="AV708" t="str">
            <v>毒池</v>
          </cell>
          <cell r="AW708" t="str">
            <v>01</v>
          </cell>
          <cell r="AY708">
            <v>1</v>
          </cell>
          <cell r="BE708"/>
          <cell r="BF708"/>
        </row>
        <row r="709">
          <cell r="A709" t="str">
            <v>boss_baofengxue_skill01</v>
          </cell>
          <cell r="B709" t="str">
            <v>暴风雪</v>
          </cell>
          <cell r="C709" t="str">
            <v>baofengxue_skill01</v>
          </cell>
          <cell r="D709" t="str">
            <v>[]</v>
          </cell>
          <cell r="E709">
            <v>0</v>
          </cell>
          <cell r="F709" t="str">
            <v>[]</v>
          </cell>
          <cell r="G709" t="str">
            <v>暴风雪</v>
          </cell>
          <cell r="H709" t="str">
            <v>baofengxue</v>
          </cell>
          <cell r="I709" t="str">
            <v>baofengxue</v>
          </cell>
          <cell r="J709">
            <v>0</v>
          </cell>
          <cell r="K709">
            <v>10</v>
          </cell>
          <cell r="L709" t="str">
            <v>1|65</v>
          </cell>
          <cell r="M709">
            <v>2</v>
          </cell>
          <cell r="N709">
            <v>2</v>
          </cell>
          <cell r="O709">
            <v>2</v>
          </cell>
          <cell r="P709">
            <v>2</v>
          </cell>
          <cell r="Q709">
            <v>12</v>
          </cell>
          <cell r="R709" t="str">
            <v>2|1</v>
          </cell>
          <cell r="S709" t="str">
            <v>2|10</v>
          </cell>
          <cell r="T709">
            <v>10</v>
          </cell>
          <cell r="U709">
            <v>0</v>
          </cell>
          <cell r="V709">
            <v>0</v>
          </cell>
          <cell r="W709" t="str">
            <v>[]</v>
          </cell>
          <cell r="X709">
            <v>0</v>
          </cell>
          <cell r="Y709" t="str">
            <v>[]</v>
          </cell>
          <cell r="Z709" t="str">
            <v>0,0,0</v>
          </cell>
          <cell r="AA709">
            <v>0</v>
          </cell>
          <cell r="AB709" t="str">
            <v>10</v>
          </cell>
          <cell r="AC709" t="str">
            <v>[]</v>
          </cell>
          <cell r="AD709" t="str">
            <v>[]</v>
          </cell>
          <cell r="AE709" t="str">
            <v>[]</v>
          </cell>
          <cell r="AF709" t="str">
            <v>baofengxue</v>
          </cell>
          <cell r="AG709" t="str">
            <v>common_hit_fashu</v>
          </cell>
          <cell r="AH709" t="str">
            <v>[]</v>
          </cell>
          <cell r="AI709" t="str">
            <v>[]</v>
          </cell>
          <cell r="AJ709" t="str">
            <v>baofengxue_zhenping</v>
          </cell>
          <cell r="AK709" t="str">
            <v>[]</v>
          </cell>
          <cell r="AL709" t="str">
            <v>[]</v>
          </cell>
          <cell r="AM709" t="str">
            <v>[]</v>
          </cell>
          <cell r="AN709">
            <v>2</v>
          </cell>
          <cell r="AO709" t="str">
            <v>1</v>
          </cell>
          <cell r="AP709">
            <v>636</v>
          </cell>
          <cell r="AQ709">
            <v>636</v>
          </cell>
          <cell r="AR709" t="str">
            <v>[]</v>
          </cell>
          <cell r="AS709" t="str">
            <v>[]</v>
          </cell>
          <cell r="AT709" t="str">
            <v>5710</v>
          </cell>
          <cell r="AU709" t="str">
            <v>5710</v>
          </cell>
          <cell r="AV709" t="str">
            <v>暴风雪</v>
          </cell>
          <cell r="AW709" t="str">
            <v>01</v>
          </cell>
          <cell r="AY709">
            <v>1</v>
          </cell>
          <cell r="BE709"/>
          <cell r="BF709"/>
        </row>
        <row r="710">
          <cell r="A710" t="str">
            <v>boss_bingbao_skill01</v>
          </cell>
          <cell r="B710" t="str">
            <v>冰爆</v>
          </cell>
          <cell r="C710" t="str">
            <v>bingbao_skill01</v>
          </cell>
          <cell r="D710" t="str">
            <v>[]</v>
          </cell>
          <cell r="E710">
            <v>0</v>
          </cell>
          <cell r="F710" t="str">
            <v>[]</v>
          </cell>
          <cell r="G710" t="str">
            <v>冰爆</v>
          </cell>
          <cell r="H710" t="str">
            <v>bingbao</v>
          </cell>
          <cell r="I710" t="str">
            <v>bingbao</v>
          </cell>
          <cell r="J710">
            <v>0</v>
          </cell>
          <cell r="K710">
            <v>10</v>
          </cell>
          <cell r="L710" t="str">
            <v>1|50</v>
          </cell>
          <cell r="M710">
            <v>2</v>
          </cell>
          <cell r="N710">
            <v>2</v>
          </cell>
          <cell r="O710">
            <v>2</v>
          </cell>
          <cell r="P710">
            <v>2</v>
          </cell>
          <cell r="Q710">
            <v>12</v>
          </cell>
          <cell r="R710" t="str">
            <v>2|1</v>
          </cell>
          <cell r="S710" t="str">
            <v>2|10</v>
          </cell>
          <cell r="T710">
            <v>10</v>
          </cell>
          <cell r="U710">
            <v>0</v>
          </cell>
          <cell r="V710">
            <v>0</v>
          </cell>
          <cell r="W710" t="str">
            <v>[]</v>
          </cell>
          <cell r="X710">
            <v>0</v>
          </cell>
          <cell r="Y710" t="str">
            <v>[]</v>
          </cell>
          <cell r="Z710" t="str">
            <v>0,0,0</v>
          </cell>
          <cell r="AA710">
            <v>0</v>
          </cell>
          <cell r="AB710" t="str">
            <v>10</v>
          </cell>
          <cell r="AC710" t="str">
            <v>[]</v>
          </cell>
          <cell r="AD710" t="str">
            <v>[]</v>
          </cell>
          <cell r="AE710" t="str">
            <v>[]</v>
          </cell>
          <cell r="AF710" t="str">
            <v>bingbao</v>
          </cell>
          <cell r="AG710" t="str">
            <v>common_hit_fashu</v>
          </cell>
          <cell r="AH710" t="str">
            <v>[]</v>
          </cell>
          <cell r="AI710" t="str">
            <v>[]</v>
          </cell>
          <cell r="AJ710" t="str">
            <v>bingbao_zhenping</v>
          </cell>
          <cell r="AK710" t="str">
            <v>[]</v>
          </cell>
          <cell r="AL710" t="str">
            <v>[]</v>
          </cell>
          <cell r="AM710" t="str">
            <v>[]</v>
          </cell>
          <cell r="AN710">
            <v>2</v>
          </cell>
          <cell r="AO710" t="str">
            <v>1</v>
          </cell>
          <cell r="AP710">
            <v>636</v>
          </cell>
          <cell r="AQ710">
            <v>636</v>
          </cell>
          <cell r="AR710" t="str">
            <v>[]</v>
          </cell>
          <cell r="AS710" t="str">
            <v>[]</v>
          </cell>
          <cell r="AT710" t="str">
            <v>5720</v>
          </cell>
          <cell r="AU710" t="str">
            <v>5720</v>
          </cell>
          <cell r="AV710" t="str">
            <v>冰爆</v>
          </cell>
          <cell r="AW710" t="str">
            <v>01</v>
          </cell>
          <cell r="AY710">
            <v>1</v>
          </cell>
          <cell r="BE710"/>
          <cell r="BF710"/>
        </row>
        <row r="711">
          <cell r="A711" t="str">
            <v>boss_huoguangqusan_skill01</v>
          </cell>
          <cell r="B711" t="str">
            <v>火光驱散</v>
          </cell>
          <cell r="C711" t="str">
            <v>huoguangqusan_skill01</v>
          </cell>
          <cell r="D711" t="str">
            <v>[]</v>
          </cell>
          <cell r="E711">
            <v>0</v>
          </cell>
          <cell r="F711" t="str">
            <v>[]</v>
          </cell>
          <cell r="G711" t="str">
            <v>火光驱散</v>
          </cell>
          <cell r="H711" t="str">
            <v>huoguangqusan</v>
          </cell>
          <cell r="I711" t="str">
            <v>huoguangqusan</v>
          </cell>
          <cell r="J711">
            <v>0</v>
          </cell>
          <cell r="K711">
            <v>10</v>
          </cell>
          <cell r="L711" t="str">
            <v>1|53</v>
          </cell>
          <cell r="M711">
            <v>2</v>
          </cell>
          <cell r="N711">
            <v>2</v>
          </cell>
          <cell r="O711">
            <v>1</v>
          </cell>
          <cell r="P711">
            <v>3</v>
          </cell>
          <cell r="Q711">
            <v>12</v>
          </cell>
          <cell r="R711" t="str">
            <v>2|1</v>
          </cell>
          <cell r="S711" t="str">
            <v>1|0.5|4</v>
          </cell>
          <cell r="T711">
            <v>10</v>
          </cell>
          <cell r="U711">
            <v>1</v>
          </cell>
          <cell r="V711">
            <v>0</v>
          </cell>
          <cell r="W711" t="str">
            <v>[]</v>
          </cell>
          <cell r="X711">
            <v>0</v>
          </cell>
          <cell r="Y711" t="str">
            <v>[]</v>
          </cell>
          <cell r="Z711" t="str">
            <v>0,0,0</v>
          </cell>
          <cell r="AA711">
            <v>0</v>
          </cell>
          <cell r="AB711" t="str">
            <v>10</v>
          </cell>
          <cell r="AC711" t="str">
            <v>[]</v>
          </cell>
          <cell r="AD711" t="str">
            <v>[]</v>
          </cell>
          <cell r="AE711" t="str">
            <v>[]</v>
          </cell>
          <cell r="AF711" t="str">
            <v>huoguang</v>
          </cell>
          <cell r="AG711" t="str">
            <v>common_hit_zhongwuqi</v>
          </cell>
          <cell r="AH711" t="str">
            <v>[]</v>
          </cell>
          <cell r="AI711" t="str">
            <v>[]</v>
          </cell>
          <cell r="AJ711" t="str">
            <v>[]</v>
          </cell>
          <cell r="AK711" t="str">
            <v>[]</v>
          </cell>
          <cell r="AL711" t="str">
            <v>[]</v>
          </cell>
          <cell r="AM711" t="str">
            <v>[]</v>
          </cell>
          <cell r="AN711">
            <v>2</v>
          </cell>
          <cell r="AO711" t="str">
            <v>1</v>
          </cell>
          <cell r="AP711">
            <v>636</v>
          </cell>
          <cell r="AQ711">
            <v>636</v>
          </cell>
          <cell r="AR711" t="str">
            <v>[]</v>
          </cell>
          <cell r="AS711" t="str">
            <v>[]</v>
          </cell>
          <cell r="AT711" t="str">
            <v>5730</v>
          </cell>
          <cell r="AU711" t="str">
            <v>5730</v>
          </cell>
          <cell r="AV711" t="str">
            <v>火光驱散</v>
          </cell>
          <cell r="AW711" t="str">
            <v>01</v>
          </cell>
          <cell r="AY711">
            <v>1</v>
          </cell>
          <cell r="BE711"/>
          <cell r="BF711"/>
        </row>
        <row r="712">
          <cell r="A712" t="str">
            <v>boss_shengguangshuiyu_skill01</v>
          </cell>
          <cell r="B712" t="str">
            <v>圣光水域</v>
          </cell>
          <cell r="C712" t="str">
            <v>shengguangshuiyu_skill01</v>
          </cell>
          <cell r="D712" t="str">
            <v>[]</v>
          </cell>
          <cell r="E712">
            <v>0</v>
          </cell>
          <cell r="F712" t="str">
            <v>[]</v>
          </cell>
          <cell r="G712" t="str">
            <v>圣光水域</v>
          </cell>
          <cell r="H712" t="str">
            <v>shengguangshuiyu</v>
          </cell>
          <cell r="I712" t="str">
            <v>shengguangshuiyu</v>
          </cell>
          <cell r="J712">
            <v>0</v>
          </cell>
          <cell r="K712">
            <v>10</v>
          </cell>
          <cell r="L712" t="str">
            <v>1|63</v>
          </cell>
          <cell r="M712">
            <v>2</v>
          </cell>
          <cell r="N712">
            <v>2</v>
          </cell>
          <cell r="O712">
            <v>2</v>
          </cell>
          <cell r="P712">
            <v>4</v>
          </cell>
          <cell r="Q712">
            <v>4</v>
          </cell>
          <cell r="R712">
            <v>3</v>
          </cell>
          <cell r="S712">
            <v>5</v>
          </cell>
          <cell r="T712">
            <v>10</v>
          </cell>
          <cell r="U712">
            <v>0</v>
          </cell>
          <cell r="V712">
            <v>0</v>
          </cell>
          <cell r="W712" t="str">
            <v>[]</v>
          </cell>
          <cell r="X712">
            <v>0</v>
          </cell>
          <cell r="Y712" t="str">
            <v>[]</v>
          </cell>
          <cell r="Z712" t="str">
            <v>0,0,0</v>
          </cell>
          <cell r="AA712">
            <v>0</v>
          </cell>
          <cell r="AB712" t="str">
            <v>10</v>
          </cell>
          <cell r="AC712" t="str">
            <v>[]</v>
          </cell>
          <cell r="AD712" t="str">
            <v>[]</v>
          </cell>
          <cell r="AE712" t="str">
            <v>[]</v>
          </cell>
          <cell r="AF712" t="str">
            <v>shengguangshuiyu</v>
          </cell>
          <cell r="AG712" t="str">
            <v>respond_hp</v>
          </cell>
          <cell r="AH712" t="str">
            <v>[]</v>
          </cell>
          <cell r="AI712" t="str">
            <v>[]</v>
          </cell>
          <cell r="AJ712" t="str">
            <v>[]</v>
          </cell>
          <cell r="AK712" t="str">
            <v>[]</v>
          </cell>
          <cell r="AL712" t="str">
            <v>[]</v>
          </cell>
          <cell r="AM712" t="str">
            <v>[]</v>
          </cell>
          <cell r="AN712">
            <v>2</v>
          </cell>
          <cell r="AO712" t="str">
            <v>1</v>
          </cell>
          <cell r="AP712" t="str">
            <v>[]</v>
          </cell>
          <cell r="AQ712" t="str">
            <v>[]</v>
          </cell>
          <cell r="AR712" t="str">
            <v>[]</v>
          </cell>
          <cell r="AS712" t="str">
            <v>[]</v>
          </cell>
          <cell r="AT712" t="str">
            <v>5740</v>
          </cell>
          <cell r="AU712" t="str">
            <v>5740</v>
          </cell>
          <cell r="AV712" t="str">
            <v>圣光水域</v>
          </cell>
          <cell r="AW712" t="str">
            <v>01</v>
          </cell>
          <cell r="AY712">
            <v>1</v>
          </cell>
          <cell r="BE712"/>
          <cell r="BF712"/>
        </row>
        <row r="713">
          <cell r="A713" t="str">
            <v>boss_shuiwuqinshi_skill01</v>
          </cell>
          <cell r="B713" t="str">
            <v>水雾侵蚀</v>
          </cell>
          <cell r="C713" t="str">
            <v>shuiwuqinshi_skill01</v>
          </cell>
          <cell r="D713" t="str">
            <v>[]</v>
          </cell>
          <cell r="E713">
            <v>0</v>
          </cell>
          <cell r="F713" t="str">
            <v>[]</v>
          </cell>
          <cell r="G713" t="str">
            <v>水雾侵蚀</v>
          </cell>
          <cell r="H713" t="str">
            <v>shuiwuqinshi</v>
          </cell>
          <cell r="I713" t="str">
            <v>shuiwuqinshi</v>
          </cell>
          <cell r="J713">
            <v>0</v>
          </cell>
          <cell r="K713">
            <v>10</v>
          </cell>
          <cell r="L713" t="str">
            <v>1|81</v>
          </cell>
          <cell r="M713">
            <v>2</v>
          </cell>
          <cell r="N713">
            <v>2</v>
          </cell>
          <cell r="O713">
            <v>2</v>
          </cell>
          <cell r="P713">
            <v>4</v>
          </cell>
          <cell r="Q713">
            <v>12</v>
          </cell>
          <cell r="R713" t="str">
            <v>2|1</v>
          </cell>
          <cell r="S713" t="str">
            <v>2|10</v>
          </cell>
          <cell r="T713">
            <v>10</v>
          </cell>
          <cell r="U713">
            <v>0</v>
          </cell>
          <cell r="V713">
            <v>0</v>
          </cell>
          <cell r="W713" t="str">
            <v>[]</v>
          </cell>
          <cell r="X713">
            <v>0</v>
          </cell>
          <cell r="Y713" t="str">
            <v>[]</v>
          </cell>
          <cell r="Z713" t="str">
            <v>0,0,0</v>
          </cell>
          <cell r="AA713">
            <v>0</v>
          </cell>
          <cell r="AB713" t="str">
            <v>10</v>
          </cell>
          <cell r="AC713" t="str">
            <v>[]</v>
          </cell>
          <cell r="AD713" t="str">
            <v>[]</v>
          </cell>
          <cell r="AE713" t="str">
            <v>[]</v>
          </cell>
          <cell r="AF713" t="str">
            <v>shuiwuqinshi</v>
          </cell>
          <cell r="AG713" t="str">
            <v>[]</v>
          </cell>
          <cell r="AH713" t="str">
            <v>[]</v>
          </cell>
          <cell r="AI713" t="str">
            <v>[]</v>
          </cell>
          <cell r="AJ713" t="str">
            <v>[]</v>
          </cell>
          <cell r="AK713" t="str">
            <v>[]</v>
          </cell>
          <cell r="AL713" t="str">
            <v>[]</v>
          </cell>
          <cell r="AM713" t="str">
            <v>[]</v>
          </cell>
          <cell r="AN713">
            <v>2</v>
          </cell>
          <cell r="AO713" t="str">
            <v>1</v>
          </cell>
          <cell r="AP713" t="str">
            <v>[]</v>
          </cell>
          <cell r="AQ713" t="str">
            <v>[]</v>
          </cell>
          <cell r="AR713" t="str">
            <v>[]</v>
          </cell>
          <cell r="AS713" t="str">
            <v>[]</v>
          </cell>
          <cell r="AT713" t="str">
            <v>5753</v>
          </cell>
          <cell r="AU713" t="str">
            <v>5753</v>
          </cell>
          <cell r="AV713" t="str">
            <v>水雾侵蚀</v>
          </cell>
          <cell r="AW713" t="str">
            <v>01</v>
          </cell>
          <cell r="AY713">
            <v>1</v>
          </cell>
          <cell r="BE713"/>
          <cell r="BF713"/>
        </row>
        <row r="714">
          <cell r="A714" t="str">
            <v>boss_huoniao_skill01</v>
          </cell>
          <cell r="B714" t="str">
            <v>火鸟</v>
          </cell>
          <cell r="C714" t="str">
            <v>huoniao_skill01</v>
          </cell>
          <cell r="D714" t="str">
            <v>[]</v>
          </cell>
          <cell r="E714">
            <v>0</v>
          </cell>
          <cell r="F714" t="str">
            <v>[]</v>
          </cell>
          <cell r="G714" t="str">
            <v>火鸟</v>
          </cell>
          <cell r="H714" t="str">
            <v>huoniao</v>
          </cell>
          <cell r="I714" t="str">
            <v>huoniao</v>
          </cell>
          <cell r="J714">
            <v>0</v>
          </cell>
          <cell r="K714">
            <v>10</v>
          </cell>
          <cell r="L714" t="str">
            <v>1|42</v>
          </cell>
          <cell r="M714">
            <v>2</v>
          </cell>
          <cell r="N714">
            <v>2</v>
          </cell>
          <cell r="O714">
            <v>1</v>
          </cell>
          <cell r="P714">
            <v>2</v>
          </cell>
          <cell r="Q714">
            <v>12</v>
          </cell>
          <cell r="R714" t="str">
            <v>2|1</v>
          </cell>
          <cell r="S714" t="str">
            <v>3|12|60</v>
          </cell>
          <cell r="T714">
            <v>10</v>
          </cell>
          <cell r="U714">
            <v>1</v>
          </cell>
          <cell r="V714">
            <v>0</v>
          </cell>
          <cell r="W714" t="str">
            <v>[]</v>
          </cell>
          <cell r="X714">
            <v>0</v>
          </cell>
          <cell r="Y714" t="str">
            <v>[]</v>
          </cell>
          <cell r="Z714" t="str">
            <v>0,0,0</v>
          </cell>
          <cell r="AA714">
            <v>0</v>
          </cell>
          <cell r="AB714" t="str">
            <v>10</v>
          </cell>
          <cell r="AC714" t="str">
            <v>[]</v>
          </cell>
          <cell r="AD714" t="str">
            <v>[]</v>
          </cell>
          <cell r="AE714" t="str">
            <v>[]</v>
          </cell>
          <cell r="AF714" t="str">
            <v>huimiao</v>
          </cell>
          <cell r="AG714" t="str">
            <v>common_hit_fashu</v>
          </cell>
          <cell r="AH714" t="str">
            <v>[]</v>
          </cell>
          <cell r="AI714" t="str">
            <v>[]</v>
          </cell>
          <cell r="AJ714" t="str">
            <v>[]</v>
          </cell>
          <cell r="AK714" t="str">
            <v>[]</v>
          </cell>
          <cell r="AL714" t="str">
            <v>[]</v>
          </cell>
          <cell r="AM714" t="str">
            <v>[]</v>
          </cell>
          <cell r="AN714">
            <v>2</v>
          </cell>
          <cell r="AO714" t="str">
            <v>1</v>
          </cell>
          <cell r="AP714">
            <v>636</v>
          </cell>
          <cell r="AQ714">
            <v>636</v>
          </cell>
          <cell r="AR714" t="str">
            <v>[]</v>
          </cell>
          <cell r="AS714" t="str">
            <v>[]</v>
          </cell>
          <cell r="AT714" t="str">
            <v>5810</v>
          </cell>
          <cell r="AU714" t="str">
            <v>5810</v>
          </cell>
          <cell r="AV714" t="str">
            <v>火鸟</v>
          </cell>
          <cell r="AW714" t="str">
            <v>01</v>
          </cell>
          <cell r="AY714">
            <v>1</v>
          </cell>
          <cell r="BE714"/>
          <cell r="BF714"/>
        </row>
        <row r="715">
          <cell r="A715" t="str">
            <v>boss_huoqiuzhadan_skill01</v>
          </cell>
          <cell r="B715" t="str">
            <v>火球炸弹</v>
          </cell>
          <cell r="C715" t="str">
            <v>huoqiuzhadan_skill01</v>
          </cell>
          <cell r="D715" t="str">
            <v>[]</v>
          </cell>
          <cell r="E715">
            <v>0</v>
          </cell>
          <cell r="F715" t="str">
            <v>[]</v>
          </cell>
          <cell r="G715" t="str">
            <v>火球炸弹</v>
          </cell>
          <cell r="H715" t="str">
            <v>huoqiuzhadan</v>
          </cell>
          <cell r="I715" t="str">
            <v>huoqiuzhadan</v>
          </cell>
          <cell r="J715">
            <v>0</v>
          </cell>
          <cell r="K715">
            <v>10</v>
          </cell>
          <cell r="L715" t="str">
            <v>1|44</v>
          </cell>
          <cell r="M715">
            <v>2</v>
          </cell>
          <cell r="N715">
            <v>2</v>
          </cell>
          <cell r="O715">
            <v>1</v>
          </cell>
          <cell r="P715">
            <v>2</v>
          </cell>
          <cell r="Q715">
            <v>12</v>
          </cell>
          <cell r="R715" t="str">
            <v>2|1</v>
          </cell>
          <cell r="S715" t="str">
            <v>4|0.2</v>
          </cell>
          <cell r="T715">
            <v>1</v>
          </cell>
          <cell r="U715">
            <v>1</v>
          </cell>
          <cell r="V715">
            <v>0</v>
          </cell>
          <cell r="W715" t="str">
            <v>[]</v>
          </cell>
          <cell r="X715">
            <v>0</v>
          </cell>
          <cell r="Y715" t="str">
            <v>[]</v>
          </cell>
          <cell r="Z715" t="str">
            <v>0,0,0</v>
          </cell>
          <cell r="AA715">
            <v>0</v>
          </cell>
          <cell r="AB715" t="str">
            <v>10</v>
          </cell>
          <cell r="AC715" t="str">
            <v>[]</v>
          </cell>
          <cell r="AD715" t="str">
            <v>[]</v>
          </cell>
          <cell r="AE715" t="str">
            <v>[]</v>
          </cell>
          <cell r="AF715" t="str">
            <v>huoqiuzhadan</v>
          </cell>
          <cell r="AG715" t="str">
            <v>[]</v>
          </cell>
          <cell r="AH715" t="str">
            <v>[]</v>
          </cell>
          <cell r="AI715" t="str">
            <v>[]</v>
          </cell>
          <cell r="AJ715" t="str">
            <v>[]</v>
          </cell>
          <cell r="AK715" t="str">
            <v>humeiren_bomb</v>
          </cell>
          <cell r="AL715" t="str">
            <v>[]</v>
          </cell>
          <cell r="AM715" t="str">
            <v>[]</v>
          </cell>
          <cell r="AN715">
            <v>2</v>
          </cell>
          <cell r="AO715" t="str">
            <v>1</v>
          </cell>
          <cell r="AP715">
            <v>636</v>
          </cell>
          <cell r="AQ715">
            <v>636</v>
          </cell>
          <cell r="AR715" t="str">
            <v>[]</v>
          </cell>
          <cell r="AS715" t="str">
            <v>[]</v>
          </cell>
          <cell r="AT715" t="str">
            <v>5820</v>
          </cell>
          <cell r="AU715" t="str">
            <v>5820</v>
          </cell>
          <cell r="AV715" t="str">
            <v>火球炸弹</v>
          </cell>
          <cell r="AW715" t="str">
            <v>01</v>
          </cell>
          <cell r="AY715">
            <v>1</v>
          </cell>
          <cell r="BE715"/>
          <cell r="BF715"/>
        </row>
        <row r="716">
          <cell r="A716" t="str">
            <v>boss_rexuebaofa_skill01</v>
          </cell>
          <cell r="B716" t="str">
            <v>热血爆发</v>
          </cell>
          <cell r="C716" t="str">
            <v>rexuebaofa_skill01</v>
          </cell>
          <cell r="D716" t="str">
            <v>[]</v>
          </cell>
          <cell r="E716">
            <v>0</v>
          </cell>
          <cell r="F716" t="str">
            <v>[]</v>
          </cell>
          <cell r="G716" t="str">
            <v>热血爆发</v>
          </cell>
          <cell r="H716" t="str">
            <v>rexuebaofa</v>
          </cell>
          <cell r="I716" t="str">
            <v>rexuebaofa</v>
          </cell>
          <cell r="J716">
            <v>0</v>
          </cell>
          <cell r="K716">
            <v>10</v>
          </cell>
          <cell r="L716" t="str">
            <v>1|72</v>
          </cell>
          <cell r="M716">
            <v>2</v>
          </cell>
          <cell r="N716">
            <v>2</v>
          </cell>
          <cell r="O716">
            <v>2</v>
          </cell>
          <cell r="P716">
            <v>4</v>
          </cell>
          <cell r="Q716">
            <v>12</v>
          </cell>
          <cell r="R716">
            <v>3</v>
          </cell>
          <cell r="S716">
            <v>5</v>
          </cell>
          <cell r="T716">
            <v>10</v>
          </cell>
          <cell r="U716">
            <v>0</v>
          </cell>
          <cell r="V716">
            <v>0</v>
          </cell>
          <cell r="W716" t="str">
            <v>[]</v>
          </cell>
          <cell r="X716">
            <v>0</v>
          </cell>
          <cell r="Y716" t="str">
            <v>[]</v>
          </cell>
          <cell r="Z716" t="str">
            <v>0,0,0</v>
          </cell>
          <cell r="AA716">
            <v>0</v>
          </cell>
          <cell r="AB716" t="str">
            <v>10</v>
          </cell>
          <cell r="AC716" t="str">
            <v>[]</v>
          </cell>
          <cell r="AD716" t="str">
            <v>[]</v>
          </cell>
          <cell r="AE716" t="str">
            <v>huo_kuloubing_skill01_act</v>
          </cell>
          <cell r="AF716" t="str">
            <v>rexuebaofa</v>
          </cell>
          <cell r="AG716" t="str">
            <v>[]</v>
          </cell>
          <cell r="AH716" t="str">
            <v>[]</v>
          </cell>
          <cell r="AI716" t="str">
            <v>[]</v>
          </cell>
          <cell r="AJ716" t="str">
            <v>[]</v>
          </cell>
          <cell r="AK716" t="str">
            <v>[]</v>
          </cell>
          <cell r="AL716" t="str">
            <v>[]</v>
          </cell>
          <cell r="AM716" t="str">
            <v>[]</v>
          </cell>
          <cell r="AN716">
            <v>2</v>
          </cell>
          <cell r="AO716" t="str">
            <v>1</v>
          </cell>
          <cell r="AP716" t="str">
            <v>[]</v>
          </cell>
          <cell r="AQ716" t="str">
            <v>[]</v>
          </cell>
          <cell r="AR716" t="str">
            <v>[]</v>
          </cell>
          <cell r="AS716" t="str">
            <v>[]</v>
          </cell>
          <cell r="AT716" t="str">
            <v>5830</v>
          </cell>
          <cell r="AU716" t="str">
            <v>5830</v>
          </cell>
          <cell r="AV716" t="str">
            <v>热血爆发</v>
          </cell>
          <cell r="AW716" t="str">
            <v>01</v>
          </cell>
          <cell r="AY716">
            <v>1</v>
          </cell>
          <cell r="BE716"/>
          <cell r="BF716"/>
        </row>
        <row r="717">
          <cell r="A717" t="str">
            <v>boss_diyuhuohai_skill01</v>
          </cell>
          <cell r="B717" t="str">
            <v>地狱火海</v>
          </cell>
          <cell r="C717" t="str">
            <v>diyuhuohai_skill01</v>
          </cell>
          <cell r="D717" t="str">
            <v>[]</v>
          </cell>
          <cell r="E717">
            <v>0</v>
          </cell>
          <cell r="F717" t="str">
            <v>[]</v>
          </cell>
          <cell r="G717" t="str">
            <v>地狱火海</v>
          </cell>
          <cell r="H717" t="str">
            <v>diyuhuohai</v>
          </cell>
          <cell r="I717" t="str">
            <v>diyuhuohai</v>
          </cell>
          <cell r="J717">
            <v>0</v>
          </cell>
          <cell r="K717">
            <v>10</v>
          </cell>
          <cell r="L717" t="str">
            <v>1|76</v>
          </cell>
          <cell r="M717">
            <v>2</v>
          </cell>
          <cell r="N717">
            <v>2</v>
          </cell>
          <cell r="O717">
            <v>2</v>
          </cell>
          <cell r="P717">
            <v>2</v>
          </cell>
          <cell r="Q717">
            <v>12</v>
          </cell>
          <cell r="R717" t="str">
            <v>2|1</v>
          </cell>
          <cell r="S717" t="str">
            <v>2|10</v>
          </cell>
          <cell r="T717">
            <v>10</v>
          </cell>
          <cell r="U717">
            <v>0</v>
          </cell>
          <cell r="V717">
            <v>0</v>
          </cell>
          <cell r="W717" t="str">
            <v>[]</v>
          </cell>
          <cell r="X717">
            <v>0</v>
          </cell>
          <cell r="Y717" t="str">
            <v>[]</v>
          </cell>
          <cell r="Z717" t="str">
            <v>0,0,0</v>
          </cell>
          <cell r="AA717">
            <v>0</v>
          </cell>
          <cell r="AB717" t="str">
            <v>10</v>
          </cell>
          <cell r="AC717" t="str">
            <v>[]</v>
          </cell>
          <cell r="AD717" t="str">
            <v>[]</v>
          </cell>
          <cell r="AE717" t="str">
            <v>[]</v>
          </cell>
          <cell r="AF717" t="str">
            <v>diyuhuohai</v>
          </cell>
          <cell r="AG717" t="str">
            <v>common_hit_fashu</v>
          </cell>
          <cell r="AH717" t="str">
            <v>[]</v>
          </cell>
          <cell r="AI717" t="str">
            <v>[]</v>
          </cell>
          <cell r="AJ717" t="str">
            <v>[]</v>
          </cell>
          <cell r="AK717" t="str">
            <v>[]</v>
          </cell>
          <cell r="AL717" t="str">
            <v>[]</v>
          </cell>
          <cell r="AM717" t="str">
            <v>[]</v>
          </cell>
          <cell r="AN717">
            <v>2</v>
          </cell>
          <cell r="AO717" t="str">
            <v>1</v>
          </cell>
          <cell r="AP717">
            <v>636</v>
          </cell>
          <cell r="AQ717">
            <v>636</v>
          </cell>
          <cell r="AR717" t="str">
            <v>[]</v>
          </cell>
          <cell r="AS717" t="str">
            <v>[]</v>
          </cell>
          <cell r="AT717" t="str">
            <v>5840</v>
          </cell>
          <cell r="AU717" t="str">
            <v>5840</v>
          </cell>
          <cell r="AV717" t="str">
            <v>地狱火海</v>
          </cell>
          <cell r="AW717" t="str">
            <v>01</v>
          </cell>
          <cell r="AY717">
            <v>1</v>
          </cell>
          <cell r="BE717"/>
          <cell r="BF717"/>
        </row>
        <row r="718">
          <cell r="A718" t="str">
            <v>boss_dicituxi_skill01</v>
          </cell>
          <cell r="B718" t="str">
            <v>地刺突袭</v>
          </cell>
          <cell r="C718" t="str">
            <v>dicituxi_skill01</v>
          </cell>
          <cell r="D718" t="str">
            <v>[]</v>
          </cell>
          <cell r="E718">
            <v>0</v>
          </cell>
          <cell r="F718" t="str">
            <v>[]</v>
          </cell>
          <cell r="G718" t="str">
            <v>地刺突袭</v>
          </cell>
          <cell r="H718" t="str">
            <v>dicituxi</v>
          </cell>
          <cell r="I718" t="str">
            <v>dicituxi</v>
          </cell>
          <cell r="J718">
            <v>0</v>
          </cell>
          <cell r="K718">
            <v>10</v>
          </cell>
          <cell r="L718" t="str">
            <v>1|45</v>
          </cell>
          <cell r="M718">
            <v>2</v>
          </cell>
          <cell r="N718">
            <v>2</v>
          </cell>
          <cell r="O718">
            <v>2</v>
          </cell>
          <cell r="P718">
            <v>2</v>
          </cell>
          <cell r="Q718">
            <v>12</v>
          </cell>
          <cell r="R718" t="str">
            <v>2|1</v>
          </cell>
          <cell r="S718" t="str">
            <v>2|10</v>
          </cell>
          <cell r="T718">
            <v>10</v>
          </cell>
          <cell r="U718">
            <v>0</v>
          </cell>
          <cell r="V718">
            <v>0</v>
          </cell>
          <cell r="W718" t="str">
            <v>[]</v>
          </cell>
          <cell r="X718">
            <v>0</v>
          </cell>
          <cell r="Y718" t="str">
            <v>[]</v>
          </cell>
          <cell r="Z718" t="str">
            <v>0,0,0</v>
          </cell>
          <cell r="AA718">
            <v>0</v>
          </cell>
          <cell r="AB718" t="str">
            <v>10</v>
          </cell>
          <cell r="AC718" t="str">
            <v>[]</v>
          </cell>
          <cell r="AD718" t="str">
            <v>[]</v>
          </cell>
          <cell r="AE718" t="str">
            <v>[]</v>
          </cell>
          <cell r="AF718" t="str">
            <v>dicituji</v>
          </cell>
          <cell r="AG718" t="str">
            <v>common_hit_qinwuqi</v>
          </cell>
          <cell r="AH718" t="str">
            <v>[]</v>
          </cell>
          <cell r="AI718" t="str">
            <v>[]</v>
          </cell>
          <cell r="AJ718" t="str">
            <v>dicituxi_zhenping</v>
          </cell>
          <cell r="AK718" t="str">
            <v>[]</v>
          </cell>
          <cell r="AL718" t="str">
            <v>[]</v>
          </cell>
          <cell r="AM718" t="str">
            <v>[]</v>
          </cell>
          <cell r="AN718">
            <v>2</v>
          </cell>
          <cell r="AO718" t="str">
            <v>1</v>
          </cell>
          <cell r="AP718">
            <v>636</v>
          </cell>
          <cell r="AQ718">
            <v>636</v>
          </cell>
          <cell r="AR718" t="str">
            <v>[]</v>
          </cell>
          <cell r="AS718" t="str">
            <v>[]</v>
          </cell>
          <cell r="AT718" t="str">
            <v>5910</v>
          </cell>
          <cell r="AU718" t="str">
            <v>5910</v>
          </cell>
          <cell r="AV718" t="str">
            <v>地刺突袭</v>
          </cell>
          <cell r="AW718" t="str">
            <v>01</v>
          </cell>
          <cell r="AY718">
            <v>1</v>
          </cell>
          <cell r="BE718"/>
          <cell r="BF718"/>
        </row>
        <row r="719">
          <cell r="A719" t="str">
            <v>boss_feishazoushi_skill01</v>
          </cell>
          <cell r="B719" t="str">
            <v>飞沙走石</v>
          </cell>
          <cell r="C719" t="str">
            <v>feishazoushi_skill01</v>
          </cell>
          <cell r="D719" t="str">
            <v>[]</v>
          </cell>
          <cell r="E719">
            <v>0</v>
          </cell>
          <cell r="F719" t="str">
            <v>[]</v>
          </cell>
          <cell r="G719" t="str">
            <v>飞沙走石</v>
          </cell>
          <cell r="H719" t="str">
            <v>feishazoushi</v>
          </cell>
          <cell r="I719" t="str">
            <v>feishazoushi</v>
          </cell>
          <cell r="J719">
            <v>0</v>
          </cell>
          <cell r="K719">
            <v>10</v>
          </cell>
          <cell r="L719" t="str">
            <v>1|43</v>
          </cell>
          <cell r="M719">
            <v>2</v>
          </cell>
          <cell r="N719">
            <v>2</v>
          </cell>
          <cell r="O719">
            <v>2</v>
          </cell>
          <cell r="P719">
            <v>2</v>
          </cell>
          <cell r="Q719">
            <v>12</v>
          </cell>
          <cell r="R719" t="str">
            <v>2|1</v>
          </cell>
          <cell r="S719" t="str">
            <v>2|10</v>
          </cell>
          <cell r="T719">
            <v>10</v>
          </cell>
          <cell r="U719">
            <v>0</v>
          </cell>
          <cell r="V719">
            <v>0</v>
          </cell>
          <cell r="W719" t="str">
            <v>[]</v>
          </cell>
          <cell r="X719">
            <v>0</v>
          </cell>
          <cell r="Y719" t="str">
            <v>[]</v>
          </cell>
          <cell r="Z719" t="str">
            <v>0,0,0</v>
          </cell>
          <cell r="AA719">
            <v>0</v>
          </cell>
          <cell r="AB719" t="str">
            <v>10</v>
          </cell>
          <cell r="AC719" t="str">
            <v>[]</v>
          </cell>
          <cell r="AD719" t="str">
            <v>[]</v>
          </cell>
          <cell r="AE719" t="str">
            <v>[]</v>
          </cell>
          <cell r="AF719" t="str">
            <v>feishazoushi</v>
          </cell>
          <cell r="AG719" t="str">
            <v>common_hit_fashu</v>
          </cell>
          <cell r="AH719" t="str">
            <v>[]</v>
          </cell>
          <cell r="AI719" t="str">
            <v>[]</v>
          </cell>
          <cell r="AJ719" t="str">
            <v>[]</v>
          </cell>
          <cell r="AK719" t="str">
            <v>[]</v>
          </cell>
          <cell r="AL719" t="str">
            <v>[]</v>
          </cell>
          <cell r="AM719" t="str">
            <v>[]</v>
          </cell>
          <cell r="AN719">
            <v>2</v>
          </cell>
          <cell r="AO719" t="str">
            <v>1</v>
          </cell>
          <cell r="AP719">
            <v>636</v>
          </cell>
          <cell r="AQ719">
            <v>636</v>
          </cell>
          <cell r="AR719" t="str">
            <v>[]</v>
          </cell>
          <cell r="AS719" t="str">
            <v>[]</v>
          </cell>
          <cell r="AT719" t="str">
            <v>5920</v>
          </cell>
          <cell r="AU719" t="str">
            <v>5920</v>
          </cell>
          <cell r="AV719" t="str">
            <v>飞沙走石</v>
          </cell>
          <cell r="AW719" t="str">
            <v>01</v>
          </cell>
          <cell r="AY719">
            <v>1</v>
          </cell>
          <cell r="BE719"/>
          <cell r="BF719"/>
        </row>
        <row r="720">
          <cell r="A720" t="str">
            <v>boss_taishanyading_skill01</v>
          </cell>
          <cell r="B720" t="str">
            <v>泰山压顶</v>
          </cell>
          <cell r="C720" t="str">
            <v>taishanyading_skill01</v>
          </cell>
          <cell r="D720" t="str">
            <v>[]</v>
          </cell>
          <cell r="E720">
            <v>0</v>
          </cell>
          <cell r="F720" t="str">
            <v>[]</v>
          </cell>
          <cell r="G720" t="str">
            <v>泰山压顶</v>
          </cell>
          <cell r="H720" t="str">
            <v>taishanyading</v>
          </cell>
          <cell r="I720" t="str">
            <v>taishanyading</v>
          </cell>
          <cell r="J720">
            <v>0</v>
          </cell>
          <cell r="K720">
            <v>10</v>
          </cell>
          <cell r="L720" t="str">
            <v>1|51</v>
          </cell>
          <cell r="M720">
            <v>2</v>
          </cell>
          <cell r="N720">
            <v>2</v>
          </cell>
          <cell r="O720">
            <v>2</v>
          </cell>
          <cell r="P720">
            <v>2</v>
          </cell>
          <cell r="Q720">
            <v>12</v>
          </cell>
          <cell r="R720" t="str">
            <v>2|1</v>
          </cell>
          <cell r="S720" t="str">
            <v>2|10</v>
          </cell>
          <cell r="T720">
            <v>10</v>
          </cell>
          <cell r="U720">
            <v>0</v>
          </cell>
          <cell r="V720">
            <v>0</v>
          </cell>
          <cell r="W720" t="str">
            <v>[]</v>
          </cell>
          <cell r="X720">
            <v>0</v>
          </cell>
          <cell r="Y720" t="str">
            <v>[]</v>
          </cell>
          <cell r="Z720" t="str">
            <v>0,0,0</v>
          </cell>
          <cell r="AA720">
            <v>0</v>
          </cell>
          <cell r="AB720" t="str">
            <v>10</v>
          </cell>
          <cell r="AC720" t="str">
            <v>[]</v>
          </cell>
          <cell r="AD720" t="str">
            <v>[]</v>
          </cell>
          <cell r="AE720" t="str">
            <v>[]</v>
          </cell>
          <cell r="AF720" t="str">
            <v>taishangyading</v>
          </cell>
          <cell r="AG720" t="str">
            <v>common_hit_zhongwuqi</v>
          </cell>
          <cell r="AH720" t="str">
            <v>[]</v>
          </cell>
          <cell r="AI720" t="str">
            <v>[]</v>
          </cell>
          <cell r="AJ720" t="str">
            <v>taishanyading_zhenping</v>
          </cell>
          <cell r="AK720" t="str">
            <v>[]</v>
          </cell>
          <cell r="AL720" t="str">
            <v>[]</v>
          </cell>
          <cell r="AM720" t="str">
            <v>[]</v>
          </cell>
          <cell r="AN720">
            <v>2</v>
          </cell>
          <cell r="AO720" t="str">
            <v>1</v>
          </cell>
          <cell r="AP720">
            <v>636</v>
          </cell>
          <cell r="AQ720">
            <v>636</v>
          </cell>
          <cell r="AR720" t="str">
            <v>[]</v>
          </cell>
          <cell r="AS720" t="str">
            <v>[]</v>
          </cell>
          <cell r="AT720" t="str">
            <v>5930</v>
          </cell>
          <cell r="AU720" t="str">
            <v>5930</v>
          </cell>
          <cell r="AV720" t="str">
            <v>泰山压顶</v>
          </cell>
          <cell r="AW720" t="str">
            <v>01</v>
          </cell>
          <cell r="AY720">
            <v>1</v>
          </cell>
          <cell r="BE720"/>
          <cell r="BF720"/>
        </row>
        <row r="721">
          <cell r="A721" t="str">
            <v>boss_tuqiangfanghu_skill01</v>
          </cell>
          <cell r="B721" t="str">
            <v>土墙防护</v>
          </cell>
          <cell r="C721" t="str">
            <v>tuqiangfanghu_skill01</v>
          </cell>
          <cell r="D721" t="str">
            <v>[]</v>
          </cell>
          <cell r="E721">
            <v>0</v>
          </cell>
          <cell r="F721" t="str">
            <v>[]</v>
          </cell>
          <cell r="G721" t="str">
            <v>土墙防护</v>
          </cell>
          <cell r="H721" t="str">
            <v>tuqiangfanghu</v>
          </cell>
          <cell r="I721" t="str">
            <v>tuqiangfanghu</v>
          </cell>
          <cell r="J721">
            <v>0</v>
          </cell>
          <cell r="K721">
            <v>10</v>
          </cell>
          <cell r="L721" t="str">
            <v>1|48</v>
          </cell>
          <cell r="M721">
            <v>2</v>
          </cell>
          <cell r="N721">
            <v>2</v>
          </cell>
          <cell r="O721">
            <v>1</v>
          </cell>
          <cell r="P721">
            <v>4</v>
          </cell>
          <cell r="Q721">
            <v>12</v>
          </cell>
          <cell r="R721">
            <v>3</v>
          </cell>
          <cell r="S721">
            <v>7</v>
          </cell>
          <cell r="T721">
            <v>10</v>
          </cell>
          <cell r="U721">
            <v>0</v>
          </cell>
          <cell r="V721">
            <v>0</v>
          </cell>
          <cell r="W721" t="str">
            <v>[]</v>
          </cell>
          <cell r="X721">
            <v>0</v>
          </cell>
          <cell r="Y721" t="str">
            <v>[]</v>
          </cell>
          <cell r="Z721" t="str">
            <v>0,0,0</v>
          </cell>
          <cell r="AA721">
            <v>0</v>
          </cell>
          <cell r="AB721" t="str">
            <v>10</v>
          </cell>
          <cell r="AC721" t="str">
            <v>[]</v>
          </cell>
          <cell r="AD721" t="str">
            <v>[]</v>
          </cell>
          <cell r="AE721" t="str">
            <v>[]</v>
          </cell>
          <cell r="AF721" t="str">
            <v>tuqiangfanghu</v>
          </cell>
          <cell r="AG721" t="str">
            <v>[]</v>
          </cell>
          <cell r="AH721" t="str">
            <v>[]</v>
          </cell>
          <cell r="AI721" t="str">
            <v>[]</v>
          </cell>
          <cell r="AJ721" t="str">
            <v>[]</v>
          </cell>
          <cell r="AK721" t="str">
            <v>[]</v>
          </cell>
          <cell r="AL721" t="str">
            <v>[]</v>
          </cell>
          <cell r="AM721" t="str">
            <v>[]</v>
          </cell>
          <cell r="AN721">
            <v>2</v>
          </cell>
          <cell r="AO721" t="str">
            <v>1</v>
          </cell>
          <cell r="AP721" t="str">
            <v>[]</v>
          </cell>
          <cell r="AQ721" t="str">
            <v>[]</v>
          </cell>
          <cell r="AR721" t="str">
            <v>[]</v>
          </cell>
          <cell r="AS721" t="str">
            <v>[]</v>
          </cell>
          <cell r="AT721" t="str">
            <v>5940</v>
          </cell>
          <cell r="AU721" t="str">
            <v>5940</v>
          </cell>
          <cell r="AV721" t="str">
            <v>土墙防护</v>
          </cell>
          <cell r="AW721" t="str">
            <v>01</v>
          </cell>
          <cell r="AY721">
            <v>1</v>
          </cell>
          <cell r="BE721"/>
          <cell r="BF721"/>
        </row>
        <row r="722">
          <cell r="A722" t="str">
            <v>boss_leiji_skill01</v>
          </cell>
          <cell r="B722" t="str">
            <v>雷击</v>
          </cell>
          <cell r="C722" t="str">
            <v>leiji_skill01</v>
          </cell>
          <cell r="D722" t="str">
            <v>[]</v>
          </cell>
          <cell r="E722">
            <v>0</v>
          </cell>
          <cell r="F722" t="str">
            <v>[]</v>
          </cell>
          <cell r="G722" t="str">
            <v>雷击</v>
          </cell>
          <cell r="H722" t="str">
            <v>leiji</v>
          </cell>
          <cell r="I722" t="str">
            <v>leiji</v>
          </cell>
          <cell r="J722">
            <v>0</v>
          </cell>
          <cell r="K722">
            <v>10</v>
          </cell>
          <cell r="L722" t="str">
            <v>1|67</v>
          </cell>
          <cell r="M722">
            <v>2</v>
          </cell>
          <cell r="N722">
            <v>2</v>
          </cell>
          <cell r="O722">
            <v>2</v>
          </cell>
          <cell r="P722">
            <v>2</v>
          </cell>
          <cell r="Q722">
            <v>4</v>
          </cell>
          <cell r="R722" t="str">
            <v>2|1</v>
          </cell>
          <cell r="S722" t="str">
            <v>2|10</v>
          </cell>
          <cell r="T722">
            <v>10</v>
          </cell>
          <cell r="U722">
            <v>0</v>
          </cell>
          <cell r="V722">
            <v>0</v>
          </cell>
          <cell r="W722" t="str">
            <v>[]</v>
          </cell>
          <cell r="X722">
            <v>0</v>
          </cell>
          <cell r="Y722" t="str">
            <v>[]</v>
          </cell>
          <cell r="Z722" t="str">
            <v>0,0,0</v>
          </cell>
          <cell r="AA722">
            <v>0</v>
          </cell>
          <cell r="AB722" t="str">
            <v>10</v>
          </cell>
          <cell r="AC722" t="str">
            <v>[]</v>
          </cell>
          <cell r="AD722" t="str">
            <v>[]</v>
          </cell>
          <cell r="AE722" t="str">
            <v>[]</v>
          </cell>
          <cell r="AF722" t="str">
            <v>leiji</v>
          </cell>
          <cell r="AG722" t="str">
            <v>common_hit_fashu</v>
          </cell>
          <cell r="AH722" t="str">
            <v>[]</v>
          </cell>
          <cell r="AI722" t="str">
            <v>[]</v>
          </cell>
          <cell r="AJ722" t="str">
            <v>leiji_zhenping</v>
          </cell>
          <cell r="AK722" t="str">
            <v>common_yunxuan</v>
          </cell>
          <cell r="AL722" t="str">
            <v>[]</v>
          </cell>
          <cell r="AM722" t="str">
            <v>[]</v>
          </cell>
          <cell r="AN722">
            <v>2</v>
          </cell>
          <cell r="AO722" t="str">
            <v>1</v>
          </cell>
          <cell r="AP722">
            <v>636</v>
          </cell>
          <cell r="AQ722">
            <v>636</v>
          </cell>
          <cell r="AR722" t="str">
            <v>[]</v>
          </cell>
          <cell r="AS722" t="str">
            <v>[]</v>
          </cell>
          <cell r="AT722" t="str">
            <v>5950</v>
          </cell>
          <cell r="AU722" t="str">
            <v>5950</v>
          </cell>
          <cell r="AV722" t="str">
            <v>雷击</v>
          </cell>
          <cell r="AW722" t="str">
            <v>01</v>
          </cell>
          <cell r="AY722">
            <v>1</v>
          </cell>
          <cell r="BE722"/>
          <cell r="BF722"/>
        </row>
        <row r="723">
          <cell r="A723" t="str">
            <v>boss_mamian_skill01</v>
          </cell>
          <cell r="B723" t="str">
            <v>激增灵魂</v>
          </cell>
          <cell r="C723" t="str">
            <v>mamian_skill01</v>
          </cell>
          <cell r="D723" t="str">
            <v>[]</v>
          </cell>
          <cell r="E723">
            <v>0</v>
          </cell>
          <cell r="F723" t="str">
            <v>[]</v>
          </cell>
          <cell r="G723" t="str">
            <v>马面核心技能</v>
          </cell>
          <cell r="H723" t="str">
            <v>mamian_skill01</v>
          </cell>
          <cell r="I723" t="str">
            <v>mamian_skill01</v>
          </cell>
          <cell r="J723">
            <v>0</v>
          </cell>
          <cell r="K723">
            <v>10</v>
          </cell>
          <cell r="L723" t="str">
            <v>1|24</v>
          </cell>
          <cell r="M723">
            <v>2</v>
          </cell>
          <cell r="N723">
            <v>2</v>
          </cell>
          <cell r="O723">
            <v>1</v>
          </cell>
          <cell r="P723">
            <v>2</v>
          </cell>
          <cell r="Q723">
            <v>12</v>
          </cell>
          <cell r="R723">
            <v>3</v>
          </cell>
          <cell r="S723" t="str">
            <v>2|20</v>
          </cell>
          <cell r="T723">
            <v>10</v>
          </cell>
          <cell r="U723">
            <v>1</v>
          </cell>
          <cell r="V723">
            <v>0</v>
          </cell>
          <cell r="W723" t="str">
            <v>[]</v>
          </cell>
          <cell r="X723">
            <v>0</v>
          </cell>
          <cell r="Y723" t="str">
            <v>[]</v>
          </cell>
          <cell r="Z723" t="str">
            <v>0,0,0</v>
          </cell>
          <cell r="AA723">
            <v>0</v>
          </cell>
          <cell r="AB723" t="str">
            <v>10</v>
          </cell>
          <cell r="AC723" t="str">
            <v>[]</v>
          </cell>
          <cell r="AD723" t="str">
            <v>[]</v>
          </cell>
          <cell r="AE723" t="str">
            <v>[]</v>
          </cell>
          <cell r="AF723" t="str">
            <v>mamian_skill01</v>
          </cell>
          <cell r="AG723" t="str">
            <v>[]</v>
          </cell>
          <cell r="AH723" t="str">
            <v>[]</v>
          </cell>
          <cell r="AI723" t="str">
            <v>[]</v>
          </cell>
          <cell r="AJ723" t="str">
            <v>[]</v>
          </cell>
          <cell r="AK723" t="str">
            <v>[]</v>
          </cell>
          <cell r="AL723" t="str">
            <v>[]</v>
          </cell>
          <cell r="AM723" t="str">
            <v>[]</v>
          </cell>
          <cell r="AN723">
            <v>2</v>
          </cell>
          <cell r="AO723" t="str">
            <v>1</v>
          </cell>
          <cell r="AP723">
            <v>636</v>
          </cell>
          <cell r="AQ723">
            <v>636</v>
          </cell>
          <cell r="AR723" t="str">
            <v>[]</v>
          </cell>
          <cell r="AS723" t="str">
            <v>[]</v>
          </cell>
          <cell r="AT723" t="str">
            <v>6020</v>
          </cell>
          <cell r="AU723" t="str">
            <v>6020</v>
          </cell>
          <cell r="AV723" t="str">
            <v>马面</v>
          </cell>
          <cell r="AW723" t="str">
            <v>01</v>
          </cell>
          <cell r="AY723">
            <v>1</v>
          </cell>
          <cell r="BE723"/>
          <cell r="BF723"/>
        </row>
        <row r="724">
          <cell r="A724" t="str">
            <v>boss_mamian_skill02</v>
          </cell>
          <cell r="B724" t="str">
            <v>流星拳</v>
          </cell>
          <cell r="C724" t="str">
            <v>mamian_skill02</v>
          </cell>
          <cell r="D724" t="str">
            <v>[]</v>
          </cell>
          <cell r="E724">
            <v>2</v>
          </cell>
          <cell r="F724" t="str">
            <v>boss_warning_shanxing90</v>
          </cell>
          <cell r="G724" t="str">
            <v>马面技能2</v>
          </cell>
          <cell r="H724" t="str">
            <v>mamian_skill02</v>
          </cell>
          <cell r="I724" t="str">
            <v>[]</v>
          </cell>
          <cell r="J724">
            <v>1</v>
          </cell>
          <cell r="K724">
            <v>10</v>
          </cell>
          <cell r="L724" t="str">
            <v>[]</v>
          </cell>
          <cell r="M724">
            <v>2</v>
          </cell>
          <cell r="N724">
            <v>2</v>
          </cell>
          <cell r="O724">
            <v>1</v>
          </cell>
          <cell r="P724">
            <v>2</v>
          </cell>
          <cell r="Q724">
            <v>4</v>
          </cell>
          <cell r="R724" t="str">
            <v>2|1</v>
          </cell>
          <cell r="S724" t="str">
            <v>4|0.2</v>
          </cell>
          <cell r="T724">
            <v>10</v>
          </cell>
          <cell r="U724">
            <v>1</v>
          </cell>
          <cell r="V724">
            <v>0</v>
          </cell>
          <cell r="W724" t="str">
            <v>[]</v>
          </cell>
          <cell r="X724">
            <v>3</v>
          </cell>
          <cell r="Y724" t="str">
            <v>[]</v>
          </cell>
          <cell r="Z724" t="str">
            <v>0,2.6,0</v>
          </cell>
          <cell r="AA724">
            <v>0</v>
          </cell>
          <cell r="AB724" t="str">
            <v>10</v>
          </cell>
          <cell r="AC724" t="str">
            <v>[]</v>
          </cell>
          <cell r="AD724" t="str">
            <v>[]</v>
          </cell>
          <cell r="AE724" t="str">
            <v>[]</v>
          </cell>
          <cell r="AF724" t="str">
            <v>mamian_skill02</v>
          </cell>
          <cell r="AG724" t="str">
            <v>common_hit_dunqi</v>
          </cell>
          <cell r="AH724" t="str">
            <v>[]</v>
          </cell>
          <cell r="AI724" t="str">
            <v>[]</v>
          </cell>
          <cell r="AJ724" t="str">
            <v>[]</v>
          </cell>
          <cell r="AK724" t="str">
            <v>[]</v>
          </cell>
          <cell r="AL724" t="str">
            <v>[]</v>
          </cell>
          <cell r="AM724" t="str">
            <v>[]</v>
          </cell>
          <cell r="AN724">
            <v>2</v>
          </cell>
          <cell r="AO724" t="str">
            <v>1</v>
          </cell>
          <cell r="AP724">
            <v>636</v>
          </cell>
          <cell r="AQ724">
            <v>636</v>
          </cell>
          <cell r="AR724" t="str">
            <v>[]</v>
          </cell>
          <cell r="AS724" t="str">
            <v>[]</v>
          </cell>
          <cell r="AT724" t="str">
            <v>6030</v>
          </cell>
          <cell r="AU724" t="str">
            <v>6030</v>
          </cell>
          <cell r="AV724" t="str">
            <v>马面</v>
          </cell>
          <cell r="AW724" t="str">
            <v>02</v>
          </cell>
          <cell r="AY724">
            <v>1</v>
          </cell>
          <cell r="BE724"/>
          <cell r="BF724"/>
        </row>
        <row r="725">
          <cell r="A725" t="str">
            <v>boss_mamian_skill04</v>
          </cell>
          <cell r="B725" t="str">
            <v>驱魂神令</v>
          </cell>
          <cell r="C725" t="str">
            <v>mamian_skill04</v>
          </cell>
          <cell r="D725" t="str">
            <v>[]</v>
          </cell>
          <cell r="E725">
            <v>2</v>
          </cell>
          <cell r="F725" t="str">
            <v>boss_warning_shanxing90</v>
          </cell>
          <cell r="G725" t="str">
            <v>马面技能4</v>
          </cell>
          <cell r="H725" t="str">
            <v>mamian_skill04</v>
          </cell>
          <cell r="I725" t="str">
            <v>[]</v>
          </cell>
          <cell r="J725">
            <v>3</v>
          </cell>
          <cell r="K725">
            <v>10</v>
          </cell>
          <cell r="L725" t="str">
            <v>[]</v>
          </cell>
          <cell r="M725">
            <v>2</v>
          </cell>
          <cell r="N725">
            <v>2</v>
          </cell>
          <cell r="O725">
            <v>1</v>
          </cell>
          <cell r="P725">
            <v>2</v>
          </cell>
          <cell r="Q725">
            <v>4</v>
          </cell>
          <cell r="R725" t="str">
            <v>2|1</v>
          </cell>
          <cell r="S725" t="str">
            <v>4|0.2</v>
          </cell>
          <cell r="T725">
            <v>1</v>
          </cell>
          <cell r="U725">
            <v>1</v>
          </cell>
          <cell r="V725">
            <v>0</v>
          </cell>
          <cell r="W725" t="str">
            <v>[]</v>
          </cell>
          <cell r="X725">
            <v>3</v>
          </cell>
          <cell r="Y725" t="str">
            <v>[]</v>
          </cell>
          <cell r="Z725" t="str">
            <v>0,2.27,0</v>
          </cell>
          <cell r="AA725">
            <v>0</v>
          </cell>
          <cell r="AB725" t="str">
            <v>10</v>
          </cell>
          <cell r="AC725" t="str">
            <v>[]</v>
          </cell>
          <cell r="AD725" t="str">
            <v>[]</v>
          </cell>
          <cell r="AE725" t="str">
            <v>[]</v>
          </cell>
          <cell r="AF725" t="str">
            <v>mamian_skill04</v>
          </cell>
          <cell r="AG725" t="str">
            <v>common_hit_zhongwuqi</v>
          </cell>
          <cell r="AH725" t="str">
            <v>[]</v>
          </cell>
          <cell r="AI725" t="str">
            <v>[]</v>
          </cell>
          <cell r="AJ725" t="str">
            <v>mamian_zhenping</v>
          </cell>
          <cell r="AK725" t="str">
            <v>[]</v>
          </cell>
          <cell r="AL725" t="str">
            <v>[]</v>
          </cell>
          <cell r="AM725" t="str">
            <v>[]</v>
          </cell>
          <cell r="AN725">
            <v>2</v>
          </cell>
          <cell r="AO725" t="str">
            <v>1</v>
          </cell>
          <cell r="AP725">
            <v>636</v>
          </cell>
          <cell r="AQ725">
            <v>636</v>
          </cell>
          <cell r="AR725" t="str">
            <v>[]</v>
          </cell>
          <cell r="AS725" t="str">
            <v>[]</v>
          </cell>
          <cell r="AT725" t="str">
            <v>6050</v>
          </cell>
          <cell r="AU725" t="str">
            <v>6050</v>
          </cell>
          <cell r="AV725" t="str">
            <v>马面</v>
          </cell>
          <cell r="AW725" t="str">
            <v>04</v>
          </cell>
          <cell r="AX725"/>
          <cell r="AY725">
            <v>1</v>
          </cell>
          <cell r="BE725"/>
          <cell r="BF725"/>
        </row>
        <row r="726">
          <cell r="A726" t="str">
            <v>boss_yanluowang_skill01</v>
          </cell>
          <cell r="B726" t="str">
            <v>冥域鬼火</v>
          </cell>
          <cell r="C726" t="str">
            <v>yanluowang_skill01</v>
          </cell>
          <cell r="D726" t="str">
            <v>[]</v>
          </cell>
          <cell r="E726">
            <v>1</v>
          </cell>
          <cell r="F726" t="str">
            <v>boss_warning_yuanxing</v>
          </cell>
          <cell r="G726" t="str">
            <v>阎罗王核心技能</v>
          </cell>
          <cell r="H726" t="str">
            <v>yanluowang_skill01</v>
          </cell>
          <cell r="I726" t="str">
            <v>yanluowang_skill01</v>
          </cell>
          <cell r="J726">
            <v>0</v>
          </cell>
          <cell r="K726">
            <v>10</v>
          </cell>
          <cell r="L726" t="str">
            <v>1|29</v>
          </cell>
          <cell r="M726">
            <v>2</v>
          </cell>
          <cell r="N726">
            <v>2</v>
          </cell>
          <cell r="O726">
            <v>2</v>
          </cell>
          <cell r="P726">
            <v>2</v>
          </cell>
          <cell r="Q726">
            <v>12</v>
          </cell>
          <cell r="R726" t="str">
            <v>2|1</v>
          </cell>
          <cell r="S726" t="str">
            <v>2|10</v>
          </cell>
          <cell r="T726">
            <v>10</v>
          </cell>
          <cell r="U726">
            <v>1</v>
          </cell>
          <cell r="V726">
            <v>0</v>
          </cell>
          <cell r="W726" t="str">
            <v>[]</v>
          </cell>
          <cell r="X726">
            <v>0</v>
          </cell>
          <cell r="Y726" t="str">
            <v>[]</v>
          </cell>
          <cell r="Z726" t="str">
            <v>0,0,0</v>
          </cell>
          <cell r="AA726">
            <v>0</v>
          </cell>
          <cell r="AB726" t="str">
            <v>10</v>
          </cell>
          <cell r="AC726" t="str">
            <v>[]</v>
          </cell>
          <cell r="AD726" t="str">
            <v>[]</v>
          </cell>
          <cell r="AE726" t="str">
            <v>[]</v>
          </cell>
          <cell r="AF726" t="str">
            <v>yanluowang_skill01_atk</v>
          </cell>
          <cell r="AG726" t="str">
            <v>yanluowang_skill01</v>
          </cell>
          <cell r="AH726" t="str">
            <v>[]</v>
          </cell>
          <cell r="AI726" t="str">
            <v>[]</v>
          </cell>
          <cell r="AJ726" t="str">
            <v>yanluowang_zhenping_01</v>
          </cell>
          <cell r="AK726" t="str">
            <v>[]</v>
          </cell>
          <cell r="AL726" t="str">
            <v>[]</v>
          </cell>
          <cell r="AM726" t="str">
            <v>zhuoshaoT6N0.1</v>
          </cell>
          <cell r="AN726">
            <v>2</v>
          </cell>
          <cell r="AO726" t="str">
            <v>1</v>
          </cell>
          <cell r="AP726">
            <v>636</v>
          </cell>
          <cell r="AQ726">
            <v>636</v>
          </cell>
          <cell r="AR726" t="str">
            <v>[]</v>
          </cell>
          <cell r="AS726" t="str">
            <v>[]</v>
          </cell>
          <cell r="AT726" t="str">
            <v>6070</v>
          </cell>
          <cell r="AU726" t="str">
            <v>6070</v>
          </cell>
          <cell r="AV726" t="str">
            <v>阎罗王</v>
          </cell>
          <cell r="AW726" t="str">
            <v>01</v>
          </cell>
          <cell r="AY726">
            <v>1</v>
          </cell>
          <cell r="BE726"/>
          <cell r="BF726"/>
        </row>
        <row r="727">
          <cell r="A727" t="str">
            <v>boss_yanluowang_skill02</v>
          </cell>
          <cell r="B727" t="str">
            <v>判官笔</v>
          </cell>
          <cell r="C727" t="str">
            <v>yanluowang_skill02</v>
          </cell>
          <cell r="D727" t="str">
            <v>[]</v>
          </cell>
          <cell r="E727">
            <v>2</v>
          </cell>
          <cell r="F727" t="str">
            <v>boss_warning_juxing</v>
          </cell>
          <cell r="G727" t="str">
            <v>银角大王技能2</v>
          </cell>
          <cell r="H727" t="str">
            <v>yanluowang_skill02</v>
          </cell>
          <cell r="I727" t="str">
            <v>[]</v>
          </cell>
          <cell r="J727">
            <v>1</v>
          </cell>
          <cell r="K727">
            <v>10</v>
          </cell>
          <cell r="L727" t="str">
            <v>[]</v>
          </cell>
          <cell r="M727">
            <v>2</v>
          </cell>
          <cell r="N727">
            <v>2</v>
          </cell>
          <cell r="O727">
            <v>1</v>
          </cell>
          <cell r="P727">
            <v>2</v>
          </cell>
          <cell r="Q727">
            <v>4</v>
          </cell>
          <cell r="R727" t="str">
            <v>2|1</v>
          </cell>
          <cell r="S727" t="str">
            <v>1|10|6</v>
          </cell>
          <cell r="T727">
            <v>10</v>
          </cell>
          <cell r="U727">
            <v>0</v>
          </cell>
          <cell r="V727">
            <v>0</v>
          </cell>
          <cell r="W727" t="str">
            <v>[]</v>
          </cell>
          <cell r="X727">
            <v>3</v>
          </cell>
          <cell r="Y727" t="str">
            <v>[]</v>
          </cell>
          <cell r="Z727" t="str">
            <v>0,1.433,0</v>
          </cell>
          <cell r="AA727">
            <v>0</v>
          </cell>
          <cell r="AB727" t="str">
            <v>10</v>
          </cell>
          <cell r="AC727" t="str">
            <v>[]</v>
          </cell>
          <cell r="AD727" t="str">
            <v>[]</v>
          </cell>
          <cell r="AE727" t="str">
            <v>[]</v>
          </cell>
          <cell r="AF727" t="str">
            <v>yanluowang_skill02</v>
          </cell>
          <cell r="AG727" t="str">
            <v>[]</v>
          </cell>
          <cell r="AH727" t="str">
            <v>[]</v>
          </cell>
          <cell r="AI727" t="str">
            <v>[]</v>
          </cell>
          <cell r="AJ727" t="str">
            <v>yanluowang_zhenping_02</v>
          </cell>
          <cell r="AK727" t="str">
            <v>[]</v>
          </cell>
          <cell r="AL727" t="str">
            <v>[]</v>
          </cell>
          <cell r="AM727" t="str">
            <v>[]</v>
          </cell>
          <cell r="AN727">
            <v>2</v>
          </cell>
          <cell r="AO727" t="str">
            <v>1</v>
          </cell>
          <cell r="AP727">
            <v>636</v>
          </cell>
          <cell r="AQ727">
            <v>636</v>
          </cell>
          <cell r="AR727" t="str">
            <v>[]</v>
          </cell>
          <cell r="AS727" t="str">
            <v>[]</v>
          </cell>
          <cell r="AT727" t="str">
            <v>6080</v>
          </cell>
          <cell r="AU727" t="str">
            <v>6080</v>
          </cell>
          <cell r="AV727" t="str">
            <v>银角大王</v>
          </cell>
          <cell r="AW727" t="str">
            <v>02</v>
          </cell>
          <cell r="AY727">
            <v>1</v>
          </cell>
          <cell r="BE727"/>
          <cell r="BF727"/>
        </row>
        <row r="728">
          <cell r="A728" t="str">
            <v>boss_yanluowang_skill04</v>
          </cell>
          <cell r="B728" t="str">
            <v>生死令</v>
          </cell>
          <cell r="C728" t="str">
            <v>yanluowang_skill04</v>
          </cell>
          <cell r="D728" t="str">
            <v>[]</v>
          </cell>
          <cell r="E728">
            <v>1</v>
          </cell>
          <cell r="F728" t="str">
            <v>boss_warning_yuanxing</v>
          </cell>
          <cell r="G728" t="str">
            <v>银角大王技能4</v>
          </cell>
          <cell r="H728" t="str">
            <v>yanluowang_skill04</v>
          </cell>
          <cell r="I728" t="str">
            <v>[]</v>
          </cell>
          <cell r="J728">
            <v>3</v>
          </cell>
          <cell r="K728">
            <v>10</v>
          </cell>
          <cell r="L728" t="str">
            <v>[]</v>
          </cell>
          <cell r="M728">
            <v>2</v>
          </cell>
          <cell r="N728">
            <v>2</v>
          </cell>
          <cell r="O728">
            <v>1</v>
          </cell>
          <cell r="P728">
            <v>2</v>
          </cell>
          <cell r="Q728">
            <v>12</v>
          </cell>
          <cell r="R728" t="str">
            <v>2|1</v>
          </cell>
          <cell r="S728" t="str">
            <v>2|10</v>
          </cell>
          <cell r="T728">
            <v>10</v>
          </cell>
          <cell r="U728">
            <v>1</v>
          </cell>
          <cell r="V728">
            <v>0</v>
          </cell>
          <cell r="W728" t="str">
            <v>[]</v>
          </cell>
          <cell r="X728">
            <v>3</v>
          </cell>
          <cell r="Y728" t="str">
            <v>[]</v>
          </cell>
          <cell r="Z728" t="str">
            <v>0,2.77,0</v>
          </cell>
          <cell r="AA728">
            <v>0</v>
          </cell>
          <cell r="AB728" t="str">
            <v>10</v>
          </cell>
          <cell r="AC728" t="str">
            <v>[]</v>
          </cell>
          <cell r="AD728" t="str">
            <v>[]</v>
          </cell>
          <cell r="AE728" t="str">
            <v>yanluowang_skill04</v>
          </cell>
          <cell r="AF728" t="str">
            <v>yanluowang_skill04_f</v>
          </cell>
          <cell r="AG728" t="str">
            <v>yanluowang_skill04_b,yanluowang_skill04_bb</v>
          </cell>
          <cell r="AH728" t="str">
            <v>[]</v>
          </cell>
          <cell r="AI728" t="str">
            <v>[]</v>
          </cell>
          <cell r="AJ728" t="str">
            <v>[]</v>
          </cell>
          <cell r="AK728" t="str">
            <v>[]</v>
          </cell>
          <cell r="AL728" t="str">
            <v>[]</v>
          </cell>
          <cell r="AM728" t="str">
            <v>jiashangupT3N0.1</v>
          </cell>
          <cell r="AN728">
            <v>2</v>
          </cell>
          <cell r="AO728" t="str">
            <v>1</v>
          </cell>
          <cell r="AP728">
            <v>636</v>
          </cell>
          <cell r="AQ728">
            <v>636</v>
          </cell>
          <cell r="AR728" t="str">
            <v>[]</v>
          </cell>
          <cell r="AS728" t="str">
            <v>[]</v>
          </cell>
          <cell r="AT728" t="str">
            <v>6100</v>
          </cell>
          <cell r="AU728" t="str">
            <v>6100</v>
          </cell>
          <cell r="AV728" t="str">
            <v>银角大王</v>
          </cell>
          <cell r="AW728" t="str">
            <v>04</v>
          </cell>
          <cell r="AX728"/>
          <cell r="AY728">
            <v>1</v>
          </cell>
          <cell r="BE728"/>
          <cell r="BF728"/>
        </row>
        <row r="729">
          <cell r="A729" t="str">
            <v>boss_yinhunxianzi_skill01</v>
          </cell>
          <cell r="B729" t="str">
            <v>灯引百魂</v>
          </cell>
          <cell r="C729" t="str">
            <v>yinhunxianzi_skill01</v>
          </cell>
          <cell r="D729" t="str">
            <v>[]</v>
          </cell>
          <cell r="E729">
            <v>1</v>
          </cell>
          <cell r="F729" t="str">
            <v>boss_warning_yuanxing</v>
          </cell>
          <cell r="G729" t="str">
            <v>引魂仙子核心技能1</v>
          </cell>
          <cell r="H729" t="str">
            <v>yinhunxianzi_skill01</v>
          </cell>
          <cell r="I729" t="str">
            <v>yinhunxianzi_skill01</v>
          </cell>
          <cell r="J729">
            <v>0</v>
          </cell>
          <cell r="K729">
            <v>10</v>
          </cell>
          <cell r="L729" t="str">
            <v>1|41</v>
          </cell>
          <cell r="M729">
            <v>2</v>
          </cell>
          <cell r="N729">
            <v>2</v>
          </cell>
          <cell r="O729">
            <v>2</v>
          </cell>
          <cell r="P729">
            <v>2</v>
          </cell>
          <cell r="Q729">
            <v>12</v>
          </cell>
          <cell r="R729" t="str">
            <v>2|1</v>
          </cell>
          <cell r="S729" t="str">
            <v>2|10</v>
          </cell>
          <cell r="T729">
            <v>10</v>
          </cell>
          <cell r="U729">
            <v>0</v>
          </cell>
          <cell r="V729">
            <v>0</v>
          </cell>
          <cell r="W729" t="str">
            <v>[]</v>
          </cell>
          <cell r="X729">
            <v>0</v>
          </cell>
          <cell r="Y729" t="str">
            <v>[]</v>
          </cell>
          <cell r="Z729" t="str">
            <v>0,0,0</v>
          </cell>
          <cell r="AA729">
            <v>0</v>
          </cell>
          <cell r="AB729" t="str">
            <v>10</v>
          </cell>
          <cell r="AC729" t="str">
            <v>[]</v>
          </cell>
          <cell r="AD729" t="str">
            <v>[]</v>
          </cell>
          <cell r="AE729" t="str">
            <v>[]</v>
          </cell>
          <cell r="AF729" t="str">
            <v>yinhunxianzi_skill01</v>
          </cell>
          <cell r="AG729" t="str">
            <v>[]</v>
          </cell>
          <cell r="AH729" t="str">
            <v>[]</v>
          </cell>
          <cell r="AI729" t="str">
            <v>[]</v>
          </cell>
          <cell r="AJ729" t="str">
            <v>[]</v>
          </cell>
          <cell r="AK729" t="str">
            <v>[]</v>
          </cell>
          <cell r="AL729" t="str">
            <v>[]</v>
          </cell>
          <cell r="AM729" t="str">
            <v>[]</v>
          </cell>
          <cell r="AN729">
            <v>2</v>
          </cell>
          <cell r="AO729" t="str">
            <v>1</v>
          </cell>
          <cell r="AP729">
            <v>636</v>
          </cell>
          <cell r="AQ729">
            <v>636</v>
          </cell>
          <cell r="AR729" t="str">
            <v>[]</v>
          </cell>
          <cell r="AS729" t="str">
            <v>[]</v>
          </cell>
          <cell r="AT729" t="str">
            <v>6120</v>
          </cell>
          <cell r="AU729" t="str">
            <v>6120</v>
          </cell>
          <cell r="AV729" t="str">
            <v>引魂仙子</v>
          </cell>
          <cell r="AW729" t="str">
            <v>01</v>
          </cell>
          <cell r="AY729">
            <v>1</v>
          </cell>
          <cell r="BE729"/>
          <cell r="BF729"/>
        </row>
        <row r="730">
          <cell r="A730" t="str">
            <v>boss_yinhunxianzi_skill02</v>
          </cell>
          <cell r="B730" t="str">
            <v>狂暴木桩</v>
          </cell>
          <cell r="C730" t="str">
            <v>yinhunxianzi_skill02</v>
          </cell>
          <cell r="D730" t="str">
            <v>[]</v>
          </cell>
          <cell r="E730">
            <v>1</v>
          </cell>
          <cell r="F730" t="str">
            <v>boss_warning_yuanxing</v>
          </cell>
          <cell r="G730" t="str">
            <v>引魂仙子技能2</v>
          </cell>
          <cell r="H730" t="str">
            <v>yinhunxianzi_skill02</v>
          </cell>
          <cell r="I730" t="str">
            <v>[]</v>
          </cell>
          <cell r="J730">
            <v>1</v>
          </cell>
          <cell r="K730">
            <v>10</v>
          </cell>
          <cell r="L730" t="str">
            <v>[]</v>
          </cell>
          <cell r="M730">
            <v>2</v>
          </cell>
          <cell r="N730">
            <v>2</v>
          </cell>
          <cell r="O730">
            <v>1</v>
          </cell>
          <cell r="P730">
            <v>2</v>
          </cell>
          <cell r="Q730">
            <v>12</v>
          </cell>
          <cell r="R730" t="str">
            <v>2|1</v>
          </cell>
          <cell r="S730" t="str">
            <v>2|4</v>
          </cell>
          <cell r="T730">
            <v>10</v>
          </cell>
          <cell r="U730">
            <v>0</v>
          </cell>
          <cell r="V730">
            <v>0</v>
          </cell>
          <cell r="W730" t="str">
            <v>[]</v>
          </cell>
          <cell r="X730">
            <v>3</v>
          </cell>
          <cell r="Y730" t="str">
            <v>[]</v>
          </cell>
          <cell r="Z730" t="str">
            <v>0,2.167,0</v>
          </cell>
          <cell r="AA730">
            <v>0</v>
          </cell>
          <cell r="AB730" t="str">
            <v>10</v>
          </cell>
          <cell r="AC730" t="str">
            <v>[]</v>
          </cell>
          <cell r="AD730" t="str">
            <v>[]</v>
          </cell>
          <cell r="AE730" t="str">
            <v>yinhunxianzi_skill02_q</v>
          </cell>
          <cell r="AF730" t="str">
            <v>yinhunxianzi_skill02</v>
          </cell>
          <cell r="AG730" t="str">
            <v>common_hit_fashu</v>
          </cell>
          <cell r="AH730" t="str">
            <v>[]</v>
          </cell>
          <cell r="AI730" t="str">
            <v>[]</v>
          </cell>
          <cell r="AJ730" t="str">
            <v>youyinhun_zhenping</v>
          </cell>
          <cell r="AK730" t="str">
            <v>yinhunxianzi_jifei</v>
          </cell>
          <cell r="AL730" t="str">
            <v>[]</v>
          </cell>
          <cell r="AM730" t="str">
            <v>[]</v>
          </cell>
          <cell r="AN730">
            <v>2</v>
          </cell>
          <cell r="AO730" t="str">
            <v>1</v>
          </cell>
          <cell r="AP730">
            <v>636</v>
          </cell>
          <cell r="AQ730">
            <v>636</v>
          </cell>
          <cell r="AR730" t="str">
            <v>[]</v>
          </cell>
          <cell r="AS730" t="str">
            <v>[]</v>
          </cell>
          <cell r="AT730" t="str">
            <v>6130</v>
          </cell>
          <cell r="AU730" t="str">
            <v>6130</v>
          </cell>
          <cell r="AV730" t="str">
            <v>引魂仙子</v>
          </cell>
          <cell r="AW730" t="str">
            <v>02</v>
          </cell>
          <cell r="AY730">
            <v>1</v>
          </cell>
          <cell r="BE730"/>
          <cell r="BF730"/>
        </row>
        <row r="731">
          <cell r="A731" t="str">
            <v>boss_yinhunxianzi_skill04</v>
          </cell>
          <cell r="B731" t="str">
            <v>咒魂召唤</v>
          </cell>
          <cell r="C731" t="str">
            <v>yinhunxianzi_skill04</v>
          </cell>
          <cell r="D731" t="str">
            <v>[]</v>
          </cell>
          <cell r="E731">
            <v>1</v>
          </cell>
          <cell r="F731" t="str">
            <v>boss_warning_yuanxing</v>
          </cell>
          <cell r="G731" t="str">
            <v>引魂仙子技能4</v>
          </cell>
          <cell r="H731" t="str">
            <v>yinhunxianzi_skill04</v>
          </cell>
          <cell r="I731" t="str">
            <v>[]</v>
          </cell>
          <cell r="J731">
            <v>3</v>
          </cell>
          <cell r="K731">
            <v>10</v>
          </cell>
          <cell r="L731" t="str">
            <v>[]</v>
          </cell>
          <cell r="M731">
            <v>2</v>
          </cell>
          <cell r="N731">
            <v>2</v>
          </cell>
          <cell r="O731">
            <v>1</v>
          </cell>
          <cell r="P731">
            <v>2</v>
          </cell>
          <cell r="Q731">
            <v>12</v>
          </cell>
          <cell r="R731" t="str">
            <v>2|1</v>
          </cell>
          <cell r="S731" t="str">
            <v>2|10</v>
          </cell>
          <cell r="T731">
            <v>10</v>
          </cell>
          <cell r="U731">
            <v>0</v>
          </cell>
          <cell r="V731">
            <v>0</v>
          </cell>
          <cell r="W731" t="str">
            <v>[]</v>
          </cell>
          <cell r="X731">
            <v>3</v>
          </cell>
          <cell r="Y731" t="str">
            <v>[]</v>
          </cell>
          <cell r="Z731" t="str">
            <v>0,2.333,0</v>
          </cell>
          <cell r="AA731">
            <v>0</v>
          </cell>
          <cell r="AB731" t="str">
            <v>10</v>
          </cell>
          <cell r="AC731" t="str">
            <v>[]</v>
          </cell>
          <cell r="AD731" t="str">
            <v>[]</v>
          </cell>
          <cell r="AE731" t="str">
            <v>[]</v>
          </cell>
          <cell r="AF731" t="str">
            <v>yinhunxianzi_skill04</v>
          </cell>
          <cell r="AG731" t="str">
            <v>common_hit_fashu</v>
          </cell>
          <cell r="AH731" t="str">
            <v>[]</v>
          </cell>
          <cell r="AI731" t="str">
            <v>[]</v>
          </cell>
          <cell r="AJ731" t="str">
            <v>[]</v>
          </cell>
          <cell r="AK731" t="str">
            <v>[]</v>
          </cell>
          <cell r="AL731" t="str">
            <v>[]</v>
          </cell>
          <cell r="AM731" t="str">
            <v>gongsudownT3N0.2</v>
          </cell>
          <cell r="AN731">
            <v>2</v>
          </cell>
          <cell r="AO731" t="str">
            <v>1</v>
          </cell>
          <cell r="AP731">
            <v>636</v>
          </cell>
          <cell r="AQ731">
            <v>636</v>
          </cell>
          <cell r="AR731" t="str">
            <v>[]</v>
          </cell>
          <cell r="AS731" t="str">
            <v>[]</v>
          </cell>
          <cell r="AT731" t="str">
            <v>6150</v>
          </cell>
          <cell r="AU731" t="str">
            <v>6150</v>
          </cell>
          <cell r="AV731" t="str">
            <v>引魂仙子</v>
          </cell>
          <cell r="AW731" t="str">
            <v>04</v>
          </cell>
          <cell r="AX731"/>
          <cell r="AY731">
            <v>1</v>
          </cell>
          <cell r="BE731"/>
          <cell r="BF731"/>
        </row>
        <row r="732">
          <cell r="A732" t="str">
            <v>boss_baiwuchang_skill01</v>
          </cell>
          <cell r="B732" t="str">
            <v>魂飞魄散</v>
          </cell>
          <cell r="C732" t="str">
            <v>baiwuchang_skill01</v>
          </cell>
          <cell r="D732" t="str">
            <v>[]</v>
          </cell>
          <cell r="E732">
            <v>1</v>
          </cell>
          <cell r="F732" t="str">
            <v>boss_warning_yuanxing</v>
          </cell>
          <cell r="G732" t="str">
            <v>白无常核心技能</v>
          </cell>
          <cell r="H732" t="str">
            <v>baiwuchang_skill01</v>
          </cell>
          <cell r="I732" t="str">
            <v>baiwuchang_skill01</v>
          </cell>
          <cell r="J732">
            <v>0</v>
          </cell>
          <cell r="K732">
            <v>1</v>
          </cell>
          <cell r="L732" t="str">
            <v>1|11</v>
          </cell>
          <cell r="M732">
            <v>2</v>
          </cell>
          <cell r="N732">
            <v>2</v>
          </cell>
          <cell r="O732">
            <v>2</v>
          </cell>
          <cell r="P732">
            <v>2</v>
          </cell>
          <cell r="Q732">
            <v>12</v>
          </cell>
          <cell r="R732" t="str">
            <v>2|1</v>
          </cell>
          <cell r="S732" t="str">
            <v>2|10</v>
          </cell>
          <cell r="T732">
            <v>10</v>
          </cell>
          <cell r="U732">
            <v>1</v>
          </cell>
          <cell r="V732">
            <v>0</v>
          </cell>
          <cell r="W732" t="str">
            <v>[]</v>
          </cell>
          <cell r="X732">
            <v>0</v>
          </cell>
          <cell r="Y732" t="str">
            <v>[]</v>
          </cell>
          <cell r="Z732" t="str">
            <v>0,0,0</v>
          </cell>
          <cell r="AA732">
            <v>0</v>
          </cell>
          <cell r="AB732" t="str">
            <v>10</v>
          </cell>
          <cell r="AC732" t="str">
            <v>[]</v>
          </cell>
          <cell r="AD732" t="str">
            <v>[]</v>
          </cell>
          <cell r="AE732" t="str">
            <v>[]</v>
          </cell>
          <cell r="AF732" t="str">
            <v>baiwuchang_skill01</v>
          </cell>
          <cell r="AG732" t="str">
            <v>baiwuchang_skill01_buff</v>
          </cell>
          <cell r="AH732" t="str">
            <v>[]</v>
          </cell>
          <cell r="AI732" t="str">
            <v>[]</v>
          </cell>
          <cell r="AJ732" t="str">
            <v>[]</v>
          </cell>
          <cell r="AK732" t="str">
            <v>[]</v>
          </cell>
          <cell r="AL732" t="str">
            <v>[]</v>
          </cell>
          <cell r="AM732" t="str">
            <v>liuxueT6N0.1</v>
          </cell>
          <cell r="AN732">
            <v>2</v>
          </cell>
          <cell r="AO732" t="str">
            <v>1</v>
          </cell>
          <cell r="AP732">
            <v>636</v>
          </cell>
          <cell r="AQ732">
            <v>636</v>
          </cell>
          <cell r="AR732" t="str">
            <v>[]</v>
          </cell>
          <cell r="AS732" t="str">
            <v>[]</v>
          </cell>
          <cell r="AT732" t="str">
            <v>6170</v>
          </cell>
          <cell r="AU732" t="str">
            <v>6170</v>
          </cell>
          <cell r="AV732" t="str">
            <v>白无常</v>
          </cell>
          <cell r="AW732" t="str">
            <v>01</v>
          </cell>
          <cell r="AY732">
            <v>1</v>
          </cell>
          <cell r="BE732"/>
          <cell r="BF732"/>
        </row>
        <row r="733">
          <cell r="A733" t="str">
            <v>boss_baiwuchang_skill02</v>
          </cell>
          <cell r="B733" t="str">
            <v>夺魄</v>
          </cell>
          <cell r="C733" t="str">
            <v>baiwuchang_skill02</v>
          </cell>
          <cell r="D733" t="str">
            <v>[]</v>
          </cell>
          <cell r="E733">
            <v>1</v>
          </cell>
          <cell r="F733" t="str">
            <v>boss_warning_yuanxing</v>
          </cell>
          <cell r="G733" t="str">
            <v>白无常技能2</v>
          </cell>
          <cell r="H733" t="str">
            <v>baiwuchang_skill02</v>
          </cell>
          <cell r="I733" t="str">
            <v>[]</v>
          </cell>
          <cell r="J733">
            <v>1</v>
          </cell>
          <cell r="K733">
            <v>1</v>
          </cell>
          <cell r="L733" t="str">
            <v>[]</v>
          </cell>
          <cell r="M733">
            <v>2</v>
          </cell>
          <cell r="N733">
            <v>2</v>
          </cell>
          <cell r="O733">
            <v>2</v>
          </cell>
          <cell r="P733">
            <v>2</v>
          </cell>
          <cell r="Q733">
            <v>12</v>
          </cell>
          <cell r="R733">
            <v>0</v>
          </cell>
          <cell r="S733" t="str">
            <v>4|0.2</v>
          </cell>
          <cell r="T733">
            <v>1</v>
          </cell>
          <cell r="U733">
            <v>1</v>
          </cell>
          <cell r="V733">
            <v>0</v>
          </cell>
          <cell r="W733" t="str">
            <v>[]</v>
          </cell>
          <cell r="X733">
            <v>3</v>
          </cell>
          <cell r="Y733" t="str">
            <v>[]</v>
          </cell>
          <cell r="Z733" t="str">
            <v>0,1.98,1.353</v>
          </cell>
          <cell r="AA733">
            <v>0</v>
          </cell>
          <cell r="AB733" t="str">
            <v>10</v>
          </cell>
          <cell r="AC733" t="str">
            <v>[]</v>
          </cell>
          <cell r="AD733" t="str">
            <v>[]</v>
          </cell>
          <cell r="AE733" t="str">
            <v>[]</v>
          </cell>
          <cell r="AF733" t="str">
            <v>temp_baiwuchang_skill02</v>
          </cell>
          <cell r="AG733" t="str">
            <v>common_hit_fashu</v>
          </cell>
          <cell r="AH733" t="str">
            <v>[]</v>
          </cell>
          <cell r="AI733" t="str">
            <v>[]</v>
          </cell>
          <cell r="AJ733" t="str">
            <v>[]</v>
          </cell>
          <cell r="AK733" t="str">
            <v>meihuoT2NP0.2</v>
          </cell>
          <cell r="AL733" t="str">
            <v>baojiupT3N0.1</v>
          </cell>
          <cell r="AM733" t="str">
            <v>[]</v>
          </cell>
          <cell r="AN733">
            <v>2</v>
          </cell>
          <cell r="AO733" t="str">
            <v>1</v>
          </cell>
          <cell r="AP733">
            <v>636</v>
          </cell>
          <cell r="AQ733">
            <v>636</v>
          </cell>
          <cell r="AR733" t="str">
            <v>[]</v>
          </cell>
          <cell r="AS733" t="str">
            <v>[]</v>
          </cell>
          <cell r="AT733" t="str">
            <v>6180</v>
          </cell>
          <cell r="AU733" t="str">
            <v>6180</v>
          </cell>
          <cell r="AV733" t="str">
            <v>白无常</v>
          </cell>
          <cell r="AW733" t="str">
            <v>02</v>
          </cell>
          <cell r="AY733">
            <v>1</v>
          </cell>
          <cell r="BE733"/>
          <cell r="BF733"/>
        </row>
        <row r="734">
          <cell r="A734" t="str">
            <v>boss_baiwuchang_skill04</v>
          </cell>
          <cell r="B734" t="str">
            <v>镇魂</v>
          </cell>
          <cell r="C734" t="str">
            <v>baiwuchang_skill04</v>
          </cell>
          <cell r="D734" t="str">
            <v>[]</v>
          </cell>
          <cell r="E734">
            <v>1</v>
          </cell>
          <cell r="F734" t="str">
            <v>boss_warning_yuanxing</v>
          </cell>
          <cell r="G734" t="str">
            <v>白无常技能4</v>
          </cell>
          <cell r="H734" t="str">
            <v>baiwuchang_skill04</v>
          </cell>
          <cell r="I734" t="str">
            <v>[]</v>
          </cell>
          <cell r="J734">
            <v>3</v>
          </cell>
          <cell r="K734">
            <v>1</v>
          </cell>
          <cell r="L734" t="str">
            <v>[]</v>
          </cell>
          <cell r="M734">
            <v>2</v>
          </cell>
          <cell r="N734">
            <v>2</v>
          </cell>
          <cell r="O734">
            <v>1</v>
          </cell>
          <cell r="P734">
            <v>2</v>
          </cell>
          <cell r="Q734">
            <v>12</v>
          </cell>
          <cell r="R734" t="str">
            <v>2|1</v>
          </cell>
          <cell r="S734" t="str">
            <v>2|10</v>
          </cell>
          <cell r="T734">
            <v>10</v>
          </cell>
          <cell r="U734">
            <v>0</v>
          </cell>
          <cell r="V734">
            <v>0</v>
          </cell>
          <cell r="W734" t="str">
            <v>[]</v>
          </cell>
          <cell r="X734">
            <v>3</v>
          </cell>
          <cell r="Y734" t="str">
            <v>[]</v>
          </cell>
          <cell r="Z734" t="str">
            <v>0,0.429,4.771</v>
          </cell>
          <cell r="AA734">
            <v>0</v>
          </cell>
          <cell r="AB734" t="str">
            <v>10</v>
          </cell>
          <cell r="AC734" t="str">
            <v>[]</v>
          </cell>
          <cell r="AD734" t="str">
            <v>[]</v>
          </cell>
          <cell r="AE734" t="str">
            <v>[]</v>
          </cell>
          <cell r="AF734" t="str">
            <v>baiwuchang_skill04</v>
          </cell>
          <cell r="AG734" t="str">
            <v>baiwuchang_skill04_buff</v>
          </cell>
          <cell r="AH734" t="str">
            <v>[]</v>
          </cell>
          <cell r="AI734" t="str">
            <v>[]</v>
          </cell>
          <cell r="AJ734" t="str">
            <v>[]</v>
          </cell>
          <cell r="AK734" t="str">
            <v>[]</v>
          </cell>
          <cell r="AL734" t="str">
            <v>baojiupT3N0.1</v>
          </cell>
          <cell r="AM734" t="str">
            <v>[]</v>
          </cell>
          <cell r="AN734">
            <v>2</v>
          </cell>
          <cell r="AO734" t="str">
            <v>1</v>
          </cell>
          <cell r="AP734">
            <v>636</v>
          </cell>
          <cell r="AQ734">
            <v>636</v>
          </cell>
          <cell r="AR734" t="str">
            <v>[]</v>
          </cell>
          <cell r="AS734" t="str">
            <v>[]</v>
          </cell>
          <cell r="AT734" t="str">
            <v>6200</v>
          </cell>
          <cell r="AU734" t="str">
            <v>6200</v>
          </cell>
          <cell r="AV734" t="str">
            <v>白无常</v>
          </cell>
          <cell r="AW734" t="str">
            <v>04</v>
          </cell>
          <cell r="AX734"/>
          <cell r="AY734">
            <v>1</v>
          </cell>
          <cell r="BE734"/>
          <cell r="BF734"/>
        </row>
        <row r="735">
          <cell r="A735" t="str">
            <v>boss_heiwuchang_skill01</v>
          </cell>
          <cell r="B735" t="str">
            <v>鬼影无踪</v>
          </cell>
          <cell r="C735" t="str">
            <v>heiwuchang_skill01</v>
          </cell>
          <cell r="D735" t="str">
            <v>[]</v>
          </cell>
          <cell r="E735">
            <v>0</v>
          </cell>
          <cell r="F735" t="str">
            <v>[]</v>
          </cell>
          <cell r="G735" t="str">
            <v>黑无常核心技能</v>
          </cell>
          <cell r="H735" t="str">
            <v>heiwuchang_skill01</v>
          </cell>
          <cell r="I735" t="str">
            <v>heiwuchang_skill01</v>
          </cell>
          <cell r="J735">
            <v>0</v>
          </cell>
          <cell r="K735">
            <v>10</v>
          </cell>
          <cell r="L735" t="str">
            <v>1|24</v>
          </cell>
          <cell r="M735">
            <v>2</v>
          </cell>
          <cell r="N735">
            <v>2</v>
          </cell>
          <cell r="O735">
            <v>1</v>
          </cell>
          <cell r="P735">
            <v>4</v>
          </cell>
          <cell r="Q735">
            <v>12</v>
          </cell>
          <cell r="R735">
            <v>3</v>
          </cell>
          <cell r="S735" t="str">
            <v>2|20</v>
          </cell>
          <cell r="T735">
            <v>10</v>
          </cell>
          <cell r="U735">
            <v>0</v>
          </cell>
          <cell r="V735">
            <v>0</v>
          </cell>
          <cell r="W735" t="str">
            <v>[]</v>
          </cell>
          <cell r="X735">
            <v>0</v>
          </cell>
          <cell r="Y735" t="str">
            <v>[]</v>
          </cell>
          <cell r="Z735" t="str">
            <v>0,0,0</v>
          </cell>
          <cell r="AA735">
            <v>0</v>
          </cell>
          <cell r="AB735" t="str">
            <v>10</v>
          </cell>
          <cell r="AC735" t="str">
            <v>[]</v>
          </cell>
          <cell r="AD735" t="str">
            <v>[]</v>
          </cell>
          <cell r="AE735" t="str">
            <v>[]</v>
          </cell>
          <cell r="AF735" t="str">
            <v>heiwuchang_skill01</v>
          </cell>
          <cell r="AG735" t="str">
            <v>heiwuchang_skill01_buff</v>
          </cell>
          <cell r="AH735" t="str">
            <v>[]</v>
          </cell>
          <cell r="AI735" t="str">
            <v>[]</v>
          </cell>
          <cell r="AJ735" t="str">
            <v>[]</v>
          </cell>
          <cell r="AK735" t="str">
            <v>[]</v>
          </cell>
          <cell r="AL735" t="str">
            <v>[]</v>
          </cell>
          <cell r="AM735" t="str">
            <v>shanbiupT6N0.3</v>
          </cell>
          <cell r="AN735">
            <v>2</v>
          </cell>
          <cell r="AO735" t="str">
            <v>1</v>
          </cell>
          <cell r="AP735" t="str">
            <v>[]</v>
          </cell>
          <cell r="AQ735" t="str">
            <v>[]</v>
          </cell>
          <cell r="AR735" t="str">
            <v>[]</v>
          </cell>
          <cell r="AS735" t="str">
            <v>[]</v>
          </cell>
          <cell r="AT735" t="str">
            <v>6221</v>
          </cell>
          <cell r="AU735" t="str">
            <v>6221</v>
          </cell>
          <cell r="AV735" t="str">
            <v>黑无常</v>
          </cell>
          <cell r="AW735" t="str">
            <v>01</v>
          </cell>
          <cell r="AY735">
            <v>1</v>
          </cell>
          <cell r="BE735"/>
          <cell r="BF735"/>
        </row>
        <row r="736">
          <cell r="A736" t="str">
            <v>boss_heiwuchang_skill02</v>
          </cell>
          <cell r="B736" t="str">
            <v>离魂</v>
          </cell>
          <cell r="C736" t="str">
            <v>heiwuchang_skill02</v>
          </cell>
          <cell r="D736" t="str">
            <v>[]</v>
          </cell>
          <cell r="E736">
            <v>2</v>
          </cell>
          <cell r="F736" t="str">
            <v>boss_warning_juxing</v>
          </cell>
          <cell r="G736" t="str">
            <v>黑无常技能2</v>
          </cell>
          <cell r="H736" t="str">
            <v>heiwuchang_skill02</v>
          </cell>
          <cell r="I736" t="str">
            <v>[]</v>
          </cell>
          <cell r="J736">
            <v>1</v>
          </cell>
          <cell r="K736">
            <v>10</v>
          </cell>
          <cell r="L736" t="str">
            <v>[]</v>
          </cell>
          <cell r="M736">
            <v>2</v>
          </cell>
          <cell r="N736">
            <v>2</v>
          </cell>
          <cell r="O736">
            <v>1</v>
          </cell>
          <cell r="P736">
            <v>2</v>
          </cell>
          <cell r="Q736">
            <v>4</v>
          </cell>
          <cell r="R736" t="str">
            <v>2|1</v>
          </cell>
          <cell r="S736" t="str">
            <v>1|15|6</v>
          </cell>
          <cell r="T736">
            <v>10</v>
          </cell>
          <cell r="U736">
            <v>0</v>
          </cell>
          <cell r="V736">
            <v>0</v>
          </cell>
          <cell r="W736" t="str">
            <v>[]</v>
          </cell>
          <cell r="X736">
            <v>3</v>
          </cell>
          <cell r="Y736" t="str">
            <v>[]</v>
          </cell>
          <cell r="Z736" t="str">
            <v>0,1.8,1.53</v>
          </cell>
          <cell r="AA736">
            <v>0</v>
          </cell>
          <cell r="AB736" t="str">
            <v>10</v>
          </cell>
          <cell r="AC736" t="str">
            <v>[]</v>
          </cell>
          <cell r="AD736" t="str">
            <v>[]</v>
          </cell>
          <cell r="AE736" t="str">
            <v>[]</v>
          </cell>
          <cell r="AF736" t="str">
            <v>heiwuchang_skill02_q</v>
          </cell>
          <cell r="AG736" t="str">
            <v>common_hit_dunqi</v>
          </cell>
          <cell r="AH736" t="str">
            <v>[]</v>
          </cell>
          <cell r="AI736" t="str">
            <v>[]</v>
          </cell>
          <cell r="AJ736" t="str">
            <v>[]</v>
          </cell>
          <cell r="AK736" t="str">
            <v>[]</v>
          </cell>
          <cell r="AL736" t="str">
            <v>gongsuupT3N0.2,shanbiupT3N0.2</v>
          </cell>
          <cell r="AM736" t="str">
            <v>xuruoT3N0.1</v>
          </cell>
          <cell r="AN736">
            <v>2</v>
          </cell>
          <cell r="AO736" t="str">
            <v>1</v>
          </cell>
          <cell r="AP736">
            <v>636</v>
          </cell>
          <cell r="AQ736">
            <v>636</v>
          </cell>
          <cell r="AR736" t="str">
            <v>[]</v>
          </cell>
          <cell r="AS736" t="str">
            <v>[]</v>
          </cell>
          <cell r="AT736" t="str">
            <v>6230</v>
          </cell>
          <cell r="AU736" t="str">
            <v>6230</v>
          </cell>
          <cell r="AV736" t="str">
            <v>黑无常</v>
          </cell>
          <cell r="AW736" t="str">
            <v>02</v>
          </cell>
          <cell r="AY736">
            <v>1</v>
          </cell>
          <cell r="BE736"/>
          <cell r="BF736"/>
        </row>
        <row r="737">
          <cell r="A737" t="str">
            <v>boss_heiwuchang_skill04</v>
          </cell>
          <cell r="B737" t="str">
            <v>索命</v>
          </cell>
          <cell r="C737" t="str">
            <v>heiwuchang_skill04</v>
          </cell>
          <cell r="D737" t="str">
            <v>[]</v>
          </cell>
          <cell r="E737">
            <v>2</v>
          </cell>
          <cell r="F737" t="str">
            <v>boss_warning_yuanxing</v>
          </cell>
          <cell r="G737" t="str">
            <v>黑无常技能4</v>
          </cell>
          <cell r="H737" t="str">
            <v>heiwuchang_skill04</v>
          </cell>
          <cell r="I737" t="str">
            <v>[]</v>
          </cell>
          <cell r="J737">
            <v>3</v>
          </cell>
          <cell r="K737">
            <v>10</v>
          </cell>
          <cell r="L737" t="str">
            <v>[]</v>
          </cell>
          <cell r="M737">
            <v>2</v>
          </cell>
          <cell r="N737">
            <v>2</v>
          </cell>
          <cell r="O737">
            <v>1</v>
          </cell>
          <cell r="P737">
            <v>5</v>
          </cell>
          <cell r="Q737">
            <v>4</v>
          </cell>
          <cell r="R737" t="str">
            <v>2|1</v>
          </cell>
          <cell r="S737" t="str">
            <v>2|5</v>
          </cell>
          <cell r="T737">
            <v>10</v>
          </cell>
          <cell r="U737">
            <v>0</v>
          </cell>
          <cell r="V737">
            <v>0</v>
          </cell>
          <cell r="W737" t="str">
            <v>[]</v>
          </cell>
          <cell r="X737">
            <v>3</v>
          </cell>
          <cell r="Y737" t="str">
            <v>[]</v>
          </cell>
          <cell r="Z737" t="str">
            <v>0,1.667,3.53</v>
          </cell>
          <cell r="AA737">
            <v>0</v>
          </cell>
          <cell r="AB737" t="str">
            <v>10</v>
          </cell>
          <cell r="AC737" t="str">
            <v>[]</v>
          </cell>
          <cell r="AD737" t="str">
            <v>[]</v>
          </cell>
          <cell r="AE737" t="str">
            <v>[]</v>
          </cell>
          <cell r="AF737" t="str">
            <v>heiwuchang_skill04</v>
          </cell>
          <cell r="AG737" t="str">
            <v>respond_hp</v>
          </cell>
          <cell r="AH737" t="str">
            <v>[]</v>
          </cell>
          <cell r="AI737" t="str">
            <v>[]</v>
          </cell>
          <cell r="AJ737" t="str">
            <v>jinghuaTN1P1</v>
          </cell>
          <cell r="AK737" t="str">
            <v>[]</v>
          </cell>
          <cell r="AL737" t="str">
            <v>[]</v>
          </cell>
          <cell r="AM737" t="str">
            <v>[]</v>
          </cell>
          <cell r="AN737">
            <v>2</v>
          </cell>
          <cell r="AO737" t="str">
            <v>1</v>
          </cell>
          <cell r="AP737">
            <v>622</v>
          </cell>
          <cell r="AQ737">
            <v>636</v>
          </cell>
          <cell r="AR737" t="str">
            <v>[]</v>
          </cell>
          <cell r="AS737" t="str">
            <v>[]</v>
          </cell>
          <cell r="AT737" t="str">
            <v>6250</v>
          </cell>
          <cell r="AU737" t="str">
            <v>6250</v>
          </cell>
          <cell r="AV737" t="str">
            <v>黑无常</v>
          </cell>
          <cell r="AW737" t="str">
            <v>04</v>
          </cell>
          <cell r="AX737"/>
          <cell r="AY737">
            <v>1</v>
          </cell>
          <cell r="BE737"/>
          <cell r="BF737"/>
        </row>
        <row r="738">
          <cell r="A738" t="str">
            <v>boss_renshenwa_skill01</v>
          </cell>
          <cell r="B738" t="str">
            <v>表面人参果</v>
          </cell>
          <cell r="C738" t="str">
            <v>renshenwa_skill01</v>
          </cell>
          <cell r="D738" t="str">
            <v>[]</v>
          </cell>
          <cell r="E738">
            <v>1</v>
          </cell>
          <cell r="F738" t="str">
            <v>boss_warning_yuanxing</v>
          </cell>
          <cell r="G738" t="str">
            <v>人生娃核心技能</v>
          </cell>
          <cell r="H738" t="str">
            <v>renshenwa_skill01</v>
          </cell>
          <cell r="I738" t="str">
            <v>renshenwa_skill01</v>
          </cell>
          <cell r="J738">
            <v>0</v>
          </cell>
          <cell r="K738">
            <v>10</v>
          </cell>
          <cell r="L738" t="str">
            <v>1|29</v>
          </cell>
          <cell r="M738">
            <v>2</v>
          </cell>
          <cell r="N738">
            <v>2</v>
          </cell>
          <cell r="O738">
            <v>2</v>
          </cell>
          <cell r="P738">
            <v>2</v>
          </cell>
          <cell r="Q738">
            <v>12</v>
          </cell>
          <cell r="R738" t="str">
            <v>2|1</v>
          </cell>
          <cell r="S738" t="str">
            <v>2|10</v>
          </cell>
          <cell r="T738">
            <v>10</v>
          </cell>
          <cell r="U738">
            <v>0</v>
          </cell>
          <cell r="V738">
            <v>0</v>
          </cell>
          <cell r="W738" t="str">
            <v>[]</v>
          </cell>
          <cell r="X738">
            <v>0</v>
          </cell>
          <cell r="Y738" t="str">
            <v>[]</v>
          </cell>
          <cell r="Z738" t="str">
            <v>0,0,0</v>
          </cell>
          <cell r="AA738">
            <v>0</v>
          </cell>
          <cell r="AB738" t="str">
            <v>10</v>
          </cell>
          <cell r="AC738" t="str">
            <v>[]</v>
          </cell>
          <cell r="AD738" t="str">
            <v>[]</v>
          </cell>
          <cell r="AE738" t="str">
            <v>[]</v>
          </cell>
          <cell r="AF738" t="str">
            <v>renshenwa_skill01</v>
          </cell>
          <cell r="AG738" t="str">
            <v>common_hit_fashu</v>
          </cell>
          <cell r="AH738" t="str">
            <v>[]</v>
          </cell>
          <cell r="AI738" t="str">
            <v>[]</v>
          </cell>
          <cell r="AJ738" t="str">
            <v>[]</v>
          </cell>
          <cell r="AK738" t="str">
            <v>[]</v>
          </cell>
          <cell r="AL738" t="str">
            <v>[]</v>
          </cell>
          <cell r="AM738" t="str">
            <v>zhongduT6N0.1</v>
          </cell>
          <cell r="AN738">
            <v>2</v>
          </cell>
          <cell r="AO738" t="str">
            <v>1</v>
          </cell>
          <cell r="AP738">
            <v>636</v>
          </cell>
          <cell r="AQ738">
            <v>636</v>
          </cell>
          <cell r="AR738" t="str">
            <v>[]</v>
          </cell>
          <cell r="AS738" t="str">
            <v>[]</v>
          </cell>
          <cell r="AT738" t="str">
            <v>6270</v>
          </cell>
          <cell r="AU738" t="str">
            <v>6270</v>
          </cell>
          <cell r="AV738" t="str">
            <v>人生娃</v>
          </cell>
          <cell r="AW738" t="str">
            <v>01</v>
          </cell>
          <cell r="AY738">
            <v>1</v>
          </cell>
          <cell r="BE738"/>
          <cell r="BF738"/>
        </row>
        <row r="739">
          <cell r="A739" t="str">
            <v>boss_renshenwa_skill02</v>
          </cell>
          <cell r="B739" t="str">
            <v>波浪战鼓</v>
          </cell>
          <cell r="C739" t="str">
            <v>renshenwa_skill02</v>
          </cell>
          <cell r="D739" t="str">
            <v>[]</v>
          </cell>
          <cell r="E739">
            <v>1</v>
          </cell>
          <cell r="F739" t="str">
            <v>boss_warning_yuanxing</v>
          </cell>
          <cell r="G739" t="str">
            <v>人生娃AI技能1</v>
          </cell>
          <cell r="H739" t="str">
            <v>renshenwa_skill02</v>
          </cell>
          <cell r="I739" t="str">
            <v>[]</v>
          </cell>
          <cell r="J739">
            <v>1</v>
          </cell>
          <cell r="K739">
            <v>10</v>
          </cell>
          <cell r="L739" t="str">
            <v>[]</v>
          </cell>
          <cell r="M739">
            <v>2</v>
          </cell>
          <cell r="N739">
            <v>2</v>
          </cell>
          <cell r="O739">
            <v>1</v>
          </cell>
          <cell r="P739">
            <v>2</v>
          </cell>
          <cell r="Q739">
            <v>12</v>
          </cell>
          <cell r="R739" t="str">
            <v>2|1</v>
          </cell>
          <cell r="S739" t="str">
            <v>2|10</v>
          </cell>
          <cell r="T739">
            <v>1</v>
          </cell>
          <cell r="U739">
            <v>1</v>
          </cell>
          <cell r="V739">
            <v>0</v>
          </cell>
          <cell r="W739" t="str">
            <v>[]</v>
          </cell>
          <cell r="X739">
            <v>3</v>
          </cell>
          <cell r="Y739" t="str">
            <v>[]</v>
          </cell>
          <cell r="Z739" t="str">
            <v>0,1,0.4</v>
          </cell>
          <cell r="AA739">
            <v>0</v>
          </cell>
          <cell r="AB739" t="str">
            <v>10</v>
          </cell>
          <cell r="AC739" t="str">
            <v>[]</v>
          </cell>
          <cell r="AD739" t="str">
            <v>[]</v>
          </cell>
          <cell r="AE739" t="str">
            <v>[]</v>
          </cell>
          <cell r="AF739" t="str">
            <v>renshenwa_skill02_bip01</v>
          </cell>
          <cell r="AG739" t="str">
            <v>renshenwa_skill02_b</v>
          </cell>
          <cell r="AH739" t="str">
            <v>[]</v>
          </cell>
          <cell r="AI739" t="str">
            <v>[]</v>
          </cell>
          <cell r="AJ739" t="str">
            <v>[]</v>
          </cell>
          <cell r="AK739" t="str">
            <v>[]</v>
          </cell>
          <cell r="AL739" t="str">
            <v>[]</v>
          </cell>
          <cell r="AM739" t="str">
            <v>[]</v>
          </cell>
          <cell r="AN739">
            <v>2</v>
          </cell>
          <cell r="AO739" t="str">
            <v>1</v>
          </cell>
          <cell r="AP739">
            <v>636</v>
          </cell>
          <cell r="AQ739">
            <v>636</v>
          </cell>
          <cell r="AR739" t="str">
            <v>[]</v>
          </cell>
          <cell r="AS739" t="str">
            <v>[]</v>
          </cell>
          <cell r="AT739" t="str">
            <v>6281</v>
          </cell>
          <cell r="AU739" t="str">
            <v>6281</v>
          </cell>
          <cell r="AV739" t="str">
            <v>人生娃</v>
          </cell>
          <cell r="AW739" t="str">
            <v>02</v>
          </cell>
          <cell r="AY739">
            <v>1</v>
          </cell>
          <cell r="BE739"/>
          <cell r="BF739"/>
        </row>
        <row r="740">
          <cell r="A740" t="str">
            <v>boss_renshenwa_skill04</v>
          </cell>
          <cell r="B740" t="str">
            <v>波浪重锤</v>
          </cell>
          <cell r="C740" t="str">
            <v>renshenwa_skill04</v>
          </cell>
          <cell r="D740" t="str">
            <v>[]</v>
          </cell>
          <cell r="E740">
            <v>2</v>
          </cell>
          <cell r="F740" t="str">
            <v>boss_warning_yuanxing</v>
          </cell>
          <cell r="G740" t="str">
            <v>人生娃技能2</v>
          </cell>
          <cell r="H740" t="str">
            <v>renshenwa_skill04</v>
          </cell>
          <cell r="I740" t="str">
            <v>[]</v>
          </cell>
          <cell r="J740">
            <v>3</v>
          </cell>
          <cell r="K740">
            <v>10</v>
          </cell>
          <cell r="L740" t="str">
            <v>[]</v>
          </cell>
          <cell r="M740">
            <v>2</v>
          </cell>
          <cell r="N740">
            <v>2</v>
          </cell>
          <cell r="O740">
            <v>1</v>
          </cell>
          <cell r="P740">
            <v>2</v>
          </cell>
          <cell r="Q740">
            <v>4</v>
          </cell>
          <cell r="R740" t="str">
            <v>2|1</v>
          </cell>
          <cell r="S740" t="str">
            <v>2|10</v>
          </cell>
          <cell r="T740">
            <v>10</v>
          </cell>
          <cell r="U740">
            <v>1</v>
          </cell>
          <cell r="V740">
            <v>0</v>
          </cell>
          <cell r="W740" t="str">
            <v>[]</v>
          </cell>
          <cell r="X740">
            <v>3</v>
          </cell>
          <cell r="Y740" t="str">
            <v>[]</v>
          </cell>
          <cell r="Z740" t="str">
            <v>0,0.94,0.627</v>
          </cell>
          <cell r="AA740">
            <v>0</v>
          </cell>
          <cell r="AB740" t="str">
            <v>10</v>
          </cell>
          <cell r="AC740" t="str">
            <v>[]</v>
          </cell>
          <cell r="AD740" t="str">
            <v>[]</v>
          </cell>
          <cell r="AE740" t="str">
            <v>[]</v>
          </cell>
          <cell r="AF740" t="str">
            <v>renshenwa_skill04</v>
          </cell>
          <cell r="AG740" t="str">
            <v>common_hit_dunqi</v>
          </cell>
          <cell r="AH740" t="str">
            <v>[]</v>
          </cell>
          <cell r="AI740" t="str">
            <v>[]</v>
          </cell>
          <cell r="AJ740" t="str">
            <v>[]</v>
          </cell>
          <cell r="AK740" t="str">
            <v>yunxuanT1NP0.4</v>
          </cell>
          <cell r="AL740" t="str">
            <v>[]</v>
          </cell>
          <cell r="AM740" t="str">
            <v>[]</v>
          </cell>
          <cell r="AN740">
            <v>2</v>
          </cell>
          <cell r="AO740" t="str">
            <v>1</v>
          </cell>
          <cell r="AP740">
            <v>636</v>
          </cell>
          <cell r="AQ740">
            <v>636</v>
          </cell>
          <cell r="AR740" t="str">
            <v>[]</v>
          </cell>
          <cell r="AS740" t="str">
            <v>[]</v>
          </cell>
          <cell r="AT740" t="str">
            <v>6300</v>
          </cell>
          <cell r="AU740" t="str">
            <v>6300</v>
          </cell>
          <cell r="AV740" t="str">
            <v>人生娃</v>
          </cell>
          <cell r="AW740" t="str">
            <v>04</v>
          </cell>
          <cell r="AX740"/>
          <cell r="AY740">
            <v>1</v>
          </cell>
          <cell r="BE740"/>
          <cell r="BF740"/>
        </row>
        <row r="741">
          <cell r="A741" t="str">
            <v>boss_nverguoguowang_skill01</v>
          </cell>
          <cell r="B741" t="str">
            <v>嗜血玫瑰</v>
          </cell>
          <cell r="C741" t="str">
            <v>nverguoguowang_skill01</v>
          </cell>
          <cell r="D741" t="str">
            <v>[]</v>
          </cell>
          <cell r="E741">
            <v>1</v>
          </cell>
          <cell r="F741" t="str">
            <v>boss_warning_yuanxing</v>
          </cell>
          <cell r="G741" t="str">
            <v>女儿国国王核心技能</v>
          </cell>
          <cell r="H741" t="str">
            <v>nverguoguowang_skill01</v>
          </cell>
          <cell r="I741" t="str">
            <v>nverguoguowang_skill01</v>
          </cell>
          <cell r="J741">
            <v>0</v>
          </cell>
          <cell r="K741">
            <v>1</v>
          </cell>
          <cell r="L741" t="str">
            <v>1|11</v>
          </cell>
          <cell r="M741">
            <v>2</v>
          </cell>
          <cell r="N741">
            <v>2</v>
          </cell>
          <cell r="O741">
            <v>1</v>
          </cell>
          <cell r="P741">
            <v>2</v>
          </cell>
          <cell r="Q741">
            <v>12</v>
          </cell>
          <cell r="R741" t="str">
            <v>2|1</v>
          </cell>
          <cell r="S741" t="str">
            <v>2|10</v>
          </cell>
          <cell r="T741">
            <v>10</v>
          </cell>
          <cell r="U741">
            <v>1</v>
          </cell>
          <cell r="V741">
            <v>0</v>
          </cell>
          <cell r="W741" t="str">
            <v>[]</v>
          </cell>
          <cell r="X741">
            <v>0</v>
          </cell>
          <cell r="Y741" t="str">
            <v>[]</v>
          </cell>
          <cell r="Z741" t="str">
            <v>0,0,0</v>
          </cell>
          <cell r="AA741">
            <v>0</v>
          </cell>
          <cell r="AB741" t="str">
            <v>10</v>
          </cell>
          <cell r="AC741" t="str">
            <v>[]</v>
          </cell>
          <cell r="AD741" t="str">
            <v>[]</v>
          </cell>
          <cell r="AE741" t="str">
            <v>[]</v>
          </cell>
          <cell r="AF741" t="str">
            <v>nverguoguowang_skill01</v>
          </cell>
          <cell r="AG741" t="str">
            <v>nverguoguowang_skill01_b</v>
          </cell>
          <cell r="AH741" t="str">
            <v>[]</v>
          </cell>
          <cell r="AI741" t="str">
            <v>[]</v>
          </cell>
          <cell r="AJ741" t="str">
            <v>[]</v>
          </cell>
          <cell r="AK741" t="str">
            <v>[]</v>
          </cell>
          <cell r="AL741" t="str">
            <v>[]</v>
          </cell>
          <cell r="AM741" t="str">
            <v>[]</v>
          </cell>
          <cell r="AN741">
            <v>2</v>
          </cell>
          <cell r="AO741" t="str">
            <v>1</v>
          </cell>
          <cell r="AP741">
            <v>636</v>
          </cell>
          <cell r="AQ741">
            <v>636</v>
          </cell>
          <cell r="AR741" t="str">
            <v>[]</v>
          </cell>
          <cell r="AS741" t="str">
            <v>[]</v>
          </cell>
          <cell r="AT741" t="str">
            <v>6320</v>
          </cell>
          <cell r="AU741" t="str">
            <v>6320</v>
          </cell>
          <cell r="AV741" t="str">
            <v>女儿国国王</v>
          </cell>
          <cell r="AW741" t="str">
            <v>01</v>
          </cell>
          <cell r="AY741">
            <v>1</v>
          </cell>
          <cell r="BE741"/>
          <cell r="BF741"/>
        </row>
        <row r="742">
          <cell r="A742" t="str">
            <v>boss_nverguoguowang_skill02</v>
          </cell>
          <cell r="B742" t="str">
            <v>魅舞倾城</v>
          </cell>
          <cell r="C742" t="str">
            <v>nverguoguowang_skill02</v>
          </cell>
          <cell r="D742" t="str">
            <v>[]</v>
          </cell>
          <cell r="E742">
            <v>1</v>
          </cell>
          <cell r="F742" t="str">
            <v>boss_warning_yuanxing</v>
          </cell>
          <cell r="G742" t="str">
            <v>女儿国国王技能2</v>
          </cell>
          <cell r="H742" t="str">
            <v>nverguoguowang_skill02</v>
          </cell>
          <cell r="I742" t="str">
            <v>[]</v>
          </cell>
          <cell r="J742">
            <v>1</v>
          </cell>
          <cell r="K742">
            <v>1</v>
          </cell>
          <cell r="L742" t="str">
            <v>[]</v>
          </cell>
          <cell r="M742">
            <v>2</v>
          </cell>
          <cell r="N742">
            <v>2</v>
          </cell>
          <cell r="O742">
            <v>1</v>
          </cell>
          <cell r="P742">
            <v>2</v>
          </cell>
          <cell r="Q742">
            <v>12</v>
          </cell>
          <cell r="R742" t="str">
            <v>2|1</v>
          </cell>
          <cell r="S742" t="str">
            <v>2|10</v>
          </cell>
          <cell r="T742">
            <v>10</v>
          </cell>
          <cell r="U742">
            <v>0</v>
          </cell>
          <cell r="V742">
            <v>0</v>
          </cell>
          <cell r="W742" t="str">
            <v>[]</v>
          </cell>
          <cell r="X742">
            <v>3</v>
          </cell>
          <cell r="Y742" t="str">
            <v>[]</v>
          </cell>
          <cell r="Z742" t="str">
            <v>0,1.254,1.613</v>
          </cell>
          <cell r="AA742">
            <v>0</v>
          </cell>
          <cell r="AB742" t="str">
            <v>10</v>
          </cell>
          <cell r="AC742" t="str">
            <v>[]</v>
          </cell>
          <cell r="AD742" t="str">
            <v>[]</v>
          </cell>
          <cell r="AE742" t="str">
            <v>[]</v>
          </cell>
          <cell r="AF742" t="str">
            <v>nverguoguowang_skill02</v>
          </cell>
          <cell r="AG742" t="str">
            <v>nverguoguowang_skill02_b</v>
          </cell>
          <cell r="AH742" t="str">
            <v>[]</v>
          </cell>
          <cell r="AI742" t="str">
            <v>[]</v>
          </cell>
          <cell r="AJ742" t="str">
            <v>[]</v>
          </cell>
          <cell r="AK742" t="str">
            <v>meihuoT2NP1</v>
          </cell>
          <cell r="AL742" t="str">
            <v>[]</v>
          </cell>
          <cell r="AM742" t="str">
            <v>[]</v>
          </cell>
          <cell r="AN742">
            <v>2</v>
          </cell>
          <cell r="AO742" t="str">
            <v>1</v>
          </cell>
          <cell r="AP742">
            <v>636</v>
          </cell>
          <cell r="AQ742">
            <v>636</v>
          </cell>
          <cell r="AR742" t="str">
            <v>[]</v>
          </cell>
          <cell r="AS742" t="str">
            <v>[]</v>
          </cell>
          <cell r="AT742" t="str">
            <v>6330</v>
          </cell>
          <cell r="AU742" t="str">
            <v>6330</v>
          </cell>
          <cell r="AV742" t="str">
            <v>女儿国国王</v>
          </cell>
          <cell r="AW742" t="str">
            <v>02</v>
          </cell>
          <cell r="AY742">
            <v>1</v>
          </cell>
          <cell r="BE742"/>
          <cell r="BF742"/>
        </row>
        <row r="743">
          <cell r="A743" t="str">
            <v>boss_nverguoguowang_skill04</v>
          </cell>
          <cell r="B743" t="str">
            <v>无双剑舞</v>
          </cell>
          <cell r="C743" t="str">
            <v>nverguoguowang_skill04</v>
          </cell>
          <cell r="D743" t="str">
            <v>[]</v>
          </cell>
          <cell r="E743">
            <v>1</v>
          </cell>
          <cell r="F743" t="str">
            <v>boss_warning_yuanxing</v>
          </cell>
          <cell r="G743" t="str">
            <v>女儿国国王4技能</v>
          </cell>
          <cell r="H743" t="str">
            <v>nverguoguowang_skill04</v>
          </cell>
          <cell r="I743" t="str">
            <v>[]</v>
          </cell>
          <cell r="J743">
            <v>3</v>
          </cell>
          <cell r="K743">
            <v>1</v>
          </cell>
          <cell r="L743" t="str">
            <v>[]</v>
          </cell>
          <cell r="M743">
            <v>2</v>
          </cell>
          <cell r="N743">
            <v>2</v>
          </cell>
          <cell r="O743">
            <v>2</v>
          </cell>
          <cell r="P743">
            <v>2</v>
          </cell>
          <cell r="Q743">
            <v>12</v>
          </cell>
          <cell r="R743" t="str">
            <v>2|1</v>
          </cell>
          <cell r="S743" t="str">
            <v>2|10</v>
          </cell>
          <cell r="T743">
            <v>10</v>
          </cell>
          <cell r="U743">
            <v>1</v>
          </cell>
          <cell r="V743">
            <v>0</v>
          </cell>
          <cell r="W743" t="str">
            <v>[]</v>
          </cell>
          <cell r="X743">
            <v>3</v>
          </cell>
          <cell r="Y743" t="str">
            <v>[]</v>
          </cell>
          <cell r="Z743" t="str">
            <v>0,2.145,0.855</v>
          </cell>
          <cell r="AA743">
            <v>0</v>
          </cell>
          <cell r="AB743" t="str">
            <v>10</v>
          </cell>
          <cell r="AC743" t="str">
            <v>[]</v>
          </cell>
          <cell r="AD743" t="str">
            <v>[]</v>
          </cell>
          <cell r="AE743" t="str">
            <v>nverguoguowang_skill04_q</v>
          </cell>
          <cell r="AF743" t="str">
            <v>nverguoguowang_skill04</v>
          </cell>
          <cell r="AG743" t="str">
            <v>common_hit_fashu</v>
          </cell>
          <cell r="AH743" t="str">
            <v>[]</v>
          </cell>
          <cell r="AI743" t="str">
            <v>[]</v>
          </cell>
          <cell r="AJ743" t="str">
            <v>[]</v>
          </cell>
          <cell r="AK743" t="str">
            <v>[]</v>
          </cell>
          <cell r="AL743" t="str">
            <v>[]</v>
          </cell>
          <cell r="AM743" t="str">
            <v>[]</v>
          </cell>
          <cell r="AN743">
            <v>2</v>
          </cell>
          <cell r="AO743" t="str">
            <v>1</v>
          </cell>
          <cell r="AP743">
            <v>636</v>
          </cell>
          <cell r="AQ743">
            <v>636</v>
          </cell>
          <cell r="AR743" t="str">
            <v>[]</v>
          </cell>
          <cell r="AS743" t="str">
            <v>[]</v>
          </cell>
          <cell r="AT743" t="str">
            <v>6350</v>
          </cell>
          <cell r="AU743" t="str">
            <v>6350</v>
          </cell>
          <cell r="AV743" t="str">
            <v>女儿国国王</v>
          </cell>
          <cell r="AW743" t="str">
            <v>04</v>
          </cell>
          <cell r="AX743"/>
          <cell r="AY743">
            <v>1</v>
          </cell>
          <cell r="BE743"/>
          <cell r="BF743"/>
        </row>
        <row r="744">
          <cell r="A744" t="str">
            <v>boss_caidiexiantong_skill01</v>
          </cell>
          <cell r="B744" t="str">
            <v>妖蝶迷雾</v>
          </cell>
          <cell r="C744" t="str">
            <v>caidiexiantong_skill01</v>
          </cell>
          <cell r="D744" t="str">
            <v>[]</v>
          </cell>
          <cell r="E744">
            <v>1</v>
          </cell>
          <cell r="F744" t="str">
            <v>boss_warning_yuanxing</v>
          </cell>
          <cell r="G744" t="str">
            <v>彩蝶仙童核心技能</v>
          </cell>
          <cell r="H744" t="str">
            <v>caidiexiantong_skill01</v>
          </cell>
          <cell r="I744" t="str">
            <v>caidiexiantong_skill01</v>
          </cell>
          <cell r="J744">
            <v>0</v>
          </cell>
          <cell r="K744">
            <v>10</v>
          </cell>
          <cell r="L744" t="str">
            <v>1|9</v>
          </cell>
          <cell r="M744">
            <v>2</v>
          </cell>
          <cell r="N744">
            <v>5</v>
          </cell>
          <cell r="O744">
            <v>2</v>
          </cell>
          <cell r="P744">
            <v>2</v>
          </cell>
          <cell r="Q744">
            <v>12</v>
          </cell>
          <cell r="R744" t="str">
            <v>2|1</v>
          </cell>
          <cell r="S744" t="str">
            <v>2|10</v>
          </cell>
          <cell r="T744">
            <v>10</v>
          </cell>
          <cell r="U744">
            <v>0</v>
          </cell>
          <cell r="V744">
            <v>0</v>
          </cell>
          <cell r="W744" t="str">
            <v>[]</v>
          </cell>
          <cell r="X744">
            <v>0</v>
          </cell>
          <cell r="Y744" t="str">
            <v>[]</v>
          </cell>
          <cell r="Z744" t="str">
            <v>0,0,0</v>
          </cell>
          <cell r="AA744">
            <v>0</v>
          </cell>
          <cell r="AB744" t="str">
            <v>10</v>
          </cell>
          <cell r="AC744" t="str">
            <v>[]</v>
          </cell>
          <cell r="AD744" t="str">
            <v>[]</v>
          </cell>
          <cell r="AE744" t="str">
            <v>[]</v>
          </cell>
          <cell r="AF744" t="str">
            <v>caidiexiantong_skill01</v>
          </cell>
          <cell r="AG744" t="str">
            <v>common_hit_fashu</v>
          </cell>
          <cell r="AH744" t="str">
            <v>[]</v>
          </cell>
          <cell r="AI744" t="str">
            <v>[]</v>
          </cell>
          <cell r="AJ744" t="str">
            <v>[]</v>
          </cell>
          <cell r="AK744" t="str">
            <v>[]</v>
          </cell>
          <cell r="AL744" t="str">
            <v>[]</v>
          </cell>
          <cell r="AM744" t="str">
            <v>zhongduT6N0.1</v>
          </cell>
          <cell r="AN744">
            <v>2</v>
          </cell>
          <cell r="AO744" t="str">
            <v>1</v>
          </cell>
          <cell r="AP744">
            <v>636</v>
          </cell>
          <cell r="AQ744">
            <v>636</v>
          </cell>
          <cell r="AR744" t="str">
            <v>[]</v>
          </cell>
          <cell r="AS744" t="str">
            <v>[]</v>
          </cell>
          <cell r="AT744" t="str">
            <v>6370</v>
          </cell>
          <cell r="AU744" t="str">
            <v>6370</v>
          </cell>
          <cell r="AV744" t="str">
            <v>彩蝶仙童</v>
          </cell>
          <cell r="AW744" t="str">
            <v>01</v>
          </cell>
          <cell r="AY744">
            <v>1</v>
          </cell>
          <cell r="BE744"/>
          <cell r="BF744"/>
        </row>
        <row r="745">
          <cell r="A745" t="str">
            <v>boss_caidiexiantong_skill02</v>
          </cell>
          <cell r="B745" t="str">
            <v>灵碟冲击</v>
          </cell>
          <cell r="C745" t="str">
            <v>caidiexiantong_skill02</v>
          </cell>
          <cell r="D745" t="str">
            <v>[]</v>
          </cell>
          <cell r="E745">
            <v>2</v>
          </cell>
          <cell r="F745" t="str">
            <v>boss_warning_juxing</v>
          </cell>
          <cell r="G745" t="str">
            <v>彩蝶仙童技能2</v>
          </cell>
          <cell r="H745" t="str">
            <v>caidiexiantong_skill02</v>
          </cell>
          <cell r="I745" t="str">
            <v>[]</v>
          </cell>
          <cell r="J745">
            <v>1</v>
          </cell>
          <cell r="K745">
            <v>10</v>
          </cell>
          <cell r="L745" t="str">
            <v>[]</v>
          </cell>
          <cell r="M745">
            <v>2</v>
          </cell>
          <cell r="N745">
            <v>2</v>
          </cell>
          <cell r="O745">
            <v>1</v>
          </cell>
          <cell r="P745">
            <v>2</v>
          </cell>
          <cell r="Q745">
            <v>12</v>
          </cell>
          <cell r="R745" t="str">
            <v>2|1</v>
          </cell>
          <cell r="S745" t="str">
            <v>1|10|6</v>
          </cell>
          <cell r="T745">
            <v>10</v>
          </cell>
          <cell r="U745">
            <v>1</v>
          </cell>
          <cell r="V745">
            <v>0</v>
          </cell>
          <cell r="W745" t="str">
            <v>[]</v>
          </cell>
          <cell r="X745">
            <v>3</v>
          </cell>
          <cell r="Y745" t="str">
            <v>[]</v>
          </cell>
          <cell r="Z745" t="str">
            <v>1.2,1.35,0</v>
          </cell>
          <cell r="AA745">
            <v>0</v>
          </cell>
          <cell r="AB745" t="str">
            <v>10</v>
          </cell>
          <cell r="AC745" t="str">
            <v>[]</v>
          </cell>
          <cell r="AD745" t="str">
            <v>[]</v>
          </cell>
          <cell r="AE745" t="str">
            <v>[]</v>
          </cell>
          <cell r="AF745" t="str">
            <v>caidiexiantong_skill02</v>
          </cell>
          <cell r="AG745" t="str">
            <v>common_hit_fashu</v>
          </cell>
          <cell r="AH745" t="str">
            <v>[]</v>
          </cell>
          <cell r="AI745" t="str">
            <v>[]</v>
          </cell>
          <cell r="AJ745" t="str">
            <v>[]</v>
          </cell>
          <cell r="AK745" t="str">
            <v>chengmoT2NP0.3</v>
          </cell>
          <cell r="AL745" t="str">
            <v>[]</v>
          </cell>
          <cell r="AM745" t="str">
            <v>[]</v>
          </cell>
          <cell r="AN745">
            <v>2</v>
          </cell>
          <cell r="AO745" t="str">
            <v>1</v>
          </cell>
          <cell r="AP745">
            <v>636</v>
          </cell>
          <cell r="AQ745">
            <v>636</v>
          </cell>
          <cell r="AR745" t="str">
            <v>[]</v>
          </cell>
          <cell r="AS745" t="str">
            <v>[]</v>
          </cell>
          <cell r="AT745" t="str">
            <v>6380</v>
          </cell>
          <cell r="AU745" t="str">
            <v>6380</v>
          </cell>
          <cell r="AV745" t="str">
            <v>彩蝶仙童</v>
          </cell>
          <cell r="AW745" t="str">
            <v>02</v>
          </cell>
          <cell r="AY745">
            <v>1</v>
          </cell>
          <cell r="BE745"/>
          <cell r="BF745"/>
        </row>
        <row r="746">
          <cell r="A746" t="str">
            <v>boss_caidiexiantong_skill04</v>
          </cell>
          <cell r="B746" t="str">
            <v>蝶舞蹁跹</v>
          </cell>
          <cell r="C746" t="str">
            <v>caidiexiantong_skill04</v>
          </cell>
          <cell r="D746" t="str">
            <v>[]</v>
          </cell>
          <cell r="E746">
            <v>2</v>
          </cell>
          <cell r="F746" t="str">
            <v xml:space="preserve">boss_warning_shanxing90 </v>
          </cell>
          <cell r="G746" t="str">
            <v>彩蝶仙童技能4</v>
          </cell>
          <cell r="H746" t="str">
            <v>caidiexiantong_skill04</v>
          </cell>
          <cell r="I746" t="str">
            <v>[]</v>
          </cell>
          <cell r="J746">
            <v>3</v>
          </cell>
          <cell r="K746">
            <v>10</v>
          </cell>
          <cell r="L746" t="str">
            <v>[]</v>
          </cell>
          <cell r="M746">
            <v>2</v>
          </cell>
          <cell r="N746">
            <v>2</v>
          </cell>
          <cell r="O746">
            <v>1</v>
          </cell>
          <cell r="P746">
            <v>2</v>
          </cell>
          <cell r="Q746">
            <v>12</v>
          </cell>
          <cell r="R746" t="str">
            <v>2|1</v>
          </cell>
          <cell r="S746" t="str">
            <v>3|12|90</v>
          </cell>
          <cell r="T746">
            <v>10</v>
          </cell>
          <cell r="U746">
            <v>0</v>
          </cell>
          <cell r="V746">
            <v>0</v>
          </cell>
          <cell r="W746" t="str">
            <v>[]</v>
          </cell>
          <cell r="X746">
            <v>3</v>
          </cell>
          <cell r="Y746" t="str">
            <v>[]</v>
          </cell>
          <cell r="Z746" t="str">
            <v>1.2,1.0,0</v>
          </cell>
          <cell r="AA746">
            <v>0</v>
          </cell>
          <cell r="AB746" t="str">
            <v>10</v>
          </cell>
          <cell r="AC746" t="str">
            <v>[]</v>
          </cell>
          <cell r="AD746" t="str">
            <v>[]</v>
          </cell>
          <cell r="AE746" t="str">
            <v>[]</v>
          </cell>
          <cell r="AF746" t="str">
            <v>caidiexiantong_skill04</v>
          </cell>
          <cell r="AG746" t="str">
            <v>caidiexiantong_skill04_b</v>
          </cell>
          <cell r="AH746" t="str">
            <v>[]</v>
          </cell>
          <cell r="AI746" t="str">
            <v>[]</v>
          </cell>
          <cell r="AJ746" t="str">
            <v>[]</v>
          </cell>
          <cell r="AK746" t="str">
            <v>[]</v>
          </cell>
          <cell r="AL746" t="str">
            <v>[]</v>
          </cell>
          <cell r="AM746" t="str">
            <v>[]</v>
          </cell>
          <cell r="AN746">
            <v>2</v>
          </cell>
          <cell r="AO746" t="str">
            <v>1</v>
          </cell>
          <cell r="AP746">
            <v>636</v>
          </cell>
          <cell r="AQ746">
            <v>636</v>
          </cell>
          <cell r="AR746" t="str">
            <v>[]</v>
          </cell>
          <cell r="AS746" t="str">
            <v>[]</v>
          </cell>
          <cell r="AT746" t="str">
            <v>6400</v>
          </cell>
          <cell r="AU746" t="str">
            <v>6400</v>
          </cell>
          <cell r="AV746" t="str">
            <v>彩蝶仙童</v>
          </cell>
          <cell r="AW746" t="str">
            <v>04</v>
          </cell>
          <cell r="AX746"/>
          <cell r="AY746">
            <v>1</v>
          </cell>
          <cell r="BE746"/>
          <cell r="BF746"/>
        </row>
        <row r="747">
          <cell r="A747" t="str">
            <v>boss_jinchanzi_skill01</v>
          </cell>
          <cell r="B747" t="str">
            <v>圣诫天咒</v>
          </cell>
          <cell r="C747" t="str">
            <v>jinchanzi_skill01</v>
          </cell>
          <cell r="D747" t="str">
            <v>[]</v>
          </cell>
          <cell r="E747">
            <v>0</v>
          </cell>
          <cell r="F747" t="str">
            <v>[]</v>
          </cell>
          <cell r="G747" t="str">
            <v>金蝉子核心技能</v>
          </cell>
          <cell r="H747" t="str">
            <v>jinchanzi_skill01</v>
          </cell>
          <cell r="I747" t="str">
            <v>jinchanzi_skill01</v>
          </cell>
          <cell r="J747">
            <v>0</v>
          </cell>
          <cell r="K747">
            <v>1</v>
          </cell>
          <cell r="L747" t="str">
            <v>1|11</v>
          </cell>
          <cell r="M747">
            <v>2</v>
          </cell>
          <cell r="N747">
            <v>2</v>
          </cell>
          <cell r="O747">
            <v>2</v>
          </cell>
          <cell r="P747">
            <v>4</v>
          </cell>
          <cell r="Q747">
            <v>12</v>
          </cell>
          <cell r="R747" t="str">
            <v>3|1</v>
          </cell>
          <cell r="S747" t="str">
            <v>2|20</v>
          </cell>
          <cell r="T747">
            <v>10</v>
          </cell>
          <cell r="U747">
            <v>1</v>
          </cell>
          <cell r="V747">
            <v>0</v>
          </cell>
          <cell r="W747" t="str">
            <v>[]</v>
          </cell>
          <cell r="X747">
            <v>0</v>
          </cell>
          <cell r="Y747" t="str">
            <v>[]</v>
          </cell>
          <cell r="Z747" t="str">
            <v>0,0,0</v>
          </cell>
          <cell r="AA747">
            <v>0</v>
          </cell>
          <cell r="AB747" t="str">
            <v>10</v>
          </cell>
          <cell r="AC747" t="str">
            <v>[]</v>
          </cell>
          <cell r="AD747" t="str">
            <v>[]</v>
          </cell>
          <cell r="AE747" t="str">
            <v>[]</v>
          </cell>
          <cell r="AF747" t="str">
            <v>jinchanzi_skill01</v>
          </cell>
          <cell r="AG747" t="str">
            <v>jinchanzi_skill01_buff</v>
          </cell>
          <cell r="AH747" t="str">
            <v>[]</v>
          </cell>
          <cell r="AI747" t="str">
            <v>[]</v>
          </cell>
          <cell r="AJ747" t="str">
            <v>[]</v>
          </cell>
          <cell r="AK747" t="str">
            <v>[]</v>
          </cell>
          <cell r="AL747" t="str">
            <v>[]</v>
          </cell>
          <cell r="AM747" t="str">
            <v>jianshangupT6N0.3</v>
          </cell>
          <cell r="AN747">
            <v>2</v>
          </cell>
          <cell r="AO747" t="str">
            <v>1</v>
          </cell>
          <cell r="AP747" t="str">
            <v>[]</v>
          </cell>
          <cell r="AQ747" t="str">
            <v>[]</v>
          </cell>
          <cell r="AR747" t="str">
            <v>[]</v>
          </cell>
          <cell r="AS747" t="str">
            <v>[]</v>
          </cell>
          <cell r="AT747" t="str">
            <v>6421</v>
          </cell>
          <cell r="AU747" t="str">
            <v>6421</v>
          </cell>
          <cell r="AV747" t="str">
            <v>金蝉子</v>
          </cell>
          <cell r="AW747" t="str">
            <v>01</v>
          </cell>
          <cell r="AY747">
            <v>1</v>
          </cell>
          <cell r="BE747"/>
          <cell r="BF747"/>
        </row>
        <row r="748">
          <cell r="A748" t="str">
            <v>boss_jinchanzi_skill02</v>
          </cell>
          <cell r="B748" t="str">
            <v>御法经</v>
          </cell>
          <cell r="C748" t="str">
            <v>jinchanzi_skill02</v>
          </cell>
          <cell r="D748" t="str">
            <v>[]</v>
          </cell>
          <cell r="E748">
            <v>0</v>
          </cell>
          <cell r="F748" t="str">
            <v>[]</v>
          </cell>
          <cell r="G748" t="str">
            <v>金蝉子技能2</v>
          </cell>
          <cell r="H748" t="str">
            <v>jinchanzi_skill02</v>
          </cell>
          <cell r="I748" t="str">
            <v>[]</v>
          </cell>
          <cell r="J748">
            <v>1</v>
          </cell>
          <cell r="K748">
            <v>1</v>
          </cell>
          <cell r="L748" t="str">
            <v>[]</v>
          </cell>
          <cell r="M748">
            <v>2</v>
          </cell>
          <cell r="N748">
            <v>2</v>
          </cell>
          <cell r="O748">
            <v>2</v>
          </cell>
          <cell r="P748">
            <v>4</v>
          </cell>
          <cell r="Q748">
            <v>12</v>
          </cell>
          <cell r="R748">
            <v>1</v>
          </cell>
          <cell r="S748" t="str">
            <v>4|0.2</v>
          </cell>
          <cell r="T748">
            <v>1</v>
          </cell>
          <cell r="U748">
            <v>1</v>
          </cell>
          <cell r="V748">
            <v>0</v>
          </cell>
          <cell r="W748" t="str">
            <v>[]</v>
          </cell>
          <cell r="X748">
            <v>3</v>
          </cell>
          <cell r="Y748" t="str">
            <v>[]</v>
          </cell>
          <cell r="Z748" t="str">
            <v>0,1.518,0.682</v>
          </cell>
          <cell r="AA748">
            <v>0</v>
          </cell>
          <cell r="AB748" t="str">
            <v>10</v>
          </cell>
          <cell r="AC748" t="str">
            <v>[]</v>
          </cell>
          <cell r="AD748" t="str">
            <v>[]</v>
          </cell>
          <cell r="AE748" t="str">
            <v>[]</v>
          </cell>
          <cell r="AF748" t="str">
            <v>jinchanzi_skill02</v>
          </cell>
          <cell r="AG748" t="str">
            <v>[]</v>
          </cell>
          <cell r="AH748" t="str">
            <v>[]</v>
          </cell>
          <cell r="AI748" t="str">
            <v>[]</v>
          </cell>
          <cell r="AJ748" t="str">
            <v>shengminghudunT3N0.2P1</v>
          </cell>
          <cell r="AK748" t="str">
            <v>[]</v>
          </cell>
          <cell r="AL748" t="str">
            <v>[]</v>
          </cell>
          <cell r="AM748" t="str">
            <v>[]</v>
          </cell>
          <cell r="AN748">
            <v>2</v>
          </cell>
          <cell r="AO748" t="str">
            <v>1</v>
          </cell>
          <cell r="AP748" t="str">
            <v>[]</v>
          </cell>
          <cell r="AQ748" t="str">
            <v>[]</v>
          </cell>
          <cell r="AR748" t="str">
            <v>[]</v>
          </cell>
          <cell r="AS748" t="str">
            <v>[]</v>
          </cell>
          <cell r="AT748" t="str">
            <v>6430</v>
          </cell>
          <cell r="AU748" t="str">
            <v>6430</v>
          </cell>
          <cell r="AV748" t="str">
            <v>金蝉子</v>
          </cell>
          <cell r="AW748" t="str">
            <v>02</v>
          </cell>
          <cell r="AY748">
            <v>1</v>
          </cell>
          <cell r="BE748"/>
          <cell r="BF748"/>
        </row>
        <row r="749">
          <cell r="A749" t="str">
            <v>boss_jinchanzi_skill04</v>
          </cell>
          <cell r="B749" t="str">
            <v>天罡咒印</v>
          </cell>
          <cell r="C749" t="str">
            <v>jinchanzi_skill04</v>
          </cell>
          <cell r="D749" t="str">
            <v>[]</v>
          </cell>
          <cell r="E749">
            <v>2</v>
          </cell>
          <cell r="F749" t="str">
            <v>boss_warning_yuanxing</v>
          </cell>
          <cell r="G749" t="str">
            <v>金蝉子技能4</v>
          </cell>
          <cell r="H749" t="str">
            <v>jinchanzi_skill04</v>
          </cell>
          <cell r="I749" t="str">
            <v>[]</v>
          </cell>
          <cell r="J749">
            <v>3</v>
          </cell>
          <cell r="K749">
            <v>1</v>
          </cell>
          <cell r="L749" t="str">
            <v>[]</v>
          </cell>
          <cell r="M749">
            <v>2</v>
          </cell>
          <cell r="N749">
            <v>2</v>
          </cell>
          <cell r="O749">
            <v>1</v>
          </cell>
          <cell r="P749">
            <v>2</v>
          </cell>
          <cell r="Q749">
            <v>4</v>
          </cell>
          <cell r="R749" t="str">
            <v>2|1</v>
          </cell>
          <cell r="S749" t="str">
            <v>2|10</v>
          </cell>
          <cell r="T749">
            <v>10</v>
          </cell>
          <cell r="U749">
            <v>0</v>
          </cell>
          <cell r="V749">
            <v>0</v>
          </cell>
          <cell r="W749" t="str">
            <v>[]</v>
          </cell>
          <cell r="X749">
            <v>3</v>
          </cell>
          <cell r="Y749" t="str">
            <v>[]</v>
          </cell>
          <cell r="Z749" t="str">
            <v>0,0.528,1.272</v>
          </cell>
          <cell r="AA749">
            <v>0</v>
          </cell>
          <cell r="AB749" t="str">
            <v>10</v>
          </cell>
          <cell r="AC749" t="str">
            <v>[]</v>
          </cell>
          <cell r="AD749" t="str">
            <v>[]</v>
          </cell>
          <cell r="AE749" t="str">
            <v>[]</v>
          </cell>
          <cell r="AF749" t="str">
            <v>jinchanzi_skill04</v>
          </cell>
          <cell r="AG749" t="str">
            <v>common_hit_fashu</v>
          </cell>
          <cell r="AH749" t="str">
            <v>[]</v>
          </cell>
          <cell r="AI749" t="str">
            <v>[]</v>
          </cell>
          <cell r="AJ749" t="str">
            <v>[]</v>
          </cell>
          <cell r="AK749" t="str">
            <v>[]</v>
          </cell>
          <cell r="AL749" t="str">
            <v>[]</v>
          </cell>
          <cell r="AM749" t="str">
            <v>xuruoT3N0.1</v>
          </cell>
          <cell r="AN749">
            <v>2</v>
          </cell>
          <cell r="AO749" t="str">
            <v>1</v>
          </cell>
          <cell r="AP749">
            <v>636</v>
          </cell>
          <cell r="AQ749">
            <v>636</v>
          </cell>
          <cell r="AR749" t="str">
            <v>[]</v>
          </cell>
          <cell r="AS749" t="str">
            <v>[]</v>
          </cell>
          <cell r="AT749" t="str">
            <v>6450</v>
          </cell>
          <cell r="AU749" t="str">
            <v>6450</v>
          </cell>
          <cell r="AV749" t="str">
            <v>金蝉子</v>
          </cell>
          <cell r="AW749" t="str">
            <v>04</v>
          </cell>
          <cell r="AX749"/>
          <cell r="AY749">
            <v>1</v>
          </cell>
          <cell r="BE749"/>
          <cell r="BF749"/>
        </row>
        <row r="750">
          <cell r="A750" t="str">
            <v>boss_longdi_skill01</v>
          </cell>
          <cell r="B750" t="str">
            <v>钻石星辰</v>
          </cell>
          <cell r="C750" t="str">
            <v>longdi_skill01</v>
          </cell>
          <cell r="D750" t="str">
            <v>[]</v>
          </cell>
          <cell r="E750">
            <v>1</v>
          </cell>
          <cell r="F750" t="str">
            <v>boss_warning_yuanxing</v>
          </cell>
          <cell r="G750" t="str">
            <v>龙帝核心技能</v>
          </cell>
          <cell r="H750" t="str">
            <v>longdi_skill01</v>
          </cell>
          <cell r="I750" t="str">
            <v>longdi_skill01</v>
          </cell>
          <cell r="J750">
            <v>0</v>
          </cell>
          <cell r="K750">
            <v>10</v>
          </cell>
          <cell r="L750" t="str">
            <v>1|20</v>
          </cell>
          <cell r="M750">
            <v>2</v>
          </cell>
          <cell r="N750">
            <v>2</v>
          </cell>
          <cell r="O750">
            <v>2</v>
          </cell>
          <cell r="P750">
            <v>2</v>
          </cell>
          <cell r="Q750">
            <v>12</v>
          </cell>
          <cell r="R750" t="str">
            <v>2|1</v>
          </cell>
          <cell r="S750" t="str">
            <v>2|10</v>
          </cell>
          <cell r="T750">
            <v>10</v>
          </cell>
          <cell r="U750">
            <v>0</v>
          </cell>
          <cell r="V750">
            <v>0</v>
          </cell>
          <cell r="W750" t="str">
            <v>[]</v>
          </cell>
          <cell r="X750">
            <v>0</v>
          </cell>
          <cell r="Y750" t="str">
            <v>[]</v>
          </cell>
          <cell r="Z750" t="str">
            <v>0,0,0</v>
          </cell>
          <cell r="AA750">
            <v>0</v>
          </cell>
          <cell r="AB750" t="str">
            <v>10</v>
          </cell>
          <cell r="AC750" t="str">
            <v>[]</v>
          </cell>
          <cell r="AD750" t="str">
            <v>[]</v>
          </cell>
          <cell r="AE750" t="str">
            <v>[]</v>
          </cell>
          <cell r="AF750" t="str">
            <v>longdi_skill01</v>
          </cell>
          <cell r="AG750" t="str">
            <v>common_hit_fashu</v>
          </cell>
          <cell r="AH750" t="str">
            <v>[]</v>
          </cell>
          <cell r="AI750" t="str">
            <v>[]</v>
          </cell>
          <cell r="AJ750" t="str">
            <v>[]</v>
          </cell>
          <cell r="AK750" t="str">
            <v>bingdongT1NP0.2</v>
          </cell>
          <cell r="AL750" t="str">
            <v>[]</v>
          </cell>
          <cell r="AM750" t="str">
            <v>[]</v>
          </cell>
          <cell r="AN750">
            <v>2</v>
          </cell>
          <cell r="AO750" t="str">
            <v>1</v>
          </cell>
          <cell r="AP750">
            <v>636</v>
          </cell>
          <cell r="AQ750">
            <v>636</v>
          </cell>
          <cell r="AR750" t="str">
            <v>[]</v>
          </cell>
          <cell r="AS750" t="str">
            <v>[]</v>
          </cell>
          <cell r="AT750" t="str">
            <v>6470</v>
          </cell>
          <cell r="AU750" t="str">
            <v>6470</v>
          </cell>
          <cell r="AV750" t="str">
            <v>龙帝</v>
          </cell>
          <cell r="AW750" t="str">
            <v>01</v>
          </cell>
          <cell r="AY750">
            <v>1</v>
          </cell>
          <cell r="BE750"/>
          <cell r="BF750"/>
        </row>
        <row r="751">
          <cell r="A751" t="str">
            <v>boss_longdi_skill02</v>
          </cell>
          <cell r="B751" t="str">
            <v>极寒冰狱</v>
          </cell>
          <cell r="C751" t="str">
            <v>longdi_skill02</v>
          </cell>
          <cell r="D751" t="str">
            <v>[]</v>
          </cell>
          <cell r="E751">
            <v>1</v>
          </cell>
          <cell r="F751" t="str">
            <v>boss_warning_yuanxing</v>
          </cell>
          <cell r="G751" t="str">
            <v>龙帝技能4</v>
          </cell>
          <cell r="H751" t="str">
            <v>longdi_skill02</v>
          </cell>
          <cell r="I751" t="str">
            <v>[]</v>
          </cell>
          <cell r="J751">
            <v>1</v>
          </cell>
          <cell r="K751">
            <v>10</v>
          </cell>
          <cell r="L751" t="str">
            <v>[]</v>
          </cell>
          <cell r="M751">
            <v>2</v>
          </cell>
          <cell r="N751">
            <v>2</v>
          </cell>
          <cell r="O751">
            <v>1</v>
          </cell>
          <cell r="P751">
            <v>2</v>
          </cell>
          <cell r="Q751">
            <v>4</v>
          </cell>
          <cell r="R751" t="str">
            <v>2|1</v>
          </cell>
          <cell r="S751" t="str">
            <v>2|10</v>
          </cell>
          <cell r="T751">
            <v>10</v>
          </cell>
          <cell r="U751">
            <v>1</v>
          </cell>
          <cell r="V751">
            <v>0</v>
          </cell>
          <cell r="W751" t="str">
            <v>[]</v>
          </cell>
          <cell r="X751">
            <v>3</v>
          </cell>
          <cell r="Y751" t="str">
            <v>[]</v>
          </cell>
          <cell r="Z751" t="str">
            <v>0,1.167,0</v>
          </cell>
          <cell r="AA751">
            <v>0</v>
          </cell>
          <cell r="AB751" t="str">
            <v>10</v>
          </cell>
          <cell r="AC751" t="str">
            <v>[]</v>
          </cell>
          <cell r="AD751" t="str">
            <v>[]</v>
          </cell>
          <cell r="AE751" t="str">
            <v>[]</v>
          </cell>
          <cell r="AF751" t="str">
            <v>longdi_skill02</v>
          </cell>
          <cell r="AG751" t="str">
            <v>common_hit_fashu</v>
          </cell>
          <cell r="AH751" t="str">
            <v>[]</v>
          </cell>
          <cell r="AI751" t="str">
            <v>[]</v>
          </cell>
          <cell r="AJ751" t="str">
            <v>[]</v>
          </cell>
          <cell r="AK751" t="str">
            <v>bingdongT1NP0.2</v>
          </cell>
          <cell r="AL751" t="str">
            <v>[]</v>
          </cell>
          <cell r="AM751" t="str">
            <v>[]</v>
          </cell>
          <cell r="AN751">
            <v>2</v>
          </cell>
          <cell r="AO751" t="str">
            <v>1</v>
          </cell>
          <cell r="AP751">
            <v>636</v>
          </cell>
          <cell r="AQ751">
            <v>636</v>
          </cell>
          <cell r="AR751" t="str">
            <v>[]</v>
          </cell>
          <cell r="AS751" t="str">
            <v>[]</v>
          </cell>
          <cell r="AT751" t="str">
            <v>6480</v>
          </cell>
          <cell r="AU751" t="str">
            <v>6480</v>
          </cell>
          <cell r="AV751" t="str">
            <v>龙帝</v>
          </cell>
          <cell r="AW751" t="str">
            <v>02</v>
          </cell>
          <cell r="AY751">
            <v>1</v>
          </cell>
          <cell r="BE751"/>
          <cell r="BF751"/>
        </row>
        <row r="752">
          <cell r="A752" t="str">
            <v>boss_longdi_skill04</v>
          </cell>
          <cell r="B752" t="str">
            <v>寒陨爆裂</v>
          </cell>
          <cell r="C752" t="str">
            <v>longdi_skill04</v>
          </cell>
          <cell r="D752" t="str">
            <v>[]</v>
          </cell>
          <cell r="E752">
            <v>1</v>
          </cell>
          <cell r="F752" t="str">
            <v>boss_warning_yuanxing</v>
          </cell>
          <cell r="G752" t="str">
            <v>龙帝技能2</v>
          </cell>
          <cell r="H752" t="str">
            <v>longdi_skill04</v>
          </cell>
          <cell r="I752" t="str">
            <v>[]</v>
          </cell>
          <cell r="J752">
            <v>3</v>
          </cell>
          <cell r="K752">
            <v>10</v>
          </cell>
          <cell r="L752" t="str">
            <v>[]</v>
          </cell>
          <cell r="M752">
            <v>2</v>
          </cell>
          <cell r="N752">
            <v>2</v>
          </cell>
          <cell r="O752">
            <v>1</v>
          </cell>
          <cell r="P752">
            <v>2</v>
          </cell>
          <cell r="Q752">
            <v>12</v>
          </cell>
          <cell r="R752" t="str">
            <v>2|1</v>
          </cell>
          <cell r="S752" t="str">
            <v>2|10</v>
          </cell>
          <cell r="T752">
            <v>10</v>
          </cell>
          <cell r="U752">
            <v>1</v>
          </cell>
          <cell r="V752">
            <v>0</v>
          </cell>
          <cell r="W752" t="str">
            <v>[]</v>
          </cell>
          <cell r="X752">
            <v>3</v>
          </cell>
          <cell r="Y752" t="str">
            <v>[]</v>
          </cell>
          <cell r="Z752" t="str">
            <v>0,1.667,0</v>
          </cell>
          <cell r="AA752">
            <v>0</v>
          </cell>
          <cell r="AB752" t="str">
            <v>10</v>
          </cell>
          <cell r="AC752" t="str">
            <v>[]</v>
          </cell>
          <cell r="AD752" t="str">
            <v>[]</v>
          </cell>
          <cell r="AE752" t="str">
            <v>[]</v>
          </cell>
          <cell r="AF752" t="str">
            <v>longdi_skill04</v>
          </cell>
          <cell r="AG752" t="str">
            <v>common_hit_fashu</v>
          </cell>
          <cell r="AH752" t="str">
            <v>[]</v>
          </cell>
          <cell r="AI752" t="str">
            <v>[]</v>
          </cell>
          <cell r="AJ752" t="str">
            <v>[]</v>
          </cell>
          <cell r="AK752" t="str">
            <v>[]</v>
          </cell>
          <cell r="AL752" t="str">
            <v>baojiupT3N0.1</v>
          </cell>
          <cell r="AM752" t="str">
            <v>[]</v>
          </cell>
          <cell r="AN752">
            <v>2</v>
          </cell>
          <cell r="AO752" t="str">
            <v>1</v>
          </cell>
          <cell r="AP752">
            <v>636</v>
          </cell>
          <cell r="AQ752">
            <v>636</v>
          </cell>
          <cell r="AR752" t="str">
            <v>[]</v>
          </cell>
          <cell r="AS752" t="str">
            <v>[]</v>
          </cell>
          <cell r="AT752" t="str">
            <v>6500</v>
          </cell>
          <cell r="AU752" t="str">
            <v>6500</v>
          </cell>
          <cell r="AV752" t="str">
            <v>龙帝</v>
          </cell>
          <cell r="AW752" t="str">
            <v>04</v>
          </cell>
          <cell r="AX752"/>
          <cell r="AY752">
            <v>1</v>
          </cell>
          <cell r="BE752"/>
          <cell r="BF752"/>
        </row>
        <row r="753">
          <cell r="A753" t="str">
            <v>boss_shancaitongzi_skill01</v>
          </cell>
          <cell r="B753" t="str">
            <v>水月神舞</v>
          </cell>
          <cell r="C753" t="str">
            <v>shancaitongzi_skill01</v>
          </cell>
          <cell r="D753" t="str">
            <v>[]</v>
          </cell>
          <cell r="E753">
            <v>0</v>
          </cell>
          <cell r="F753" t="str">
            <v>[]</v>
          </cell>
          <cell r="G753" t="str">
            <v>善财童子核心技能</v>
          </cell>
          <cell r="H753" t="str">
            <v>shancaitongzi_skill01</v>
          </cell>
          <cell r="I753" t="str">
            <v>shancaitongzi_skill01</v>
          </cell>
          <cell r="J753">
            <v>0</v>
          </cell>
          <cell r="K753">
            <v>10</v>
          </cell>
          <cell r="L753" t="str">
            <v>1|9</v>
          </cell>
          <cell r="M753">
            <v>2</v>
          </cell>
          <cell r="N753">
            <v>5</v>
          </cell>
          <cell r="O753">
            <v>2</v>
          </cell>
          <cell r="P753">
            <v>2</v>
          </cell>
          <cell r="Q753">
            <v>12</v>
          </cell>
          <cell r="R753" t="str">
            <v>2|1</v>
          </cell>
          <cell r="S753" t="str">
            <v>2|10</v>
          </cell>
          <cell r="T753">
            <v>10</v>
          </cell>
          <cell r="U753">
            <v>0</v>
          </cell>
          <cell r="V753">
            <v>0</v>
          </cell>
          <cell r="W753" t="str">
            <v>[]</v>
          </cell>
          <cell r="X753">
            <v>0</v>
          </cell>
          <cell r="Y753" t="str">
            <v>[]</v>
          </cell>
          <cell r="Z753" t="str">
            <v>0,0,0</v>
          </cell>
          <cell r="AA753">
            <v>0</v>
          </cell>
          <cell r="AB753" t="str">
            <v>10</v>
          </cell>
          <cell r="AC753" t="str">
            <v>[]</v>
          </cell>
          <cell r="AD753" t="str">
            <v>[]</v>
          </cell>
          <cell r="AE753" t="str">
            <v>[]</v>
          </cell>
          <cell r="AF753" t="str">
            <v>shancaitongzi_skill01</v>
          </cell>
          <cell r="AG753" t="str">
            <v>common_hit_fashu</v>
          </cell>
          <cell r="AH753" t="str">
            <v>[]</v>
          </cell>
          <cell r="AI753" t="str">
            <v>[]</v>
          </cell>
          <cell r="AJ753" t="str">
            <v>[]</v>
          </cell>
          <cell r="AK753" t="str">
            <v>[]</v>
          </cell>
          <cell r="AL753" t="str">
            <v>baojiupT3N0.1</v>
          </cell>
          <cell r="AM753" t="str">
            <v>[]</v>
          </cell>
          <cell r="AN753">
            <v>2</v>
          </cell>
          <cell r="AO753" t="str">
            <v>1</v>
          </cell>
          <cell r="AP753">
            <v>636</v>
          </cell>
          <cell r="AQ753">
            <v>636</v>
          </cell>
          <cell r="AR753" t="str">
            <v>[]</v>
          </cell>
          <cell r="AS753" t="str">
            <v>[]</v>
          </cell>
          <cell r="AT753" t="str">
            <v>6520</v>
          </cell>
          <cell r="AU753" t="str">
            <v>6520</v>
          </cell>
          <cell r="AV753" t="str">
            <v>善财童子</v>
          </cell>
          <cell r="AW753" t="str">
            <v>01</v>
          </cell>
          <cell r="AY753">
            <v>1</v>
          </cell>
          <cell r="BE753"/>
          <cell r="BF753"/>
        </row>
        <row r="754">
          <cell r="A754" t="str">
            <v>boss_shancaitongzi_skill02</v>
          </cell>
          <cell r="B754" t="str">
            <v>般若莲心</v>
          </cell>
          <cell r="C754" t="str">
            <v>shancaitongzi_skill02</v>
          </cell>
          <cell r="D754" t="str">
            <v>[]</v>
          </cell>
          <cell r="E754">
            <v>0</v>
          </cell>
          <cell r="F754" t="str">
            <v>[]</v>
          </cell>
          <cell r="G754" t="str">
            <v>善财童子技能2</v>
          </cell>
          <cell r="H754" t="str">
            <v>shancaitongzi_skill02</v>
          </cell>
          <cell r="I754" t="str">
            <v>[]</v>
          </cell>
          <cell r="J754">
            <v>1</v>
          </cell>
          <cell r="K754">
            <v>10</v>
          </cell>
          <cell r="L754" t="str">
            <v>[]</v>
          </cell>
          <cell r="M754">
            <v>2</v>
          </cell>
          <cell r="N754">
            <v>2</v>
          </cell>
          <cell r="O754">
            <v>1</v>
          </cell>
          <cell r="P754">
            <v>2</v>
          </cell>
          <cell r="Q754">
            <v>12</v>
          </cell>
          <cell r="R754" t="str">
            <v>2|1</v>
          </cell>
          <cell r="S754" t="str">
            <v>1|2|2</v>
          </cell>
          <cell r="T754">
            <v>1</v>
          </cell>
          <cell r="U754">
            <v>0</v>
          </cell>
          <cell r="V754">
            <v>0</v>
          </cell>
          <cell r="W754" t="str">
            <v>[]</v>
          </cell>
          <cell r="X754">
            <v>3</v>
          </cell>
          <cell r="Y754" t="str">
            <v>[]</v>
          </cell>
          <cell r="Z754" t="str">
            <v>1.2,1.35,0</v>
          </cell>
          <cell r="AA754">
            <v>0</v>
          </cell>
          <cell r="AB754" t="str">
            <v>10</v>
          </cell>
          <cell r="AC754" t="str">
            <v>[]</v>
          </cell>
          <cell r="AD754" t="str">
            <v>[]</v>
          </cell>
          <cell r="AE754" t="str">
            <v>[]</v>
          </cell>
          <cell r="AF754" t="str">
            <v>shancaitongzi_skill02</v>
          </cell>
          <cell r="AG754" t="str">
            <v>shancaitongzi_skill02_d</v>
          </cell>
          <cell r="AH754" t="str">
            <v>[]</v>
          </cell>
          <cell r="AI754" t="str">
            <v>[]</v>
          </cell>
          <cell r="AJ754" t="str">
            <v>[]</v>
          </cell>
          <cell r="AK754" t="str">
            <v>[]</v>
          </cell>
          <cell r="AL754" t="str">
            <v>[]</v>
          </cell>
          <cell r="AM754" t="str">
            <v>[]</v>
          </cell>
          <cell r="AN754">
            <v>2</v>
          </cell>
          <cell r="AO754" t="str">
            <v>1</v>
          </cell>
          <cell r="AP754">
            <v>636</v>
          </cell>
          <cell r="AQ754">
            <v>636</v>
          </cell>
          <cell r="AR754" t="str">
            <v>[]</v>
          </cell>
          <cell r="AS754" t="str">
            <v>[]</v>
          </cell>
          <cell r="AT754" t="str">
            <v>6530</v>
          </cell>
          <cell r="AU754" t="str">
            <v>6530</v>
          </cell>
          <cell r="AV754" t="str">
            <v>善财童子</v>
          </cell>
          <cell r="AW754" t="str">
            <v>02</v>
          </cell>
          <cell r="AY754">
            <v>1</v>
          </cell>
          <cell r="BE754"/>
          <cell r="BF754"/>
        </row>
        <row r="755">
          <cell r="A755" t="str">
            <v>boss_shancaitongzi_skill04</v>
          </cell>
          <cell r="B755" t="str">
            <v>枪影重重</v>
          </cell>
          <cell r="C755" t="str">
            <v>shancaitongzi_skill04</v>
          </cell>
          <cell r="D755" t="str">
            <v>[]</v>
          </cell>
          <cell r="E755">
            <v>2</v>
          </cell>
          <cell r="F755" t="str">
            <v>boss_warning_yuanxing</v>
          </cell>
          <cell r="G755" t="str">
            <v>善财童子技能4</v>
          </cell>
          <cell r="H755" t="str">
            <v>shancaitongzi_skill04</v>
          </cell>
          <cell r="I755" t="str">
            <v>[]</v>
          </cell>
          <cell r="J755">
            <v>3</v>
          </cell>
          <cell r="K755">
            <v>10</v>
          </cell>
          <cell r="L755" t="str">
            <v>[]</v>
          </cell>
          <cell r="M755">
            <v>2</v>
          </cell>
          <cell r="N755">
            <v>2</v>
          </cell>
          <cell r="O755">
            <v>1</v>
          </cell>
          <cell r="P755">
            <v>2</v>
          </cell>
          <cell r="Q755">
            <v>4</v>
          </cell>
          <cell r="R755" t="str">
            <v>2|1</v>
          </cell>
          <cell r="S755" t="str">
            <v>1|2|2</v>
          </cell>
          <cell r="T755">
            <v>10</v>
          </cell>
          <cell r="U755">
            <v>0</v>
          </cell>
          <cell r="V755">
            <v>0</v>
          </cell>
          <cell r="W755" t="str">
            <v>[]</v>
          </cell>
          <cell r="X755">
            <v>3</v>
          </cell>
          <cell r="Y755" t="str">
            <v>[]</v>
          </cell>
          <cell r="Z755" t="str">
            <v>1.2,1.0,0</v>
          </cell>
          <cell r="AA755">
            <v>0</v>
          </cell>
          <cell r="AB755" t="str">
            <v>10</v>
          </cell>
          <cell r="AC755" t="str">
            <v>[]</v>
          </cell>
          <cell r="AD755" t="str">
            <v>[]</v>
          </cell>
          <cell r="AE755" t="str">
            <v>shancaitongzi_skill04_q</v>
          </cell>
          <cell r="AF755" t="str">
            <v>shancaitongzi_skill04</v>
          </cell>
          <cell r="AG755" t="str">
            <v>common_hit_fashu</v>
          </cell>
          <cell r="AH755" t="str">
            <v>[]</v>
          </cell>
          <cell r="AI755" t="str">
            <v>[]</v>
          </cell>
          <cell r="AJ755" t="str">
            <v>[]</v>
          </cell>
          <cell r="AK755" t="str">
            <v>[]</v>
          </cell>
          <cell r="AL755" t="str">
            <v>[]</v>
          </cell>
          <cell r="AM755" t="str">
            <v>[]</v>
          </cell>
          <cell r="AN755">
            <v>2</v>
          </cell>
          <cell r="AO755" t="str">
            <v>1</v>
          </cell>
          <cell r="AP755">
            <v>636</v>
          </cell>
          <cell r="AQ755">
            <v>636</v>
          </cell>
          <cell r="AR755" t="str">
            <v>[]</v>
          </cell>
          <cell r="AS755" t="str">
            <v>[]</v>
          </cell>
          <cell r="AT755" t="str">
            <v>6550</v>
          </cell>
          <cell r="AU755" t="str">
            <v>6550</v>
          </cell>
          <cell r="AV755" t="str">
            <v>善财童子</v>
          </cell>
          <cell r="AW755" t="str">
            <v>04</v>
          </cell>
          <cell r="AX755"/>
          <cell r="AY755">
            <v>1</v>
          </cell>
          <cell r="BE755"/>
          <cell r="BF755"/>
        </row>
        <row r="756">
          <cell r="A756" t="str">
            <v>boss_saitaisui_skill01</v>
          </cell>
          <cell r="B756" t="str">
            <v>地狱火海</v>
          </cell>
          <cell r="C756" t="str">
            <v>saitaisui_skill01</v>
          </cell>
          <cell r="D756" t="str">
            <v>[]</v>
          </cell>
          <cell r="E756">
            <v>0</v>
          </cell>
          <cell r="F756" t="str">
            <v>[]</v>
          </cell>
          <cell r="G756" t="str">
            <v>地狱火海</v>
          </cell>
          <cell r="H756" t="str">
            <v>diyuhuohai</v>
          </cell>
          <cell r="I756" t="str">
            <v>diyuhuohai</v>
          </cell>
          <cell r="J756">
            <v>0</v>
          </cell>
          <cell r="K756">
            <v>10</v>
          </cell>
          <cell r="L756" t="str">
            <v>1|76</v>
          </cell>
          <cell r="M756">
            <v>2</v>
          </cell>
          <cell r="N756">
            <v>2</v>
          </cell>
          <cell r="O756">
            <v>2</v>
          </cell>
          <cell r="P756">
            <v>2</v>
          </cell>
          <cell r="Q756">
            <v>12</v>
          </cell>
          <cell r="R756" t="str">
            <v>2|1</v>
          </cell>
          <cell r="S756" t="str">
            <v>2|10</v>
          </cell>
          <cell r="T756">
            <v>10</v>
          </cell>
          <cell r="U756">
            <v>0</v>
          </cell>
          <cell r="V756">
            <v>0</v>
          </cell>
          <cell r="W756" t="str">
            <v>[]</v>
          </cell>
          <cell r="X756">
            <v>0</v>
          </cell>
          <cell r="Y756" t="str">
            <v>[]</v>
          </cell>
          <cell r="Z756" t="str">
            <v>0,0,0</v>
          </cell>
          <cell r="AA756">
            <v>0</v>
          </cell>
          <cell r="AB756" t="str">
            <v>10</v>
          </cell>
          <cell r="AC756" t="str">
            <v>[]</v>
          </cell>
          <cell r="AD756" t="str">
            <v>[]</v>
          </cell>
          <cell r="AE756" t="str">
            <v>[]</v>
          </cell>
          <cell r="AF756" t="str">
            <v>diyuhuohai</v>
          </cell>
          <cell r="AG756" t="str">
            <v>common_hit_fashu</v>
          </cell>
          <cell r="AH756" t="str">
            <v>[]</v>
          </cell>
          <cell r="AI756" t="str">
            <v>[]</v>
          </cell>
          <cell r="AJ756" t="str">
            <v>[]</v>
          </cell>
          <cell r="AK756" t="str">
            <v>[]</v>
          </cell>
          <cell r="AL756" t="str">
            <v>baojiupT6N0.2</v>
          </cell>
          <cell r="AM756" t="str">
            <v>[]</v>
          </cell>
          <cell r="AN756">
            <v>2</v>
          </cell>
          <cell r="AO756" t="str">
            <v>1</v>
          </cell>
          <cell r="AP756">
            <v>636</v>
          </cell>
          <cell r="AQ756">
            <v>636</v>
          </cell>
          <cell r="AR756" t="str">
            <v>[]</v>
          </cell>
          <cell r="AS756" t="str">
            <v>[]</v>
          </cell>
          <cell r="AT756" t="str">
            <v>6570</v>
          </cell>
          <cell r="AU756" t="str">
            <v>6570</v>
          </cell>
          <cell r="AV756" t="str">
            <v>地狱火海</v>
          </cell>
          <cell r="AW756" t="str">
            <v>01</v>
          </cell>
          <cell r="AY756">
            <v>1</v>
          </cell>
          <cell r="BE756"/>
          <cell r="BF756"/>
        </row>
        <row r="757">
          <cell r="A757" t="str">
            <v>boss_saitaisui_skill02</v>
          </cell>
          <cell r="B757" t="str">
            <v>音波摄魂</v>
          </cell>
          <cell r="C757" t="str">
            <v>saitaisui_skill02</v>
          </cell>
          <cell r="D757" t="str">
            <v>[]</v>
          </cell>
          <cell r="E757">
            <v>1</v>
          </cell>
          <cell r="F757" t="str">
            <v>boss_warning_yuanxing</v>
          </cell>
          <cell r="G757" t="str">
            <v>赛太岁技能2</v>
          </cell>
          <cell r="H757" t="str">
            <v>saitaisui_skill02</v>
          </cell>
          <cell r="I757" t="str">
            <v>[]</v>
          </cell>
          <cell r="J757">
            <v>1</v>
          </cell>
          <cell r="K757">
            <v>10</v>
          </cell>
          <cell r="L757" t="str">
            <v>[]</v>
          </cell>
          <cell r="M757">
            <v>2</v>
          </cell>
          <cell r="N757">
            <v>2</v>
          </cell>
          <cell r="O757">
            <v>1</v>
          </cell>
          <cell r="P757">
            <v>2</v>
          </cell>
          <cell r="Q757">
            <v>12</v>
          </cell>
          <cell r="R757" t="str">
            <v>2|1</v>
          </cell>
          <cell r="S757" t="str">
            <v>2|10</v>
          </cell>
          <cell r="T757">
            <v>10</v>
          </cell>
          <cell r="U757">
            <v>0</v>
          </cell>
          <cell r="V757">
            <v>0</v>
          </cell>
          <cell r="W757" t="str">
            <v>[]</v>
          </cell>
          <cell r="X757">
            <v>3</v>
          </cell>
          <cell r="Y757" t="str">
            <v>[]</v>
          </cell>
          <cell r="Z757" t="str">
            <v>0,1,0</v>
          </cell>
          <cell r="AA757">
            <v>0</v>
          </cell>
          <cell r="AB757" t="str">
            <v>10</v>
          </cell>
          <cell r="AC757" t="str">
            <v>[]</v>
          </cell>
          <cell r="AD757" t="str">
            <v>[]</v>
          </cell>
          <cell r="AE757" t="str">
            <v>[]</v>
          </cell>
          <cell r="AF757" t="str">
            <v>saitaisui_skill02</v>
          </cell>
          <cell r="AG757" t="str">
            <v>common_hit_fashu</v>
          </cell>
          <cell r="AH757" t="str">
            <v>[]</v>
          </cell>
          <cell r="AI757" t="str">
            <v>[]</v>
          </cell>
          <cell r="AJ757" t="str">
            <v>[]</v>
          </cell>
          <cell r="AK757" t="str">
            <v>[]</v>
          </cell>
          <cell r="AL757" t="str">
            <v>[]</v>
          </cell>
          <cell r="AM757" t="str">
            <v>jiashangupT3N0.1</v>
          </cell>
          <cell r="AN757">
            <v>2</v>
          </cell>
          <cell r="AO757" t="str">
            <v>1</v>
          </cell>
          <cell r="AP757">
            <v>636</v>
          </cell>
          <cell r="AQ757">
            <v>636</v>
          </cell>
          <cell r="AR757" t="str">
            <v>[]</v>
          </cell>
          <cell r="AS757" t="str">
            <v>[]</v>
          </cell>
          <cell r="AT757" t="str">
            <v>6580</v>
          </cell>
          <cell r="AU757" t="str">
            <v>6580</v>
          </cell>
          <cell r="AV757" t="str">
            <v>赛太岁</v>
          </cell>
          <cell r="AW757" t="str">
            <v>02</v>
          </cell>
          <cell r="AY757">
            <v>1</v>
          </cell>
          <cell r="BE757"/>
          <cell r="BF757"/>
        </row>
        <row r="758">
          <cell r="A758" t="str">
            <v>boss_saitaisui_skill04</v>
          </cell>
          <cell r="B758" t="str">
            <v>熔岩之路</v>
          </cell>
          <cell r="C758" t="str">
            <v>saitaisui_skill04</v>
          </cell>
          <cell r="D758" t="str">
            <v>[]</v>
          </cell>
          <cell r="E758">
            <v>2</v>
          </cell>
          <cell r="F758" t="str">
            <v>boss_warning_juxing</v>
          </cell>
          <cell r="G758" t="str">
            <v>赛太岁技能4</v>
          </cell>
          <cell r="H758" t="str">
            <v>saitaisui_skill04</v>
          </cell>
          <cell r="I758" t="str">
            <v>[]</v>
          </cell>
          <cell r="J758">
            <v>3</v>
          </cell>
          <cell r="K758">
            <v>10</v>
          </cell>
          <cell r="L758" t="str">
            <v>[]</v>
          </cell>
          <cell r="M758">
            <v>2</v>
          </cell>
          <cell r="N758">
            <v>2</v>
          </cell>
          <cell r="O758">
            <v>2</v>
          </cell>
          <cell r="P758">
            <v>2</v>
          </cell>
          <cell r="Q758">
            <v>4</v>
          </cell>
          <cell r="R758" t="str">
            <v>2|1</v>
          </cell>
          <cell r="S758" t="str">
            <v>1|8|4</v>
          </cell>
          <cell r="T758">
            <v>10</v>
          </cell>
          <cell r="U758">
            <v>1</v>
          </cell>
          <cell r="V758">
            <v>0</v>
          </cell>
          <cell r="W758" t="str">
            <v>[]</v>
          </cell>
          <cell r="X758">
            <v>3</v>
          </cell>
          <cell r="Y758" t="str">
            <v>[]</v>
          </cell>
          <cell r="Z758" t="str">
            <v>0,1.667,0</v>
          </cell>
          <cell r="AA758">
            <v>0</v>
          </cell>
          <cell r="AB758" t="str">
            <v>10</v>
          </cell>
          <cell r="AC758" t="str">
            <v>[]</v>
          </cell>
          <cell r="AD758" t="str">
            <v>[]</v>
          </cell>
          <cell r="AE758" t="str">
            <v>[]</v>
          </cell>
          <cell r="AF758" t="str">
            <v>saitaisui_skill04</v>
          </cell>
          <cell r="AG758" t="str">
            <v>common_hit_fashu</v>
          </cell>
          <cell r="AH758" t="str">
            <v>[]</v>
          </cell>
          <cell r="AI758" t="str">
            <v>[]</v>
          </cell>
          <cell r="AJ758" t="str">
            <v>[]</v>
          </cell>
          <cell r="AK758" t="str">
            <v>[]</v>
          </cell>
          <cell r="AL758" t="str">
            <v>[]</v>
          </cell>
          <cell r="AM758" t="str">
            <v>[]</v>
          </cell>
          <cell r="AN758">
            <v>2</v>
          </cell>
          <cell r="AO758" t="str">
            <v>1</v>
          </cell>
          <cell r="AP758">
            <v>636</v>
          </cell>
          <cell r="AQ758">
            <v>636</v>
          </cell>
          <cell r="AR758" t="str">
            <v>[]</v>
          </cell>
          <cell r="AS758" t="str">
            <v>[]</v>
          </cell>
          <cell r="AT758" t="str">
            <v>6600</v>
          </cell>
          <cell r="AU758" t="str">
            <v>6600</v>
          </cell>
          <cell r="AV758" t="str">
            <v>赛太岁</v>
          </cell>
          <cell r="AW758" t="str">
            <v>04</v>
          </cell>
          <cell r="AX758"/>
          <cell r="AY758">
            <v>1</v>
          </cell>
          <cell r="BE758"/>
          <cell r="BF758"/>
        </row>
        <row r="759">
          <cell r="A759" t="str">
            <v>boss_babutianlong_skill01</v>
          </cell>
          <cell r="B759" t="str">
            <v>翻天覆海</v>
          </cell>
          <cell r="C759" t="str">
            <v>babutianlong_skill01</v>
          </cell>
          <cell r="D759" t="str">
            <v>[]</v>
          </cell>
          <cell r="E759">
            <v>1</v>
          </cell>
          <cell r="F759" t="str">
            <v>boss_warning_yuanxing</v>
          </cell>
          <cell r="G759" t="str">
            <v>八部天龙核心技能</v>
          </cell>
          <cell r="H759" t="str">
            <v>babutianlong_skill01</v>
          </cell>
          <cell r="I759" t="str">
            <v>babutianlong_skill01</v>
          </cell>
          <cell r="J759">
            <v>0</v>
          </cell>
          <cell r="K759">
            <v>10</v>
          </cell>
          <cell r="L759" t="str">
            <v>1|23</v>
          </cell>
          <cell r="M759">
            <v>2</v>
          </cell>
          <cell r="N759">
            <v>2</v>
          </cell>
          <cell r="O759">
            <v>2</v>
          </cell>
          <cell r="P759">
            <v>2</v>
          </cell>
          <cell r="Q759">
            <v>12</v>
          </cell>
          <cell r="R759" t="str">
            <v>2|1</v>
          </cell>
          <cell r="S759" t="str">
            <v>2|10</v>
          </cell>
          <cell r="T759">
            <v>10</v>
          </cell>
          <cell r="U759">
            <v>0</v>
          </cell>
          <cell r="V759">
            <v>0</v>
          </cell>
          <cell r="W759" t="str">
            <v>[]</v>
          </cell>
          <cell r="X759">
            <v>0</v>
          </cell>
          <cell r="Y759" t="str">
            <v>[]</v>
          </cell>
          <cell r="Z759" t="str">
            <v>0,0,0</v>
          </cell>
          <cell r="AA759">
            <v>0</v>
          </cell>
          <cell r="AB759" t="str">
            <v>10</v>
          </cell>
          <cell r="AC759" t="str">
            <v>[]</v>
          </cell>
          <cell r="AD759" t="str">
            <v>[]</v>
          </cell>
          <cell r="AE759" t="str">
            <v>[]</v>
          </cell>
          <cell r="AF759" t="str">
            <v>babutianlong_skill01</v>
          </cell>
          <cell r="AG759" t="str">
            <v>common_hit_fashu</v>
          </cell>
          <cell r="AH759" t="str">
            <v>[]</v>
          </cell>
          <cell r="AI759" t="str">
            <v>[]</v>
          </cell>
          <cell r="AJ759" t="str">
            <v>[]</v>
          </cell>
          <cell r="AK759" t="str">
            <v>chengmoT2NP0.1</v>
          </cell>
          <cell r="AL759" t="str">
            <v>[]</v>
          </cell>
          <cell r="AM759" t="str">
            <v>[]</v>
          </cell>
          <cell r="AN759">
            <v>2</v>
          </cell>
          <cell r="AO759" t="str">
            <v>1</v>
          </cell>
          <cell r="AP759">
            <v>636</v>
          </cell>
          <cell r="AQ759">
            <v>636</v>
          </cell>
          <cell r="AR759" t="str">
            <v>[]</v>
          </cell>
          <cell r="AS759" t="str">
            <v>[]</v>
          </cell>
          <cell r="AT759" t="str">
            <v>6620</v>
          </cell>
          <cell r="AU759" t="str">
            <v>6620</v>
          </cell>
          <cell r="AV759" t="str">
            <v>八部天龙</v>
          </cell>
          <cell r="AW759" t="str">
            <v>01</v>
          </cell>
          <cell r="AY759">
            <v>1</v>
          </cell>
          <cell r="BE759"/>
          <cell r="BF759"/>
        </row>
        <row r="760">
          <cell r="A760" t="str">
            <v>boss_babutianlong_skill02</v>
          </cell>
          <cell r="B760" t="str">
            <v>苍龙有悔</v>
          </cell>
          <cell r="C760" t="str">
            <v>babutianlong_skill02</v>
          </cell>
          <cell r="D760" t="str">
            <v>[]</v>
          </cell>
          <cell r="E760">
            <v>2</v>
          </cell>
          <cell r="F760" t="str">
            <v>boss_warning_juxing</v>
          </cell>
          <cell r="G760" t="str">
            <v>八部天龙技能2</v>
          </cell>
          <cell r="H760" t="str">
            <v>babutianlong_skill02</v>
          </cell>
          <cell r="I760" t="str">
            <v>[]</v>
          </cell>
          <cell r="J760">
            <v>1</v>
          </cell>
          <cell r="K760">
            <v>10</v>
          </cell>
          <cell r="L760" t="str">
            <v>[]</v>
          </cell>
          <cell r="M760">
            <v>2</v>
          </cell>
          <cell r="N760">
            <v>2</v>
          </cell>
          <cell r="O760">
            <v>1</v>
          </cell>
          <cell r="P760">
            <v>2</v>
          </cell>
          <cell r="Q760">
            <v>4</v>
          </cell>
          <cell r="R760" t="str">
            <v>2|1</v>
          </cell>
          <cell r="S760" t="str">
            <v>1|12|6</v>
          </cell>
          <cell r="T760">
            <v>10</v>
          </cell>
          <cell r="U760">
            <v>1</v>
          </cell>
          <cell r="V760">
            <v>0</v>
          </cell>
          <cell r="W760" t="str">
            <v>[]</v>
          </cell>
          <cell r="X760">
            <v>3</v>
          </cell>
          <cell r="Y760" t="str">
            <v>[]</v>
          </cell>
          <cell r="Z760" t="str">
            <v>0,2.224,0.549</v>
          </cell>
          <cell r="AA760">
            <v>0</v>
          </cell>
          <cell r="AB760" t="str">
            <v>10</v>
          </cell>
          <cell r="AC760" t="str">
            <v>[]</v>
          </cell>
          <cell r="AD760" t="str">
            <v>[]</v>
          </cell>
          <cell r="AE760" t="str">
            <v>[]</v>
          </cell>
          <cell r="AF760" t="str">
            <v>babutianlong_skill02</v>
          </cell>
          <cell r="AG760" t="str">
            <v>common_hit_fashu</v>
          </cell>
          <cell r="AH760" t="str">
            <v>[]</v>
          </cell>
          <cell r="AI760" t="str">
            <v>[]</v>
          </cell>
          <cell r="AJ760" t="str">
            <v>[]</v>
          </cell>
          <cell r="AK760" t="str">
            <v>[]</v>
          </cell>
          <cell r="AL760" t="str">
            <v>[]</v>
          </cell>
          <cell r="AM760" t="str">
            <v>jiashangupT3N0.1</v>
          </cell>
          <cell r="AN760">
            <v>2</v>
          </cell>
          <cell r="AO760" t="str">
            <v>1</v>
          </cell>
          <cell r="AP760">
            <v>636</v>
          </cell>
          <cell r="AQ760">
            <v>636</v>
          </cell>
          <cell r="AR760" t="str">
            <v>[]</v>
          </cell>
          <cell r="AS760" t="str">
            <v>[]</v>
          </cell>
          <cell r="AT760" t="str">
            <v>6630</v>
          </cell>
          <cell r="AU760" t="str">
            <v>6630</v>
          </cell>
          <cell r="AV760" t="str">
            <v>八部天龙</v>
          </cell>
          <cell r="AW760" t="str">
            <v>02</v>
          </cell>
          <cell r="AY760">
            <v>1</v>
          </cell>
          <cell r="BE760"/>
          <cell r="BF760"/>
        </row>
        <row r="761">
          <cell r="A761" t="str">
            <v>boss_babutianlong_skill04</v>
          </cell>
          <cell r="B761" t="str">
            <v>怒波狂涛</v>
          </cell>
          <cell r="C761" t="str">
            <v>babutianlong_skill04</v>
          </cell>
          <cell r="D761" t="str">
            <v>[]</v>
          </cell>
          <cell r="E761">
            <v>1</v>
          </cell>
          <cell r="F761" t="str">
            <v>boss_warning_yuanxing</v>
          </cell>
          <cell r="G761" t="str">
            <v>八部天龙技能4</v>
          </cell>
          <cell r="H761" t="str">
            <v>babutianlong_skill04</v>
          </cell>
          <cell r="I761" t="str">
            <v>[]</v>
          </cell>
          <cell r="J761">
            <v>3</v>
          </cell>
          <cell r="K761">
            <v>10</v>
          </cell>
          <cell r="L761" t="str">
            <v>[]</v>
          </cell>
          <cell r="M761">
            <v>2</v>
          </cell>
          <cell r="N761">
            <v>2</v>
          </cell>
          <cell r="O761">
            <v>1</v>
          </cell>
          <cell r="P761">
            <v>2</v>
          </cell>
          <cell r="Q761">
            <v>4</v>
          </cell>
          <cell r="R761" t="str">
            <v>2|1</v>
          </cell>
          <cell r="S761" t="str">
            <v>2|10</v>
          </cell>
          <cell r="T761">
            <v>10</v>
          </cell>
          <cell r="U761">
            <v>0</v>
          </cell>
          <cell r="V761">
            <v>0</v>
          </cell>
          <cell r="W761" t="str">
            <v>[]</v>
          </cell>
          <cell r="X761">
            <v>3</v>
          </cell>
          <cell r="Y761" t="str">
            <v>[]</v>
          </cell>
          <cell r="Z761" t="str">
            <v>0,2.0,0</v>
          </cell>
          <cell r="AA761">
            <v>0</v>
          </cell>
          <cell r="AB761" t="str">
            <v>10</v>
          </cell>
          <cell r="AC761" t="str">
            <v>[]</v>
          </cell>
          <cell r="AD761" t="str">
            <v>[]</v>
          </cell>
          <cell r="AE761" t="str">
            <v>[]</v>
          </cell>
          <cell r="AF761" t="str">
            <v>babutianlong_skill04</v>
          </cell>
          <cell r="AG761" t="str">
            <v>common_hit_fashu</v>
          </cell>
          <cell r="AH761" t="str">
            <v>[]</v>
          </cell>
          <cell r="AI761" t="str">
            <v>[]</v>
          </cell>
          <cell r="AJ761" t="str">
            <v>[]</v>
          </cell>
          <cell r="AK761" t="str">
            <v>bingdongT1NP0.2</v>
          </cell>
          <cell r="AL761" t="str">
            <v>[]</v>
          </cell>
          <cell r="AM761" t="str">
            <v>[]</v>
          </cell>
          <cell r="AN761">
            <v>2</v>
          </cell>
          <cell r="AO761" t="str">
            <v>1</v>
          </cell>
          <cell r="AP761">
            <v>636</v>
          </cell>
          <cell r="AQ761">
            <v>636</v>
          </cell>
          <cell r="AR761" t="str">
            <v>[]</v>
          </cell>
          <cell r="AS761" t="str">
            <v>[]</v>
          </cell>
          <cell r="AT761" t="str">
            <v>6650</v>
          </cell>
          <cell r="AU761" t="str">
            <v>6650</v>
          </cell>
          <cell r="AV761" t="str">
            <v>八部天龙</v>
          </cell>
          <cell r="AW761" t="str">
            <v>04</v>
          </cell>
          <cell r="AX761"/>
          <cell r="AY761">
            <v>1</v>
          </cell>
          <cell r="BE761"/>
          <cell r="BF761"/>
        </row>
        <row r="762">
          <cell r="A762" t="str">
            <v>boss_shanzijing_skill01</v>
          </cell>
          <cell r="B762" t="str">
            <v>龙卷风暴</v>
          </cell>
          <cell r="C762" t="str">
            <v>shanzijing_skill01</v>
          </cell>
          <cell r="D762" t="str">
            <v>[]</v>
          </cell>
          <cell r="E762">
            <v>1</v>
          </cell>
          <cell r="F762" t="str">
            <v>boss_warning_yuanxing</v>
          </cell>
          <cell r="G762" t="str">
            <v>扇子精核心技能</v>
          </cell>
          <cell r="H762" t="str">
            <v>shanzijing_skill01</v>
          </cell>
          <cell r="I762" t="str">
            <v>shanzijing_skill01</v>
          </cell>
          <cell r="J762">
            <v>0</v>
          </cell>
          <cell r="K762">
            <v>10</v>
          </cell>
          <cell r="L762" t="str">
            <v>1|11</v>
          </cell>
          <cell r="M762">
            <v>2</v>
          </cell>
          <cell r="N762">
            <v>5</v>
          </cell>
          <cell r="O762">
            <v>2</v>
          </cell>
          <cell r="P762">
            <v>2</v>
          </cell>
          <cell r="Q762">
            <v>12</v>
          </cell>
          <cell r="R762" t="str">
            <v>2|1</v>
          </cell>
          <cell r="S762" t="str">
            <v>2|10</v>
          </cell>
          <cell r="T762">
            <v>10</v>
          </cell>
          <cell r="U762">
            <v>0</v>
          </cell>
          <cell r="V762">
            <v>0</v>
          </cell>
          <cell r="W762" t="str">
            <v>[]</v>
          </cell>
          <cell r="X762">
            <v>0</v>
          </cell>
          <cell r="Y762" t="str">
            <v>[]</v>
          </cell>
          <cell r="Z762" t="str">
            <v>0,0,0</v>
          </cell>
          <cell r="AA762">
            <v>0</v>
          </cell>
          <cell r="AB762" t="str">
            <v>10</v>
          </cell>
          <cell r="AC762" t="str">
            <v>[]</v>
          </cell>
          <cell r="AD762" t="str">
            <v>[]</v>
          </cell>
          <cell r="AE762" t="str">
            <v>[]</v>
          </cell>
          <cell r="AF762" t="str">
            <v>shanzijing_skill01</v>
          </cell>
          <cell r="AG762" t="str">
            <v>common_hit_fashu</v>
          </cell>
          <cell r="AH762" t="str">
            <v>[]</v>
          </cell>
          <cell r="AI762" t="str">
            <v>[]</v>
          </cell>
          <cell r="AJ762" t="str">
            <v>[]</v>
          </cell>
          <cell r="AK762" t="str">
            <v>[]</v>
          </cell>
          <cell r="AL762" t="str">
            <v>[]</v>
          </cell>
          <cell r="AM762" t="str">
            <v>[]</v>
          </cell>
          <cell r="AN762">
            <v>2</v>
          </cell>
          <cell r="AO762" t="str">
            <v>1</v>
          </cell>
          <cell r="AP762">
            <v>636</v>
          </cell>
          <cell r="AQ762">
            <v>636</v>
          </cell>
          <cell r="AR762" t="str">
            <v>[]</v>
          </cell>
          <cell r="AS762" t="str">
            <v>[]</v>
          </cell>
          <cell r="AT762" t="str">
            <v>6671</v>
          </cell>
          <cell r="AU762" t="str">
            <v>6671</v>
          </cell>
          <cell r="AV762" t="str">
            <v>扇子精</v>
          </cell>
          <cell r="AW762" t="str">
            <v>01</v>
          </cell>
          <cell r="AY762">
            <v>1</v>
          </cell>
          <cell r="BE762"/>
          <cell r="BF762"/>
        </row>
        <row r="763">
          <cell r="A763" t="str">
            <v>boss_shanzijing_skill02</v>
          </cell>
          <cell r="B763" t="str">
            <v>百花笑</v>
          </cell>
          <cell r="C763" t="str">
            <v>shanzijing_skill02</v>
          </cell>
          <cell r="D763" t="str">
            <v>[]</v>
          </cell>
          <cell r="E763">
            <v>2</v>
          </cell>
          <cell r="F763" t="str">
            <v>boss_warning_juxing</v>
          </cell>
          <cell r="G763" t="str">
            <v>扇子精技能2</v>
          </cell>
          <cell r="H763" t="str">
            <v>shanzijing_skill02</v>
          </cell>
          <cell r="I763" t="str">
            <v>[]</v>
          </cell>
          <cell r="J763">
            <v>1</v>
          </cell>
          <cell r="K763">
            <v>10</v>
          </cell>
          <cell r="L763" t="str">
            <v>[]</v>
          </cell>
          <cell r="M763">
            <v>2</v>
          </cell>
          <cell r="N763">
            <v>2</v>
          </cell>
          <cell r="O763">
            <v>1</v>
          </cell>
          <cell r="P763">
            <v>2</v>
          </cell>
          <cell r="Q763">
            <v>4</v>
          </cell>
          <cell r="R763" t="str">
            <v>2|1</v>
          </cell>
          <cell r="S763" t="str">
            <v>4|0.2</v>
          </cell>
          <cell r="T763">
            <v>1</v>
          </cell>
          <cell r="U763">
            <v>0</v>
          </cell>
          <cell r="V763">
            <v>0</v>
          </cell>
          <cell r="W763" t="str">
            <v>[]</v>
          </cell>
          <cell r="X763">
            <v>3</v>
          </cell>
          <cell r="Y763" t="str">
            <v>[]</v>
          </cell>
          <cell r="Z763" t="str">
            <v>1.6,1.35,0</v>
          </cell>
          <cell r="AA763">
            <v>0</v>
          </cell>
          <cell r="AB763" t="str">
            <v>10</v>
          </cell>
          <cell r="AC763" t="str">
            <v>[]</v>
          </cell>
          <cell r="AD763" t="str">
            <v>[]</v>
          </cell>
          <cell r="AE763" t="str">
            <v>shanzijing_skill02_q</v>
          </cell>
          <cell r="AF763" t="str">
            <v>shanzijing_skill02_f</v>
          </cell>
          <cell r="AG763" t="str">
            <v>common_hit_fashu</v>
          </cell>
          <cell r="AH763" t="str">
            <v>[]</v>
          </cell>
          <cell r="AI763" t="str">
            <v>[]</v>
          </cell>
          <cell r="AJ763" t="str">
            <v>[]</v>
          </cell>
          <cell r="AK763" t="str">
            <v>shanzijing_skill02_dinshen</v>
          </cell>
          <cell r="AL763" t="str">
            <v>[]</v>
          </cell>
          <cell r="AM763" t="str">
            <v>jiashangupT3N0.1</v>
          </cell>
          <cell r="AN763">
            <v>2</v>
          </cell>
          <cell r="AO763" t="str">
            <v>1</v>
          </cell>
          <cell r="AP763">
            <v>636</v>
          </cell>
          <cell r="AQ763">
            <v>636</v>
          </cell>
          <cell r="AR763" t="str">
            <v>[]</v>
          </cell>
          <cell r="AS763" t="str">
            <v>[]</v>
          </cell>
          <cell r="AT763" t="str">
            <v>6680</v>
          </cell>
          <cell r="AU763" t="str">
            <v>6680</v>
          </cell>
          <cell r="AV763" t="str">
            <v>扇子精</v>
          </cell>
          <cell r="AW763" t="str">
            <v>02</v>
          </cell>
          <cell r="AY763">
            <v>1</v>
          </cell>
          <cell r="BE763"/>
          <cell r="BF763"/>
        </row>
        <row r="764">
          <cell r="A764" t="str">
            <v>boss_shanzijing_skill04</v>
          </cell>
          <cell r="B764" t="str">
            <v>风团</v>
          </cell>
          <cell r="C764" t="str">
            <v>shanzijing_skill04</v>
          </cell>
          <cell r="D764" t="str">
            <v>[]</v>
          </cell>
          <cell r="E764">
            <v>2</v>
          </cell>
          <cell r="F764" t="str">
            <v>boss_warning_shanxing90</v>
          </cell>
          <cell r="G764" t="str">
            <v>扇子精技能4</v>
          </cell>
          <cell r="H764" t="str">
            <v>shanzijing_skill04</v>
          </cell>
          <cell r="I764" t="str">
            <v>[]</v>
          </cell>
          <cell r="J764">
            <v>3</v>
          </cell>
          <cell r="K764">
            <v>10</v>
          </cell>
          <cell r="L764" t="str">
            <v>[]</v>
          </cell>
          <cell r="M764">
            <v>2</v>
          </cell>
          <cell r="N764">
            <v>2</v>
          </cell>
          <cell r="O764">
            <v>2</v>
          </cell>
          <cell r="P764">
            <v>2</v>
          </cell>
          <cell r="Q764">
            <v>4</v>
          </cell>
          <cell r="R764" t="str">
            <v>2|1</v>
          </cell>
          <cell r="S764" t="str">
            <v>2|2</v>
          </cell>
          <cell r="T764">
            <v>10</v>
          </cell>
          <cell r="U764">
            <v>0</v>
          </cell>
          <cell r="V764">
            <v>0</v>
          </cell>
          <cell r="W764" t="str">
            <v>[]</v>
          </cell>
          <cell r="X764">
            <v>3</v>
          </cell>
          <cell r="Y764" t="str">
            <v>[]</v>
          </cell>
          <cell r="Z764" t="str">
            <v>1.47,0.6,0</v>
          </cell>
          <cell r="AA764">
            <v>0</v>
          </cell>
          <cell r="AB764" t="str">
            <v>10</v>
          </cell>
          <cell r="AC764" t="str">
            <v>[]</v>
          </cell>
          <cell r="AD764" t="str">
            <v>[]</v>
          </cell>
          <cell r="AE764" t="str">
            <v>shanzijing_skill04_q</v>
          </cell>
          <cell r="AF764" t="str">
            <v>shanzijing_skill04_f</v>
          </cell>
          <cell r="AG764" t="str">
            <v>shanzijing_skill04_b</v>
          </cell>
          <cell r="AH764" t="str">
            <v>[]</v>
          </cell>
          <cell r="AI764" t="str">
            <v>[]</v>
          </cell>
          <cell r="AJ764" t="str">
            <v>[]</v>
          </cell>
          <cell r="AK764" t="str">
            <v>shanzijing_zhenping</v>
          </cell>
          <cell r="AL764" t="str">
            <v>[]</v>
          </cell>
          <cell r="AM764" t="str">
            <v>[]</v>
          </cell>
          <cell r="AN764">
            <v>2</v>
          </cell>
          <cell r="AO764" t="str">
            <v>1</v>
          </cell>
          <cell r="AP764">
            <v>636</v>
          </cell>
          <cell r="AQ764">
            <v>636</v>
          </cell>
          <cell r="AR764" t="str">
            <v>[]</v>
          </cell>
          <cell r="AS764" t="str">
            <v>[]</v>
          </cell>
          <cell r="AT764" t="str">
            <v>6700</v>
          </cell>
          <cell r="AU764" t="str">
            <v>6700</v>
          </cell>
          <cell r="AV764" t="str">
            <v>扇子精</v>
          </cell>
          <cell r="AW764" t="str">
            <v>04</v>
          </cell>
          <cell r="AX764"/>
          <cell r="AY764">
            <v>1</v>
          </cell>
          <cell r="BE764"/>
          <cell r="BF764"/>
        </row>
        <row r="765">
          <cell r="A765" t="str">
            <v>boss_guanshiyin_skill01</v>
          </cell>
          <cell r="B765" t="str">
            <v>八门无双</v>
          </cell>
          <cell r="C765" t="str">
            <v>guanshiyin_skill01</v>
          </cell>
          <cell r="D765" t="str">
            <v>[]</v>
          </cell>
          <cell r="E765">
            <v>0</v>
          </cell>
          <cell r="F765" t="str">
            <v>[]</v>
          </cell>
          <cell r="G765" t="str">
            <v>观世音核心技能</v>
          </cell>
          <cell r="H765" t="str">
            <v>guanshiyin_skill01</v>
          </cell>
          <cell r="I765" t="str">
            <v>guanshiyin_skill01</v>
          </cell>
          <cell r="J765">
            <v>0</v>
          </cell>
          <cell r="K765">
            <v>1</v>
          </cell>
          <cell r="L765" t="str">
            <v>1|11</v>
          </cell>
          <cell r="M765">
            <v>2</v>
          </cell>
          <cell r="N765">
            <v>2</v>
          </cell>
          <cell r="O765">
            <v>2</v>
          </cell>
          <cell r="P765">
            <v>5</v>
          </cell>
          <cell r="Q765">
            <v>12</v>
          </cell>
          <cell r="R765">
            <v>3</v>
          </cell>
          <cell r="S765" t="str">
            <v>2|20</v>
          </cell>
          <cell r="T765">
            <v>10</v>
          </cell>
          <cell r="U765">
            <v>1</v>
          </cell>
          <cell r="V765">
            <v>0</v>
          </cell>
          <cell r="W765" t="str">
            <v>[]</v>
          </cell>
          <cell r="X765">
            <v>0</v>
          </cell>
          <cell r="Y765" t="str">
            <v>[]</v>
          </cell>
          <cell r="Z765" t="str">
            <v>0,0,0</v>
          </cell>
          <cell r="AA765">
            <v>0</v>
          </cell>
          <cell r="AB765" t="str">
            <v>10</v>
          </cell>
          <cell r="AC765" t="str">
            <v>[]</v>
          </cell>
          <cell r="AD765" t="str">
            <v>[]</v>
          </cell>
          <cell r="AE765" t="str">
            <v>[]</v>
          </cell>
          <cell r="AF765" t="str">
            <v>guanshiyin_skill01_blank</v>
          </cell>
          <cell r="AG765" t="str">
            <v>guanshiyin_skill01</v>
          </cell>
          <cell r="AH765" t="str">
            <v>[]</v>
          </cell>
          <cell r="AI765" t="str">
            <v>[]</v>
          </cell>
          <cell r="AJ765" t="str">
            <v>[]</v>
          </cell>
          <cell r="AK765" t="str">
            <v>[]</v>
          </cell>
          <cell r="AL765" t="str">
            <v>[]</v>
          </cell>
          <cell r="AM765" t="str">
            <v>huifuT3N0.4</v>
          </cell>
          <cell r="AN765">
            <v>2</v>
          </cell>
          <cell r="AO765" t="str">
            <v>1</v>
          </cell>
          <cell r="AP765" t="str">
            <v>[]</v>
          </cell>
          <cell r="AQ765">
            <v>622</v>
          </cell>
          <cell r="AR765" t="str">
            <v>[]</v>
          </cell>
          <cell r="AS765" t="str">
            <v>[]</v>
          </cell>
          <cell r="AT765" t="str">
            <v>6720</v>
          </cell>
          <cell r="AU765" t="str">
            <v>6720</v>
          </cell>
          <cell r="AV765" t="str">
            <v>观世音</v>
          </cell>
          <cell r="AW765" t="str">
            <v>01</v>
          </cell>
          <cell r="AY765">
            <v>1</v>
          </cell>
          <cell r="BE765"/>
          <cell r="BF765"/>
        </row>
        <row r="766">
          <cell r="A766" t="str">
            <v>boss_guanshiyin_skill02</v>
          </cell>
          <cell r="B766" t="str">
            <v>众生平等</v>
          </cell>
          <cell r="C766" t="str">
            <v>guanshiyin_skill02</v>
          </cell>
          <cell r="D766" t="str">
            <v>[]</v>
          </cell>
          <cell r="E766">
            <v>0</v>
          </cell>
          <cell r="F766" t="str">
            <v>[]</v>
          </cell>
          <cell r="G766" t="str">
            <v>观世音技能2</v>
          </cell>
          <cell r="H766" t="str">
            <v>guanshiyin_skill02</v>
          </cell>
          <cell r="I766" t="str">
            <v>[]</v>
          </cell>
          <cell r="J766">
            <v>1</v>
          </cell>
          <cell r="K766">
            <v>1</v>
          </cell>
          <cell r="L766" t="str">
            <v>[]</v>
          </cell>
          <cell r="M766">
            <v>2</v>
          </cell>
          <cell r="N766">
            <v>2</v>
          </cell>
          <cell r="O766">
            <v>2</v>
          </cell>
          <cell r="P766">
            <v>5</v>
          </cell>
          <cell r="Q766">
            <v>12</v>
          </cell>
          <cell r="R766">
            <v>3</v>
          </cell>
          <cell r="S766">
            <v>7</v>
          </cell>
          <cell r="T766">
            <v>1</v>
          </cell>
          <cell r="U766">
            <v>1</v>
          </cell>
          <cell r="V766">
            <v>0</v>
          </cell>
          <cell r="W766" t="str">
            <v>[]</v>
          </cell>
          <cell r="X766">
            <v>3</v>
          </cell>
          <cell r="Y766" t="str">
            <v>[]</v>
          </cell>
          <cell r="Z766" t="str">
            <v>0,2.046,0.621</v>
          </cell>
          <cell r="AA766">
            <v>0</v>
          </cell>
          <cell r="AB766" t="str">
            <v>10</v>
          </cell>
          <cell r="AC766" t="str">
            <v>[]</v>
          </cell>
          <cell r="AD766" t="str">
            <v>[]</v>
          </cell>
          <cell r="AE766" t="str">
            <v>[]</v>
          </cell>
          <cell r="AF766" t="str">
            <v>guanshiyin_skill02</v>
          </cell>
          <cell r="AG766" t="str">
            <v>guanshiyin_skill02_buff</v>
          </cell>
          <cell r="AH766" t="str">
            <v>[]</v>
          </cell>
          <cell r="AI766" t="str">
            <v>[]</v>
          </cell>
          <cell r="AJ766" t="str">
            <v>[]</v>
          </cell>
          <cell r="AK766" t="str">
            <v>jinghuaTN1P1</v>
          </cell>
          <cell r="AL766" t="str">
            <v>[]</v>
          </cell>
          <cell r="AM766" t="str">
            <v>[]</v>
          </cell>
          <cell r="AN766">
            <v>2</v>
          </cell>
          <cell r="AO766" t="str">
            <v>1</v>
          </cell>
          <cell r="AP766">
            <v>622</v>
          </cell>
          <cell r="AQ766">
            <v>622</v>
          </cell>
          <cell r="AR766" t="str">
            <v>[]</v>
          </cell>
          <cell r="AS766" t="str">
            <v>[]</v>
          </cell>
          <cell r="AT766" t="str">
            <v>6730</v>
          </cell>
          <cell r="AU766" t="str">
            <v>6730</v>
          </cell>
          <cell r="AV766" t="str">
            <v>观世音</v>
          </cell>
          <cell r="AW766" t="str">
            <v>02</v>
          </cell>
          <cell r="AY766">
            <v>1</v>
          </cell>
          <cell r="BE766"/>
          <cell r="BF766"/>
        </row>
        <row r="767">
          <cell r="A767" t="str">
            <v>boss_guanshiyin_skill04</v>
          </cell>
          <cell r="B767" t="str">
            <v>普度众生</v>
          </cell>
          <cell r="C767" t="str">
            <v>guanshiyin_skill04</v>
          </cell>
          <cell r="D767" t="str">
            <v>[]</v>
          </cell>
          <cell r="E767">
            <v>0</v>
          </cell>
          <cell r="F767" t="str">
            <v>[]</v>
          </cell>
          <cell r="G767" t="str">
            <v>观世音技能4</v>
          </cell>
          <cell r="H767" t="str">
            <v>guanshiyin_skill04</v>
          </cell>
          <cell r="I767" t="str">
            <v>[]</v>
          </cell>
          <cell r="J767">
            <v>3</v>
          </cell>
          <cell r="K767">
            <v>1</v>
          </cell>
          <cell r="L767" t="str">
            <v>[]</v>
          </cell>
          <cell r="M767">
            <v>2</v>
          </cell>
          <cell r="N767">
            <v>2</v>
          </cell>
          <cell r="O767">
            <v>2</v>
          </cell>
          <cell r="P767">
            <v>5</v>
          </cell>
          <cell r="Q767">
            <v>12</v>
          </cell>
          <cell r="R767">
            <v>3</v>
          </cell>
          <cell r="S767" t="str">
            <v>2|20</v>
          </cell>
          <cell r="T767">
            <v>10</v>
          </cell>
          <cell r="U767">
            <v>1</v>
          </cell>
          <cell r="V767">
            <v>0</v>
          </cell>
          <cell r="W767" t="str">
            <v>[]</v>
          </cell>
          <cell r="X767">
            <v>3</v>
          </cell>
          <cell r="Y767" t="str">
            <v>[]</v>
          </cell>
          <cell r="Z767" t="str">
            <v>0,3.432,0.901</v>
          </cell>
          <cell r="AA767">
            <v>0</v>
          </cell>
          <cell r="AB767" t="str">
            <v>10</v>
          </cell>
          <cell r="AC767" t="str">
            <v>[]</v>
          </cell>
          <cell r="AD767" t="str">
            <v>[]</v>
          </cell>
          <cell r="AE767" t="str">
            <v>[]</v>
          </cell>
          <cell r="AF767" t="str">
            <v>guanshiyin_skill04</v>
          </cell>
          <cell r="AG767" t="str">
            <v>guanshiyin_skill04_buff</v>
          </cell>
          <cell r="AH767" t="str">
            <v>[]</v>
          </cell>
          <cell r="AI767" t="str">
            <v>[]</v>
          </cell>
          <cell r="AJ767" t="str">
            <v>[]</v>
          </cell>
          <cell r="AK767" t="str">
            <v>[]</v>
          </cell>
          <cell r="AL767" t="str">
            <v>[]</v>
          </cell>
          <cell r="AM767" t="str">
            <v>huifuT3N0.25</v>
          </cell>
          <cell r="AN767">
            <v>2</v>
          </cell>
          <cell r="AO767" t="str">
            <v>1</v>
          </cell>
          <cell r="AP767" t="str">
            <v>[]</v>
          </cell>
          <cell r="AQ767">
            <v>622</v>
          </cell>
          <cell r="AR767" t="str">
            <v>[]</v>
          </cell>
          <cell r="AS767" t="str">
            <v>[]</v>
          </cell>
          <cell r="AT767" t="str">
            <v>6750</v>
          </cell>
          <cell r="AU767" t="str">
            <v>6750</v>
          </cell>
          <cell r="AV767" t="str">
            <v>观世音</v>
          </cell>
          <cell r="AW767" t="str">
            <v>04</v>
          </cell>
          <cell r="AX767"/>
          <cell r="AY767">
            <v>1</v>
          </cell>
          <cell r="BE767"/>
          <cell r="BF767"/>
        </row>
        <row r="768">
          <cell r="H768"/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A1" t="str">
            <v>命中包id（命中时生效）
1-1000=特殊技能
1010-2000=主角普攻，红卡技能
2010-3009=橙16伙伴技能
3010-4009=橙13伙伴技能
4010-5009=紫色伙伴技能
5010-5509=蓝色伙伴技能
5510-6009=通用核心技能
6010-9000=新增伙伴技能
20000-100000=征战副本BOSS技能
100000-200000=征战副本精英难度BOSS技能</v>
          </cell>
          <cell r="B1" t="str">
            <v>命中包名称</v>
          </cell>
          <cell r="C1" t="str">
            <v>计算公式/流程
0=不造成伤害
1=普通攻击|伤害类型1=物理伤害2=魔法伤害|技能威力系数|技能威力系数成长*lv|附加伤害|附加伤害成长值*lv
2=攻击技能|伤害类型1=物理伤害2=魔法伤害|技能威力系数|技能威力系数成长*lv|附加伤害|附加伤害成长值*lv
3=治疗技能|伤害类型1=自身攻击力|技能威力系数|技能威力系数成长*lv
4=属性修改|属性类型|基础数值|技能威力系数成长*lv|是否为百分比(0否，1是)
(1=HP,2=MP,3=Attack,4=DefenseP,5=DefenseM,6=HitProp,7=DodgeProp,8=CritProp,9=UnCritProp,10=DamageR,11=DamageB,12=MoveSpeed,13=AttackSpeed,14=AttackRange,15=warningRange,16=HpMax,17=MpMax,18=MpRestore,19=冷却缩减)
5=属性修改|属性类型|公式ID</v>
          </cell>
        </row>
        <row r="2">
          <cell r="A2" t="str">
            <v>damage_id</v>
          </cell>
          <cell r="B2" t="str">
            <v>name</v>
          </cell>
          <cell r="C2" t="str">
            <v>formula</v>
          </cell>
        </row>
        <row r="3">
          <cell r="A3" t="str">
            <v>s</v>
          </cell>
          <cell r="B3" t="str">
            <v>s</v>
          </cell>
          <cell r="C3" t="str">
            <v>s</v>
          </cell>
        </row>
        <row r="4">
          <cell r="A4">
            <v>1</v>
          </cell>
          <cell r="B4" t="str">
            <v>通用防御技能_伤害减免</v>
          </cell>
          <cell r="C4" t="str">
            <v>4|10|0.8|0.02|0</v>
          </cell>
        </row>
        <row r="5">
          <cell r="A5">
            <v>2</v>
          </cell>
          <cell r="B5" t="str">
            <v>战斗内蓝球回复魔力值</v>
          </cell>
          <cell r="C5" t="str">
            <v>4|2|0.05|0|1</v>
          </cell>
        </row>
        <row r="6">
          <cell r="A6">
            <v>3</v>
          </cell>
          <cell r="B6" t="str">
            <v>战斗内血球回复生命值</v>
          </cell>
          <cell r="C6" t="str">
            <v>4|1|0.02|0|1</v>
          </cell>
        </row>
        <row r="7">
          <cell r="A7">
            <v>4</v>
          </cell>
          <cell r="B7" t="str">
            <v>魔力值回复满值</v>
          </cell>
          <cell r="C7" t="str">
            <v>4|2|1.0|0|1</v>
          </cell>
        </row>
        <row r="8">
          <cell r="A8">
            <v>5</v>
          </cell>
          <cell r="B8" t="str">
            <v>生命值回复满值</v>
          </cell>
          <cell r="C8" t="str">
            <v>4|1|1.0|0|1</v>
          </cell>
        </row>
        <row r="9">
          <cell r="A9">
            <v>6</v>
          </cell>
          <cell r="B9" t="str">
            <v>攻速加倍</v>
          </cell>
          <cell r="C9" t="str">
            <v>4|13|2|0|1</v>
          </cell>
        </row>
        <row r="10">
          <cell r="A10">
            <v>7</v>
          </cell>
          <cell r="B10" t="str">
            <v>攻击距离减半</v>
          </cell>
          <cell r="C10" t="str">
            <v>4|14|0.5|0|1</v>
          </cell>
        </row>
        <row r="11">
          <cell r="A11">
            <v>8</v>
          </cell>
          <cell r="B11" t="str">
            <v>冷却缩减减半</v>
          </cell>
          <cell r="C11" t="str">
            <v>4|19|0.5|0|1</v>
          </cell>
        </row>
        <row r="12">
          <cell r="A12">
            <v>99</v>
          </cell>
          <cell r="B12" t="str">
            <v>冷却缩减减半</v>
          </cell>
          <cell r="C12" t="str">
            <v>4|19|0.5|0|1</v>
          </cell>
        </row>
        <row r="13">
          <cell r="A13">
            <v>101</v>
          </cell>
          <cell r="B13" t="str">
            <v>中毒1</v>
          </cell>
          <cell r="C13" t="str">
            <v>2|1|1.2|0.1|10|4</v>
          </cell>
        </row>
        <row r="14">
          <cell r="A14">
            <v>102</v>
          </cell>
          <cell r="B14" t="str">
            <v>通用防御技能_buff</v>
          </cell>
          <cell r="C14" t="str">
            <v>4|10|0.8|0|0</v>
          </cell>
        </row>
        <row r="15">
          <cell r="A15">
            <v>103</v>
          </cell>
          <cell r="B15" t="str">
            <v>战斗内蓝球魔力回复_buff</v>
          </cell>
          <cell r="C15" t="str">
            <v>4|2|0.05|0|1</v>
          </cell>
        </row>
        <row r="16">
          <cell r="A16">
            <v>104</v>
          </cell>
          <cell r="B16" t="str">
            <v>战斗内红球生命回复_buff</v>
          </cell>
          <cell r="C16" t="str">
            <v>3|1|0.02|0</v>
          </cell>
        </row>
        <row r="17">
          <cell r="A17">
            <v>105</v>
          </cell>
          <cell r="B17" t="str">
            <v>蓝球魔力回复百分百_buff</v>
          </cell>
          <cell r="C17" t="str">
            <v>4|2|0.05|0|1</v>
          </cell>
        </row>
        <row r="18">
          <cell r="A18">
            <v>106</v>
          </cell>
          <cell r="B18" t="str">
            <v>红球生命回复百分百_buff</v>
          </cell>
          <cell r="C18" t="str">
            <v>3|1|0.02|0</v>
          </cell>
        </row>
        <row r="19">
          <cell r="A19">
            <v>107</v>
          </cell>
          <cell r="B19" t="str">
            <v>虎力大仙核心技能_自身攻击加成</v>
          </cell>
          <cell r="C19" t="str">
            <v>4|3|0.2|0|1</v>
          </cell>
        </row>
        <row r="20">
          <cell r="A20">
            <v>108</v>
          </cell>
          <cell r="B20" t="str">
            <v>火神普通攻击</v>
          </cell>
          <cell r="C20" t="str">
            <v>1|1|1|0|0|0</v>
          </cell>
        </row>
        <row r="21">
          <cell r="A21">
            <v>109</v>
          </cell>
          <cell r="B21" t="str">
            <v>火神灭世魔火</v>
          </cell>
          <cell r="C21" t="str">
            <v>2|1|1.2|0.1|10|4</v>
          </cell>
        </row>
        <row r="22">
          <cell r="A22">
            <v>110</v>
          </cell>
          <cell r="B22" t="str">
            <v>剧情技能伤害</v>
          </cell>
          <cell r="C22" t="str">
            <v>2|1|0.6|0.1|30|5</v>
          </cell>
        </row>
        <row r="23">
          <cell r="A23">
            <v>111</v>
          </cell>
          <cell r="B23" t="str">
            <v>剧情猴子技能伤害</v>
          </cell>
          <cell r="C23" t="str">
            <v>2|1|0.3|0.1|30|5</v>
          </cell>
        </row>
        <row r="24">
          <cell r="A24">
            <v>112</v>
          </cell>
          <cell r="B24" t="str">
            <v>剧情猴子技能伤害</v>
          </cell>
          <cell r="C24" t="str">
            <v>2|1|0.4|0.1|30|5</v>
          </cell>
        </row>
        <row r="25">
          <cell r="A25">
            <v>113</v>
          </cell>
          <cell r="B25" t="str">
            <v>剧情猴子技能伤害</v>
          </cell>
          <cell r="C25" t="str">
            <v>2|1|0.5|0.1|30|5</v>
          </cell>
        </row>
        <row r="26">
          <cell r="A26">
            <v>114</v>
          </cell>
          <cell r="B26" t="str">
            <v>剧情猴子技能伤害</v>
          </cell>
          <cell r="C26" t="str">
            <v>2|1|0.6|0.1|30|5</v>
          </cell>
        </row>
        <row r="27">
          <cell r="A27">
            <v>115</v>
          </cell>
          <cell r="B27" t="str">
            <v>龙帝</v>
          </cell>
          <cell r="C27" t="str">
            <v>1|2|1|0|0|0</v>
          </cell>
        </row>
        <row r="28">
          <cell r="A28">
            <v>116</v>
          </cell>
          <cell r="B28" t="str">
            <v>龙帝技能</v>
          </cell>
          <cell r="C28" t="str">
            <v>2|2|2.5|0.15|0|0</v>
          </cell>
        </row>
        <row r="29">
          <cell r="A29">
            <v>201</v>
          </cell>
          <cell r="B29" t="str">
            <v>中毒伤害—初级1—每0.5s掉血0.002</v>
          </cell>
          <cell r="C29" t="str">
            <v>4|1|-0.002|0|1</v>
          </cell>
        </row>
        <row r="30">
          <cell r="A30">
            <v>202</v>
          </cell>
          <cell r="B30" t="str">
            <v>中毒伤害—初级2—每0.5s掉血0.002.5</v>
          </cell>
          <cell r="C30" t="str">
            <v>4|1|-0.0025|0|1</v>
          </cell>
        </row>
        <row r="31">
          <cell r="A31">
            <v>203</v>
          </cell>
          <cell r="B31" t="str">
            <v>中毒伤害—中级1—每0.5s掉血0.003</v>
          </cell>
          <cell r="C31" t="str">
            <v>4|1|-0.003|0|1</v>
          </cell>
        </row>
        <row r="32">
          <cell r="A32">
            <v>204</v>
          </cell>
          <cell r="B32" t="str">
            <v>中毒伤害—中级2—每0.5s掉血0.003.5</v>
          </cell>
          <cell r="C32" t="str">
            <v>4|1|-0.0035|0|1</v>
          </cell>
        </row>
        <row r="33">
          <cell r="A33">
            <v>205</v>
          </cell>
          <cell r="B33" t="str">
            <v>中毒伤害—顶级—每0.5s掉血0.004</v>
          </cell>
          <cell r="C33" t="str">
            <v>4|1|-0.004|0|1</v>
          </cell>
        </row>
        <row r="34">
          <cell r="A34">
            <v>206</v>
          </cell>
          <cell r="B34" t="str">
            <v>中毒伤害—初级1—说明</v>
          </cell>
          <cell r="C34" t="str">
            <v>4|1|0.002|0|1</v>
          </cell>
        </row>
        <row r="35">
          <cell r="A35">
            <v>207</v>
          </cell>
          <cell r="B35" t="str">
            <v>中毒伤害—初级2—说明</v>
          </cell>
          <cell r="C35" t="str">
            <v>4|1|0.0025|0|1</v>
          </cell>
        </row>
        <row r="36">
          <cell r="A36">
            <v>208</v>
          </cell>
          <cell r="B36" t="str">
            <v>中毒伤害—中级1—说明</v>
          </cell>
          <cell r="C36" t="str">
            <v>4|1|0.003|0|1</v>
          </cell>
        </row>
        <row r="37">
          <cell r="A37">
            <v>209</v>
          </cell>
          <cell r="B37" t="str">
            <v>中毒伤害—中级2—说明</v>
          </cell>
          <cell r="C37" t="str">
            <v>4|1|0.0035|0|1</v>
          </cell>
        </row>
        <row r="38">
          <cell r="A38">
            <v>210</v>
          </cell>
          <cell r="B38" t="str">
            <v>中毒伤害—顶级—说明</v>
          </cell>
          <cell r="C38" t="str">
            <v>4|1|0.004|0|1</v>
          </cell>
        </row>
        <row r="39">
          <cell r="A39">
            <v>211</v>
          </cell>
          <cell r="B39" t="str">
            <v>流血伤害—初级1—每0.5s掉血0.002</v>
          </cell>
          <cell r="C39" t="str">
            <v>4|1|-0.002|0|1</v>
          </cell>
        </row>
        <row r="40">
          <cell r="A40">
            <v>212</v>
          </cell>
          <cell r="B40" t="str">
            <v>流血伤害—初级2—每0.5s掉血0.002.5</v>
          </cell>
          <cell r="C40" t="str">
            <v>4|1|-0.0025|0|1</v>
          </cell>
        </row>
        <row r="41">
          <cell r="A41">
            <v>213</v>
          </cell>
          <cell r="B41" t="str">
            <v>流血伤害—中级1—每0.5s掉血0.003</v>
          </cell>
          <cell r="C41" t="str">
            <v>4|1|-0.003|0|1</v>
          </cell>
        </row>
        <row r="42">
          <cell r="A42">
            <v>214</v>
          </cell>
          <cell r="B42" t="str">
            <v>流血伤害—中级2—每0.5s掉血0.003.5</v>
          </cell>
          <cell r="C42" t="str">
            <v>4|1|-0.0035|0|1</v>
          </cell>
        </row>
        <row r="43">
          <cell r="A43">
            <v>215</v>
          </cell>
          <cell r="B43" t="str">
            <v>流血伤害—顶级—每0.5s掉血0.004</v>
          </cell>
          <cell r="C43" t="str">
            <v>4|1|-0.004|0|1</v>
          </cell>
        </row>
        <row r="44">
          <cell r="A44">
            <v>216</v>
          </cell>
          <cell r="B44" t="str">
            <v>流血伤害—初级1—说明</v>
          </cell>
          <cell r="C44" t="str">
            <v>4|1|0.002|0|1</v>
          </cell>
        </row>
        <row r="45">
          <cell r="A45">
            <v>217</v>
          </cell>
          <cell r="B45" t="str">
            <v>流血伤害—初级2—说明</v>
          </cell>
          <cell r="C45" t="str">
            <v>4|1|0.0025|0|1</v>
          </cell>
        </row>
        <row r="46">
          <cell r="A46">
            <v>218</v>
          </cell>
          <cell r="B46" t="str">
            <v>流血伤害—中级1—说明</v>
          </cell>
          <cell r="C46" t="str">
            <v>4|1|0.003|0|1</v>
          </cell>
        </row>
        <row r="47">
          <cell r="A47">
            <v>219</v>
          </cell>
          <cell r="B47" t="str">
            <v>流血伤害—中级2—说明</v>
          </cell>
          <cell r="C47" t="str">
            <v>4|1|0.0035|0|1</v>
          </cell>
        </row>
        <row r="48">
          <cell r="A48">
            <v>220</v>
          </cell>
          <cell r="B48" t="str">
            <v>流血伤害—顶级—说明</v>
          </cell>
          <cell r="C48" t="str">
            <v>4|1|0.004|0|1</v>
          </cell>
        </row>
        <row r="49">
          <cell r="A49">
            <v>221</v>
          </cell>
          <cell r="B49" t="str">
            <v>灼烧伤害—初级1—每0.5s掉血0.002</v>
          </cell>
          <cell r="C49" t="str">
            <v>4|1|-0.002|0|1</v>
          </cell>
        </row>
        <row r="50">
          <cell r="A50">
            <v>222</v>
          </cell>
          <cell r="B50" t="str">
            <v>灼烧伤害—初级2—每0.5s掉血0.002.5</v>
          </cell>
          <cell r="C50" t="str">
            <v>4|1|-0.0025|0|1</v>
          </cell>
        </row>
        <row r="51">
          <cell r="A51">
            <v>223</v>
          </cell>
          <cell r="B51" t="str">
            <v>灼烧伤害—中级1—每0.5s掉血0.003</v>
          </cell>
          <cell r="C51" t="str">
            <v>4|1|-0.003|0|1</v>
          </cell>
        </row>
        <row r="52">
          <cell r="A52">
            <v>224</v>
          </cell>
          <cell r="B52" t="str">
            <v>灼烧伤害—中级2—每0.5s掉血0.003.5</v>
          </cell>
          <cell r="C52" t="str">
            <v>4|1|-0.0035|0|1</v>
          </cell>
        </row>
        <row r="53">
          <cell r="A53">
            <v>225</v>
          </cell>
          <cell r="B53" t="str">
            <v>灼烧伤害—顶级—每0.5s掉血0.004</v>
          </cell>
          <cell r="C53" t="str">
            <v>4|1|-0.004|0|1</v>
          </cell>
        </row>
        <row r="54">
          <cell r="A54">
            <v>226</v>
          </cell>
          <cell r="B54" t="str">
            <v>灼烧伤害—初级1—说明</v>
          </cell>
          <cell r="C54" t="str">
            <v>4|1|0.002|0|1</v>
          </cell>
        </row>
        <row r="55">
          <cell r="A55">
            <v>227</v>
          </cell>
          <cell r="B55" t="str">
            <v>灼烧伤害—初级2—说明</v>
          </cell>
          <cell r="C55" t="str">
            <v>4|1|0.0025|0|1</v>
          </cell>
        </row>
        <row r="56">
          <cell r="A56">
            <v>228</v>
          </cell>
          <cell r="B56" t="str">
            <v>灼烧伤害—中级1—说明</v>
          </cell>
          <cell r="C56" t="str">
            <v>4|1|0.003|0|1</v>
          </cell>
        </row>
        <row r="57">
          <cell r="A57">
            <v>229</v>
          </cell>
          <cell r="B57" t="str">
            <v>灼烧伤害—中级2—说明</v>
          </cell>
          <cell r="C57" t="str">
            <v>4|1|0.0035|0|1</v>
          </cell>
        </row>
        <row r="58">
          <cell r="A58">
            <v>230</v>
          </cell>
          <cell r="B58" t="str">
            <v>灼烧伤害—顶级—说明</v>
          </cell>
          <cell r="C58" t="str">
            <v>4|1|0.004|0|1</v>
          </cell>
        </row>
        <row r="59">
          <cell r="A59">
            <v>301</v>
          </cell>
          <cell r="B59" t="str">
            <v>乾-天-伤害</v>
          </cell>
          <cell r="C59" t="str">
            <v>4|11|0.10|0|0</v>
          </cell>
        </row>
        <row r="60">
          <cell r="A60">
            <v>302</v>
          </cell>
          <cell r="B60" t="str">
            <v>坤-地-暴击</v>
          </cell>
          <cell r="C60" t="str">
            <v>4|8|0.10|0|0</v>
          </cell>
        </row>
        <row r="61">
          <cell r="A61">
            <v>303</v>
          </cell>
          <cell r="B61" t="str">
            <v>震-雷-命中</v>
          </cell>
          <cell r="C61" t="str">
            <v>4|6|0.10|0|0</v>
          </cell>
        </row>
        <row r="62">
          <cell r="A62">
            <v>304</v>
          </cell>
          <cell r="B62" t="str">
            <v>巽-风-攻速</v>
          </cell>
          <cell r="C62" t="str">
            <v>4|13|0.10|0|0</v>
          </cell>
        </row>
        <row r="63">
          <cell r="A63">
            <v>305</v>
          </cell>
          <cell r="B63" t="str">
            <v xml:space="preserve">坎-水-减cd </v>
          </cell>
          <cell r="C63" t="str">
            <v>4|19|0.10|0|0</v>
          </cell>
        </row>
        <row r="64">
          <cell r="A64">
            <v>306</v>
          </cell>
          <cell r="B64" t="str">
            <v>离-火-攻击</v>
          </cell>
          <cell r="C64" t="str">
            <v>4|3|0.10|0|0</v>
          </cell>
        </row>
        <row r="65">
          <cell r="A65">
            <v>307</v>
          </cell>
          <cell r="B65" t="str">
            <v>艮-山-防御</v>
          </cell>
          <cell r="C65" t="str">
            <v>4|4|0.10|0|0</v>
          </cell>
        </row>
        <row r="66">
          <cell r="A66">
            <v>308</v>
          </cell>
          <cell r="B66" t="str">
            <v>艮-山-防御</v>
          </cell>
          <cell r="C66" t="str">
            <v>4|5|0.10|0|0</v>
          </cell>
        </row>
        <row r="67">
          <cell r="A67">
            <v>309</v>
          </cell>
          <cell r="B67" t="str">
            <v>兑-泽-吸血</v>
          </cell>
          <cell r="C67" t="str">
            <v>4|3|0.10|0|0</v>
          </cell>
        </row>
        <row r="68">
          <cell r="A68">
            <v>311</v>
          </cell>
          <cell r="B68" t="str">
            <v>降低目标物理防御20%</v>
          </cell>
          <cell r="C68" t="str">
            <v>4|4|-0.2|0|1</v>
          </cell>
        </row>
        <row r="69">
          <cell r="A69">
            <v>312</v>
          </cell>
          <cell r="B69" t="str">
            <v>降低目标物理防御30%</v>
          </cell>
          <cell r="C69" t="str">
            <v>4|4|-0.3|0|1</v>
          </cell>
        </row>
        <row r="70">
          <cell r="A70">
            <v>313</v>
          </cell>
          <cell r="B70" t="str">
            <v>降低目标物理防御40%</v>
          </cell>
          <cell r="C70" t="str">
            <v>4|4|-0.4|01</v>
          </cell>
        </row>
        <row r="71">
          <cell r="A71">
            <v>314</v>
          </cell>
          <cell r="B71" t="str">
            <v>增加目标物理防御20%</v>
          </cell>
          <cell r="C71" t="str">
            <v>4|4|0.2|0|1</v>
          </cell>
        </row>
        <row r="72">
          <cell r="A72">
            <v>315</v>
          </cell>
          <cell r="B72" t="str">
            <v>增加目标物理防御30%</v>
          </cell>
          <cell r="C72" t="str">
            <v>4|4|0.3|0|1</v>
          </cell>
        </row>
        <row r="73">
          <cell r="A73">
            <v>316</v>
          </cell>
          <cell r="B73" t="str">
            <v>增加目标物理防御40%</v>
          </cell>
          <cell r="C73" t="str">
            <v>4|4|0.4|0|1</v>
          </cell>
        </row>
        <row r="74">
          <cell r="A74">
            <v>317</v>
          </cell>
          <cell r="B74" t="str">
            <v>增加攻击5%</v>
          </cell>
          <cell r="C74" t="str">
            <v>4|3|0.05|0|1</v>
          </cell>
        </row>
        <row r="75">
          <cell r="A75">
            <v>318</v>
          </cell>
          <cell r="B75" t="str">
            <v>增加攻击10%</v>
          </cell>
          <cell r="C75" t="str">
            <v>4|3|0.1|0|1</v>
          </cell>
        </row>
        <row r="76">
          <cell r="A76">
            <v>319</v>
          </cell>
          <cell r="B76" t="str">
            <v>增加攻击15%</v>
          </cell>
          <cell r="C76" t="str">
            <v>4|3|0.15|0|1</v>
          </cell>
        </row>
        <row r="77">
          <cell r="A77">
            <v>320</v>
          </cell>
          <cell r="B77" t="str">
            <v>增加攻击20%</v>
          </cell>
          <cell r="C77" t="str">
            <v>4|3|0.2|0|1</v>
          </cell>
        </row>
        <row r="78">
          <cell r="A78">
            <v>321</v>
          </cell>
          <cell r="B78" t="str">
            <v>减少攻击5%</v>
          </cell>
          <cell r="C78" t="str">
            <v>4|3|-0.05|0|1</v>
          </cell>
        </row>
        <row r="79">
          <cell r="A79">
            <v>322</v>
          </cell>
          <cell r="B79" t="str">
            <v>减少攻击10%</v>
          </cell>
          <cell r="C79" t="str">
            <v>4|3|-0.1|0|1</v>
          </cell>
        </row>
        <row r="80">
          <cell r="A80">
            <v>323</v>
          </cell>
          <cell r="B80" t="str">
            <v>减少攻击15%</v>
          </cell>
          <cell r="C80" t="str">
            <v>4|3|-0.15|0|1</v>
          </cell>
        </row>
        <row r="81">
          <cell r="A81">
            <v>324</v>
          </cell>
          <cell r="B81" t="str">
            <v>减少攻击20%</v>
          </cell>
          <cell r="C81" t="str">
            <v>4|3|-0.2|0|1</v>
          </cell>
        </row>
        <row r="82">
          <cell r="A82">
            <v>325</v>
          </cell>
          <cell r="B82" t="str">
            <v>增加攻速5%</v>
          </cell>
          <cell r="C82" t="str">
            <v>4|13|0.05|0|1</v>
          </cell>
        </row>
        <row r="83">
          <cell r="A83">
            <v>326</v>
          </cell>
          <cell r="B83" t="str">
            <v>增加攻速10%</v>
          </cell>
          <cell r="C83" t="str">
            <v>4|13|0.1|0|1</v>
          </cell>
        </row>
        <row r="84">
          <cell r="A84">
            <v>327</v>
          </cell>
          <cell r="B84" t="str">
            <v>增加攻速15%</v>
          </cell>
          <cell r="C84" t="str">
            <v>4|13|0.15|0|1</v>
          </cell>
        </row>
        <row r="85">
          <cell r="A85">
            <v>328</v>
          </cell>
          <cell r="B85" t="str">
            <v>增加攻速20%</v>
          </cell>
          <cell r="C85" t="str">
            <v>4|13|0.2|0|1</v>
          </cell>
        </row>
        <row r="86">
          <cell r="A86">
            <v>329</v>
          </cell>
          <cell r="B86" t="str">
            <v>减少攻速5%</v>
          </cell>
          <cell r="C86" t="str">
            <v>4|13|-0.05|0|1</v>
          </cell>
        </row>
        <row r="87">
          <cell r="A87">
            <v>330</v>
          </cell>
          <cell r="B87" t="str">
            <v>减少攻速10%</v>
          </cell>
          <cell r="C87" t="str">
            <v>4|13|-0.1|0|1</v>
          </cell>
        </row>
        <row r="88">
          <cell r="A88">
            <v>331</v>
          </cell>
          <cell r="B88" t="str">
            <v>减少攻速15%</v>
          </cell>
          <cell r="C88" t="str">
            <v>4|13|-0.15|0|1</v>
          </cell>
        </row>
        <row r="89">
          <cell r="A89">
            <v>332</v>
          </cell>
          <cell r="B89" t="str">
            <v>减少攻速20%</v>
          </cell>
          <cell r="C89" t="str">
            <v>4|13|-0.2|0|1</v>
          </cell>
        </row>
        <row r="90">
          <cell r="A90">
            <v>333</v>
          </cell>
          <cell r="B90" t="str">
            <v>增加闪避10%</v>
          </cell>
          <cell r="C90" t="str">
            <v>4|7|0.1|0|0</v>
          </cell>
        </row>
        <row r="91">
          <cell r="A91">
            <v>334</v>
          </cell>
          <cell r="B91" t="str">
            <v>增加闪避15%</v>
          </cell>
          <cell r="C91" t="str">
            <v>4|7|0.15|0|0</v>
          </cell>
        </row>
        <row r="92">
          <cell r="A92">
            <v>335</v>
          </cell>
          <cell r="B92" t="str">
            <v>增加闪避20%</v>
          </cell>
          <cell r="C92" t="str">
            <v>4|7|0.20|0|0</v>
          </cell>
        </row>
        <row r="93">
          <cell r="A93">
            <v>336</v>
          </cell>
          <cell r="B93" t="str">
            <v>增加闪避25%</v>
          </cell>
          <cell r="C93" t="str">
            <v>4|7|0.25|0|0</v>
          </cell>
        </row>
        <row r="94">
          <cell r="A94">
            <v>337</v>
          </cell>
          <cell r="B94" t="str">
            <v>增加闪避30%</v>
          </cell>
          <cell r="C94" t="str">
            <v>4|7|0.3|0|0</v>
          </cell>
        </row>
        <row r="95">
          <cell r="A95">
            <v>338</v>
          </cell>
          <cell r="B95" t="str">
            <v>减少闪避10%</v>
          </cell>
          <cell r="C95" t="str">
            <v>4|7|-0.1|0|0</v>
          </cell>
        </row>
        <row r="96">
          <cell r="A96">
            <v>339</v>
          </cell>
          <cell r="B96" t="str">
            <v>减少闪避15%</v>
          </cell>
          <cell r="C96" t="str">
            <v>4|7|-0.15|0|0</v>
          </cell>
        </row>
        <row r="97">
          <cell r="A97">
            <v>340</v>
          </cell>
          <cell r="B97" t="str">
            <v>减少闪避20%</v>
          </cell>
          <cell r="C97" t="str">
            <v>4|7|-0.20|0|0</v>
          </cell>
        </row>
        <row r="98">
          <cell r="A98">
            <v>341</v>
          </cell>
          <cell r="B98" t="str">
            <v>减少闪避25%</v>
          </cell>
          <cell r="C98" t="str">
            <v>4|7|-0.25|0|0</v>
          </cell>
        </row>
        <row r="99">
          <cell r="A99">
            <v>342</v>
          </cell>
          <cell r="B99" t="str">
            <v>减少闪避30%</v>
          </cell>
          <cell r="C99" t="str">
            <v>4|7|-0.3|0|0</v>
          </cell>
        </row>
        <row r="100">
          <cell r="A100">
            <v>343</v>
          </cell>
          <cell r="B100" t="str">
            <v>增加命中10%</v>
          </cell>
          <cell r="C100" t="str">
            <v>4|7|0.1|0|0</v>
          </cell>
        </row>
        <row r="101">
          <cell r="A101">
            <v>344</v>
          </cell>
          <cell r="B101" t="str">
            <v>增加命中15%</v>
          </cell>
          <cell r="C101" t="str">
            <v>4|7|0.15|0|0</v>
          </cell>
        </row>
        <row r="102">
          <cell r="A102">
            <v>345</v>
          </cell>
          <cell r="B102" t="str">
            <v>增加命中20%</v>
          </cell>
          <cell r="C102" t="str">
            <v>4|7|0.20|0|0</v>
          </cell>
        </row>
        <row r="103">
          <cell r="A103">
            <v>346</v>
          </cell>
          <cell r="B103" t="str">
            <v>增加命中25%</v>
          </cell>
          <cell r="C103" t="str">
            <v>4|7|0.25|0|0</v>
          </cell>
        </row>
        <row r="104">
          <cell r="A104">
            <v>347</v>
          </cell>
          <cell r="B104" t="str">
            <v>增加命中30%</v>
          </cell>
          <cell r="C104" t="str">
            <v>4|7|0.3|0|0</v>
          </cell>
        </row>
        <row r="105">
          <cell r="A105">
            <v>348</v>
          </cell>
          <cell r="B105" t="str">
            <v>减少命中10%</v>
          </cell>
          <cell r="C105" t="str">
            <v>4|7|-0.1|0|0</v>
          </cell>
        </row>
        <row r="106">
          <cell r="A106">
            <v>349</v>
          </cell>
          <cell r="B106" t="str">
            <v>减少命中15%</v>
          </cell>
          <cell r="C106" t="str">
            <v>4|7|-0.15|0|0</v>
          </cell>
        </row>
        <row r="107">
          <cell r="A107">
            <v>350</v>
          </cell>
          <cell r="B107" t="str">
            <v>减少命中20%</v>
          </cell>
          <cell r="C107" t="str">
            <v>4|7|-0.20|0|0</v>
          </cell>
        </row>
        <row r="108">
          <cell r="A108">
            <v>351</v>
          </cell>
          <cell r="B108" t="str">
            <v>减少命中25%</v>
          </cell>
          <cell r="C108" t="str">
            <v>4|7|-0.25|0|0</v>
          </cell>
        </row>
        <row r="109">
          <cell r="A109">
            <v>352</v>
          </cell>
          <cell r="B109" t="str">
            <v>减少命中30%</v>
          </cell>
          <cell r="C109" t="str">
            <v>4|7|-0.3|0|0</v>
          </cell>
        </row>
        <row r="110">
          <cell r="A110">
            <v>353</v>
          </cell>
          <cell r="B110" t="str">
            <v>增加暴击10%</v>
          </cell>
          <cell r="C110" t="str">
            <v>4|8|0.1|0|0</v>
          </cell>
        </row>
        <row r="111">
          <cell r="A111">
            <v>354</v>
          </cell>
          <cell r="B111" t="str">
            <v>增加暴击15%</v>
          </cell>
          <cell r="C111" t="str">
            <v>4|8|0.15|0|0</v>
          </cell>
        </row>
        <row r="112">
          <cell r="A112">
            <v>355</v>
          </cell>
          <cell r="B112" t="str">
            <v>增加暴击20%</v>
          </cell>
          <cell r="C112" t="str">
            <v>4|8|0.20|0|0</v>
          </cell>
        </row>
        <row r="113">
          <cell r="A113">
            <v>356</v>
          </cell>
          <cell r="B113" t="str">
            <v>增加暴击25%</v>
          </cell>
          <cell r="C113" t="str">
            <v>4|8|0.25|0|0</v>
          </cell>
        </row>
        <row r="114">
          <cell r="A114">
            <v>357</v>
          </cell>
          <cell r="B114" t="str">
            <v>增加暴击30%</v>
          </cell>
          <cell r="C114" t="str">
            <v>4|8|0.3|0|0</v>
          </cell>
        </row>
        <row r="115">
          <cell r="A115">
            <v>358</v>
          </cell>
          <cell r="B115" t="str">
            <v>减少暴击10%</v>
          </cell>
          <cell r="C115" t="str">
            <v>4|8|-0.1|0|0</v>
          </cell>
        </row>
        <row r="116">
          <cell r="A116">
            <v>359</v>
          </cell>
          <cell r="B116" t="str">
            <v>减少暴击15%</v>
          </cell>
          <cell r="C116" t="str">
            <v>4|8|-0.15|0|0</v>
          </cell>
        </row>
        <row r="117">
          <cell r="A117">
            <v>360</v>
          </cell>
          <cell r="B117" t="str">
            <v>减少暴击20%</v>
          </cell>
          <cell r="C117" t="str">
            <v>4|8|-0.20|0|0</v>
          </cell>
        </row>
        <row r="118">
          <cell r="A118">
            <v>361</v>
          </cell>
          <cell r="B118" t="str">
            <v>减少暴击25%</v>
          </cell>
          <cell r="C118" t="str">
            <v>4|8|-0.25|0|0</v>
          </cell>
        </row>
        <row r="119">
          <cell r="A119">
            <v>362</v>
          </cell>
          <cell r="B119" t="str">
            <v>减少暴击30%</v>
          </cell>
          <cell r="C119" t="str">
            <v>4|8|-0.3|0|0</v>
          </cell>
        </row>
        <row r="120">
          <cell r="A120">
            <v>363</v>
          </cell>
          <cell r="B120" t="str">
            <v>增加抗暴击10%</v>
          </cell>
          <cell r="C120" t="str">
            <v>4|9|0.1|0|0</v>
          </cell>
        </row>
        <row r="121">
          <cell r="A121">
            <v>364</v>
          </cell>
          <cell r="B121" t="str">
            <v>增加抗暴击15%</v>
          </cell>
          <cell r="C121" t="str">
            <v>4|90.15|0|0</v>
          </cell>
        </row>
        <row r="122">
          <cell r="A122">
            <v>365</v>
          </cell>
          <cell r="B122" t="str">
            <v>增加抗暴击20%</v>
          </cell>
          <cell r="C122" t="str">
            <v>4|9|0.20|0|0</v>
          </cell>
        </row>
        <row r="123">
          <cell r="A123">
            <v>366</v>
          </cell>
          <cell r="B123" t="str">
            <v>增加抗暴击25%</v>
          </cell>
          <cell r="C123" t="str">
            <v>4|9|0.25|0|0</v>
          </cell>
        </row>
        <row r="124">
          <cell r="A124">
            <v>367</v>
          </cell>
          <cell r="B124" t="str">
            <v>增加抗暴击30%</v>
          </cell>
          <cell r="C124" t="str">
            <v>4|9|0.3|0|0</v>
          </cell>
        </row>
        <row r="125">
          <cell r="A125">
            <v>368</v>
          </cell>
          <cell r="B125" t="str">
            <v>减少抗暴击10%</v>
          </cell>
          <cell r="C125" t="str">
            <v>4|9|-0.1|0|0</v>
          </cell>
        </row>
        <row r="126">
          <cell r="A126">
            <v>369</v>
          </cell>
          <cell r="B126" t="str">
            <v>减少抗暴击15%</v>
          </cell>
          <cell r="C126" t="str">
            <v>4|9|-0.15|0|0</v>
          </cell>
        </row>
        <row r="127">
          <cell r="A127">
            <v>370</v>
          </cell>
          <cell r="B127" t="str">
            <v>减少抗暴击20%</v>
          </cell>
          <cell r="C127" t="str">
            <v>4|9|-0.20|0|0</v>
          </cell>
        </row>
        <row r="128">
          <cell r="A128">
            <v>371</v>
          </cell>
          <cell r="B128" t="str">
            <v>减少抗暴击25%</v>
          </cell>
          <cell r="C128" t="str">
            <v>4|9|-0.25|0|0</v>
          </cell>
        </row>
        <row r="129">
          <cell r="A129">
            <v>372</v>
          </cell>
          <cell r="B129" t="str">
            <v>减少抗暴击30%</v>
          </cell>
          <cell r="C129" t="str">
            <v>4|9|-0.3|0|0</v>
          </cell>
        </row>
        <row r="130">
          <cell r="A130">
            <v>373</v>
          </cell>
          <cell r="B130" t="str">
            <v>增加伤害减免10%</v>
          </cell>
          <cell r="C130" t="str">
            <v>4|10|0.1|0|0</v>
          </cell>
        </row>
        <row r="131">
          <cell r="A131">
            <v>374</v>
          </cell>
          <cell r="B131" t="str">
            <v>增加伤害减免15%</v>
          </cell>
          <cell r="C131" t="str">
            <v>4|10|0.15|0|0</v>
          </cell>
        </row>
        <row r="132">
          <cell r="A132">
            <v>375</v>
          </cell>
          <cell r="B132" t="str">
            <v>增加伤害减免20%</v>
          </cell>
          <cell r="C132" t="str">
            <v>4|10|0.20|0|0</v>
          </cell>
        </row>
        <row r="133">
          <cell r="A133">
            <v>376</v>
          </cell>
          <cell r="B133" t="str">
            <v>增加伤害减免25%</v>
          </cell>
          <cell r="C133" t="str">
            <v>4|10|0.25|0|0</v>
          </cell>
        </row>
        <row r="134">
          <cell r="A134">
            <v>377</v>
          </cell>
          <cell r="B134" t="str">
            <v>增加伤害减免30%</v>
          </cell>
          <cell r="C134" t="str">
            <v>4|10|0.3|0|0</v>
          </cell>
        </row>
        <row r="135">
          <cell r="A135">
            <v>378</v>
          </cell>
          <cell r="B135" t="str">
            <v>减少伤害减免10%</v>
          </cell>
          <cell r="C135" t="str">
            <v>4|10|-0.1|0|0</v>
          </cell>
        </row>
        <row r="136">
          <cell r="A136">
            <v>379</v>
          </cell>
          <cell r="B136" t="str">
            <v>减少伤害减免15%</v>
          </cell>
          <cell r="C136" t="str">
            <v>4|10|-0.15|0|0</v>
          </cell>
        </row>
        <row r="137">
          <cell r="A137">
            <v>380</v>
          </cell>
          <cell r="B137" t="str">
            <v>减少伤害减免20%</v>
          </cell>
          <cell r="C137" t="str">
            <v>4|10|-0.20|0|0</v>
          </cell>
        </row>
        <row r="138">
          <cell r="A138">
            <v>381</v>
          </cell>
          <cell r="B138" t="str">
            <v>减少伤害减免25%</v>
          </cell>
          <cell r="C138" t="str">
            <v>4|10|-0.25|0|0</v>
          </cell>
        </row>
        <row r="139">
          <cell r="A139">
            <v>382</v>
          </cell>
          <cell r="B139" t="str">
            <v>减少伤害减免30%</v>
          </cell>
          <cell r="C139" t="str">
            <v>4|10|-0.3|0|0</v>
          </cell>
        </row>
        <row r="140">
          <cell r="A140">
            <v>383</v>
          </cell>
          <cell r="B140" t="str">
            <v>增加伤害输出10%</v>
          </cell>
          <cell r="C140" t="str">
            <v>4|11|0.1|0|0</v>
          </cell>
        </row>
        <row r="141">
          <cell r="A141">
            <v>384</v>
          </cell>
          <cell r="B141" t="str">
            <v>增加伤害输出15%</v>
          </cell>
          <cell r="C141" t="str">
            <v>4|11|0.15|0|0</v>
          </cell>
        </row>
        <row r="142">
          <cell r="A142">
            <v>385</v>
          </cell>
          <cell r="B142" t="str">
            <v>增加伤害输出20%</v>
          </cell>
          <cell r="C142" t="str">
            <v>4|11|0.20|0|0</v>
          </cell>
        </row>
        <row r="143">
          <cell r="A143">
            <v>386</v>
          </cell>
          <cell r="B143" t="str">
            <v>增加伤害输出25%</v>
          </cell>
          <cell r="C143" t="str">
            <v>4|11|0.25|0|0</v>
          </cell>
        </row>
        <row r="144">
          <cell r="A144">
            <v>387</v>
          </cell>
          <cell r="B144" t="str">
            <v>增加伤害输出30%</v>
          </cell>
          <cell r="C144" t="str">
            <v>4|11|0.3|0|0</v>
          </cell>
        </row>
        <row r="145">
          <cell r="A145">
            <v>388</v>
          </cell>
          <cell r="B145" t="str">
            <v>减少伤害输出10%</v>
          </cell>
          <cell r="C145" t="str">
            <v>4|11|-0.1|0|0</v>
          </cell>
        </row>
        <row r="146">
          <cell r="A146">
            <v>389</v>
          </cell>
          <cell r="B146" t="str">
            <v>减少伤害输出15%</v>
          </cell>
          <cell r="C146" t="str">
            <v>4|11|-0.15|0|0</v>
          </cell>
        </row>
        <row r="147">
          <cell r="A147">
            <v>390</v>
          </cell>
          <cell r="B147" t="str">
            <v>减少伤害输出20%</v>
          </cell>
          <cell r="C147" t="str">
            <v>4|11|-0.20|0|0</v>
          </cell>
        </row>
        <row r="148">
          <cell r="A148">
            <v>391</v>
          </cell>
          <cell r="B148" t="str">
            <v>减少伤害输出25%</v>
          </cell>
          <cell r="C148" t="str">
            <v>4|11|-0.25|0|0</v>
          </cell>
        </row>
        <row r="149">
          <cell r="A149">
            <v>392</v>
          </cell>
          <cell r="B149" t="str">
            <v>减少伤害输出30%</v>
          </cell>
          <cell r="C149" t="str">
            <v>4|11|-0.3|0|0</v>
          </cell>
        </row>
        <row r="150">
          <cell r="A150">
            <v>393</v>
          </cell>
          <cell r="B150" t="str">
            <v>降低目标魔法防御20%</v>
          </cell>
          <cell r="C150" t="str">
            <v>4|5|-0.2|0|1</v>
          </cell>
        </row>
        <row r="151">
          <cell r="A151">
            <v>394</v>
          </cell>
          <cell r="B151" t="str">
            <v>降低目标魔法防御30%</v>
          </cell>
          <cell r="C151" t="str">
            <v>4|5|-0.3|0|1</v>
          </cell>
        </row>
        <row r="152">
          <cell r="A152">
            <v>395</v>
          </cell>
          <cell r="B152" t="str">
            <v>降低目标魔法防御40%</v>
          </cell>
          <cell r="C152" t="str">
            <v>4|5|-0.4|0|1</v>
          </cell>
        </row>
        <row r="153">
          <cell r="A153">
            <v>396</v>
          </cell>
          <cell r="B153" t="str">
            <v>增加目标魔法防御20%</v>
          </cell>
          <cell r="C153" t="str">
            <v>4|5|0.2|0|1</v>
          </cell>
        </row>
        <row r="154">
          <cell r="A154">
            <v>397</v>
          </cell>
          <cell r="B154" t="str">
            <v>增加目标魔法防御30%</v>
          </cell>
          <cell r="C154" t="str">
            <v>4|5|0.3|0|1</v>
          </cell>
        </row>
        <row r="155">
          <cell r="A155">
            <v>398</v>
          </cell>
          <cell r="B155" t="str">
            <v>增加目标魔法防御40%</v>
          </cell>
          <cell r="C155" t="str">
            <v>4|5|0.4|0|1</v>
          </cell>
        </row>
        <row r="156">
          <cell r="A156">
            <v>399</v>
          </cell>
          <cell r="B156" t="str">
            <v>增加生命上限10%</v>
          </cell>
          <cell r="C156" t="str">
            <v>4|16|0.1|0|1</v>
          </cell>
        </row>
        <row r="157">
          <cell r="A157">
            <v>400</v>
          </cell>
          <cell r="B157" t="str">
            <v>增加生命上限20%</v>
          </cell>
          <cell r="C157" t="str">
            <v>4|16|0.2|0|1</v>
          </cell>
        </row>
        <row r="158">
          <cell r="A158">
            <v>401</v>
          </cell>
          <cell r="B158" t="str">
            <v>增加生命上限30%</v>
          </cell>
          <cell r="C158" t="str">
            <v>4|16|0.3|0|1</v>
          </cell>
        </row>
        <row r="159">
          <cell r="A159">
            <v>402</v>
          </cell>
          <cell r="B159" t="str">
            <v>增加生命上限40%</v>
          </cell>
          <cell r="C159" t="str">
            <v>4|16|-0.4|0|1</v>
          </cell>
        </row>
        <row r="160">
          <cell r="A160">
            <v>403</v>
          </cell>
          <cell r="B160" t="str">
            <v>减少生命上限10%</v>
          </cell>
          <cell r="C160" t="str">
            <v>4|16|-0.1|0|1</v>
          </cell>
        </row>
        <row r="161">
          <cell r="A161">
            <v>404</v>
          </cell>
          <cell r="B161" t="str">
            <v>减少生命上限20%</v>
          </cell>
          <cell r="C161" t="str">
            <v>4|16|-0.2|0|1</v>
          </cell>
        </row>
        <row r="162">
          <cell r="A162">
            <v>405</v>
          </cell>
          <cell r="B162" t="str">
            <v>减少生命上限30%</v>
          </cell>
          <cell r="C162" t="str">
            <v>4|16|-0.3|0|1</v>
          </cell>
        </row>
        <row r="163">
          <cell r="A163">
            <v>406</v>
          </cell>
          <cell r="B163" t="str">
            <v>减少生命上限40%</v>
          </cell>
          <cell r="C163" t="str">
            <v>4|16|-0.4|0|1</v>
          </cell>
        </row>
        <row r="164">
          <cell r="A164">
            <v>407</v>
          </cell>
          <cell r="B164" t="str">
            <v>持续加血10%</v>
          </cell>
          <cell r="C164" t="str">
            <v>5|1|0.1</v>
          </cell>
        </row>
        <row r="165">
          <cell r="A165">
            <v>408</v>
          </cell>
          <cell r="B165" t="str">
            <v>持续加血15%</v>
          </cell>
          <cell r="C165" t="str">
            <v>5|1|0.15</v>
          </cell>
        </row>
        <row r="166">
          <cell r="A166">
            <v>409</v>
          </cell>
          <cell r="B166" t="str">
            <v>持续加血30%</v>
          </cell>
          <cell r="C166" t="str">
            <v>5|1|0.3</v>
          </cell>
        </row>
        <row r="167">
          <cell r="A167">
            <v>410</v>
          </cell>
          <cell r="B167" t="str">
            <v>持续加血50%</v>
          </cell>
          <cell r="C167" t="str">
            <v>5|1|0.5</v>
          </cell>
        </row>
        <row r="168">
          <cell r="A168">
            <v>411</v>
          </cell>
          <cell r="B168" t="str">
            <v>持续掉血10%</v>
          </cell>
          <cell r="C168" t="str">
            <v>5|1|-0.1</v>
          </cell>
        </row>
        <row r="169">
          <cell r="A169">
            <v>412</v>
          </cell>
          <cell r="B169" t="str">
            <v>持续掉血15%</v>
          </cell>
          <cell r="C169" t="str">
            <v>5|1|-0.15</v>
          </cell>
        </row>
        <row r="170">
          <cell r="A170">
            <v>413</v>
          </cell>
          <cell r="B170" t="str">
            <v>持续掉血20%</v>
          </cell>
          <cell r="C170" t="str">
            <v>5|1|-0.2</v>
          </cell>
        </row>
        <row r="171">
          <cell r="A171">
            <v>414</v>
          </cell>
          <cell r="B171" t="str">
            <v>持续掉血50%</v>
          </cell>
          <cell r="C171" t="str">
            <v>5|1|-0.5</v>
          </cell>
        </row>
        <row r="172">
          <cell r="A172">
            <v>415</v>
          </cell>
          <cell r="B172" t="str">
            <v>增加伤害减免5%</v>
          </cell>
          <cell r="C172" t="str">
            <v>4|10|0.05|0|1</v>
          </cell>
        </row>
        <row r="173">
          <cell r="A173">
            <v>416</v>
          </cell>
          <cell r="B173" t="str">
            <v>持续回生命2%的血</v>
          </cell>
          <cell r="C173" t="str">
            <v>4|1|0.02|0|1</v>
          </cell>
        </row>
        <row r="174">
          <cell r="A174">
            <v>417</v>
          </cell>
          <cell r="B174" t="str">
            <v>持续回生命5%的血</v>
          </cell>
          <cell r="C174" t="str">
            <v>4|1|0.03|0|1</v>
          </cell>
        </row>
        <row r="175">
          <cell r="A175">
            <v>418</v>
          </cell>
          <cell r="B175" t="str">
            <v>增加伤害减免40%</v>
          </cell>
          <cell r="C175" t="str">
            <v>4|10|0.4|0|0</v>
          </cell>
        </row>
        <row r="176">
          <cell r="A176">
            <v>419</v>
          </cell>
          <cell r="B176" t="str">
            <v>持续加血40%</v>
          </cell>
          <cell r="C176" t="str">
            <v>5|1|0.4</v>
          </cell>
        </row>
        <row r="177">
          <cell r="A177">
            <v>420</v>
          </cell>
          <cell r="B177" t="str">
            <v>持续加血20%</v>
          </cell>
          <cell r="C177" t="str">
            <v>5|1|0.2</v>
          </cell>
        </row>
        <row r="178">
          <cell r="A178">
            <v>421</v>
          </cell>
          <cell r="B178" t="str">
            <v>持续加血25%</v>
          </cell>
          <cell r="C178" t="str">
            <v>5|1|0.25</v>
          </cell>
        </row>
        <row r="179">
          <cell r="A179">
            <v>422</v>
          </cell>
          <cell r="B179" t="str">
            <v>增加闪避50%</v>
          </cell>
          <cell r="C179" t="str">
            <v>4|7|0.6|0|0</v>
          </cell>
        </row>
        <row r="180">
          <cell r="A180">
            <v>501</v>
          </cell>
          <cell r="B180" t="str">
            <v>核心技能501  群       无BUFF</v>
          </cell>
          <cell r="C180" t="str">
            <v>2|2|3.4|0|0|0</v>
          </cell>
        </row>
        <row r="181">
          <cell r="A181">
            <v>502</v>
          </cell>
          <cell r="B181" t="str">
            <v>AI502伤害型    单               无BUFF</v>
          </cell>
          <cell r="C181" t="str">
            <v>2|2|5.5|0|0|0</v>
          </cell>
        </row>
        <row r="182">
          <cell r="A182">
            <v>503</v>
          </cell>
          <cell r="B182" t="str">
            <v>AI503伤害型        直 扇形           无BUFF</v>
          </cell>
          <cell r="C182" t="str">
            <v>2|2|2.5|0|0|0</v>
          </cell>
        </row>
        <row r="183">
          <cell r="A183">
            <v>504</v>
          </cell>
          <cell r="B183" t="str">
            <v>AI504伤害型           群        无BUFF</v>
          </cell>
          <cell r="C183" t="str">
            <v>2|2|1.9|0|0|0</v>
          </cell>
        </row>
        <row r="184">
          <cell r="A184">
            <v>511</v>
          </cell>
          <cell r="B184" t="str">
            <v>核心技能501伤害型   群      带BUFF</v>
          </cell>
          <cell r="C184" t="str">
            <v>2|2|1.7|0|0</v>
          </cell>
        </row>
        <row r="185">
          <cell r="A185">
            <v>512</v>
          </cell>
          <cell r="B185" t="str">
            <v>AI502伤害型         单            带BUFF</v>
          </cell>
          <cell r="C185" t="str">
            <v>2|2|2.75|0|0</v>
          </cell>
        </row>
        <row r="186">
          <cell r="A186">
            <v>513</v>
          </cell>
          <cell r="B186" t="str">
            <v>AI503伤害型      直 扇形        带BUFF</v>
          </cell>
          <cell r="C186" t="str">
            <v>2|2|1.25|0|0|0</v>
          </cell>
        </row>
        <row r="187">
          <cell r="A187">
            <v>514</v>
          </cell>
          <cell r="B187" t="str">
            <v>AI504伤害型      群          带BUFF</v>
          </cell>
          <cell r="C187" t="str">
            <v>2|2|0.95|0|0|0</v>
          </cell>
        </row>
        <row r="188">
          <cell r="A188">
            <v>521</v>
          </cell>
          <cell r="B188" t="str">
            <v>核心技能501治疗型  群      无BUFF</v>
          </cell>
          <cell r="C188" t="str">
            <v>3|1|1.7|0</v>
          </cell>
        </row>
        <row r="189">
          <cell r="A189">
            <v>522</v>
          </cell>
          <cell r="B189" t="str">
            <v>AI502治疗型         单              无BUFF</v>
          </cell>
          <cell r="C189" t="str">
            <v>3|1|2.75|0</v>
          </cell>
        </row>
        <row r="190">
          <cell r="A190">
            <v>523</v>
          </cell>
          <cell r="B190" t="str">
            <v>AI503治疗型        直 扇形          无BUFF</v>
          </cell>
          <cell r="C190" t="str">
            <v>3|1|1.25|0</v>
          </cell>
        </row>
        <row r="191">
          <cell r="A191">
            <v>524</v>
          </cell>
          <cell r="B191" t="str">
            <v>AI504治疗型            群          无BUFF</v>
          </cell>
          <cell r="C191" t="str">
            <v>3|1|0.95|0</v>
          </cell>
        </row>
        <row r="192">
          <cell r="A192">
            <v>531</v>
          </cell>
          <cell r="B192" t="str">
            <v>核心技能501治疗型    群      带BUFF</v>
          </cell>
          <cell r="C192" t="str">
            <v>3|1|0.85|0</v>
          </cell>
        </row>
        <row r="193">
          <cell r="A193">
            <v>532</v>
          </cell>
          <cell r="B193" t="str">
            <v>AI502治疗型       单            带BUFF</v>
          </cell>
          <cell r="C193" t="str">
            <v>3|1|1.38|0</v>
          </cell>
        </row>
        <row r="194">
          <cell r="A194">
            <v>533</v>
          </cell>
          <cell r="B194" t="str">
            <v>AI503治疗型          直 扇形      带BUFF</v>
          </cell>
          <cell r="C194" t="str">
            <v>3|1|0.63|0</v>
          </cell>
        </row>
        <row r="195">
          <cell r="A195">
            <v>534</v>
          </cell>
          <cell r="B195" t="str">
            <v>AI504治疗型       群        带BUFF</v>
          </cell>
          <cell r="C195" t="str">
            <v>3|1|0.48|0</v>
          </cell>
        </row>
        <row r="196">
          <cell r="A196">
            <v>535</v>
          </cell>
          <cell r="B196" t="str">
            <v>6次多段伤害包</v>
          </cell>
          <cell r="C196" t="str">
            <v>2|2|0.50|0|0|0</v>
          </cell>
        </row>
        <row r="197">
          <cell r="A197">
            <v>601</v>
          </cell>
          <cell r="B197" t="str">
            <v>核心技能501  群       无BUFF</v>
          </cell>
          <cell r="C197" t="str">
            <v>2|2|4.4|0|0|0</v>
          </cell>
        </row>
        <row r="198">
          <cell r="A198">
            <v>602</v>
          </cell>
          <cell r="B198" t="str">
            <v>AI502伤害型    单               无BUFF</v>
          </cell>
          <cell r="C198" t="str">
            <v>2|2|6.5|0|0|0</v>
          </cell>
        </row>
        <row r="199">
          <cell r="A199">
            <v>603</v>
          </cell>
          <cell r="B199" t="str">
            <v>AI503伤害型        直 扇形           无BUFF</v>
          </cell>
          <cell r="C199" t="str">
            <v>2|2|3.5|0|0|0</v>
          </cell>
        </row>
        <row r="200">
          <cell r="A200">
            <v>604</v>
          </cell>
          <cell r="B200" t="str">
            <v>AI504伤害型           群        无BUFF</v>
          </cell>
          <cell r="C200" t="str">
            <v>2|2|2.9|0|0|0</v>
          </cell>
        </row>
        <row r="201">
          <cell r="A201">
            <v>611</v>
          </cell>
          <cell r="B201" t="str">
            <v>核心技能501伤害型   群      带BUFF</v>
          </cell>
          <cell r="C201" t="str">
            <v>2|2|2.7|0|0</v>
          </cell>
        </row>
        <row r="202">
          <cell r="A202">
            <v>612</v>
          </cell>
          <cell r="B202" t="str">
            <v>AI502伤害型         单            带BUFF</v>
          </cell>
          <cell r="C202" t="str">
            <v>2|2|3.75|0|0</v>
          </cell>
        </row>
        <row r="203">
          <cell r="A203">
            <v>613</v>
          </cell>
          <cell r="B203" t="str">
            <v>AI503伤害型      直 扇形        带BUFF</v>
          </cell>
          <cell r="C203" t="str">
            <v>2|2|2.25|0|0|0</v>
          </cell>
        </row>
        <row r="204">
          <cell r="A204">
            <v>614</v>
          </cell>
          <cell r="B204" t="str">
            <v>AI504伤害型      群          带BUFF</v>
          </cell>
          <cell r="C204" t="str">
            <v>2|2|1.95|0|0|0</v>
          </cell>
        </row>
        <row r="205">
          <cell r="A205">
            <v>621</v>
          </cell>
          <cell r="B205" t="str">
            <v>核心技能501治疗型  群      无BUFF</v>
          </cell>
          <cell r="C205" t="str">
            <v>3|1|2.7|0</v>
          </cell>
        </row>
        <row r="206">
          <cell r="A206">
            <v>622</v>
          </cell>
          <cell r="B206" t="str">
            <v>AI502治疗型         单              无BUFF</v>
          </cell>
          <cell r="C206" t="str">
            <v>3|1|2|0</v>
          </cell>
        </row>
        <row r="207">
          <cell r="A207">
            <v>623</v>
          </cell>
          <cell r="B207" t="str">
            <v>AI503治疗型        直 扇形          无BUFF</v>
          </cell>
          <cell r="C207" t="str">
            <v>3|1|2.25|0</v>
          </cell>
        </row>
        <row r="208">
          <cell r="A208">
            <v>624</v>
          </cell>
          <cell r="B208" t="str">
            <v>AI504治疗型            群          无BUFF</v>
          </cell>
          <cell r="C208" t="str">
            <v>3|1|1.95|0</v>
          </cell>
        </row>
        <row r="209">
          <cell r="A209">
            <v>631</v>
          </cell>
          <cell r="B209" t="str">
            <v>核心技能501治疗型    群      带BUFF</v>
          </cell>
          <cell r="C209" t="str">
            <v>3|1|1.85|0</v>
          </cell>
        </row>
        <row r="210">
          <cell r="A210">
            <v>632</v>
          </cell>
          <cell r="B210" t="str">
            <v>AI502治疗型       单            带BUFF</v>
          </cell>
          <cell r="C210" t="str">
            <v>3|1|2.38|0</v>
          </cell>
        </row>
        <row r="211">
          <cell r="A211">
            <v>633</v>
          </cell>
          <cell r="B211" t="str">
            <v>AI503治疗型          直 扇形      带BUFF</v>
          </cell>
          <cell r="C211" t="str">
            <v>3|1|1.63|0</v>
          </cell>
        </row>
        <row r="212">
          <cell r="A212">
            <v>634</v>
          </cell>
          <cell r="B212" t="str">
            <v>AI504治疗型       群        带BUFF</v>
          </cell>
          <cell r="C212" t="str">
            <v>3|1|1.48|0</v>
          </cell>
        </row>
        <row r="213">
          <cell r="A213">
            <v>635</v>
          </cell>
          <cell r="B213" t="str">
            <v>6次多段伤害包</v>
          </cell>
          <cell r="C213" t="str">
            <v>2|2|0.70|0|0|0</v>
          </cell>
        </row>
        <row r="214">
          <cell r="A214">
            <v>636</v>
          </cell>
          <cell r="B214" t="str">
            <v>BOSS专用伤害包</v>
          </cell>
          <cell r="C214" t="str">
            <v>2|2|5|0|0|0</v>
          </cell>
        </row>
        <row r="215">
          <cell r="A215">
            <v>888</v>
          </cell>
          <cell r="B215" t="str">
            <v>新手引导紫霞仙子回血（低回）</v>
          </cell>
          <cell r="C215" t="str">
            <v>3|1|-0.2|0</v>
          </cell>
        </row>
        <row r="216">
          <cell r="A216">
            <v>889</v>
          </cell>
          <cell r="B216" t="str">
            <v>新手引导孙悟空万伤技能</v>
          </cell>
          <cell r="C216" t="str">
            <v>2|2|0|0|120000|0</v>
          </cell>
        </row>
        <row r="217">
          <cell r="A217">
            <v>890</v>
          </cell>
          <cell r="B217" t="str">
            <v>新手引导孙悟空转圈技能</v>
          </cell>
          <cell r="C217" t="str">
            <v>2|2|0|0|1000|0</v>
          </cell>
        </row>
        <row r="218">
          <cell r="A218">
            <v>898</v>
          </cell>
          <cell r="B218" t="str">
            <v>新手引导玉皇大帝技能5</v>
          </cell>
          <cell r="C218" t="str">
            <v>2|2|0|0|6000|0</v>
          </cell>
        </row>
        <row r="219">
          <cell r="A219">
            <v>899</v>
          </cell>
          <cell r="B219" t="str">
            <v>新手引导玉皇大帝万伤技能</v>
          </cell>
          <cell r="C219" t="str">
            <v>2|2|0|0|4500|0</v>
          </cell>
        </row>
        <row r="220">
          <cell r="A220">
            <v>998</v>
          </cell>
          <cell r="B220" t="str">
            <v>反伤</v>
          </cell>
          <cell r="C220" t="str">
            <v>4|1|-0.06|0|1</v>
          </cell>
        </row>
        <row r="221">
          <cell r="A221">
            <v>1010</v>
          </cell>
          <cell r="B221" t="str">
            <v>男主角</v>
          </cell>
          <cell r="C221" t="str">
            <v>1|2|1|0|0|0</v>
          </cell>
        </row>
        <row r="222">
          <cell r="A222">
            <v>1020</v>
          </cell>
          <cell r="B222" t="str">
            <v>女主角</v>
          </cell>
          <cell r="C222" t="str">
            <v>1|2|1|0|0|0</v>
          </cell>
        </row>
        <row r="223">
          <cell r="A223">
            <v>2010</v>
          </cell>
          <cell r="B223" t="str">
            <v>二郎神</v>
          </cell>
          <cell r="C223" t="str">
            <v>1|1|1|0|0|0</v>
          </cell>
        </row>
        <row r="224">
          <cell r="A224">
            <v>2020</v>
          </cell>
          <cell r="B224" t="str">
            <v>二郎神核心技能</v>
          </cell>
          <cell r="C224" t="str">
            <v>2|2|0.45|0|0|0</v>
          </cell>
        </row>
        <row r="225">
          <cell r="A225">
            <v>2021</v>
          </cell>
          <cell r="B225" t="str">
            <v>二郎神核心技能 减伤害加成</v>
          </cell>
          <cell r="C225" t="str">
            <v>4|11|-0.25|0|1</v>
          </cell>
        </row>
        <row r="226">
          <cell r="A226">
            <v>2022</v>
          </cell>
          <cell r="B226" t="str">
            <v>二郎神核心技能 减伤害加成 说明</v>
          </cell>
          <cell r="C226" t="str">
            <v>4|11|0.25|0|1</v>
          </cell>
        </row>
        <row r="227">
          <cell r="A227">
            <v>2030</v>
          </cell>
          <cell r="B227" t="str">
            <v>二郎神技能1</v>
          </cell>
          <cell r="C227" t="str">
            <v>2|2|1.92|0|0|0</v>
          </cell>
        </row>
        <row r="228">
          <cell r="A228">
            <v>2040</v>
          </cell>
          <cell r="B228" t="str">
            <v>二郎神被动_吸血（吸血比例说明）</v>
          </cell>
          <cell r="C228" t="str">
            <v>4|3|0.15|0|1</v>
          </cell>
        </row>
        <row r="229">
          <cell r="A229">
            <v>2050</v>
          </cell>
          <cell r="B229" t="str">
            <v>二郎神技能2</v>
          </cell>
          <cell r="C229" t="str">
            <v>2|1|2.46|0|0|0</v>
          </cell>
        </row>
        <row r="230">
          <cell r="A230">
            <v>2051</v>
          </cell>
          <cell r="B230" t="str">
            <v>二郎神技能2_目标命中削弱</v>
          </cell>
          <cell r="C230" t="str">
            <v>4|6|-0.10|0|1</v>
          </cell>
        </row>
        <row r="231">
          <cell r="A231">
            <v>2052</v>
          </cell>
          <cell r="B231" t="str">
            <v>二郎神技能3_目标命中削弱   说明用</v>
          </cell>
          <cell r="C231" t="str">
            <v>4|6|0.10|0|1</v>
          </cell>
        </row>
        <row r="232">
          <cell r="A232">
            <v>2060</v>
          </cell>
          <cell r="B232" t="str">
            <v>哪吒</v>
          </cell>
          <cell r="C232" t="str">
            <v>1|2|1|0|0|0</v>
          </cell>
        </row>
        <row r="233">
          <cell r="A233">
            <v>2070</v>
          </cell>
          <cell r="B233" t="str">
            <v>哪吒核心技能</v>
          </cell>
          <cell r="C233" t="str">
            <v>2|2|0.77|0|0|0</v>
          </cell>
        </row>
        <row r="234">
          <cell r="A234">
            <v>2080</v>
          </cell>
          <cell r="B234" t="str">
            <v>哪吒技能1</v>
          </cell>
          <cell r="C234" t="str">
            <v>2|2|1.29|0|0|0</v>
          </cell>
        </row>
        <row r="235">
          <cell r="A235">
            <v>2090</v>
          </cell>
          <cell r="B235" t="str">
            <v>哪吒被动_增加单体暴击</v>
          </cell>
          <cell r="C235" t="str">
            <v>4|8|0.15|0|0</v>
          </cell>
        </row>
        <row r="236">
          <cell r="A236">
            <v>2091</v>
          </cell>
          <cell r="B236" t="str">
            <v>哪吒被动_增加单体暴击   说明用</v>
          </cell>
          <cell r="C236" t="str">
            <v>4|8|0.15|0|1</v>
          </cell>
        </row>
        <row r="237">
          <cell r="A237">
            <v>2100</v>
          </cell>
          <cell r="B237" t="str">
            <v>哪吒技能2</v>
          </cell>
          <cell r="C237" t="str">
            <v>2|2|3.48|0|0|0</v>
          </cell>
        </row>
        <row r="238">
          <cell r="A238">
            <v>2110</v>
          </cell>
          <cell r="B238" t="str">
            <v>嫦娥</v>
          </cell>
          <cell r="C238" t="str">
            <v>1|2|1|0|0|0</v>
          </cell>
        </row>
        <row r="239">
          <cell r="A239">
            <v>2120</v>
          </cell>
          <cell r="B239" t="str">
            <v>嫦娥核心技能</v>
          </cell>
          <cell r="C239" t="str">
            <v>2|2|0.82|0|0|0</v>
          </cell>
        </row>
        <row r="240">
          <cell r="A240">
            <v>2121</v>
          </cell>
          <cell r="B240" t="str">
            <v>嫦娥核心技能_晕眩时间  说明用</v>
          </cell>
          <cell r="C240" t="str">
            <v>4|1|1|0|0</v>
          </cell>
        </row>
        <row r="241">
          <cell r="A241">
            <v>2130</v>
          </cell>
          <cell r="B241" t="str">
            <v>嫦娥技能1</v>
          </cell>
          <cell r="C241" t="str">
            <v>3|1|0.8|0</v>
          </cell>
        </row>
        <row r="242">
          <cell r="A242">
            <v>2140</v>
          </cell>
          <cell r="B242" t="str">
            <v>嫦娥被动_单体攻击力提升</v>
          </cell>
          <cell r="C242" t="str">
            <v>4|3|0.15|0|1</v>
          </cell>
        </row>
        <row r="243">
          <cell r="A243">
            <v>2150</v>
          </cell>
          <cell r="B243" t="str">
            <v>嫦娥技能2_敌伤我疗</v>
          </cell>
          <cell r="C243" t="str">
            <v>2|2|2.53|0|0|0</v>
          </cell>
        </row>
        <row r="244">
          <cell r="A244">
            <v>2160</v>
          </cell>
          <cell r="B244" t="str">
            <v>牛魔王</v>
          </cell>
          <cell r="C244" t="str">
            <v>1|1|1|0|0|0</v>
          </cell>
        </row>
        <row r="245">
          <cell r="A245">
            <v>2170</v>
          </cell>
          <cell r="B245" t="str">
            <v>牛魔王核心技能</v>
          </cell>
          <cell r="C245" t="str">
            <v>4|3|0.45|0|1</v>
          </cell>
        </row>
        <row r="246">
          <cell r="A246">
            <v>2180</v>
          </cell>
          <cell r="B246" t="str">
            <v>牛魔王技能1</v>
          </cell>
          <cell r="C246" t="str">
            <v>2|1|2.79|0|0|0</v>
          </cell>
        </row>
        <row r="247">
          <cell r="A247">
            <v>2190</v>
          </cell>
          <cell r="B247" t="str">
            <v>牛魔王被动_吸血 说明用</v>
          </cell>
          <cell r="C247" t="str">
            <v>4|1|0.15|0|1</v>
          </cell>
        </row>
        <row r="248">
          <cell r="A248">
            <v>2200</v>
          </cell>
          <cell r="B248" t="str">
            <v>牛魔王技能2</v>
          </cell>
          <cell r="C248" t="str">
            <v>2|1|2.96|0|0|0</v>
          </cell>
        </row>
        <row r="249">
          <cell r="A249">
            <v>2210</v>
          </cell>
          <cell r="B249" t="str">
            <v>红孩儿</v>
          </cell>
          <cell r="C249" t="str">
            <v>1|2|0.5|0|0|0</v>
          </cell>
        </row>
        <row r="250">
          <cell r="A250">
            <v>2220</v>
          </cell>
          <cell r="B250" t="str">
            <v>红孩儿核心技能</v>
          </cell>
          <cell r="C250" t="str">
            <v>2|2|3.1|0|0|0</v>
          </cell>
        </row>
        <row r="251">
          <cell r="A251">
            <v>2230</v>
          </cell>
          <cell r="B251" t="str">
            <v>红孩儿技能1</v>
          </cell>
          <cell r="C251" t="str">
            <v>2|2|0.8|0|0|0</v>
          </cell>
        </row>
        <row r="252">
          <cell r="A252">
            <v>2240</v>
          </cell>
          <cell r="B252" t="str">
            <v>红孩儿被动_增加自身物理防御</v>
          </cell>
          <cell r="C252" t="str">
            <v>4|4|0.25|0|1</v>
          </cell>
        </row>
        <row r="253">
          <cell r="A253">
            <v>2241</v>
          </cell>
          <cell r="B253" t="str">
            <v>红孩儿被动_增加自身魔法防御</v>
          </cell>
          <cell r="C253" t="str">
            <v>4|5|0.25|0|1</v>
          </cell>
        </row>
        <row r="254">
          <cell r="A254">
            <v>2250</v>
          </cell>
          <cell r="B254" t="str">
            <v>红孩儿技能2</v>
          </cell>
          <cell r="C254" t="str">
            <v>2|2|0.3|0|0|0</v>
          </cell>
        </row>
        <row r="255">
          <cell r="A255">
            <v>2260</v>
          </cell>
          <cell r="B255" t="str">
            <v>铁扇公主</v>
          </cell>
          <cell r="C255" t="str">
            <v>1|2|1|0|0|0</v>
          </cell>
        </row>
        <row r="256">
          <cell r="A256">
            <v>2270</v>
          </cell>
          <cell r="B256" t="str">
            <v>铁扇公主_核心技能 加血buff</v>
          </cell>
          <cell r="C256" t="str">
            <v>4|1|0.03|0|1</v>
          </cell>
        </row>
        <row r="257">
          <cell r="A257">
            <v>2271</v>
          </cell>
          <cell r="B257" t="str">
            <v>铁扇公主_核心技能 加血buff（说明）</v>
          </cell>
          <cell r="C257" t="str">
            <v>4|1|0.03|0|1</v>
          </cell>
        </row>
        <row r="258">
          <cell r="A258">
            <v>2280</v>
          </cell>
          <cell r="B258" t="str">
            <v>铁扇公主_技能1</v>
          </cell>
          <cell r="C258" t="str">
            <v>2|2|2.31|0|0|0</v>
          </cell>
        </row>
        <row r="259">
          <cell r="A259">
            <v>2281</v>
          </cell>
          <cell r="B259" t="str">
            <v>铁扇公主技能1 _降低攻速</v>
          </cell>
          <cell r="C259" t="str">
            <v>4|13|-0.2|0|1</v>
          </cell>
        </row>
        <row r="260">
          <cell r="A260">
            <v>2282</v>
          </cell>
          <cell r="B260" t="str">
            <v>铁扇公主技能1 _降低攻速 说明</v>
          </cell>
          <cell r="C260" t="str">
            <v>4|13|0.2|0|1</v>
          </cell>
        </row>
        <row r="261">
          <cell r="A261">
            <v>2290</v>
          </cell>
          <cell r="B261" t="str">
            <v>铁扇公主被动_自身攻速</v>
          </cell>
          <cell r="C261" t="str">
            <v>4|13|0.1|0|1</v>
          </cell>
        </row>
        <row r="262">
          <cell r="A262">
            <v>2291</v>
          </cell>
          <cell r="B262" t="str">
            <v>铁扇公主被动_自身物防</v>
          </cell>
          <cell r="C262" t="str">
            <v>4|4|0.2|0|1</v>
          </cell>
        </row>
        <row r="263">
          <cell r="A263">
            <v>2292</v>
          </cell>
          <cell r="B263" t="str">
            <v>铁扇公主被动_自身法防</v>
          </cell>
          <cell r="C263" t="str">
            <v>4|5|0.2|0|1</v>
          </cell>
        </row>
        <row r="264">
          <cell r="A264">
            <v>2300</v>
          </cell>
          <cell r="B264" t="str">
            <v>铁扇公主技能2 加血</v>
          </cell>
          <cell r="C264" t="str">
            <v>4|1|0.2|0|1</v>
          </cell>
        </row>
        <row r="265">
          <cell r="A265">
            <v>2310</v>
          </cell>
          <cell r="B265" t="str">
            <v>猪八戒</v>
          </cell>
          <cell r="C265" t="str">
            <v>1|1|0.5|0|0|0</v>
          </cell>
        </row>
        <row r="266">
          <cell r="A266">
            <v>2320</v>
          </cell>
          <cell r="B266" t="str">
            <v>猪八戒核心技能 说明</v>
          </cell>
          <cell r="C266" t="str">
            <v>4|1|3|0|0</v>
          </cell>
        </row>
        <row r="267">
          <cell r="A267">
            <v>2330</v>
          </cell>
          <cell r="B267" t="str">
            <v>猪八戒技能1</v>
          </cell>
          <cell r="C267" t="str">
            <v>4|1|0.2|0|1</v>
          </cell>
        </row>
        <row r="268">
          <cell r="A268">
            <v>2340</v>
          </cell>
          <cell r="B268" t="str">
            <v>猪八戒减伤20%</v>
          </cell>
          <cell r="C268" t="str">
            <v>4|10|0.2|0|1</v>
          </cell>
        </row>
        <row r="269">
          <cell r="A269">
            <v>2350</v>
          </cell>
          <cell r="B269" t="str">
            <v>猪八戒技能2</v>
          </cell>
          <cell r="C269" t="str">
            <v>2|1|1.2|0|0|0</v>
          </cell>
        </row>
        <row r="270">
          <cell r="A270">
            <v>2360</v>
          </cell>
          <cell r="B270" t="str">
            <v>孙悟空</v>
          </cell>
          <cell r="C270" t="str">
            <v>1|1|0.33|0|0|0</v>
          </cell>
        </row>
        <row r="271">
          <cell r="A271">
            <v>2370</v>
          </cell>
          <cell r="B271" t="str">
            <v>孙悟空核心技能</v>
          </cell>
          <cell r="C271" t="str">
            <v>2|1|0.4|0|0|0</v>
          </cell>
        </row>
        <row r="272">
          <cell r="A272">
            <v>2371</v>
          </cell>
          <cell r="B272" t="str">
            <v>孙悟空核心技能 攻击</v>
          </cell>
          <cell r="C272" t="str">
            <v>4|3|0.3|0|1</v>
          </cell>
        </row>
        <row r="273">
          <cell r="A273">
            <v>2372</v>
          </cell>
          <cell r="B273" t="str">
            <v>孙悟空核心技能 攻速</v>
          </cell>
          <cell r="C273" t="str">
            <v>4|13|0.3|0|1</v>
          </cell>
        </row>
        <row r="274">
          <cell r="A274">
            <v>2380</v>
          </cell>
          <cell r="B274" t="str">
            <v>孙悟空技能1</v>
          </cell>
          <cell r="C274" t="str">
            <v>2|1|2|0|0|0</v>
          </cell>
        </row>
        <row r="275">
          <cell r="A275">
            <v>2381</v>
          </cell>
          <cell r="B275" t="str">
            <v>孙悟空技能1暴击</v>
          </cell>
          <cell r="C275" t="str">
            <v>4|8|2|0|0</v>
          </cell>
        </row>
        <row r="276">
          <cell r="A276">
            <v>2390</v>
          </cell>
          <cell r="B276" t="str">
            <v>孙悟空被动_全体攻击</v>
          </cell>
          <cell r="C276" t="str">
            <v>4|3|0.07|0|1</v>
          </cell>
        </row>
        <row r="277">
          <cell r="A277">
            <v>2400</v>
          </cell>
          <cell r="B277" t="str">
            <v>孙悟空技能2</v>
          </cell>
          <cell r="C277" t="str">
            <v>2|1|0.85|0|0|0</v>
          </cell>
        </row>
        <row r="278">
          <cell r="A278">
            <v>2410</v>
          </cell>
          <cell r="B278" t="str">
            <v>紫霞仙子</v>
          </cell>
          <cell r="C278" t="str">
            <v>1|2|1|0|0|0</v>
          </cell>
        </row>
        <row r="279">
          <cell r="A279">
            <v>2420</v>
          </cell>
          <cell r="B279" t="str">
            <v>紫霞仙子核心技能</v>
          </cell>
          <cell r="C279" t="str">
            <v>2|1|1.02|0|0|0</v>
          </cell>
        </row>
        <row r="280">
          <cell r="A280">
            <v>2430</v>
          </cell>
          <cell r="B280" t="str">
            <v>紫霞仙子技能1</v>
          </cell>
          <cell r="C280" t="str">
            <v>2|1|0.7|0|0|0</v>
          </cell>
        </row>
        <row r="281">
          <cell r="A281">
            <v>2431</v>
          </cell>
          <cell r="B281" t="str">
            <v>紫霞仙子技能1</v>
          </cell>
          <cell r="C281" t="str">
            <v>4|13|-0.1|0|1</v>
          </cell>
        </row>
        <row r="282">
          <cell r="A282">
            <v>2432</v>
          </cell>
          <cell r="B282" t="str">
            <v>紫霞仙子技能1(说明)</v>
          </cell>
          <cell r="C282" t="str">
            <v>4|13|0.1|0|1</v>
          </cell>
        </row>
        <row r="283">
          <cell r="A283">
            <v>2440</v>
          </cell>
          <cell r="B283" t="str">
            <v>紫霞仙子被动_全团血量增加</v>
          </cell>
          <cell r="C283" t="str">
            <v>4|16|0.03|0|1</v>
          </cell>
        </row>
        <row r="284">
          <cell r="A284">
            <v>2441</v>
          </cell>
          <cell r="B284" t="str">
            <v>紫霞仙子被动_全团攻击</v>
          </cell>
          <cell r="C284" t="str">
            <v>4|3|0.03|0|1</v>
          </cell>
        </row>
        <row r="285">
          <cell r="A285">
            <v>2442</v>
          </cell>
          <cell r="B285" t="str">
            <v>紫霞仙子被动_全团物防</v>
          </cell>
          <cell r="C285" t="str">
            <v>4|4|0.03|0|1</v>
          </cell>
        </row>
        <row r="286">
          <cell r="A286">
            <v>2443</v>
          </cell>
          <cell r="B286" t="str">
            <v>紫霞仙子被动_全团法防(通一个技能的第4个效果)</v>
          </cell>
          <cell r="C286" t="str">
            <v>4|5|0.03|0|1</v>
          </cell>
        </row>
        <row r="287">
          <cell r="A287">
            <v>2450</v>
          </cell>
          <cell r="B287" t="str">
            <v>紫霞仙子技能2</v>
          </cell>
          <cell r="C287" t="str">
            <v>2|1|0.65|0|0|0</v>
          </cell>
        </row>
        <row r="288">
          <cell r="A288">
            <v>2460</v>
          </cell>
          <cell r="B288" t="str">
            <v>斗战胜佛</v>
          </cell>
          <cell r="C288" t="str">
            <v>1|1|1|0|0|0</v>
          </cell>
        </row>
        <row r="289">
          <cell r="A289">
            <v>2470</v>
          </cell>
          <cell r="B289" t="str">
            <v>斗战胜佛核心技能第 1 击</v>
          </cell>
          <cell r="C289" t="str">
            <v>2|1|3.28|0|0|0</v>
          </cell>
        </row>
        <row r="290">
          <cell r="A290">
            <v>2471</v>
          </cell>
          <cell r="B290" t="str">
            <v>斗战胜佛核心技能第 2 击</v>
          </cell>
          <cell r="C290" t="str">
            <v>4|1|-0.02|0|1</v>
          </cell>
        </row>
        <row r="291">
          <cell r="A291">
            <v>2472</v>
          </cell>
          <cell r="B291" t="str">
            <v>斗战胜佛核心技能(说明)</v>
          </cell>
          <cell r="C291" t="str">
            <v>4|1|0.02|0|1</v>
          </cell>
        </row>
        <row r="292">
          <cell r="A292">
            <v>2480</v>
          </cell>
          <cell r="B292" t="str">
            <v>斗战胜佛技能1</v>
          </cell>
          <cell r="C292" t="str">
            <v>2|1|1.06|0|0|0</v>
          </cell>
        </row>
        <row r="293">
          <cell r="A293">
            <v>2490</v>
          </cell>
          <cell r="B293" t="str">
            <v>斗战胜佛被动_攻速</v>
          </cell>
          <cell r="C293" t="str">
            <v>4|13|0.15|0|1</v>
          </cell>
        </row>
        <row r="294">
          <cell r="A294">
            <v>2500</v>
          </cell>
          <cell r="B294" t="str">
            <v>斗战胜佛技能2</v>
          </cell>
          <cell r="C294" t="str">
            <v>2|1|0.38|0|0|0</v>
          </cell>
        </row>
        <row r="295">
          <cell r="A295">
            <v>2501</v>
          </cell>
          <cell r="B295" t="str">
            <v>斗战胜佛必暴</v>
          </cell>
          <cell r="C295" t="str">
            <v>4|8|3|0|0</v>
          </cell>
        </row>
        <row r="296">
          <cell r="A296">
            <v>3010</v>
          </cell>
          <cell r="B296" t="str">
            <v>玉皇大帝</v>
          </cell>
          <cell r="C296" t="str">
            <v>1|1|1|0|0|0</v>
          </cell>
        </row>
        <row r="297">
          <cell r="A297">
            <v>3020</v>
          </cell>
          <cell r="B297" t="str">
            <v>玉皇大帝核心技能</v>
          </cell>
          <cell r="C297" t="str">
            <v>2|1|1.29|0|0|0</v>
          </cell>
        </row>
        <row r="298">
          <cell r="A298">
            <v>3030</v>
          </cell>
          <cell r="B298" t="str">
            <v>玉皇大帝技能1</v>
          </cell>
          <cell r="C298" t="str">
            <v>2|2|2.16|0|0|0</v>
          </cell>
        </row>
        <row r="299">
          <cell r="A299">
            <v>3031</v>
          </cell>
          <cell r="B299" t="str">
            <v>玉皇大帝技能1_减攻速</v>
          </cell>
          <cell r="C299" t="str">
            <v>4|13|-0.05|0|1</v>
          </cell>
        </row>
        <row r="300">
          <cell r="A300">
            <v>3032</v>
          </cell>
          <cell r="B300" t="str">
            <v>玉皇大帝技能1_减攻速（说明）</v>
          </cell>
          <cell r="C300" t="str">
            <v>4|13|0.05|0|1</v>
          </cell>
        </row>
        <row r="301">
          <cell r="A301">
            <v>3040</v>
          </cell>
          <cell r="B301" t="str">
            <v>玉皇大帝被动_增加自身闪避</v>
          </cell>
          <cell r="C301" t="str">
            <v>4|7|0.15|0|0</v>
          </cell>
        </row>
        <row r="302">
          <cell r="A302">
            <v>3041</v>
          </cell>
          <cell r="B302" t="str">
            <v>玉皇大帝被动_增加自身闪避  说明</v>
          </cell>
          <cell r="C302" t="str">
            <v>4|7|0.15|0|1</v>
          </cell>
        </row>
        <row r="303">
          <cell r="A303">
            <v>3050</v>
          </cell>
          <cell r="B303" t="str">
            <v>玉皇大帝技能2</v>
          </cell>
          <cell r="C303" t="str">
            <v>2|1|0.33|0|0|0</v>
          </cell>
        </row>
        <row r="304">
          <cell r="A304">
            <v>3051</v>
          </cell>
          <cell r="B304" t="str">
            <v>玉皇大帝技能2_眩晕说明</v>
          </cell>
          <cell r="C304" t="str">
            <v>4|1|1|0|1</v>
          </cell>
        </row>
        <row r="305">
          <cell r="A305">
            <v>3060</v>
          </cell>
          <cell r="B305" t="str">
            <v>王母娘娘</v>
          </cell>
          <cell r="C305" t="str">
            <v>1|2|1|0|0|0</v>
          </cell>
        </row>
        <row r="306">
          <cell r="A306">
            <v>3070</v>
          </cell>
          <cell r="B306" t="str">
            <v>王母娘娘核心技能</v>
          </cell>
          <cell r="C306" t="str">
            <v>2|2|3.28|0|0</v>
          </cell>
        </row>
        <row r="307">
          <cell r="A307">
            <v>3080</v>
          </cell>
          <cell r="B307" t="str">
            <v>王母娘娘技能1</v>
          </cell>
          <cell r="C307" t="str">
            <v>2|2|0.63|0|0|0</v>
          </cell>
        </row>
        <row r="308">
          <cell r="A308">
            <v>3081</v>
          </cell>
          <cell r="B308" t="str">
            <v>王母娘娘技能1 减物防</v>
          </cell>
          <cell r="C308" t="str">
            <v>4|4|-0.2|0|1</v>
          </cell>
        </row>
        <row r="309">
          <cell r="A309">
            <v>3082</v>
          </cell>
          <cell r="B309" t="str">
            <v>王母娘娘技能1 减物防 说明</v>
          </cell>
          <cell r="C309" t="str">
            <v>4|4|0.2|0|1</v>
          </cell>
        </row>
        <row r="310">
          <cell r="A310">
            <v>3090</v>
          </cell>
          <cell r="B310" t="str">
            <v>王母娘娘被动_增加自身伤害</v>
          </cell>
          <cell r="C310" t="str">
            <v>4|3|0.15|0|1</v>
          </cell>
        </row>
        <row r="311">
          <cell r="A311">
            <v>3091</v>
          </cell>
          <cell r="B311" t="str">
            <v>王母娘娘被动_增加自身伤害  说明</v>
          </cell>
          <cell r="C311" t="str">
            <v>4|3|0.15|0|1</v>
          </cell>
        </row>
        <row r="312">
          <cell r="A312">
            <v>3100</v>
          </cell>
          <cell r="B312" t="str">
            <v>王母娘娘技能2</v>
          </cell>
          <cell r="C312" t="str">
            <v>2|2|2.96|0|0|0</v>
          </cell>
        </row>
        <row r="313">
          <cell r="A313">
            <v>3110</v>
          </cell>
          <cell r="B313" t="str">
            <v>太白金星</v>
          </cell>
          <cell r="C313" t="str">
            <v>1|2|1|0|0|0</v>
          </cell>
        </row>
        <row r="314">
          <cell r="A314">
            <v>3120</v>
          </cell>
          <cell r="B314" t="str">
            <v>太白金星核心技能</v>
          </cell>
          <cell r="C314" t="str">
            <v>4|3|0.40|0|1</v>
          </cell>
        </row>
        <row r="315">
          <cell r="A315">
            <v>3130</v>
          </cell>
          <cell r="B315" t="str">
            <v>太白金星技能1</v>
          </cell>
          <cell r="C315" t="str">
            <v>3|1|2.2|0</v>
          </cell>
        </row>
        <row r="316">
          <cell r="A316">
            <v>3140</v>
          </cell>
          <cell r="B316" t="str">
            <v>太白金星被动_增加全体物防</v>
          </cell>
          <cell r="C316" t="str">
            <v>4|4|0.07|0|1</v>
          </cell>
        </row>
        <row r="317">
          <cell r="A317">
            <v>3141</v>
          </cell>
          <cell r="B317" t="str">
            <v>太白金星被动_增加全体法防</v>
          </cell>
          <cell r="C317" t="str">
            <v>4|5|0.07|0|1</v>
          </cell>
        </row>
        <row r="318">
          <cell r="A318">
            <v>3150</v>
          </cell>
          <cell r="B318" t="str">
            <v>太白金星技能2</v>
          </cell>
          <cell r="C318" t="str">
            <v>3|1|0.28|0</v>
          </cell>
        </row>
        <row r="319">
          <cell r="A319">
            <v>3160</v>
          </cell>
          <cell r="B319" t="str">
            <v>赤脚大仙</v>
          </cell>
          <cell r="C319" t="str">
            <v>1|2|1|0|0|0</v>
          </cell>
        </row>
        <row r="320">
          <cell r="A320">
            <v>3170</v>
          </cell>
          <cell r="B320" t="str">
            <v>赤脚大仙核心技能</v>
          </cell>
          <cell r="C320" t="str">
            <v>2|1|1.83|0|0|0</v>
          </cell>
        </row>
        <row r="321">
          <cell r="A321">
            <v>3180</v>
          </cell>
          <cell r="B321" t="str">
            <v>赤脚大仙技能1</v>
          </cell>
          <cell r="C321" t="str">
            <v>2|1|0.49|0|0|0</v>
          </cell>
        </row>
        <row r="322">
          <cell r="A322">
            <v>3190</v>
          </cell>
          <cell r="B322" t="str">
            <v>赤脚大仙被动_反伤</v>
          </cell>
          <cell r="C322" t="str">
            <v>4|1|0.30|0|1</v>
          </cell>
        </row>
        <row r="323">
          <cell r="A323">
            <v>3200</v>
          </cell>
          <cell r="B323" t="str">
            <v>赤脚大仙技能2攻速</v>
          </cell>
          <cell r="C323" t="str">
            <v>4|13|0.10|0|1</v>
          </cell>
        </row>
        <row r="324">
          <cell r="A324">
            <v>3201</v>
          </cell>
          <cell r="B324" t="str">
            <v>赤脚大仙技能2攻击</v>
          </cell>
          <cell r="C324" t="str">
            <v>4|3|0.10|0|1</v>
          </cell>
        </row>
        <row r="325">
          <cell r="A325">
            <v>3202</v>
          </cell>
          <cell r="B325" t="str">
            <v>赤脚大仙技能2 吸血效果  说明用</v>
          </cell>
          <cell r="C325" t="str">
            <v>4|3|0.10|0|1</v>
          </cell>
        </row>
        <row r="326">
          <cell r="A326">
            <v>3210</v>
          </cell>
          <cell r="B326" t="str">
            <v>托塔天王</v>
          </cell>
          <cell r="C326" t="str">
            <v>1|2|1|0|0|0</v>
          </cell>
        </row>
        <row r="327">
          <cell r="A327">
            <v>3220</v>
          </cell>
          <cell r="B327" t="str">
            <v>托塔天王核心技能</v>
          </cell>
          <cell r="C327" t="str">
            <v>2|1|2.46|0|0|0</v>
          </cell>
        </row>
        <row r="328">
          <cell r="A328">
            <v>3230</v>
          </cell>
          <cell r="B328" t="str">
            <v>托塔天王技能1血盾 说明</v>
          </cell>
          <cell r="C328" t="str">
            <v>4|1|0.1|0|1</v>
          </cell>
        </row>
        <row r="329">
          <cell r="A329">
            <v>3240</v>
          </cell>
          <cell r="B329" t="str">
            <v>托塔天王被动_增加全体暴击率</v>
          </cell>
          <cell r="C329" t="str">
            <v>4|8|0.076|0|0</v>
          </cell>
        </row>
        <row r="330">
          <cell r="A330">
            <v>3241</v>
          </cell>
          <cell r="B330" t="str">
            <v>托塔天王被动_增加全体暴击率  说明</v>
          </cell>
          <cell r="C330" t="str">
            <v>4|8|0.076|0|1</v>
          </cell>
        </row>
        <row r="331">
          <cell r="A331">
            <v>3250</v>
          </cell>
          <cell r="B331" t="str">
            <v>托塔天王技能2</v>
          </cell>
          <cell r="C331" t="str">
            <v>2|1|2.72|0|0|0</v>
          </cell>
        </row>
        <row r="332">
          <cell r="A332">
            <v>3251</v>
          </cell>
          <cell r="B332" t="str">
            <v>托塔天王技能2减防</v>
          </cell>
          <cell r="C332" t="str">
            <v>4|4|-0.2|0|1</v>
          </cell>
        </row>
        <row r="333">
          <cell r="A333">
            <v>3252</v>
          </cell>
          <cell r="B333" t="str">
            <v>托塔天王技能2减防 说明</v>
          </cell>
          <cell r="C333" t="str">
            <v>4|4|0.2|0|1</v>
          </cell>
        </row>
        <row r="334">
          <cell r="A334">
            <v>3260</v>
          </cell>
          <cell r="B334" t="str">
            <v>九天玄女</v>
          </cell>
          <cell r="C334" t="str">
            <v>1|2|1|0|0|0</v>
          </cell>
        </row>
        <row r="335">
          <cell r="A335">
            <v>3270</v>
          </cell>
          <cell r="B335" t="str">
            <v>九天玄女核心技能</v>
          </cell>
          <cell r="C335" t="str">
            <v>3|1|2.46|0</v>
          </cell>
        </row>
        <row r="336">
          <cell r="A336">
            <v>3280</v>
          </cell>
          <cell r="B336" t="str">
            <v>九天玄女技能1</v>
          </cell>
          <cell r="C336" t="str">
            <v>3|1|1.93|0</v>
          </cell>
        </row>
        <row r="337">
          <cell r="A337">
            <v>3281</v>
          </cell>
          <cell r="B337" t="str">
            <v>九天玄女技能1护盾 血量说明</v>
          </cell>
          <cell r="C337" t="str">
            <v>4|1|0.10|0|1</v>
          </cell>
        </row>
        <row r="338">
          <cell r="A338">
            <v>3282</v>
          </cell>
          <cell r="B338" t="str">
            <v>九天玄女技能1护盾 时间说明</v>
          </cell>
          <cell r="C338" t="str">
            <v>4|1|0.10|0|1</v>
          </cell>
        </row>
        <row r="339">
          <cell r="A339">
            <v>3290</v>
          </cell>
          <cell r="B339" t="str">
            <v>九天玄女被动_增加全体攻速</v>
          </cell>
          <cell r="C339" t="str">
            <v>4|13|0.04|0|1</v>
          </cell>
        </row>
        <row r="340">
          <cell r="A340">
            <v>3300</v>
          </cell>
          <cell r="B340" t="str">
            <v>九天玄女技能2</v>
          </cell>
          <cell r="C340" t="str">
            <v>3|1|2.04|0</v>
          </cell>
        </row>
        <row r="341">
          <cell r="A341">
            <v>3310</v>
          </cell>
          <cell r="B341" t="str">
            <v>虎力大仙</v>
          </cell>
          <cell r="C341" t="str">
            <v>1|1|1|0|0|0</v>
          </cell>
        </row>
        <row r="342">
          <cell r="A342">
            <v>3320</v>
          </cell>
          <cell r="B342" t="str">
            <v>虎力大仙核心技能_魔法防御</v>
          </cell>
          <cell r="C342" t="str">
            <v>4|5|0.6|0|1</v>
          </cell>
        </row>
        <row r="343">
          <cell r="A343">
            <v>3321</v>
          </cell>
          <cell r="B343" t="str">
            <v>虎力大仙核心技能_攻击</v>
          </cell>
          <cell r="C343" t="str">
            <v>4|3|0.2|0|1</v>
          </cell>
        </row>
        <row r="344">
          <cell r="A344">
            <v>3330</v>
          </cell>
          <cell r="B344" t="str">
            <v>虎力大仙技能1</v>
          </cell>
          <cell r="C344" t="str">
            <v>2|1|1.5|0|0|0</v>
          </cell>
        </row>
        <row r="345">
          <cell r="A345">
            <v>3340</v>
          </cell>
          <cell r="B345" t="str">
            <v>虎力大仙被动_增加自身伤害免减</v>
          </cell>
          <cell r="C345" t="str">
            <v>4|10|0.15|0|0</v>
          </cell>
        </row>
        <row r="346">
          <cell r="A346">
            <v>3341</v>
          </cell>
          <cell r="B346" t="str">
            <v>虎力大仙被动_增加自身伤害免减   说明</v>
          </cell>
          <cell r="C346" t="str">
            <v>4|10|0.15|0|1</v>
          </cell>
        </row>
        <row r="347">
          <cell r="A347">
            <v>3350</v>
          </cell>
          <cell r="B347" t="str">
            <v>虎力大仙技能2</v>
          </cell>
          <cell r="C347" t="str">
            <v>2|1|0.9|0|0|0</v>
          </cell>
        </row>
        <row r="348">
          <cell r="A348">
            <v>3360</v>
          </cell>
          <cell r="B348" t="str">
            <v>鹿力大仙</v>
          </cell>
          <cell r="C348" t="str">
            <v>1|1|1|0|0|0</v>
          </cell>
        </row>
        <row r="349">
          <cell r="A349">
            <v>3370</v>
          </cell>
          <cell r="B349" t="str">
            <v>灵鹿赐福</v>
          </cell>
          <cell r="C349" t="str">
            <v>3|1|2.33|0</v>
          </cell>
        </row>
        <row r="350">
          <cell r="A350">
            <v>3380</v>
          </cell>
          <cell r="B350" t="str">
            <v>直线强击</v>
          </cell>
          <cell r="C350" t="str">
            <v>2|1|1.44|0|0|0</v>
          </cell>
        </row>
        <row r="351">
          <cell r="A351">
            <v>3390</v>
          </cell>
          <cell r="B351" t="str">
            <v>鹿力大仙被动_增加自身攻速</v>
          </cell>
          <cell r="C351" t="str">
            <v>4|13|0.15|0|1</v>
          </cell>
        </row>
        <row r="352">
          <cell r="A352">
            <v>3400</v>
          </cell>
          <cell r="B352" t="str">
            <v>璀璨星光</v>
          </cell>
          <cell r="C352" t="str">
            <v>2|1|0.45|0|0|0</v>
          </cell>
        </row>
        <row r="353">
          <cell r="A353">
            <v>3410</v>
          </cell>
          <cell r="B353" t="str">
            <v>羊力大仙</v>
          </cell>
          <cell r="C353" t="str">
            <v>1|2|1|0|0|0</v>
          </cell>
        </row>
        <row r="354">
          <cell r="A354">
            <v>3420</v>
          </cell>
          <cell r="B354" t="str">
            <v>万物复苏</v>
          </cell>
          <cell r="C354" t="str">
            <v>3|1|0.47|0</v>
          </cell>
        </row>
        <row r="355">
          <cell r="A355">
            <v>3430</v>
          </cell>
          <cell r="B355" t="str">
            <v>治愈之光</v>
          </cell>
          <cell r="C355" t="str">
            <v>3|1|3.2|0</v>
          </cell>
        </row>
        <row r="356">
          <cell r="A356">
            <v>3440</v>
          </cell>
          <cell r="B356" t="str">
            <v>羊力大仙被动_提升自身攻击力</v>
          </cell>
          <cell r="C356" t="str">
            <v>4|3|0.15|0|1</v>
          </cell>
        </row>
        <row r="357">
          <cell r="A357">
            <v>3450</v>
          </cell>
          <cell r="B357" t="str">
            <v>灵能法球</v>
          </cell>
          <cell r="C357" t="str">
            <v>2|2|2.2|0|0|0</v>
          </cell>
        </row>
        <row r="358">
          <cell r="A358">
            <v>3460</v>
          </cell>
          <cell r="B358" t="str">
            <v>六耳猕猴</v>
          </cell>
          <cell r="C358" t="str">
            <v>1|1|1|0|0|0</v>
          </cell>
        </row>
        <row r="359">
          <cell r="A359">
            <v>3470</v>
          </cell>
          <cell r="B359" t="str">
            <v>六耳猕猴核心技能</v>
          </cell>
          <cell r="C359" t="str">
            <v>2|1|0.32|0|0|0</v>
          </cell>
        </row>
        <row r="360">
          <cell r="A360">
            <v>3480</v>
          </cell>
          <cell r="B360" t="str">
            <v>灵猴重击</v>
          </cell>
          <cell r="C360" t="str">
            <v>2|1|2.4|0|0|0</v>
          </cell>
        </row>
        <row r="361">
          <cell r="A361">
            <v>3490</v>
          </cell>
          <cell r="B361" t="str">
            <v>六耳猕猴被动_增加自身物理防御</v>
          </cell>
          <cell r="C361" t="str">
            <v>4|4|0.15|0|1</v>
          </cell>
        </row>
        <row r="362">
          <cell r="A362">
            <v>3491</v>
          </cell>
          <cell r="B362" t="str">
            <v>六耳猕猴被动_增加自身魔法防御</v>
          </cell>
          <cell r="C362" t="str">
            <v>4|5|0.15|0|1</v>
          </cell>
        </row>
        <row r="363">
          <cell r="A363">
            <v>3500</v>
          </cell>
          <cell r="B363" t="str">
            <v>六耳猕猴技能2</v>
          </cell>
          <cell r="C363" t="str">
            <v>2|1|0.4|0|0|0</v>
          </cell>
        </row>
        <row r="364">
          <cell r="A364">
            <v>3510</v>
          </cell>
          <cell r="B364" t="str">
            <v>白骨夫人</v>
          </cell>
          <cell r="C364" t="str">
            <v>1|2|1|0|0|0</v>
          </cell>
        </row>
        <row r="365">
          <cell r="A365">
            <v>3520</v>
          </cell>
          <cell r="B365" t="str">
            <v>白骨夫人核心技能</v>
          </cell>
          <cell r="C365" t="str">
            <v>2|2|4.91|0|0|0</v>
          </cell>
        </row>
        <row r="366">
          <cell r="A366">
            <v>3521</v>
          </cell>
          <cell r="B366" t="str">
            <v>白骨夫人核心技能 减防</v>
          </cell>
          <cell r="C366" t="str">
            <v>4|4|-0.2|0|1</v>
          </cell>
        </row>
        <row r="367">
          <cell r="A367">
            <v>3530</v>
          </cell>
          <cell r="B367" t="str">
            <v>勾魂吸血_伤害</v>
          </cell>
          <cell r="C367" t="str">
            <v>2|2|1.08|0|0|0</v>
          </cell>
        </row>
        <row r="368">
          <cell r="A368">
            <v>3531</v>
          </cell>
          <cell r="B368" t="str">
            <v>勾魂吸血_回血</v>
          </cell>
          <cell r="C368" t="str">
            <v>4|1|0.21|0|1</v>
          </cell>
        </row>
        <row r="369">
          <cell r="A369">
            <v>3532</v>
          </cell>
          <cell r="B369" t="str">
            <v>勾魂吸血_全体加血</v>
          </cell>
          <cell r="C369" t="str">
            <v>3|1|1.03|0</v>
          </cell>
        </row>
        <row r="370">
          <cell r="A370">
            <v>3540</v>
          </cell>
          <cell r="B370" t="str">
            <v>白骨夫人被动_增加自身攻击</v>
          </cell>
          <cell r="C370" t="str">
            <v>4|3|0.15|0|1</v>
          </cell>
        </row>
        <row r="371">
          <cell r="A371">
            <v>3550</v>
          </cell>
          <cell r="B371" t="str">
            <v>痛苦之灵_伤害</v>
          </cell>
          <cell r="C371" t="str">
            <v>2|2|1.1|0|0|0</v>
          </cell>
        </row>
        <row r="372">
          <cell r="A372">
            <v>3553</v>
          </cell>
          <cell r="B372" t="str">
            <v>痛苦之灵_削弱目标物防</v>
          </cell>
          <cell r="C372" t="str">
            <v>4|4|-0.20|0|1</v>
          </cell>
        </row>
        <row r="373">
          <cell r="A373">
            <v>3554</v>
          </cell>
          <cell r="B373" t="str">
            <v>痛苦之灵_削弱目标物防</v>
          </cell>
          <cell r="C373" t="str">
            <v>4|5|-0.20|0|1</v>
          </cell>
        </row>
        <row r="374">
          <cell r="A374">
            <v>3555</v>
          </cell>
          <cell r="B374" t="str">
            <v>痛苦之灵_削弱目标物防  说明</v>
          </cell>
          <cell r="C374" t="str">
            <v>4|5|0.20|0|1</v>
          </cell>
        </row>
        <row r="375">
          <cell r="A375">
            <v>3560</v>
          </cell>
          <cell r="B375" t="str">
            <v>混沌</v>
          </cell>
          <cell r="C375" t="str">
            <v>1|2|1|0|0|0</v>
          </cell>
        </row>
        <row r="376">
          <cell r="A376">
            <v>3570</v>
          </cell>
          <cell r="B376" t="str">
            <v>混沌核心技能</v>
          </cell>
          <cell r="C376" t="str">
            <v>2|2|0.24|0|0|0</v>
          </cell>
        </row>
        <row r="377">
          <cell r="A377">
            <v>3571</v>
          </cell>
          <cell r="B377" t="str">
            <v>降低目标物理防御力</v>
          </cell>
          <cell r="C377" t="str">
            <v>4|4|0.20|0|1</v>
          </cell>
        </row>
        <row r="378">
          <cell r="A378">
            <v>3572</v>
          </cell>
          <cell r="B378" t="str">
            <v>降低目标魔法防御力</v>
          </cell>
          <cell r="C378" t="str">
            <v>4|5|0.20|0|1</v>
          </cell>
        </row>
        <row r="379">
          <cell r="A379">
            <v>3580</v>
          </cell>
          <cell r="B379" t="str">
            <v>混沌技能1</v>
          </cell>
          <cell r="C379" t="str">
            <v>2|2|1.93|0|0|0</v>
          </cell>
        </row>
        <row r="380">
          <cell r="A380">
            <v>3590</v>
          </cell>
          <cell r="B380" t="str">
            <v>混沌被动_增加全体魔防</v>
          </cell>
          <cell r="C380" t="str">
            <v>4|5|0.07|0|1</v>
          </cell>
        </row>
        <row r="381">
          <cell r="A381">
            <v>3591</v>
          </cell>
          <cell r="B381" t="str">
            <v>混沌被动_增加全体物防</v>
          </cell>
          <cell r="C381" t="str">
            <v>4|4|0.07|0|1</v>
          </cell>
        </row>
        <row r="382">
          <cell r="A382">
            <v>3600</v>
          </cell>
          <cell r="B382" t="str">
            <v>混沌技能2</v>
          </cell>
          <cell r="C382" t="str">
            <v>2|2|2.36|0|0|0</v>
          </cell>
        </row>
        <row r="383">
          <cell r="A383">
            <v>3610</v>
          </cell>
          <cell r="B383" t="str">
            <v>小白龙</v>
          </cell>
          <cell r="C383" t="str">
            <v>1|1|1|0|0|0</v>
          </cell>
        </row>
        <row r="384">
          <cell r="A384">
            <v>3620</v>
          </cell>
          <cell r="B384" t="str">
            <v>小白龙核心技能</v>
          </cell>
          <cell r="C384" t="str">
            <v>2|1|0.49|0|0|0</v>
          </cell>
        </row>
        <row r="385">
          <cell r="A385">
            <v>3630</v>
          </cell>
          <cell r="B385" t="str">
            <v>小白龙技能1</v>
          </cell>
          <cell r="C385" t="str">
            <v>2|1|1.25|0|0|0</v>
          </cell>
        </row>
        <row r="386">
          <cell r="A386">
            <v>3640</v>
          </cell>
          <cell r="B386" t="str">
            <v>小白龙被动_增加自身暴击率</v>
          </cell>
          <cell r="C386" t="str">
            <v>4|8|0.15|0|0</v>
          </cell>
        </row>
        <row r="387">
          <cell r="A387">
            <v>3641</v>
          </cell>
          <cell r="B387" t="str">
            <v>小白龙被动_增加自身暴击率（说明）</v>
          </cell>
          <cell r="C387" t="str">
            <v>4|8|0.15|0|1</v>
          </cell>
        </row>
        <row r="388">
          <cell r="A388">
            <v>3650</v>
          </cell>
          <cell r="B388" t="str">
            <v>小白龙技能2</v>
          </cell>
          <cell r="C388" t="str">
            <v>2|1|2.4|0|0|0</v>
          </cell>
        </row>
        <row r="389">
          <cell r="A389">
            <v>3660</v>
          </cell>
          <cell r="B389" t="str">
            <v>沙和尚</v>
          </cell>
          <cell r="C389" t="str">
            <v>1|2|1|0|0|0</v>
          </cell>
        </row>
        <row r="390">
          <cell r="A390">
            <v>3670</v>
          </cell>
          <cell r="B390" t="str">
            <v>沙和尚核心技能</v>
          </cell>
          <cell r="C390" t="str">
            <v>2|2|3|0|0|0</v>
          </cell>
        </row>
        <row r="391">
          <cell r="A391">
            <v>3680</v>
          </cell>
          <cell r="B391" t="str">
            <v>沙和尚技能1</v>
          </cell>
          <cell r="C391" t="str">
            <v>2|2|2.38|0|0|0</v>
          </cell>
        </row>
        <row r="392">
          <cell r="A392">
            <v>3690</v>
          </cell>
          <cell r="B392" t="str">
            <v>沙和尚被动_增加z自身攻击力</v>
          </cell>
          <cell r="C392" t="str">
            <v>4|3|0.15|0|1</v>
          </cell>
        </row>
        <row r="393">
          <cell r="A393">
            <v>3700</v>
          </cell>
          <cell r="B393" t="str">
            <v>沙和尚技能2</v>
          </cell>
          <cell r="C393" t="str">
            <v>2|2|2.53|0|0|0</v>
          </cell>
        </row>
        <row r="394">
          <cell r="A394">
            <v>3710</v>
          </cell>
          <cell r="B394" t="str">
            <v>唐三藏</v>
          </cell>
          <cell r="C394" t="str">
            <v>1|2|1|0|0|0</v>
          </cell>
        </row>
        <row r="395">
          <cell r="A395">
            <v>3720</v>
          </cell>
          <cell r="B395" t="str">
            <v>紧箍咒</v>
          </cell>
          <cell r="C395" t="str">
            <v>2|2|3.1|0|0|0</v>
          </cell>
        </row>
        <row r="396">
          <cell r="A396">
            <v>3721</v>
          </cell>
          <cell r="B396" t="str">
            <v>紧箍咒_削弱目标防御</v>
          </cell>
          <cell r="C396" t="str">
            <v>4|4|-0.20|0|1</v>
          </cell>
        </row>
        <row r="397">
          <cell r="A397">
            <v>3722</v>
          </cell>
          <cell r="B397" t="str">
            <v>紧箍咒_削弱目标防御</v>
          </cell>
          <cell r="C397" t="str">
            <v>4|5|-0.20|0|1</v>
          </cell>
        </row>
        <row r="398">
          <cell r="A398">
            <v>3723</v>
          </cell>
          <cell r="B398" t="str">
            <v>紧箍咒_削弱目标防御_说明</v>
          </cell>
          <cell r="C398" t="str">
            <v>4|5|0.20|0|1</v>
          </cell>
        </row>
        <row r="399">
          <cell r="A399">
            <v>3730</v>
          </cell>
          <cell r="B399" t="str">
            <v>唐三藏技能1</v>
          </cell>
          <cell r="C399" t="str">
            <v>3|1|0.35|0</v>
          </cell>
        </row>
        <row r="400">
          <cell r="A400">
            <v>3731</v>
          </cell>
          <cell r="B400" t="str">
            <v>唐三藏技能1—护盾说明</v>
          </cell>
          <cell r="C400" t="str">
            <v>4|1|0.1|0|1</v>
          </cell>
        </row>
        <row r="401">
          <cell r="A401">
            <v>3740</v>
          </cell>
          <cell r="B401" t="str">
            <v>唐三藏被动_增加自身生命上限</v>
          </cell>
          <cell r="C401" t="str">
            <v>4|16|0.15|0|1</v>
          </cell>
        </row>
        <row r="402">
          <cell r="A402">
            <v>3750</v>
          </cell>
          <cell r="B402" t="str">
            <v>唐三藏技能2</v>
          </cell>
          <cell r="C402" t="str">
            <v>2|2|1.8|0|0|0</v>
          </cell>
        </row>
        <row r="403">
          <cell r="A403">
            <v>3760</v>
          </cell>
          <cell r="B403" t="str">
            <v>迦叶尊者</v>
          </cell>
          <cell r="C403" t="str">
            <v>1|1|1|0|0|0</v>
          </cell>
        </row>
        <row r="404">
          <cell r="A404">
            <v>3770</v>
          </cell>
          <cell r="B404" t="str">
            <v>迦叶尊者核心技能血量盾</v>
          </cell>
          <cell r="C404" t="str">
            <v>4|1|0.3|0|1</v>
          </cell>
        </row>
        <row r="405">
          <cell r="A405">
            <v>3780</v>
          </cell>
          <cell r="B405" t="str">
            <v>迦叶尊者技能1</v>
          </cell>
          <cell r="C405" t="str">
            <v>2|1|1.01|0|0|0</v>
          </cell>
        </row>
        <row r="406">
          <cell r="A406">
            <v>3790</v>
          </cell>
          <cell r="B406" t="str">
            <v>迦叶尊者被动_全体暴击</v>
          </cell>
          <cell r="C406" t="str">
            <v>4|8|0.07|0|0</v>
          </cell>
        </row>
        <row r="407">
          <cell r="A407">
            <v>3791</v>
          </cell>
          <cell r="B407" t="str">
            <v>迦叶尊者被动_全体暴击</v>
          </cell>
          <cell r="C407" t="str">
            <v>4|8|0.07|0|1</v>
          </cell>
        </row>
        <row r="408">
          <cell r="A408">
            <v>3800</v>
          </cell>
          <cell r="B408" t="str">
            <v>迦叶尊者技能2</v>
          </cell>
          <cell r="C408" t="str">
            <v>2|1|1.27|0|0|0</v>
          </cell>
        </row>
        <row r="409">
          <cell r="A409">
            <v>3810</v>
          </cell>
          <cell r="B409" t="str">
            <v>文殊菩萨</v>
          </cell>
          <cell r="C409" t="str">
            <v>1|2|1|0|0|0</v>
          </cell>
        </row>
        <row r="410">
          <cell r="A410">
            <v>3820</v>
          </cell>
          <cell r="B410" t="str">
            <v>文殊菩萨核心技能</v>
          </cell>
          <cell r="C410" t="str">
            <v>2|2|0.51|0|0|0</v>
          </cell>
        </row>
        <row r="411">
          <cell r="A411">
            <v>3830</v>
          </cell>
          <cell r="B411" t="str">
            <v>文殊菩萨技能1</v>
          </cell>
          <cell r="C411" t="str">
            <v>2|2|1.35|0|0|0</v>
          </cell>
        </row>
        <row r="412">
          <cell r="A412">
            <v>3840</v>
          </cell>
          <cell r="B412" t="str">
            <v>文殊菩萨被动_增加自身攻击力</v>
          </cell>
          <cell r="C412" t="str">
            <v>4|3|0.15|0|1</v>
          </cell>
        </row>
        <row r="413">
          <cell r="A413">
            <v>3850</v>
          </cell>
          <cell r="B413" t="str">
            <v>文殊菩萨技能2</v>
          </cell>
          <cell r="C413" t="str">
            <v>2|2|2.3|0|0|0</v>
          </cell>
        </row>
        <row r="414">
          <cell r="A414">
            <v>3860</v>
          </cell>
          <cell r="B414" t="str">
            <v>弥勒佛普攻</v>
          </cell>
          <cell r="C414" t="str">
            <v>1|1|1|0|0|0</v>
          </cell>
        </row>
        <row r="415">
          <cell r="A415">
            <v>3870</v>
          </cell>
          <cell r="B415" t="str">
            <v>弥勒佛核心技能加攻</v>
          </cell>
          <cell r="C415" t="str">
            <v>4|3|0.10|0|1</v>
          </cell>
        </row>
        <row r="416">
          <cell r="A416">
            <v>3871</v>
          </cell>
          <cell r="B416" t="str">
            <v>弥勒佛核心技能加物防</v>
          </cell>
          <cell r="C416" t="str">
            <v>4|4|0.50|0|1</v>
          </cell>
        </row>
        <row r="417">
          <cell r="A417">
            <v>3872</v>
          </cell>
          <cell r="B417" t="str">
            <v>弥勒佛核心技能加法防</v>
          </cell>
          <cell r="C417" t="str">
            <v>4|5|0.50|0|1</v>
          </cell>
        </row>
        <row r="418">
          <cell r="A418">
            <v>3880</v>
          </cell>
          <cell r="B418" t="str">
            <v>弥勒佛技能1</v>
          </cell>
          <cell r="C418" t="str">
            <v>4|3|0.10|0|1</v>
          </cell>
        </row>
        <row r="419">
          <cell r="A419">
            <v>3890</v>
          </cell>
          <cell r="B419" t="str">
            <v>弥勒佛被动_增加全体血上限</v>
          </cell>
          <cell r="C419" t="str">
            <v>4|16|0.07|0|1</v>
          </cell>
        </row>
        <row r="420">
          <cell r="A420">
            <v>3900</v>
          </cell>
          <cell r="B420" t="str">
            <v>弥勒佛技能2物防</v>
          </cell>
          <cell r="C420" t="str">
            <v>4|4|0.25|0|1</v>
          </cell>
        </row>
        <row r="421">
          <cell r="A421">
            <v>3901</v>
          </cell>
          <cell r="B421" t="str">
            <v>弥勒佛技能2法防</v>
          </cell>
          <cell r="C421" t="str">
            <v>4|5|0.25|0|1</v>
          </cell>
        </row>
        <row r="422">
          <cell r="A422">
            <v>3910</v>
          </cell>
          <cell r="B422" t="str">
            <v>白鬼使</v>
          </cell>
          <cell r="C422" t="str">
            <v>1|1|1|0|0|0</v>
          </cell>
        </row>
        <row r="423">
          <cell r="A423">
            <v>3920</v>
          </cell>
          <cell r="B423" t="str">
            <v>白鬼使核心技能——伤害</v>
          </cell>
          <cell r="C423" t="str">
            <v>2|1|2.93|0|0|0</v>
          </cell>
        </row>
        <row r="424">
          <cell r="A424">
            <v>3921</v>
          </cell>
          <cell r="B424" t="str">
            <v>白鬼使核心技能——减闪避</v>
          </cell>
          <cell r="C424" t="str">
            <v>4|7|-0.1|0|0</v>
          </cell>
        </row>
        <row r="425">
          <cell r="A425">
            <v>3922</v>
          </cell>
          <cell r="B425" t="str">
            <v>白鬼使核心技能——减闪避（说明）</v>
          </cell>
          <cell r="C425" t="str">
            <v>4|7|0.1|0|1</v>
          </cell>
        </row>
        <row r="426">
          <cell r="A426">
            <v>3930</v>
          </cell>
          <cell r="B426" t="str">
            <v>白鬼使技能1</v>
          </cell>
          <cell r="C426" t="str">
            <v>2|1|3.26|0|0|0</v>
          </cell>
        </row>
        <row r="427">
          <cell r="A427">
            <v>3931</v>
          </cell>
          <cell r="B427" t="str">
            <v>白鬼使技能1—减防御</v>
          </cell>
          <cell r="C427" t="str">
            <v>4|4|-0.1|0|1</v>
          </cell>
        </row>
        <row r="428">
          <cell r="A428">
            <v>3932</v>
          </cell>
          <cell r="B428" t="str">
            <v>白鬼使技能1—减防御 说明</v>
          </cell>
          <cell r="C428" t="str">
            <v>4|4|0.1|0|1</v>
          </cell>
        </row>
        <row r="429">
          <cell r="A429">
            <v>3940</v>
          </cell>
          <cell r="B429" t="str">
            <v>白鬼使被动——攻击</v>
          </cell>
          <cell r="C429" t="str">
            <v>4|3|0.12|0|1</v>
          </cell>
        </row>
        <row r="430">
          <cell r="A430">
            <v>3950</v>
          </cell>
          <cell r="B430" t="str">
            <v>白鬼使技能2</v>
          </cell>
          <cell r="C430" t="str">
            <v>2|1|3.62|0|0|0</v>
          </cell>
        </row>
        <row r="431">
          <cell r="A431">
            <v>3960</v>
          </cell>
          <cell r="B431" t="str">
            <v>牛头</v>
          </cell>
          <cell r="C431" t="str">
            <v>1|1|1|0|0|0</v>
          </cell>
        </row>
        <row r="432">
          <cell r="A432">
            <v>3970</v>
          </cell>
          <cell r="B432" t="str">
            <v>牛头核心技能</v>
          </cell>
          <cell r="C432" t="str">
            <v>2|1|2.93|0|0|0</v>
          </cell>
        </row>
        <row r="433">
          <cell r="A433">
            <v>3980</v>
          </cell>
          <cell r="B433" t="str">
            <v>牛头技能1</v>
          </cell>
          <cell r="C433" t="str">
            <v>2|1|2.55|0|0|0</v>
          </cell>
        </row>
        <row r="434">
          <cell r="A434">
            <v>3990</v>
          </cell>
          <cell r="B434" t="str">
            <v>牛头被动——物防</v>
          </cell>
          <cell r="C434" t="str">
            <v>4|4|0.24|0|1</v>
          </cell>
        </row>
        <row r="435">
          <cell r="A435">
            <v>4000</v>
          </cell>
          <cell r="B435" t="str">
            <v>牛头技能2</v>
          </cell>
          <cell r="C435" t="str">
            <v>2|1|1.48|0|0|0</v>
          </cell>
        </row>
        <row r="436">
          <cell r="A436">
            <v>4060</v>
          </cell>
          <cell r="B436" t="str">
            <v>雷公</v>
          </cell>
          <cell r="C436" t="str">
            <v>1|2|1|0|0|0</v>
          </cell>
        </row>
        <row r="437">
          <cell r="A437">
            <v>4070</v>
          </cell>
          <cell r="B437" t="str">
            <v>雷击</v>
          </cell>
          <cell r="C437" t="str">
            <v>2|2|0.73|0|0|0</v>
          </cell>
        </row>
        <row r="438">
          <cell r="A438">
            <v>4080</v>
          </cell>
          <cell r="B438" t="str">
            <v>雷暴</v>
          </cell>
          <cell r="C438" t="str">
            <v>2|2|2.49|0|0|0</v>
          </cell>
        </row>
        <row r="439">
          <cell r="A439">
            <v>4090</v>
          </cell>
          <cell r="B439" t="str">
            <v>被动_普攻眩晕概率——说明</v>
          </cell>
          <cell r="C439" t="str">
            <v>4|1|0.1|0|1</v>
          </cell>
        </row>
        <row r="440">
          <cell r="A440">
            <v>4100</v>
          </cell>
          <cell r="B440" t="str">
            <v>天雷斩</v>
          </cell>
          <cell r="C440" t="str">
            <v>2|2|2.5|0|0|0</v>
          </cell>
        </row>
        <row r="441">
          <cell r="A441">
            <v>4110</v>
          </cell>
          <cell r="B441" t="str">
            <v>东海龙王</v>
          </cell>
          <cell r="C441" t="str">
            <v>1|1|1|0|0|0</v>
          </cell>
        </row>
        <row r="442">
          <cell r="A442">
            <v>4120</v>
          </cell>
          <cell r="B442" t="str">
            <v>水泉守护（说明）</v>
          </cell>
          <cell r="C442" t="str">
            <v>4|1|2|0|0</v>
          </cell>
        </row>
        <row r="443">
          <cell r="A443">
            <v>4130</v>
          </cell>
          <cell r="B443" t="str">
            <v>海龙咆哮</v>
          </cell>
          <cell r="C443" t="str">
            <v>2|1|1.4|0|0|0</v>
          </cell>
        </row>
        <row r="444">
          <cell r="A444">
            <v>4140</v>
          </cell>
          <cell r="B444" t="str">
            <v>被动_增加全体魔防</v>
          </cell>
          <cell r="C444" t="str">
            <v>4|6|0.15|0|1</v>
          </cell>
        </row>
        <row r="445">
          <cell r="A445">
            <v>4150</v>
          </cell>
          <cell r="B445" t="str">
            <v>深海问候</v>
          </cell>
          <cell r="C445" t="str">
            <v>2|1|1.5|0|0|0</v>
          </cell>
        </row>
        <row r="446">
          <cell r="A446">
            <v>4160</v>
          </cell>
          <cell r="B446" t="str">
            <v>泾河龙王</v>
          </cell>
          <cell r="C446" t="str">
            <v>1|1|1|0|0|0</v>
          </cell>
        </row>
        <row r="447">
          <cell r="A447">
            <v>4170</v>
          </cell>
          <cell r="B447" t="str">
            <v>冰封万里</v>
          </cell>
          <cell r="C447" t="str">
            <v>2|1|2.93|0|0|0</v>
          </cell>
        </row>
        <row r="448">
          <cell r="A448">
            <v>4171</v>
          </cell>
          <cell r="B448" t="str">
            <v>冰封万里—减少移速</v>
          </cell>
          <cell r="C448" t="str">
            <v>4|12|0.7|0|1</v>
          </cell>
        </row>
        <row r="449">
          <cell r="A449">
            <v>4172</v>
          </cell>
          <cell r="B449" t="str">
            <v>冰封万里—减少移速（说明）</v>
          </cell>
          <cell r="C449" t="str">
            <v>4|12|0.7|0|1</v>
          </cell>
        </row>
        <row r="450">
          <cell r="A450">
            <v>4180</v>
          </cell>
          <cell r="B450" t="str">
            <v>泾河龙王skill02吸收护盾 说明</v>
          </cell>
          <cell r="C450" t="str">
            <v>4|12|0.10|0|1</v>
          </cell>
        </row>
        <row r="451">
          <cell r="A451">
            <v>4190</v>
          </cell>
          <cell r="B451" t="str">
            <v>被动_增加全体生命上限</v>
          </cell>
          <cell r="C451" t="str">
            <v>4|16|0.10|0|1</v>
          </cell>
        </row>
        <row r="452">
          <cell r="A452">
            <v>4200</v>
          </cell>
          <cell r="B452" t="str">
            <v>怒气横扫一段</v>
          </cell>
          <cell r="C452" t="str">
            <v>2|1|2.26|0|0|0</v>
          </cell>
        </row>
        <row r="453">
          <cell r="A453">
            <v>4201</v>
          </cell>
          <cell r="B453" t="str">
            <v>泾河龙王技能4 减防</v>
          </cell>
          <cell r="C453" t="str">
            <v>4|4|0.20|0|1</v>
          </cell>
        </row>
        <row r="454">
          <cell r="A454">
            <v>4210</v>
          </cell>
          <cell r="B454" t="str">
            <v>玉兔</v>
          </cell>
          <cell r="C454" t="str">
            <v>1|2|1|0|0|0</v>
          </cell>
        </row>
        <row r="455">
          <cell r="A455">
            <v>4220</v>
          </cell>
          <cell r="B455" t="str">
            <v>仙灵祝福</v>
          </cell>
          <cell r="C455" t="str">
            <v>3|1|0.8|0</v>
          </cell>
        </row>
        <row r="456">
          <cell r="A456">
            <v>4230</v>
          </cell>
          <cell r="B456" t="str">
            <v>樱花扇舞一段</v>
          </cell>
          <cell r="C456" t="str">
            <v>2|2|1.5|0|0|0</v>
          </cell>
        </row>
        <row r="457">
          <cell r="A457">
            <v>4240</v>
          </cell>
          <cell r="B457" t="str">
            <v>被动_增加自身闪避</v>
          </cell>
          <cell r="C457" t="str">
            <v>4|7|0.12|0|0</v>
          </cell>
        </row>
        <row r="458">
          <cell r="A458">
            <v>4241</v>
          </cell>
          <cell r="B458" t="str">
            <v>被动_增加自身闪避   说明</v>
          </cell>
          <cell r="C458" t="str">
            <v>4|7|0.12|0|1</v>
          </cell>
        </row>
        <row r="459">
          <cell r="A459">
            <v>4250</v>
          </cell>
          <cell r="B459" t="str">
            <v>迷幻旋风一段</v>
          </cell>
          <cell r="C459" t="str">
            <v>2|2|0.55|0|0|0</v>
          </cell>
        </row>
        <row r="460">
          <cell r="A460">
            <v>4260</v>
          </cell>
          <cell r="B460" t="str">
            <v>蜘蛛精</v>
          </cell>
          <cell r="C460" t="str">
            <v>1|2|1|0|0|0</v>
          </cell>
        </row>
        <row r="461">
          <cell r="A461">
            <v>4270</v>
          </cell>
          <cell r="B461" t="str">
            <v>天罗地网</v>
          </cell>
          <cell r="C461" t="str">
            <v>2|2|2.33|0|0|0</v>
          </cell>
        </row>
        <row r="462">
          <cell r="A462">
            <v>4271</v>
          </cell>
          <cell r="B462" t="str">
            <v>天罗地网—中毒</v>
          </cell>
          <cell r="C462" t="str">
            <v>4|1|-0.015|0|1</v>
          </cell>
        </row>
        <row r="463">
          <cell r="A463">
            <v>4272</v>
          </cell>
          <cell r="B463" t="str">
            <v>天罗地网—中毒(说明)</v>
          </cell>
          <cell r="C463" t="str">
            <v>4|1|0.015|0|1</v>
          </cell>
        </row>
        <row r="464">
          <cell r="A464">
            <v>4280</v>
          </cell>
          <cell r="B464" t="str">
            <v>蛛后附身</v>
          </cell>
          <cell r="C464" t="str">
            <v>4|13|0.30|0|1</v>
          </cell>
        </row>
        <row r="465">
          <cell r="A465">
            <v>4290</v>
          </cell>
          <cell r="B465" t="str">
            <v>攻击提升</v>
          </cell>
          <cell r="C465" t="str">
            <v>4|3|0.15|0|1</v>
          </cell>
        </row>
        <row r="466">
          <cell r="A466">
            <v>4300</v>
          </cell>
          <cell r="B466" t="str">
            <v>魔蛛绝杀</v>
          </cell>
          <cell r="C466" t="str">
            <v>2|2|1.63|0|0|0</v>
          </cell>
        </row>
        <row r="467">
          <cell r="A467">
            <v>4301</v>
          </cell>
          <cell r="B467" t="str">
            <v>魔蛛绝杀—中毒</v>
          </cell>
          <cell r="C467" t="str">
            <v>4|1|-0.015|0|1</v>
          </cell>
        </row>
        <row r="468">
          <cell r="A468">
            <v>4302</v>
          </cell>
          <cell r="B468" t="str">
            <v>魔蛛绝杀—中毒（说明）</v>
          </cell>
          <cell r="C468" t="str">
            <v>4|1|0.015|0|1</v>
          </cell>
        </row>
        <row r="469">
          <cell r="A469">
            <v>4310</v>
          </cell>
          <cell r="B469" t="str">
            <v>混世魔王</v>
          </cell>
          <cell r="C469" t="str">
            <v>1|1|1|0|0|0</v>
          </cell>
        </row>
        <row r="470">
          <cell r="A470">
            <v>4320</v>
          </cell>
          <cell r="B470" t="str">
            <v>飞沙走石一段</v>
          </cell>
          <cell r="C470" t="str">
            <v>2|1|0.58|0|0|0</v>
          </cell>
        </row>
        <row r="471">
          <cell r="A471">
            <v>4330</v>
          </cell>
          <cell r="B471" t="str">
            <v>狼牙重击一段</v>
          </cell>
          <cell r="C471" t="str">
            <v>2|1|1.4|0|0|0</v>
          </cell>
        </row>
        <row r="472">
          <cell r="A472">
            <v>4340</v>
          </cell>
          <cell r="B472" t="str">
            <v>被动_被击反伤</v>
          </cell>
          <cell r="C472" t="str">
            <v>2|1|0.28|0|0|0</v>
          </cell>
        </row>
        <row r="473">
          <cell r="A473">
            <v>4350</v>
          </cell>
          <cell r="B473" t="str">
            <v>犄角冲撞</v>
          </cell>
          <cell r="C473" t="str">
            <v>2|1|1.5|0|0|0</v>
          </cell>
        </row>
        <row r="474">
          <cell r="A474">
            <v>4360</v>
          </cell>
          <cell r="B474" t="str">
            <v>墨鱼精</v>
          </cell>
          <cell r="C474" t="str">
            <v>1|1|1|0|0|0</v>
          </cell>
        </row>
        <row r="475">
          <cell r="A475">
            <v>4370</v>
          </cell>
          <cell r="B475" t="str">
            <v>水雾侵蚀_虚弱目标命中率</v>
          </cell>
          <cell r="C475" t="str">
            <v>4|6|-0.30|0|0</v>
          </cell>
        </row>
        <row r="476">
          <cell r="A476">
            <v>4371</v>
          </cell>
          <cell r="B476" t="str">
            <v>水雾侵蚀_虚弱目标物理防御</v>
          </cell>
          <cell r="C476" t="str">
            <v>4|4|-0.30|0|1</v>
          </cell>
        </row>
        <row r="477">
          <cell r="A477">
            <v>4372</v>
          </cell>
          <cell r="B477" t="str">
            <v>水雾侵蚀_虚弱目标魔法防御</v>
          </cell>
          <cell r="C477" t="str">
            <v>4|5|-0.30|0|1</v>
          </cell>
        </row>
        <row r="478">
          <cell r="A478">
            <v>4373</v>
          </cell>
          <cell r="B478" t="str">
            <v>水雾侵蚀_虚弱目标命中率（说明）</v>
          </cell>
          <cell r="C478" t="str">
            <v>4|6|0.30|0|1</v>
          </cell>
        </row>
        <row r="479">
          <cell r="A479">
            <v>4374</v>
          </cell>
          <cell r="B479" t="str">
            <v>水雾侵蚀_虚弱目标物理防御（说明）</v>
          </cell>
          <cell r="C479" t="str">
            <v>4|4|0.30|0|1</v>
          </cell>
        </row>
        <row r="480">
          <cell r="A480">
            <v>4380</v>
          </cell>
          <cell r="B480" t="str">
            <v>挥砍一段</v>
          </cell>
          <cell r="C480" t="str">
            <v>2|1|0.8|0|0|0</v>
          </cell>
        </row>
        <row r="481">
          <cell r="A481">
            <v>4390</v>
          </cell>
          <cell r="B481" t="str">
            <v>墨鱼精被动_增加自身命中</v>
          </cell>
          <cell r="C481" t="str">
            <v>4|6|0.12|0|0</v>
          </cell>
        </row>
        <row r="482">
          <cell r="A482">
            <v>4391</v>
          </cell>
          <cell r="B482" t="str">
            <v>墨鱼精被动_增加自身命中   说明</v>
          </cell>
          <cell r="C482" t="str">
            <v>4|6|0.12|0|1</v>
          </cell>
        </row>
        <row r="483">
          <cell r="A483">
            <v>4400</v>
          </cell>
          <cell r="B483" t="str">
            <v>致命连击一段</v>
          </cell>
          <cell r="C483" t="str">
            <v>2|1|1|0|0|0</v>
          </cell>
        </row>
        <row r="484">
          <cell r="A484">
            <v>4410</v>
          </cell>
          <cell r="B484" t="str">
            <v>金钱豹王</v>
          </cell>
          <cell r="C484" t="str">
            <v>1|1|1|0|0|0</v>
          </cell>
        </row>
        <row r="485">
          <cell r="A485">
            <v>4420</v>
          </cell>
          <cell r="B485" t="str">
            <v>砺剑血刃-攻击力提升</v>
          </cell>
          <cell r="C485" t="str">
            <v>4|3|0.1|0|1</v>
          </cell>
        </row>
        <row r="486">
          <cell r="A486">
            <v>4421</v>
          </cell>
          <cell r="B486" t="str">
            <v>砺剑血刃-命中率提升</v>
          </cell>
          <cell r="C486" t="str">
            <v>4|6|0.20|0|0</v>
          </cell>
        </row>
        <row r="487">
          <cell r="A487">
            <v>4422</v>
          </cell>
          <cell r="B487" t="str">
            <v>砺剑血刃-命中率提升（说明）</v>
          </cell>
          <cell r="C487" t="str">
            <v>4|6|0.30|0|1</v>
          </cell>
        </row>
        <row r="488">
          <cell r="A488">
            <v>4430</v>
          </cell>
          <cell r="B488" t="str">
            <v>旋风杀 一段</v>
          </cell>
          <cell r="C488" t="str">
            <v>2|1|0.42|0|0|0</v>
          </cell>
        </row>
        <row r="489">
          <cell r="A489">
            <v>4440</v>
          </cell>
          <cell r="B489" t="str">
            <v>被动_增加自身暴击率</v>
          </cell>
          <cell r="C489" t="str">
            <v>4|8|0.12|0|0</v>
          </cell>
        </row>
        <row r="490">
          <cell r="A490">
            <v>4441</v>
          </cell>
          <cell r="B490" t="str">
            <v>被动_增加自身暴击率   说明</v>
          </cell>
          <cell r="C490" t="str">
            <v>4|8|0.12|0|1</v>
          </cell>
        </row>
        <row r="491">
          <cell r="A491">
            <v>4450</v>
          </cell>
          <cell r="B491" t="str">
            <v>滞空连斩_一段</v>
          </cell>
          <cell r="C491" t="str">
            <v>2|1|0.75|0|0|0</v>
          </cell>
        </row>
        <row r="492">
          <cell r="A492">
            <v>4460</v>
          </cell>
          <cell r="B492" t="str">
            <v>玉面夫人</v>
          </cell>
          <cell r="C492" t="str">
            <v>1|1|1|0|0|0</v>
          </cell>
        </row>
        <row r="493">
          <cell r="A493">
            <v>4470</v>
          </cell>
          <cell r="B493" t="str">
            <v>急速飞剑一段</v>
          </cell>
          <cell r="C493" t="str">
            <v>2|1|0.61|0|0|0</v>
          </cell>
        </row>
        <row r="494">
          <cell r="A494">
            <v>4480</v>
          </cell>
          <cell r="B494" t="str">
            <v>震裂箭</v>
          </cell>
          <cell r="C494" t="str">
            <v>2|1|1.84|0|0|0</v>
          </cell>
        </row>
        <row r="495">
          <cell r="A495">
            <v>4490</v>
          </cell>
          <cell r="B495" t="str">
            <v>被动_增加自身闪避</v>
          </cell>
          <cell r="C495" t="str">
            <v>4|7|0.12|0|0</v>
          </cell>
        </row>
        <row r="496">
          <cell r="A496">
            <v>4491</v>
          </cell>
          <cell r="B496" t="str">
            <v>被动_增加自身闪避   说明</v>
          </cell>
          <cell r="C496" t="str">
            <v>4|7|0.12|0|1</v>
          </cell>
        </row>
        <row r="497">
          <cell r="A497">
            <v>4500</v>
          </cell>
          <cell r="B497" t="str">
            <v>聚能一箭</v>
          </cell>
          <cell r="C497" t="str">
            <v>2|1|3.15|0|0|0</v>
          </cell>
        </row>
        <row r="498">
          <cell r="A498">
            <v>4510</v>
          </cell>
          <cell r="B498" t="str">
            <v>地藏王</v>
          </cell>
          <cell r="C498" t="str">
            <v>1|2|1|0|0|0</v>
          </cell>
        </row>
        <row r="499">
          <cell r="A499">
            <v>4520</v>
          </cell>
          <cell r="B499" t="str">
            <v>金刚护体</v>
          </cell>
          <cell r="C499" t="str">
            <v>4|4|0.8|0|1</v>
          </cell>
        </row>
        <row r="500">
          <cell r="A500">
            <v>4521</v>
          </cell>
          <cell r="B500" t="str">
            <v>金刚护体</v>
          </cell>
          <cell r="C500" t="str">
            <v>4|5|0.8|0|1</v>
          </cell>
        </row>
        <row r="501">
          <cell r="A501">
            <v>4530</v>
          </cell>
          <cell r="B501" t="str">
            <v>地涌金莲</v>
          </cell>
          <cell r="C501" t="str">
            <v>3|1|1.73|0</v>
          </cell>
        </row>
        <row r="502">
          <cell r="A502">
            <v>4540</v>
          </cell>
          <cell r="B502" t="str">
            <v>被动_增加全体血量上限</v>
          </cell>
          <cell r="C502" t="str">
            <v>4|16|0.06|0|1</v>
          </cell>
        </row>
        <row r="503">
          <cell r="A503">
            <v>4550</v>
          </cell>
          <cell r="B503" t="str">
            <v>梵音咒</v>
          </cell>
          <cell r="C503" t="str">
            <v>2|2|1.89|0|0|0</v>
          </cell>
        </row>
        <row r="504">
          <cell r="A504">
            <v>4551</v>
          </cell>
          <cell r="B504" t="str">
            <v>梵音咒——减攻击力</v>
          </cell>
          <cell r="C504" t="str">
            <v>4|3|-0.10|0|1</v>
          </cell>
        </row>
        <row r="505">
          <cell r="A505">
            <v>4552</v>
          </cell>
          <cell r="B505" t="str">
            <v>梵音咒——减攻击力（说明）</v>
          </cell>
          <cell r="C505" t="str">
            <v>4|3|0.10|0|1</v>
          </cell>
        </row>
        <row r="506">
          <cell r="A506">
            <v>4560</v>
          </cell>
          <cell r="B506" t="str">
            <v>蝎子精</v>
          </cell>
          <cell r="C506" t="str">
            <v>1|2|1|0|0|0</v>
          </cell>
        </row>
        <row r="507">
          <cell r="A507">
            <v>4570</v>
          </cell>
          <cell r="B507" t="str">
            <v>瘴气毒潭</v>
          </cell>
          <cell r="C507" t="str">
            <v>4|3|-0.30|0|1</v>
          </cell>
        </row>
        <row r="508">
          <cell r="A508">
            <v>4574</v>
          </cell>
          <cell r="B508" t="str">
            <v>瘴气毒潭说明</v>
          </cell>
          <cell r="C508" t="str">
            <v>4|3|0.30|0|1</v>
          </cell>
        </row>
        <row r="509">
          <cell r="A509">
            <v>4580</v>
          </cell>
          <cell r="B509" t="str">
            <v>彩云归</v>
          </cell>
          <cell r="C509" t="str">
            <v>2|2|2.14|0|0|0</v>
          </cell>
        </row>
        <row r="510">
          <cell r="A510">
            <v>4590</v>
          </cell>
          <cell r="B510" t="str">
            <v xml:space="preserve">被动_增加自身攻击 </v>
          </cell>
          <cell r="C510" t="str">
            <v>4|3|0.15|0|1</v>
          </cell>
        </row>
        <row r="511">
          <cell r="A511">
            <v>4591</v>
          </cell>
          <cell r="B511" t="str">
            <v>被动_增加自身攻击   说明</v>
          </cell>
          <cell r="C511" t="str">
            <v>4|3|0.15|0|1</v>
          </cell>
        </row>
        <row r="512">
          <cell r="A512">
            <v>4600</v>
          </cell>
          <cell r="B512" t="str">
            <v>如梦令一段</v>
          </cell>
          <cell r="C512" t="str">
            <v>2|2|2|0|0|0</v>
          </cell>
        </row>
        <row r="513">
          <cell r="A513">
            <v>4601</v>
          </cell>
          <cell r="B513" t="str">
            <v>蝎子精技能4中毒</v>
          </cell>
          <cell r="C513" t="str">
            <v>4|1|-0.015|0|1</v>
          </cell>
        </row>
        <row r="514">
          <cell r="A514">
            <v>4602</v>
          </cell>
          <cell r="B514" t="str">
            <v>蝎子精技能4中毒 说明</v>
          </cell>
          <cell r="C514" t="str">
            <v>4|1|0.015|0|1</v>
          </cell>
        </row>
        <row r="515">
          <cell r="A515">
            <v>4660</v>
          </cell>
          <cell r="B515" t="str">
            <v>白龙公主</v>
          </cell>
          <cell r="C515" t="str">
            <v>1|2|1|0|0|0</v>
          </cell>
        </row>
        <row r="516">
          <cell r="A516">
            <v>4670</v>
          </cell>
          <cell r="B516" t="str">
            <v>圣光水域</v>
          </cell>
          <cell r="C516" t="str">
            <v>3|1|0.73|0</v>
          </cell>
        </row>
        <row r="517">
          <cell r="A517">
            <v>4680</v>
          </cell>
          <cell r="B517" t="str">
            <v>冰甲护体</v>
          </cell>
          <cell r="C517" t="str">
            <v>4|4|0.5|0|1</v>
          </cell>
        </row>
        <row r="518">
          <cell r="A518">
            <v>4681</v>
          </cell>
          <cell r="B518" t="str">
            <v>提升魔法防御力</v>
          </cell>
          <cell r="C518" t="str">
            <v>4|4|0.5|0|1</v>
          </cell>
        </row>
        <row r="519">
          <cell r="A519">
            <v>4682</v>
          </cell>
          <cell r="B519" t="str">
            <v>提升物理防御力</v>
          </cell>
          <cell r="C519" t="str">
            <v>4|5|0.5|0|1</v>
          </cell>
        </row>
        <row r="520">
          <cell r="A520">
            <v>4690</v>
          </cell>
          <cell r="B520" t="str">
            <v>被动_增加自身攻击力</v>
          </cell>
          <cell r="C520" t="str">
            <v>4|3|0.12|0|1</v>
          </cell>
        </row>
        <row r="521">
          <cell r="A521">
            <v>4700</v>
          </cell>
          <cell r="B521" t="str">
            <v>白龙公主技能2</v>
          </cell>
          <cell r="C521" t="str">
            <v>2|2|2.36|0|0|0</v>
          </cell>
        </row>
        <row r="522">
          <cell r="A522">
            <v>4710</v>
          </cell>
          <cell r="B522" t="str">
            <v>黑鬼使</v>
          </cell>
          <cell r="C522" t="str">
            <v>1|2|1|0|0|0</v>
          </cell>
        </row>
        <row r="523">
          <cell r="A523">
            <v>4720</v>
          </cell>
          <cell r="B523" t="str">
            <v>黑鬼使核心技能—攻速</v>
          </cell>
          <cell r="C523" t="str">
            <v>4|13|0.10|0|1</v>
          </cell>
        </row>
        <row r="524">
          <cell r="A524">
            <v>4721</v>
          </cell>
          <cell r="B524" t="str">
            <v>黑鬼使核心技能—暴击</v>
          </cell>
          <cell r="C524" t="str">
            <v>4|8|0.20|0|0</v>
          </cell>
        </row>
        <row r="525">
          <cell r="A525">
            <v>4722</v>
          </cell>
          <cell r="B525" t="str">
            <v>黑鬼使核心技能—暴击(说明)</v>
          </cell>
          <cell r="C525" t="str">
            <v>4|8|0.20|0|1</v>
          </cell>
        </row>
        <row r="526">
          <cell r="A526">
            <v>4730</v>
          </cell>
          <cell r="B526" t="str">
            <v>黑鬼使技能1</v>
          </cell>
          <cell r="C526" t="str">
            <v>2|2|4.08|0|0|0</v>
          </cell>
        </row>
        <row r="527">
          <cell r="A527">
            <v>4740</v>
          </cell>
          <cell r="B527" t="str">
            <v>黑鬼使被动—吸血</v>
          </cell>
          <cell r="C527" t="str">
            <v>4|1|0.06|0|1</v>
          </cell>
        </row>
        <row r="528">
          <cell r="A528">
            <v>4750</v>
          </cell>
          <cell r="B528" t="str">
            <v>黑鬼使技能2</v>
          </cell>
          <cell r="C528" t="str">
            <v>2|2|2.63|0|0|0</v>
          </cell>
        </row>
        <row r="529">
          <cell r="A529">
            <v>5010</v>
          </cell>
          <cell r="B529" t="str">
            <v>物理</v>
          </cell>
          <cell r="C529" t="str">
            <v>1|1|1|0|0|0</v>
          </cell>
        </row>
        <row r="530">
          <cell r="A530">
            <v>5011</v>
          </cell>
          <cell r="B530" t="str">
            <v>物理二段</v>
          </cell>
          <cell r="C530" t="str">
            <v>1|1|1|0|0|0</v>
          </cell>
        </row>
        <row r="531">
          <cell r="A531">
            <v>5020</v>
          </cell>
          <cell r="B531" t="str">
            <v>魔法</v>
          </cell>
          <cell r="C531" t="str">
            <v>1|2|1|0|0|0</v>
          </cell>
        </row>
        <row r="532">
          <cell r="A532">
            <v>5030</v>
          </cell>
          <cell r="B532" t="str">
            <v>狮人横扫</v>
          </cell>
          <cell r="C532" t="str">
            <v>2|1|1.4|0|0|0</v>
          </cell>
        </row>
        <row r="533">
          <cell r="A533">
            <v>5050</v>
          </cell>
          <cell r="B533" t="str">
            <v>黑熊精</v>
          </cell>
          <cell r="C533" t="str">
            <v>2|1|0.4|0|0|0</v>
          </cell>
        </row>
        <row r="534">
          <cell r="A534">
            <v>5080</v>
          </cell>
          <cell r="B534" t="str">
            <v>石头人</v>
          </cell>
          <cell r="C534" t="str">
            <v>2|1|0.5|0|0|0</v>
          </cell>
        </row>
        <row r="535">
          <cell r="A535">
            <v>5110</v>
          </cell>
          <cell r="B535" t="str">
            <v>大蟒精</v>
          </cell>
          <cell r="C535" t="str">
            <v>2|1|1.4|0|0|0</v>
          </cell>
        </row>
        <row r="536">
          <cell r="A536">
            <v>5120</v>
          </cell>
          <cell r="B536" t="str">
            <v>狐美人</v>
          </cell>
          <cell r="C536" t="str">
            <v>2|2|0.5|0|0|0</v>
          </cell>
        </row>
        <row r="537">
          <cell r="A537">
            <v>5130</v>
          </cell>
          <cell r="B537" t="str">
            <v>鲛人</v>
          </cell>
          <cell r="C537" t="str">
            <v>4|3|0.20|0|1</v>
          </cell>
        </row>
        <row r="538">
          <cell r="A538">
            <v>5150</v>
          </cell>
          <cell r="B538" t="str">
            <v>琴仙</v>
          </cell>
          <cell r="C538" t="str">
            <v>2|2|1.4|0|0|0</v>
          </cell>
        </row>
        <row r="539">
          <cell r="A539">
            <v>5160</v>
          </cell>
          <cell r="B539" t="str">
            <v>天将</v>
          </cell>
          <cell r="C539" t="str">
            <v>2|1|1.4|0|0|0</v>
          </cell>
        </row>
        <row r="540">
          <cell r="A540">
            <v>5510</v>
          </cell>
          <cell r="B540" t="str">
            <v>急速飞剑一段</v>
          </cell>
          <cell r="C540" t="str">
            <v>2|1|0.35|0|0|0</v>
          </cell>
        </row>
        <row r="541">
          <cell r="A541">
            <v>5520</v>
          </cell>
          <cell r="B541" t="str">
            <v>剑气</v>
          </cell>
          <cell r="C541" t="str">
            <v>2|1|2.1|0|0|0</v>
          </cell>
        </row>
        <row r="542">
          <cell r="A542">
            <v>5530</v>
          </cell>
          <cell r="B542" t="str">
            <v>砺剑血刃-攻击提升</v>
          </cell>
          <cell r="C542" t="str">
            <v>4|3|0.15|0|1</v>
          </cell>
        </row>
        <row r="543">
          <cell r="A543">
            <v>5531</v>
          </cell>
          <cell r="B543" t="str">
            <v>砺剑血刃-命中提升</v>
          </cell>
          <cell r="C543" t="str">
            <v>4|6|0.15|0|0</v>
          </cell>
        </row>
        <row r="544">
          <cell r="A544">
            <v>5540</v>
          </cell>
          <cell r="B544" t="str">
            <v>重锤</v>
          </cell>
          <cell r="C544" t="str">
            <v>2|1|2.1|0|0|0</v>
          </cell>
        </row>
        <row r="545">
          <cell r="A545">
            <v>5550</v>
          </cell>
          <cell r="B545" t="str">
            <v>金刚护体-物理防御提升</v>
          </cell>
          <cell r="C545" t="str">
            <v>4|4|0.4|0|1</v>
          </cell>
        </row>
        <row r="546">
          <cell r="A546">
            <v>5551</v>
          </cell>
          <cell r="B546" t="str">
            <v>金刚护体-魔法防御提升</v>
          </cell>
          <cell r="C546" t="str">
            <v>4|5|0.4|0|1</v>
          </cell>
        </row>
        <row r="547">
          <cell r="A547">
            <v>5610</v>
          </cell>
          <cell r="B547" t="str">
            <v>毒箭雨</v>
          </cell>
          <cell r="C547" t="str">
            <v>2|2|0.4|0|0|0</v>
          </cell>
        </row>
        <row r="548">
          <cell r="A548">
            <v>5620</v>
          </cell>
          <cell r="B548" t="str">
            <v>仙灵祝福</v>
          </cell>
          <cell r="C548" t="str">
            <v>4|12|0.4|0|1</v>
          </cell>
        </row>
        <row r="549">
          <cell r="A549">
            <v>5630</v>
          </cell>
          <cell r="B549" t="str">
            <v>瘴气毒潭</v>
          </cell>
          <cell r="C549" t="str">
            <v>2|1|0.35|0|0|0</v>
          </cell>
        </row>
        <row r="550">
          <cell r="A550">
            <v>5640</v>
          </cell>
          <cell r="B550" t="str">
            <v>鹰眼-命中提升</v>
          </cell>
          <cell r="C550" t="str">
            <v>4|6|0.20|0|0</v>
          </cell>
        </row>
        <row r="551">
          <cell r="A551">
            <v>5641</v>
          </cell>
          <cell r="B551" t="str">
            <v>鹰眼-暴击提升</v>
          </cell>
          <cell r="C551" t="str">
            <v>4|8|0.20|0|0</v>
          </cell>
        </row>
        <row r="552">
          <cell r="A552">
            <v>5650</v>
          </cell>
          <cell r="B552" t="str">
            <v>毒池</v>
          </cell>
          <cell r="C552" t="str">
            <v>2|2|0.35|0|0|0</v>
          </cell>
        </row>
        <row r="553">
          <cell r="A553">
            <v>5710</v>
          </cell>
          <cell r="B553" t="str">
            <v>暴风雪</v>
          </cell>
          <cell r="C553" t="str">
            <v>2|2|2.1|0|0|0</v>
          </cell>
        </row>
        <row r="554">
          <cell r="A554">
            <v>5720</v>
          </cell>
          <cell r="B554" t="str">
            <v>冰爆</v>
          </cell>
          <cell r="C554" t="str">
            <v>2|1|2.1|0|0|0</v>
          </cell>
        </row>
        <row r="555">
          <cell r="A555">
            <v>5730</v>
          </cell>
          <cell r="B555" t="str">
            <v>水炮发射</v>
          </cell>
          <cell r="C555" t="str">
            <v>2|1|2.1|0|0|0</v>
          </cell>
        </row>
        <row r="556">
          <cell r="A556">
            <v>5740</v>
          </cell>
          <cell r="B556" t="str">
            <v>圣光水域</v>
          </cell>
          <cell r="C556" t="str">
            <v>3|1|1.2|0</v>
          </cell>
        </row>
        <row r="557">
          <cell r="A557">
            <v>5750</v>
          </cell>
          <cell r="B557" t="str">
            <v>水雾侵蚀_虚弱目标命中率</v>
          </cell>
          <cell r="C557" t="str">
            <v>4|6|-0.08|0|0</v>
          </cell>
        </row>
        <row r="558">
          <cell r="A558">
            <v>5751</v>
          </cell>
          <cell r="B558" t="str">
            <v>水雾侵蚀_虚弱目标物理防御</v>
          </cell>
          <cell r="C558" t="str">
            <v>4|4|-0.2|0|1</v>
          </cell>
        </row>
        <row r="559">
          <cell r="A559">
            <v>5752</v>
          </cell>
          <cell r="B559" t="str">
            <v>水雾侵蚀_虚弱目标魔法防御</v>
          </cell>
          <cell r="C559" t="str">
            <v>4|5|-0.2|0|1</v>
          </cell>
        </row>
        <row r="560">
          <cell r="A560">
            <v>5753</v>
          </cell>
          <cell r="B560" t="str">
            <v>水雾侵蚀_虚弱目标命中率（说明）</v>
          </cell>
          <cell r="C560" t="str">
            <v>4|6|0.08|0|1</v>
          </cell>
        </row>
        <row r="561">
          <cell r="A561">
            <v>5754</v>
          </cell>
          <cell r="B561" t="str">
            <v>水雾侵蚀_虚弱目标魔法防御（说明）</v>
          </cell>
          <cell r="C561" t="str">
            <v>4|5|0.2|0|1</v>
          </cell>
        </row>
        <row r="562">
          <cell r="A562">
            <v>5810</v>
          </cell>
          <cell r="B562" t="str">
            <v>火鸟</v>
          </cell>
          <cell r="C562" t="str">
            <v>2|2|2.1|0|0|0</v>
          </cell>
        </row>
        <row r="563">
          <cell r="A563">
            <v>5820</v>
          </cell>
          <cell r="B563" t="str">
            <v>火球炸弹</v>
          </cell>
          <cell r="C563" t="str">
            <v>2|2|2.1|0|0|0</v>
          </cell>
        </row>
        <row r="564">
          <cell r="A564">
            <v>5830</v>
          </cell>
          <cell r="B564" t="str">
            <v>热血爆发-攻击提升</v>
          </cell>
          <cell r="C564" t="str">
            <v>4|3|0.1|0|1</v>
          </cell>
        </row>
        <row r="565">
          <cell r="A565">
            <v>5831</v>
          </cell>
          <cell r="B565" t="str">
            <v>热血爆发-攻速提升</v>
          </cell>
          <cell r="C565" t="str">
            <v>4|13|0.1|0|1</v>
          </cell>
        </row>
        <row r="566">
          <cell r="A566">
            <v>5840</v>
          </cell>
          <cell r="B566" t="str">
            <v>地狱火海</v>
          </cell>
          <cell r="C566" t="str">
            <v>2|2|0.35|0|0|0</v>
          </cell>
        </row>
        <row r="567">
          <cell r="A567">
            <v>5910</v>
          </cell>
          <cell r="B567" t="str">
            <v>地裂突袭</v>
          </cell>
          <cell r="C567" t="str">
            <v>2|1|2.1|0|0|0</v>
          </cell>
        </row>
        <row r="568">
          <cell r="A568">
            <v>5920</v>
          </cell>
          <cell r="B568" t="str">
            <v>飞沙走石</v>
          </cell>
          <cell r="C568" t="str">
            <v>2|1|0.35|0|0|0</v>
          </cell>
        </row>
        <row r="569">
          <cell r="A569">
            <v>5930</v>
          </cell>
          <cell r="B569" t="str">
            <v>泰山压顶</v>
          </cell>
          <cell r="C569" t="str">
            <v>2|1|2.1|0|0|0</v>
          </cell>
        </row>
        <row r="570">
          <cell r="A570">
            <v>5940</v>
          </cell>
          <cell r="B570" t="str">
            <v>土墙防护</v>
          </cell>
          <cell r="C570" t="str">
            <v>4|10|0.2|0|0</v>
          </cell>
        </row>
        <row r="571">
          <cell r="A571">
            <v>5950</v>
          </cell>
          <cell r="B571" t="str">
            <v>雷击</v>
          </cell>
          <cell r="C571" t="str">
            <v>2|2|0.7|0|0|0</v>
          </cell>
        </row>
        <row r="572">
          <cell r="A572">
            <v>6010</v>
          </cell>
          <cell r="B572" t="str">
            <v>马面</v>
          </cell>
          <cell r="C572" t="str">
            <v>1|1|1|0|0|0</v>
          </cell>
        </row>
        <row r="573">
          <cell r="A573">
            <v>6020</v>
          </cell>
          <cell r="B573" t="str">
            <v>马面核心技能——攻速</v>
          </cell>
          <cell r="C573" t="str">
            <v>4|13|0.2|0|1</v>
          </cell>
        </row>
        <row r="574">
          <cell r="A574">
            <v>6030</v>
          </cell>
          <cell r="B574" t="str">
            <v>马面技能1</v>
          </cell>
          <cell r="C574" t="str">
            <v>2|1|0.5|0|0|0</v>
          </cell>
        </row>
        <row r="575">
          <cell r="A575">
            <v>6040</v>
          </cell>
          <cell r="B575" t="str">
            <v>马面被动——攻速</v>
          </cell>
          <cell r="C575" t="str">
            <v>4|13|0.12|0|1</v>
          </cell>
        </row>
        <row r="576">
          <cell r="A576">
            <v>6050</v>
          </cell>
          <cell r="B576" t="str">
            <v>马面技能2</v>
          </cell>
          <cell r="C576" t="str">
            <v>2|1|3.8|0|0|0</v>
          </cell>
        </row>
        <row r="577">
          <cell r="A577">
            <v>6060</v>
          </cell>
          <cell r="B577" t="str">
            <v>阎罗王</v>
          </cell>
          <cell r="C577" t="str">
            <v>1|2|1|0|0|0</v>
          </cell>
        </row>
        <row r="578">
          <cell r="A578">
            <v>6070</v>
          </cell>
          <cell r="B578" t="str">
            <v>阎罗王核心技能</v>
          </cell>
          <cell r="C578" t="str">
            <v>2|2|3.88|0|0|0</v>
          </cell>
        </row>
        <row r="579">
          <cell r="A579">
            <v>6080</v>
          </cell>
          <cell r="B579" t="str">
            <v>阎罗王技能2</v>
          </cell>
          <cell r="C579" t="str">
            <v>2|2|2.3|0|0|0</v>
          </cell>
        </row>
        <row r="580">
          <cell r="A580">
            <v>6090</v>
          </cell>
          <cell r="B580" t="str">
            <v>阎罗王技能3</v>
          </cell>
          <cell r="C580" t="str">
            <v>4|3|0.15|0|1</v>
          </cell>
        </row>
        <row r="581">
          <cell r="A581">
            <v>6100</v>
          </cell>
          <cell r="B581" t="str">
            <v>阎罗王技能4</v>
          </cell>
          <cell r="C581" t="str">
            <v>2|2|2.77|0|0|0</v>
          </cell>
        </row>
        <row r="582">
          <cell r="A582">
            <v>6101</v>
          </cell>
          <cell r="B582" t="str">
            <v>阎罗王技能4—减魔防—特殊处理的buff</v>
          </cell>
          <cell r="C582" t="str">
            <v>4|5|-0.3|0|1</v>
          </cell>
        </row>
        <row r="583">
          <cell r="A583">
            <v>6102</v>
          </cell>
          <cell r="B583" t="str">
            <v>阎罗王技能4—减魔防——说明</v>
          </cell>
          <cell r="C583" t="str">
            <v>4|5|0.3|0|1</v>
          </cell>
        </row>
        <row r="584">
          <cell r="A584">
            <v>6110</v>
          </cell>
          <cell r="B584" t="str">
            <v>引魂仙子</v>
          </cell>
          <cell r="C584" t="str">
            <v>1|2|1|0|0|0</v>
          </cell>
        </row>
        <row r="585">
          <cell r="A585">
            <v>6120</v>
          </cell>
          <cell r="B585" t="str">
            <v>引魂仙子核心技能</v>
          </cell>
          <cell r="C585" t="str">
            <v>3|1|0.39|0</v>
          </cell>
        </row>
        <row r="586">
          <cell r="A586">
            <v>6130</v>
          </cell>
          <cell r="B586" t="str">
            <v>引魂仙子技能2</v>
          </cell>
          <cell r="C586" t="str">
            <v>2|2|2.19|0|0|0</v>
          </cell>
        </row>
        <row r="587">
          <cell r="A587">
            <v>6140</v>
          </cell>
          <cell r="B587" t="str">
            <v>引魂仙子被动—加物防</v>
          </cell>
          <cell r="C587" t="str">
            <v>4|4|0.07|0|1</v>
          </cell>
        </row>
        <row r="588">
          <cell r="A588">
            <v>6141</v>
          </cell>
          <cell r="B588" t="str">
            <v>引魂仙子被动—加魔防</v>
          </cell>
          <cell r="C588" t="str">
            <v>4|5|0.07|0|1</v>
          </cell>
        </row>
        <row r="589">
          <cell r="A589">
            <v>6150</v>
          </cell>
          <cell r="B589" t="str">
            <v>引魂仙子技能4</v>
          </cell>
          <cell r="C589" t="str">
            <v>2|2|0.4|0|0|0</v>
          </cell>
        </row>
        <row r="590">
          <cell r="A590">
            <v>6160</v>
          </cell>
          <cell r="B590" t="str">
            <v>白无常</v>
          </cell>
          <cell r="C590" t="str">
            <v>1|2|1|0|0|0</v>
          </cell>
        </row>
        <row r="591">
          <cell r="A591">
            <v>6170</v>
          </cell>
          <cell r="B591" t="str">
            <v>白无常核心技能</v>
          </cell>
          <cell r="C591" t="str">
            <v>2|2|3.28|0|0|0</v>
          </cell>
        </row>
        <row r="592">
          <cell r="A592">
            <v>6171</v>
          </cell>
          <cell r="B592" t="str">
            <v>白无常核心技能 中毒</v>
          </cell>
          <cell r="C592" t="str">
            <v>4|1|-0.015|0|1</v>
          </cell>
        </row>
        <row r="593">
          <cell r="A593">
            <v>6172</v>
          </cell>
          <cell r="B593" t="str">
            <v>白无常核心技能 中毒 说明</v>
          </cell>
          <cell r="C593" t="str">
            <v>4|1|0.015|0|1</v>
          </cell>
        </row>
        <row r="594">
          <cell r="A594">
            <v>6180</v>
          </cell>
          <cell r="B594" t="str">
            <v>白无常技能2</v>
          </cell>
          <cell r="C594" t="str">
            <v>2|2|2.9|0|0|0</v>
          </cell>
        </row>
        <row r="595">
          <cell r="A595">
            <v>6190</v>
          </cell>
          <cell r="B595" t="str">
            <v>白无常被动</v>
          </cell>
          <cell r="C595" t="str">
            <v>4|3|0.07|0|1</v>
          </cell>
        </row>
        <row r="596">
          <cell r="A596">
            <v>6200</v>
          </cell>
          <cell r="B596" t="str">
            <v>白无常技能4</v>
          </cell>
          <cell r="C596" t="str">
            <v>2|2|3.8|0|0|0</v>
          </cell>
        </row>
        <row r="597">
          <cell r="A597">
            <v>6201</v>
          </cell>
          <cell r="B597" t="str">
            <v>白无常技能4_减攻速</v>
          </cell>
          <cell r="C597" t="str">
            <v>4|13|-0.1|0|1</v>
          </cell>
        </row>
        <row r="598">
          <cell r="A598">
            <v>6202</v>
          </cell>
          <cell r="B598" t="str">
            <v>白无常技能4_减攻速（说明）</v>
          </cell>
          <cell r="C598" t="str">
            <v>4|13|0.1|0|1</v>
          </cell>
        </row>
        <row r="599">
          <cell r="A599">
            <v>6210</v>
          </cell>
          <cell r="B599" t="str">
            <v>黑无常</v>
          </cell>
          <cell r="C599" t="str">
            <v>1|2|1|0|0|0</v>
          </cell>
        </row>
        <row r="600">
          <cell r="A600">
            <v>6220</v>
          </cell>
          <cell r="B600" t="str">
            <v>黑无常核心技能攻速</v>
          </cell>
          <cell r="C600" t="str">
            <v>4|13|0.25|0|1</v>
          </cell>
        </row>
        <row r="601">
          <cell r="A601">
            <v>6221</v>
          </cell>
          <cell r="B601" t="str">
            <v>黑无常核心技能加攻</v>
          </cell>
          <cell r="C601" t="str">
            <v>4|3|0.25|0|1</v>
          </cell>
        </row>
        <row r="602">
          <cell r="A602">
            <v>6222</v>
          </cell>
          <cell r="B602" t="str">
            <v>黑无常核心技能 buff时间说明</v>
          </cell>
          <cell r="C602" t="str">
            <v>4|13|5|0|0</v>
          </cell>
        </row>
        <row r="603">
          <cell r="A603">
            <v>6230</v>
          </cell>
          <cell r="B603" t="str">
            <v>黑无常技能2</v>
          </cell>
          <cell r="C603" t="str">
            <v>2|1|2.9|0|0|0</v>
          </cell>
        </row>
        <row r="604">
          <cell r="A604">
            <v>6231</v>
          </cell>
          <cell r="B604" t="str">
            <v>黑无常技能2 攻速</v>
          </cell>
          <cell r="C604" t="str">
            <v>4|13|0.1|0|1</v>
          </cell>
        </row>
        <row r="605">
          <cell r="A605">
            <v>6232</v>
          </cell>
          <cell r="B605" t="str">
            <v>黑无常技能2 攻速 时间说明</v>
          </cell>
          <cell r="C605" t="str">
            <v>4|13|4|0|0</v>
          </cell>
        </row>
        <row r="606">
          <cell r="A606">
            <v>6240</v>
          </cell>
          <cell r="B606" t="str">
            <v>黑无常被动</v>
          </cell>
          <cell r="C606" t="str">
            <v>4|13|0.15|0|1</v>
          </cell>
        </row>
        <row r="607">
          <cell r="A607">
            <v>6250</v>
          </cell>
          <cell r="B607" t="str">
            <v>黑无常技能4</v>
          </cell>
          <cell r="C607" t="str">
            <v>2|1|0.8|0|0|0</v>
          </cell>
        </row>
        <row r="608">
          <cell r="A608">
            <v>6260</v>
          </cell>
          <cell r="B608" t="str">
            <v>人生娃普攻</v>
          </cell>
          <cell r="C608" t="str">
            <v>1|1|1|0|0|0</v>
          </cell>
        </row>
        <row r="609">
          <cell r="A609">
            <v>6270</v>
          </cell>
          <cell r="B609" t="str">
            <v>人生娃skill1核心</v>
          </cell>
          <cell r="C609" t="str">
            <v>3|1|1.86|0</v>
          </cell>
        </row>
        <row r="610">
          <cell r="A610">
            <v>6271</v>
          </cell>
          <cell r="B610" t="str">
            <v>人生娃skill1核心血盾</v>
          </cell>
          <cell r="C610" t="str">
            <v>4|1|0.2|0|1</v>
          </cell>
        </row>
        <row r="611">
          <cell r="A611">
            <v>6280</v>
          </cell>
          <cell r="B611" t="str">
            <v>人生娃skill2状态</v>
          </cell>
          <cell r="C611" t="str">
            <v>4|13|-0.3|0|1</v>
          </cell>
        </row>
        <row r="612">
          <cell r="A612">
            <v>6281</v>
          </cell>
          <cell r="B612" t="str">
            <v>人生娃skill2状态</v>
          </cell>
          <cell r="C612" t="str">
            <v>4|13|0.3|0|1</v>
          </cell>
        </row>
        <row r="613">
          <cell r="A613">
            <v>6290</v>
          </cell>
          <cell r="B613" t="str">
            <v>人生娃skill3被动吸血</v>
          </cell>
          <cell r="C613" t="str">
            <v>4|1|0.05|0|1</v>
          </cell>
        </row>
        <row r="614">
          <cell r="A614">
            <v>6300</v>
          </cell>
          <cell r="B614" t="str">
            <v>人生娃skill4波浪重锤</v>
          </cell>
          <cell r="C614" t="str">
            <v>2|1|1.65|0|0|0</v>
          </cell>
        </row>
        <row r="615">
          <cell r="A615">
            <v>6310</v>
          </cell>
          <cell r="B615" t="str">
            <v>女儿国国王普攻</v>
          </cell>
          <cell r="C615" t="str">
            <v>1|1|1|0|0|0</v>
          </cell>
        </row>
        <row r="616">
          <cell r="A616">
            <v>6320</v>
          </cell>
          <cell r="B616" t="str">
            <v>女儿国国王核心技能</v>
          </cell>
          <cell r="C616" t="str">
            <v>2|1|2.91|0|0|0</v>
          </cell>
        </row>
        <row r="617">
          <cell r="A617">
            <v>6330</v>
          </cell>
          <cell r="B617" t="str">
            <v>女儿国国王技能2</v>
          </cell>
          <cell r="C617" t="str">
            <v>2|1|1.01|0|0|0</v>
          </cell>
        </row>
        <row r="618">
          <cell r="A618">
            <v>6331</v>
          </cell>
          <cell r="B618" t="str">
            <v>女儿国国王技能2 魅惑时间说明</v>
          </cell>
          <cell r="C618" t="str">
            <v>4|4|3|0|0</v>
          </cell>
        </row>
        <row r="619">
          <cell r="A619">
            <v>6340</v>
          </cell>
          <cell r="B619" t="str">
            <v>女儿国国王被动增加自身物理防御</v>
          </cell>
          <cell r="C619" t="str">
            <v>4|4|0.2|0|1</v>
          </cell>
        </row>
        <row r="620">
          <cell r="A620">
            <v>6341</v>
          </cell>
          <cell r="B620" t="str">
            <v>女儿国国王被动增加自身魔法防御</v>
          </cell>
          <cell r="C620" t="str">
            <v>4|5|0.2|0|1</v>
          </cell>
        </row>
        <row r="621">
          <cell r="A621">
            <v>6350</v>
          </cell>
          <cell r="B621" t="str">
            <v>女儿国国王技能4</v>
          </cell>
          <cell r="C621" t="str">
            <v>2|1|0.45|0|0|0</v>
          </cell>
        </row>
        <row r="622">
          <cell r="A622">
            <v>6360</v>
          </cell>
          <cell r="B622" t="str">
            <v>彩蝶仙童普攻</v>
          </cell>
          <cell r="C622" t="str">
            <v>1|2|1|0|0|0</v>
          </cell>
        </row>
        <row r="623">
          <cell r="A623">
            <v>6370</v>
          </cell>
          <cell r="B623" t="str">
            <v>彩蝶仙童核心技能</v>
          </cell>
          <cell r="C623" t="str">
            <v>2|2|0.78|0|0|0</v>
          </cell>
        </row>
        <row r="624">
          <cell r="A624">
            <v>6371</v>
          </cell>
          <cell r="B624" t="str">
            <v>彩蝶仙童核心技能中毒</v>
          </cell>
          <cell r="C624" t="str">
            <v>4|1|-0.015|0|1</v>
          </cell>
        </row>
        <row r="625">
          <cell r="A625">
            <v>6380</v>
          </cell>
          <cell r="B625" t="str">
            <v>彩蝶仙童技能2</v>
          </cell>
          <cell r="C625" t="str">
            <v>2|2|2.97|0|0|0</v>
          </cell>
        </row>
        <row r="626">
          <cell r="A626">
            <v>6390</v>
          </cell>
          <cell r="B626" t="str">
            <v>彩蝶仙童被动</v>
          </cell>
          <cell r="C626" t="str">
            <v>4|13|0.07|0|1</v>
          </cell>
        </row>
        <row r="627">
          <cell r="A627">
            <v>6400</v>
          </cell>
          <cell r="B627" t="str">
            <v>彩蝶仙童技能4</v>
          </cell>
          <cell r="C627" t="str">
            <v>2|2|3.12|0|0|0</v>
          </cell>
        </row>
        <row r="628">
          <cell r="A628">
            <v>6410</v>
          </cell>
          <cell r="B628" t="str">
            <v>金蝉子普攻</v>
          </cell>
          <cell r="C628" t="str">
            <v>1|1|1|0|0|0</v>
          </cell>
        </row>
        <row r="629">
          <cell r="A629">
            <v>6420</v>
          </cell>
          <cell r="B629" t="str">
            <v>金蝉子核心技能 敌方减血</v>
          </cell>
          <cell r="C629" t="str">
            <v>4|1|-0.1|0|1</v>
          </cell>
        </row>
        <row r="630">
          <cell r="A630">
            <v>6421</v>
          </cell>
          <cell r="B630" t="str">
            <v>金蝉子核心技能 敌方减血 说明</v>
          </cell>
          <cell r="C630" t="str">
            <v>2|2|3.5|0|0|0</v>
          </cell>
        </row>
        <row r="631">
          <cell r="A631">
            <v>6422</v>
          </cell>
          <cell r="B631" t="str">
            <v xml:space="preserve">金蝉子核心技能 我方加血 </v>
          </cell>
          <cell r="C631" t="str">
            <v>4|1|0.1|0|1</v>
          </cell>
        </row>
        <row r="632">
          <cell r="A632">
            <v>6430</v>
          </cell>
          <cell r="B632" t="str">
            <v>金蝉子技能2</v>
          </cell>
          <cell r="C632" t="str">
            <v>2|2|1.85|0|0|0</v>
          </cell>
        </row>
        <row r="633">
          <cell r="A633">
            <v>6440</v>
          </cell>
          <cell r="B633" t="str">
            <v>金蝉子被动全体血量上升</v>
          </cell>
          <cell r="C633" t="str">
            <v>4|16|0.05|0|1</v>
          </cell>
        </row>
        <row r="634">
          <cell r="A634">
            <v>6441</v>
          </cell>
          <cell r="B634" t="str">
            <v>金蝉子被动全体防御上升</v>
          </cell>
          <cell r="C634" t="str">
            <v>4|4|0.05|0|1</v>
          </cell>
        </row>
        <row r="635">
          <cell r="A635">
            <v>6442</v>
          </cell>
          <cell r="B635" t="str">
            <v>金蝉子被动全体防御上升</v>
          </cell>
          <cell r="C635" t="str">
            <v>4|5|0.05|0|1</v>
          </cell>
        </row>
        <row r="636">
          <cell r="A636">
            <v>6450</v>
          </cell>
          <cell r="B636" t="str">
            <v>金蝉子技能4</v>
          </cell>
          <cell r="C636" t="str">
            <v>2|2|1.8|0|0|0</v>
          </cell>
        </row>
        <row r="637">
          <cell r="A637">
            <v>6460</v>
          </cell>
          <cell r="B637" t="str">
            <v>龙帝普攻</v>
          </cell>
          <cell r="C637" t="str">
            <v>1|2|1|0|0|0</v>
          </cell>
        </row>
        <row r="638">
          <cell r="A638">
            <v>6470</v>
          </cell>
          <cell r="B638" t="str">
            <v>龙帝核心技能</v>
          </cell>
          <cell r="C638" t="str">
            <v>2|2|3.07|0|0|0</v>
          </cell>
        </row>
        <row r="639">
          <cell r="A639">
            <v>6480</v>
          </cell>
          <cell r="B639" t="str">
            <v>龙帝技能2</v>
          </cell>
          <cell r="C639" t="str">
            <v>2|2|1.35|0|0|0</v>
          </cell>
        </row>
        <row r="640">
          <cell r="A640">
            <v>6490</v>
          </cell>
          <cell r="B640" t="str">
            <v>龙帝被动 说明</v>
          </cell>
          <cell r="C640" t="str">
            <v>4|1|0.1|0|1</v>
          </cell>
        </row>
        <row r="641">
          <cell r="A641">
            <v>6500</v>
          </cell>
          <cell r="B641" t="str">
            <v>龙帝技能4</v>
          </cell>
          <cell r="C641" t="str">
            <v>2|2|1.35|0|0|0</v>
          </cell>
        </row>
        <row r="642">
          <cell r="A642">
            <v>6501</v>
          </cell>
          <cell r="B642" t="str">
            <v>龙帝技能4 冰冻时间 说明</v>
          </cell>
          <cell r="C642" t="str">
            <v>4|4|1|0|1</v>
          </cell>
        </row>
        <row r="643">
          <cell r="A643">
            <v>6510</v>
          </cell>
          <cell r="B643" t="str">
            <v>善财童子普攻</v>
          </cell>
          <cell r="C643" t="str">
            <v>1|2|1|0|0|0</v>
          </cell>
        </row>
        <row r="644">
          <cell r="A644">
            <v>6520</v>
          </cell>
          <cell r="B644" t="str">
            <v>善财童子核心技能</v>
          </cell>
          <cell r="C644" t="str">
            <v>2|2|0.36|0|0|0</v>
          </cell>
        </row>
        <row r="645">
          <cell r="A645">
            <v>6530</v>
          </cell>
          <cell r="B645" t="str">
            <v>善财童子技能2</v>
          </cell>
          <cell r="C645" t="str">
            <v>4|1|1.06|0|1</v>
          </cell>
        </row>
        <row r="646">
          <cell r="A646">
            <v>6540</v>
          </cell>
          <cell r="B646" t="str">
            <v>善财童子被动</v>
          </cell>
          <cell r="C646" t="str">
            <v>4|1|0.3|0|1</v>
          </cell>
        </row>
        <row r="647">
          <cell r="A647">
            <v>6550</v>
          </cell>
          <cell r="B647" t="str">
            <v>善财童子技能4</v>
          </cell>
          <cell r="C647" t="str">
            <v>2|2|1.14|0|0|0</v>
          </cell>
        </row>
        <row r="648">
          <cell r="A648">
            <v>6560</v>
          </cell>
          <cell r="B648" t="str">
            <v>赛太岁普攻</v>
          </cell>
          <cell r="C648" t="str">
            <v>1|2|1|0|0|0</v>
          </cell>
        </row>
        <row r="649">
          <cell r="A649">
            <v>6570</v>
          </cell>
          <cell r="B649" t="str">
            <v>赛太岁核心技能</v>
          </cell>
          <cell r="C649" t="str">
            <v>2|2|0.46|0|0|0</v>
          </cell>
        </row>
        <row r="650">
          <cell r="A650">
            <v>6580</v>
          </cell>
          <cell r="B650" t="str">
            <v>赛太岁技能2</v>
          </cell>
          <cell r="C650" t="str">
            <v>2|2|1.5|0|0|0</v>
          </cell>
        </row>
        <row r="651">
          <cell r="A651">
            <v>6581</v>
          </cell>
          <cell r="B651" t="str">
            <v>赛太岁技能2减防</v>
          </cell>
          <cell r="C651" t="str">
            <v>4|4|-0.1|0|1</v>
          </cell>
        </row>
        <row r="652">
          <cell r="A652">
            <v>6582</v>
          </cell>
          <cell r="B652" t="str">
            <v>赛太岁技能2减防说明</v>
          </cell>
          <cell r="C652" t="str">
            <v>4|4|0.1|0|1</v>
          </cell>
        </row>
        <row r="653">
          <cell r="A653">
            <v>6590</v>
          </cell>
          <cell r="B653" t="str">
            <v>赛太岁被动攻速</v>
          </cell>
          <cell r="C653" t="str">
            <v>4|13|0.03|0|1</v>
          </cell>
        </row>
        <row r="654">
          <cell r="A654">
            <v>6600</v>
          </cell>
          <cell r="B654" t="str">
            <v>赛太岁技能4</v>
          </cell>
          <cell r="C654" t="str">
            <v>2|2|1.88|0|0|0</v>
          </cell>
        </row>
        <row r="655">
          <cell r="A655">
            <v>6610</v>
          </cell>
          <cell r="B655" t="str">
            <v>八部天龙普攻</v>
          </cell>
          <cell r="C655" t="str">
            <v>1|2|1|0|0|0</v>
          </cell>
        </row>
        <row r="656">
          <cell r="A656">
            <v>6620</v>
          </cell>
          <cell r="B656" t="str">
            <v>八部天龙核心</v>
          </cell>
          <cell r="C656" t="str">
            <v>2|2|3.07|0|0|0</v>
          </cell>
        </row>
        <row r="657">
          <cell r="A657">
            <v>6630</v>
          </cell>
          <cell r="B657" t="str">
            <v>八部天龙技能2</v>
          </cell>
          <cell r="C657" t="str">
            <v>2|2|2.62|0|0|0</v>
          </cell>
        </row>
        <row r="658">
          <cell r="A658">
            <v>6631</v>
          </cell>
          <cell r="B658" t="str">
            <v>八部天龙技能2减物防</v>
          </cell>
          <cell r="C658" t="str">
            <v>4|4|-0.15|0|1</v>
          </cell>
        </row>
        <row r="659">
          <cell r="A659">
            <v>6632</v>
          </cell>
          <cell r="B659" t="str">
            <v>八部天龙技能2减双防 说明</v>
          </cell>
          <cell r="C659" t="str">
            <v>4|4|0.15|0|1</v>
          </cell>
        </row>
        <row r="660">
          <cell r="A660">
            <v>6633</v>
          </cell>
          <cell r="B660" t="str">
            <v>八部天龙技能2减法防</v>
          </cell>
          <cell r="C660" t="str">
            <v>4|5|-0.15|0|1</v>
          </cell>
        </row>
        <row r="661">
          <cell r="A661">
            <v>6635</v>
          </cell>
          <cell r="B661" t="str">
            <v>八部天龙技能2时间说明</v>
          </cell>
          <cell r="C661" t="str">
            <v>4|5|3|0|1</v>
          </cell>
        </row>
        <row r="662">
          <cell r="A662">
            <v>6640</v>
          </cell>
          <cell r="B662" t="str">
            <v>八部天龙被动</v>
          </cell>
          <cell r="C662" t="str">
            <v>4|5|0.15|0|1</v>
          </cell>
        </row>
        <row r="663">
          <cell r="A663">
            <v>6650</v>
          </cell>
          <cell r="B663" t="str">
            <v>八部天龙技能4</v>
          </cell>
          <cell r="C663" t="str">
            <v>2|2|3.17|0|0|0</v>
          </cell>
        </row>
        <row r="664">
          <cell r="A664">
            <v>6660</v>
          </cell>
          <cell r="B664" t="str">
            <v>扇子精</v>
          </cell>
          <cell r="C664" t="str">
            <v>1|2|1|0|0|0</v>
          </cell>
        </row>
        <row r="665">
          <cell r="A665">
            <v>6670</v>
          </cell>
          <cell r="B665" t="str">
            <v>扇子精_核心技能（需改为百分比掉血）</v>
          </cell>
          <cell r="C665" t="str">
            <v>4|1|0.04|0|1</v>
          </cell>
        </row>
        <row r="666">
          <cell r="A666">
            <v>6671</v>
          </cell>
          <cell r="B666" t="str">
            <v>扇子精_核心技能（说明）</v>
          </cell>
          <cell r="C666" t="str">
            <v>2|2|0.5|0|1</v>
          </cell>
        </row>
        <row r="667">
          <cell r="A667">
            <v>6680</v>
          </cell>
          <cell r="B667" t="str">
            <v>扇子精_技能1</v>
          </cell>
          <cell r="C667" t="str">
            <v>2|2|2.4|0|0|0</v>
          </cell>
        </row>
        <row r="668">
          <cell r="A668">
            <v>6681</v>
          </cell>
          <cell r="B668" t="str">
            <v>扇子精技能1_削弱物理防御</v>
          </cell>
          <cell r="C668" t="str">
            <v>4|4|-0.2|0|1</v>
          </cell>
        </row>
        <row r="669">
          <cell r="A669">
            <v>6682</v>
          </cell>
          <cell r="B669" t="str">
            <v>扇子精技能1 _削弱魔法防御</v>
          </cell>
          <cell r="C669" t="str">
            <v>4|5|-0.2|0|1</v>
          </cell>
        </row>
        <row r="670">
          <cell r="A670">
            <v>6683</v>
          </cell>
          <cell r="B670" t="str">
            <v>扇子精技能1 _削弱魔法防御 说明</v>
          </cell>
          <cell r="C670" t="str">
            <v>4|5|0.2|0|1</v>
          </cell>
        </row>
        <row r="671">
          <cell r="A671">
            <v>6690</v>
          </cell>
          <cell r="B671" t="str">
            <v>扇子精被动_增加全体生命上限</v>
          </cell>
          <cell r="C671" t="str">
            <v>4|16|0.07|0|1</v>
          </cell>
        </row>
        <row r="672">
          <cell r="A672">
            <v>6700</v>
          </cell>
          <cell r="B672" t="str">
            <v>扇子精技能2</v>
          </cell>
          <cell r="C672" t="str">
            <v>2|2|2.87|0|0|0</v>
          </cell>
        </row>
        <row r="673">
          <cell r="A673">
            <v>6710</v>
          </cell>
          <cell r="B673" t="str">
            <v>观世音普攻</v>
          </cell>
          <cell r="C673" t="str">
            <v>1|2|1|0|0|0</v>
          </cell>
        </row>
        <row r="674">
          <cell r="A674">
            <v>6720</v>
          </cell>
          <cell r="B674" t="str">
            <v>观世音核心技能 加血</v>
          </cell>
          <cell r="C674" t="str">
            <v>3|1|2.2|0</v>
          </cell>
        </row>
        <row r="675">
          <cell r="A675">
            <v>6721</v>
          </cell>
          <cell r="B675" t="str">
            <v>观世音核心技能 血盾 说明</v>
          </cell>
          <cell r="C675" t="str">
            <v>4|16|0.30|0|1</v>
          </cell>
        </row>
        <row r="676">
          <cell r="A676">
            <v>6730</v>
          </cell>
          <cell r="B676" t="str">
            <v>观世音技能2</v>
          </cell>
          <cell r="C676" t="str">
            <v>3|1|1.5|0</v>
          </cell>
        </row>
        <row r="677">
          <cell r="A677">
            <v>6740</v>
          </cell>
          <cell r="B677" t="str">
            <v>观世音被动</v>
          </cell>
          <cell r="C677" t="str">
            <v>4|5|0.15|0|1</v>
          </cell>
        </row>
        <row r="678">
          <cell r="A678">
            <v>6750</v>
          </cell>
          <cell r="B678" t="str">
            <v>观世音技能2</v>
          </cell>
          <cell r="C678" t="str">
            <v>2|2|3.2|0|0|0</v>
          </cell>
        </row>
        <row r="679">
          <cell r="A679">
            <v>9001</v>
          </cell>
          <cell r="B679" t="str">
            <v>buff效果描述包1%</v>
          </cell>
          <cell r="C679" t="str">
            <v>4|3|0.01|0|1</v>
          </cell>
        </row>
        <row r="680">
          <cell r="A680">
            <v>9002</v>
          </cell>
          <cell r="B680" t="str">
            <v>buff效果描述包2%</v>
          </cell>
          <cell r="C680" t="str">
            <v>4|3|0.02|0|1</v>
          </cell>
        </row>
        <row r="681">
          <cell r="A681">
            <v>9003</v>
          </cell>
          <cell r="B681" t="str">
            <v>buff效果描述包3%</v>
          </cell>
          <cell r="C681" t="str">
            <v>4|3|0.03|0|1</v>
          </cell>
        </row>
        <row r="682">
          <cell r="A682">
            <v>9004</v>
          </cell>
          <cell r="B682" t="str">
            <v>buff效果描述包4%</v>
          </cell>
          <cell r="C682" t="str">
            <v>4|3|0.04|0|1</v>
          </cell>
        </row>
        <row r="683">
          <cell r="A683">
            <v>9005</v>
          </cell>
          <cell r="B683" t="str">
            <v>buff效果描述包5%</v>
          </cell>
          <cell r="C683" t="str">
            <v>4|3|0.05|0|1</v>
          </cell>
        </row>
        <row r="684">
          <cell r="A684">
            <v>9006</v>
          </cell>
          <cell r="B684" t="str">
            <v>buff效果描述包6%</v>
          </cell>
          <cell r="C684" t="str">
            <v>4|3|0.06|0|1</v>
          </cell>
        </row>
        <row r="685">
          <cell r="A685">
            <v>9007</v>
          </cell>
          <cell r="B685" t="str">
            <v>buff效果描述包7%</v>
          </cell>
          <cell r="C685" t="str">
            <v>4|3|0.07|0|1</v>
          </cell>
        </row>
        <row r="686">
          <cell r="A686">
            <v>9008</v>
          </cell>
          <cell r="B686" t="str">
            <v>buff效果描述包8%</v>
          </cell>
          <cell r="C686" t="str">
            <v>4|3|0.08|0|1</v>
          </cell>
        </row>
        <row r="687">
          <cell r="A687">
            <v>9009</v>
          </cell>
          <cell r="B687" t="str">
            <v>buff效果描述包9%</v>
          </cell>
          <cell r="C687" t="str">
            <v>4|3|0.09|0|1</v>
          </cell>
        </row>
        <row r="688">
          <cell r="A688">
            <v>9010</v>
          </cell>
          <cell r="B688" t="str">
            <v>buff效果描述包10%</v>
          </cell>
          <cell r="C688" t="str">
            <v>4|3|0.1|0|1</v>
          </cell>
        </row>
        <row r="689">
          <cell r="A689">
            <v>9015</v>
          </cell>
          <cell r="B689" t="str">
            <v>buff效果描述包15%</v>
          </cell>
          <cell r="C689" t="str">
            <v>4|3|0.15|0|1</v>
          </cell>
        </row>
        <row r="690">
          <cell r="A690">
            <v>9020</v>
          </cell>
          <cell r="B690" t="str">
            <v>buff效果描述包20%</v>
          </cell>
          <cell r="C690" t="str">
            <v>4|3|0.2|0|1</v>
          </cell>
        </row>
        <row r="691">
          <cell r="A691">
            <v>9025</v>
          </cell>
          <cell r="B691" t="str">
            <v>buff效果描述包25%</v>
          </cell>
          <cell r="C691" t="str">
            <v>4|3|0.25|0|1</v>
          </cell>
        </row>
        <row r="692">
          <cell r="A692">
            <v>9030</v>
          </cell>
          <cell r="B692" t="str">
            <v>buff效果描述包30%</v>
          </cell>
          <cell r="C692" t="str">
            <v>4|3|0.3|0|1</v>
          </cell>
        </row>
        <row r="693">
          <cell r="A693">
            <v>9035</v>
          </cell>
          <cell r="B693" t="str">
            <v>buff效果描述包35%</v>
          </cell>
          <cell r="C693" t="str">
            <v>4|3|0.35|0|1</v>
          </cell>
        </row>
        <row r="694">
          <cell r="A694">
            <v>9040</v>
          </cell>
          <cell r="B694" t="str">
            <v>buff效果描述包40%</v>
          </cell>
          <cell r="C694" t="str">
            <v>4|3|0.4|0|1</v>
          </cell>
        </row>
        <row r="695">
          <cell r="A695">
            <v>9045</v>
          </cell>
          <cell r="B695" t="str">
            <v>buff效果描述包45%</v>
          </cell>
          <cell r="C695" t="str">
            <v>4|3|0.45|0|1</v>
          </cell>
        </row>
        <row r="696">
          <cell r="A696">
            <v>9050</v>
          </cell>
          <cell r="B696" t="str">
            <v>buff效果描述包50%</v>
          </cell>
          <cell r="C696" t="str">
            <v>4|3|0.5|0|1</v>
          </cell>
        </row>
        <row r="697">
          <cell r="A697">
            <v>9055</v>
          </cell>
          <cell r="B697" t="str">
            <v>buff效果描述包55%</v>
          </cell>
          <cell r="C697" t="str">
            <v>4|3|0.55|0|1</v>
          </cell>
        </row>
        <row r="698">
          <cell r="A698">
            <v>9060</v>
          </cell>
          <cell r="B698" t="str">
            <v>buff效果描述包60%</v>
          </cell>
          <cell r="C698" t="str">
            <v>4|3|0.6|0|1</v>
          </cell>
        </row>
        <row r="699">
          <cell r="A699">
            <v>9065</v>
          </cell>
          <cell r="B699" t="str">
            <v>buff效果描述包65%</v>
          </cell>
          <cell r="C699" t="str">
            <v>4|3|0.65|0|1</v>
          </cell>
        </row>
        <row r="700">
          <cell r="A700">
            <v>9070</v>
          </cell>
          <cell r="B700" t="str">
            <v>buff效果描述包70%</v>
          </cell>
          <cell r="C700" t="str">
            <v>4|3|0.7|0|1</v>
          </cell>
        </row>
        <row r="701">
          <cell r="A701">
            <v>9075</v>
          </cell>
          <cell r="B701" t="str">
            <v>buff效果描述包75%</v>
          </cell>
          <cell r="C701" t="str">
            <v>4|3|0.75|0|1</v>
          </cell>
        </row>
        <row r="702">
          <cell r="A702">
            <v>9080</v>
          </cell>
          <cell r="B702" t="str">
            <v>buff效果描述包80%</v>
          </cell>
          <cell r="C702" t="str">
            <v>4|3|0.8|0|1</v>
          </cell>
        </row>
        <row r="703">
          <cell r="A703">
            <v>9085</v>
          </cell>
          <cell r="B703" t="str">
            <v>buff效果描述包85%</v>
          </cell>
          <cell r="C703" t="str">
            <v>4|3|0.85|0|1</v>
          </cell>
        </row>
        <row r="704">
          <cell r="A704">
            <v>9090</v>
          </cell>
          <cell r="B704" t="str">
            <v>buff效果描述包90%</v>
          </cell>
          <cell r="C704" t="str">
            <v>4|3|0.9|0|1</v>
          </cell>
        </row>
        <row r="705">
          <cell r="A705">
            <v>9095</v>
          </cell>
          <cell r="B705" t="str">
            <v>buff效果描述包95%</v>
          </cell>
          <cell r="C705" t="str">
            <v>4|3|0.95|0|1</v>
          </cell>
        </row>
        <row r="706">
          <cell r="A706">
            <v>9100</v>
          </cell>
          <cell r="B706" t="str">
            <v>buff效果描述包100%</v>
          </cell>
          <cell r="C706" t="str">
            <v>4|3|1|0|1</v>
          </cell>
        </row>
        <row r="707">
          <cell r="A707">
            <v>9999</v>
          </cell>
          <cell r="B707" t="str">
            <v>测试</v>
          </cell>
          <cell r="C707" t="str">
            <v>5|1|f100</v>
          </cell>
        </row>
        <row r="708">
          <cell r="A708">
            <v>10000</v>
          </cell>
          <cell r="B708" t="str">
            <v>男主角-普攻</v>
          </cell>
          <cell r="C708" t="str">
            <v>1|2|1|0|0|0</v>
          </cell>
        </row>
        <row r="709">
          <cell r="A709">
            <v>10001</v>
          </cell>
          <cell r="B709" t="str">
            <v>女主角-普攻</v>
          </cell>
          <cell r="C709" t="str">
            <v>1|2|1|0|0|0</v>
          </cell>
        </row>
        <row r="710">
          <cell r="A710">
            <v>110100</v>
          </cell>
          <cell r="B710" t="str">
            <v>二郎神-普攻</v>
          </cell>
          <cell r="C710" t="str">
            <v>1|1|1|0|0|0</v>
          </cell>
        </row>
        <row r="711">
          <cell r="A711">
            <v>110101</v>
          </cell>
          <cell r="B711" t="str">
            <v>二郎神-普攻</v>
          </cell>
          <cell r="C711" t="str">
            <v>1|1|1|0|0|0</v>
          </cell>
        </row>
        <row r="712">
          <cell r="A712">
            <v>110102</v>
          </cell>
          <cell r="B712" t="str">
            <v>二郎神-普攻</v>
          </cell>
          <cell r="C712" t="str">
            <v>1|1|1|0|0|0</v>
          </cell>
        </row>
        <row r="713">
          <cell r="A713">
            <v>110103</v>
          </cell>
          <cell r="B713" t="str">
            <v>二郎神-核心</v>
          </cell>
          <cell r="C713" t="str">
            <v>2|1|1.1|0|0|0</v>
          </cell>
        </row>
        <row r="714">
          <cell r="A714">
            <v>110104</v>
          </cell>
          <cell r="B714" t="str">
            <v>二郎神-AI</v>
          </cell>
          <cell r="C714" t="str">
            <v>2|1|0.83|0|0|0</v>
          </cell>
        </row>
        <row r="715">
          <cell r="A715">
            <v>110106</v>
          </cell>
          <cell r="B715" t="str">
            <v>二郎神-AI</v>
          </cell>
          <cell r="C715" t="str">
            <v>2|1|1.65|0|0|0</v>
          </cell>
        </row>
        <row r="716">
          <cell r="A716">
            <v>110107</v>
          </cell>
          <cell r="B716" t="str">
            <v>二郎神-核心_进阶</v>
          </cell>
          <cell r="C716" t="str">
            <v>2|1|1.32|0|0|0</v>
          </cell>
        </row>
        <row r="717">
          <cell r="A717">
            <v>110108</v>
          </cell>
          <cell r="B717" t="str">
            <v>二郎神-AI_进阶</v>
          </cell>
          <cell r="C717" t="str">
            <v>2|1|1.16|0|0|0</v>
          </cell>
        </row>
        <row r="718">
          <cell r="A718">
            <v>110109</v>
          </cell>
          <cell r="B718" t="str">
            <v>二郎神-AI_进阶</v>
          </cell>
          <cell r="C718" t="str">
            <v>2|1|2.31|0|0|0</v>
          </cell>
        </row>
        <row r="719">
          <cell r="A719">
            <v>110200</v>
          </cell>
          <cell r="B719" t="str">
            <v>哪吒-普攻</v>
          </cell>
          <cell r="C719" t="str">
            <v>1|1|1|0|0|0</v>
          </cell>
        </row>
        <row r="720">
          <cell r="A720">
            <v>110201</v>
          </cell>
          <cell r="B720" t="str">
            <v>哪吒-普攻</v>
          </cell>
          <cell r="C720" t="str">
            <v>1|1|1|0|0|0</v>
          </cell>
        </row>
        <row r="721">
          <cell r="A721">
            <v>110202</v>
          </cell>
          <cell r="B721" t="str">
            <v>哪吒-普攻</v>
          </cell>
          <cell r="C721" t="str">
            <v>1|1|1|0|0|0</v>
          </cell>
        </row>
        <row r="722">
          <cell r="A722">
            <v>110203</v>
          </cell>
          <cell r="B722" t="str">
            <v>哪吒-核心</v>
          </cell>
          <cell r="C722" t="str">
            <v>2|1|2.5|0|0|0</v>
          </cell>
        </row>
        <row r="723">
          <cell r="A723">
            <v>110204</v>
          </cell>
          <cell r="B723" t="str">
            <v>哪吒-AI</v>
          </cell>
          <cell r="C723" t="str">
            <v>2|1|0.38|0|0|0</v>
          </cell>
        </row>
        <row r="724">
          <cell r="A724">
            <v>110206</v>
          </cell>
          <cell r="B724" t="str">
            <v>哪吒-AI</v>
          </cell>
          <cell r="C724" t="str">
            <v>2|1|0.38|0|0|0</v>
          </cell>
        </row>
        <row r="725">
          <cell r="A725">
            <v>110207</v>
          </cell>
          <cell r="B725" t="str">
            <v>哪吒-核心_进阶</v>
          </cell>
          <cell r="C725" t="str">
            <v>2|1|3|0|0|0</v>
          </cell>
        </row>
        <row r="726">
          <cell r="A726">
            <v>110208</v>
          </cell>
          <cell r="B726" t="str">
            <v>哪吒-AI_进阶</v>
          </cell>
          <cell r="C726" t="str">
            <v>2|1|0.53|0|0|0</v>
          </cell>
        </row>
        <row r="727">
          <cell r="A727">
            <v>110209</v>
          </cell>
          <cell r="B727" t="str">
            <v>哪吒-AI_进阶</v>
          </cell>
          <cell r="C727" t="str">
            <v>2|1|0.53|0|0|0</v>
          </cell>
        </row>
        <row r="728">
          <cell r="A728">
            <v>110300</v>
          </cell>
          <cell r="B728" t="str">
            <v>嫦娥-普攻</v>
          </cell>
          <cell r="C728" t="str">
            <v>1|2|1|0|0|0</v>
          </cell>
        </row>
        <row r="729">
          <cell r="A729">
            <v>110301</v>
          </cell>
          <cell r="B729" t="str">
            <v>嫦娥-核心-治疗</v>
          </cell>
          <cell r="C729" t="str">
            <v>3|1|0.42|0</v>
          </cell>
        </row>
        <row r="730">
          <cell r="A730">
            <v>110302</v>
          </cell>
          <cell r="B730" t="str">
            <v>嫦娥-AI-治疗</v>
          </cell>
          <cell r="C730" t="str">
            <v>3|1|3|0</v>
          </cell>
        </row>
        <row r="731">
          <cell r="A731">
            <v>110304</v>
          </cell>
          <cell r="B731" t="str">
            <v>嫦娥-AI-治疗</v>
          </cell>
          <cell r="C731" t="str">
            <v>3|1|3|0</v>
          </cell>
        </row>
        <row r="732">
          <cell r="A732">
            <v>110305</v>
          </cell>
          <cell r="B732" t="str">
            <v>嫦娥-核心_进阶-治疗</v>
          </cell>
          <cell r="C732" t="str">
            <v>3|1|0.5|0</v>
          </cell>
        </row>
        <row r="733">
          <cell r="A733">
            <v>110306</v>
          </cell>
          <cell r="B733" t="str">
            <v>嫦娥-AI_进阶-治疗</v>
          </cell>
          <cell r="C733" t="str">
            <v>3|1|3.6|0</v>
          </cell>
        </row>
        <row r="734">
          <cell r="A734">
            <v>110307</v>
          </cell>
          <cell r="B734" t="str">
            <v>嫦娥-AI_进阶-治疗</v>
          </cell>
          <cell r="C734" t="str">
            <v>3|1|3.6|0</v>
          </cell>
        </row>
        <row r="735">
          <cell r="A735">
            <v>110400</v>
          </cell>
          <cell r="B735" t="str">
            <v>玉皇大帝-普攻</v>
          </cell>
          <cell r="C735" t="str">
            <v>1|1|1|0|0|0</v>
          </cell>
        </row>
        <row r="736">
          <cell r="A736">
            <v>110401</v>
          </cell>
          <cell r="B736" t="str">
            <v>玉皇大帝-普攻</v>
          </cell>
          <cell r="C736" t="str">
            <v>1|1|1|0|0|0</v>
          </cell>
        </row>
        <row r="737">
          <cell r="A737">
            <v>110402</v>
          </cell>
          <cell r="B737" t="str">
            <v>玉皇大帝-普攻</v>
          </cell>
          <cell r="C737" t="str">
            <v>1|1|1|0|0|0</v>
          </cell>
        </row>
        <row r="738">
          <cell r="A738">
            <v>110403</v>
          </cell>
          <cell r="B738" t="str">
            <v>玉皇大帝-核心</v>
          </cell>
          <cell r="C738" t="str">
            <v>2|1|1.58|0|0|0</v>
          </cell>
        </row>
        <row r="739">
          <cell r="A739">
            <v>110404</v>
          </cell>
          <cell r="B739" t="str">
            <v>玉皇大帝-AI</v>
          </cell>
          <cell r="C739" t="str">
            <v>2|1|1.43|0|0|0</v>
          </cell>
        </row>
        <row r="740">
          <cell r="A740">
            <v>110406</v>
          </cell>
          <cell r="B740" t="str">
            <v>玉皇大帝-AI</v>
          </cell>
          <cell r="C740" t="str">
            <v>2|1|1.43|0|0|0</v>
          </cell>
        </row>
        <row r="741">
          <cell r="A741">
            <v>110407</v>
          </cell>
          <cell r="B741" t="str">
            <v>玉皇大帝-核心_进阶</v>
          </cell>
          <cell r="C741" t="str">
            <v>2|1|1.9|0|0|0</v>
          </cell>
        </row>
        <row r="742">
          <cell r="A742">
            <v>110408</v>
          </cell>
          <cell r="B742" t="str">
            <v>玉皇大帝-AI_进阶</v>
          </cell>
          <cell r="C742" t="str">
            <v>2|1|2|0|0|0</v>
          </cell>
        </row>
        <row r="743">
          <cell r="A743">
            <v>110409</v>
          </cell>
          <cell r="B743" t="str">
            <v>玉皇大帝-AI_进阶</v>
          </cell>
          <cell r="C743" t="str">
            <v>2|1|2|0|0|0</v>
          </cell>
        </row>
        <row r="744">
          <cell r="A744">
            <v>110410</v>
          </cell>
          <cell r="B744" t="str">
            <v>玉皇大帝-AI</v>
          </cell>
          <cell r="C744" t="str">
            <v>2|1|1.43|0|0|0</v>
          </cell>
        </row>
        <row r="745">
          <cell r="A745">
            <v>110411</v>
          </cell>
          <cell r="B745" t="str">
            <v>玉皇大帝-AI</v>
          </cell>
          <cell r="C745" t="str">
            <v>2|1|1.43|0|0|0</v>
          </cell>
        </row>
        <row r="746">
          <cell r="A746">
            <v>110412</v>
          </cell>
          <cell r="B746" t="str">
            <v>玉皇大帝-AI</v>
          </cell>
          <cell r="C746" t="str">
            <v>2|1|0.36|0|0|0</v>
          </cell>
        </row>
        <row r="747">
          <cell r="A747">
            <v>110500</v>
          </cell>
          <cell r="B747" t="str">
            <v>王母娘娘-普攻</v>
          </cell>
          <cell r="C747" t="str">
            <v>1|2|1|0|0|0</v>
          </cell>
        </row>
        <row r="748">
          <cell r="A748">
            <v>110501</v>
          </cell>
          <cell r="B748" t="str">
            <v>王母娘娘-核心</v>
          </cell>
          <cell r="C748" t="str">
            <v>2|2|0.55|0|0|0</v>
          </cell>
        </row>
        <row r="749">
          <cell r="A749">
            <v>110502</v>
          </cell>
          <cell r="B749" t="str">
            <v>王母娘娘-AI</v>
          </cell>
          <cell r="C749" t="str">
            <v>2|2|0.55|0|0|0</v>
          </cell>
        </row>
        <row r="750">
          <cell r="A750">
            <v>110504</v>
          </cell>
          <cell r="B750" t="str">
            <v>王母娘娘-AI</v>
          </cell>
          <cell r="C750" t="str">
            <v>2|2|1.65|0|0|0</v>
          </cell>
        </row>
        <row r="751">
          <cell r="A751">
            <v>110505</v>
          </cell>
          <cell r="B751" t="str">
            <v>王母娘娘-核心_进阶</v>
          </cell>
          <cell r="C751" t="str">
            <v>2|2|0.66|0|0|0</v>
          </cell>
        </row>
        <row r="752">
          <cell r="A752">
            <v>110506</v>
          </cell>
          <cell r="B752" t="str">
            <v>王母娘娘-AI_进阶</v>
          </cell>
          <cell r="C752" t="str">
            <v>2|2|0.77|0|0|0</v>
          </cell>
        </row>
        <row r="753">
          <cell r="A753">
            <v>110507</v>
          </cell>
          <cell r="B753" t="str">
            <v>王母娘娘-AI_进阶</v>
          </cell>
          <cell r="C753" t="str">
            <v>2|2|2.31|0|0|0</v>
          </cell>
        </row>
        <row r="754">
          <cell r="A754">
            <v>110600</v>
          </cell>
          <cell r="B754" t="str">
            <v>太白金星-普攻</v>
          </cell>
          <cell r="C754" t="str">
            <v>1|2|1|0|0|0</v>
          </cell>
        </row>
        <row r="755">
          <cell r="A755">
            <v>110601</v>
          </cell>
          <cell r="B755" t="str">
            <v>太白金星-核心</v>
          </cell>
          <cell r="C755" t="str">
            <v>2|2|2.85|0|0|0</v>
          </cell>
        </row>
        <row r="756">
          <cell r="A756">
            <v>110602</v>
          </cell>
          <cell r="B756" t="str">
            <v>太白金星-AI</v>
          </cell>
          <cell r="C756" t="str">
            <v>2|2|1.43|0|0|0</v>
          </cell>
        </row>
        <row r="757">
          <cell r="A757">
            <v>110604</v>
          </cell>
          <cell r="B757" t="str">
            <v>太白金星-AI</v>
          </cell>
          <cell r="C757" t="str">
            <v>2|2|1.43|0|0|0</v>
          </cell>
        </row>
        <row r="758">
          <cell r="A758">
            <v>110605</v>
          </cell>
          <cell r="B758" t="str">
            <v>太白金星-核心_进阶</v>
          </cell>
          <cell r="C758" t="str">
            <v>2|2|3.42|0|0|0</v>
          </cell>
        </row>
        <row r="759">
          <cell r="A759">
            <v>110606</v>
          </cell>
          <cell r="B759" t="str">
            <v>太白金星-AI_进阶</v>
          </cell>
          <cell r="C759" t="str">
            <v>2|2|2|0|0|0</v>
          </cell>
        </row>
        <row r="760">
          <cell r="A760">
            <v>110607</v>
          </cell>
          <cell r="B760" t="str">
            <v>太白金星-AI_进阶</v>
          </cell>
          <cell r="C760" t="str">
            <v>2|2|2|0|0|0</v>
          </cell>
        </row>
        <row r="761">
          <cell r="A761">
            <v>110700</v>
          </cell>
          <cell r="B761" t="str">
            <v>赤脚大仙-普攻</v>
          </cell>
          <cell r="C761" t="str">
            <v>1|2|1|0|0|0</v>
          </cell>
        </row>
        <row r="762">
          <cell r="A762">
            <v>110701</v>
          </cell>
          <cell r="B762" t="str">
            <v>赤脚大仙-核心</v>
          </cell>
          <cell r="C762" t="str">
            <v>2|2|1.43|0|0|0</v>
          </cell>
        </row>
        <row r="763">
          <cell r="A763">
            <v>110702</v>
          </cell>
          <cell r="B763" t="str">
            <v>赤脚大仙-AI-治疗</v>
          </cell>
          <cell r="C763" t="str">
            <v>3|1|0.71|0</v>
          </cell>
        </row>
        <row r="764">
          <cell r="A764">
            <v>110704</v>
          </cell>
          <cell r="B764" t="str">
            <v>赤脚大仙-AI</v>
          </cell>
          <cell r="C764" t="str">
            <v>2|2|0.95|0|0|0</v>
          </cell>
        </row>
        <row r="765">
          <cell r="A765">
            <v>110705</v>
          </cell>
          <cell r="B765" t="str">
            <v>赤脚大仙-核心_进阶</v>
          </cell>
          <cell r="C765" t="str">
            <v>2|2|1.71|0|0|0</v>
          </cell>
        </row>
        <row r="766">
          <cell r="A766">
            <v>110706</v>
          </cell>
          <cell r="B766" t="str">
            <v>赤脚大仙-AI_进阶-治疗</v>
          </cell>
          <cell r="C766" t="str">
            <v>3|1|0.86|0</v>
          </cell>
        </row>
        <row r="767">
          <cell r="A767">
            <v>110707</v>
          </cell>
          <cell r="B767" t="str">
            <v>赤脚大仙-AI_进阶</v>
          </cell>
          <cell r="C767" t="str">
            <v>2|2|1.14|0|0|0</v>
          </cell>
        </row>
        <row r="768">
          <cell r="A768">
            <v>110800</v>
          </cell>
          <cell r="B768" t="str">
            <v>托塔天王-普攻</v>
          </cell>
          <cell r="C768" t="str">
            <v>1|2|1|0|0|0</v>
          </cell>
        </row>
        <row r="769">
          <cell r="A769">
            <v>110801</v>
          </cell>
          <cell r="B769" t="str">
            <v>托塔天王-普攻</v>
          </cell>
          <cell r="C769" t="str">
            <v>1|2|1|0|0|0</v>
          </cell>
        </row>
        <row r="770">
          <cell r="A770">
            <v>110802</v>
          </cell>
          <cell r="B770" t="str">
            <v>托塔天王-普攻</v>
          </cell>
          <cell r="C770" t="str">
            <v>1|2|1|0|0|0</v>
          </cell>
        </row>
        <row r="771">
          <cell r="A771">
            <v>110803</v>
          </cell>
          <cell r="B771" t="str">
            <v>托塔天王-核心</v>
          </cell>
          <cell r="C771" t="str">
            <v>2|2|0.3|0|0|0</v>
          </cell>
        </row>
        <row r="772">
          <cell r="A772">
            <v>110804</v>
          </cell>
          <cell r="B772" t="str">
            <v>托塔天王-AI</v>
          </cell>
          <cell r="C772" t="str">
            <v>2|2|1.5|0|0|0</v>
          </cell>
        </row>
        <row r="773">
          <cell r="A773">
            <v>110806</v>
          </cell>
          <cell r="B773" t="str">
            <v>托塔天王-AI</v>
          </cell>
          <cell r="C773" t="str">
            <v>2|2|1.5|0|0|0</v>
          </cell>
        </row>
        <row r="774">
          <cell r="A774">
            <v>110807</v>
          </cell>
          <cell r="B774" t="str">
            <v>托塔天王-核心_进阶</v>
          </cell>
          <cell r="C774" t="str">
            <v>2|2|3.6|0|0|0</v>
          </cell>
        </row>
        <row r="775">
          <cell r="A775">
            <v>110808</v>
          </cell>
          <cell r="B775" t="str">
            <v>托塔天王-AI_进阶</v>
          </cell>
          <cell r="C775" t="str">
            <v>2|2|2.1|0|0|0</v>
          </cell>
        </row>
        <row r="776">
          <cell r="A776">
            <v>110809</v>
          </cell>
          <cell r="B776" t="str">
            <v>托塔天王-AI_进阶</v>
          </cell>
          <cell r="C776" t="str">
            <v>2|2|2.1|0|0|0</v>
          </cell>
        </row>
        <row r="777">
          <cell r="A777">
            <v>110900</v>
          </cell>
          <cell r="B777" t="str">
            <v>九天玄女-普攻</v>
          </cell>
          <cell r="C777" t="str">
            <v>1|2|1|0|0|0</v>
          </cell>
        </row>
        <row r="778">
          <cell r="A778">
            <v>110901</v>
          </cell>
          <cell r="B778" t="str">
            <v>九天玄女-核心-治疗</v>
          </cell>
          <cell r="C778" t="str">
            <v>3|1|0.4|0</v>
          </cell>
        </row>
        <row r="779">
          <cell r="A779">
            <v>110902</v>
          </cell>
          <cell r="B779" t="str">
            <v>九天玄女-AI-治疗</v>
          </cell>
          <cell r="C779" t="str">
            <v>3|1|2.85|0</v>
          </cell>
        </row>
        <row r="780">
          <cell r="A780">
            <v>110904</v>
          </cell>
          <cell r="B780" t="str">
            <v>九天玄女-AI</v>
          </cell>
          <cell r="C780" t="str">
            <v>2|2|1.43|0|0|0</v>
          </cell>
        </row>
        <row r="781">
          <cell r="A781">
            <v>110905</v>
          </cell>
          <cell r="B781" t="str">
            <v>九天玄女-核心_进阶-治疗</v>
          </cell>
          <cell r="C781" t="str">
            <v>3|1|0.48|0</v>
          </cell>
        </row>
        <row r="782">
          <cell r="A782">
            <v>110906</v>
          </cell>
          <cell r="B782" t="str">
            <v>九天玄女-AI_进阶-治疗</v>
          </cell>
          <cell r="C782" t="str">
            <v>3|1|3.42|0</v>
          </cell>
        </row>
        <row r="783">
          <cell r="A783">
            <v>110907</v>
          </cell>
          <cell r="B783" t="str">
            <v>九天玄女-AI_进阶</v>
          </cell>
          <cell r="C783" t="str">
            <v>2|2|1.6|0|0|0</v>
          </cell>
        </row>
        <row r="784">
          <cell r="A784">
            <v>111000</v>
          </cell>
          <cell r="B784" t="str">
            <v>红孩儿-普攻</v>
          </cell>
          <cell r="C784" t="str">
            <v>1|1|1|0|0|0</v>
          </cell>
        </row>
        <row r="785">
          <cell r="A785">
            <v>111001</v>
          </cell>
          <cell r="B785" t="str">
            <v>红孩儿-核心</v>
          </cell>
          <cell r="C785" t="str">
            <v>2|1|2.85|0|0|0</v>
          </cell>
        </row>
        <row r="786">
          <cell r="A786">
            <v>111002</v>
          </cell>
          <cell r="B786" t="str">
            <v>红孩儿-AI</v>
          </cell>
          <cell r="C786" t="str">
            <v>2|1|0.36|0|0|0</v>
          </cell>
        </row>
        <row r="787">
          <cell r="A787">
            <v>111004</v>
          </cell>
          <cell r="B787" t="str">
            <v>红孩儿-AI</v>
          </cell>
          <cell r="C787" t="str">
            <v>2|1|0.16|0|0|0</v>
          </cell>
        </row>
        <row r="788">
          <cell r="A788">
            <v>111005</v>
          </cell>
          <cell r="B788" t="str">
            <v>红孩儿-核心_进阶</v>
          </cell>
          <cell r="C788" t="str">
            <v>2|1|3.42|0|0|0</v>
          </cell>
        </row>
        <row r="789">
          <cell r="A789">
            <v>111006</v>
          </cell>
          <cell r="B789" t="str">
            <v>红孩儿-AI_进阶</v>
          </cell>
          <cell r="C789" t="str">
            <v>2|1|0.5|0|0|0</v>
          </cell>
        </row>
        <row r="790">
          <cell r="A790">
            <v>111007</v>
          </cell>
          <cell r="B790" t="str">
            <v>红孩儿-AI_进阶</v>
          </cell>
          <cell r="C790" t="str">
            <v>2|1|0.22|0|0|0</v>
          </cell>
        </row>
        <row r="791">
          <cell r="A791">
            <v>111100</v>
          </cell>
          <cell r="B791" t="str">
            <v>铁扇公主-普攻</v>
          </cell>
          <cell r="C791" t="str">
            <v>1|2|1|0|0|0</v>
          </cell>
        </row>
        <row r="792">
          <cell r="A792">
            <v>111101</v>
          </cell>
          <cell r="B792" t="str">
            <v>铁扇公主-核心</v>
          </cell>
          <cell r="C792" t="str">
            <v>2|2|0.71|0|0|0</v>
          </cell>
        </row>
        <row r="793">
          <cell r="A793">
            <v>111102</v>
          </cell>
          <cell r="B793" t="str">
            <v>铁扇公主-AI</v>
          </cell>
          <cell r="C793" t="str">
            <v>2|2|0.75|0|0|0</v>
          </cell>
        </row>
        <row r="794">
          <cell r="A794">
            <v>111104</v>
          </cell>
          <cell r="B794" t="str">
            <v>铁扇公主-AI</v>
          </cell>
          <cell r="C794" t="str">
            <v>2|2|1.5|0|0|0</v>
          </cell>
        </row>
        <row r="795">
          <cell r="A795">
            <v>111105</v>
          </cell>
          <cell r="B795" t="str">
            <v>铁扇公主-核心_进阶</v>
          </cell>
          <cell r="C795" t="str">
            <v>2|2|0.86|0|0|0</v>
          </cell>
        </row>
        <row r="796">
          <cell r="A796">
            <v>111106</v>
          </cell>
          <cell r="B796" t="str">
            <v>铁扇公主-AI_进阶</v>
          </cell>
          <cell r="C796" t="str">
            <v>2|2|1.05|0|0|0</v>
          </cell>
        </row>
        <row r="797">
          <cell r="A797">
            <v>111107</v>
          </cell>
          <cell r="B797" t="str">
            <v>铁扇公主-AI_进阶</v>
          </cell>
          <cell r="C797" t="str">
            <v>2|2|2.1|0|0|0</v>
          </cell>
        </row>
        <row r="798">
          <cell r="A798">
            <v>111200</v>
          </cell>
          <cell r="B798" t="str">
            <v>牛魔王-普攻</v>
          </cell>
          <cell r="C798" t="str">
            <v>1|1|1|0|0|0</v>
          </cell>
        </row>
        <row r="799">
          <cell r="A799">
            <v>111201</v>
          </cell>
          <cell r="B799" t="str">
            <v>牛魔王-核心</v>
          </cell>
          <cell r="C799" t="str">
            <v>2|1|1.67|0|0|0</v>
          </cell>
        </row>
        <row r="800">
          <cell r="A800">
            <v>111202</v>
          </cell>
          <cell r="B800" t="str">
            <v>牛魔王-AI</v>
          </cell>
          <cell r="C800" t="str">
            <v>2|1|0.5|0|0|0</v>
          </cell>
        </row>
        <row r="801">
          <cell r="A801">
            <v>111204</v>
          </cell>
          <cell r="B801" t="str">
            <v>牛魔王-AI</v>
          </cell>
          <cell r="C801" t="str">
            <v>2|1|0.25|0|0|0</v>
          </cell>
        </row>
        <row r="802">
          <cell r="A802">
            <v>111205</v>
          </cell>
          <cell r="B802" t="str">
            <v>牛魔王-核心_进阶</v>
          </cell>
          <cell r="C802" t="str">
            <v>2|1|2|0|0|0</v>
          </cell>
        </row>
        <row r="803">
          <cell r="A803">
            <v>111206</v>
          </cell>
          <cell r="B803" t="str">
            <v>牛魔王-AI_进阶</v>
          </cell>
          <cell r="C803" t="str">
            <v>2|1|0.7|0|0|0</v>
          </cell>
        </row>
        <row r="804">
          <cell r="A804">
            <v>111207</v>
          </cell>
          <cell r="B804" t="str">
            <v>牛魔王-AI_进阶</v>
          </cell>
          <cell r="C804" t="str">
            <v>2|1|0.35|0|0|0</v>
          </cell>
        </row>
        <row r="805">
          <cell r="A805">
            <v>111300</v>
          </cell>
          <cell r="B805" t="str">
            <v>虎力大仙-普攻</v>
          </cell>
          <cell r="C805" t="str">
            <v>1|1|1|0|0|0</v>
          </cell>
        </row>
        <row r="806">
          <cell r="A806">
            <v>111301</v>
          </cell>
          <cell r="B806" t="str">
            <v>虎力大仙-普攻</v>
          </cell>
          <cell r="C806" t="str">
            <v>1|1|1|0|0|0</v>
          </cell>
        </row>
        <row r="807">
          <cell r="A807">
            <v>111302</v>
          </cell>
          <cell r="B807" t="str">
            <v>虎力大仙-普攻</v>
          </cell>
          <cell r="C807" t="str">
            <v>1|1|1|0|0|0</v>
          </cell>
        </row>
        <row r="808">
          <cell r="A808">
            <v>111303</v>
          </cell>
          <cell r="B808" t="str">
            <v>虎力大仙-核心</v>
          </cell>
          <cell r="C808" t="str">
            <v>2|1|3|0|0|0</v>
          </cell>
        </row>
        <row r="809">
          <cell r="A809">
            <v>111304</v>
          </cell>
          <cell r="B809" t="str">
            <v>虎力大仙-AI</v>
          </cell>
          <cell r="C809" t="str">
            <v>2|1|1.5|0|0|0</v>
          </cell>
        </row>
        <row r="810">
          <cell r="A810">
            <v>111306</v>
          </cell>
          <cell r="B810" t="str">
            <v>虎力大仙-AI-治疗</v>
          </cell>
          <cell r="C810" t="str">
            <v>3|1|3|0</v>
          </cell>
        </row>
        <row r="811">
          <cell r="A811">
            <v>111307</v>
          </cell>
          <cell r="B811" t="str">
            <v>虎力大仙-核心_进阶</v>
          </cell>
          <cell r="C811" t="str">
            <v>2|1|3.6|0|0|0</v>
          </cell>
        </row>
        <row r="812">
          <cell r="A812">
            <v>111308</v>
          </cell>
          <cell r="B812" t="str">
            <v>虎力大仙-AI_进阶</v>
          </cell>
          <cell r="C812" t="str">
            <v>2|1|2.1|0|0|0</v>
          </cell>
        </row>
        <row r="813">
          <cell r="A813">
            <v>111309</v>
          </cell>
          <cell r="B813" t="str">
            <v>虎力大仙-AI_进阶-治疗</v>
          </cell>
          <cell r="C813" t="str">
            <v>3|1|3.6|0</v>
          </cell>
        </row>
        <row r="814">
          <cell r="A814">
            <v>111310</v>
          </cell>
          <cell r="B814" t="str">
            <v>虎力大仙-AI_进阶</v>
          </cell>
          <cell r="C814" t="str">
            <v>2|1|3.6|0|0|0</v>
          </cell>
        </row>
        <row r="815">
          <cell r="A815">
            <v>111400</v>
          </cell>
          <cell r="B815" t="str">
            <v>鹿力大仙-普攻</v>
          </cell>
          <cell r="C815" t="str">
            <v>1|1|1|0|0|0</v>
          </cell>
        </row>
        <row r="816">
          <cell r="A816">
            <v>111401</v>
          </cell>
          <cell r="B816" t="str">
            <v>鹿力大仙-核心</v>
          </cell>
          <cell r="C816" t="str">
            <v>2|1|2.85|0|0|0</v>
          </cell>
        </row>
        <row r="817">
          <cell r="A817">
            <v>111402</v>
          </cell>
          <cell r="B817" t="str">
            <v>鹿力大仙-AI</v>
          </cell>
          <cell r="C817" t="str">
            <v>2|1|0.71|0|0|0</v>
          </cell>
        </row>
        <row r="818">
          <cell r="A818">
            <v>111404</v>
          </cell>
          <cell r="B818" t="str">
            <v>鹿力大仙-AI</v>
          </cell>
          <cell r="C818" t="str">
            <v>2|1|0.2|0|0|0</v>
          </cell>
        </row>
        <row r="819">
          <cell r="A819">
            <v>111405</v>
          </cell>
          <cell r="B819" t="str">
            <v>鹿力大仙-核心_进阶</v>
          </cell>
          <cell r="C819" t="str">
            <v>2|1|3.42|0|0|0</v>
          </cell>
        </row>
        <row r="820">
          <cell r="A820">
            <v>111406</v>
          </cell>
          <cell r="B820" t="str">
            <v>鹿力大仙-AI_进阶</v>
          </cell>
          <cell r="C820" t="str">
            <v>2|1|1.14|0|0|0</v>
          </cell>
        </row>
        <row r="821">
          <cell r="A821">
            <v>111407</v>
          </cell>
          <cell r="B821" t="str">
            <v>鹿力大仙-AI_进阶</v>
          </cell>
          <cell r="C821" t="str">
            <v>2|1|0.29|0|0|0</v>
          </cell>
        </row>
        <row r="822">
          <cell r="A822">
            <v>111500</v>
          </cell>
          <cell r="B822" t="str">
            <v>羊力大仙-普攻</v>
          </cell>
          <cell r="C822" t="str">
            <v>1|2|1|0|0|0</v>
          </cell>
        </row>
        <row r="823">
          <cell r="A823">
            <v>111501</v>
          </cell>
          <cell r="B823" t="str">
            <v>羊力大仙-核心-治疗</v>
          </cell>
          <cell r="C823" t="str">
            <v>3|1|0.42|0</v>
          </cell>
        </row>
        <row r="824">
          <cell r="A824">
            <v>111502</v>
          </cell>
          <cell r="B824" t="str">
            <v>羊力大仙-AI-治疗</v>
          </cell>
          <cell r="C824" t="str">
            <v>3|1|3|0</v>
          </cell>
        </row>
        <row r="825">
          <cell r="A825">
            <v>111504</v>
          </cell>
          <cell r="B825" t="str">
            <v>羊力大仙-AI-治疗</v>
          </cell>
          <cell r="C825" t="str">
            <v>3|1|3|0</v>
          </cell>
        </row>
        <row r="826">
          <cell r="A826">
            <v>111505</v>
          </cell>
          <cell r="B826" t="str">
            <v>羊力大仙-核心_进阶-治疗</v>
          </cell>
          <cell r="C826" t="str">
            <v>3|1|0.5|0</v>
          </cell>
        </row>
        <row r="827">
          <cell r="A827">
            <v>111506</v>
          </cell>
          <cell r="B827" t="str">
            <v>羊力大仙-AI_进阶-治疗</v>
          </cell>
          <cell r="C827" t="str">
            <v>3|1|3.6|0</v>
          </cell>
        </row>
        <row r="828">
          <cell r="A828">
            <v>111507</v>
          </cell>
          <cell r="B828" t="str">
            <v>羊力大仙-AI_进阶-治疗</v>
          </cell>
          <cell r="C828" t="str">
            <v>3|1|3.6|0</v>
          </cell>
        </row>
        <row r="829">
          <cell r="A829">
            <v>111600</v>
          </cell>
          <cell r="B829" t="str">
            <v>白骨夫人-普攻</v>
          </cell>
          <cell r="C829" t="str">
            <v>1|2|1|0|0|0</v>
          </cell>
        </row>
        <row r="830">
          <cell r="A830">
            <v>111601</v>
          </cell>
          <cell r="B830" t="str">
            <v>白骨夫人-核心-治疗</v>
          </cell>
          <cell r="C830" t="str">
            <v>3|1|0.4|0</v>
          </cell>
        </row>
        <row r="831">
          <cell r="A831">
            <v>111602</v>
          </cell>
          <cell r="B831" t="str">
            <v>白骨夫人-AI-治疗</v>
          </cell>
          <cell r="C831" t="str">
            <v>3|1|2.85|0</v>
          </cell>
        </row>
        <row r="832">
          <cell r="A832">
            <v>111604</v>
          </cell>
          <cell r="B832" t="str">
            <v>白骨夫人-AI</v>
          </cell>
          <cell r="C832" t="str">
            <v>2|2|0.71|0|0|0</v>
          </cell>
        </row>
        <row r="833">
          <cell r="A833">
            <v>111605</v>
          </cell>
          <cell r="B833" t="str">
            <v>白骨夫人-核心_进阶-治疗</v>
          </cell>
          <cell r="C833" t="str">
            <v>3|1|0.48|0</v>
          </cell>
        </row>
        <row r="834">
          <cell r="A834">
            <v>111606</v>
          </cell>
          <cell r="B834" t="str">
            <v>白骨夫人-AI_进阶-治疗</v>
          </cell>
          <cell r="C834" t="str">
            <v>3|1|3.42|0</v>
          </cell>
        </row>
        <row r="835">
          <cell r="A835">
            <v>111607</v>
          </cell>
          <cell r="B835" t="str">
            <v>白骨夫人-AI_进阶</v>
          </cell>
          <cell r="C835" t="str">
            <v>2|2|0.8|0|0|0</v>
          </cell>
        </row>
        <row r="836">
          <cell r="A836">
            <v>111700</v>
          </cell>
          <cell r="B836" t="str">
            <v>六耳猕猴-普攻</v>
          </cell>
          <cell r="C836" t="str">
            <v>1|2|1|0|0|0</v>
          </cell>
        </row>
        <row r="837">
          <cell r="A837">
            <v>111701</v>
          </cell>
          <cell r="B837" t="str">
            <v>六耳猕猴-核心</v>
          </cell>
          <cell r="C837" t="str">
            <v>2|2|0.57|0|0|0</v>
          </cell>
        </row>
        <row r="838">
          <cell r="A838">
            <v>111702</v>
          </cell>
          <cell r="B838" t="str">
            <v>六耳猕猴-AI</v>
          </cell>
          <cell r="C838" t="str">
            <v>2|2|1.43|0|0|0</v>
          </cell>
        </row>
        <row r="839">
          <cell r="A839">
            <v>111704</v>
          </cell>
          <cell r="B839" t="str">
            <v>六耳猕猴-AI</v>
          </cell>
          <cell r="C839" t="str">
            <v>2|2|0.48|0|0|0</v>
          </cell>
        </row>
        <row r="840">
          <cell r="A840">
            <v>111705</v>
          </cell>
          <cell r="B840" t="str">
            <v>六耳猕猴-核心_进阶</v>
          </cell>
          <cell r="C840" t="str">
            <v>2|2|0.68|0|0|0</v>
          </cell>
        </row>
        <row r="841">
          <cell r="A841">
            <v>111706</v>
          </cell>
          <cell r="B841" t="str">
            <v>六耳猕猴-AI_进阶</v>
          </cell>
          <cell r="C841" t="str">
            <v>2|2|2|0|0|0</v>
          </cell>
        </row>
        <row r="842">
          <cell r="A842">
            <v>111707</v>
          </cell>
          <cell r="B842" t="str">
            <v>六耳猕猴-AI_进阶</v>
          </cell>
          <cell r="C842" t="str">
            <v>2|2|0.57|0|0|0</v>
          </cell>
        </row>
        <row r="843">
          <cell r="A843">
            <v>111800</v>
          </cell>
          <cell r="B843" t="str">
            <v>混沌-普攻</v>
          </cell>
          <cell r="C843" t="str">
            <v>1|2|1|0|0|0</v>
          </cell>
        </row>
        <row r="844">
          <cell r="A844">
            <v>111801</v>
          </cell>
          <cell r="B844" t="str">
            <v>混沌-核心</v>
          </cell>
          <cell r="C844" t="str">
            <v>2|2|0.3|0|0|0</v>
          </cell>
        </row>
        <row r="845">
          <cell r="A845">
            <v>111802</v>
          </cell>
          <cell r="B845" t="str">
            <v>混沌-AI</v>
          </cell>
          <cell r="C845" t="str">
            <v>2|2|2.7|0|0|0</v>
          </cell>
        </row>
        <row r="846">
          <cell r="A846">
            <v>111804</v>
          </cell>
          <cell r="B846" t="str">
            <v>混沌-AI</v>
          </cell>
          <cell r="C846" t="str">
            <v>2|2|1.35|0|0|0</v>
          </cell>
        </row>
        <row r="847">
          <cell r="A847">
            <v>111805</v>
          </cell>
          <cell r="B847" t="str">
            <v>混沌-AI</v>
          </cell>
          <cell r="C847" t="str">
            <v>2|2|0.3|0|0|0</v>
          </cell>
        </row>
        <row r="848">
          <cell r="A848">
            <v>111900</v>
          </cell>
          <cell r="B848" t="str">
            <v>孙悟空-普攻</v>
          </cell>
          <cell r="C848" t="str">
            <v>1|1|1|0|0|0</v>
          </cell>
        </row>
        <row r="849">
          <cell r="A849">
            <v>111901</v>
          </cell>
          <cell r="B849" t="str">
            <v>孙悟空-普攻</v>
          </cell>
          <cell r="C849" t="str">
            <v>1|1|1|0|0|0</v>
          </cell>
        </row>
        <row r="850">
          <cell r="A850">
            <v>111902</v>
          </cell>
          <cell r="B850" t="str">
            <v>孙悟空-普攻</v>
          </cell>
          <cell r="C850" t="str">
            <v>1|1|1|0|0|0</v>
          </cell>
        </row>
        <row r="851">
          <cell r="A851">
            <v>111903</v>
          </cell>
          <cell r="B851" t="str">
            <v>孙悟空-核心</v>
          </cell>
          <cell r="C851" t="str">
            <v>2|1|0.83|0|0|0</v>
          </cell>
        </row>
        <row r="852">
          <cell r="A852">
            <v>111904</v>
          </cell>
          <cell r="B852" t="str">
            <v>孙悟空-AI</v>
          </cell>
          <cell r="C852" t="str">
            <v>2|1|0.83|0|0|0</v>
          </cell>
        </row>
        <row r="853">
          <cell r="A853">
            <v>111906</v>
          </cell>
          <cell r="B853" t="str">
            <v>孙悟空-AI</v>
          </cell>
          <cell r="C853" t="str">
            <v>2|1|0.41|0|0|0</v>
          </cell>
        </row>
        <row r="854">
          <cell r="A854">
            <v>111907</v>
          </cell>
          <cell r="B854" t="str">
            <v>孙悟空-核心_进阶</v>
          </cell>
          <cell r="C854" t="str">
            <v>2|1|0.99|0|0|0</v>
          </cell>
        </row>
        <row r="855">
          <cell r="A855">
            <v>111908</v>
          </cell>
          <cell r="B855" t="str">
            <v>孙悟空-AI_进阶</v>
          </cell>
          <cell r="C855" t="str">
            <v>2|1|1.16|0|0|0</v>
          </cell>
        </row>
        <row r="856">
          <cell r="A856">
            <v>111909</v>
          </cell>
          <cell r="B856" t="str">
            <v>孙悟空-AI_进阶</v>
          </cell>
          <cell r="C856" t="str">
            <v>2|1|0.58|0|0|0</v>
          </cell>
        </row>
        <row r="857">
          <cell r="A857">
            <v>111910</v>
          </cell>
          <cell r="B857" t="str">
            <v>孙悟空-AI</v>
          </cell>
          <cell r="C857" t="str">
            <v>2|1|1.65|0|0|0</v>
          </cell>
        </row>
        <row r="858">
          <cell r="A858">
            <v>111911</v>
          </cell>
          <cell r="B858" t="str">
            <v>孙悟空-AI</v>
          </cell>
          <cell r="C858" t="str">
            <v>2|1|1.65|0|0|0</v>
          </cell>
        </row>
        <row r="859">
          <cell r="A859">
            <v>111912</v>
          </cell>
          <cell r="B859" t="str">
            <v>孙悟空-AI</v>
          </cell>
          <cell r="C859" t="str">
            <v>2|1|0.83|0|0|0</v>
          </cell>
        </row>
        <row r="860">
          <cell r="A860">
            <v>112000</v>
          </cell>
          <cell r="B860" t="str">
            <v>猪八戒-普攻</v>
          </cell>
          <cell r="C860" t="str">
            <v>1|2|1|0|0|0</v>
          </cell>
        </row>
        <row r="861">
          <cell r="A861">
            <v>112001</v>
          </cell>
          <cell r="B861" t="str">
            <v>猪八戒-普攻</v>
          </cell>
          <cell r="C861" t="str">
            <v>1|2|1|0|0|0</v>
          </cell>
        </row>
        <row r="862">
          <cell r="A862">
            <v>112002</v>
          </cell>
          <cell r="B862" t="str">
            <v>猪八戒-普攻</v>
          </cell>
          <cell r="C862" t="str">
            <v>1|2|0.5|0|0|0</v>
          </cell>
        </row>
        <row r="863">
          <cell r="A863">
            <v>112003</v>
          </cell>
          <cell r="B863" t="str">
            <v>猪八戒-核心</v>
          </cell>
          <cell r="C863" t="str">
            <v>2|2|3|0|0|0</v>
          </cell>
        </row>
        <row r="864">
          <cell r="A864">
            <v>112004</v>
          </cell>
          <cell r="B864" t="str">
            <v>猪八戒-AI</v>
          </cell>
          <cell r="C864" t="str">
            <v>2|2|1.5|0|0|0</v>
          </cell>
        </row>
        <row r="865">
          <cell r="A865">
            <v>112006</v>
          </cell>
          <cell r="B865" t="str">
            <v>猪八戒-AI</v>
          </cell>
          <cell r="C865" t="str">
            <v>2|2|1.5|0|0|0</v>
          </cell>
        </row>
        <row r="866">
          <cell r="A866">
            <v>112007</v>
          </cell>
          <cell r="B866" t="str">
            <v>猪八戒-核心_进阶</v>
          </cell>
          <cell r="C866" t="str">
            <v>2|2|3.6|0|0|0</v>
          </cell>
        </row>
        <row r="867">
          <cell r="A867">
            <v>112008</v>
          </cell>
          <cell r="B867" t="str">
            <v>猪八戒-AI_进阶</v>
          </cell>
          <cell r="C867" t="str">
            <v>2|2|2.1|0|0|0</v>
          </cell>
        </row>
        <row r="868">
          <cell r="A868">
            <v>112009</v>
          </cell>
          <cell r="B868" t="str">
            <v>猪八戒-AI_进阶</v>
          </cell>
          <cell r="C868" t="str">
            <v>2|2|2.1|0|0|0</v>
          </cell>
        </row>
        <row r="869">
          <cell r="A869">
            <v>112010</v>
          </cell>
          <cell r="B869" t="str">
            <v>猪八戒-AI</v>
          </cell>
          <cell r="C869" t="str">
            <v>2|2|1|0|0|0</v>
          </cell>
        </row>
        <row r="870">
          <cell r="A870">
            <v>112011</v>
          </cell>
          <cell r="B870" t="str">
            <v>猪八戒-AI</v>
          </cell>
          <cell r="C870" t="str">
            <v>2|2|1.5|0|0|0</v>
          </cell>
        </row>
        <row r="871">
          <cell r="A871">
            <v>112012</v>
          </cell>
          <cell r="B871" t="str">
            <v>猪八戒-AI</v>
          </cell>
          <cell r="C871" t="str">
            <v>2|2|1.5|0|0|0</v>
          </cell>
        </row>
        <row r="872">
          <cell r="A872">
            <v>112100</v>
          </cell>
          <cell r="B872" t="str">
            <v>紫霞仙子-普攻</v>
          </cell>
          <cell r="C872" t="str">
            <v>1|2|1|0|0|0</v>
          </cell>
        </row>
        <row r="873">
          <cell r="A873">
            <v>112101</v>
          </cell>
          <cell r="B873" t="str">
            <v>紫霞仙子-普攻</v>
          </cell>
          <cell r="C873" t="str">
            <v>1|2|1|0|0|0</v>
          </cell>
        </row>
        <row r="874">
          <cell r="A874">
            <v>112102</v>
          </cell>
          <cell r="B874" t="str">
            <v>紫霞仙子-普攻</v>
          </cell>
          <cell r="C874" t="str">
            <v>1|2|1|0|0|0</v>
          </cell>
        </row>
        <row r="875">
          <cell r="A875">
            <v>112103</v>
          </cell>
          <cell r="B875" t="str">
            <v>紫霞仙子-核心</v>
          </cell>
          <cell r="C875" t="str">
            <v>2|2|0.47|0|0|0</v>
          </cell>
        </row>
        <row r="876">
          <cell r="A876">
            <v>112104</v>
          </cell>
          <cell r="B876" t="str">
            <v>紫霞仙子-AI</v>
          </cell>
          <cell r="C876" t="str">
            <v>2|2|0.55|0|0|0</v>
          </cell>
        </row>
        <row r="877">
          <cell r="A877">
            <v>112106</v>
          </cell>
          <cell r="B877" t="str">
            <v>紫霞仙子-AI</v>
          </cell>
          <cell r="C877" t="str">
            <v>2|2|0.33|0|0|0</v>
          </cell>
        </row>
        <row r="878">
          <cell r="A878">
            <v>112107</v>
          </cell>
          <cell r="B878" t="str">
            <v>紫霞仙子-核心_进阶</v>
          </cell>
          <cell r="C878" t="str">
            <v>2|2|0.57|0|0|0</v>
          </cell>
        </row>
        <row r="879">
          <cell r="A879">
            <v>112108</v>
          </cell>
          <cell r="B879" t="str">
            <v>紫霞仙子-AI_进阶</v>
          </cell>
          <cell r="C879" t="str">
            <v>2|2|0.77|0|0|0</v>
          </cell>
        </row>
        <row r="880">
          <cell r="A880">
            <v>112109</v>
          </cell>
          <cell r="B880" t="str">
            <v>紫霞仙子-AI_进阶</v>
          </cell>
          <cell r="C880" t="str">
            <v>2|2|0.46|0|0|0</v>
          </cell>
        </row>
        <row r="881">
          <cell r="A881">
            <v>112110</v>
          </cell>
          <cell r="B881" t="str">
            <v>紫霞仙子-AI</v>
          </cell>
          <cell r="C881" t="str">
            <v>2|2|3.3|0|0|0</v>
          </cell>
        </row>
        <row r="882">
          <cell r="A882">
            <v>112111</v>
          </cell>
          <cell r="B882" t="str">
            <v>紫霞仙子-AI</v>
          </cell>
          <cell r="C882" t="str">
            <v>2|2|1.65|0|0|0</v>
          </cell>
        </row>
        <row r="883">
          <cell r="A883">
            <v>112112</v>
          </cell>
          <cell r="B883" t="str">
            <v>紫霞仙子-AI</v>
          </cell>
          <cell r="C883" t="str">
            <v>2|2|0.66|0|0|0</v>
          </cell>
        </row>
        <row r="884">
          <cell r="A884">
            <v>112200</v>
          </cell>
          <cell r="B884" t="str">
            <v>唐三藏-普攻</v>
          </cell>
          <cell r="C884" t="str">
            <v>1|2|1|0|0|0</v>
          </cell>
        </row>
        <row r="885">
          <cell r="A885">
            <v>112201</v>
          </cell>
          <cell r="B885" t="str">
            <v>唐三藏-核心</v>
          </cell>
          <cell r="C885" t="str">
            <v>2|2|2.85|0|0|0</v>
          </cell>
        </row>
        <row r="886">
          <cell r="A886">
            <v>112202</v>
          </cell>
          <cell r="B886" t="str">
            <v>唐三藏-AI</v>
          </cell>
          <cell r="C886" t="str">
            <v>2|2|1.43|0|0|0</v>
          </cell>
        </row>
        <row r="887">
          <cell r="A887">
            <v>112204</v>
          </cell>
          <cell r="B887" t="str">
            <v>唐三藏-AI</v>
          </cell>
          <cell r="C887" t="str">
            <v>2|2|2.85|0|0|0</v>
          </cell>
        </row>
        <row r="888">
          <cell r="A888">
            <v>112205</v>
          </cell>
          <cell r="B888" t="str">
            <v>唐三藏-核心_进阶</v>
          </cell>
          <cell r="C888" t="str">
            <v>2|2|3.42|0|0|0</v>
          </cell>
        </row>
        <row r="889">
          <cell r="A889">
            <v>112206</v>
          </cell>
          <cell r="B889" t="str">
            <v>唐三藏-AI_进阶</v>
          </cell>
          <cell r="C889" t="str">
            <v>2|2|2|0|0|0</v>
          </cell>
        </row>
        <row r="890">
          <cell r="A890">
            <v>112207</v>
          </cell>
          <cell r="B890" t="str">
            <v>唐三藏-AI_进阶</v>
          </cell>
          <cell r="C890" t="str">
            <v>2|2|1.14|0|0|0</v>
          </cell>
        </row>
        <row r="891">
          <cell r="A891">
            <v>112300</v>
          </cell>
          <cell r="B891" t="str">
            <v>小白龙-普攻</v>
          </cell>
          <cell r="C891" t="str">
            <v>1|1|1|0|0|0</v>
          </cell>
        </row>
        <row r="892">
          <cell r="A892">
            <v>112301</v>
          </cell>
          <cell r="B892" t="str">
            <v>小白龙-普攻</v>
          </cell>
          <cell r="C892" t="str">
            <v>1|1|1|0|0|0</v>
          </cell>
        </row>
        <row r="893">
          <cell r="A893">
            <v>112302</v>
          </cell>
          <cell r="B893" t="str">
            <v>小白龙-普攻</v>
          </cell>
          <cell r="C893" t="str">
            <v>1|1|1|0|0|0</v>
          </cell>
        </row>
        <row r="894">
          <cell r="A894">
            <v>112303</v>
          </cell>
          <cell r="B894" t="str">
            <v>小白龙-核心</v>
          </cell>
          <cell r="C894" t="str">
            <v>2|1|1.58|0|0|0</v>
          </cell>
        </row>
        <row r="895">
          <cell r="A895">
            <v>112304</v>
          </cell>
          <cell r="B895" t="str">
            <v>小白龙-AI</v>
          </cell>
          <cell r="C895" t="str">
            <v>2|1|0.71|0|0|0</v>
          </cell>
        </row>
        <row r="896">
          <cell r="A896">
            <v>112306</v>
          </cell>
          <cell r="B896" t="str">
            <v>小白龙-AI</v>
          </cell>
          <cell r="C896" t="str">
            <v>2|1|1.43|0|0|0</v>
          </cell>
        </row>
        <row r="897">
          <cell r="A897">
            <v>112307</v>
          </cell>
          <cell r="B897" t="str">
            <v>小白龙-核心_进阶</v>
          </cell>
          <cell r="C897" t="str">
            <v>2|1|1.9|0|0|0</v>
          </cell>
        </row>
        <row r="898">
          <cell r="A898">
            <v>112308</v>
          </cell>
          <cell r="B898" t="str">
            <v>小白龙-AI_进阶</v>
          </cell>
          <cell r="C898" t="str">
            <v>2|1|1|0|0|0</v>
          </cell>
        </row>
        <row r="899">
          <cell r="A899">
            <v>112309</v>
          </cell>
          <cell r="B899" t="str">
            <v>小白龙-AI_进阶</v>
          </cell>
          <cell r="C899" t="str">
            <v>2|1|2|0|0|0</v>
          </cell>
        </row>
        <row r="900">
          <cell r="A900">
            <v>112400</v>
          </cell>
          <cell r="B900" t="str">
            <v>沙和尚-普攻</v>
          </cell>
          <cell r="C900" t="str">
            <v>1|2|1|0|0|0</v>
          </cell>
        </row>
        <row r="901">
          <cell r="A901">
            <v>112401</v>
          </cell>
          <cell r="B901" t="str">
            <v>沙和尚-核心</v>
          </cell>
          <cell r="C901" t="str">
            <v>2|2|3.3|0|0|0</v>
          </cell>
        </row>
        <row r="902">
          <cell r="A902">
            <v>112402</v>
          </cell>
          <cell r="B902" t="str">
            <v>沙和尚-AI</v>
          </cell>
          <cell r="C902" t="str">
            <v>2|2|0.83|0|0|0</v>
          </cell>
        </row>
        <row r="903">
          <cell r="A903">
            <v>112404</v>
          </cell>
          <cell r="B903" t="str">
            <v>沙和尚-AI</v>
          </cell>
          <cell r="C903" t="str">
            <v>2|2|0.55|0|0|0</v>
          </cell>
        </row>
        <row r="904">
          <cell r="A904">
            <v>112405</v>
          </cell>
          <cell r="B904" t="str">
            <v>沙和尚-核心_进阶</v>
          </cell>
          <cell r="C904" t="str">
            <v>2|2|3.96|0|0|0</v>
          </cell>
        </row>
        <row r="905">
          <cell r="A905">
            <v>112406</v>
          </cell>
          <cell r="B905" t="str">
            <v>沙和尚-AI_进阶</v>
          </cell>
          <cell r="C905" t="str">
            <v>2|2|1.16|0|0|0</v>
          </cell>
        </row>
        <row r="906">
          <cell r="A906">
            <v>112407</v>
          </cell>
          <cell r="B906" t="str">
            <v>沙和尚-AI_进阶</v>
          </cell>
          <cell r="C906" t="str">
            <v>2|2|0.77|0|0|0</v>
          </cell>
        </row>
        <row r="907">
          <cell r="A907">
            <v>112500</v>
          </cell>
          <cell r="B907" t="str">
            <v>迦叶-普攻</v>
          </cell>
          <cell r="C907" t="str">
            <v>1|1|1|0|0|0</v>
          </cell>
        </row>
        <row r="908">
          <cell r="A908">
            <v>112501</v>
          </cell>
          <cell r="B908" t="str">
            <v>迦叶-核心</v>
          </cell>
          <cell r="C908" t="str">
            <v>2|1|2.85|0|0|0</v>
          </cell>
        </row>
        <row r="909">
          <cell r="A909">
            <v>112502</v>
          </cell>
          <cell r="B909" t="str">
            <v>迦叶-AI</v>
          </cell>
          <cell r="C909" t="str">
            <v>2|1|0.95|0|0|0</v>
          </cell>
        </row>
        <row r="910">
          <cell r="A910">
            <v>112504</v>
          </cell>
          <cell r="B910" t="str">
            <v>迦叶-AI-治疗</v>
          </cell>
          <cell r="C910" t="str">
            <v>3|1|0.48|0</v>
          </cell>
        </row>
        <row r="911">
          <cell r="A911">
            <v>112505</v>
          </cell>
          <cell r="B911" t="str">
            <v>迦叶-核心_进阶</v>
          </cell>
          <cell r="C911" t="str">
            <v>2|1|3.42|0|0|0</v>
          </cell>
        </row>
        <row r="912">
          <cell r="A912">
            <v>112506</v>
          </cell>
          <cell r="B912" t="str">
            <v>迦叶-AI_进阶</v>
          </cell>
          <cell r="C912" t="str">
            <v>2|1|1.14|0|0|0</v>
          </cell>
        </row>
        <row r="913">
          <cell r="A913">
            <v>112507</v>
          </cell>
          <cell r="B913" t="str">
            <v>迦叶-AI_进阶-治疗</v>
          </cell>
          <cell r="C913" t="str">
            <v>3|1|0.57|0</v>
          </cell>
        </row>
        <row r="914">
          <cell r="A914">
            <v>112600</v>
          </cell>
          <cell r="B914" t="str">
            <v>文殊菩萨-普攻</v>
          </cell>
          <cell r="C914" t="str">
            <v>1|2|1|0|0|0</v>
          </cell>
        </row>
        <row r="915">
          <cell r="A915">
            <v>112601</v>
          </cell>
          <cell r="B915" t="str">
            <v>文殊菩萨-核心-治疗</v>
          </cell>
          <cell r="C915" t="str">
            <v>3|1|0.4|0</v>
          </cell>
        </row>
        <row r="916">
          <cell r="A916">
            <v>112602</v>
          </cell>
          <cell r="B916" t="str">
            <v>文殊菩萨-AI-治疗</v>
          </cell>
          <cell r="C916" t="str">
            <v>3|1|2.85|0</v>
          </cell>
        </row>
        <row r="917">
          <cell r="A917">
            <v>112604</v>
          </cell>
          <cell r="B917" t="str">
            <v>文殊菩萨-AI</v>
          </cell>
          <cell r="C917" t="str">
            <v>2|2|0.95|0|0|0</v>
          </cell>
        </row>
        <row r="918">
          <cell r="A918">
            <v>112605</v>
          </cell>
          <cell r="B918" t="str">
            <v>文殊菩萨-核心_进阶-治疗</v>
          </cell>
          <cell r="C918" t="str">
            <v>3|1|0.48|0</v>
          </cell>
        </row>
        <row r="919">
          <cell r="A919">
            <v>112606</v>
          </cell>
          <cell r="B919" t="str">
            <v>文殊菩萨-AI_进阶-治疗</v>
          </cell>
          <cell r="C919" t="str">
            <v>3|1|3.42|0</v>
          </cell>
        </row>
        <row r="920">
          <cell r="A920">
            <v>112607</v>
          </cell>
          <cell r="B920" t="str">
            <v>文殊菩萨-AI_进阶</v>
          </cell>
          <cell r="C920" t="str">
            <v>2|2|1.07|0|0|0</v>
          </cell>
        </row>
        <row r="921">
          <cell r="A921">
            <v>112700</v>
          </cell>
          <cell r="B921" t="str">
            <v>弥勒佛-普攻</v>
          </cell>
          <cell r="C921" t="str">
            <v>1|1|1|0|0|0</v>
          </cell>
        </row>
        <row r="922">
          <cell r="A922">
            <v>112701</v>
          </cell>
          <cell r="B922" t="str">
            <v>弥勒佛-普攻</v>
          </cell>
          <cell r="C922" t="str">
            <v>1|1|1|0|0|0</v>
          </cell>
        </row>
        <row r="923">
          <cell r="A923">
            <v>112702</v>
          </cell>
          <cell r="B923" t="str">
            <v>弥勒佛-普攻</v>
          </cell>
          <cell r="C923" t="str">
            <v>1|1|1|0|0|0</v>
          </cell>
        </row>
        <row r="924">
          <cell r="A924">
            <v>112703</v>
          </cell>
          <cell r="B924" t="str">
            <v>弥勒佛-核心</v>
          </cell>
          <cell r="C924" t="str">
            <v>2|1|3|0|0|0</v>
          </cell>
        </row>
        <row r="925">
          <cell r="A925">
            <v>112704</v>
          </cell>
          <cell r="B925" t="str">
            <v>弥勒佛-AI</v>
          </cell>
          <cell r="C925" t="str">
            <v>2|1|1.5|0|0|0</v>
          </cell>
        </row>
        <row r="926">
          <cell r="A926">
            <v>112706</v>
          </cell>
          <cell r="B926" t="str">
            <v>弥勒佛-AI-治疗</v>
          </cell>
          <cell r="C926" t="str">
            <v>3|1|0.75|0</v>
          </cell>
        </row>
        <row r="927">
          <cell r="A927">
            <v>112707</v>
          </cell>
          <cell r="B927" t="str">
            <v>弥勒佛-核心_进阶</v>
          </cell>
          <cell r="C927" t="str">
            <v>2|1|3.6|0|0|0</v>
          </cell>
        </row>
        <row r="928">
          <cell r="A928">
            <v>112708</v>
          </cell>
          <cell r="B928" t="str">
            <v>弥勒佛-AI_进阶</v>
          </cell>
          <cell r="C928" t="str">
            <v>2|1|2.1|0|0|0</v>
          </cell>
        </row>
        <row r="929">
          <cell r="A929">
            <v>112709</v>
          </cell>
          <cell r="B929" t="str">
            <v>弥勒佛-AI_进阶-治疗</v>
          </cell>
          <cell r="C929" t="str">
            <v>3|1|0.9|0</v>
          </cell>
        </row>
        <row r="930">
          <cell r="A930">
            <v>112800</v>
          </cell>
          <cell r="B930" t="str">
            <v>赛太岁-普攻</v>
          </cell>
          <cell r="C930" t="str">
            <v>1|2|1|0|0|0</v>
          </cell>
        </row>
        <row r="931">
          <cell r="A931">
            <v>112801</v>
          </cell>
          <cell r="B931" t="str">
            <v>赛太岁-核心</v>
          </cell>
          <cell r="C931" t="str">
            <v>2|2|0.45|0|0|0</v>
          </cell>
        </row>
        <row r="932">
          <cell r="A932">
            <v>112802</v>
          </cell>
          <cell r="B932" t="str">
            <v>赛太岁-AI</v>
          </cell>
          <cell r="C932" t="str">
            <v>2|2|0.27|0|0|0</v>
          </cell>
        </row>
        <row r="933">
          <cell r="A933">
            <v>112804</v>
          </cell>
          <cell r="B933" t="str">
            <v>赛太岁-AI</v>
          </cell>
          <cell r="C933" t="str">
            <v>2|2|0.45|0|0|0</v>
          </cell>
        </row>
        <row r="934">
          <cell r="A934">
            <v>113000</v>
          </cell>
          <cell r="B934" t="str">
            <v>地藏王-普攻</v>
          </cell>
          <cell r="C934" t="str">
            <v>1|1|1|0|0|0</v>
          </cell>
        </row>
        <row r="935">
          <cell r="A935">
            <v>113001</v>
          </cell>
          <cell r="B935" t="str">
            <v>地藏王-核心</v>
          </cell>
          <cell r="C935" t="str">
            <v>2|1|2.7|0|0|0</v>
          </cell>
        </row>
        <row r="936">
          <cell r="A936">
            <v>113002</v>
          </cell>
          <cell r="B936" t="str">
            <v>地藏王-AI-治疗</v>
          </cell>
          <cell r="C936" t="str">
            <v>3|1|2.7|0</v>
          </cell>
        </row>
        <row r="937">
          <cell r="A937">
            <v>113004</v>
          </cell>
          <cell r="B937" t="str">
            <v>地藏王-AI</v>
          </cell>
          <cell r="C937" t="str">
            <v>2|1|1.35|0|0|0</v>
          </cell>
        </row>
        <row r="938">
          <cell r="A938">
            <v>113100</v>
          </cell>
          <cell r="B938" t="str">
            <v>蝎子精-普攻</v>
          </cell>
          <cell r="C938" t="str">
            <v>1|2|1|0|0|0</v>
          </cell>
        </row>
        <row r="939">
          <cell r="A939">
            <v>113101</v>
          </cell>
          <cell r="B939" t="str">
            <v>蝎子精-核心</v>
          </cell>
          <cell r="C939" t="str">
            <v>2|2|4.75|0|0|0</v>
          </cell>
        </row>
        <row r="940">
          <cell r="A940">
            <v>113102</v>
          </cell>
          <cell r="B940" t="str">
            <v>蝎子精-AI</v>
          </cell>
          <cell r="C940" t="str">
            <v>2|2|2.85|0|0|0</v>
          </cell>
        </row>
        <row r="941">
          <cell r="A941">
            <v>113104</v>
          </cell>
          <cell r="B941" t="str">
            <v>蝎子精-AI</v>
          </cell>
          <cell r="C941" t="str">
            <v>2|2|1.43|0|0|0</v>
          </cell>
        </row>
        <row r="942">
          <cell r="A942">
            <v>113105</v>
          </cell>
          <cell r="B942" t="str">
            <v>蝎子精-核心_进阶</v>
          </cell>
          <cell r="C942" t="str">
            <v>2|2|5.7|0|0|0</v>
          </cell>
        </row>
        <row r="943">
          <cell r="A943">
            <v>113106</v>
          </cell>
          <cell r="B943" t="str">
            <v>蝎子精-AI_进阶</v>
          </cell>
          <cell r="C943" t="str">
            <v>2|2|3.42|0|0|0</v>
          </cell>
        </row>
        <row r="944">
          <cell r="A944">
            <v>113107</v>
          </cell>
          <cell r="B944" t="str">
            <v>蝎子精-AI_进阶</v>
          </cell>
          <cell r="C944" t="str">
            <v>2|2|2|0|0|0</v>
          </cell>
        </row>
        <row r="945">
          <cell r="A945">
            <v>113200</v>
          </cell>
          <cell r="B945" t="str">
            <v>混世魔王-普攻</v>
          </cell>
          <cell r="C945" t="str">
            <v>1|1|1|0|0|0</v>
          </cell>
        </row>
        <row r="946">
          <cell r="A946">
            <v>113201</v>
          </cell>
          <cell r="B946" t="str">
            <v>混世魔王-核心</v>
          </cell>
          <cell r="C946" t="str">
            <v>2|1|2.85|0|0|0</v>
          </cell>
        </row>
        <row r="947">
          <cell r="A947">
            <v>113202</v>
          </cell>
          <cell r="B947" t="str">
            <v>混世魔王-AI</v>
          </cell>
          <cell r="C947" t="str">
            <v>2|1|1.43|0|0|0</v>
          </cell>
        </row>
        <row r="948">
          <cell r="A948">
            <v>113204</v>
          </cell>
          <cell r="B948" t="str">
            <v>混世魔王-AI</v>
          </cell>
          <cell r="C948" t="str">
            <v>2|1|2.85|0|0|0</v>
          </cell>
        </row>
        <row r="949">
          <cell r="A949">
            <v>113205</v>
          </cell>
          <cell r="B949" t="str">
            <v>混世魔王-核心_进阶</v>
          </cell>
          <cell r="C949" t="str">
            <v>2|1|3.42|0|0|0</v>
          </cell>
        </row>
        <row r="950">
          <cell r="A950">
            <v>113206</v>
          </cell>
          <cell r="B950" t="str">
            <v>混世魔王-AI_进阶</v>
          </cell>
          <cell r="C950" t="str">
            <v>2|1|2|0|0|0</v>
          </cell>
        </row>
        <row r="951">
          <cell r="A951">
            <v>113207</v>
          </cell>
          <cell r="B951" t="str">
            <v>混世魔王-AI_进阶</v>
          </cell>
          <cell r="C951" t="str">
            <v>2|1|3.42|0|0|0</v>
          </cell>
        </row>
        <row r="952">
          <cell r="A952">
            <v>113300</v>
          </cell>
          <cell r="B952" t="str">
            <v>雷公-普攻</v>
          </cell>
          <cell r="C952" t="str">
            <v>1|2|1|0|0|0</v>
          </cell>
        </row>
        <row r="953">
          <cell r="A953">
            <v>113301</v>
          </cell>
          <cell r="B953" t="str">
            <v>雷公-核心</v>
          </cell>
          <cell r="C953" t="str">
            <v>2|2|0.9|0|0|0</v>
          </cell>
        </row>
        <row r="954">
          <cell r="A954">
            <v>113302</v>
          </cell>
          <cell r="B954" t="str">
            <v>雷公-AI</v>
          </cell>
          <cell r="C954" t="str">
            <v>2|2|1.35|0|0|0</v>
          </cell>
        </row>
        <row r="955">
          <cell r="A955">
            <v>113304</v>
          </cell>
          <cell r="B955" t="str">
            <v>雷公-AI</v>
          </cell>
          <cell r="C955" t="str">
            <v>2|2|1.35|0|0|0</v>
          </cell>
        </row>
        <row r="956">
          <cell r="A956">
            <v>113400</v>
          </cell>
          <cell r="B956" t="str">
            <v>泾河龙王-普攻</v>
          </cell>
          <cell r="C956" t="str">
            <v>1|1|1|0|0|0</v>
          </cell>
        </row>
        <row r="957">
          <cell r="A957">
            <v>113401</v>
          </cell>
          <cell r="B957" t="str">
            <v>泾河龙王-核心</v>
          </cell>
          <cell r="C957" t="str">
            <v>2|1|2.7|0|0|0</v>
          </cell>
        </row>
        <row r="958">
          <cell r="A958">
            <v>113402</v>
          </cell>
          <cell r="B958" t="str">
            <v>泾河龙王-AI</v>
          </cell>
          <cell r="C958" t="str">
            <v>2|1|1.35|0|0|0</v>
          </cell>
        </row>
        <row r="959">
          <cell r="A959">
            <v>113404</v>
          </cell>
          <cell r="B959" t="str">
            <v>泾河龙王-AI</v>
          </cell>
          <cell r="C959" t="str">
            <v>2|1|1.35|0|0|0</v>
          </cell>
        </row>
        <row r="960">
          <cell r="A960">
            <v>113500</v>
          </cell>
          <cell r="B960" t="str">
            <v>东海龙王-普攻</v>
          </cell>
          <cell r="C960" t="str">
            <v>1|1|1|0|0|0</v>
          </cell>
        </row>
        <row r="961">
          <cell r="A961">
            <v>113501</v>
          </cell>
          <cell r="B961" t="str">
            <v>东海龙王-核心</v>
          </cell>
          <cell r="C961" t="str">
            <v>2|1|2.85|0|0|0</v>
          </cell>
        </row>
        <row r="962">
          <cell r="A962">
            <v>113502</v>
          </cell>
          <cell r="B962" t="str">
            <v>东海龙王-AI</v>
          </cell>
          <cell r="C962" t="str">
            <v>2|1|2.85|0|0|0</v>
          </cell>
        </row>
        <row r="963">
          <cell r="A963">
            <v>113504</v>
          </cell>
          <cell r="B963" t="str">
            <v>东海龙王-AI</v>
          </cell>
          <cell r="C963" t="str">
            <v>2|1|1.43|0|0|0</v>
          </cell>
        </row>
        <row r="964">
          <cell r="A964">
            <v>113505</v>
          </cell>
          <cell r="B964" t="str">
            <v>东海龙王-核心_进阶</v>
          </cell>
          <cell r="C964" t="str">
            <v>2|1|5.7|0|0|0</v>
          </cell>
        </row>
        <row r="965">
          <cell r="A965">
            <v>113506</v>
          </cell>
          <cell r="B965" t="str">
            <v>东海龙王-AI_进阶</v>
          </cell>
          <cell r="C965" t="str">
            <v>2|1|3.42|0|0|0</v>
          </cell>
        </row>
        <row r="966">
          <cell r="A966">
            <v>113507</v>
          </cell>
          <cell r="B966" t="str">
            <v>东海龙王-AI_进阶</v>
          </cell>
          <cell r="C966" t="str">
            <v>2|1|2|0|0|0</v>
          </cell>
        </row>
        <row r="967">
          <cell r="A967">
            <v>113600</v>
          </cell>
          <cell r="B967" t="str">
            <v>白龙公主-普攻</v>
          </cell>
          <cell r="C967" t="str">
            <v>1|2|1|0|0|0</v>
          </cell>
        </row>
        <row r="968">
          <cell r="A968">
            <v>113601</v>
          </cell>
          <cell r="B968" t="str">
            <v>白龙公主-核心-治疗</v>
          </cell>
          <cell r="C968" t="str">
            <v>3|1|0.38|0</v>
          </cell>
        </row>
        <row r="969">
          <cell r="A969">
            <v>113602</v>
          </cell>
          <cell r="B969" t="str">
            <v>白龙公主-AI</v>
          </cell>
          <cell r="C969" t="str">
            <v>2|2|1.35|0|0|0</v>
          </cell>
        </row>
        <row r="970">
          <cell r="A970">
            <v>113604</v>
          </cell>
          <cell r="B970" t="str">
            <v>白龙公主-AI</v>
          </cell>
          <cell r="C970" t="str">
            <v>2|2|1.35|0|0|0</v>
          </cell>
        </row>
        <row r="971">
          <cell r="A971">
            <v>113700</v>
          </cell>
          <cell r="B971" t="str">
            <v>蜘蛛精-普攻</v>
          </cell>
          <cell r="C971" t="str">
            <v>1|1|1|0|0|0</v>
          </cell>
        </row>
        <row r="972">
          <cell r="A972">
            <v>113701</v>
          </cell>
          <cell r="B972" t="str">
            <v>蜘蛛精-核心</v>
          </cell>
          <cell r="C972" t="str">
            <v>2|1|4.75|0|0|0</v>
          </cell>
        </row>
        <row r="973">
          <cell r="A973">
            <v>113702</v>
          </cell>
          <cell r="B973" t="str">
            <v>蜘蛛精-AI</v>
          </cell>
          <cell r="C973" t="str">
            <v>2|1|1.43|0|0|0</v>
          </cell>
        </row>
        <row r="974">
          <cell r="A974">
            <v>113704</v>
          </cell>
          <cell r="B974" t="str">
            <v>蜘蛛精-AI</v>
          </cell>
          <cell r="C974" t="str">
            <v>2|1|1.43|0|0|0</v>
          </cell>
        </row>
        <row r="975">
          <cell r="A975">
            <v>113705</v>
          </cell>
          <cell r="B975" t="str">
            <v>蜘蛛精-核心_进阶</v>
          </cell>
          <cell r="C975" t="str">
            <v>2|1|5.7|0|0|0</v>
          </cell>
        </row>
        <row r="976">
          <cell r="A976">
            <v>113706</v>
          </cell>
          <cell r="B976" t="str">
            <v>蜘蛛精-AI_进阶</v>
          </cell>
          <cell r="C976" t="str">
            <v>2|1|2|0|0|0</v>
          </cell>
        </row>
        <row r="977">
          <cell r="A977">
            <v>113707</v>
          </cell>
          <cell r="B977" t="str">
            <v>蜘蛛精-AI_进阶</v>
          </cell>
          <cell r="C977" t="str">
            <v>2|1|2|0|0|0</v>
          </cell>
        </row>
        <row r="978">
          <cell r="A978">
            <v>113800</v>
          </cell>
          <cell r="B978" t="str">
            <v>玉面夫人-普攻</v>
          </cell>
          <cell r="C978" t="str">
            <v>1|2|1|0|0|0</v>
          </cell>
        </row>
        <row r="979">
          <cell r="A979">
            <v>113801</v>
          </cell>
          <cell r="B979" t="str">
            <v>玉面夫人-核心</v>
          </cell>
          <cell r="C979" t="str">
            <v>2|2|0.75|0|0|0</v>
          </cell>
        </row>
        <row r="980">
          <cell r="A980">
            <v>113802</v>
          </cell>
          <cell r="B980" t="str">
            <v>玉面夫人-AI</v>
          </cell>
          <cell r="C980" t="str">
            <v>2|2|1.35|0|0|0</v>
          </cell>
        </row>
        <row r="981">
          <cell r="A981">
            <v>113804</v>
          </cell>
          <cell r="B981" t="str">
            <v>玉面夫人-AI</v>
          </cell>
          <cell r="C981" t="str">
            <v>2|2|1.35|0|0|0</v>
          </cell>
        </row>
        <row r="982">
          <cell r="A982">
            <v>113900</v>
          </cell>
          <cell r="B982" t="str">
            <v>金钱豹王-普攻</v>
          </cell>
          <cell r="C982" t="str">
            <v>1|1|0.5|0|0|0</v>
          </cell>
        </row>
        <row r="983">
          <cell r="A983">
            <v>113901</v>
          </cell>
          <cell r="B983" t="str">
            <v>金钱豹王-核心</v>
          </cell>
          <cell r="C983" t="str">
            <v>2|1|2.7|0|0|0</v>
          </cell>
        </row>
        <row r="984">
          <cell r="A984">
            <v>113902</v>
          </cell>
          <cell r="B984" t="str">
            <v>金钱豹王-AI</v>
          </cell>
          <cell r="C984" t="str">
            <v>2|1|0.45|0|0|0</v>
          </cell>
        </row>
        <row r="985">
          <cell r="A985">
            <v>113904</v>
          </cell>
          <cell r="B985" t="str">
            <v>金钱豹王-AI</v>
          </cell>
          <cell r="C985" t="str">
            <v>2|1|0.39|0|0|0</v>
          </cell>
        </row>
        <row r="986">
          <cell r="A986">
            <v>114000</v>
          </cell>
          <cell r="B986" t="str">
            <v>墨鱼精-普攻</v>
          </cell>
          <cell r="C986" t="str">
            <v>1|1|0.5|0|0|0</v>
          </cell>
        </row>
        <row r="987">
          <cell r="A987">
            <v>114001</v>
          </cell>
          <cell r="B987" t="str">
            <v>墨鱼精-核心</v>
          </cell>
          <cell r="C987" t="str">
            <v>2|1|2.7|0|0|0</v>
          </cell>
        </row>
        <row r="988">
          <cell r="A988">
            <v>114002</v>
          </cell>
          <cell r="B988" t="str">
            <v>墨鱼精-AI</v>
          </cell>
          <cell r="C988" t="str">
            <v>2|1|0.45|0|0|0</v>
          </cell>
        </row>
        <row r="989">
          <cell r="A989">
            <v>114004</v>
          </cell>
          <cell r="B989" t="str">
            <v>墨鱼精-AI</v>
          </cell>
          <cell r="C989" t="str">
            <v>2|1|0.34|0|0|0</v>
          </cell>
        </row>
        <row r="990">
          <cell r="A990">
            <v>114100</v>
          </cell>
          <cell r="B990" t="str">
            <v>玉兔-普攻</v>
          </cell>
          <cell r="C990" t="str">
            <v>1|2|1|0|0|0</v>
          </cell>
        </row>
        <row r="991">
          <cell r="A991">
            <v>114101</v>
          </cell>
          <cell r="B991" t="str">
            <v>玉兔-核心-治疗</v>
          </cell>
          <cell r="C991" t="str">
            <v>3|1|0.5|0</v>
          </cell>
        </row>
        <row r="992">
          <cell r="A992">
            <v>114102</v>
          </cell>
          <cell r="B992" t="str">
            <v>玉兔-AI</v>
          </cell>
          <cell r="C992" t="str">
            <v>2|2|2.7|0|0|0</v>
          </cell>
        </row>
        <row r="993">
          <cell r="A993">
            <v>114104</v>
          </cell>
          <cell r="B993" t="str">
            <v>玉兔-AI</v>
          </cell>
          <cell r="C993" t="str">
            <v>2|2|0.54|0|0|0</v>
          </cell>
        </row>
        <row r="994">
          <cell r="A994">
            <v>114200</v>
          </cell>
          <cell r="B994" t="str">
            <v>狮人-光启-普攻</v>
          </cell>
          <cell r="C994" t="str">
            <v>1|1|1|0|0|0</v>
          </cell>
        </row>
        <row r="995">
          <cell r="A995">
            <v>114600</v>
          </cell>
          <cell r="B995" t="str">
            <v>石人-博达-普攻</v>
          </cell>
          <cell r="C995" t="str">
            <v>1|1|0.5|0|0|0</v>
          </cell>
        </row>
        <row r="996">
          <cell r="A996">
            <v>115200</v>
          </cell>
          <cell r="B996" t="str">
            <v>黑熊精-普攻</v>
          </cell>
          <cell r="C996" t="str">
            <v>1|1|0.5|0|0|0</v>
          </cell>
        </row>
        <row r="997">
          <cell r="A997">
            <v>115201</v>
          </cell>
          <cell r="B997" t="str">
            <v>黑熊精-AI</v>
          </cell>
          <cell r="C997" t="str">
            <v>2|1|0.68|0|0|0</v>
          </cell>
        </row>
        <row r="998">
          <cell r="A998">
            <v>115300</v>
          </cell>
          <cell r="B998" t="str">
            <v>夜叉-金利-普攻</v>
          </cell>
          <cell r="C998" t="str">
            <v>1|1|1|0|0|0</v>
          </cell>
        </row>
        <row r="999">
          <cell r="A999">
            <v>115500</v>
          </cell>
          <cell r="B999" t="str">
            <v>蟒精-雅芙-普攻</v>
          </cell>
          <cell r="C999" t="str">
            <v>1|1|1|0|0|0</v>
          </cell>
        </row>
        <row r="1000">
          <cell r="A1000">
            <v>115700</v>
          </cell>
          <cell r="B1000" t="str">
            <v>狐狸-优璇-普攻</v>
          </cell>
          <cell r="C1000" t="str">
            <v>1|1|1|0|0|0</v>
          </cell>
        </row>
        <row r="1001">
          <cell r="A1001">
            <v>116200</v>
          </cell>
          <cell r="B1001" t="str">
            <v>鲛人-嫦曦-普攻</v>
          </cell>
          <cell r="C1001" t="str">
            <v>1|2|1|0|0|0</v>
          </cell>
        </row>
        <row r="1002">
          <cell r="A1002">
            <v>116400</v>
          </cell>
          <cell r="B1002" t="str">
            <v>天兵-金斌-普攻</v>
          </cell>
          <cell r="C1002" t="str">
            <v>1|1|1|0|0|0</v>
          </cell>
        </row>
        <row r="1003">
          <cell r="A1003">
            <v>116700</v>
          </cell>
          <cell r="B1003" t="str">
            <v>狼人-霍金-普攻</v>
          </cell>
          <cell r="C1003" t="str">
            <v>1|1|1|0|0|0</v>
          </cell>
        </row>
        <row r="1004">
          <cell r="A1004">
            <v>117600</v>
          </cell>
          <cell r="B1004" t="str">
            <v>骷髅-德明-普攻</v>
          </cell>
          <cell r="C1004" t="str">
            <v>1|1|1|0|0|0</v>
          </cell>
        </row>
        <row r="1005">
          <cell r="A1005">
            <v>118000</v>
          </cell>
          <cell r="B1005" t="str">
            <v>蜘蛛-元瑶-普攻</v>
          </cell>
          <cell r="C1005" t="str">
            <v>1|2|1|0|0|0</v>
          </cell>
        </row>
        <row r="1006">
          <cell r="A1006">
            <v>118500</v>
          </cell>
          <cell r="B1006" t="str">
            <v>女鬼-歆瑶-普攻</v>
          </cell>
          <cell r="C1006" t="str">
            <v>1|1|1|0|0|0</v>
          </cell>
        </row>
        <row r="1007">
          <cell r="A1007">
            <v>119200</v>
          </cell>
          <cell r="B1007" t="str">
            <v>琴仙-普攻</v>
          </cell>
          <cell r="C1007" t="str">
            <v>1|2|1|0|0|0</v>
          </cell>
        </row>
        <row r="1008">
          <cell r="A1008">
            <v>119201</v>
          </cell>
          <cell r="B1008" t="str">
            <v>琴仙-AI</v>
          </cell>
          <cell r="C1008" t="str">
            <v>2|2|2.7|0|0|0</v>
          </cell>
        </row>
        <row r="1009">
          <cell r="A1009">
            <v>119300</v>
          </cell>
          <cell r="B1009" t="str">
            <v>猴兵-普攻</v>
          </cell>
          <cell r="C1009" t="str">
            <v>1|1|1|0|0|0</v>
          </cell>
        </row>
        <row r="1010">
          <cell r="A1010">
            <v>119400</v>
          </cell>
          <cell r="B1010" t="str">
            <v>山贼-普攻</v>
          </cell>
          <cell r="C1010" t="str">
            <v>1|1|1|0|0|0</v>
          </cell>
        </row>
        <row r="1011">
          <cell r="A1011">
            <v>120100</v>
          </cell>
          <cell r="B1011" t="str">
            <v>阎罗王-普攻</v>
          </cell>
          <cell r="C1011" t="str">
            <v>1|2|1|0|0|0</v>
          </cell>
        </row>
        <row r="1012">
          <cell r="A1012">
            <v>120101</v>
          </cell>
          <cell r="B1012" t="str">
            <v>阎罗王-核心</v>
          </cell>
          <cell r="C1012" t="str">
            <v>2|2|2.85|0|0|0</v>
          </cell>
        </row>
        <row r="1013">
          <cell r="A1013">
            <v>120102</v>
          </cell>
          <cell r="B1013" t="str">
            <v>阎罗王-AI</v>
          </cell>
          <cell r="C1013" t="str">
            <v>2|2|1.43|0|0|0</v>
          </cell>
        </row>
        <row r="1014">
          <cell r="A1014">
            <v>120104</v>
          </cell>
          <cell r="B1014" t="str">
            <v>阎罗王-AI</v>
          </cell>
          <cell r="C1014" t="str">
            <v>2|2|1.43|0|0|0</v>
          </cell>
        </row>
        <row r="1015">
          <cell r="A1015">
            <v>120105</v>
          </cell>
          <cell r="B1015" t="str">
            <v>阎罗王-核心_进阶</v>
          </cell>
          <cell r="C1015" t="str">
            <v>2|2|3.42|0|0|0</v>
          </cell>
        </row>
        <row r="1016">
          <cell r="A1016">
            <v>120106</v>
          </cell>
          <cell r="B1016" t="str">
            <v>阎罗王-AI_进阶</v>
          </cell>
          <cell r="C1016" t="str">
            <v>2|2|2|0|0|0</v>
          </cell>
        </row>
        <row r="1017">
          <cell r="A1017">
            <v>120107</v>
          </cell>
          <cell r="B1017" t="str">
            <v>阎罗王-AI_进阶</v>
          </cell>
          <cell r="C1017" t="str">
            <v>2|2|2|0|0|0</v>
          </cell>
        </row>
        <row r="1018">
          <cell r="A1018">
            <v>120200</v>
          </cell>
          <cell r="B1018" t="str">
            <v>人参娃-普攻</v>
          </cell>
          <cell r="C1018" t="str">
            <v>1|1|1|0|0|0</v>
          </cell>
        </row>
        <row r="1019">
          <cell r="A1019">
            <v>120201</v>
          </cell>
          <cell r="B1019" t="str">
            <v>人参娃-核心</v>
          </cell>
          <cell r="C1019" t="str">
            <v>2|1|4.75|0|0|0</v>
          </cell>
        </row>
        <row r="1020">
          <cell r="A1020">
            <v>120202</v>
          </cell>
          <cell r="B1020" t="str">
            <v>人参娃-AI</v>
          </cell>
          <cell r="C1020" t="str">
            <v>2|1|0.48|0|0|0</v>
          </cell>
        </row>
        <row r="1021">
          <cell r="A1021">
            <v>120204</v>
          </cell>
          <cell r="B1021" t="str">
            <v>人参娃-AI</v>
          </cell>
          <cell r="C1021" t="str">
            <v>2|1|2.85|0|0|0</v>
          </cell>
        </row>
        <row r="1022">
          <cell r="A1022">
            <v>120205</v>
          </cell>
          <cell r="B1022" t="str">
            <v>人参娃-核心_进阶</v>
          </cell>
          <cell r="C1022" t="str">
            <v>2|1|5.7|0|0|0</v>
          </cell>
        </row>
        <row r="1023">
          <cell r="A1023">
            <v>120206</v>
          </cell>
          <cell r="B1023" t="str">
            <v>人参娃-AI_进阶</v>
          </cell>
          <cell r="C1023" t="str">
            <v>2|1|1.14|0|0|0</v>
          </cell>
        </row>
        <row r="1024">
          <cell r="A1024">
            <v>120207</v>
          </cell>
          <cell r="B1024" t="str">
            <v>人参娃-AI_进阶</v>
          </cell>
          <cell r="C1024" t="str">
            <v>2|1|3.42|0|0|0</v>
          </cell>
        </row>
        <row r="1025">
          <cell r="A1025">
            <v>120300</v>
          </cell>
          <cell r="B1025" t="str">
            <v>鬼使黑-普攻</v>
          </cell>
          <cell r="C1025" t="str">
            <v>1|1|1|0|0|0</v>
          </cell>
        </row>
        <row r="1026">
          <cell r="A1026">
            <v>120301</v>
          </cell>
          <cell r="B1026" t="str">
            <v>鬼使黑-普攻</v>
          </cell>
          <cell r="C1026" t="str">
            <v>1|1|1|0|0|0</v>
          </cell>
        </row>
        <row r="1027">
          <cell r="A1027">
            <v>120302</v>
          </cell>
          <cell r="B1027" t="str">
            <v>鬼使黑-核心</v>
          </cell>
          <cell r="C1027" t="str">
            <v>2|1|2.7|0|0|0</v>
          </cell>
        </row>
        <row r="1028">
          <cell r="A1028">
            <v>120303</v>
          </cell>
          <cell r="B1028" t="str">
            <v>鬼使黑-AI</v>
          </cell>
          <cell r="C1028" t="str">
            <v>2|1|2.7|0|0|0</v>
          </cell>
        </row>
        <row r="1029">
          <cell r="A1029">
            <v>120305</v>
          </cell>
          <cell r="B1029" t="str">
            <v>鬼使黑-AI</v>
          </cell>
          <cell r="C1029" t="str">
            <v>2|1|1.35|0|0|0</v>
          </cell>
        </row>
        <row r="1030">
          <cell r="A1030">
            <v>120400</v>
          </cell>
          <cell r="B1030" t="str">
            <v>鬼使白-普攻</v>
          </cell>
          <cell r="C1030" t="str">
            <v>1|2|1|0|0|0</v>
          </cell>
        </row>
        <row r="1031">
          <cell r="A1031">
            <v>120401</v>
          </cell>
          <cell r="B1031" t="str">
            <v>鬼使白-核心</v>
          </cell>
          <cell r="C1031" t="str">
            <v>2|2|2.7|0|0|0</v>
          </cell>
        </row>
        <row r="1032">
          <cell r="A1032">
            <v>120402</v>
          </cell>
          <cell r="B1032" t="str">
            <v>鬼使白-AI</v>
          </cell>
          <cell r="C1032" t="str">
            <v>2|2|1.35|0|0|0</v>
          </cell>
        </row>
        <row r="1033">
          <cell r="A1033">
            <v>120404</v>
          </cell>
          <cell r="B1033" t="str">
            <v>鬼使白-AI</v>
          </cell>
          <cell r="C1033" t="str">
            <v>2|2|1.35|0|0|0</v>
          </cell>
        </row>
        <row r="1034">
          <cell r="A1034">
            <v>120500</v>
          </cell>
          <cell r="B1034" t="str">
            <v>马面-普攻</v>
          </cell>
          <cell r="C1034" t="str">
            <v>1|1|1|0|0|0</v>
          </cell>
        </row>
        <row r="1035">
          <cell r="A1035">
            <v>120501</v>
          </cell>
          <cell r="B1035" t="str">
            <v>马面-核心</v>
          </cell>
          <cell r="C1035" t="str">
            <v>2|1|2.7|0|0|0</v>
          </cell>
        </row>
        <row r="1036">
          <cell r="A1036">
            <v>120502</v>
          </cell>
          <cell r="B1036" t="str">
            <v>马面-AI</v>
          </cell>
          <cell r="C1036" t="str">
            <v>2|1|0.39|0|0|0</v>
          </cell>
        </row>
        <row r="1037">
          <cell r="A1037">
            <v>120504</v>
          </cell>
          <cell r="B1037" t="str">
            <v>马面-AI</v>
          </cell>
          <cell r="C1037" t="str">
            <v>2|1|1.35|0|0|0</v>
          </cell>
        </row>
        <row r="1038">
          <cell r="A1038">
            <v>120600</v>
          </cell>
          <cell r="B1038" t="str">
            <v>牛头-普攻</v>
          </cell>
          <cell r="C1038" t="str">
            <v>1|1|1|0|0|0</v>
          </cell>
        </row>
        <row r="1039">
          <cell r="A1039">
            <v>120601</v>
          </cell>
          <cell r="B1039" t="str">
            <v>牛头-核心</v>
          </cell>
          <cell r="C1039" t="str">
            <v>2|1|2.7|0|0|0</v>
          </cell>
        </row>
        <row r="1040">
          <cell r="A1040">
            <v>120602</v>
          </cell>
          <cell r="B1040" t="str">
            <v>牛头-AI</v>
          </cell>
          <cell r="C1040" t="str">
            <v>2|1|2.7|0|0|0</v>
          </cell>
        </row>
        <row r="1041">
          <cell r="A1041">
            <v>120604</v>
          </cell>
          <cell r="B1041" t="str">
            <v>牛头-AI</v>
          </cell>
          <cell r="C1041" t="str">
            <v>2|1|0.45|0|0|0</v>
          </cell>
        </row>
        <row r="1042">
          <cell r="A1042">
            <v>120700</v>
          </cell>
          <cell r="B1042" t="str">
            <v>引魂仙子-普攻</v>
          </cell>
          <cell r="C1042" t="str">
            <v>1|2|1|0|0|0</v>
          </cell>
        </row>
        <row r="1043">
          <cell r="A1043">
            <v>120701</v>
          </cell>
          <cell r="B1043" t="str">
            <v>引魂仙子-核心</v>
          </cell>
          <cell r="C1043" t="str">
            <v>2|2|1.58|0|0|0</v>
          </cell>
        </row>
        <row r="1044">
          <cell r="A1044">
            <v>120702</v>
          </cell>
          <cell r="B1044" t="str">
            <v>引魂仙子-AI</v>
          </cell>
          <cell r="C1044" t="str">
            <v>2|2|1.43|0|0|0</v>
          </cell>
        </row>
        <row r="1045">
          <cell r="A1045">
            <v>120704</v>
          </cell>
          <cell r="B1045" t="str">
            <v>引魂仙子-AI</v>
          </cell>
          <cell r="C1045" t="str">
            <v>2|2|0.71|0|0|0</v>
          </cell>
        </row>
        <row r="1046">
          <cell r="A1046">
            <v>120705</v>
          </cell>
          <cell r="B1046" t="str">
            <v>引魂仙子-核心_进阶</v>
          </cell>
          <cell r="C1046" t="str">
            <v>2|2|1.43|0|0|0</v>
          </cell>
        </row>
        <row r="1047">
          <cell r="A1047">
            <v>120706</v>
          </cell>
          <cell r="B1047" t="str">
            <v>引魂仙子-AI_进阶</v>
          </cell>
          <cell r="C1047" t="str">
            <v>2|2|2|0|0|0</v>
          </cell>
        </row>
        <row r="1048">
          <cell r="A1048">
            <v>120707</v>
          </cell>
          <cell r="B1048" t="str">
            <v>引魂仙子-AI_进阶</v>
          </cell>
          <cell r="C1048" t="str">
            <v>2|2|0.5|0|0|0</v>
          </cell>
        </row>
        <row r="1049">
          <cell r="A1049">
            <v>120800</v>
          </cell>
          <cell r="B1049" t="str">
            <v>彩蝶仙童-普攻</v>
          </cell>
          <cell r="C1049" t="str">
            <v>1|2|1|0|0|0</v>
          </cell>
        </row>
        <row r="1050">
          <cell r="A1050">
            <v>120801</v>
          </cell>
          <cell r="B1050" t="str">
            <v>彩蝶仙童-核心</v>
          </cell>
          <cell r="C1050" t="str">
            <v>2|2|0.95|0|0|0</v>
          </cell>
        </row>
        <row r="1051">
          <cell r="A1051">
            <v>120802</v>
          </cell>
          <cell r="B1051" t="str">
            <v>彩蝶仙童-AI</v>
          </cell>
          <cell r="C1051" t="str">
            <v>2|2|2.85|0|0|0</v>
          </cell>
        </row>
        <row r="1052">
          <cell r="A1052">
            <v>120804</v>
          </cell>
          <cell r="B1052" t="str">
            <v>彩蝶仙童-AI</v>
          </cell>
          <cell r="C1052" t="str">
            <v>2|2|2.85|0|0|0</v>
          </cell>
        </row>
        <row r="1053">
          <cell r="A1053">
            <v>120805</v>
          </cell>
          <cell r="B1053" t="str">
            <v>彩蝶仙童-核心_进阶</v>
          </cell>
          <cell r="C1053" t="str">
            <v>2|2|1.14|0|0|0</v>
          </cell>
        </row>
        <row r="1054">
          <cell r="A1054">
            <v>120806</v>
          </cell>
          <cell r="B1054" t="str">
            <v>彩蝶仙童-AI_进阶</v>
          </cell>
          <cell r="C1054" t="str">
            <v>2|2|3.42|0|0|0</v>
          </cell>
        </row>
        <row r="1055">
          <cell r="A1055">
            <v>120807</v>
          </cell>
          <cell r="B1055" t="str">
            <v>彩蝶仙童-AI_进阶</v>
          </cell>
          <cell r="C1055" t="str">
            <v>2|2|1.71|0|0|0</v>
          </cell>
        </row>
        <row r="1056">
          <cell r="A1056">
            <v>121100</v>
          </cell>
          <cell r="B1056" t="str">
            <v>斗战胜佛-普攻</v>
          </cell>
          <cell r="C1056" t="str">
            <v>1|1|1|0|0|0</v>
          </cell>
        </row>
        <row r="1057">
          <cell r="A1057">
            <v>121101</v>
          </cell>
          <cell r="B1057" t="str">
            <v>斗战胜佛-普攻</v>
          </cell>
          <cell r="C1057" t="str">
            <v>1|1|1|0|0|0</v>
          </cell>
        </row>
        <row r="1058">
          <cell r="A1058">
            <v>121102</v>
          </cell>
          <cell r="B1058" t="str">
            <v>斗战胜佛-普攻</v>
          </cell>
          <cell r="C1058" t="str">
            <v>1|1|1|0|0|0</v>
          </cell>
        </row>
        <row r="1059">
          <cell r="A1059">
            <v>121103</v>
          </cell>
          <cell r="B1059" t="str">
            <v>斗战胜佛-核心</v>
          </cell>
          <cell r="C1059" t="str">
            <v>2|1|1.1|0|0|0</v>
          </cell>
        </row>
        <row r="1060">
          <cell r="A1060">
            <v>121104</v>
          </cell>
          <cell r="B1060" t="str">
            <v>斗战胜佛-AI</v>
          </cell>
          <cell r="C1060" t="str">
            <v>2|1|0.55|0|0|0</v>
          </cell>
        </row>
        <row r="1061">
          <cell r="A1061">
            <v>121106</v>
          </cell>
          <cell r="B1061" t="str">
            <v>斗战胜佛-AI</v>
          </cell>
          <cell r="C1061" t="str">
            <v>2|1|0.24|0|0|0</v>
          </cell>
        </row>
        <row r="1062">
          <cell r="A1062">
            <v>121107</v>
          </cell>
          <cell r="B1062" t="str">
            <v>斗战胜佛-核心_进阶</v>
          </cell>
          <cell r="C1062" t="str">
            <v>2|1|1.32|0|0|0</v>
          </cell>
        </row>
        <row r="1063">
          <cell r="A1063">
            <v>121108</v>
          </cell>
          <cell r="B1063" t="str">
            <v>斗战胜佛-AI_进阶</v>
          </cell>
          <cell r="C1063" t="str">
            <v>2|1|0.77|0|0|0</v>
          </cell>
        </row>
        <row r="1064">
          <cell r="A1064">
            <v>121109</v>
          </cell>
          <cell r="B1064" t="str">
            <v>斗战胜佛-AI_进阶</v>
          </cell>
          <cell r="C1064" t="str">
            <v>2|1|0.33|0|0|0</v>
          </cell>
        </row>
        <row r="1065">
          <cell r="A1065">
            <v>121200</v>
          </cell>
          <cell r="B1065" t="str">
            <v>金蝉子-普攻</v>
          </cell>
          <cell r="C1065" t="str">
            <v>1|2|1|0|0|0</v>
          </cell>
        </row>
        <row r="1066">
          <cell r="A1066">
            <v>121201</v>
          </cell>
          <cell r="B1066" t="str">
            <v>金蝉子-核心</v>
          </cell>
          <cell r="C1066" t="str">
            <v>2|2|3|0|0|0</v>
          </cell>
        </row>
        <row r="1067">
          <cell r="A1067">
            <v>121202</v>
          </cell>
          <cell r="B1067" t="str">
            <v>金蝉子-AI</v>
          </cell>
          <cell r="C1067" t="str">
            <v>2|2|1.5|0|0|0</v>
          </cell>
        </row>
        <row r="1068">
          <cell r="A1068">
            <v>121204</v>
          </cell>
          <cell r="B1068" t="str">
            <v>金蝉子-AI</v>
          </cell>
          <cell r="C1068" t="str">
            <v>2|2|0.21|0|0|0</v>
          </cell>
        </row>
        <row r="1069">
          <cell r="A1069">
            <v>121205</v>
          </cell>
          <cell r="B1069" t="str">
            <v>金蝉子-核心_进阶</v>
          </cell>
          <cell r="C1069" t="str">
            <v>2|2|3.6|0|0|0</v>
          </cell>
        </row>
        <row r="1070">
          <cell r="A1070">
            <v>121206</v>
          </cell>
          <cell r="B1070" t="str">
            <v>金蝉子-AI_进阶</v>
          </cell>
          <cell r="C1070" t="str">
            <v>2|2|2.1|0|0|0</v>
          </cell>
        </row>
        <row r="1071">
          <cell r="A1071">
            <v>121207</v>
          </cell>
          <cell r="B1071" t="str">
            <v>金蝉子-AI_进阶</v>
          </cell>
          <cell r="C1071" t="str">
            <v>2|2|0.3|0|0|0</v>
          </cell>
        </row>
        <row r="1072">
          <cell r="A1072">
            <v>121300</v>
          </cell>
          <cell r="B1072" t="str">
            <v>龙帝-普攻</v>
          </cell>
          <cell r="C1072" t="str">
            <v>1|2|1|0|0|0</v>
          </cell>
        </row>
        <row r="1073">
          <cell r="A1073">
            <v>121301</v>
          </cell>
          <cell r="B1073" t="str">
            <v>龙帝-普攻</v>
          </cell>
          <cell r="C1073" t="str">
            <v>1|2|1|0|0|0</v>
          </cell>
        </row>
        <row r="1074">
          <cell r="A1074">
            <v>121302</v>
          </cell>
          <cell r="B1074" t="str">
            <v>龙帝-普攻</v>
          </cell>
          <cell r="C1074" t="str">
            <v>1|2|1|0|0|0</v>
          </cell>
        </row>
        <row r="1075">
          <cell r="A1075">
            <v>121303</v>
          </cell>
          <cell r="B1075" t="str">
            <v>龙帝-核心</v>
          </cell>
          <cell r="C1075" t="str">
            <v>2|2|5|0|0|0</v>
          </cell>
        </row>
        <row r="1076">
          <cell r="A1076">
            <v>121304</v>
          </cell>
          <cell r="B1076" t="str">
            <v>龙帝-AI</v>
          </cell>
          <cell r="C1076" t="str">
            <v>2|2|0.75|0|0|0</v>
          </cell>
        </row>
        <row r="1077">
          <cell r="A1077">
            <v>121306</v>
          </cell>
          <cell r="B1077" t="str">
            <v>龙帝-AI</v>
          </cell>
          <cell r="C1077" t="str">
            <v>2|2|0.75|0|0|0</v>
          </cell>
        </row>
        <row r="1078">
          <cell r="A1078">
            <v>121307</v>
          </cell>
          <cell r="B1078" t="str">
            <v>龙帝-核心_进阶</v>
          </cell>
          <cell r="C1078" t="str">
            <v>2|2|6|0|0|0</v>
          </cell>
        </row>
        <row r="1079">
          <cell r="A1079">
            <v>121308</v>
          </cell>
          <cell r="B1079" t="str">
            <v>龙帝-AI_进阶</v>
          </cell>
          <cell r="C1079" t="str">
            <v>2|2|1.05|0|0|0</v>
          </cell>
        </row>
        <row r="1080">
          <cell r="A1080">
            <v>121309</v>
          </cell>
          <cell r="B1080" t="str">
            <v>龙帝-AI_进阶</v>
          </cell>
          <cell r="C1080" t="str">
            <v>2|2|0.7|0|0|0</v>
          </cell>
        </row>
        <row r="1081">
          <cell r="A1081">
            <v>121400</v>
          </cell>
          <cell r="B1081" t="str">
            <v>八部天龙-普攻</v>
          </cell>
          <cell r="C1081" t="str">
            <v>1|1|1|0|0|0</v>
          </cell>
        </row>
        <row r="1082">
          <cell r="A1082">
            <v>121401</v>
          </cell>
          <cell r="B1082" t="str">
            <v>八部天龙-普攻</v>
          </cell>
          <cell r="C1082" t="str">
            <v>1|1|1|0|0|0</v>
          </cell>
        </row>
        <row r="1083">
          <cell r="A1083">
            <v>121402</v>
          </cell>
          <cell r="B1083" t="str">
            <v>八部天龙-普攻</v>
          </cell>
          <cell r="C1083" t="str">
            <v>1|1|1|0|0|0</v>
          </cell>
        </row>
        <row r="1084">
          <cell r="A1084">
            <v>121403</v>
          </cell>
          <cell r="B1084" t="str">
            <v>八部天龙-核心</v>
          </cell>
          <cell r="C1084" t="str">
            <v>2|1|1.67|0|0|0</v>
          </cell>
        </row>
        <row r="1085">
          <cell r="A1085">
            <v>121404</v>
          </cell>
          <cell r="B1085" t="str">
            <v>八部天龙-AI</v>
          </cell>
          <cell r="C1085" t="str">
            <v>2|1|1.5|0|0|0</v>
          </cell>
        </row>
        <row r="1086">
          <cell r="A1086">
            <v>121406</v>
          </cell>
          <cell r="B1086" t="str">
            <v>八部天龙-AI</v>
          </cell>
          <cell r="C1086" t="str">
            <v>2|1|1.5|0|0|0</v>
          </cell>
        </row>
        <row r="1087">
          <cell r="A1087">
            <v>121407</v>
          </cell>
          <cell r="B1087" t="str">
            <v>八部天龙-核心_进阶</v>
          </cell>
          <cell r="C1087" t="str">
            <v>2|1|2|0|0|0</v>
          </cell>
        </row>
        <row r="1088">
          <cell r="A1088">
            <v>121408</v>
          </cell>
          <cell r="B1088" t="str">
            <v>八部天龙-AI_进阶</v>
          </cell>
          <cell r="C1088" t="str">
            <v>2|1|2.1|0|0|0</v>
          </cell>
        </row>
        <row r="1089">
          <cell r="A1089">
            <v>121409</v>
          </cell>
          <cell r="B1089" t="str">
            <v>八部天龙-AI_进阶</v>
          </cell>
          <cell r="C1089" t="str">
            <v>2|1|2.1|0|0|0</v>
          </cell>
        </row>
        <row r="1090">
          <cell r="A1090">
            <v>121500</v>
          </cell>
          <cell r="B1090" t="str">
            <v>观世音-普攻</v>
          </cell>
          <cell r="C1090" t="str">
            <v>1|2|1|0|0|0</v>
          </cell>
        </row>
        <row r="1091">
          <cell r="A1091">
            <v>121501</v>
          </cell>
          <cell r="B1091" t="str">
            <v>观世音-核心-治疗</v>
          </cell>
          <cell r="C1091" t="str">
            <v>3|1|0.42|0</v>
          </cell>
        </row>
        <row r="1092">
          <cell r="A1092">
            <v>121502</v>
          </cell>
          <cell r="B1092" t="str">
            <v>观世音-AI-治疗</v>
          </cell>
          <cell r="C1092" t="str">
            <v>3|1|3|0</v>
          </cell>
        </row>
        <row r="1093">
          <cell r="A1093">
            <v>121504</v>
          </cell>
          <cell r="B1093" t="str">
            <v>观世音-AI-治疗</v>
          </cell>
          <cell r="C1093" t="str">
            <v>3|1|3|0</v>
          </cell>
        </row>
        <row r="1094">
          <cell r="A1094">
            <v>121505</v>
          </cell>
          <cell r="B1094" t="str">
            <v>观世音-核心_进阶-治疗</v>
          </cell>
          <cell r="C1094" t="str">
            <v>3|1|0.5|0</v>
          </cell>
        </row>
        <row r="1095">
          <cell r="A1095">
            <v>121506</v>
          </cell>
          <cell r="B1095" t="str">
            <v>观世音-AI_进阶-治疗</v>
          </cell>
          <cell r="C1095" t="str">
            <v>3|1|3.6|0</v>
          </cell>
        </row>
        <row r="1096">
          <cell r="A1096">
            <v>121507</v>
          </cell>
          <cell r="B1096" t="str">
            <v>观世音-AI_进阶-治疗</v>
          </cell>
          <cell r="C1096" t="str">
            <v>3|1|3.6|0</v>
          </cell>
        </row>
        <row r="1097">
          <cell r="A1097">
            <v>121600</v>
          </cell>
          <cell r="B1097" t="str">
            <v>女儿国国王-普攻</v>
          </cell>
          <cell r="C1097" t="str">
            <v>1|2|1|0|0|0</v>
          </cell>
        </row>
        <row r="1098">
          <cell r="A1098">
            <v>121601</v>
          </cell>
          <cell r="B1098" t="str">
            <v>女儿国国王-普攻</v>
          </cell>
          <cell r="C1098" t="str">
            <v>1|2|1|0|0|0</v>
          </cell>
        </row>
        <row r="1099">
          <cell r="A1099">
            <v>121602</v>
          </cell>
          <cell r="B1099" t="str">
            <v>女儿国国王-普攻</v>
          </cell>
          <cell r="C1099" t="str">
            <v>1|2|1|0|0|0</v>
          </cell>
        </row>
        <row r="1100">
          <cell r="A1100">
            <v>121603</v>
          </cell>
          <cell r="B1100" t="str">
            <v>女儿国国王-核心</v>
          </cell>
          <cell r="C1100" t="str">
            <v>2|2|4.75|0|0|0</v>
          </cell>
        </row>
        <row r="1101">
          <cell r="A1101">
            <v>121604</v>
          </cell>
          <cell r="B1101" t="str">
            <v>女儿国国王-AI</v>
          </cell>
          <cell r="C1101" t="str">
            <v>2|2|2.85|0|0|0</v>
          </cell>
        </row>
        <row r="1102">
          <cell r="A1102">
            <v>121606</v>
          </cell>
          <cell r="B1102" t="str">
            <v>女儿国国王-AI</v>
          </cell>
          <cell r="C1102" t="str">
            <v>2|2|0.95|0|0|0</v>
          </cell>
        </row>
        <row r="1103">
          <cell r="A1103">
            <v>121607</v>
          </cell>
          <cell r="B1103" t="str">
            <v>女儿国国王-核心_进阶</v>
          </cell>
          <cell r="C1103" t="str">
            <v>2|2|5.7|0|0|0</v>
          </cell>
        </row>
        <row r="1104">
          <cell r="A1104">
            <v>121608</v>
          </cell>
          <cell r="B1104" t="str">
            <v>女儿国国王-AI_进阶</v>
          </cell>
          <cell r="C1104" t="str">
            <v>2|2|3.42|0|0|0</v>
          </cell>
        </row>
        <row r="1105">
          <cell r="A1105">
            <v>121609</v>
          </cell>
          <cell r="B1105" t="str">
            <v>女儿国国王-AI_进阶</v>
          </cell>
          <cell r="C1105" t="str">
            <v>2|2|1.14|0|0|0</v>
          </cell>
        </row>
        <row r="1106">
          <cell r="A1106">
            <v>121700</v>
          </cell>
          <cell r="B1106" t="str">
            <v>虾兵-普攻</v>
          </cell>
          <cell r="C1106" t="str">
            <v>1|1|1|0|0|0</v>
          </cell>
        </row>
        <row r="1107">
          <cell r="A1107">
            <v>121800</v>
          </cell>
          <cell r="B1107" t="str">
            <v>白无常-普攻</v>
          </cell>
          <cell r="C1107" t="str">
            <v>1|2|1|0|0|0</v>
          </cell>
        </row>
        <row r="1108">
          <cell r="A1108">
            <v>121801</v>
          </cell>
          <cell r="B1108" t="str">
            <v>白无常-普攻</v>
          </cell>
          <cell r="C1108" t="str">
            <v>1|2|1|0|0|0</v>
          </cell>
        </row>
        <row r="1109">
          <cell r="A1109">
            <v>121802</v>
          </cell>
          <cell r="B1109" t="str">
            <v>白无常-普攻</v>
          </cell>
          <cell r="C1109" t="str">
            <v>1|2|1|0|0|0</v>
          </cell>
        </row>
        <row r="1110">
          <cell r="A1110">
            <v>121803</v>
          </cell>
          <cell r="B1110" t="str">
            <v>白无常-核心</v>
          </cell>
          <cell r="C1110" t="str">
            <v>2|2|5|0|0|0</v>
          </cell>
        </row>
        <row r="1111">
          <cell r="A1111">
            <v>121804</v>
          </cell>
          <cell r="B1111" t="str">
            <v>白无常-AI</v>
          </cell>
          <cell r="C1111" t="str">
            <v>2|2|1.5|0|0|0</v>
          </cell>
        </row>
        <row r="1112">
          <cell r="A1112">
            <v>121806</v>
          </cell>
          <cell r="B1112" t="str">
            <v>白无常-AI</v>
          </cell>
          <cell r="C1112" t="str">
            <v>2|2|0.21|0|0|0</v>
          </cell>
        </row>
        <row r="1113">
          <cell r="A1113">
            <v>121807</v>
          </cell>
          <cell r="B1113" t="str">
            <v>白无常-核心_进阶</v>
          </cell>
          <cell r="C1113" t="str">
            <v>2|2|6|0|0|0</v>
          </cell>
        </row>
        <row r="1114">
          <cell r="A1114">
            <v>121808</v>
          </cell>
          <cell r="B1114" t="str">
            <v>白无常-AI_进阶</v>
          </cell>
          <cell r="C1114" t="str">
            <v>2|2|2.1|0|0|0</v>
          </cell>
        </row>
        <row r="1115">
          <cell r="A1115">
            <v>121809</v>
          </cell>
          <cell r="B1115" t="str">
            <v>白无常-AI_进阶</v>
          </cell>
          <cell r="C1115" t="str">
            <v>2|2|0.3|0|0|0</v>
          </cell>
        </row>
        <row r="1116">
          <cell r="A1116">
            <v>121900</v>
          </cell>
          <cell r="B1116" t="str">
            <v>黑无常-普攻</v>
          </cell>
          <cell r="C1116" t="str">
            <v>1|1|1|0|0|0</v>
          </cell>
        </row>
        <row r="1117">
          <cell r="A1117">
            <v>121901</v>
          </cell>
          <cell r="B1117" t="str">
            <v>黑无常-普攻</v>
          </cell>
          <cell r="C1117" t="str">
            <v>1|1|1|0|0|0</v>
          </cell>
        </row>
        <row r="1118">
          <cell r="A1118">
            <v>121902</v>
          </cell>
          <cell r="B1118" t="str">
            <v>黑无常-普攻</v>
          </cell>
          <cell r="C1118" t="str">
            <v>1|1|1|0|0|0</v>
          </cell>
        </row>
        <row r="1119">
          <cell r="A1119">
            <v>121903</v>
          </cell>
          <cell r="B1119" t="str">
            <v>黑无常-核心</v>
          </cell>
          <cell r="C1119" t="str">
            <v>2|1|3|0|0|0</v>
          </cell>
        </row>
        <row r="1120">
          <cell r="A1120">
            <v>121904</v>
          </cell>
          <cell r="B1120" t="str">
            <v>黑无常-AI</v>
          </cell>
          <cell r="C1120" t="str">
            <v>2|1|0.5|0|0|0</v>
          </cell>
        </row>
        <row r="1121">
          <cell r="A1121">
            <v>121906</v>
          </cell>
          <cell r="B1121" t="str">
            <v>黑无常-AI-治疗</v>
          </cell>
          <cell r="C1121" t="str">
            <v>3|1|3|0</v>
          </cell>
        </row>
        <row r="1122">
          <cell r="A1122">
            <v>121907</v>
          </cell>
          <cell r="B1122" t="str">
            <v>黑无常-核心_进阶</v>
          </cell>
          <cell r="C1122" t="str">
            <v>2|1|3.6|0|0|0</v>
          </cell>
        </row>
        <row r="1123">
          <cell r="A1123">
            <v>121908</v>
          </cell>
          <cell r="B1123" t="str">
            <v>黑无常-AI_进阶</v>
          </cell>
          <cell r="C1123" t="str">
            <v>2|1|0.7|0|0|0</v>
          </cell>
        </row>
        <row r="1124">
          <cell r="A1124">
            <v>121909</v>
          </cell>
          <cell r="B1124" t="str">
            <v>黑无常-AI_进阶-治疗</v>
          </cell>
          <cell r="C1124" t="str">
            <v>3|1|3.6|0</v>
          </cell>
        </row>
        <row r="1125">
          <cell r="A1125">
            <v>122600</v>
          </cell>
          <cell r="B1125" t="str">
            <v>扇子精-普攻</v>
          </cell>
          <cell r="C1125" t="str">
            <v>1|2|1|0|0|0</v>
          </cell>
        </row>
        <row r="1126">
          <cell r="A1126">
            <v>122601</v>
          </cell>
          <cell r="B1126" t="str">
            <v>扇子精-普攻</v>
          </cell>
          <cell r="C1126" t="str">
            <v>1|2|1|0|0|0</v>
          </cell>
        </row>
        <row r="1127">
          <cell r="A1127">
            <v>122602</v>
          </cell>
          <cell r="B1127" t="str">
            <v>扇子精-普攻</v>
          </cell>
          <cell r="C1127" t="str">
            <v>1|2|1|0|0|0</v>
          </cell>
        </row>
        <row r="1128">
          <cell r="A1128">
            <v>122603</v>
          </cell>
          <cell r="B1128" t="str">
            <v>扇子精-核心</v>
          </cell>
          <cell r="C1128" t="str">
            <v>2|2|0.9|0|0|0</v>
          </cell>
        </row>
        <row r="1129">
          <cell r="A1129">
            <v>122604</v>
          </cell>
          <cell r="B1129" t="str">
            <v>扇子精-AI</v>
          </cell>
          <cell r="C1129" t="str">
            <v>2|2|1.35|0|0|0</v>
          </cell>
        </row>
        <row r="1130">
          <cell r="A1130">
            <v>122606</v>
          </cell>
          <cell r="B1130" t="str">
            <v>扇子精-AI</v>
          </cell>
          <cell r="C1130" t="str">
            <v>2|2|1.35|0|0|0</v>
          </cell>
        </row>
        <row r="1131">
          <cell r="A1131">
            <v>150100</v>
          </cell>
          <cell r="B1131" t="str">
            <v>侍女-普攻</v>
          </cell>
          <cell r="C1131" t="str">
            <v>1|2|1|0|0|0</v>
          </cell>
        </row>
        <row r="1132">
          <cell r="A1132">
            <v>150200</v>
          </cell>
          <cell r="B1132" t="str">
            <v>强盗-普攻</v>
          </cell>
          <cell r="C1132" t="str">
            <v>1|1|1|0|0|0</v>
          </cell>
        </row>
        <row r="1133">
          <cell r="A1133">
            <v>150300</v>
          </cell>
          <cell r="B1133" t="str">
            <v>野猪怪-普攻</v>
          </cell>
          <cell r="C1133" t="str">
            <v>1|1|1|0|0|0</v>
          </cell>
        </row>
        <row r="1134">
          <cell r="A1134">
            <v>150400</v>
          </cell>
          <cell r="B1134" t="str">
            <v>蟹将-普攻</v>
          </cell>
          <cell r="C1134" t="str">
            <v>1|1|1|0|0|0</v>
          </cell>
        </row>
        <row r="1135">
          <cell r="A1135">
            <v>150401</v>
          </cell>
          <cell r="B1135" t="str">
            <v>蟹将-普攻</v>
          </cell>
          <cell r="C1135" t="str">
            <v>1|1|1|0|0|0</v>
          </cell>
        </row>
        <row r="1136">
          <cell r="A1136">
            <v>150500</v>
          </cell>
          <cell r="B1136" t="str">
            <v>狂豹-普攻</v>
          </cell>
          <cell r="C1136" t="str">
            <v>1|1|1|0|0|0</v>
          </cell>
        </row>
        <row r="1137">
          <cell r="A1137">
            <v>150600</v>
          </cell>
          <cell r="B1137" t="str">
            <v>护卫-普攻</v>
          </cell>
          <cell r="C1137" t="str">
            <v>1|1|1|0|0|0</v>
          </cell>
        </row>
        <row r="1138">
          <cell r="A1138">
            <v>150700</v>
          </cell>
          <cell r="B1138" t="str">
            <v>龟丞相-普攻</v>
          </cell>
          <cell r="C1138" t="str">
            <v>1|2|1|0|0|0</v>
          </cell>
        </row>
        <row r="1139">
          <cell r="A1139">
            <v>150800</v>
          </cell>
          <cell r="B1139" t="str">
            <v>炎魔-普攻</v>
          </cell>
          <cell r="C1139" t="str">
            <v>1|1|1|0|0|0</v>
          </cell>
        </row>
        <row r="1140">
          <cell r="A1140">
            <v>201800</v>
          </cell>
          <cell r="B1140" t="str">
            <v>天将-普攻</v>
          </cell>
          <cell r="C1140" t="str">
            <v>1|1|0.5|0|0|0</v>
          </cell>
        </row>
        <row r="1141">
          <cell r="A1141">
            <v>201801</v>
          </cell>
          <cell r="B1141" t="str">
            <v>天将-AI</v>
          </cell>
          <cell r="C1141" t="str">
            <v>2|1|2.7|0|0|0</v>
          </cell>
        </row>
        <row r="1142">
          <cell r="A1142">
            <v>900000</v>
          </cell>
          <cell r="B1142" t="str">
            <v>善财童子</v>
          </cell>
          <cell r="C1142" t="str">
            <v>1|1|1|0|0|0</v>
          </cell>
        </row>
        <row r="1143">
          <cell r="A1143">
            <v>900001</v>
          </cell>
          <cell r="B1143" t="str">
            <v>水月神舞</v>
          </cell>
          <cell r="C1143" t="str">
            <v>2|1|0.54|0|0|0</v>
          </cell>
        </row>
        <row r="1144">
          <cell r="A1144">
            <v>900002</v>
          </cell>
          <cell r="B1144" t="str">
            <v>般若莲心</v>
          </cell>
          <cell r="C1144" t="str">
            <v>2|1|1.35|0|0|0</v>
          </cell>
        </row>
        <row r="1145">
          <cell r="A1145">
            <v>900004</v>
          </cell>
          <cell r="B1145" t="str">
            <v>枪影重重</v>
          </cell>
          <cell r="C1145" t="str">
            <v>2|1|2.7|0|0|0</v>
          </cell>
        </row>
        <row r="1146">
          <cell r="A1146">
            <v>900005</v>
          </cell>
          <cell r="B1146" t="str">
            <v>桃子</v>
          </cell>
          <cell r="C1146" t="str">
            <v>1|1|1|0|0|0</v>
          </cell>
        </row>
        <row r="1147">
          <cell r="A1147">
            <v>900006</v>
          </cell>
          <cell r="B1147" t="str">
            <v>山贼</v>
          </cell>
          <cell r="C1147" t="str">
            <v>1|1|1|0|0|0</v>
          </cell>
        </row>
        <row r="1148">
          <cell r="A1148">
            <v>900007</v>
          </cell>
          <cell r="B1148" t="str">
            <v>横扫</v>
          </cell>
          <cell r="C1148" t="str">
            <v>2|1|2.7|0|0|0</v>
          </cell>
        </row>
        <row r="1149">
          <cell r="A1149">
            <v>900008</v>
          </cell>
          <cell r="B1149" t="str">
            <v>横扫</v>
          </cell>
          <cell r="C1149" t="str">
            <v>2|1|2.7|0|0|0</v>
          </cell>
        </row>
        <row r="1150">
          <cell r="A1150">
            <v>900009</v>
          </cell>
          <cell r="B1150" t="str">
            <v>撼地重拳</v>
          </cell>
          <cell r="C1150" t="str">
            <v>2|1|0.45|0|0|0</v>
          </cell>
        </row>
        <row r="1151">
          <cell r="A1151">
            <v>900010</v>
          </cell>
          <cell r="B1151" t="str">
            <v>撼地重拳</v>
          </cell>
          <cell r="C1151" t="str">
            <v>2|1|0.45|0|0|0</v>
          </cell>
        </row>
        <row r="1152">
          <cell r="A1152">
            <v>900011</v>
          </cell>
          <cell r="B1152" t="str">
            <v>撼地重拳</v>
          </cell>
          <cell r="C1152" t="str">
            <v>2|1|0.45|0|0|0</v>
          </cell>
        </row>
        <row r="1153">
          <cell r="A1153">
            <v>900012</v>
          </cell>
          <cell r="B1153" t="str">
            <v>穿透箭</v>
          </cell>
          <cell r="C1153" t="str">
            <v>2|1|2.7|0|0|0</v>
          </cell>
        </row>
        <row r="1154">
          <cell r="A1154">
            <v>900013</v>
          </cell>
          <cell r="B1154" t="str">
            <v>穿透箭</v>
          </cell>
          <cell r="C1154" t="str">
            <v>2|1|2.7|0|0|0</v>
          </cell>
        </row>
        <row r="1155">
          <cell r="A1155">
            <v>900014</v>
          </cell>
          <cell r="B1155" t="str">
            <v>旋转攻击</v>
          </cell>
          <cell r="C1155" t="str">
            <v>2|1|0.9|0|0|0</v>
          </cell>
        </row>
        <row r="1156">
          <cell r="A1156">
            <v>900015</v>
          </cell>
          <cell r="B1156" t="str">
            <v>旋转攻击</v>
          </cell>
          <cell r="C1156" t="str">
            <v>2|1|0.9|0|0|0</v>
          </cell>
        </row>
        <row r="1157">
          <cell r="A1157">
            <v>900016</v>
          </cell>
          <cell r="B1157" t="str">
            <v>旋转攻击</v>
          </cell>
          <cell r="C1157" t="str">
            <v>2|1|0.9|0|0|0</v>
          </cell>
        </row>
        <row r="1158">
          <cell r="A1158">
            <v>900017</v>
          </cell>
          <cell r="B1158" t="str">
            <v>自然守护</v>
          </cell>
          <cell r="C1158" t="str">
            <v>2|1|1.35|0|0|0</v>
          </cell>
        </row>
        <row r="1159">
          <cell r="A1159">
            <v>900018</v>
          </cell>
          <cell r="B1159" t="str">
            <v>自然守护</v>
          </cell>
          <cell r="C1159" t="str">
            <v>2|1|1.35|0|0|0</v>
          </cell>
        </row>
        <row r="1160">
          <cell r="A1160">
            <v>900019</v>
          </cell>
          <cell r="B1160" t="str">
            <v>急速飞箭</v>
          </cell>
          <cell r="C1160" t="str">
            <v>2|1|0.75|0|0|0</v>
          </cell>
        </row>
        <row r="1161">
          <cell r="A1161">
            <v>900020</v>
          </cell>
          <cell r="B1161" t="str">
            <v>剑气</v>
          </cell>
          <cell r="C1161" t="str">
            <v>2|1|4.5|0|0|0</v>
          </cell>
        </row>
        <row r="1162">
          <cell r="A1162">
            <v>900021</v>
          </cell>
          <cell r="B1162" t="str">
            <v>砺剑血刃</v>
          </cell>
          <cell r="C1162" t="str">
            <v>2|1|2.7|0|0|0</v>
          </cell>
        </row>
        <row r="1163">
          <cell r="A1163">
            <v>900022</v>
          </cell>
          <cell r="B1163" t="str">
            <v>重锤</v>
          </cell>
          <cell r="C1163" t="str">
            <v>2|1|2.7|0|0|0</v>
          </cell>
        </row>
        <row r="1164">
          <cell r="A1164">
            <v>900023</v>
          </cell>
          <cell r="B1164" t="str">
            <v>金刚护体</v>
          </cell>
          <cell r="C1164" t="str">
            <v>2|1|2.7|0|0|0</v>
          </cell>
        </row>
        <row r="1165">
          <cell r="A1165">
            <v>900024</v>
          </cell>
          <cell r="B1165" t="str">
            <v>毒箭雨</v>
          </cell>
          <cell r="C1165" t="str">
            <v>2|1|0.9|0|0|0</v>
          </cell>
        </row>
        <row r="1166">
          <cell r="A1166">
            <v>900025</v>
          </cell>
          <cell r="B1166" t="str">
            <v>仙灵祝福</v>
          </cell>
          <cell r="C1166" t="str">
            <v>3|1|0.38|0</v>
          </cell>
        </row>
        <row r="1167">
          <cell r="A1167">
            <v>900026</v>
          </cell>
          <cell r="B1167" t="str">
            <v>瘴气毒潭</v>
          </cell>
          <cell r="C1167" t="str">
            <v>2|1|1.13|0|0|0</v>
          </cell>
        </row>
        <row r="1168">
          <cell r="A1168">
            <v>900027</v>
          </cell>
          <cell r="B1168" t="str">
            <v>鹰眼</v>
          </cell>
          <cell r="C1168" t="str">
            <v>2|1|2.7|0|0|0</v>
          </cell>
        </row>
        <row r="1169">
          <cell r="A1169">
            <v>900028</v>
          </cell>
          <cell r="B1169" t="str">
            <v>毒池</v>
          </cell>
          <cell r="C1169" t="str">
            <v>2|1|0.75|0|0|0</v>
          </cell>
        </row>
        <row r="1170">
          <cell r="A1170">
            <v>900029</v>
          </cell>
          <cell r="B1170" t="str">
            <v>暴风雪</v>
          </cell>
          <cell r="C1170" t="str">
            <v>2|1|0.45|0|0|0</v>
          </cell>
        </row>
        <row r="1171">
          <cell r="A1171">
            <v>900030</v>
          </cell>
          <cell r="B1171" t="str">
            <v>冰爆</v>
          </cell>
          <cell r="C1171" t="str">
            <v>2|1|2.7|0|0|0</v>
          </cell>
        </row>
        <row r="1172">
          <cell r="A1172">
            <v>900031</v>
          </cell>
          <cell r="B1172" t="str">
            <v>火光驱散</v>
          </cell>
          <cell r="C1172" t="str">
            <v>2|1|4.5|0|0|0</v>
          </cell>
        </row>
        <row r="1173">
          <cell r="A1173">
            <v>900032</v>
          </cell>
          <cell r="B1173" t="str">
            <v>圣光水域</v>
          </cell>
          <cell r="C1173" t="str">
            <v>3|1|0.38|0</v>
          </cell>
        </row>
        <row r="1174">
          <cell r="A1174">
            <v>900033</v>
          </cell>
          <cell r="B1174" t="str">
            <v>水雾侵蚀</v>
          </cell>
          <cell r="C1174" t="str">
            <v>2|1|2.7|0|0|0</v>
          </cell>
        </row>
        <row r="1175">
          <cell r="A1175">
            <v>900034</v>
          </cell>
          <cell r="B1175" t="str">
            <v>火鸟</v>
          </cell>
          <cell r="C1175" t="str">
            <v>2|1|4.5|0|0|0</v>
          </cell>
        </row>
        <row r="1176">
          <cell r="A1176">
            <v>900035</v>
          </cell>
          <cell r="B1176" t="str">
            <v>火球炸弹</v>
          </cell>
          <cell r="C1176" t="str">
            <v>2|1|2.7|0|0|0</v>
          </cell>
        </row>
        <row r="1177">
          <cell r="A1177">
            <v>900036</v>
          </cell>
          <cell r="B1177" t="str">
            <v>热血爆发</v>
          </cell>
          <cell r="C1177" t="str">
            <v>2|1|2.7|0|0|0</v>
          </cell>
        </row>
        <row r="1178">
          <cell r="A1178">
            <v>900037</v>
          </cell>
          <cell r="B1178" t="str">
            <v>地狱火海</v>
          </cell>
          <cell r="C1178" t="str">
            <v>2|1|0.75|0|0|0</v>
          </cell>
        </row>
        <row r="1179">
          <cell r="A1179">
            <v>900038</v>
          </cell>
          <cell r="B1179" t="str">
            <v>地刺突袭</v>
          </cell>
          <cell r="C1179" t="str">
            <v>2|1|2.7|0|0|0</v>
          </cell>
        </row>
        <row r="1180">
          <cell r="A1180">
            <v>900039</v>
          </cell>
          <cell r="B1180" t="str">
            <v>飞沙走石</v>
          </cell>
          <cell r="C1180" t="str">
            <v>2|1|0.75|0|0|0</v>
          </cell>
        </row>
        <row r="1181">
          <cell r="A1181">
            <v>900040</v>
          </cell>
          <cell r="B1181" t="str">
            <v>泰山压顶</v>
          </cell>
          <cell r="C1181" t="str">
            <v>2|1|2.7|0|0|0</v>
          </cell>
        </row>
        <row r="1182">
          <cell r="A1182">
            <v>900041</v>
          </cell>
          <cell r="B1182" t="str">
            <v>土墙防护</v>
          </cell>
          <cell r="C1182" t="str">
            <v>2|1|2.7|0|0|0</v>
          </cell>
        </row>
        <row r="1183">
          <cell r="A1183">
            <v>900042</v>
          </cell>
          <cell r="B1183" t="str">
            <v>雷击</v>
          </cell>
          <cell r="C1183" t="str">
            <v>2|1|1.35|0|0|0</v>
          </cell>
        </row>
        <row r="1184">
          <cell r="A1184">
            <v>900043</v>
          </cell>
          <cell r="B1184" t="str">
            <v>boss免疫控制</v>
          </cell>
          <cell r="C1184" t="str">
            <v>2|1|1.35|0|0|0</v>
          </cell>
        </row>
        <row r="1185">
          <cell r="A1185">
            <v>900044</v>
          </cell>
          <cell r="B1185" t="str">
            <v>boss召出小怪</v>
          </cell>
          <cell r="C1185" t="str">
            <v>2|1|1.35|0|0|0</v>
          </cell>
        </row>
        <row r="1186">
          <cell r="A1186">
            <v>900045</v>
          </cell>
          <cell r="B1186" t="str">
            <v>天下我心</v>
          </cell>
          <cell r="C1186" t="str">
            <v>2|1|1.35|0|0|0</v>
          </cell>
        </row>
        <row r="1187">
          <cell r="A1187">
            <v>900046</v>
          </cell>
          <cell r="B1187" t="str">
            <v>天下我心</v>
          </cell>
          <cell r="C1187" t="str">
            <v>2|1|1.35|0|0|0</v>
          </cell>
        </row>
        <row r="1188">
          <cell r="A1188">
            <v>900047</v>
          </cell>
          <cell r="B1188" t="str">
            <v>乾-天-伤害</v>
          </cell>
          <cell r="C1188" t="str">
            <v>2|1|2.7|0|0|0</v>
          </cell>
        </row>
        <row r="1189">
          <cell r="A1189">
            <v>900048</v>
          </cell>
          <cell r="B1189" t="str">
            <v>坤-地-暴击</v>
          </cell>
          <cell r="C1189" t="str">
            <v>2|1|1.35|0|0|0</v>
          </cell>
        </row>
        <row r="1190">
          <cell r="A1190">
            <v>900050</v>
          </cell>
          <cell r="B1190" t="str">
            <v>巽-风-攻速</v>
          </cell>
          <cell r="C1190" t="str">
            <v>2|1|1.35|0|0|0</v>
          </cell>
        </row>
        <row r="1191">
          <cell r="A1191">
            <v>900051</v>
          </cell>
          <cell r="B1191" t="str">
            <v xml:space="preserve">坎-水-减cd </v>
          </cell>
          <cell r="C1191" t="str">
            <v>2|1|1.35|0|0|0</v>
          </cell>
        </row>
        <row r="1192">
          <cell r="A1192">
            <v>900052</v>
          </cell>
          <cell r="B1192" t="str">
            <v>离-火-攻击</v>
          </cell>
          <cell r="C1192" t="str">
            <v>2|1|1.35|0|0|0</v>
          </cell>
        </row>
        <row r="1193">
          <cell r="A1193">
            <v>900053</v>
          </cell>
          <cell r="B1193" t="str">
            <v>艮-山-防御</v>
          </cell>
          <cell r="C1193" t="str">
            <v>2|1|1.35|0|0|0</v>
          </cell>
        </row>
        <row r="1194">
          <cell r="A1194">
            <v>900054</v>
          </cell>
          <cell r="B1194" t="str">
            <v>兑-泽-吸血</v>
          </cell>
          <cell r="C1194" t="str">
            <v>2|1|1.35|0|0|0</v>
          </cell>
        </row>
        <row r="1195">
          <cell r="A1195">
            <v>7000</v>
          </cell>
          <cell r="B1195" t="str">
            <v>兑-泽-吸血</v>
          </cell>
          <cell r="C1195" t="str">
            <v>3|1|0.01|0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&#23545;&#33539;&#22260;&#20869;&#25932;&#20154;&#36896;&#25104;3&#27425;&#33258;&#36523;&#25915;&#20987;&#21147;@s&#30340;&#29289;&#29702;&#20260;&#23475;" TargetMode="External"/><Relationship Id="rId18" Type="http://schemas.openxmlformats.org/officeDocument/2006/relationships/hyperlink" Target="mailto:&#25552;&#39640;&#20840;&#20307;&#38431;&#21451;@s&#30340;&#21629;&#20013;&#29575;&#65292;@s&#30340;&#25915;&#20987;&#21147;&#65292;&#25345;&#32493;3&#31186;" TargetMode="External"/><Relationship Id="rId26" Type="http://schemas.openxmlformats.org/officeDocument/2006/relationships/hyperlink" Target="mailto:&#29579;&#27597;&#20110;&#22320;&#38754;&#37322;&#25918;&#20964;&#20976;&#23545;&#33539;&#22260;&#20869;&#25932;&#20154;&#36896;&#25104;&#33258;&#36523;&#25915;&#20987;&#21147;@s&#30340;&#27861;&#26415;&#20260;&#23475;&#65292;&#24182;&#36896;&#25104;&#28796;&#28903;&#25928;&#26524;&#65292;&#25345;&#32493;3&#31186;" TargetMode="External"/><Relationship Id="rId39" Type="http://schemas.openxmlformats.org/officeDocument/2006/relationships/hyperlink" Target="mailto:&#37329;&#34633;&#23376;&#29992;&#24481;&#27861;&#32463;&#25552;&#21319;&#33258;&#36523;&#38450;&#24481;&#21147;@s&#65292;&#25345;&#32493;6&#31186;" TargetMode="External"/><Relationship Id="rId21" Type="http://schemas.openxmlformats.org/officeDocument/2006/relationships/hyperlink" Target="mailto:&#25552;&#21319;&#33258;&#36523;&#38450;&#24481;&#21147;@s&#65292;&#25345;&#32493;6&#31186;" TargetMode="External"/><Relationship Id="rId34" Type="http://schemas.openxmlformats.org/officeDocument/2006/relationships/hyperlink" Target="mailto:&#28151;&#19990;&#39764;&#29579;&#25381;&#33310;&#29436;&#29273;&#26834;&#23545;&#21333;&#20307;&#25932;&#20154;&#36896;&#25104;&#33258;&#36523;&#25915;&#20987;&#21147;@s&#30340;&#29289;&#29702;&#20260;&#23475;" TargetMode="External"/><Relationship Id="rId42" Type="http://schemas.openxmlformats.org/officeDocument/2006/relationships/hyperlink" Target="mailto:&#27902;&#27827;&#40857;&#29579;&#23545;&#38468;&#36817;&#30446;&#26631;&#36896;&#25104;&#33258;&#36523;&#25915;&#20987;&#21147;@s&#30340;&#20260;&#23475;&#65292;&#24182;&#20987;&#36864;&#30446;&#26631;" TargetMode="External"/><Relationship Id="rId47" Type="http://schemas.openxmlformats.org/officeDocument/2006/relationships/hyperlink" Target="mailto:&#21484;&#21796;&#39134;&#26023;&#23545;&#21629;&#20013;&#30340;&#30446;&#26631;&#36896;&#25104;&#20027;&#35282;&#25915;&#20987;&#21147;@s&#30340;&#20260;&#23475;&#65292;&#24182;&#38468;&#21152;&#27969;&#34880;&#25928;&#26524;" TargetMode="External"/><Relationship Id="rId50" Type="http://schemas.openxmlformats.org/officeDocument/2006/relationships/hyperlink" Target="mailto:&#23545;&#33539;&#22260;&#20869;&#25932;&#20154;&#36896;&#25104;&#20027;&#35282;&#25915;&#20987;&#21147;@s&#30340;&#29289;&#29702;&#20260;&#23475;&#65292;60%25&#27010;&#29575;&#26127;&#36855;&#25932;&#20154;3&#31186;&#65292;&#33509;&#23545;&#26041;&#22788;&#20110;&#30505;&#26197;&#29366;&#24577;&#65292;&#33509;&#23545;&#26041;&#22788;&#20110;&#30505;&#26197;&#29366;&#24577;,&#26080;&#35270;&#23545;&#26041;20%25&#30340;&#29289;&#29702;&#38450;&#24481;&#21644;&#25239;&#26292;" TargetMode="External"/><Relationship Id="rId55" Type="http://schemas.openxmlformats.org/officeDocument/2006/relationships/printerSettings" Target="../printerSettings/printerSettings3.bin"/><Relationship Id="rId7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12" Type="http://schemas.openxmlformats.org/officeDocument/2006/relationships/hyperlink" Target="mailto:&#23545;&#33539;&#22260;&#20869;&#25932;&#20154;&#36896;&#25104;4&#27425;&#20027;&#35282;&#25915;&#20987;&#21147;@s&#30340;&#29289;&#29702;&#20260;&#23475;&#65292;&#24182;&#26127;&#36855;&#25932;&#20154;2&#31186;" TargetMode="External"/><Relationship Id="rId17" Type="http://schemas.openxmlformats.org/officeDocument/2006/relationships/hyperlink" Target="mailto:&#38477;&#20302;&#33539;&#22260;&#20869;&#30446;&#26631;@s&#30340;&#21629;&#20013;&#29575;&#65292;@s&#30340;&#38450;&#24481;&#65292;&#25345;&#32493;3&#31186;" TargetMode="External"/><Relationship Id="rId25" Type="http://schemas.openxmlformats.org/officeDocument/2006/relationships/hyperlink" Target="mailto:&#29577;&#30343;&#22823;&#24093;&#23545;&#33539;&#22260;&#20869;&#30340;&#25932;&#20154;&#36896;&#25104;&#33258;&#36523;&#25915;&#20987;&#21147;@s&#30340;&#29289;&#29702;&#20260;&#23475;" TargetMode="External"/><Relationship Id="rId33" Type="http://schemas.openxmlformats.org/officeDocument/2006/relationships/hyperlink" Target="mailto:&#28151;&#19990;&#39764;&#29579;&#25381;&#33310;&#29436;&#29273;&#26834;&#23545;&#21333;&#20307;&#25932;&#20154;&#36896;&#25104;&#33258;&#36523;&#25915;&#20987;&#21147;@s&#30340;&#29289;&#29702;&#20260;&#23475;" TargetMode="External"/><Relationship Id="rId38" Type="http://schemas.openxmlformats.org/officeDocument/2006/relationships/hyperlink" Target="mailto:&#24565;&#21160;&#38477;&#20302;&#20840;&#20307;&#21451;&#20891;&#21463;&#21040;&#20260;&#23475;@s&#65292;&#25345;&#32493;6&#31186;" TargetMode="External"/><Relationship Id="rId46" Type="http://schemas.openxmlformats.org/officeDocument/2006/relationships/hyperlink" Target="mailto:&#39740;&#20351;&#30333;&#23545;&#30446;&#26631;&#21457;&#23556;&#25304;&#39746;&#20196;&#23545;&#21629;&#20013;&#30446;&#26631;&#36896;&#25104;&#33258;&#36523;&#25915;&#20987;&#21147;@s&#30340;&#20260;&#23475;&#65292;&#24182;&#20351;&#30446;&#26631;&#26080;&#27861;&#34892;&#21160;" TargetMode="External"/><Relationship Id="rId2" Type="http://schemas.openxmlformats.org/officeDocument/2006/relationships/hyperlink" Target="mailto:&#21484;&#21796;&#23545;&#33539;&#22260;&#20869;&#25932;&#20154;&#36896;&#25104;&#20027;&#35282;&#25915;&#20987;&#21147;@s&#30340;&#27861;&#26415;&#20260;&#23475;&#65292;&#24182;&#36896;&#25104;&#28796;&#28903;&#25928;&#26524;&#65292;&#25345;&#32493;6&#31186;" TargetMode="External"/><Relationship Id="rId16" Type="http://schemas.openxmlformats.org/officeDocument/2006/relationships/hyperlink" Target="mailto:&#23545;&#33539;&#22260;&#30340;&#30446;&#26631;&#36896;&#25104;&#20027;&#35282;&#25915;&#20987;&#21147;@s&#30340;&#20260;&#23475;&#65292;&#24182;&#20943;&#23569;@s&#23545;&#26041;&#38450;&#24481;" TargetMode="External"/><Relationship Id="rId20" Type="http://schemas.openxmlformats.org/officeDocument/2006/relationships/hyperlink" Target="mailto:&#23545;&#21629;&#20013;&#30446;&#26631;&#36896;&#25104;&#33258;&#36523;&#25915;&#20987;&#21147;@s&#30340;&#20260;&#23475;&#65292;&#24182;&#38477;&#20302;@s&#25915;&#20987;&#21147;" TargetMode="External"/><Relationship Id="rId29" Type="http://schemas.openxmlformats.org/officeDocument/2006/relationships/hyperlink" Target="mailto:&#23545;&#25152;&#26377;&#25932;&#20154;&#36896;&#25104;&#33258;&#36523;&#25915;&#20987;&#21147;@s&#30340;&#27861;&#26415;&#20260;&#23475;" TargetMode="External"/><Relationship Id="rId41" Type="http://schemas.openxmlformats.org/officeDocument/2006/relationships/hyperlink" Target="mailto:&#29577;&#38754;&#22827;&#20154;&#33988;&#21147;&#23545;&#30446;&#26631;&#21457;&#23556;&#38663;&#35010;&#31661;&#23545;&#21629;&#20013;&#30446;&#26631;&#36896;&#25104;&#33258;&#36523;&#25915;&#20987;&#21147;@s&#30340;&#20260;&#23475;,&#24182;&#20987;&#36864;&#23545;&#25163;" TargetMode="External"/><Relationship Id="rId54" Type="http://schemas.openxmlformats.org/officeDocument/2006/relationships/hyperlink" Target="mailto:&#25552;&#21319;&#33258;&#36523;&#26292;&#20987;&#29575;@s,&#26222;&#25915;&#26377;&#27010;&#29575;&#20987;&#26197;&#23545;&#25163;1&#31186;" TargetMode="External"/><Relationship Id="rId1" Type="http://schemas.openxmlformats.org/officeDocument/2006/relationships/hyperlink" Target="mailto:&#23545;&#33539;&#22260;&#20869;&#25932;&#20154;&#36896;&#25104;4&#27425;&#20027;&#35282;&#25915;&#20987;&#21147;@s&#30340;&#29289;&#29702;&#20260;&#23475;&#65292;&#24182;&#26127;&#36855;&#25932;&#20154;2&#31186;" TargetMode="External"/><Relationship Id="rId6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11" Type="http://schemas.openxmlformats.org/officeDocument/2006/relationships/hyperlink" Target="mailto:&#23545;&#25932;&#20154;&#36896;&#25104;4&#27425;&#33258;&#36523;&#25915;&#20987;&#21147;@s&#30340;&#20260;&#23475;&#65292;&#24182;&#36896;&#25104;&#28796;&#28903;&#25928;&#26524;&#65292;&#25345;&#32493;6&#31186;" TargetMode="External"/><Relationship Id="rId24" Type="http://schemas.openxmlformats.org/officeDocument/2006/relationships/hyperlink" Target="mailto:&#20108;&#37070;&#31070;&#33310;&#21160;&#38271;&#26538;&#23545;&#33539;&#22260;&#20869;&#25932;&#20154;&#36896;&#25104;&#33258;&#36523;&#25915;&#20987;&#21147;@s&#30340;&#29289;&#29702;&#20260;&#23475;&#65292;&#24517;&#23450;&#26292;&#20987;&#65292;&#24182;&#36896;&#25104;6&#31186;&#39640;&#32423;&#27969;&#34880;&#25928;&#26524;" TargetMode="External"/><Relationship Id="rId32" Type="http://schemas.openxmlformats.org/officeDocument/2006/relationships/hyperlink" Target="mailto:&#34584;&#34523;&#31934;&#29992;&#33258;&#36523;&#21095;&#27602;&#23545;&#33539;&#22260;&#20869;&#25932;&#20154;&#36896;&#25104;&#33258;&#36523;&#25915;&#20987;&#21147;@s&#30340;&#29289;&#29702;&#20260;&#23475;&#65292;&#24182;&#20351;&#25932;&#20154;&#20013;&#27602;&#65292;&#25345;&#32493;6&#31186;" TargetMode="External"/><Relationship Id="rId37" Type="http://schemas.openxmlformats.org/officeDocument/2006/relationships/hyperlink" Target="mailto:&#23545;&#33539;&#22260;&#20869;&#25932;&#20154;&#36896;&#25104;&#33258;&#36523;&#25915;&#20987;&#21147;@s&#30340;&#29289;&#29702;&#20260;&#23475;" TargetMode="External"/><Relationship Id="rId40" Type="http://schemas.openxmlformats.org/officeDocument/2006/relationships/hyperlink" Target="mailto:&#37329;&#34633;&#23376;&#29992;&#24481;&#27861;&#32463;&#25552;&#21319;&#33258;&#36523;&#38450;&#24481;&#21147;@s&#65292;&#25345;&#32493;6&#31186;" TargetMode="External"/><Relationship Id="rId45" Type="http://schemas.openxmlformats.org/officeDocument/2006/relationships/hyperlink" Target="mailto:&#39740;&#20351;&#30333;&#23545;&#30446;&#26631;&#21457;&#23556;&#38414;&#32599;&#20196;&#23545;&#21629;&#20013;&#30446;&#26631;&#36896;&#25104;&#33258;&#36523;&#25915;&#20987;&#21147;@s&#30340;&#20260;&#23475;&#65292;&#24182;&#20351;&#38477;&#20302;&#30446;&#26631;@s&#38450;&#24481;" TargetMode="External"/><Relationship Id="rId53" Type="http://schemas.openxmlformats.org/officeDocument/2006/relationships/hyperlink" Target="mailto:&#25552;&#21319;&#33539;&#22260;&#20869;&#21451;&#20891;@s&#30340;&#20260;&#23475;&#21644;&#25915;&#20987;&#36895;&#24230;&#65292;&#25345;&#32493;3&#31186;" TargetMode="External"/><Relationship Id="rId5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15" Type="http://schemas.openxmlformats.org/officeDocument/2006/relationships/hyperlink" Target="mailto:&#23545;&#25152;&#26377;&#25932;&#20154;&#36896;&#25104;3&#27425;&#33258;&#36523;&#25915;&#20987;&#21147;@s&#30340;&#27861;&#26415;&#20260;&#23475;" TargetMode="External"/><Relationship Id="rId23" Type="http://schemas.openxmlformats.org/officeDocument/2006/relationships/hyperlink" Target="mailto:&#20108;&#37070;&#31070;&#33310;&#21160;&#38271;&#26538;&#23545;&#33539;&#22260;&#20869;&#25932;&#20154;&#36896;&#25104;&#33258;&#36523;&#25915;&#20987;&#21147;@s&#30340;&#29289;&#20260;&#65292;&#24517;&#23450;&#26292;&#20987;&#65292;&#24182;&#36896;&#25104;6&#31186;&#27969;&#34880;&#25928;&#26524;" TargetMode="External"/><Relationship Id="rId28" Type="http://schemas.openxmlformats.org/officeDocument/2006/relationships/hyperlink" Target="mailto:&#20845;&#32819;&#29461;&#29492;&#33310;&#21073;&#23545;&#33539;&#22260;&#20869;&#25932;&#20154;&#36896;&#25104;&#33258;&#36523;&#25915;&#20987;&#21147;@s&#30340;&#27861;&#26415;&#20260;&#23475;&#65292;&#21516;&#26102;&#25552;&#21319;&#33258;&#36523;@s&#38378;&#36991;&#29575;&#65292;&#25345;&#32493;3&#31186;" TargetMode="External"/><Relationship Id="rId36" Type="http://schemas.openxmlformats.org/officeDocument/2006/relationships/hyperlink" Target="mailto:&#23545;&#33539;&#22260;&#20869;&#25932;&#20154;&#36896;&#25104;&#33258;&#36523;&#25915;&#20987;&#21147;@s&#30340;&#27861;&#26415;&#20260;&#23475;&#65292;&#21516;&#26102;&#25552;&#21319;&#33258;&#36523;&#26292;&#20987;@s,&#25345;&#32493;3&#31186;" TargetMode="External"/><Relationship Id="rId49" Type="http://schemas.openxmlformats.org/officeDocument/2006/relationships/hyperlink" Target="mailto:&#23545;&#33539;&#22260;&#20869;&#25932;&#20154;&#36896;&#25104;&#20027;&#35282;&#25915;&#20987;&#21147;@s&#30340;&#29289;&#29702;&#20260;&#23475;&#65292;50%25&#27010;&#29575;&#26127;&#36855;&#25932;&#20154;2&#31186;&#65292;&#33509;&#23545;&#26041;&#22788;&#20110;&#30505;&#26197;&#29366;&#24577;&#65292;&#26080;&#35270;&#23545;&#26041;10%25&#30340;&#29289;&#29702;&#38450;&#24481;" TargetMode="External"/><Relationship Id="rId10" Type="http://schemas.openxmlformats.org/officeDocument/2006/relationships/hyperlink" Target="mailto:&#23545;&#25932;&#20154;&#36896;&#25104;4&#27425;&#33258;&#36523;&#25915;&#20987;&#21147;@s&#30340;&#29289;&#29702;&#20260;&#23475;&#65292;&#24182;&#36896;&#25104;&#28796;&#28903;&#25928;&#26524;&#65292;&#25345;&#32493;6&#31186;" TargetMode="External"/><Relationship Id="rId19" Type="http://schemas.openxmlformats.org/officeDocument/2006/relationships/hyperlink" Target="mailto:&#25552;&#39640;&#33539;&#22260;&#20869;&#38431;&#21451;@s&#30340;&#38450;&#24481;&#21147;&#65292;&#25345;&#32493;3&#31186;" TargetMode="External"/><Relationship Id="rId31" Type="http://schemas.openxmlformats.org/officeDocument/2006/relationships/hyperlink" Target="mailto:&#34584;&#34523;&#31934;&#29992;&#33258;&#36523;&#21095;&#27602;&#23545;&#33539;&#22260;&#20869;&#25932;&#20154;&#36896;&#25104;&#33258;&#36523;&#25915;&#20987;&#21147;@s&#30340;&#29289;&#29702;&#20260;&#23475;&#65292;&#24182;&#20351;&#25932;&#20154;&#20013;&#27602;&#65292;&#25345;&#32493;6&#31186;" TargetMode="External"/><Relationship Id="rId44" Type="http://schemas.openxmlformats.org/officeDocument/2006/relationships/hyperlink" Target="mailto:&#25159;&#23376;&#31934;&#29992;&#25159;&#23376;&#21457;&#23556;&#39118;&#22242;&#23545;&#21629;&#20013;&#30340;&#25932;&#20154;&#36896;&#25104;&#33258;&#36523;&#25915;&#20987;&#21147;@s&#30340;&#20260;&#23475;" TargetMode="External"/><Relationship Id="rId52" Type="http://schemas.openxmlformats.org/officeDocument/2006/relationships/hyperlink" Target="mailto:&#23545;&#33539;&#22260;&#20869;&#30340;&#25932;&#20154;&#36896;&#25104;&#33258;&#36523;&#25915;&#20987;&#21147;@s&#30340;&#27861;&#26415;&#20260;&#23475;&#65292;&#23506;&#21147;&#29190;&#24320;40%25&#30340;&#27010;&#29575;&#20912;&#23553;&#30446;&#26631;2&#31186;" TargetMode="External"/><Relationship Id="rId4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9" Type="http://schemas.openxmlformats.org/officeDocument/2006/relationships/hyperlink" Target="mailto:&#23545;&#33539;&#22260;&#20869;&#25932;&#20154;&#36896;&#25104;3&#27425;&#33258;&#36523;&#25915;&#20987;&#21147;@s&#30340;&#29289;&#29702;&#20260;&#23475;&#65292;&#24182;&#20351;&#25932;&#20154;&#21463;&#21040;&#20260;&#23475;&#25552;&#21319;@s&#65292;&#25345;&#32493;3&#31186;" TargetMode="External"/><Relationship Id="rId14" Type="http://schemas.openxmlformats.org/officeDocument/2006/relationships/hyperlink" Target="mailto:&#23545;&#33539;&#22260;&#20869;&#30340;&#25932;&#20154;&#36896;&#25104;4&#27425;&#25915;&#20987;&#21147;@s&#30340;&#27861;&#26415;&#20260;&#23475;&#65292;&#27599;&#27425;&#25915;&#20987;&#28165;&#38500;&#25932;&#20154;1&#20010;&#22686;&#30410;&#29366;&#24577;" TargetMode="External"/><Relationship Id="rId22" Type="http://schemas.openxmlformats.org/officeDocument/2006/relationships/hyperlink" Target="mailto:&#25552;&#21319;&#33258;&#36523;&#38450;&#24481;&#21147;@s&#65292;&#25345;&#32493;6&#31186;" TargetMode="External"/><Relationship Id="rId27" Type="http://schemas.openxmlformats.org/officeDocument/2006/relationships/hyperlink" Target="mailto:&#20845;&#32819;&#29461;&#29492;&#33310;&#21073;&#23545;&#33539;&#22260;&#20869;&#25932;&#20154;&#36896;&#25104;&#33258;&#36523;&#25915;&#20987;&#21147;@s&#30340;&#27861;&#26415;&#20260;&#23475;&#65292;&#21516;&#26102;&#25552;&#21319;&#33258;&#36523;@s&#38378;&#36991;&#29575;&#65292;&#25345;&#32493;3&#31186;" TargetMode="External"/><Relationship Id="rId30" Type="http://schemas.openxmlformats.org/officeDocument/2006/relationships/hyperlink" Target="mailto:&#37322;&#25918;&#38477;&#20302;&#20840;&#20307;&#21451;&#20891;&#21463;&#21040;&#30340;&#20260;&#23475;@s&#65292;&#25345;&#32493;3&#31186;" TargetMode="External"/><Relationship Id="rId35" Type="http://schemas.openxmlformats.org/officeDocument/2006/relationships/hyperlink" Target="mailto:&#23545;&#33539;&#22260;&#20869;&#25932;&#20154;&#36896;&#25104;&#33258;&#36523;&#25915;&#20987;&#21147;@s&#30340;&#27861;&#26415;&#20260;&#23475;&#65292;&#24182;&#20987;&#39134;&#25932;&#20154;" TargetMode="External"/><Relationship Id="rId43" Type="http://schemas.openxmlformats.org/officeDocument/2006/relationships/hyperlink" Target="mailto:&#29577;&#20820;&#31934;&#21484;&#21796;&#23567;&#26059;&#39118;&#23545;&#30446;&#26631;&#36896;&#25104;5&#27425;&#33258;&#36523;&#25915;&#20987;&#21147;@s&#30340;&#20260;&#23475;" TargetMode="External"/><Relationship Id="rId48" Type="http://schemas.openxmlformats.org/officeDocument/2006/relationships/hyperlink" Target="mailto:&#25552;&#21319;&#33258;&#36523;@s&#26292;&#20987;&#29575;&#19988;&#34987;&#25915;&#20987;&#26377;&#27010;&#29575;&#20928;&#21270;&#33258;&#36523;&#19981;&#33391;&#29366;&#24577;" TargetMode="External"/><Relationship Id="rId8" Type="http://schemas.openxmlformats.org/officeDocument/2006/relationships/hyperlink" Target="mailto:&#23545;&#33539;&#22260;&#20869;&#25932;&#20154;&#36896;&#25104;3&#27425;&#33258;&#36523;&#25915;&#20987;&#21147;@s&#30340;&#29289;&#29702;&#20260;&#23475;&#65292;&#24182;&#20351;&#25932;&#20154;&#21463;&#21040;&#20260;&#23475;&#25552;&#21319;@s&#65292;&#25345;&#32493;3&#31186;" TargetMode="External"/><Relationship Id="rId51" Type="http://schemas.openxmlformats.org/officeDocument/2006/relationships/hyperlink" Target="mailto:&#33258;&#36523;&#26292;&#20987;&#25552;&#39640;@s&#65292;&#21457;&#21160;&#25216;&#33021;&#26102;&#26377;&#27010;&#29575;&#36827;&#20837;&#38712;&#20307;&#29366;&#24577;1&#31186;" TargetMode="External"/><Relationship Id="rId3" Type="http://schemas.openxmlformats.org/officeDocument/2006/relationships/hyperlink" Target="mailto:&#23545;&#33539;&#22260;&#20869;&#25932;&#20154;&#36896;&#25104;&#20027;&#35282;&#25915;&#20987;&#21147;@s&#30340;&#27861;&#26415;&#20260;&#23475;&#65292;&#24182;&#36896;&#25104;&#28796;&#28903;&#25928;&#26524;&#65292;&#25345;&#32493;6&#31186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757"/>
  <sheetViews>
    <sheetView tabSelected="1" workbookViewId="0">
      <pane ySplit="3" topLeftCell="A272" activePane="bottomLeft" state="frozen"/>
      <selection pane="bottomLeft" activeCell="B283" sqref="B283"/>
    </sheetView>
  </sheetViews>
  <sheetFormatPr defaultRowHeight="16.5"/>
  <cols>
    <col min="1" max="1" width="16.375" style="5" customWidth="1"/>
    <col min="2" max="2" width="53.625" style="49" customWidth="1"/>
    <col min="3" max="3" width="29.375" style="46" customWidth="1"/>
    <col min="4" max="4" width="16.375" style="5" customWidth="1"/>
    <col min="5" max="5" width="12.5" style="45" customWidth="1"/>
    <col min="6" max="6" width="30.75" style="45" customWidth="1"/>
    <col min="7" max="7" width="13" style="45" bestFit="1" customWidth="1"/>
    <col min="8" max="8" width="6.5" style="45" bestFit="1" customWidth="1"/>
    <col min="9" max="9" width="24.5" style="45" bestFit="1" customWidth="1"/>
    <col min="10" max="10" width="89.625" style="45" bestFit="1" customWidth="1"/>
    <col min="11" max="11" width="13.5" style="45" customWidth="1"/>
    <col min="12" max="12" width="12.625" style="45" bestFit="1" customWidth="1"/>
    <col min="13" max="15" width="22.5" style="45" bestFit="1" customWidth="1"/>
    <col min="16" max="16" width="70.625" style="45" bestFit="1" customWidth="1"/>
    <col min="17" max="17" width="84.75" style="45" bestFit="1" customWidth="1"/>
    <col min="18" max="18" width="20.625" style="1" bestFit="1" customWidth="1"/>
    <col min="19" max="19" width="21.75" style="2" bestFit="1" customWidth="1"/>
    <col min="20" max="20" width="94.125" style="2" bestFit="1" customWidth="1"/>
    <col min="21" max="21" width="21.75" style="2" bestFit="1" customWidth="1"/>
    <col min="22" max="22" width="15.875" style="2" bestFit="1" customWidth="1"/>
    <col min="23" max="23" width="107.5" style="2" bestFit="1" customWidth="1"/>
    <col min="24" max="24" width="21.75" style="45" bestFit="1" customWidth="1"/>
    <col min="25" max="16384" width="9" style="1"/>
  </cols>
  <sheetData>
    <row r="1" spans="1:4" ht="66">
      <c r="A1" s="3" t="s">
        <v>3</v>
      </c>
      <c r="B1" s="63" t="s">
        <v>0</v>
      </c>
      <c r="C1" s="41" t="s">
        <v>4</v>
      </c>
      <c r="D1" s="3" t="s">
        <v>328</v>
      </c>
    </row>
    <row r="2" spans="1:4">
      <c r="A2" s="4" t="s">
        <v>5</v>
      </c>
      <c r="B2" s="64" t="s">
        <v>256</v>
      </c>
      <c r="C2" s="42" t="s">
        <v>7</v>
      </c>
      <c r="D2" s="4" t="s">
        <v>326</v>
      </c>
    </row>
    <row r="3" spans="1:4">
      <c r="A3" s="4" t="s">
        <v>9</v>
      </c>
      <c r="B3" s="65" t="s">
        <v>257</v>
      </c>
      <c r="C3" s="43" t="s">
        <v>10</v>
      </c>
      <c r="D3" s="4" t="s">
        <v>327</v>
      </c>
    </row>
    <row r="4" spans="1:4">
      <c r="A4" s="10">
        <v>10101</v>
      </c>
      <c r="B4" s="66" t="s">
        <v>258</v>
      </c>
      <c r="C4" s="47">
        <v>40101</v>
      </c>
      <c r="D4" s="10" t="str">
        <f>IF(ISERROR(FIND("技能",$B4)),"[]",1)</f>
        <v>[]</v>
      </c>
    </row>
    <row r="5" spans="1:4">
      <c r="A5" s="10">
        <v>10102</v>
      </c>
      <c r="B5" s="66" t="s">
        <v>259</v>
      </c>
      <c r="C5" s="47">
        <v>40102</v>
      </c>
      <c r="D5" s="10" t="str">
        <f t="shared" ref="D5:D68" si="0">IF(ISERROR(FIND("技能",$B5)),"[]",1)</f>
        <v>[]</v>
      </c>
    </row>
    <row r="6" spans="1:4">
      <c r="A6" s="10">
        <v>10103</v>
      </c>
      <c r="B6" s="66" t="s">
        <v>260</v>
      </c>
      <c r="C6" s="47" t="s">
        <v>75</v>
      </c>
      <c r="D6" s="10" t="str">
        <f t="shared" si="0"/>
        <v>[]</v>
      </c>
    </row>
    <row r="7" spans="1:4">
      <c r="A7" s="10">
        <v>10104</v>
      </c>
      <c r="B7" s="66" t="s">
        <v>261</v>
      </c>
      <c r="C7" s="47">
        <v>40104</v>
      </c>
      <c r="D7" s="10" t="str">
        <f t="shared" si="0"/>
        <v>[]</v>
      </c>
    </row>
    <row r="8" spans="1:4">
      <c r="A8" s="10">
        <v>10105</v>
      </c>
      <c r="B8" s="66" t="s">
        <v>262</v>
      </c>
      <c r="C8" s="47">
        <v>40105</v>
      </c>
      <c r="D8" s="10" t="str">
        <f t="shared" si="0"/>
        <v>[]</v>
      </c>
    </row>
    <row r="9" spans="1:4">
      <c r="A9" s="10">
        <v>10106</v>
      </c>
      <c r="B9" s="66" t="s">
        <v>263</v>
      </c>
      <c r="C9" s="47">
        <v>40106</v>
      </c>
      <c r="D9" s="10" t="str">
        <f t="shared" si="0"/>
        <v>[]</v>
      </c>
    </row>
    <row r="10" spans="1:4">
      <c r="A10" s="10">
        <v>10107</v>
      </c>
      <c r="B10" s="66" t="s">
        <v>264</v>
      </c>
      <c r="C10" s="47" t="s">
        <v>76</v>
      </c>
      <c r="D10" s="10" t="str">
        <f t="shared" si="0"/>
        <v>[]</v>
      </c>
    </row>
    <row r="11" spans="1:4">
      <c r="A11" s="10">
        <v>10108</v>
      </c>
      <c r="B11" s="66" t="s">
        <v>265</v>
      </c>
      <c r="C11" s="47" t="s">
        <v>77</v>
      </c>
      <c r="D11" s="10" t="str">
        <f t="shared" si="0"/>
        <v>[]</v>
      </c>
    </row>
    <row r="12" spans="1:4">
      <c r="A12" s="10">
        <v>10109</v>
      </c>
      <c r="B12" s="66" t="s">
        <v>266</v>
      </c>
      <c r="C12" s="47">
        <v>40109</v>
      </c>
      <c r="D12" s="10" t="str">
        <f t="shared" si="0"/>
        <v>[]</v>
      </c>
    </row>
    <row r="13" spans="1:4">
      <c r="A13" s="10">
        <v>10110</v>
      </c>
      <c r="B13" s="66" t="s">
        <v>267</v>
      </c>
      <c r="C13" s="47">
        <v>40110</v>
      </c>
      <c r="D13" s="10" t="str">
        <f t="shared" si="0"/>
        <v>[]</v>
      </c>
    </row>
    <row r="14" spans="1:4">
      <c r="A14" s="10">
        <v>10111</v>
      </c>
      <c r="B14" s="66" t="s">
        <v>268</v>
      </c>
      <c r="C14" s="47">
        <v>40111</v>
      </c>
      <c r="D14" s="10" t="str">
        <f t="shared" si="0"/>
        <v>[]</v>
      </c>
    </row>
    <row r="15" spans="1:4">
      <c r="A15" s="10">
        <v>10112</v>
      </c>
      <c r="B15" s="66" t="s">
        <v>269</v>
      </c>
      <c r="C15" s="47">
        <v>40112</v>
      </c>
      <c r="D15" s="10" t="str">
        <f t="shared" si="0"/>
        <v>[]</v>
      </c>
    </row>
    <row r="16" spans="1:4">
      <c r="A16" s="10">
        <v>10113</v>
      </c>
      <c r="B16" s="66" t="s">
        <v>270</v>
      </c>
      <c r="C16" s="47" t="s">
        <v>78</v>
      </c>
      <c r="D16" s="10" t="str">
        <f t="shared" si="0"/>
        <v>[]</v>
      </c>
    </row>
    <row r="17" spans="1:4">
      <c r="A17" s="10">
        <v>10114</v>
      </c>
      <c r="B17" s="66" t="s">
        <v>271</v>
      </c>
      <c r="C17" s="47">
        <v>40114</v>
      </c>
      <c r="D17" s="10" t="str">
        <f t="shared" si="0"/>
        <v>[]</v>
      </c>
    </row>
    <row r="18" spans="1:4">
      <c r="A18" s="10">
        <v>10115</v>
      </c>
      <c r="B18" s="66" t="s">
        <v>272</v>
      </c>
      <c r="C18" s="47">
        <v>40115</v>
      </c>
      <c r="D18" s="10" t="str">
        <f t="shared" si="0"/>
        <v>[]</v>
      </c>
    </row>
    <row r="19" spans="1:4">
      <c r="A19" s="10">
        <v>10201</v>
      </c>
      <c r="B19" s="66" t="s">
        <v>258</v>
      </c>
      <c r="C19" s="47">
        <v>40201</v>
      </c>
      <c r="D19" s="10" t="str">
        <f t="shared" si="0"/>
        <v>[]</v>
      </c>
    </row>
    <row r="20" spans="1:4">
      <c r="A20" s="10">
        <v>10202</v>
      </c>
      <c r="B20" s="66" t="s">
        <v>273</v>
      </c>
      <c r="C20" s="47">
        <v>40202</v>
      </c>
      <c r="D20" s="10" t="str">
        <f t="shared" si="0"/>
        <v>[]</v>
      </c>
    </row>
    <row r="21" spans="1:4">
      <c r="A21" s="10">
        <v>10203</v>
      </c>
      <c r="B21" s="66" t="s">
        <v>260</v>
      </c>
      <c r="C21" s="47" t="s">
        <v>79</v>
      </c>
      <c r="D21" s="10" t="str">
        <f t="shared" si="0"/>
        <v>[]</v>
      </c>
    </row>
    <row r="22" spans="1:4">
      <c r="A22" s="10">
        <v>10204</v>
      </c>
      <c r="B22" s="66" t="s">
        <v>261</v>
      </c>
      <c r="C22" s="47">
        <v>40204</v>
      </c>
      <c r="D22" s="10" t="str">
        <f t="shared" si="0"/>
        <v>[]</v>
      </c>
    </row>
    <row r="23" spans="1:4">
      <c r="A23" s="10">
        <v>10205</v>
      </c>
      <c r="B23" s="66" t="s">
        <v>262</v>
      </c>
      <c r="C23" s="47">
        <v>40205</v>
      </c>
      <c r="D23" s="10" t="str">
        <f t="shared" si="0"/>
        <v>[]</v>
      </c>
    </row>
    <row r="24" spans="1:4">
      <c r="A24" s="10">
        <v>10206</v>
      </c>
      <c r="B24" s="66" t="s">
        <v>274</v>
      </c>
      <c r="C24" s="47">
        <v>40206</v>
      </c>
      <c r="D24" s="10" t="str">
        <f t="shared" si="0"/>
        <v>[]</v>
      </c>
    </row>
    <row r="25" spans="1:4">
      <c r="A25" s="10">
        <v>10207</v>
      </c>
      <c r="B25" s="66" t="s">
        <v>264</v>
      </c>
      <c r="C25" s="47" t="s">
        <v>80</v>
      </c>
      <c r="D25" s="10" t="str">
        <f t="shared" si="0"/>
        <v>[]</v>
      </c>
    </row>
    <row r="26" spans="1:4">
      <c r="A26" s="10">
        <v>10208</v>
      </c>
      <c r="B26" s="66" t="s">
        <v>265</v>
      </c>
      <c r="C26" s="47" t="s">
        <v>81</v>
      </c>
      <c r="D26" s="10" t="str">
        <f t="shared" si="0"/>
        <v>[]</v>
      </c>
    </row>
    <row r="27" spans="1:4">
      <c r="A27" s="10">
        <v>10209</v>
      </c>
      <c r="B27" s="66" t="s">
        <v>266</v>
      </c>
      <c r="C27" s="47">
        <v>40209</v>
      </c>
      <c r="D27" s="10" t="str">
        <f t="shared" si="0"/>
        <v>[]</v>
      </c>
    </row>
    <row r="28" spans="1:4">
      <c r="A28" s="10">
        <v>10210</v>
      </c>
      <c r="B28" s="66" t="s">
        <v>267</v>
      </c>
      <c r="C28" s="47">
        <v>40210</v>
      </c>
      <c r="D28" s="10" t="str">
        <f t="shared" si="0"/>
        <v>[]</v>
      </c>
    </row>
    <row r="29" spans="1:4">
      <c r="A29" s="10">
        <v>10211</v>
      </c>
      <c r="B29" s="66" t="s">
        <v>268</v>
      </c>
      <c r="C29" s="47">
        <v>40211</v>
      </c>
      <c r="D29" s="10" t="str">
        <f t="shared" si="0"/>
        <v>[]</v>
      </c>
    </row>
    <row r="30" spans="1:4">
      <c r="A30" s="10">
        <v>10212</v>
      </c>
      <c r="B30" s="66" t="s">
        <v>269</v>
      </c>
      <c r="C30" s="47">
        <v>40212</v>
      </c>
      <c r="D30" s="10" t="str">
        <f t="shared" si="0"/>
        <v>[]</v>
      </c>
    </row>
    <row r="31" spans="1:4">
      <c r="A31" s="10">
        <v>10213</v>
      </c>
      <c r="B31" s="66" t="s">
        <v>270</v>
      </c>
      <c r="C31" s="47" t="s">
        <v>82</v>
      </c>
      <c r="D31" s="10" t="str">
        <f t="shared" si="0"/>
        <v>[]</v>
      </c>
    </row>
    <row r="32" spans="1:4">
      <c r="A32" s="10">
        <v>10214</v>
      </c>
      <c r="B32" s="66" t="s">
        <v>271</v>
      </c>
      <c r="C32" s="47">
        <v>40214</v>
      </c>
      <c r="D32" s="10" t="str">
        <f t="shared" si="0"/>
        <v>[]</v>
      </c>
    </row>
    <row r="33" spans="1:4">
      <c r="A33" s="10">
        <v>10215</v>
      </c>
      <c r="B33" s="66" t="s">
        <v>272</v>
      </c>
      <c r="C33" s="47">
        <v>40215</v>
      </c>
      <c r="D33" s="10" t="str">
        <f t="shared" si="0"/>
        <v>[]</v>
      </c>
    </row>
    <row r="34" spans="1:4">
      <c r="A34" s="10">
        <v>10301</v>
      </c>
      <c r="B34" s="66" t="s">
        <v>258</v>
      </c>
      <c r="C34" s="47">
        <v>40301</v>
      </c>
      <c r="D34" s="10" t="str">
        <f t="shared" si="0"/>
        <v>[]</v>
      </c>
    </row>
    <row r="35" spans="1:4">
      <c r="A35" s="10">
        <v>10302</v>
      </c>
      <c r="B35" s="66" t="s">
        <v>273</v>
      </c>
      <c r="C35" s="47">
        <v>40302</v>
      </c>
      <c r="D35" s="10" t="str">
        <f t="shared" si="0"/>
        <v>[]</v>
      </c>
    </row>
    <row r="36" spans="1:4">
      <c r="A36" s="10">
        <v>10303</v>
      </c>
      <c r="B36" s="66" t="s">
        <v>260</v>
      </c>
      <c r="C36" s="47" t="s">
        <v>83</v>
      </c>
      <c r="D36" s="10" t="str">
        <f t="shared" si="0"/>
        <v>[]</v>
      </c>
    </row>
    <row r="37" spans="1:4">
      <c r="A37" s="10">
        <v>10304</v>
      </c>
      <c r="B37" s="66" t="s">
        <v>275</v>
      </c>
      <c r="C37" s="47">
        <v>40304</v>
      </c>
      <c r="D37" s="10" t="str">
        <f t="shared" si="0"/>
        <v>[]</v>
      </c>
    </row>
    <row r="38" spans="1:4">
      <c r="A38" s="10">
        <v>10305</v>
      </c>
      <c r="B38" s="66" t="s">
        <v>262</v>
      </c>
      <c r="C38" s="47">
        <v>40305</v>
      </c>
      <c r="D38" s="10" t="str">
        <f t="shared" si="0"/>
        <v>[]</v>
      </c>
    </row>
    <row r="39" spans="1:4">
      <c r="A39" s="10">
        <v>10306</v>
      </c>
      <c r="B39" s="66" t="s">
        <v>276</v>
      </c>
      <c r="C39" s="47">
        <v>40306</v>
      </c>
      <c r="D39" s="10" t="str">
        <f t="shared" si="0"/>
        <v>[]</v>
      </c>
    </row>
    <row r="40" spans="1:4">
      <c r="A40" s="10">
        <v>10307</v>
      </c>
      <c r="B40" s="66" t="s">
        <v>264</v>
      </c>
      <c r="C40" s="47" t="s">
        <v>84</v>
      </c>
      <c r="D40" s="10" t="str">
        <f t="shared" si="0"/>
        <v>[]</v>
      </c>
    </row>
    <row r="41" spans="1:4">
      <c r="A41" s="10">
        <v>10308</v>
      </c>
      <c r="B41" s="66" t="s">
        <v>265</v>
      </c>
      <c r="C41" s="47" t="s">
        <v>85</v>
      </c>
      <c r="D41" s="10" t="str">
        <f t="shared" si="0"/>
        <v>[]</v>
      </c>
    </row>
    <row r="42" spans="1:4">
      <c r="A42" s="10">
        <v>10309</v>
      </c>
      <c r="B42" s="66" t="s">
        <v>266</v>
      </c>
      <c r="C42" s="47">
        <v>40309</v>
      </c>
      <c r="D42" s="10" t="str">
        <f t="shared" si="0"/>
        <v>[]</v>
      </c>
    </row>
    <row r="43" spans="1:4">
      <c r="A43" s="10">
        <v>10310</v>
      </c>
      <c r="B43" s="66" t="s">
        <v>267</v>
      </c>
      <c r="C43" s="47">
        <v>40310</v>
      </c>
      <c r="D43" s="10" t="str">
        <f t="shared" si="0"/>
        <v>[]</v>
      </c>
    </row>
    <row r="44" spans="1:4">
      <c r="A44" s="10">
        <v>10311</v>
      </c>
      <c r="B44" s="66" t="s">
        <v>268</v>
      </c>
      <c r="C44" s="47">
        <v>40311</v>
      </c>
      <c r="D44" s="10" t="str">
        <f t="shared" si="0"/>
        <v>[]</v>
      </c>
    </row>
    <row r="45" spans="1:4">
      <c r="A45" s="10">
        <v>10312</v>
      </c>
      <c r="B45" s="66" t="s">
        <v>269</v>
      </c>
      <c r="C45" s="47">
        <v>40312</v>
      </c>
      <c r="D45" s="10" t="str">
        <f t="shared" si="0"/>
        <v>[]</v>
      </c>
    </row>
    <row r="46" spans="1:4">
      <c r="A46" s="10">
        <v>10313</v>
      </c>
      <c r="B46" s="66" t="s">
        <v>270</v>
      </c>
      <c r="C46" s="47" t="s">
        <v>86</v>
      </c>
      <c r="D46" s="10" t="str">
        <f t="shared" si="0"/>
        <v>[]</v>
      </c>
    </row>
    <row r="47" spans="1:4">
      <c r="A47" s="10">
        <v>10314</v>
      </c>
      <c r="B47" s="66" t="s">
        <v>271</v>
      </c>
      <c r="C47" s="47">
        <v>40314</v>
      </c>
      <c r="D47" s="10" t="str">
        <f t="shared" si="0"/>
        <v>[]</v>
      </c>
    </row>
    <row r="48" spans="1:4">
      <c r="A48" s="10">
        <v>10315</v>
      </c>
      <c r="B48" s="66" t="s">
        <v>272</v>
      </c>
      <c r="C48" s="47">
        <v>40315</v>
      </c>
      <c r="D48" s="10" t="str">
        <f t="shared" si="0"/>
        <v>[]</v>
      </c>
    </row>
    <row r="49" spans="1:4">
      <c r="A49" s="10">
        <v>10401</v>
      </c>
      <c r="B49" s="66" t="s">
        <v>277</v>
      </c>
      <c r="C49" s="47">
        <v>40401</v>
      </c>
      <c r="D49" s="10" t="str">
        <f t="shared" si="0"/>
        <v>[]</v>
      </c>
    </row>
    <row r="50" spans="1:4">
      <c r="A50" s="10">
        <v>10402</v>
      </c>
      <c r="B50" s="66" t="s">
        <v>278</v>
      </c>
      <c r="C50" s="47">
        <v>40402</v>
      </c>
      <c r="D50" s="10" t="str">
        <f t="shared" si="0"/>
        <v>[]</v>
      </c>
    </row>
    <row r="51" spans="1:4">
      <c r="A51" s="10">
        <v>10403</v>
      </c>
      <c r="B51" s="66" t="s">
        <v>279</v>
      </c>
      <c r="C51" s="47">
        <v>40403</v>
      </c>
      <c r="D51" s="10" t="str">
        <f t="shared" si="0"/>
        <v>[]</v>
      </c>
    </row>
    <row r="52" spans="1:4">
      <c r="A52" s="10">
        <v>10404</v>
      </c>
      <c r="B52" s="66" t="s">
        <v>280</v>
      </c>
      <c r="C52" s="47">
        <v>40404</v>
      </c>
      <c r="D52" s="10" t="str">
        <f t="shared" si="0"/>
        <v>[]</v>
      </c>
    </row>
    <row r="53" spans="1:4">
      <c r="A53" s="10">
        <v>10405</v>
      </c>
      <c r="B53" s="66" t="s">
        <v>281</v>
      </c>
      <c r="C53" s="47">
        <v>40405</v>
      </c>
      <c r="D53" s="10" t="str">
        <f t="shared" si="0"/>
        <v>[]</v>
      </c>
    </row>
    <row r="54" spans="1:4">
      <c r="A54" s="10">
        <v>10406</v>
      </c>
      <c r="B54" s="66" t="s">
        <v>282</v>
      </c>
      <c r="C54" s="47">
        <v>40406</v>
      </c>
      <c r="D54" s="10" t="str">
        <f t="shared" si="0"/>
        <v>[]</v>
      </c>
    </row>
    <row r="55" spans="1:4">
      <c r="A55" s="10">
        <v>10407</v>
      </c>
      <c r="B55" s="66" t="s">
        <v>283</v>
      </c>
      <c r="C55" s="47" t="s">
        <v>87</v>
      </c>
      <c r="D55" s="10" t="str">
        <f t="shared" si="0"/>
        <v>[]</v>
      </c>
    </row>
    <row r="56" spans="1:4">
      <c r="A56" s="10">
        <v>10408</v>
      </c>
      <c r="B56" s="66" t="s">
        <v>284</v>
      </c>
      <c r="C56" s="47">
        <v>40408</v>
      </c>
      <c r="D56" s="10" t="str">
        <f t="shared" si="0"/>
        <v>[]</v>
      </c>
    </row>
    <row r="57" spans="1:4">
      <c r="A57" s="10">
        <v>10409</v>
      </c>
      <c r="B57" s="66" t="s">
        <v>285</v>
      </c>
      <c r="C57" s="47">
        <v>40409</v>
      </c>
      <c r="D57" s="10" t="str">
        <f t="shared" si="0"/>
        <v>[]</v>
      </c>
    </row>
    <row r="58" spans="1:4">
      <c r="A58" s="10">
        <v>10410</v>
      </c>
      <c r="B58" s="66" t="s">
        <v>286</v>
      </c>
      <c r="C58" s="47">
        <v>40410</v>
      </c>
      <c r="D58" s="10" t="str">
        <f t="shared" si="0"/>
        <v>[]</v>
      </c>
    </row>
    <row r="59" spans="1:4">
      <c r="A59" s="10">
        <v>10411</v>
      </c>
      <c r="B59" s="66" t="s">
        <v>287</v>
      </c>
      <c r="C59" s="47">
        <v>40411</v>
      </c>
      <c r="D59" s="10" t="str">
        <f t="shared" si="0"/>
        <v>[]</v>
      </c>
    </row>
    <row r="60" spans="1:4">
      <c r="A60" s="10">
        <v>10412</v>
      </c>
      <c r="B60" s="66" t="s">
        <v>288</v>
      </c>
      <c r="C60" s="47">
        <v>40412</v>
      </c>
      <c r="D60" s="10" t="str">
        <f t="shared" si="0"/>
        <v>[]</v>
      </c>
    </row>
    <row r="61" spans="1:4">
      <c r="A61" s="10">
        <v>10413</v>
      </c>
      <c r="B61" s="66" t="s">
        <v>289</v>
      </c>
      <c r="C61" s="47" t="s">
        <v>88</v>
      </c>
      <c r="D61" s="10" t="str">
        <f t="shared" si="0"/>
        <v>[]</v>
      </c>
    </row>
    <row r="62" spans="1:4">
      <c r="A62" s="10">
        <v>10414</v>
      </c>
      <c r="B62" s="66" t="s">
        <v>290</v>
      </c>
      <c r="C62" s="47">
        <v>40414</v>
      </c>
      <c r="D62" s="10" t="str">
        <f t="shared" si="0"/>
        <v>[]</v>
      </c>
    </row>
    <row r="63" spans="1:4">
      <c r="A63" s="10">
        <v>10415</v>
      </c>
      <c r="B63" s="66" t="s">
        <v>291</v>
      </c>
      <c r="C63" s="47">
        <v>40415</v>
      </c>
      <c r="D63" s="10" t="str">
        <f t="shared" si="0"/>
        <v>[]</v>
      </c>
    </row>
    <row r="64" spans="1:4">
      <c r="A64" s="10">
        <v>10501</v>
      </c>
      <c r="B64" s="66" t="s">
        <v>277</v>
      </c>
      <c r="C64" s="47">
        <v>40501</v>
      </c>
      <c r="D64" s="10" t="str">
        <f t="shared" si="0"/>
        <v>[]</v>
      </c>
    </row>
    <row r="65" spans="1:4">
      <c r="A65" s="10">
        <v>10502</v>
      </c>
      <c r="B65" s="66" t="s">
        <v>292</v>
      </c>
      <c r="C65" s="47">
        <v>40502</v>
      </c>
      <c r="D65" s="10" t="str">
        <f t="shared" si="0"/>
        <v>[]</v>
      </c>
    </row>
    <row r="66" spans="1:4">
      <c r="A66" s="10">
        <v>10503</v>
      </c>
      <c r="B66" s="66" t="s">
        <v>279</v>
      </c>
      <c r="C66" s="47">
        <v>40503</v>
      </c>
      <c r="D66" s="10" t="str">
        <f t="shared" si="0"/>
        <v>[]</v>
      </c>
    </row>
    <row r="67" spans="1:4">
      <c r="A67" s="10">
        <v>10504</v>
      </c>
      <c r="B67" s="66" t="s">
        <v>280</v>
      </c>
      <c r="C67" s="47">
        <v>40504</v>
      </c>
      <c r="D67" s="10" t="str">
        <f t="shared" si="0"/>
        <v>[]</v>
      </c>
    </row>
    <row r="68" spans="1:4">
      <c r="A68" s="10">
        <v>10505</v>
      </c>
      <c r="B68" s="66" t="s">
        <v>281</v>
      </c>
      <c r="C68" s="47">
        <v>40505</v>
      </c>
      <c r="D68" s="10" t="str">
        <f t="shared" si="0"/>
        <v>[]</v>
      </c>
    </row>
    <row r="69" spans="1:4">
      <c r="A69" s="10">
        <v>10506</v>
      </c>
      <c r="B69" s="66" t="s">
        <v>293</v>
      </c>
      <c r="C69" s="47">
        <v>40506</v>
      </c>
      <c r="D69" s="10" t="str">
        <f t="shared" ref="D69:D132" si="1">IF(ISERROR(FIND("技能",$B69)),"[]",1)</f>
        <v>[]</v>
      </c>
    </row>
    <row r="70" spans="1:4">
      <c r="A70" s="10">
        <v>10507</v>
      </c>
      <c r="B70" s="66" t="s">
        <v>283</v>
      </c>
      <c r="C70" s="47" t="s">
        <v>89</v>
      </c>
      <c r="D70" s="10" t="str">
        <f t="shared" si="1"/>
        <v>[]</v>
      </c>
    </row>
    <row r="71" spans="1:4">
      <c r="A71" s="10">
        <v>10508</v>
      </c>
      <c r="B71" s="66" t="s">
        <v>284</v>
      </c>
      <c r="C71" s="47">
        <v>40508</v>
      </c>
      <c r="D71" s="10" t="str">
        <f t="shared" si="1"/>
        <v>[]</v>
      </c>
    </row>
    <row r="72" spans="1:4">
      <c r="A72" s="10">
        <v>10509</v>
      </c>
      <c r="B72" s="66" t="s">
        <v>285</v>
      </c>
      <c r="C72" s="47">
        <v>40509</v>
      </c>
      <c r="D72" s="10" t="str">
        <f t="shared" si="1"/>
        <v>[]</v>
      </c>
    </row>
    <row r="73" spans="1:4">
      <c r="A73" s="10">
        <v>10510</v>
      </c>
      <c r="B73" s="66" t="s">
        <v>286</v>
      </c>
      <c r="C73" s="47">
        <v>40510</v>
      </c>
      <c r="D73" s="10" t="str">
        <f t="shared" si="1"/>
        <v>[]</v>
      </c>
    </row>
    <row r="74" spans="1:4">
      <c r="A74" s="10">
        <v>10511</v>
      </c>
      <c r="B74" s="66" t="s">
        <v>287</v>
      </c>
      <c r="C74" s="47">
        <v>40511</v>
      </c>
      <c r="D74" s="10" t="str">
        <f t="shared" si="1"/>
        <v>[]</v>
      </c>
    </row>
    <row r="75" spans="1:4">
      <c r="A75" s="10">
        <v>10512</v>
      </c>
      <c r="B75" s="66" t="s">
        <v>288</v>
      </c>
      <c r="C75" s="47">
        <v>40512</v>
      </c>
      <c r="D75" s="10" t="str">
        <f t="shared" si="1"/>
        <v>[]</v>
      </c>
    </row>
    <row r="76" spans="1:4">
      <c r="A76" s="10">
        <v>10513</v>
      </c>
      <c r="B76" s="66" t="s">
        <v>289</v>
      </c>
      <c r="C76" s="47" t="s">
        <v>90</v>
      </c>
      <c r="D76" s="10" t="str">
        <f t="shared" si="1"/>
        <v>[]</v>
      </c>
    </row>
    <row r="77" spans="1:4">
      <c r="A77" s="10">
        <v>10514</v>
      </c>
      <c r="B77" s="66" t="s">
        <v>290</v>
      </c>
      <c r="C77" s="47">
        <v>40514</v>
      </c>
      <c r="D77" s="10" t="str">
        <f t="shared" si="1"/>
        <v>[]</v>
      </c>
    </row>
    <row r="78" spans="1:4">
      <c r="A78" s="10">
        <v>10515</v>
      </c>
      <c r="B78" s="66" t="s">
        <v>291</v>
      </c>
      <c r="C78" s="47">
        <v>40515</v>
      </c>
      <c r="D78" s="10" t="str">
        <f t="shared" si="1"/>
        <v>[]</v>
      </c>
    </row>
    <row r="79" spans="1:4">
      <c r="A79" s="10">
        <v>10601</v>
      </c>
      <c r="B79" s="66" t="s">
        <v>277</v>
      </c>
      <c r="C79" s="47">
        <v>40601</v>
      </c>
      <c r="D79" s="10" t="str">
        <f t="shared" si="1"/>
        <v>[]</v>
      </c>
    </row>
    <row r="80" spans="1:4">
      <c r="A80" s="10">
        <v>10602</v>
      </c>
      <c r="B80" s="66" t="s">
        <v>292</v>
      </c>
      <c r="C80" s="47">
        <v>40602</v>
      </c>
      <c r="D80" s="10" t="str">
        <f t="shared" si="1"/>
        <v>[]</v>
      </c>
    </row>
    <row r="81" spans="1:4">
      <c r="A81" s="10">
        <v>10603</v>
      </c>
      <c r="B81" s="66" t="s">
        <v>279</v>
      </c>
      <c r="C81" s="47">
        <v>40603</v>
      </c>
      <c r="D81" s="10" t="str">
        <f t="shared" si="1"/>
        <v>[]</v>
      </c>
    </row>
    <row r="82" spans="1:4">
      <c r="A82" s="10">
        <v>10604</v>
      </c>
      <c r="B82" s="66" t="s">
        <v>294</v>
      </c>
      <c r="C82" s="47">
        <v>40604</v>
      </c>
      <c r="D82" s="10" t="str">
        <f t="shared" si="1"/>
        <v>[]</v>
      </c>
    </row>
    <row r="83" spans="1:4">
      <c r="A83" s="10">
        <v>10605</v>
      </c>
      <c r="B83" s="66" t="s">
        <v>281</v>
      </c>
      <c r="C83" s="47">
        <v>40605</v>
      </c>
      <c r="D83" s="10" t="str">
        <f t="shared" si="1"/>
        <v>[]</v>
      </c>
    </row>
    <row r="84" spans="1:4">
      <c r="A84" s="10">
        <v>10606</v>
      </c>
      <c r="B84" s="66" t="s">
        <v>295</v>
      </c>
      <c r="C84" s="47">
        <v>40606</v>
      </c>
      <c r="D84" s="10" t="str">
        <f t="shared" si="1"/>
        <v>[]</v>
      </c>
    </row>
    <row r="85" spans="1:4">
      <c r="A85" s="10">
        <v>10607</v>
      </c>
      <c r="B85" s="66" t="s">
        <v>283</v>
      </c>
      <c r="C85" s="47" t="s">
        <v>91</v>
      </c>
      <c r="D85" s="10" t="str">
        <f t="shared" si="1"/>
        <v>[]</v>
      </c>
    </row>
    <row r="86" spans="1:4">
      <c r="A86" s="10">
        <v>10608</v>
      </c>
      <c r="B86" s="66" t="s">
        <v>284</v>
      </c>
      <c r="C86" s="47">
        <v>40608</v>
      </c>
      <c r="D86" s="10" t="str">
        <f t="shared" si="1"/>
        <v>[]</v>
      </c>
    </row>
    <row r="87" spans="1:4">
      <c r="A87" s="10">
        <v>10609</v>
      </c>
      <c r="B87" s="66" t="s">
        <v>285</v>
      </c>
      <c r="C87" s="47">
        <v>40609</v>
      </c>
      <c r="D87" s="10" t="str">
        <f t="shared" si="1"/>
        <v>[]</v>
      </c>
    </row>
    <row r="88" spans="1:4">
      <c r="A88" s="10">
        <v>10610</v>
      </c>
      <c r="B88" s="66" t="s">
        <v>286</v>
      </c>
      <c r="C88" s="47">
        <v>40610</v>
      </c>
      <c r="D88" s="10" t="str">
        <f t="shared" si="1"/>
        <v>[]</v>
      </c>
    </row>
    <row r="89" spans="1:4">
      <c r="A89" s="10">
        <v>10611</v>
      </c>
      <c r="B89" s="66" t="s">
        <v>287</v>
      </c>
      <c r="C89" s="47">
        <v>40611</v>
      </c>
      <c r="D89" s="10" t="str">
        <f t="shared" si="1"/>
        <v>[]</v>
      </c>
    </row>
    <row r="90" spans="1:4">
      <c r="A90" s="10">
        <v>10612</v>
      </c>
      <c r="B90" s="66" t="s">
        <v>288</v>
      </c>
      <c r="C90" s="47">
        <v>40612</v>
      </c>
      <c r="D90" s="10" t="str">
        <f t="shared" si="1"/>
        <v>[]</v>
      </c>
    </row>
    <row r="91" spans="1:4">
      <c r="A91" s="10">
        <v>10613</v>
      </c>
      <c r="B91" s="66" t="s">
        <v>289</v>
      </c>
      <c r="C91" s="47" t="s">
        <v>92</v>
      </c>
      <c r="D91" s="10" t="str">
        <f t="shared" si="1"/>
        <v>[]</v>
      </c>
    </row>
    <row r="92" spans="1:4">
      <c r="A92" s="10">
        <v>10614</v>
      </c>
      <c r="B92" s="66" t="s">
        <v>290</v>
      </c>
      <c r="C92" s="47">
        <v>40614</v>
      </c>
      <c r="D92" s="10" t="str">
        <f t="shared" si="1"/>
        <v>[]</v>
      </c>
    </row>
    <row r="93" spans="1:4">
      <c r="A93" s="10">
        <v>10615</v>
      </c>
      <c r="B93" s="66" t="s">
        <v>291</v>
      </c>
      <c r="C93" s="47">
        <v>40615</v>
      </c>
      <c r="D93" s="10" t="str">
        <f t="shared" si="1"/>
        <v>[]</v>
      </c>
    </row>
    <row r="94" spans="1:4">
      <c r="A94" s="10">
        <v>10701</v>
      </c>
      <c r="B94" s="66" t="s">
        <v>296</v>
      </c>
      <c r="C94" s="47" t="s">
        <v>93</v>
      </c>
      <c r="D94" s="10" t="str">
        <f t="shared" si="1"/>
        <v>[]</v>
      </c>
    </row>
    <row r="95" spans="1:4">
      <c r="A95" s="10">
        <v>10702</v>
      </c>
      <c r="B95" s="66" t="s">
        <v>259</v>
      </c>
      <c r="C95" s="47">
        <v>40702</v>
      </c>
      <c r="D95" s="10" t="str">
        <f t="shared" si="1"/>
        <v>[]</v>
      </c>
    </row>
    <row r="96" spans="1:4">
      <c r="A96" s="10">
        <v>10703</v>
      </c>
      <c r="B96" s="66" t="s">
        <v>297</v>
      </c>
      <c r="C96" s="47">
        <v>40703</v>
      </c>
      <c r="D96" s="10" t="str">
        <f t="shared" si="1"/>
        <v>[]</v>
      </c>
    </row>
    <row r="97" spans="1:4">
      <c r="A97" s="10">
        <v>10704</v>
      </c>
      <c r="B97" s="66" t="s">
        <v>261</v>
      </c>
      <c r="C97" s="47">
        <v>40704</v>
      </c>
      <c r="D97" s="10" t="str">
        <f t="shared" si="1"/>
        <v>[]</v>
      </c>
    </row>
    <row r="98" spans="1:4">
      <c r="A98" s="10">
        <v>10705</v>
      </c>
      <c r="B98" s="66" t="s">
        <v>262</v>
      </c>
      <c r="C98" s="47">
        <v>40705</v>
      </c>
      <c r="D98" s="10" t="str">
        <f t="shared" si="1"/>
        <v>[]</v>
      </c>
    </row>
    <row r="99" spans="1:4">
      <c r="A99" s="10">
        <v>10706</v>
      </c>
      <c r="B99" s="66" t="s">
        <v>298</v>
      </c>
      <c r="C99" s="47">
        <v>40706</v>
      </c>
      <c r="D99" s="10" t="str">
        <f t="shared" si="1"/>
        <v>[]</v>
      </c>
    </row>
    <row r="100" spans="1:4">
      <c r="A100" s="10">
        <v>10707</v>
      </c>
      <c r="B100" s="66" t="s">
        <v>299</v>
      </c>
      <c r="C100" s="47" t="s">
        <v>94</v>
      </c>
      <c r="D100" s="10" t="str">
        <f t="shared" si="1"/>
        <v>[]</v>
      </c>
    </row>
    <row r="101" spans="1:4">
      <c r="A101" s="10">
        <v>10708</v>
      </c>
      <c r="B101" s="66" t="s">
        <v>300</v>
      </c>
      <c r="C101" s="47" t="s">
        <v>95</v>
      </c>
      <c r="D101" s="10" t="str">
        <f t="shared" si="1"/>
        <v>[]</v>
      </c>
    </row>
    <row r="102" spans="1:4">
      <c r="A102" s="10">
        <v>10709</v>
      </c>
      <c r="B102" s="66" t="s">
        <v>301</v>
      </c>
      <c r="C102" s="47">
        <v>40709</v>
      </c>
      <c r="D102" s="10" t="str">
        <f t="shared" si="1"/>
        <v>[]</v>
      </c>
    </row>
    <row r="103" spans="1:4">
      <c r="A103" s="10">
        <v>10710</v>
      </c>
      <c r="B103" s="66" t="s">
        <v>302</v>
      </c>
      <c r="C103" s="47">
        <v>40710</v>
      </c>
      <c r="D103" s="10" t="str">
        <f t="shared" si="1"/>
        <v>[]</v>
      </c>
    </row>
    <row r="104" spans="1:4">
      <c r="A104" s="10">
        <v>10711</v>
      </c>
      <c r="B104" s="66" t="s">
        <v>303</v>
      </c>
      <c r="C104" s="47">
        <v>40711</v>
      </c>
      <c r="D104" s="10" t="str">
        <f t="shared" si="1"/>
        <v>[]</v>
      </c>
    </row>
    <row r="105" spans="1:4">
      <c r="A105" s="10">
        <v>10712</v>
      </c>
      <c r="B105" s="66" t="s">
        <v>288</v>
      </c>
      <c r="C105" s="47">
        <v>40712</v>
      </c>
      <c r="D105" s="10" t="str">
        <f t="shared" si="1"/>
        <v>[]</v>
      </c>
    </row>
    <row r="106" spans="1:4">
      <c r="A106" s="10">
        <v>10713</v>
      </c>
      <c r="B106" s="66" t="s">
        <v>289</v>
      </c>
      <c r="C106" s="47" t="s">
        <v>96</v>
      </c>
      <c r="D106" s="10" t="str">
        <f t="shared" si="1"/>
        <v>[]</v>
      </c>
    </row>
    <row r="107" spans="1:4">
      <c r="A107" s="10">
        <v>10714</v>
      </c>
      <c r="B107" s="66" t="s">
        <v>304</v>
      </c>
      <c r="C107" s="47">
        <v>40714</v>
      </c>
      <c r="D107" s="10" t="str">
        <f t="shared" si="1"/>
        <v>[]</v>
      </c>
    </row>
    <row r="108" spans="1:4">
      <c r="A108" s="10">
        <v>10715</v>
      </c>
      <c r="B108" s="66" t="s">
        <v>291</v>
      </c>
      <c r="C108" s="47">
        <v>40715</v>
      </c>
      <c r="D108" s="10" t="str">
        <f t="shared" si="1"/>
        <v>[]</v>
      </c>
    </row>
    <row r="109" spans="1:4">
      <c r="A109" s="10">
        <v>10801</v>
      </c>
      <c r="B109" s="66" t="s">
        <v>296</v>
      </c>
      <c r="C109" s="47" t="s">
        <v>97</v>
      </c>
      <c r="D109" s="10" t="str">
        <f t="shared" si="1"/>
        <v>[]</v>
      </c>
    </row>
    <row r="110" spans="1:4">
      <c r="A110" s="10">
        <v>10802</v>
      </c>
      <c r="B110" s="66" t="s">
        <v>273</v>
      </c>
      <c r="C110" s="47">
        <v>40802</v>
      </c>
      <c r="D110" s="10" t="str">
        <f t="shared" si="1"/>
        <v>[]</v>
      </c>
    </row>
    <row r="111" spans="1:4">
      <c r="A111" s="10">
        <v>10803</v>
      </c>
      <c r="B111" s="66" t="s">
        <v>297</v>
      </c>
      <c r="C111" s="47">
        <v>40803</v>
      </c>
      <c r="D111" s="10" t="str">
        <f t="shared" si="1"/>
        <v>[]</v>
      </c>
    </row>
    <row r="112" spans="1:4">
      <c r="A112" s="10">
        <v>10804</v>
      </c>
      <c r="B112" s="66" t="s">
        <v>261</v>
      </c>
      <c r="C112" s="47">
        <v>40804</v>
      </c>
      <c r="D112" s="10" t="str">
        <f t="shared" si="1"/>
        <v>[]</v>
      </c>
    </row>
    <row r="113" spans="1:4">
      <c r="A113" s="10">
        <v>10805</v>
      </c>
      <c r="B113" s="66" t="s">
        <v>262</v>
      </c>
      <c r="C113" s="47">
        <v>40805</v>
      </c>
      <c r="D113" s="10" t="str">
        <f t="shared" si="1"/>
        <v>[]</v>
      </c>
    </row>
    <row r="114" spans="1:4">
      <c r="A114" s="10">
        <v>10806</v>
      </c>
      <c r="B114" s="66" t="s">
        <v>305</v>
      </c>
      <c r="C114" s="47">
        <v>40806</v>
      </c>
      <c r="D114" s="10" t="str">
        <f t="shared" si="1"/>
        <v>[]</v>
      </c>
    </row>
    <row r="115" spans="1:4">
      <c r="A115" s="10">
        <v>10807</v>
      </c>
      <c r="B115" s="66" t="s">
        <v>299</v>
      </c>
      <c r="C115" s="47" t="s">
        <v>98</v>
      </c>
      <c r="D115" s="10" t="str">
        <f t="shared" si="1"/>
        <v>[]</v>
      </c>
    </row>
    <row r="116" spans="1:4">
      <c r="A116" s="10">
        <v>10808</v>
      </c>
      <c r="B116" s="66" t="s">
        <v>300</v>
      </c>
      <c r="C116" s="47" t="s">
        <v>99</v>
      </c>
      <c r="D116" s="10" t="str">
        <f t="shared" si="1"/>
        <v>[]</v>
      </c>
    </row>
    <row r="117" spans="1:4">
      <c r="A117" s="10">
        <v>10809</v>
      </c>
      <c r="B117" s="66" t="s">
        <v>301</v>
      </c>
      <c r="C117" s="47">
        <v>40809</v>
      </c>
      <c r="D117" s="10" t="str">
        <f t="shared" si="1"/>
        <v>[]</v>
      </c>
    </row>
    <row r="118" spans="1:4">
      <c r="A118" s="10">
        <v>10810</v>
      </c>
      <c r="B118" s="66" t="s">
        <v>302</v>
      </c>
      <c r="C118" s="47">
        <v>40810</v>
      </c>
      <c r="D118" s="10" t="str">
        <f t="shared" si="1"/>
        <v>[]</v>
      </c>
    </row>
    <row r="119" spans="1:4">
      <c r="A119" s="10">
        <v>10811</v>
      </c>
      <c r="B119" s="66" t="s">
        <v>303</v>
      </c>
      <c r="C119" s="47">
        <v>40811</v>
      </c>
      <c r="D119" s="10" t="str">
        <f t="shared" si="1"/>
        <v>[]</v>
      </c>
    </row>
    <row r="120" spans="1:4">
      <c r="A120" s="10">
        <v>10812</v>
      </c>
      <c r="B120" s="66" t="s">
        <v>288</v>
      </c>
      <c r="C120" s="47">
        <v>40812</v>
      </c>
      <c r="D120" s="10" t="str">
        <f t="shared" si="1"/>
        <v>[]</v>
      </c>
    </row>
    <row r="121" spans="1:4">
      <c r="A121" s="10">
        <v>10813</v>
      </c>
      <c r="B121" s="66" t="s">
        <v>289</v>
      </c>
      <c r="C121" s="47" t="s">
        <v>100</v>
      </c>
      <c r="D121" s="10" t="str">
        <f t="shared" si="1"/>
        <v>[]</v>
      </c>
    </row>
    <row r="122" spans="1:4">
      <c r="A122" s="10">
        <v>10814</v>
      </c>
      <c r="B122" s="66" t="s">
        <v>304</v>
      </c>
      <c r="C122" s="47">
        <v>40814</v>
      </c>
      <c r="D122" s="10" t="str">
        <f t="shared" si="1"/>
        <v>[]</v>
      </c>
    </row>
    <row r="123" spans="1:4">
      <c r="A123" s="10">
        <v>10815</v>
      </c>
      <c r="B123" s="66" t="s">
        <v>291</v>
      </c>
      <c r="C123" s="47">
        <v>40815</v>
      </c>
      <c r="D123" s="10" t="str">
        <f t="shared" si="1"/>
        <v>[]</v>
      </c>
    </row>
    <row r="124" spans="1:4">
      <c r="A124" s="10">
        <v>10901</v>
      </c>
      <c r="B124" s="66" t="s">
        <v>296</v>
      </c>
      <c r="C124" s="47" t="s">
        <v>101</v>
      </c>
      <c r="D124" s="10" t="str">
        <f t="shared" si="1"/>
        <v>[]</v>
      </c>
    </row>
    <row r="125" spans="1:4">
      <c r="A125" s="10">
        <v>10902</v>
      </c>
      <c r="B125" s="66" t="s">
        <v>273</v>
      </c>
      <c r="C125" s="47">
        <v>40902</v>
      </c>
      <c r="D125" s="10" t="str">
        <f t="shared" si="1"/>
        <v>[]</v>
      </c>
    </row>
    <row r="126" spans="1:4">
      <c r="A126" s="10">
        <v>10903</v>
      </c>
      <c r="B126" s="66" t="s">
        <v>297</v>
      </c>
      <c r="C126" s="47">
        <v>40903</v>
      </c>
      <c r="D126" s="10" t="str">
        <f t="shared" si="1"/>
        <v>[]</v>
      </c>
    </row>
    <row r="127" spans="1:4">
      <c r="A127" s="10">
        <v>10904</v>
      </c>
      <c r="B127" s="66" t="s">
        <v>275</v>
      </c>
      <c r="C127" s="47">
        <v>40904</v>
      </c>
      <c r="D127" s="10" t="str">
        <f t="shared" si="1"/>
        <v>[]</v>
      </c>
    </row>
    <row r="128" spans="1:4">
      <c r="A128" s="10">
        <v>10905</v>
      </c>
      <c r="B128" s="66" t="s">
        <v>262</v>
      </c>
      <c r="C128" s="47">
        <v>40905</v>
      </c>
      <c r="D128" s="10" t="str">
        <f t="shared" si="1"/>
        <v>[]</v>
      </c>
    </row>
    <row r="129" spans="1:11">
      <c r="A129" s="10">
        <v>10906</v>
      </c>
      <c r="B129" s="66" t="s">
        <v>306</v>
      </c>
      <c r="C129" s="47">
        <v>40906</v>
      </c>
      <c r="D129" s="10" t="str">
        <f t="shared" si="1"/>
        <v>[]</v>
      </c>
    </row>
    <row r="130" spans="1:11">
      <c r="A130" s="10">
        <v>10907</v>
      </c>
      <c r="B130" s="66" t="s">
        <v>299</v>
      </c>
      <c r="C130" s="47" t="s">
        <v>102</v>
      </c>
      <c r="D130" s="10" t="str">
        <f t="shared" si="1"/>
        <v>[]</v>
      </c>
    </row>
    <row r="131" spans="1:11">
      <c r="A131" s="10">
        <v>10908</v>
      </c>
      <c r="B131" s="66" t="s">
        <v>300</v>
      </c>
      <c r="C131" s="47" t="s">
        <v>103</v>
      </c>
      <c r="D131" s="10" t="str">
        <f t="shared" si="1"/>
        <v>[]</v>
      </c>
    </row>
    <row r="132" spans="1:11">
      <c r="A132" s="10">
        <v>10909</v>
      </c>
      <c r="B132" s="66" t="s">
        <v>301</v>
      </c>
      <c r="C132" s="47">
        <v>40909</v>
      </c>
      <c r="D132" s="10" t="str">
        <f t="shared" si="1"/>
        <v>[]</v>
      </c>
    </row>
    <row r="133" spans="1:11">
      <c r="A133" s="10">
        <v>10910</v>
      </c>
      <c r="B133" s="66" t="s">
        <v>302</v>
      </c>
      <c r="C133" s="47">
        <v>40910</v>
      </c>
      <c r="D133" s="10" t="str">
        <f t="shared" ref="D133:D196" si="2">IF(ISERROR(FIND("技能",$B133)),"[]",1)</f>
        <v>[]</v>
      </c>
    </row>
    <row r="134" spans="1:11">
      <c r="A134" s="10">
        <v>10911</v>
      </c>
      <c r="B134" s="66" t="s">
        <v>303</v>
      </c>
      <c r="C134" s="47">
        <v>40911</v>
      </c>
      <c r="D134" s="10" t="str">
        <f t="shared" si="2"/>
        <v>[]</v>
      </c>
      <c r="I134" s="71">
        <v>1102</v>
      </c>
      <c r="J134" s="71" t="s">
        <v>156</v>
      </c>
      <c r="K134" s="71">
        <v>10</v>
      </c>
    </row>
    <row r="135" spans="1:11">
      <c r="A135" s="10">
        <v>10912</v>
      </c>
      <c r="B135" s="66" t="s">
        <v>288</v>
      </c>
      <c r="C135" s="47">
        <v>40912</v>
      </c>
      <c r="D135" s="10" t="str">
        <f t="shared" si="2"/>
        <v>[]</v>
      </c>
      <c r="I135" s="71">
        <v>1211</v>
      </c>
      <c r="J135" s="71" t="s">
        <v>157</v>
      </c>
      <c r="K135" s="71">
        <v>10</v>
      </c>
    </row>
    <row r="136" spans="1:11">
      <c r="A136" s="10">
        <v>10913</v>
      </c>
      <c r="B136" s="66" t="s">
        <v>289</v>
      </c>
      <c r="C136" s="47" t="s">
        <v>104</v>
      </c>
      <c r="D136" s="10" t="str">
        <f t="shared" si="2"/>
        <v>[]</v>
      </c>
      <c r="I136" s="71">
        <v>1101</v>
      </c>
      <c r="J136" s="71" t="s">
        <v>158</v>
      </c>
      <c r="K136" s="71">
        <v>10</v>
      </c>
    </row>
    <row r="137" spans="1:11">
      <c r="A137" s="10">
        <v>10914</v>
      </c>
      <c r="B137" s="66" t="s">
        <v>304</v>
      </c>
      <c r="C137" s="47">
        <v>40914</v>
      </c>
      <c r="D137" s="10" t="str">
        <f t="shared" si="2"/>
        <v>[]</v>
      </c>
      <c r="I137" s="72">
        <v>1108</v>
      </c>
      <c r="J137" s="72" t="s">
        <v>159</v>
      </c>
      <c r="K137" s="71">
        <v>10</v>
      </c>
    </row>
    <row r="138" spans="1:11">
      <c r="A138" s="10">
        <v>10915</v>
      </c>
      <c r="B138" s="66" t="s">
        <v>291</v>
      </c>
      <c r="C138" s="47">
        <v>40915</v>
      </c>
      <c r="D138" s="10" t="str">
        <f t="shared" si="2"/>
        <v>[]</v>
      </c>
      <c r="I138" s="71">
        <v>1113</v>
      </c>
      <c r="J138" s="71" t="s">
        <v>160</v>
      </c>
      <c r="K138" s="71">
        <v>10</v>
      </c>
    </row>
    <row r="139" spans="1:11">
      <c r="A139" s="10">
        <v>11001</v>
      </c>
      <c r="B139" s="66" t="s">
        <v>296</v>
      </c>
      <c r="C139" s="47" t="s">
        <v>105</v>
      </c>
      <c r="D139" s="10" t="str">
        <f t="shared" si="2"/>
        <v>[]</v>
      </c>
      <c r="I139" s="71">
        <v>1120</v>
      </c>
      <c r="J139" s="71" t="s">
        <v>161</v>
      </c>
      <c r="K139" s="71">
        <v>10</v>
      </c>
    </row>
    <row r="140" spans="1:11">
      <c r="A140" s="10">
        <v>11002</v>
      </c>
      <c r="B140" s="66" t="s">
        <v>278</v>
      </c>
      <c r="C140" s="47">
        <v>41002</v>
      </c>
      <c r="D140" s="10" t="str">
        <f t="shared" si="2"/>
        <v>[]</v>
      </c>
      <c r="I140" s="72">
        <v>1127</v>
      </c>
      <c r="J140" s="72" t="s">
        <v>162</v>
      </c>
      <c r="K140" s="71">
        <v>10</v>
      </c>
    </row>
    <row r="141" spans="1:11">
      <c r="A141" s="10">
        <v>11003</v>
      </c>
      <c r="B141" s="66" t="s">
        <v>297</v>
      </c>
      <c r="C141" s="47">
        <v>41003</v>
      </c>
      <c r="D141" s="10" t="str">
        <f t="shared" si="2"/>
        <v>[]</v>
      </c>
      <c r="I141" s="73">
        <v>1212</v>
      </c>
      <c r="J141" s="72" t="s">
        <v>163</v>
      </c>
      <c r="K141" s="74">
        <v>10</v>
      </c>
    </row>
    <row r="142" spans="1:11">
      <c r="A142" s="10">
        <v>11004</v>
      </c>
      <c r="B142" s="66" t="s">
        <v>280</v>
      </c>
      <c r="C142" s="47">
        <v>41004</v>
      </c>
      <c r="D142" s="10" t="str">
        <f t="shared" si="2"/>
        <v>[]</v>
      </c>
      <c r="I142" s="75">
        <v>1219</v>
      </c>
      <c r="J142" s="76" t="s">
        <v>164</v>
      </c>
      <c r="K142" s="75">
        <v>10</v>
      </c>
    </row>
    <row r="143" spans="1:11">
      <c r="A143" s="10">
        <v>11005</v>
      </c>
      <c r="B143" s="66" t="s">
        <v>262</v>
      </c>
      <c r="C143" s="47">
        <v>41005</v>
      </c>
      <c r="D143" s="10" t="str">
        <f t="shared" si="2"/>
        <v>[]</v>
      </c>
      <c r="I143" s="71">
        <v>1112</v>
      </c>
      <c r="J143" s="71" t="s">
        <v>165</v>
      </c>
      <c r="K143" s="71">
        <v>10</v>
      </c>
    </row>
    <row r="144" spans="1:11">
      <c r="A144" s="10">
        <v>11006</v>
      </c>
      <c r="B144" s="66" t="s">
        <v>307</v>
      </c>
      <c r="C144" s="47">
        <v>41006</v>
      </c>
      <c r="D144" s="10" t="str">
        <f t="shared" si="2"/>
        <v>[]</v>
      </c>
      <c r="I144" s="71">
        <v>1119</v>
      </c>
      <c r="J144" s="71" t="s">
        <v>166</v>
      </c>
      <c r="K144" s="71">
        <v>10</v>
      </c>
    </row>
    <row r="145" spans="1:11">
      <c r="A145" s="10">
        <v>11007</v>
      </c>
      <c r="B145" s="66" t="s">
        <v>299</v>
      </c>
      <c r="C145" s="47" t="s">
        <v>106</v>
      </c>
      <c r="D145" s="10" t="str">
        <f t="shared" si="2"/>
        <v>[]</v>
      </c>
      <c r="I145" s="71">
        <v>1105</v>
      </c>
      <c r="J145" s="71" t="s">
        <v>167</v>
      </c>
      <c r="K145" s="71">
        <v>10</v>
      </c>
    </row>
    <row r="146" spans="1:11">
      <c r="A146" s="10">
        <v>11008</v>
      </c>
      <c r="B146" s="66" t="s">
        <v>300</v>
      </c>
      <c r="C146" s="47" t="s">
        <v>107</v>
      </c>
      <c r="D146" s="10" t="str">
        <f t="shared" si="2"/>
        <v>[]</v>
      </c>
      <c r="I146" s="75">
        <v>1218</v>
      </c>
      <c r="J146" s="76" t="s">
        <v>168</v>
      </c>
      <c r="K146" s="75">
        <v>10</v>
      </c>
    </row>
    <row r="147" spans="1:11">
      <c r="A147" s="10">
        <v>11009</v>
      </c>
      <c r="B147" s="66" t="s">
        <v>301</v>
      </c>
      <c r="C147" s="47">
        <v>41009</v>
      </c>
      <c r="D147" s="10" t="str">
        <f t="shared" si="2"/>
        <v>[]</v>
      </c>
      <c r="I147" s="71">
        <v>1124</v>
      </c>
      <c r="J147" s="71" t="s">
        <v>169</v>
      </c>
      <c r="K147" s="71">
        <v>10</v>
      </c>
    </row>
    <row r="148" spans="1:11">
      <c r="A148" s="10">
        <v>11010</v>
      </c>
      <c r="B148" s="66" t="s">
        <v>302</v>
      </c>
      <c r="C148" s="47">
        <v>41010</v>
      </c>
      <c r="D148" s="10" t="str">
        <f t="shared" si="2"/>
        <v>[]</v>
      </c>
      <c r="I148" s="72">
        <v>1126</v>
      </c>
      <c r="J148" s="72" t="s">
        <v>170</v>
      </c>
      <c r="K148" s="71">
        <v>10</v>
      </c>
    </row>
    <row r="149" spans="1:11">
      <c r="A149" s="10">
        <v>11011</v>
      </c>
      <c r="B149" s="66" t="s">
        <v>303</v>
      </c>
      <c r="C149" s="47">
        <v>41011</v>
      </c>
      <c r="D149" s="10" t="str">
        <f t="shared" si="2"/>
        <v>[]</v>
      </c>
      <c r="I149" s="72">
        <v>1213</v>
      </c>
      <c r="J149" s="72" t="s">
        <v>171</v>
      </c>
      <c r="K149" s="71">
        <v>10</v>
      </c>
    </row>
    <row r="150" spans="1:11">
      <c r="A150" s="10">
        <v>11012</v>
      </c>
      <c r="B150" s="66" t="s">
        <v>288</v>
      </c>
      <c r="C150" s="47">
        <v>41012</v>
      </c>
      <c r="D150" s="10" t="str">
        <f t="shared" si="2"/>
        <v>[]</v>
      </c>
      <c r="I150" s="72">
        <v>1214</v>
      </c>
      <c r="J150" s="72" t="s">
        <v>172</v>
      </c>
      <c r="K150" s="71">
        <v>10</v>
      </c>
    </row>
    <row r="151" spans="1:11">
      <c r="A151" s="10">
        <v>11013</v>
      </c>
      <c r="B151" s="66" t="s">
        <v>289</v>
      </c>
      <c r="C151" s="47" t="s">
        <v>108</v>
      </c>
      <c r="D151" s="10" t="str">
        <f t="shared" si="2"/>
        <v>[]</v>
      </c>
      <c r="I151" s="71">
        <v>1103</v>
      </c>
      <c r="J151" s="71" t="s">
        <v>173</v>
      </c>
      <c r="K151" s="71">
        <v>10</v>
      </c>
    </row>
    <row r="152" spans="1:11">
      <c r="A152" s="10">
        <v>11014</v>
      </c>
      <c r="B152" s="66" t="s">
        <v>304</v>
      </c>
      <c r="C152" s="47">
        <v>41014</v>
      </c>
      <c r="D152" s="10" t="str">
        <f t="shared" si="2"/>
        <v>[]</v>
      </c>
      <c r="I152" s="76">
        <v>1109</v>
      </c>
      <c r="J152" s="76" t="s">
        <v>174</v>
      </c>
      <c r="K152" s="76">
        <v>10</v>
      </c>
    </row>
    <row r="153" spans="1:11">
      <c r="A153" s="10">
        <v>11015</v>
      </c>
      <c r="B153" s="66" t="s">
        <v>291</v>
      </c>
      <c r="C153" s="47">
        <v>41015</v>
      </c>
      <c r="D153" s="10" t="str">
        <f t="shared" si="2"/>
        <v>[]</v>
      </c>
      <c r="I153" s="71">
        <v>1111</v>
      </c>
      <c r="J153" s="71" t="s">
        <v>175</v>
      </c>
      <c r="K153" s="71">
        <v>10</v>
      </c>
    </row>
    <row r="154" spans="1:11">
      <c r="A154" s="10">
        <v>11101</v>
      </c>
      <c r="B154" s="66" t="s">
        <v>296</v>
      </c>
      <c r="C154" s="47" t="s">
        <v>109</v>
      </c>
      <c r="D154" s="10" t="str">
        <f t="shared" si="2"/>
        <v>[]</v>
      </c>
      <c r="I154" s="71">
        <v>1116</v>
      </c>
      <c r="J154" s="71" t="s">
        <v>176</v>
      </c>
      <c r="K154" s="71">
        <v>10</v>
      </c>
    </row>
    <row r="155" spans="1:11">
      <c r="A155" s="10">
        <v>11102</v>
      </c>
      <c r="B155" s="66" t="s">
        <v>292</v>
      </c>
      <c r="C155" s="47">
        <v>41102</v>
      </c>
      <c r="D155" s="10" t="str">
        <f t="shared" si="2"/>
        <v>[]</v>
      </c>
      <c r="I155" s="71">
        <v>1121</v>
      </c>
      <c r="J155" s="71" t="s">
        <v>177</v>
      </c>
      <c r="K155" s="71">
        <v>10</v>
      </c>
    </row>
    <row r="156" spans="1:11">
      <c r="A156" s="10">
        <v>11103</v>
      </c>
      <c r="B156" s="66" t="s">
        <v>297</v>
      </c>
      <c r="C156" s="47">
        <v>41103</v>
      </c>
      <c r="D156" s="10" t="str">
        <f t="shared" si="2"/>
        <v>[]</v>
      </c>
      <c r="I156" s="76">
        <v>1215</v>
      </c>
      <c r="J156" s="77" t="s">
        <v>178</v>
      </c>
      <c r="K156" s="76">
        <v>10</v>
      </c>
    </row>
    <row r="157" spans="1:11">
      <c r="A157" s="10">
        <v>11104</v>
      </c>
      <c r="B157" s="66" t="s">
        <v>280</v>
      </c>
      <c r="C157" s="47">
        <v>41104</v>
      </c>
      <c r="D157" s="10" t="str">
        <f t="shared" si="2"/>
        <v>[]</v>
      </c>
      <c r="I157" s="71">
        <v>1114</v>
      </c>
      <c r="J157" s="71" t="s">
        <v>179</v>
      </c>
      <c r="K157" s="71">
        <v>10</v>
      </c>
    </row>
    <row r="158" spans="1:11">
      <c r="A158" s="10">
        <v>11105</v>
      </c>
      <c r="B158" s="66" t="s">
        <v>262</v>
      </c>
      <c r="C158" s="47">
        <v>41105</v>
      </c>
      <c r="D158" s="10" t="str">
        <f t="shared" si="2"/>
        <v>[]</v>
      </c>
      <c r="I158" s="71">
        <v>1110</v>
      </c>
      <c r="J158" s="71" t="s">
        <v>180</v>
      </c>
      <c r="K158" s="71">
        <v>10</v>
      </c>
    </row>
    <row r="159" spans="1:11">
      <c r="A159" s="10">
        <v>11106</v>
      </c>
      <c r="B159" s="66" t="s">
        <v>308</v>
      </c>
      <c r="C159" s="47">
        <v>41106</v>
      </c>
      <c r="D159" s="10" t="str">
        <f t="shared" si="2"/>
        <v>[]</v>
      </c>
      <c r="G159" s="45" t="s">
        <v>128</v>
      </c>
      <c r="H159" s="45">
        <v>11090</v>
      </c>
      <c r="I159" s="71">
        <v>1104</v>
      </c>
      <c r="J159" s="71" t="s">
        <v>181</v>
      </c>
      <c r="K159" s="71">
        <v>10</v>
      </c>
    </row>
    <row r="160" spans="1:11">
      <c r="A160" s="10">
        <v>11107</v>
      </c>
      <c r="B160" s="66" t="s">
        <v>299</v>
      </c>
      <c r="C160" s="47" t="s">
        <v>110</v>
      </c>
      <c r="D160" s="10" t="str">
        <f t="shared" si="2"/>
        <v>[]</v>
      </c>
      <c r="G160" s="45" t="s">
        <v>129</v>
      </c>
      <c r="H160" s="45">
        <v>11095</v>
      </c>
      <c r="I160" s="71">
        <v>1135</v>
      </c>
      <c r="J160" s="71" t="s">
        <v>182</v>
      </c>
      <c r="K160" s="71">
        <v>10</v>
      </c>
    </row>
    <row r="161" spans="1:13">
      <c r="A161" s="10">
        <v>11108</v>
      </c>
      <c r="B161" s="66" t="s">
        <v>300</v>
      </c>
      <c r="C161" s="47" t="s">
        <v>111</v>
      </c>
      <c r="D161" s="10" t="str">
        <f t="shared" si="2"/>
        <v>[]</v>
      </c>
      <c r="G161" s="45" t="s">
        <v>133</v>
      </c>
      <c r="H161" s="45">
        <v>11100</v>
      </c>
      <c r="I161" s="71">
        <v>1132</v>
      </c>
      <c r="J161" s="71" t="s">
        <v>183</v>
      </c>
      <c r="K161" s="71">
        <v>10</v>
      </c>
    </row>
    <row r="162" spans="1:13">
      <c r="A162" s="10">
        <v>11109</v>
      </c>
      <c r="B162" s="66" t="s">
        <v>301</v>
      </c>
      <c r="C162" s="47">
        <v>41109</v>
      </c>
      <c r="D162" s="10" t="str">
        <f t="shared" si="2"/>
        <v>[]</v>
      </c>
      <c r="G162" s="45" t="s">
        <v>130</v>
      </c>
      <c r="H162" s="45">
        <v>11050</v>
      </c>
      <c r="I162" s="76">
        <v>1125</v>
      </c>
      <c r="J162" s="77" t="s">
        <v>184</v>
      </c>
      <c r="K162" s="76">
        <v>10</v>
      </c>
    </row>
    <row r="163" spans="1:13">
      <c r="A163" s="10">
        <v>11110</v>
      </c>
      <c r="B163" s="66" t="s">
        <v>302</v>
      </c>
      <c r="C163" s="47">
        <v>41110</v>
      </c>
      <c r="D163" s="10" t="str">
        <f t="shared" si="2"/>
        <v>[]</v>
      </c>
      <c r="G163" s="45" t="s">
        <v>131</v>
      </c>
      <c r="H163" s="45">
        <v>11055</v>
      </c>
      <c r="I163" s="72">
        <v>1202</v>
      </c>
      <c r="J163" s="72" t="s">
        <v>185</v>
      </c>
      <c r="K163" s="71">
        <v>10</v>
      </c>
    </row>
    <row r="164" spans="1:13">
      <c r="A164" s="10">
        <v>11111</v>
      </c>
      <c r="B164" s="66" t="s">
        <v>303</v>
      </c>
      <c r="C164" s="47">
        <v>41111</v>
      </c>
      <c r="D164" s="10" t="str">
        <f t="shared" si="2"/>
        <v>[]</v>
      </c>
      <c r="G164" s="45" t="s">
        <v>132</v>
      </c>
      <c r="H164" s="45">
        <v>11060</v>
      </c>
      <c r="I164" s="71">
        <v>1123</v>
      </c>
      <c r="J164" s="71" t="s">
        <v>186</v>
      </c>
      <c r="K164" s="71">
        <v>10</v>
      </c>
    </row>
    <row r="165" spans="1:13">
      <c r="A165" s="10">
        <v>11112</v>
      </c>
      <c r="B165" s="66" t="s">
        <v>288</v>
      </c>
      <c r="C165" s="47">
        <v>41112</v>
      </c>
      <c r="D165" s="10" t="str">
        <f t="shared" si="2"/>
        <v>[]</v>
      </c>
      <c r="G165" s="45" t="s">
        <v>134</v>
      </c>
      <c r="H165" s="45">
        <v>6502</v>
      </c>
      <c r="I165" s="71">
        <v>1117</v>
      </c>
      <c r="J165" s="71" t="s">
        <v>187</v>
      </c>
      <c r="K165" s="71">
        <v>10</v>
      </c>
    </row>
    <row r="166" spans="1:13">
      <c r="A166" s="10">
        <v>11113</v>
      </c>
      <c r="B166" s="66" t="s">
        <v>289</v>
      </c>
      <c r="C166" s="47" t="s">
        <v>112</v>
      </c>
      <c r="D166" s="10" t="str">
        <f t="shared" si="2"/>
        <v>[]</v>
      </c>
      <c r="G166" s="45" t="s">
        <v>135</v>
      </c>
      <c r="H166" s="45">
        <v>6503</v>
      </c>
      <c r="I166" s="71">
        <v>1201</v>
      </c>
      <c r="J166" s="71" t="s">
        <v>188</v>
      </c>
      <c r="K166" s="71">
        <v>10</v>
      </c>
    </row>
    <row r="167" spans="1:13">
      <c r="A167" s="10">
        <v>11114</v>
      </c>
      <c r="B167" s="66" t="s">
        <v>304</v>
      </c>
      <c r="C167" s="47">
        <v>41114</v>
      </c>
      <c r="D167" s="10" t="str">
        <f t="shared" si="2"/>
        <v>[]</v>
      </c>
      <c r="G167" s="45" t="s">
        <v>136</v>
      </c>
      <c r="H167" s="45">
        <v>6504</v>
      </c>
      <c r="I167" s="71">
        <v>1131</v>
      </c>
      <c r="J167" s="71" t="s">
        <v>189</v>
      </c>
      <c r="K167" s="71">
        <v>10</v>
      </c>
    </row>
    <row r="168" spans="1:13">
      <c r="A168" s="10">
        <v>11115</v>
      </c>
      <c r="B168" s="66" t="s">
        <v>291</v>
      </c>
      <c r="C168" s="47">
        <v>41115</v>
      </c>
      <c r="D168" s="10" t="str">
        <f t="shared" si="2"/>
        <v>[]</v>
      </c>
      <c r="G168" s="45" t="s">
        <v>137</v>
      </c>
      <c r="H168" s="45">
        <v>6512</v>
      </c>
      <c r="I168" s="71">
        <v>1137</v>
      </c>
      <c r="J168" s="71" t="s">
        <v>190</v>
      </c>
      <c r="K168" s="71">
        <v>10</v>
      </c>
    </row>
    <row r="169" spans="1:13">
      <c r="A169" s="10">
        <v>11201</v>
      </c>
      <c r="B169" s="66" t="s">
        <v>296</v>
      </c>
      <c r="C169" s="47" t="s">
        <v>113</v>
      </c>
      <c r="D169" s="10" t="str">
        <f t="shared" si="2"/>
        <v>[]</v>
      </c>
      <c r="G169" s="45" t="s">
        <v>138</v>
      </c>
      <c r="H169" s="45">
        <v>6513</v>
      </c>
      <c r="I169" s="72">
        <v>1216</v>
      </c>
      <c r="J169" s="72" t="s">
        <v>191</v>
      </c>
      <c r="K169" s="71">
        <v>10</v>
      </c>
    </row>
    <row r="170" spans="1:13">
      <c r="A170" s="10">
        <v>11202</v>
      </c>
      <c r="B170" s="66" t="s">
        <v>292</v>
      </c>
      <c r="C170" s="47">
        <v>41202</v>
      </c>
      <c r="D170" s="10" t="str">
        <f t="shared" si="2"/>
        <v>[]</v>
      </c>
      <c r="G170" s="45" t="s">
        <v>139</v>
      </c>
      <c r="H170" s="45">
        <v>6514</v>
      </c>
      <c r="I170" s="71">
        <v>1106</v>
      </c>
      <c r="J170" s="71" t="s">
        <v>192</v>
      </c>
      <c r="K170" s="71">
        <v>10</v>
      </c>
    </row>
    <row r="171" spans="1:13">
      <c r="A171" s="10">
        <v>11203</v>
      </c>
      <c r="B171" s="66" t="s">
        <v>297</v>
      </c>
      <c r="C171" s="47">
        <v>41203</v>
      </c>
      <c r="D171" s="10" t="str">
        <f t="shared" si="2"/>
        <v>[]</v>
      </c>
      <c r="G171" s="45" t="s">
        <v>145</v>
      </c>
      <c r="H171" s="45">
        <v>11030</v>
      </c>
      <c r="I171" s="71">
        <v>1115</v>
      </c>
      <c r="J171" s="71" t="s">
        <v>193</v>
      </c>
      <c r="K171" s="71">
        <v>10</v>
      </c>
    </row>
    <row r="172" spans="1:13">
      <c r="A172" s="10">
        <v>11204</v>
      </c>
      <c r="B172" s="66" t="s">
        <v>294</v>
      </c>
      <c r="C172" s="47">
        <v>41204</v>
      </c>
      <c r="D172" s="10" t="str">
        <f t="shared" si="2"/>
        <v>[]</v>
      </c>
      <c r="G172" s="45" t="s">
        <v>146</v>
      </c>
      <c r="H172" s="45">
        <v>11035</v>
      </c>
      <c r="I172" s="76">
        <v>1208</v>
      </c>
      <c r="J172" s="76" t="s">
        <v>194</v>
      </c>
      <c r="K172" s="76">
        <v>10</v>
      </c>
    </row>
    <row r="173" spans="1:13">
      <c r="A173" s="10">
        <v>11205</v>
      </c>
      <c r="B173" s="66" t="s">
        <v>262</v>
      </c>
      <c r="C173" s="47">
        <v>41205</v>
      </c>
      <c r="D173" s="10" t="str">
        <f t="shared" si="2"/>
        <v>[]</v>
      </c>
      <c r="G173" s="45" t="s">
        <v>147</v>
      </c>
      <c r="H173" s="45">
        <v>11040</v>
      </c>
      <c r="I173" s="71">
        <v>1122</v>
      </c>
      <c r="J173" s="71" t="s">
        <v>195</v>
      </c>
      <c r="K173" s="71">
        <v>10</v>
      </c>
    </row>
    <row r="174" spans="1:13">
      <c r="A174" s="10">
        <v>11206</v>
      </c>
      <c r="B174" s="66" t="s">
        <v>309</v>
      </c>
      <c r="C174" s="47">
        <v>41206</v>
      </c>
      <c r="D174" s="10" t="str">
        <f t="shared" si="2"/>
        <v>[]</v>
      </c>
      <c r="G174" s="45" t="s">
        <v>144</v>
      </c>
      <c r="H174" s="45">
        <v>11070</v>
      </c>
      <c r="I174" s="71">
        <v>1207</v>
      </c>
      <c r="J174" s="71" t="s">
        <v>196</v>
      </c>
      <c r="K174" s="71">
        <v>10</v>
      </c>
    </row>
    <row r="175" spans="1:13">
      <c r="A175" s="10">
        <v>11207</v>
      </c>
      <c r="B175" s="66" t="s">
        <v>299</v>
      </c>
      <c r="C175" s="47" t="s">
        <v>114</v>
      </c>
      <c r="D175" s="10" t="str">
        <f t="shared" si="2"/>
        <v>[]</v>
      </c>
      <c r="G175" s="45" t="s">
        <v>143</v>
      </c>
      <c r="H175" s="45">
        <v>11075</v>
      </c>
      <c r="I175" s="78">
        <v>1139</v>
      </c>
      <c r="J175" s="78" t="s">
        <v>197</v>
      </c>
      <c r="K175" s="78">
        <v>8</v>
      </c>
    </row>
    <row r="176" spans="1:13">
      <c r="A176" s="10">
        <v>11208</v>
      </c>
      <c r="B176" s="66" t="s">
        <v>300</v>
      </c>
      <c r="C176" s="47" t="s">
        <v>115</v>
      </c>
      <c r="D176" s="10" t="str">
        <f t="shared" si="2"/>
        <v>[]</v>
      </c>
      <c r="G176" s="45" t="s">
        <v>142</v>
      </c>
      <c r="H176" s="45">
        <v>11080</v>
      </c>
      <c r="I176" s="71">
        <v>1140</v>
      </c>
      <c r="J176" s="71" t="s">
        <v>198</v>
      </c>
      <c r="K176" s="71">
        <v>8</v>
      </c>
      <c r="M176" s="45" t="s">
        <v>221</v>
      </c>
    </row>
    <row r="177" spans="1:24">
      <c r="A177" s="10">
        <v>11209</v>
      </c>
      <c r="B177" s="66" t="s">
        <v>301</v>
      </c>
      <c r="C177" s="47">
        <v>41209</v>
      </c>
      <c r="D177" s="10" t="str">
        <f t="shared" si="2"/>
        <v>[]</v>
      </c>
      <c r="G177" s="45" t="s">
        <v>148</v>
      </c>
      <c r="H177" s="45">
        <v>11235</v>
      </c>
      <c r="I177" s="72">
        <v>1107</v>
      </c>
      <c r="J177" s="72" t="s">
        <v>199</v>
      </c>
      <c r="K177" s="71">
        <v>10</v>
      </c>
      <c r="M177" s="45" t="s">
        <v>56</v>
      </c>
    </row>
    <row r="178" spans="1:24">
      <c r="A178" s="10">
        <v>11210</v>
      </c>
      <c r="B178" s="66" t="s">
        <v>302</v>
      </c>
      <c r="C178" s="47">
        <v>41210</v>
      </c>
      <c r="D178" s="10" t="str">
        <f t="shared" si="2"/>
        <v>[]</v>
      </c>
      <c r="G178" s="45" t="s">
        <v>149</v>
      </c>
      <c r="H178" s="45">
        <v>5510</v>
      </c>
      <c r="I178" s="71">
        <v>1134</v>
      </c>
      <c r="J178" s="71" t="s">
        <v>200</v>
      </c>
      <c r="K178" s="71">
        <v>8</v>
      </c>
      <c r="M178" s="45" t="s">
        <v>222</v>
      </c>
    </row>
    <row r="179" spans="1:24">
      <c r="A179" s="10">
        <v>11211</v>
      </c>
      <c r="B179" s="66" t="s">
        <v>303</v>
      </c>
      <c r="C179" s="47">
        <v>41211</v>
      </c>
      <c r="D179" s="10" t="str">
        <f t="shared" si="2"/>
        <v>[]</v>
      </c>
      <c r="G179" s="45" t="s">
        <v>150</v>
      </c>
      <c r="H179" s="45">
        <v>5515</v>
      </c>
      <c r="I179" s="71">
        <v>1206</v>
      </c>
      <c r="J179" s="71" t="s">
        <v>201</v>
      </c>
      <c r="K179" s="71">
        <v>8</v>
      </c>
      <c r="M179" s="45" t="s">
        <v>223</v>
      </c>
    </row>
    <row r="180" spans="1:24">
      <c r="A180" s="10">
        <v>11212</v>
      </c>
      <c r="B180" s="66" t="s">
        <v>288</v>
      </c>
      <c r="C180" s="47">
        <v>41212</v>
      </c>
      <c r="D180" s="10" t="str">
        <f t="shared" si="2"/>
        <v>[]</v>
      </c>
      <c r="G180" s="45" t="s">
        <v>151</v>
      </c>
      <c r="H180" s="45">
        <v>5520</v>
      </c>
      <c r="I180" s="76">
        <v>1130</v>
      </c>
      <c r="J180" s="76" t="s">
        <v>202</v>
      </c>
      <c r="K180" s="76">
        <v>8</v>
      </c>
      <c r="M180" s="45" t="s">
        <v>224</v>
      </c>
    </row>
    <row r="181" spans="1:24">
      <c r="A181" s="10">
        <v>11213</v>
      </c>
      <c r="B181" s="66" t="s">
        <v>289</v>
      </c>
      <c r="C181" s="47" t="s">
        <v>116</v>
      </c>
      <c r="D181" s="10" t="str">
        <f t="shared" si="2"/>
        <v>[]</v>
      </c>
      <c r="G181" s="45" t="s">
        <v>152</v>
      </c>
      <c r="H181" s="45">
        <v>5525</v>
      </c>
      <c r="I181" s="71">
        <v>1203</v>
      </c>
      <c r="J181" s="71" t="s">
        <v>203</v>
      </c>
      <c r="K181" s="71">
        <v>8</v>
      </c>
    </row>
    <row r="182" spans="1:24" ht="17.25" thickBot="1">
      <c r="A182" s="10">
        <v>11214</v>
      </c>
      <c r="B182" s="66" t="s">
        <v>304</v>
      </c>
      <c r="C182" s="47">
        <v>41214</v>
      </c>
      <c r="D182" s="10" t="str">
        <f t="shared" si="2"/>
        <v>[]</v>
      </c>
      <c r="G182" s="45" t="s">
        <v>246</v>
      </c>
      <c r="H182" s="45">
        <v>11110</v>
      </c>
      <c r="I182" s="71">
        <v>1205</v>
      </c>
      <c r="J182" s="71" t="s">
        <v>204</v>
      </c>
      <c r="K182" s="71">
        <v>8</v>
      </c>
    </row>
    <row r="183" spans="1:24">
      <c r="A183" s="10">
        <v>11215</v>
      </c>
      <c r="B183" s="66" t="s">
        <v>291</v>
      </c>
      <c r="C183" s="47">
        <v>41215</v>
      </c>
      <c r="D183" s="10" t="str">
        <f t="shared" si="2"/>
        <v>[]</v>
      </c>
      <c r="G183" s="45" t="s">
        <v>247</v>
      </c>
      <c r="H183" s="45">
        <v>11115</v>
      </c>
      <c r="I183" s="71">
        <v>1133</v>
      </c>
      <c r="J183" s="71" t="s">
        <v>205</v>
      </c>
      <c r="K183" s="71">
        <v>8</v>
      </c>
      <c r="L183" s="48"/>
      <c r="M183" s="48" t="s">
        <v>230</v>
      </c>
      <c r="N183" s="48" t="s">
        <v>56</v>
      </c>
      <c r="O183" s="48" t="s">
        <v>221</v>
      </c>
      <c r="P183" s="48" t="s">
        <v>230</v>
      </c>
      <c r="Q183" s="48" t="s">
        <v>235</v>
      </c>
      <c r="R183" s="51" t="s">
        <v>236</v>
      </c>
      <c r="S183" s="53" t="s">
        <v>229</v>
      </c>
      <c r="T183" s="54" t="s">
        <v>56</v>
      </c>
      <c r="U183" s="54" t="s">
        <v>221</v>
      </c>
      <c r="V183" s="54" t="s">
        <v>229</v>
      </c>
      <c r="W183" s="54" t="s">
        <v>56</v>
      </c>
      <c r="X183" s="81" t="s">
        <v>221</v>
      </c>
    </row>
    <row r="184" spans="1:24">
      <c r="A184" s="40">
        <v>100001</v>
      </c>
      <c r="B184" s="67" t="s">
        <v>310</v>
      </c>
      <c r="C184" s="44" t="s">
        <v>127</v>
      </c>
      <c r="D184" s="10" t="str">
        <f t="shared" si="2"/>
        <v>[]</v>
      </c>
      <c r="E184" s="45" t="str">
        <f>"进阶+"&amp;INT(RIGHT($A184,2))&amp;"："</f>
        <v>进阶+1：</v>
      </c>
      <c r="F184" s="45" t="s">
        <v>117</v>
      </c>
      <c r="G184" s="45" t="s">
        <v>248</v>
      </c>
      <c r="H184" s="45">
        <v>11120</v>
      </c>
      <c r="I184" s="71">
        <v>1204</v>
      </c>
      <c r="J184" s="71" t="s">
        <v>206</v>
      </c>
      <c r="K184" s="71">
        <v>8</v>
      </c>
      <c r="L184" s="48">
        <v>1</v>
      </c>
      <c r="M184" s="48" t="s">
        <v>117</v>
      </c>
      <c r="N184" s="48" t="s">
        <v>231</v>
      </c>
      <c r="O184" s="48" t="s">
        <v>231</v>
      </c>
      <c r="P184" s="48" t="s">
        <v>117</v>
      </c>
      <c r="Q184" s="48" t="s">
        <v>231</v>
      </c>
      <c r="R184" s="52" t="s">
        <v>231</v>
      </c>
      <c r="S184" s="55" t="s">
        <v>237</v>
      </c>
      <c r="T184" s="39" t="s">
        <v>238</v>
      </c>
      <c r="U184" s="39">
        <v>11090</v>
      </c>
      <c r="V184" s="39">
        <v>11050</v>
      </c>
      <c r="W184" s="39">
        <v>11090</v>
      </c>
      <c r="X184" s="82">
        <v>11090</v>
      </c>
    </row>
    <row r="185" spans="1:24">
      <c r="A185" s="40">
        <v>100002</v>
      </c>
      <c r="B185" s="67" t="s">
        <v>311</v>
      </c>
      <c r="C185" s="44">
        <v>11030</v>
      </c>
      <c r="D185" s="10" t="str">
        <f t="shared" si="2"/>
        <v>[]</v>
      </c>
      <c r="E185" s="45" t="str">
        <f t="shared" ref="E185:E193" si="3">"进阶+"&amp;INT(RIGHT($A185,2))&amp;"："</f>
        <v>进阶+2：</v>
      </c>
      <c r="F185" s="45" t="s">
        <v>118</v>
      </c>
      <c r="G185" s="45" t="s">
        <v>242</v>
      </c>
      <c r="H185" s="45">
        <v>11150</v>
      </c>
      <c r="I185" s="72">
        <v>1128</v>
      </c>
      <c r="J185" s="72" t="s">
        <v>207</v>
      </c>
      <c r="K185" s="71">
        <v>8</v>
      </c>
      <c r="L185" s="48">
        <v>2</v>
      </c>
      <c r="M185" s="48" t="s">
        <v>225</v>
      </c>
      <c r="N185" s="48" t="s">
        <v>225</v>
      </c>
      <c r="O185" s="48" t="s">
        <v>225</v>
      </c>
      <c r="P185" s="48" t="s">
        <v>225</v>
      </c>
      <c r="Q185" s="48" t="s">
        <v>225</v>
      </c>
      <c r="R185" s="52" t="s">
        <v>225</v>
      </c>
      <c r="S185" s="55" t="s">
        <v>126</v>
      </c>
      <c r="T185" s="39" t="s">
        <v>2</v>
      </c>
      <c r="U185" s="39" t="s">
        <v>2</v>
      </c>
      <c r="V185" s="39" t="s">
        <v>2</v>
      </c>
      <c r="W185" s="39" t="s">
        <v>2</v>
      </c>
      <c r="X185" s="82" t="s">
        <v>2</v>
      </c>
    </row>
    <row r="186" spans="1:24">
      <c r="A186" s="40">
        <v>100003</v>
      </c>
      <c r="B186" s="67" t="s">
        <v>312</v>
      </c>
      <c r="C186" s="44">
        <v>11050</v>
      </c>
      <c r="D186" s="10" t="str">
        <f t="shared" si="2"/>
        <v>[]</v>
      </c>
      <c r="E186" s="45" t="str">
        <f t="shared" si="3"/>
        <v>进阶+3：</v>
      </c>
      <c r="F186" s="45" t="s">
        <v>117</v>
      </c>
      <c r="G186" s="45" t="s">
        <v>243</v>
      </c>
      <c r="H186" s="45">
        <v>11155</v>
      </c>
      <c r="I186" s="71">
        <v>1118</v>
      </c>
      <c r="J186" s="71" t="s">
        <v>208</v>
      </c>
      <c r="K186" s="71">
        <v>8</v>
      </c>
      <c r="L186" s="48">
        <v>3</v>
      </c>
      <c r="M186" s="48" t="s">
        <v>117</v>
      </c>
      <c r="N186" s="48" t="s">
        <v>232</v>
      </c>
      <c r="O186" s="48" t="s">
        <v>117</v>
      </c>
      <c r="P186" s="48" t="s">
        <v>117</v>
      </c>
      <c r="Q186" s="48" t="s">
        <v>232</v>
      </c>
      <c r="R186" s="52" t="s">
        <v>117</v>
      </c>
      <c r="S186" s="55" t="s">
        <v>237</v>
      </c>
      <c r="T186" s="39" t="s">
        <v>141</v>
      </c>
      <c r="U186" s="39" t="s">
        <v>127</v>
      </c>
      <c r="V186" s="39" t="s">
        <v>127</v>
      </c>
      <c r="W186" s="39" t="s">
        <v>140</v>
      </c>
      <c r="X186" s="82" t="s">
        <v>127</v>
      </c>
    </row>
    <row r="187" spans="1:24">
      <c r="A187" s="40">
        <v>100004</v>
      </c>
      <c r="B187" s="67" t="s">
        <v>280</v>
      </c>
      <c r="C187" s="44">
        <v>5510</v>
      </c>
      <c r="D187" s="10" t="str">
        <f t="shared" si="2"/>
        <v>[]</v>
      </c>
      <c r="E187" s="45" t="str">
        <f t="shared" si="3"/>
        <v>进阶+4：</v>
      </c>
      <c r="F187" s="45" t="s">
        <v>119</v>
      </c>
      <c r="G187" s="45" t="s">
        <v>244</v>
      </c>
      <c r="H187" s="45">
        <v>11160</v>
      </c>
      <c r="I187" s="71">
        <v>1136</v>
      </c>
      <c r="J187" s="71" t="s">
        <v>209</v>
      </c>
      <c r="K187" s="71">
        <v>8</v>
      </c>
      <c r="L187" s="48">
        <v>4</v>
      </c>
      <c r="M187" s="48" t="s">
        <v>226</v>
      </c>
      <c r="N187" s="48" t="s">
        <v>226</v>
      </c>
      <c r="O187" s="48" t="s">
        <v>226</v>
      </c>
      <c r="P187" s="48" t="s">
        <v>226</v>
      </c>
      <c r="Q187" s="48" t="s">
        <v>226</v>
      </c>
      <c r="R187" s="52" t="s">
        <v>226</v>
      </c>
      <c r="S187" s="56" t="s">
        <v>2</v>
      </c>
      <c r="T187" s="39" t="s">
        <v>2</v>
      </c>
      <c r="U187" s="39" t="s">
        <v>2</v>
      </c>
      <c r="V187" s="39" t="s">
        <v>2</v>
      </c>
      <c r="W187" s="39" t="s">
        <v>2</v>
      </c>
      <c r="X187" s="82" t="s">
        <v>2</v>
      </c>
    </row>
    <row r="188" spans="1:24">
      <c r="A188" s="40">
        <v>100005</v>
      </c>
      <c r="B188" s="67" t="s">
        <v>313</v>
      </c>
      <c r="C188" s="44" t="s">
        <v>141</v>
      </c>
      <c r="D188" s="10" t="str">
        <f t="shared" si="2"/>
        <v>[]</v>
      </c>
      <c r="E188" s="45" t="str">
        <f t="shared" si="3"/>
        <v>进阶+5：</v>
      </c>
      <c r="F188" s="45" t="s">
        <v>232</v>
      </c>
      <c r="G188" s="45" t="s">
        <v>245</v>
      </c>
      <c r="H188" s="45">
        <v>11315</v>
      </c>
      <c r="I188" s="71">
        <v>1141</v>
      </c>
      <c r="J188" s="71" t="s">
        <v>210</v>
      </c>
      <c r="K188" s="71">
        <v>8</v>
      </c>
      <c r="L188" s="48">
        <v>5</v>
      </c>
      <c r="M188" s="48" t="s">
        <v>232</v>
      </c>
      <c r="N188" s="48" t="s">
        <v>121</v>
      </c>
      <c r="O188" s="48" t="s">
        <v>232</v>
      </c>
      <c r="P188" s="48" t="s">
        <v>232</v>
      </c>
      <c r="Q188" s="48" t="s">
        <v>121</v>
      </c>
      <c r="R188" s="52" t="s">
        <v>232</v>
      </c>
      <c r="S188" s="56" t="s">
        <v>240</v>
      </c>
      <c r="T188" s="39" t="s">
        <v>239</v>
      </c>
      <c r="U188" s="39" t="s">
        <v>141</v>
      </c>
      <c r="V188" s="39" t="s">
        <v>140</v>
      </c>
      <c r="W188" s="39" t="s">
        <v>239</v>
      </c>
      <c r="X188" s="82" t="s">
        <v>140</v>
      </c>
    </row>
    <row r="189" spans="1:24">
      <c r="A189" s="40">
        <v>100006</v>
      </c>
      <c r="B189" s="67" t="s">
        <v>314</v>
      </c>
      <c r="C189" s="44">
        <v>11080</v>
      </c>
      <c r="D189" s="10" t="str">
        <f t="shared" si="2"/>
        <v>[]</v>
      </c>
      <c r="E189" s="45" t="str">
        <f t="shared" si="3"/>
        <v>进阶+6：</v>
      </c>
      <c r="F189" s="45" t="s">
        <v>120</v>
      </c>
      <c r="G189" s="45" t="s">
        <v>249</v>
      </c>
      <c r="H189" s="45">
        <v>5535</v>
      </c>
      <c r="I189" s="71">
        <v>1138</v>
      </c>
      <c r="J189" s="71" t="s">
        <v>211</v>
      </c>
      <c r="K189" s="71">
        <v>8</v>
      </c>
      <c r="L189" s="48">
        <v>6</v>
      </c>
      <c r="M189" s="48" t="s">
        <v>348</v>
      </c>
      <c r="N189" s="48" t="s">
        <v>348</v>
      </c>
      <c r="O189" s="48" t="s">
        <v>348</v>
      </c>
      <c r="P189" s="48" t="s">
        <v>120</v>
      </c>
      <c r="Q189" s="48" t="s">
        <v>233</v>
      </c>
      <c r="R189" s="52" t="s">
        <v>233</v>
      </c>
      <c r="S189" s="56" t="s">
        <v>2</v>
      </c>
      <c r="T189" s="39" t="s">
        <v>2</v>
      </c>
      <c r="U189" s="39" t="s">
        <v>2</v>
      </c>
      <c r="V189" s="39" t="s">
        <v>241</v>
      </c>
      <c r="W189" s="39" t="s">
        <v>255</v>
      </c>
      <c r="X189" s="82" t="s">
        <v>255</v>
      </c>
    </row>
    <row r="190" spans="1:24">
      <c r="A190" s="40">
        <v>100007</v>
      </c>
      <c r="B190" s="67" t="s">
        <v>315</v>
      </c>
      <c r="C190" s="44">
        <v>7315</v>
      </c>
      <c r="D190" s="10" t="str">
        <f t="shared" si="2"/>
        <v>[]</v>
      </c>
      <c r="E190" s="45" t="str">
        <f t="shared" si="3"/>
        <v>进阶+7：</v>
      </c>
      <c r="F190" s="45" t="s">
        <v>121</v>
      </c>
      <c r="G190" s="45" t="s">
        <v>250</v>
      </c>
      <c r="H190" s="45">
        <v>5540</v>
      </c>
      <c r="I190" s="71">
        <v>1152</v>
      </c>
      <c r="J190" s="71" t="s">
        <v>212</v>
      </c>
      <c r="K190" s="71">
        <v>8</v>
      </c>
      <c r="L190" s="48">
        <v>7</v>
      </c>
      <c r="M190" s="48" t="s">
        <v>349</v>
      </c>
      <c r="N190" s="48" t="s">
        <v>350</v>
      </c>
      <c r="O190" s="48" t="s">
        <v>350</v>
      </c>
      <c r="P190" s="48" t="s">
        <v>349</v>
      </c>
      <c r="Q190" s="48" t="s">
        <v>350</v>
      </c>
      <c r="R190" s="48" t="s">
        <v>350</v>
      </c>
      <c r="S190" s="56" t="s">
        <v>353</v>
      </c>
      <c r="T190" s="39" t="s">
        <v>355</v>
      </c>
      <c r="U190" s="39" t="s">
        <v>354</v>
      </c>
      <c r="V190" s="39" t="s">
        <v>353</v>
      </c>
      <c r="W190" s="39" t="s">
        <v>354</v>
      </c>
      <c r="X190" s="82" t="s">
        <v>354</v>
      </c>
    </row>
    <row r="191" spans="1:24">
      <c r="A191" s="40">
        <v>100008</v>
      </c>
      <c r="B191" s="67" t="s">
        <v>316</v>
      </c>
      <c r="C191" s="44" t="s">
        <v>153</v>
      </c>
      <c r="D191" s="10" t="str">
        <f t="shared" si="2"/>
        <v>[]</v>
      </c>
      <c r="E191" s="45" t="str">
        <f t="shared" si="3"/>
        <v>进阶+8：</v>
      </c>
      <c r="F191" s="45" t="s">
        <v>123</v>
      </c>
      <c r="G191" s="45" t="s">
        <v>251</v>
      </c>
      <c r="H191" s="45">
        <v>5545</v>
      </c>
      <c r="I191" s="71">
        <v>1192</v>
      </c>
      <c r="J191" s="71" t="s">
        <v>213</v>
      </c>
      <c r="K191" s="71">
        <v>8</v>
      </c>
      <c r="L191" s="48">
        <v>8</v>
      </c>
      <c r="M191" s="48" t="s">
        <v>227</v>
      </c>
      <c r="N191" s="48" t="s">
        <v>227</v>
      </c>
      <c r="O191" s="48" t="s">
        <v>227</v>
      </c>
      <c r="P191" s="48" t="s">
        <v>122</v>
      </c>
      <c r="Q191" s="48" t="s">
        <v>253</v>
      </c>
      <c r="R191" s="52" t="s">
        <v>234</v>
      </c>
      <c r="S191" s="56" t="s">
        <v>2</v>
      </c>
      <c r="T191" s="39" t="s">
        <v>2</v>
      </c>
      <c r="U191" s="39" t="s">
        <v>2</v>
      </c>
      <c r="V191" s="39" t="s">
        <v>153</v>
      </c>
      <c r="W191" s="39" t="s">
        <v>254</v>
      </c>
      <c r="X191" s="82" t="s">
        <v>254</v>
      </c>
    </row>
    <row r="192" spans="1:24">
      <c r="A192" s="40">
        <v>100009</v>
      </c>
      <c r="B192" s="67" t="s">
        <v>317</v>
      </c>
      <c r="C192" s="44" t="s">
        <v>154</v>
      </c>
      <c r="D192" s="10" t="str">
        <f t="shared" si="2"/>
        <v>[]</v>
      </c>
      <c r="E192" s="45" t="str">
        <f t="shared" si="3"/>
        <v>进阶+9：</v>
      </c>
      <c r="F192" s="45" t="s">
        <v>125</v>
      </c>
      <c r="G192" s="45" t="s">
        <v>252</v>
      </c>
      <c r="H192" s="45">
        <v>5550</v>
      </c>
      <c r="I192" s="71">
        <v>1504</v>
      </c>
      <c r="J192" s="71" t="s">
        <v>214</v>
      </c>
      <c r="K192" s="71">
        <v>8</v>
      </c>
      <c r="L192" s="48">
        <v>9</v>
      </c>
      <c r="M192" s="48" t="s">
        <v>351</v>
      </c>
      <c r="N192" s="48" t="s">
        <v>352</v>
      </c>
      <c r="O192" s="48" t="s">
        <v>352</v>
      </c>
      <c r="P192" s="48"/>
      <c r="Q192" s="48"/>
      <c r="R192" s="52"/>
      <c r="S192" s="56" t="s">
        <v>356</v>
      </c>
      <c r="T192" s="39" t="s">
        <v>358</v>
      </c>
      <c r="U192" s="39" t="s">
        <v>357</v>
      </c>
      <c r="V192" s="39" t="s">
        <v>2</v>
      </c>
      <c r="W192" s="39" t="s">
        <v>2</v>
      </c>
      <c r="X192" s="82" t="s">
        <v>2</v>
      </c>
    </row>
    <row r="193" spans="1:29" ht="17.25" thickBot="1">
      <c r="A193" s="40">
        <v>100010</v>
      </c>
      <c r="B193" s="67" t="s">
        <v>318</v>
      </c>
      <c r="C193" s="44" t="s">
        <v>155</v>
      </c>
      <c r="D193" s="10" t="str">
        <f t="shared" si="2"/>
        <v>[]</v>
      </c>
      <c r="E193" s="45" t="str">
        <f t="shared" si="3"/>
        <v>进阶+10：</v>
      </c>
      <c r="F193" s="45" t="s">
        <v>124</v>
      </c>
      <c r="I193" s="71">
        <v>1226</v>
      </c>
      <c r="J193" s="71" t="s">
        <v>215</v>
      </c>
      <c r="K193" s="71">
        <v>8</v>
      </c>
      <c r="L193" s="48">
        <v>10</v>
      </c>
      <c r="M193" s="48" t="s">
        <v>228</v>
      </c>
      <c r="N193" s="48" t="s">
        <v>228</v>
      </c>
      <c r="O193" s="48" t="s">
        <v>228</v>
      </c>
      <c r="P193" s="48"/>
      <c r="Q193" s="48"/>
      <c r="R193" s="48"/>
      <c r="S193" s="57" t="s">
        <v>2</v>
      </c>
      <c r="T193" s="58" t="s">
        <v>2</v>
      </c>
      <c r="U193" s="58" t="s">
        <v>2</v>
      </c>
      <c r="V193" s="58" t="s">
        <v>126</v>
      </c>
      <c r="W193" s="58" t="s">
        <v>2</v>
      </c>
      <c r="X193" s="83" t="s">
        <v>2</v>
      </c>
    </row>
    <row r="194" spans="1:29">
      <c r="A194" s="10">
        <f>E194*100+COUNTIF($E$194:$E194,$E194)</f>
        <v>110201</v>
      </c>
      <c r="B194" s="66" t="s">
        <v>310</v>
      </c>
      <c r="C194" s="47" t="s">
        <v>127</v>
      </c>
      <c r="D194" s="10" t="str">
        <f t="shared" si="2"/>
        <v>[]</v>
      </c>
      <c r="E194" s="45">
        <v>1102</v>
      </c>
      <c r="F194" s="45" t="str">
        <f>VLOOKUP($E194,$I$134:$K$193,2,0)</f>
        <v>哪吒</v>
      </c>
      <c r="H194" s="45">
        <f>VLOOKUP($E194,[1]Sheet1!$A:$G,7,0)</f>
        <v>3</v>
      </c>
      <c r="I194" s="45" t="str">
        <f>IF($G194="","",IF(COUNTIF(技能描述!$D:$D,$F194)&gt;0,VLOOKUP($F194&amp;$G194,技能描述!$A:$C,3,0),LEFT(VLOOKUP($E194,[1]Sheet1!$A:$J,10,0),FIND("_",VLOOKUP($E194,[1]Sheet1!$A:$J,10,0))-1)&amp;$G194))</f>
        <v/>
      </c>
      <c r="R194" s="45"/>
      <c r="S194" s="45" t="str">
        <f>IF(ISERROR($Q194),"进阶+"&amp;COUNTIF($E$194:$E194,$E194)&amp;"："&amp;"找ZC配技能","进阶+"&amp;COUNTIF($E$194:$E194,$E194)&amp;"："&amp;VLOOKUP(COUNTIF($E$194:$E194,$E194),$L$184:$R$193,IF(H194=1,4,IF(H194=4,3,2))+IF(INDEX([1]Sheet1!$1:$1048576,MATCH($E194,[1]Sheet1!$A:$A,0),MATCH("zizhi",[1]Sheet1!$2:$2,0))&gt;=13,0,3),0)&amp;IF($Q194="","","（"&amp;$Q194&amp;"）"))</f>
        <v>进阶+1：攻击提高10%</v>
      </c>
      <c r="T194" s="45"/>
      <c r="U194" s="1"/>
      <c r="V194" s="2" t="str">
        <f>VLOOKUP(COUNTIF($E$194:$E194,$E194),$L$184:$X$193,IF(H194=1,4,IF(H194=4,3,2))+IF(INDEX([1]Sheet1!$1:$1048576,MATCH($E194,[1]Sheet1!$A:$A,0),MATCH("zizhi",[1]Sheet1!$2:$2,0))&gt;=13,0,3)+6,0)</f>
        <v>11050</v>
      </c>
      <c r="W194" s="2" t="str">
        <f>IF(ISERROR(FIND("找ZC配技能",$S194)),$S194,"进阶+"&amp;INT(RIGHT($A194,2))&amp;":生命提高10%")</f>
        <v>进阶+1：攻击提高10%</v>
      </c>
      <c r="X194" s="45" t="str">
        <f t="shared" ref="X194:X257" si="4">IF(ISERROR(FIND("找ZC配技能",$S194)),$V194,$W$184)</f>
        <v>11050</v>
      </c>
      <c r="Y194" s="2"/>
      <c r="Z194" s="2"/>
      <c r="AA194" s="2"/>
    </row>
    <row r="195" spans="1:29">
      <c r="A195" s="10">
        <f>E195*100+COUNTIF($E$194:$E195,$E195)</f>
        <v>110202</v>
      </c>
      <c r="B195" s="66" t="s">
        <v>329</v>
      </c>
      <c r="C195" s="47" t="s">
        <v>2</v>
      </c>
      <c r="D195" s="10">
        <f t="shared" si="2"/>
        <v>1</v>
      </c>
      <c r="E195" s="45">
        <f>INDEX($I:$I,MATCH($E194,$I:$I,0)+IF(COUNTIF($E$194:$E194,$E194)&lt;=VLOOKUP($E194,$I$134:$K$193,3,0)-1,0,1),0)</f>
        <v>1102</v>
      </c>
      <c r="F195" s="45" t="str">
        <f t="shared" ref="F195:F258" si="5">VLOOKUP($E195,$I$134:$K$193,2,0)</f>
        <v>哪吒</v>
      </c>
      <c r="G195" s="45" t="s">
        <v>216</v>
      </c>
      <c r="H195" s="45">
        <f>VLOOKUP($E195,[1]Sheet1!$A:$G,7,0)</f>
        <v>3</v>
      </c>
      <c r="I195" s="45" t="str">
        <f>IF($G195="","",IF(COUNTIF(技能描述!$D:$D,$F195)&gt;0,VLOOKUP($F195&amp;$G195,技能描述!$A:$C,3,0),LEFT(VLOOKUP($E195,[1]Sheet1!$A:$J,10,0),FIND("_",VLOOKUP($E195,[1]Sheet1!$A:$J,10,0))-1)&amp;$G195))</f>
        <v>nezha_skill03</v>
      </c>
      <c r="J195" s="45" t="str">
        <f>IF($I195="","",VLOOKUP($I195,技能描述!$A:$C,3,0))</f>
        <v>进入战斗场景时，提升自身造成的伤害@s</v>
      </c>
      <c r="K195" s="45" t="str">
        <f>IF($I195="","",INDEX([2]Sheet1!$1:$1048576,MATCH($I195,[2]Sheet1!$A:$A,0),MATCH("description_damage",[2]Sheet1!$2:$2,0)))</f>
        <v>9020</v>
      </c>
      <c r="L195" s="80" t="str">
        <f>IF($K195="","",IF(LEN($K195)-LEN(SUBSTITUTE($K195,",",""))=0,VLOOKUP(INT($K195),[3]Sheet1!$A:$C,3,0),VLOOKUP(INT(LEFT($K195,FIND(",",$K195)-1)),[3]Sheet1!$A:$C,3,0)))</f>
        <v>4|3|0.2|0|1</v>
      </c>
      <c r="M195" s="80" t="str">
        <f>IF($L195="","",LEFT(RIGHT($L195,LEN($L195)-4),FIND("|",RIGHT($L195,LEN($L195)-4))-1)*100&amp;"%")</f>
        <v>20%</v>
      </c>
      <c r="N195" s="45" t="str">
        <f>IF(LEN($K195)-LEN(SUBSTITUTE($K195,",",""))=1,VLOOKUP(INT(RIGHT($K195,LEN($K195)-FIND(",",$K195))),[3]Sheet1!$A:$C,3,0),"")</f>
        <v/>
      </c>
      <c r="O195" s="45" t="str">
        <f>IF($N195="","",LEFT(RIGHT($N195,LEN($N195)-4),FIND("|",RIGHT($N195,LEN($N195)-4))-1)*100&amp;"%")</f>
        <v/>
      </c>
      <c r="P195" s="45" t="str">
        <f>IF($M195="","",IF(ISERROR(FIND("@s",$J195)),$J195,LEFT(J195,FIND("@s",$J195)-1)&amp;$M195&amp;RIGHT($J195,LEN($J195)-FIND("@s",$J195)-1)))</f>
        <v>进入战斗场景时，提升自身造成的伤害20%</v>
      </c>
      <c r="Q195" s="45" t="str">
        <f>IF($O195="",$P195,SUBSTITUTE($P195,"@s",$O195))</f>
        <v>进入战斗场景时，提升自身造成的伤害20%</v>
      </c>
      <c r="R195" s="45"/>
      <c r="S195" s="45" t="str">
        <f>IF(ISERROR($Q195),"进阶+"&amp;COUNTIF($E$194:$E195,$E195)&amp;"："&amp;"找ZC配技能","进阶+"&amp;COUNTIF($E$194:$E195,$E195)&amp;"："&amp;VLOOKUP(COUNTIF($E$194:$E195,$E195),$L$184:$R$193,IF(H195=1,4,IF(H195=4,3,2))+IF(INDEX([1]Sheet1!$1:$1048576,MATCH($E195,[1]Sheet1!$A:$A,0),MATCH("zizhi",[1]Sheet1!$2:$2,0))&gt;=13,0,3),0)&amp;IF($Q195="","","（"&amp;$Q195&amp;"）"))</f>
        <v>进阶+2：激活被动技能（进入战斗场景时，提升自身造成的伤害20%）</v>
      </c>
      <c r="T195" s="1"/>
      <c r="U195" s="1"/>
      <c r="V195" s="2" t="str">
        <f>VLOOKUP(COUNTIF($E$194:$E195,$E195),$L$184:$X$193,IF(H195=1,4,IF(H195=4,3,2))+IF(INDEX([1]Sheet1!$1:$1048576,MATCH($E195,[1]Sheet1!$A:$A,0),MATCH("zizhi",[1]Sheet1!$2:$2,0))&gt;=13,0,3)+6,0)</f>
        <v>[]</v>
      </c>
      <c r="W195" s="2" t="str">
        <f t="shared" ref="W195:W258" si="6">IF(ISERROR(FIND("找ZC配技能",$S195)),$S195,"进阶+"&amp;INT(RIGHT($A195,2))&amp;":生命提高10%")</f>
        <v>进阶+2：激活被动技能（进入战斗场景时，提升自身造成的伤害20%）</v>
      </c>
      <c r="X195" s="45" t="str">
        <f t="shared" si="4"/>
        <v>[]</v>
      </c>
      <c r="Y195" s="2"/>
      <c r="Z195" s="2"/>
      <c r="AA195" s="2"/>
    </row>
    <row r="196" spans="1:29">
      <c r="A196" s="10">
        <f>E196*100+COUNTIF($E$194:$E196,$E196)</f>
        <v>110203</v>
      </c>
      <c r="B196" s="66" t="s">
        <v>312</v>
      </c>
      <c r="C196" s="47" t="s">
        <v>127</v>
      </c>
      <c r="D196" s="10" t="str">
        <f t="shared" si="2"/>
        <v>[]</v>
      </c>
      <c r="E196" s="45">
        <f>INDEX($I:$I,MATCH($E195,$I:$I,0)+IF(COUNTIF($E$194:$E195,$E195)&lt;=VLOOKUP($E195,$I$134:$K$193,3,0)-1,0,1),0)</f>
        <v>1102</v>
      </c>
      <c r="F196" s="45" t="str">
        <f t="shared" si="5"/>
        <v>哪吒</v>
      </c>
      <c r="H196" s="45">
        <f>VLOOKUP($E196,[1]Sheet1!$A:$G,7,0)</f>
        <v>3</v>
      </c>
      <c r="I196" s="45" t="str">
        <f>IF($G196="","",IF(COUNTIF(技能描述!$D:$D,$F196)&gt;0,VLOOKUP($F196&amp;$G196,技能描述!$A:$C,3,0),LEFT(VLOOKUP($E196,[1]Sheet1!$A:$J,10,0),FIND("_",VLOOKUP($E196,[1]Sheet1!$A:$J,10,0))-1)&amp;$G196))</f>
        <v/>
      </c>
      <c r="J196" s="45" t="str">
        <f>IF($I196="","",VLOOKUP($I196,技能描述!$A:$C,3,0))</f>
        <v/>
      </c>
      <c r="K196" s="45" t="str">
        <f>IF($I196="","",INDEX([2]Sheet1!$1:$1048576,MATCH($I196,[2]Sheet1!$A:$A,0),MATCH("description_damage",[2]Sheet1!$2:$2,0)))</f>
        <v/>
      </c>
      <c r="L196" s="80" t="str">
        <f>IF($K196="","",IF(LEN($K196)-LEN(SUBSTITUTE($K196,",",""))=0,VLOOKUP(INT($K196),[3]Sheet1!$A:$C,3,0),VLOOKUP(INT(LEFT($K196,FIND(",",$K196)-1)),[3]Sheet1!$A:$C,3,0)))</f>
        <v/>
      </c>
      <c r="M196" s="80" t="str">
        <f>IF($L196="","",LEFT(RIGHT($L196,LEN($L196)-4),FIND("|",RIGHT($L196,LEN($L196)-4))-1)*100&amp;"%")</f>
        <v/>
      </c>
      <c r="N196" s="45" t="str">
        <f>IF(LEN($K196)-LEN(SUBSTITUTE($K196,",",""))=1,VLOOKUP(INT(RIGHT($K196,LEN($K196)-FIND(",",$K196))),[3]Sheet1!$A:$C,3,0),"")</f>
        <v/>
      </c>
      <c r="O196" s="45" t="str">
        <f t="shared" ref="O196:O259" si="7">IF($N196="","",LEFT(RIGHT($N196,LEN($N196)-4),FIND("|",RIGHT($N196,LEN($N196)-4))-1)*100&amp;"%")</f>
        <v/>
      </c>
      <c r="P196" s="45" t="str">
        <f t="shared" ref="P196:P257" si="8">IF($M196="","",IF(ISERROR(FIND("@s",$J196)),$J196,LEFT(J196,FIND("@s",$J196)-1)&amp;$M196&amp;RIGHT($J196,LEN($J196)-FIND("@s",$J196)-1)))</f>
        <v/>
      </c>
      <c r="Q196" s="45" t="str">
        <f t="shared" ref="Q196:Q259" si="9">IF($O196="",$P196,SUBSTITUTE($P196,"@s",$O196))</f>
        <v/>
      </c>
      <c r="R196" s="45"/>
      <c r="S196" s="45" t="str">
        <f>IF(ISERROR($Q196),"进阶+"&amp;COUNTIF($E$194:$E196,$E196)&amp;"："&amp;"找ZC配技能","进阶+"&amp;COUNTIF($E$194:$E196,$E196)&amp;"："&amp;VLOOKUP(COUNTIF($E$194:$E196,$E196),$L$184:$R$193,IF(H196=1,4,IF(H196=4,3,2))+IF(INDEX([1]Sheet1!$1:$1048576,MATCH($E196,[1]Sheet1!$A:$A,0),MATCH("zizhi",[1]Sheet1!$2:$2,0))&gt;=13,0,3),0)&amp;IF($Q196="","","（"&amp;$Q196&amp;"）"))</f>
        <v>进阶+3：攻击提高10%</v>
      </c>
      <c r="T196" s="1"/>
      <c r="U196" s="1"/>
      <c r="V196" s="2" t="str">
        <f>VLOOKUP(COUNTIF($E$194:$E196,$E196),$L$184:$X$193,IF(H196=1,4,IF(H196=4,3,2))+IF(INDEX([1]Sheet1!$1:$1048576,MATCH($E196,[1]Sheet1!$A:$A,0),MATCH("zizhi",[1]Sheet1!$2:$2,0))&gt;=13,0,3)+6,0)</f>
        <v>11050</v>
      </c>
      <c r="W196" s="2" t="str">
        <f t="shared" si="6"/>
        <v>进阶+3：攻击提高10%</v>
      </c>
      <c r="X196" s="45" t="str">
        <f t="shared" si="4"/>
        <v>11050</v>
      </c>
      <c r="Y196" s="2"/>
      <c r="Z196" s="2"/>
      <c r="AA196" s="2"/>
    </row>
    <row r="197" spans="1:29" ht="33">
      <c r="A197" s="10">
        <f>E197*100+COUNTIF($E$194:$E197,$E197)</f>
        <v>110204</v>
      </c>
      <c r="B197" s="68" t="s">
        <v>1854</v>
      </c>
      <c r="C197" s="50" t="s">
        <v>2</v>
      </c>
      <c r="D197" s="10">
        <f t="shared" ref="D197:D260" si="10">IF(ISERROR(FIND("技能",$B197)),"[]",1)</f>
        <v>1</v>
      </c>
      <c r="E197" s="45">
        <f>INDEX($I:$I,MATCH($E196,$I:$I,0)+IF(COUNTIF($E$194:$E196,$E196)&lt;=VLOOKUP($E196,$I$134:$K$193,3,0)-1,0,1),0)</f>
        <v>1102</v>
      </c>
      <c r="F197" s="45" t="str">
        <f t="shared" si="5"/>
        <v>哪吒</v>
      </c>
      <c r="G197" s="45" t="s">
        <v>217</v>
      </c>
      <c r="H197" s="45">
        <f>VLOOKUP($E197,[1]Sheet1!$A:$G,7,0)</f>
        <v>3</v>
      </c>
      <c r="I197" s="45" t="str">
        <f>IF($G197="","",IF(COUNTIF(技能描述!$D:$D,$F197)&gt;0,VLOOKUP($F197&amp;$G197,技能描述!$A:$C,3,0),LEFT(VLOOKUP($E197,[1]Sheet1!$A:$J,10,0),FIND("_",VLOOKUP($E197,[1]Sheet1!$A:$J,10,0))-1)&amp;$G197))</f>
        <v>nezha_skill04</v>
      </c>
      <c r="J197" s="45" t="str">
        <f>IF($I197="","",VLOOKUP($I197,技能描述!$A:$C,3,0))</f>
        <v>哪吒舞枪直刺，对范围内敌人造成4次自身攻击力@s的物伤，使目标进入灼烧状态</v>
      </c>
      <c r="K197" s="45" t="str">
        <f>IF($I197="","",INDEX([2]Sheet1!$1:$1048576,MATCH($I197,[2]Sheet1!$A:$A,0),MATCH("description_damage",[2]Sheet1!$2:$2,0)))</f>
        <v>110206,9010</v>
      </c>
      <c r="L197" s="80" t="str">
        <f>IF($K197="","",IF(LEN($K197)-LEN(SUBSTITUTE($K197,",",""))=0,VLOOKUP(INT($K197),[3]Sheet1!$A:$C,3,0),VLOOKUP(INT(LEFT($K197,FIND(",",$K197)-1)),[3]Sheet1!$A:$C,3,0)))</f>
        <v>2|1|0.38|0|0|0</v>
      </c>
      <c r="M197" s="80" t="str">
        <f t="shared" ref="M197:M260" si="11">IF($L197="","",LEFT(RIGHT($L197,LEN($L197)-4),FIND("|",RIGHT($L197,LEN($L197)-4))-1)*100&amp;"%")</f>
        <v>38%</v>
      </c>
      <c r="N197" s="45" t="str">
        <f>IF(LEN($K197)-LEN(SUBSTITUTE($K197,",",""))=1,VLOOKUP(INT(RIGHT($K197,LEN($K197)-FIND(",",$K197))),[3]Sheet1!$A:$C,3,0),"")</f>
        <v>4|3|0.1|0|1</v>
      </c>
      <c r="O197" s="45" t="str">
        <f t="shared" si="7"/>
        <v>10%</v>
      </c>
      <c r="P197" s="45" t="str">
        <f>IF($M197="","",IF(ISERROR(FIND("@s",$J197)),$J197,LEFT(J197,FIND("@s",$J197)-1)&amp;$M197&amp;RIGHT($J197,LEN($J197)-FIND("@s",$J197)-1)))</f>
        <v>哪吒舞枪直刺，对范围内敌人造成4次自身攻击力38%的物伤，使目标进入灼烧状态</v>
      </c>
      <c r="Q197" s="45" t="str">
        <f>IF($O197="",$P197,SUBSTITUTE($P197,"@s",$O197))</f>
        <v>哪吒舞枪直刺，对范围内敌人造成4次自身攻击力38%的物伤，使目标进入灼烧状态</v>
      </c>
      <c r="R197" s="45"/>
      <c r="S197" s="45" t="str">
        <f>IF(ISERROR($Q197),"进阶+"&amp;COUNTIF($E$194:$E197,$E197)&amp;"："&amp;"找ZC配技能","进阶+"&amp;COUNTIF($E$194:$E197,$E197)&amp;"："&amp;VLOOKUP(COUNTIF($E$194:$E197,$E197),$L$184:$R$193,IF(H197=1,4,IF(H197=4,3,2))+IF(INDEX([1]Sheet1!$1:$1048576,MATCH($E197,[1]Sheet1!$A:$A,0),MATCH("zizhi",[1]Sheet1!$2:$2,0))&gt;=13,0,3),0)&amp;IF($Q197="","","（"&amp;$Q197&amp;"）"))</f>
        <v>进阶+4：激活AI2技能（哪吒舞枪直刺，对范围内敌人造成4次自身攻击力38%的物伤，使目标进入灼烧状态）</v>
      </c>
      <c r="T197" s="1"/>
      <c r="U197" s="1"/>
      <c r="V197" s="2" t="str">
        <f>VLOOKUP(COUNTIF($E$194:$E197,$E197),$L$184:$X$193,IF(H197=1,4,IF(H197=4,3,2))+IF(INDEX([1]Sheet1!$1:$1048576,MATCH($E197,[1]Sheet1!$A:$A,0),MATCH("zizhi",[1]Sheet1!$2:$2,0))&gt;=13,0,3)+6,0)</f>
        <v>[]</v>
      </c>
      <c r="W197" s="2" t="str">
        <f t="shared" si="6"/>
        <v>进阶+4：激活AI2技能（哪吒舞枪直刺，对范围内敌人造成4次自身攻击力38%的物伤，使目标进入灼烧状态）</v>
      </c>
      <c r="X197" s="45" t="str">
        <f t="shared" si="4"/>
        <v>[]</v>
      </c>
      <c r="Y197" s="2"/>
      <c r="Z197" s="2"/>
      <c r="AA197" s="2"/>
      <c r="AC197" s="2"/>
    </row>
    <row r="198" spans="1:29">
      <c r="A198" s="10">
        <f>E198*100+COUNTIF($E$194:$E198,$E198)</f>
        <v>110205</v>
      </c>
      <c r="B198" s="68" t="s">
        <v>323</v>
      </c>
      <c r="C198" s="50" t="s">
        <v>140</v>
      </c>
      <c r="D198" s="10" t="str">
        <f t="shared" si="10"/>
        <v>[]</v>
      </c>
      <c r="E198" s="45">
        <f>INDEX($I:$I,MATCH($E197,$I:$I,0)+IF(COUNTIF($E$194:$E197,$E197)&lt;=VLOOKUP($E197,$I$134:$K$193,3,0)-1,0,1),0)</f>
        <v>1102</v>
      </c>
      <c r="F198" s="45" t="str">
        <f t="shared" si="5"/>
        <v>哪吒</v>
      </c>
      <c r="H198" s="45">
        <f>VLOOKUP($E198,[1]Sheet1!$A:$G,7,0)</f>
        <v>3</v>
      </c>
      <c r="I198" s="45" t="str">
        <f>IF($G198="","",IF(COUNTIF(技能描述!$D:$D,$F198)&gt;0,VLOOKUP($F198&amp;$G198,技能描述!$A:$C,3,0),LEFT(VLOOKUP($E198,[1]Sheet1!$A:$J,10,0),FIND("_",VLOOKUP($E198,[1]Sheet1!$A:$J,10,0))-1)&amp;$G198))</f>
        <v/>
      </c>
      <c r="J198" s="45" t="str">
        <f>IF($I198="","",VLOOKUP($I198,技能描述!$A:$C,3,0))</f>
        <v/>
      </c>
      <c r="K198" s="45" t="str">
        <f>IF($I198="","",INDEX([2]Sheet1!$1:$1048576,MATCH($I198,[2]Sheet1!$A:$A,0),MATCH("description_damage",[2]Sheet1!$2:$2,0)))</f>
        <v/>
      </c>
      <c r="L198" s="80" t="str">
        <f>IF($K198="","",IF(LEN($K198)-LEN(SUBSTITUTE($K198,",",""))=0,VLOOKUP(INT($K198),[3]Sheet1!$A:$C,3,0),VLOOKUP(INT(LEFT($K198,FIND(",",$K198)-1)),[3]Sheet1!$A:$C,3,0)))</f>
        <v/>
      </c>
      <c r="M198" s="80" t="str">
        <f t="shared" si="11"/>
        <v/>
      </c>
      <c r="N198" s="45" t="str">
        <f>IF(LEN($K198)-LEN(SUBSTITUTE($K198,",",""))=1,VLOOKUP(INT(RIGHT($K198,LEN($K198)-FIND(",",$K198))),[3]Sheet1!$A:$C,3,0),"")</f>
        <v/>
      </c>
      <c r="O198" s="45" t="str">
        <f t="shared" si="7"/>
        <v/>
      </c>
      <c r="P198" s="45" t="str">
        <f t="shared" si="8"/>
        <v/>
      </c>
      <c r="Q198" s="45" t="str">
        <f t="shared" si="9"/>
        <v/>
      </c>
      <c r="R198" s="45"/>
      <c r="S198" s="45" t="str">
        <f>IF(ISERROR($Q198),"进阶+"&amp;COUNTIF($E$194:$E198,$E198)&amp;"："&amp;"找ZC配技能","进阶+"&amp;COUNTIF($E$194:$E198,$E198)&amp;"："&amp;VLOOKUP(COUNTIF($E$194:$E198,$E198),$L$184:$R$193,IF(H198=1,4,IF(H198=4,3,2))+IF(INDEX([1]Sheet1!$1:$1048576,MATCH($E198,[1]Sheet1!$A:$A,0),MATCH("zizhi",[1]Sheet1!$2:$2,0))&gt;=13,0,3),0)&amp;IF($Q198="","","（"&amp;$Q198&amp;"）"))</f>
        <v>进阶+5：生命，防御提高10%</v>
      </c>
      <c r="T198" s="1"/>
      <c r="U198" s="1"/>
      <c r="V198" s="2" t="str">
        <f>VLOOKUP(COUNTIF($E$194:$E198,$E198),$L$184:$X$193,IF(H198=1,4,IF(H198=4,3,2))+IF(INDEX([1]Sheet1!$1:$1048576,MATCH($E198,[1]Sheet1!$A:$A,0),MATCH("zizhi",[1]Sheet1!$2:$2,0))&gt;=13,0,3)+6,0)</f>
        <v>11090,6502,6512</v>
      </c>
      <c r="W198" s="2" t="str">
        <f t="shared" si="6"/>
        <v>进阶+5：生命，防御提高10%</v>
      </c>
      <c r="X198" s="45" t="str">
        <f t="shared" si="4"/>
        <v>11090,6502,6512</v>
      </c>
      <c r="Y198" s="2"/>
      <c r="Z198" s="2"/>
      <c r="AA198" s="2"/>
    </row>
    <row r="199" spans="1:29" ht="33">
      <c r="A199" s="10">
        <f>E199*100+COUNTIF($E$194:$E199,$E199)</f>
        <v>110206</v>
      </c>
      <c r="B199" s="68" t="s">
        <v>1984</v>
      </c>
      <c r="C199" s="50" t="s">
        <v>2</v>
      </c>
      <c r="D199" s="10">
        <f t="shared" si="10"/>
        <v>1</v>
      </c>
      <c r="E199" s="45">
        <f>INDEX($I:$I,MATCH($E198,$I:$I,0)+IF(COUNTIF($E$194:$E198,$E198)&lt;=VLOOKUP($E198,$I$134:$K$193,3,0)-1,0,1),0)</f>
        <v>1102</v>
      </c>
      <c r="F199" s="45" t="str">
        <f t="shared" si="5"/>
        <v>哪吒</v>
      </c>
      <c r="G199" s="45" t="s">
        <v>218</v>
      </c>
      <c r="H199" s="45">
        <f>VLOOKUP($E199,[1]Sheet1!$A:$G,7,0)</f>
        <v>3</v>
      </c>
      <c r="I199" s="45" t="str">
        <f>IF($G199="","",IF(COUNTIF(技能描述!$D:$D,$F199)&gt;0,VLOOKUP($F199&amp;$G199,技能描述!$A:$C,3,0),LEFT(VLOOKUP($E199,[1]Sheet1!$A:$J,10,0),FIND("_",VLOOKUP($E199,[1]Sheet1!$A:$J,10,0))-1)&amp;$G199))</f>
        <v>nezha_skill011</v>
      </c>
      <c r="J199" s="45" t="str">
        <f>IF($I199="","",VLOOKUP($I199,技能描述!$A:$C,3,0))</f>
        <v>召唤哪吒本命火莲花对范围内敌人进行2次攻击，造成主角攻击力@s的物伤，对流血状态目标提示20%伤害</v>
      </c>
      <c r="K199" s="45" t="str">
        <f>IF($I199="","",INDEX([2]Sheet1!$1:$1048576,MATCH($I199,[2]Sheet1!$A:$A,0),MATCH("description_damage",[2]Sheet1!$2:$2,0)))</f>
        <v>110207</v>
      </c>
      <c r="L199" s="80" t="str">
        <f>IF($K199="","",IF(LEN($K199)-LEN(SUBSTITUTE($K199,",",""))=0,VLOOKUP(INT($K199),[3]Sheet1!$A:$C,3,0),VLOOKUP(INT(LEFT($K199,FIND(",",$K199)-1)),[3]Sheet1!$A:$C,3,0)))</f>
        <v>2|1|3|0|0|0</v>
      </c>
      <c r="M199" s="80" t="str">
        <f t="shared" si="11"/>
        <v>300%</v>
      </c>
      <c r="N199" s="45" t="str">
        <f>IF(LEN($K199)-LEN(SUBSTITUTE($K199,",",""))=1,VLOOKUP(INT(RIGHT($K199,LEN($K199)-FIND(",",$K199))),[3]Sheet1!$A:$C,3,0),"")</f>
        <v/>
      </c>
      <c r="O199" s="45" t="str">
        <f t="shared" si="7"/>
        <v/>
      </c>
      <c r="P199" s="45" t="str">
        <f t="shared" si="8"/>
        <v>召唤哪吒本命火莲花对范围内敌人进行2次攻击，造成主角攻击力300%的物伤，对流血状态目标提示20%伤害</v>
      </c>
      <c r="Q199" s="45" t="str">
        <f t="shared" si="9"/>
        <v>召唤哪吒本命火莲花对范围内敌人进行2次攻击，造成主角攻击力300%的物伤，对流血状态目标提示20%伤害</v>
      </c>
      <c r="R199" s="45"/>
      <c r="S199" s="45" t="str">
        <f>IF(ISERROR($Q199),"进阶+"&amp;COUNTIF($E$194:$E199,$E199)&amp;"："&amp;"找ZC配技能","进阶+"&amp;COUNTIF($E$194:$E199,$E199)&amp;"："&amp;VLOOKUP(COUNTIF($E$194:$E199,$E199),$L$184:$R$193,IF(H199=1,4,IF(H199=4,3,2))+IF(INDEX([1]Sheet1!$1:$1048576,MATCH($E199,[1]Sheet1!$A:$A,0),MATCH("zizhi",[1]Sheet1!$2:$2,0))&gt;=13,0,3),0)&amp;IF($Q199="","","（"&amp;$Q199&amp;"）"))</f>
        <v>进阶+6：增强主角技能（召唤哪吒本命火莲花对范围内敌人进行2次攻击，造成主角攻击力300%的物伤，对流血状态目标提示20%伤害）</v>
      </c>
      <c r="T199" s="1"/>
      <c r="U199" s="1"/>
      <c r="V199" s="2" t="str">
        <f>VLOOKUP(COUNTIF($E$194:$E199,$E199),$L$184:$X$193,IF(H199=1,4,IF(H199=4,3,2))+IF(INDEX([1]Sheet1!$1:$1048576,MATCH($E199,[1]Sheet1!$A:$A,0),MATCH("zizhi",[1]Sheet1!$2:$2,0))&gt;=13,0,3)+6,0)</f>
        <v>[]</v>
      </c>
      <c r="W199" s="2" t="str">
        <f t="shared" si="6"/>
        <v>进阶+6：增强主角技能（召唤哪吒本命火莲花对范围内敌人进行2次攻击，造成主角攻击力300%的物伤，对流血状态目标提示20%伤害）</v>
      </c>
      <c r="X199" s="45" t="str">
        <f t="shared" si="4"/>
        <v>[]</v>
      </c>
      <c r="Y199" s="2"/>
      <c r="Z199" s="2"/>
      <c r="AA199" s="2"/>
    </row>
    <row r="200" spans="1:29">
      <c r="A200" s="10">
        <f>E200*100+COUNTIF($E$194:$E200,$E200)</f>
        <v>110207</v>
      </c>
      <c r="B200" s="68" t="s">
        <v>359</v>
      </c>
      <c r="C200" s="50" t="s">
        <v>353</v>
      </c>
      <c r="D200" s="10" t="str">
        <f t="shared" si="10"/>
        <v>[]</v>
      </c>
      <c r="E200" s="45">
        <f>INDEX($I:$I,MATCH($E199,$I:$I,0)+IF(COUNTIF($E$194:$E199,$E199)&lt;=VLOOKUP($E199,$I$134:$K$193,3,0)-1,0,1),0)</f>
        <v>1102</v>
      </c>
      <c r="F200" s="45" t="str">
        <f t="shared" si="5"/>
        <v>哪吒</v>
      </c>
      <c r="H200" s="45">
        <f>VLOOKUP($E200,[1]Sheet1!$A:$G,7,0)</f>
        <v>3</v>
      </c>
      <c r="I200" s="45" t="str">
        <f>IF($G200="","",IF(COUNTIF(技能描述!$D:$D,$F200)&gt;0,VLOOKUP($F200&amp;$G200,技能描述!$A:$C,3,0),LEFT(VLOOKUP($E200,[1]Sheet1!$A:$J,10,0),FIND("_",VLOOKUP($E200,[1]Sheet1!$A:$J,10,0))-1)&amp;$G200))</f>
        <v/>
      </c>
      <c r="J200" s="45" t="str">
        <f>IF($I200="","",VLOOKUP($I200,技能描述!$A:$C,3,0))</f>
        <v/>
      </c>
      <c r="K200" s="45" t="str">
        <f>IF($I200="","",INDEX([2]Sheet1!$1:$1048576,MATCH($I200,[2]Sheet1!$A:$A,0),MATCH("description_damage",[2]Sheet1!$2:$2,0)))</f>
        <v/>
      </c>
      <c r="L200" s="80" t="str">
        <f>IF($K200="","",IF(LEN($K200)-LEN(SUBSTITUTE($K200,",",""))=0,VLOOKUP(INT($K200),[3]Sheet1!$A:$C,3,0),VLOOKUP(INT(LEFT($K200,FIND(",",$K200)-1)),[3]Sheet1!$A:$C,3,0)))</f>
        <v/>
      </c>
      <c r="M200" s="80" t="str">
        <f t="shared" si="11"/>
        <v/>
      </c>
      <c r="N200" s="45" t="str">
        <f>IF(LEN($K200)-LEN(SUBSTITUTE($K200,",",""))=1,VLOOKUP(INT(RIGHT($K200,LEN($K200)-FIND(",",$K200))),[3]Sheet1!$A:$C,3,0),"")</f>
        <v/>
      </c>
      <c r="O200" s="45" t="str">
        <f t="shared" si="7"/>
        <v/>
      </c>
      <c r="P200" s="45" t="str">
        <f t="shared" si="8"/>
        <v/>
      </c>
      <c r="Q200" s="45" t="str">
        <f t="shared" si="9"/>
        <v/>
      </c>
      <c r="R200" s="45"/>
      <c r="S200" s="45" t="str">
        <f>IF(ISERROR($Q200),"进阶+"&amp;COUNTIF($E$194:$E200,$E200)&amp;"："&amp;"找ZC配技能","进阶+"&amp;COUNTIF($E$194:$E200,$E200)&amp;"："&amp;VLOOKUP(COUNTIF($E$194:$E200,$E200),$L$184:$R$193,IF(H200=1,4,IF(H200=4,3,2))+IF(INDEX([1]Sheet1!$1:$1048576,MATCH($E200,[1]Sheet1!$A:$A,0),MATCH("zizhi",[1]Sheet1!$2:$2,0))&gt;=13,0,3),0)&amp;IF($Q200="","","（"&amp;$Q200&amp;"）"))</f>
        <v>进阶+7：全队攻击提高10%</v>
      </c>
      <c r="T200" s="1"/>
      <c r="U200" s="1"/>
      <c r="V200" s="2" t="str">
        <f>VLOOKUP(COUNTIF($E$194:$E200,$E200),$L$184:$X$193,IF(H200=1,4,IF(H200=4,3,2))+IF(INDEX([1]Sheet1!$1:$1048576,MATCH($E200,[1]Sheet1!$A:$A,0),MATCH("zizhi",[1]Sheet1!$2:$2,0))&gt;=13,0,3)+6,0)</f>
        <v>58010</v>
      </c>
      <c r="W200" s="2" t="str">
        <f t="shared" si="6"/>
        <v>进阶+7：全队攻击提高10%</v>
      </c>
      <c r="X200" s="45" t="str">
        <f t="shared" si="4"/>
        <v>58010</v>
      </c>
      <c r="Y200" s="2"/>
      <c r="Z200" s="2"/>
      <c r="AA200" s="2"/>
    </row>
    <row r="201" spans="1:29" ht="33">
      <c r="A201" s="10">
        <f>E201*100+COUNTIF($E$194:$E201,$E201)</f>
        <v>110208</v>
      </c>
      <c r="B201" s="68" t="s">
        <v>1985</v>
      </c>
      <c r="C201" s="50" t="s">
        <v>2</v>
      </c>
      <c r="D201" s="10">
        <f t="shared" si="10"/>
        <v>1</v>
      </c>
      <c r="E201" s="45">
        <f>INDEX($I:$I,MATCH($E200,$I:$I,0)+IF(COUNTIF($E$194:$E200,$E200)&lt;=VLOOKUP($E200,$I$134:$K$193,3,0)-1,0,1),0)</f>
        <v>1102</v>
      </c>
      <c r="F201" s="45" t="str">
        <f t="shared" si="5"/>
        <v>哪吒</v>
      </c>
      <c r="G201" s="45" t="s">
        <v>219</v>
      </c>
      <c r="H201" s="45">
        <f>VLOOKUP($E201,[1]Sheet1!$A:$G,7,0)</f>
        <v>3</v>
      </c>
      <c r="I201" s="45" t="str">
        <f>IF($G201="","",IF(COUNTIF(技能描述!$D:$D,$F201)&gt;0,VLOOKUP($F201&amp;$G201,技能描述!$A:$C,3,0),LEFT(VLOOKUP($E201,[1]Sheet1!$A:$J,10,0),FIND("_",VLOOKUP($E201,[1]Sheet1!$A:$J,10,0))-1)&amp;$G201))</f>
        <v>nezha_skill021</v>
      </c>
      <c r="J201" s="45" t="str">
        <f>IF($I201="","",VLOOKUP($I201,技能描述!$A:$C,3,0))</f>
        <v>哪吒于枪尖凝聚能量并引爆，对范围内敌人造成4次自身攻击力@s的物伤，并使敌人受到伤害提升@s，持续3秒</v>
      </c>
      <c r="K201" s="45" t="str">
        <f>IF($I201="","",INDEX([2]Sheet1!$1:$1048576,MATCH($I201,[2]Sheet1!$A:$A,0),MATCH("description_damage",[2]Sheet1!$2:$2,0)))</f>
        <v>110208,9015</v>
      </c>
      <c r="L201" s="80" t="str">
        <f>IF($K201="","",IF(LEN($K201)-LEN(SUBSTITUTE($K201,",",""))=0,VLOOKUP(INT($K201),[3]Sheet1!$A:$C,3,0),VLOOKUP(INT(LEFT($K201,FIND(",",$K201)-1)),[3]Sheet1!$A:$C,3,0)))</f>
        <v>2|1|0.53|0|0|0</v>
      </c>
      <c r="M201" s="80" t="str">
        <f t="shared" si="11"/>
        <v>53%</v>
      </c>
      <c r="N201" s="45" t="str">
        <f>IF(LEN($K201)-LEN(SUBSTITUTE($K201,",",""))=1,VLOOKUP(INT(RIGHT($K201,LEN($K201)-FIND(",",$K201))),[3]Sheet1!$A:$C,3,0),"")</f>
        <v>4|3|0.15|0|1</v>
      </c>
      <c r="O201" s="45" t="str">
        <f t="shared" si="7"/>
        <v>15%</v>
      </c>
      <c r="P201" s="45" t="str">
        <f t="shared" si="8"/>
        <v>哪吒于枪尖凝聚能量并引爆，对范围内敌人造成4次自身攻击力53%的物伤，并使敌人受到伤害提升@s，持续3秒</v>
      </c>
      <c r="Q201" s="45" t="str">
        <f t="shared" si="9"/>
        <v>哪吒于枪尖凝聚能量并引爆，对范围内敌人造成4次自身攻击力53%的物伤，并使敌人受到伤害提升15%，持续3秒</v>
      </c>
      <c r="R201" s="45"/>
      <c r="S201" s="45" t="str">
        <f>IF(ISERROR($Q201),"进阶+"&amp;COUNTIF($E$194:$E201,$E201)&amp;"："&amp;"找ZC配技能","进阶+"&amp;COUNTIF($E$194:$E201,$E201)&amp;"："&amp;VLOOKUP(COUNTIF($E$194:$E201,$E201),$L$184:$R$193,IF(H201=1,4,IF(H201=4,3,2))+IF(INDEX([1]Sheet1!$1:$1048576,MATCH($E201,[1]Sheet1!$A:$A,0),MATCH("zizhi",[1]Sheet1!$2:$2,0))&gt;=13,0,3),0)&amp;IF($Q201="","","（"&amp;$Q201&amp;"）"))</f>
        <v>进阶+8：增强AI1技能（哪吒于枪尖凝聚能量并引爆，对范围内敌人造成4次自身攻击力53%的物伤，并使敌人受到伤害提升15%，持续3秒）</v>
      </c>
      <c r="T201" s="1"/>
      <c r="U201" s="1"/>
      <c r="V201" s="2" t="str">
        <f>VLOOKUP(COUNTIF($E$194:$E201,$E201),$L$184:$X$193,IF(H201=1,4,IF(H201=4,3,2))+IF(INDEX([1]Sheet1!$1:$1048576,MATCH($E201,[1]Sheet1!$A:$A,0),MATCH("zizhi",[1]Sheet1!$2:$2,0))&gt;=13,0,3)+6,0)</f>
        <v>[]</v>
      </c>
      <c r="W201" s="2" t="str">
        <f t="shared" si="6"/>
        <v>进阶+8：增强AI1技能（哪吒于枪尖凝聚能量并引爆，对范围内敌人造成4次自身攻击力53%的物伤，并使敌人受到伤害提升15%，持续3秒）</v>
      </c>
      <c r="X201" s="45" t="str">
        <f t="shared" si="4"/>
        <v>[]</v>
      </c>
      <c r="Y201" s="2"/>
      <c r="Z201" s="2"/>
      <c r="AA201" s="2"/>
    </row>
    <row r="202" spans="1:29">
      <c r="A202" s="10">
        <f>E202*100+COUNTIF($E$194:$E202,$E202)</f>
        <v>110209</v>
      </c>
      <c r="B202" s="68" t="s">
        <v>1899</v>
      </c>
      <c r="C202" s="50" t="s">
        <v>2085</v>
      </c>
      <c r="D202" s="10" t="str">
        <f t="shared" si="10"/>
        <v>[]</v>
      </c>
      <c r="E202" s="45">
        <f>INDEX($I:$I,MATCH($E201,$I:$I,0)+IF(COUNTIF($E$194:$E201,$E201)&lt;=VLOOKUP($E201,$I$134:$K$193,3,0)-1,0,1),0)</f>
        <v>1102</v>
      </c>
      <c r="F202" s="45" t="str">
        <f t="shared" si="5"/>
        <v>哪吒</v>
      </c>
      <c r="H202" s="45">
        <f>VLOOKUP($E202,[1]Sheet1!$A:$G,7,0)</f>
        <v>3</v>
      </c>
      <c r="I202" s="45" t="str">
        <f>IF($G202="","",IF(COUNTIF(技能描述!$D:$D,$F202)&gt;0,VLOOKUP($F202&amp;$G202,技能描述!$A:$C,3,0),LEFT(VLOOKUP($E202,[1]Sheet1!$A:$J,10,0),FIND("_",VLOOKUP($E202,[1]Sheet1!$A:$J,10,0))-1)&amp;$G202))</f>
        <v/>
      </c>
      <c r="J202" s="45" t="str">
        <f>IF($I202="","",VLOOKUP($I202,技能描述!$A:$C,3,0))</f>
        <v/>
      </c>
      <c r="K202" s="45" t="str">
        <f>IF($I202="","",INDEX([2]Sheet1!$1:$1048576,MATCH($I202,[2]Sheet1!$A:$A,0),MATCH("description_damage",[2]Sheet1!$2:$2,0)))</f>
        <v/>
      </c>
      <c r="L202" s="80" t="str">
        <f>IF($K202="","",IF(LEN($K202)-LEN(SUBSTITUTE($K202,",",""))=0,VLOOKUP(INT($K202),[3]Sheet1!$A:$C,3,0),VLOOKUP(INT(LEFT($K202,FIND(",",$K202)-1)),[3]Sheet1!$A:$C,3,0)))</f>
        <v/>
      </c>
      <c r="M202" s="80" t="str">
        <f t="shared" si="11"/>
        <v/>
      </c>
      <c r="N202" s="45" t="str">
        <f>IF(LEN($K202)-LEN(SUBSTITUTE($K202,",",""))=1,VLOOKUP(INT(RIGHT($K202,LEN($K202)-FIND(",",$K202))),[3]Sheet1!$A:$C,3,0),"")</f>
        <v/>
      </c>
      <c r="O202" s="45" t="str">
        <f t="shared" si="7"/>
        <v/>
      </c>
      <c r="P202" s="45" t="str">
        <f t="shared" si="8"/>
        <v/>
      </c>
      <c r="Q202" s="45" t="str">
        <f t="shared" si="9"/>
        <v/>
      </c>
      <c r="R202" s="45"/>
      <c r="S202" s="45" t="str">
        <f>IF(ISERROR($Q202),"进阶+"&amp;COUNTIF($E$194:$E202,$E202)&amp;"："&amp;"找ZC配技能","进阶+"&amp;COUNTIF($E$194:$E202,$E202)&amp;"："&amp;VLOOKUP(COUNTIF($E$194:$E202,$E202),$L$184:$R$193,IF(H202=1,4,IF(H202=4,3,2))+IF(INDEX([1]Sheet1!$1:$1048576,MATCH($E202,[1]Sheet1!$A:$A,0),MATCH("zizhi",[1]Sheet1!$2:$2,0))&gt;=13,0,3),0)&amp;IF($Q202="","","（"&amp;$Q202&amp;"）"))</f>
        <v>进阶+9：全队攻击提高15%</v>
      </c>
      <c r="T202" s="1"/>
      <c r="U202" s="1"/>
      <c r="V202" s="2" t="str">
        <f>VLOOKUP(COUNTIF($E$194:$E202,$E202),$L$184:$X$193,IF(H202=1,4,IF(H202=4,3,2))+IF(INDEX([1]Sheet1!$1:$1048576,MATCH($E202,[1]Sheet1!$A:$A,0),MATCH("zizhi",[1]Sheet1!$2:$2,0))&gt;=13,0,3)+6,0)</f>
        <v>58015</v>
      </c>
      <c r="W202" s="2" t="str">
        <f t="shared" si="6"/>
        <v>进阶+9：全队攻击提高15%</v>
      </c>
      <c r="X202" s="45" t="str">
        <f t="shared" si="4"/>
        <v>58015</v>
      </c>
      <c r="Y202" s="2"/>
      <c r="Z202" s="2"/>
      <c r="AA202" s="2"/>
    </row>
    <row r="203" spans="1:29" ht="33">
      <c r="A203" s="10">
        <f>E203*100+COUNTIF($E$194:$E203,$E203)</f>
        <v>110210</v>
      </c>
      <c r="B203" s="68" t="s">
        <v>1900</v>
      </c>
      <c r="C203" s="50" t="s">
        <v>2</v>
      </c>
      <c r="D203" s="10">
        <f t="shared" si="10"/>
        <v>1</v>
      </c>
      <c r="E203" s="45">
        <f>INDEX($I:$I,MATCH($E202,$I:$I,0)+IF(COUNTIF($E$194:$E202,$E202)&lt;=VLOOKUP($E202,$I$134:$K$193,3,0)-1,0,1),0)</f>
        <v>1102</v>
      </c>
      <c r="F203" s="45" t="str">
        <f t="shared" si="5"/>
        <v>哪吒</v>
      </c>
      <c r="G203" s="45" t="s">
        <v>220</v>
      </c>
      <c r="H203" s="45">
        <f>VLOOKUP($E203,[1]Sheet1!$A:$G,7,0)</f>
        <v>3</v>
      </c>
      <c r="I203" s="45" t="str">
        <f>IF($G203="","",IF(COUNTIF(技能描述!$D:$D,$F203)&gt;0,VLOOKUP($F203&amp;$G203,技能描述!$A:$C,3,0),LEFT(VLOOKUP($E203,[1]Sheet1!$A:$J,10,0),FIND("_",VLOOKUP($E203,[1]Sheet1!$A:$J,10,0))-1)&amp;$G203))</f>
        <v>nezha_skill041</v>
      </c>
      <c r="J203" s="45" t="str">
        <f>IF($I203="","",VLOOKUP($I203,技能描述!$A:$C,3,0))</f>
        <v>哪吒舞枪直刺，对范围内敌人造成4次自身攻击力@s的物伤，使目标进入灼烧状态</v>
      </c>
      <c r="K203" s="45" t="str">
        <f>IF($I203="","",INDEX([2]Sheet1!$1:$1048576,MATCH($I203,[2]Sheet1!$A:$A,0),MATCH("description_damage",[2]Sheet1!$2:$2,0)))</f>
        <v>110209,9015</v>
      </c>
      <c r="L203" s="80" t="str">
        <f>IF($K203="","",IF(LEN($K203)-LEN(SUBSTITUTE($K203,",",""))=0,VLOOKUP(INT($K203),[3]Sheet1!$A:$C,3,0),VLOOKUP(INT(LEFT($K203,FIND(",",$K203)-1)),[3]Sheet1!$A:$C,3,0)))</f>
        <v>2|1|0.53|0|0|0</v>
      </c>
      <c r="M203" s="80" t="str">
        <f t="shared" si="11"/>
        <v>53%</v>
      </c>
      <c r="N203" s="45" t="str">
        <f>IF(LEN($K203)-LEN(SUBSTITUTE($K203,",",""))=1,VLOOKUP(INT(RIGHT($K203,LEN($K203)-FIND(",",$K203))),[3]Sheet1!$A:$C,3,0),"")</f>
        <v>4|3|0.15|0|1</v>
      </c>
      <c r="O203" s="45" t="str">
        <f t="shared" si="7"/>
        <v>15%</v>
      </c>
      <c r="P203" s="45" t="str">
        <f t="shared" si="8"/>
        <v>哪吒舞枪直刺，对范围内敌人造成4次自身攻击力53%的物伤，使目标进入灼烧状态</v>
      </c>
      <c r="Q203" s="45" t="str">
        <f t="shared" si="9"/>
        <v>哪吒舞枪直刺，对范围内敌人造成4次自身攻击力53%的物伤，使目标进入灼烧状态</v>
      </c>
      <c r="R203" s="45"/>
      <c r="S203" s="45" t="str">
        <f>IF(ISERROR($Q203),"进阶+"&amp;COUNTIF($E$194:$E203,$E203)&amp;"："&amp;"找ZC配技能","进阶+"&amp;COUNTIF($E$194:$E203,$E203)&amp;"："&amp;VLOOKUP(COUNTIF($E$194:$E203,$E203),$L$184:$R$193,IF(H203=1,4,IF(H203=4,3,2))+IF(INDEX([1]Sheet1!$1:$1048576,MATCH($E203,[1]Sheet1!$A:$A,0),MATCH("zizhi",[1]Sheet1!$2:$2,0))&gt;=13,0,3),0)&amp;IF($Q203="","","（"&amp;$Q203&amp;"）"))</f>
        <v>进阶+10：增强AI2技能（哪吒舞枪直刺，对范围内敌人造成4次自身攻击力53%的物伤，使目标进入灼烧状态）</v>
      </c>
      <c r="T203" s="1"/>
      <c r="U203" s="1"/>
      <c r="V203" s="2" t="str">
        <f>VLOOKUP(COUNTIF($E$194:$E203,$E203),$L$184:$X$193,IF(H203=1,4,IF(H203=4,3,2))+IF(INDEX([1]Sheet1!$1:$1048576,MATCH($E203,[1]Sheet1!$A:$A,0),MATCH("zizhi",[1]Sheet1!$2:$2,0))&gt;=13,0,3)+6,0)</f>
        <v>[]</v>
      </c>
      <c r="W203" s="2" t="str">
        <f t="shared" si="6"/>
        <v>进阶+10：增强AI2技能（哪吒舞枪直刺，对范围内敌人造成4次自身攻击力53%的物伤，使目标进入灼烧状态）</v>
      </c>
      <c r="X203" s="45" t="str">
        <f t="shared" si="4"/>
        <v>[]</v>
      </c>
      <c r="Y203" s="2"/>
      <c r="Z203" s="2"/>
      <c r="AA203" s="2"/>
    </row>
    <row r="204" spans="1:29">
      <c r="A204" s="10">
        <f>E204*100+COUNTIF($E$194:$E204,$E204)</f>
        <v>121101</v>
      </c>
      <c r="B204" s="68" t="s">
        <v>310</v>
      </c>
      <c r="C204" s="50" t="s">
        <v>127</v>
      </c>
      <c r="D204" s="10" t="str">
        <f t="shared" si="10"/>
        <v>[]</v>
      </c>
      <c r="E204" s="45">
        <f>INDEX($I:$I,MATCH($E203,$I:$I,0)+IF(COUNTIF($E$194:$E203,$E203)&lt;=VLOOKUP($E203,$I$134:$K$193,3,0)-1,0,1),0)</f>
        <v>1211</v>
      </c>
      <c r="F204" s="45" t="str">
        <f t="shared" si="5"/>
        <v>斗战胜佛</v>
      </c>
      <c r="H204" s="45">
        <f>VLOOKUP($E204,[1]Sheet1!$A:$G,7,0)</f>
        <v>3</v>
      </c>
      <c r="I204" s="45" t="str">
        <f>IF($G204="","",IF(COUNTIF(技能描述!$D:$D,$F204)&gt;0,VLOOKUP($F204&amp;$G204,技能描述!$A:$C,3,0),LEFT(VLOOKUP($E204,[1]Sheet1!$A:$J,10,0),FIND("_",VLOOKUP($E204,[1]Sheet1!$A:$J,10,0))-1)&amp;$G204))</f>
        <v/>
      </c>
      <c r="J204" s="45" t="str">
        <f>IF($I204="","",VLOOKUP($I204,技能描述!$A:$C,3,0))</f>
        <v/>
      </c>
      <c r="K204" s="45" t="str">
        <f>IF($I204="","",INDEX([2]Sheet1!$1:$1048576,MATCH($I204,[2]Sheet1!$A:$A,0),MATCH("description_damage",[2]Sheet1!$2:$2,0)))</f>
        <v/>
      </c>
      <c r="L204" s="80" t="str">
        <f>IF($K204="","",IF(LEN($K204)-LEN(SUBSTITUTE($K204,",",""))=0,VLOOKUP(INT($K204),[3]Sheet1!$A:$C,3,0),VLOOKUP(INT(LEFT($K204,FIND(",",$K204)-1)),[3]Sheet1!$A:$C,3,0)))</f>
        <v/>
      </c>
      <c r="M204" s="80" t="str">
        <f t="shared" si="11"/>
        <v/>
      </c>
      <c r="N204" s="45" t="str">
        <f>IF(LEN($K204)-LEN(SUBSTITUTE($K204,",",""))=1,VLOOKUP(INT(RIGHT($K204,LEN($K204)-FIND(",",$K204))),[3]Sheet1!$A:$C,3,0),"")</f>
        <v/>
      </c>
      <c r="O204" s="45" t="str">
        <f t="shared" si="7"/>
        <v/>
      </c>
      <c r="P204" s="45" t="str">
        <f t="shared" si="8"/>
        <v/>
      </c>
      <c r="Q204" s="45" t="str">
        <f t="shared" si="9"/>
        <v/>
      </c>
      <c r="R204" s="45"/>
      <c r="S204" s="45" t="str">
        <f>IF(ISERROR($Q204),"进阶+"&amp;COUNTIF($E$194:$E204,$E204)&amp;"："&amp;"找ZC配技能","进阶+"&amp;COUNTIF($E$194:$E204,$E204)&amp;"："&amp;VLOOKUP(COUNTIF($E$194:$E204,$E204),$L$184:$R$193,IF(H204=1,4,IF(H204=4,3,2))+IF(INDEX([1]Sheet1!$1:$1048576,MATCH($E204,[1]Sheet1!$A:$A,0),MATCH("zizhi",[1]Sheet1!$2:$2,0))&gt;=13,0,3),0)&amp;IF($Q204="","","（"&amp;$Q204&amp;"）"))</f>
        <v>进阶+1：攻击提高10%</v>
      </c>
      <c r="T204" s="1"/>
      <c r="U204" s="1"/>
      <c r="V204" s="2" t="str">
        <f>VLOOKUP(COUNTIF($E$194:$E204,$E204),$L$184:$X$193,IF(H204=1,4,IF(H204=4,3,2))+IF(INDEX([1]Sheet1!$1:$1048576,MATCH($E204,[1]Sheet1!$A:$A,0),MATCH("zizhi",[1]Sheet1!$2:$2,0))&gt;=13,0,3)+6,0)</f>
        <v>11050</v>
      </c>
      <c r="W204" s="2" t="str">
        <f t="shared" si="6"/>
        <v>进阶+1：攻击提高10%</v>
      </c>
      <c r="X204" s="45" t="str">
        <f t="shared" si="4"/>
        <v>11050</v>
      </c>
      <c r="Y204" s="2"/>
      <c r="Z204" s="2"/>
      <c r="AA204" s="2"/>
    </row>
    <row r="205" spans="1:29" ht="33">
      <c r="A205" s="10">
        <f>E205*100+COUNTIF($E$194:$E205,$E205)</f>
        <v>121102</v>
      </c>
      <c r="B205" s="68" t="s">
        <v>2091</v>
      </c>
      <c r="C205" s="50" t="s">
        <v>2</v>
      </c>
      <c r="D205" s="10">
        <f t="shared" si="10"/>
        <v>1</v>
      </c>
      <c r="E205" s="45">
        <f>INDEX($I:$I,MATCH($E204,$I:$I,0)+IF(COUNTIF($E$194:$E204,$E204)&lt;=VLOOKUP($E204,$I$134:$K$193,3,0)-1,0,1),0)</f>
        <v>1211</v>
      </c>
      <c r="F205" s="45" t="str">
        <f t="shared" si="5"/>
        <v>斗战胜佛</v>
      </c>
      <c r="G205" s="45" t="s">
        <v>216</v>
      </c>
      <c r="H205" s="45">
        <f>VLOOKUP($E205,[1]Sheet1!$A:$G,7,0)</f>
        <v>3</v>
      </c>
      <c r="I205" s="45" t="str">
        <f>IF($G205="","",IF(COUNTIF(技能描述!$D:$D,$F205)&gt;0,VLOOKUP($F205&amp;$G205,技能描述!$A:$C,3,0),LEFT(VLOOKUP($E205,[1]Sheet1!$A:$J,10,0),FIND("_",VLOOKUP($E205,[1]Sheet1!$A:$J,10,0))-1)&amp;$G205))</f>
        <v>douzhanshengfo_skill03</v>
      </c>
      <c r="J205" s="45" t="str">
        <f>IF($I205="","",VLOOKUP($I205,技能描述!$A:$C,3,0))</f>
        <v>提升自身@s的真实暴击率，发动技能时有概率进入霸体状态1秒</v>
      </c>
      <c r="K205" s="45" t="str">
        <f>IF($I205="","",INDEX([2]Sheet1!$1:$1048576,MATCH($I205,[2]Sheet1!$A:$A,0),MATCH("description_damage",[2]Sheet1!$2:$2,0)))</f>
        <v>9010</v>
      </c>
      <c r="L205" s="80" t="str">
        <f>IF($K205="","",IF(LEN($K205)-LEN(SUBSTITUTE($K205,",",""))=0,VLOOKUP(INT($K205),[3]Sheet1!$A:$C,3,0),VLOOKUP(INT(LEFT($K205,FIND(",",$K205)-1)),[3]Sheet1!$A:$C,3,0)))</f>
        <v>4|3|0.1|0|1</v>
      </c>
      <c r="M205" s="80" t="str">
        <f t="shared" si="11"/>
        <v>10%</v>
      </c>
      <c r="N205" s="45" t="str">
        <f>IF(LEN($K205)-LEN(SUBSTITUTE($K205,",",""))=1,VLOOKUP(INT(RIGHT($K205,LEN($K205)-FIND(",",$K205))),[3]Sheet1!$A:$C,3,0),"")</f>
        <v/>
      </c>
      <c r="O205" s="45" t="str">
        <f t="shared" si="7"/>
        <v/>
      </c>
      <c r="P205" s="45" t="str">
        <f t="shared" si="8"/>
        <v>提升自身10%的真实暴击率，发动技能时有概率进入霸体状态1秒</v>
      </c>
      <c r="Q205" s="45" t="str">
        <f t="shared" si="9"/>
        <v>提升自身10%的真实暴击率，发动技能时有概率进入霸体状态1秒</v>
      </c>
      <c r="R205" s="45"/>
      <c r="S205" s="45" t="str">
        <f>IF(ISERROR($Q205),"进阶+"&amp;COUNTIF($E$194:$E205,$E205)&amp;"："&amp;"找ZC配技能","进阶+"&amp;COUNTIF($E$194:$E205,$E205)&amp;"："&amp;VLOOKUP(COUNTIF($E$194:$E205,$E205),$L$184:$R$193,IF(H205=1,4,IF(H205=4,3,2))+IF(INDEX([1]Sheet1!$1:$1048576,MATCH($E205,[1]Sheet1!$A:$A,0),MATCH("zizhi",[1]Sheet1!$2:$2,0))&gt;=13,0,3),0)&amp;IF($Q205="","","（"&amp;$Q205&amp;"）"))</f>
        <v>进阶+2：激活被动技能（提升自身10%的真实暴击率，发动技能时有概率进入霸体状态1秒）</v>
      </c>
      <c r="T205" s="1"/>
      <c r="U205" s="1"/>
      <c r="V205" s="2" t="str">
        <f>VLOOKUP(COUNTIF($E$194:$E205,$E205),$L$184:$X$193,IF(H205=1,4,IF(H205=4,3,2))+IF(INDEX([1]Sheet1!$1:$1048576,MATCH($E205,[1]Sheet1!$A:$A,0),MATCH("zizhi",[1]Sheet1!$2:$2,0))&gt;=13,0,3)+6,0)</f>
        <v>[]</v>
      </c>
      <c r="W205" s="2" t="str">
        <f t="shared" si="6"/>
        <v>进阶+2：激活被动技能（提升自身10%的真实暴击率，发动技能时有概率进入霸体状态1秒）</v>
      </c>
      <c r="X205" s="45" t="str">
        <f t="shared" si="4"/>
        <v>[]</v>
      </c>
      <c r="Y205" s="2"/>
      <c r="Z205" s="2"/>
      <c r="AA205" s="2"/>
    </row>
    <row r="206" spans="1:29">
      <c r="A206" s="10">
        <f>E206*100+COUNTIF($E$194:$E206,$E206)</f>
        <v>121103</v>
      </c>
      <c r="B206" s="68" t="s">
        <v>312</v>
      </c>
      <c r="C206" s="50" t="s">
        <v>127</v>
      </c>
      <c r="D206" s="10" t="str">
        <f t="shared" si="10"/>
        <v>[]</v>
      </c>
      <c r="E206" s="45">
        <f>INDEX($I:$I,MATCH($E205,$I:$I,0)+IF(COUNTIF($E$194:$E205,$E205)&lt;=VLOOKUP($E205,$I$134:$K$193,3,0)-1,0,1),0)</f>
        <v>1211</v>
      </c>
      <c r="F206" s="45" t="str">
        <f t="shared" si="5"/>
        <v>斗战胜佛</v>
      </c>
      <c r="H206" s="45">
        <f>VLOOKUP($E206,[1]Sheet1!$A:$G,7,0)</f>
        <v>3</v>
      </c>
      <c r="I206" s="45" t="str">
        <f>IF($G206="","",IF(COUNTIF(技能描述!$D:$D,$F206)&gt;0,VLOOKUP($F206&amp;$G206,技能描述!$A:$C,3,0),LEFT(VLOOKUP($E206,[1]Sheet1!$A:$J,10,0),FIND("_",VLOOKUP($E206,[1]Sheet1!$A:$J,10,0))-1)&amp;$G206))</f>
        <v/>
      </c>
      <c r="J206" s="45" t="str">
        <f>IF($I206="","",VLOOKUP($I206,技能描述!$A:$C,3,0))</f>
        <v/>
      </c>
      <c r="K206" s="45" t="str">
        <f>IF($I206="","",INDEX([2]Sheet1!$1:$1048576,MATCH($I206,[2]Sheet1!$A:$A,0),MATCH("description_damage",[2]Sheet1!$2:$2,0)))</f>
        <v/>
      </c>
      <c r="L206" s="80" t="str">
        <f>IF($K206="","",IF(LEN($K206)-LEN(SUBSTITUTE($K206,",",""))=0,VLOOKUP(INT($K206),[3]Sheet1!$A:$C,3,0),VLOOKUP(INT(LEFT($K206,FIND(",",$K206)-1)),[3]Sheet1!$A:$C,3,0)))</f>
        <v/>
      </c>
      <c r="M206" s="80" t="str">
        <f t="shared" si="11"/>
        <v/>
      </c>
      <c r="N206" s="45" t="str">
        <f>IF(LEN($K206)-LEN(SUBSTITUTE($K206,",",""))=1,VLOOKUP(INT(RIGHT($K206,LEN($K206)-FIND(",",$K206))),[3]Sheet1!$A:$C,3,0),"")</f>
        <v/>
      </c>
      <c r="O206" s="45" t="str">
        <f t="shared" si="7"/>
        <v/>
      </c>
      <c r="P206" s="45" t="str">
        <f t="shared" si="8"/>
        <v/>
      </c>
      <c r="Q206" s="45" t="str">
        <f t="shared" si="9"/>
        <v/>
      </c>
      <c r="R206" s="45"/>
      <c r="S206" s="45" t="str">
        <f>IF(ISERROR($Q206),"进阶+"&amp;COUNTIF($E$194:$E206,$E206)&amp;"："&amp;"找ZC配技能","进阶+"&amp;COUNTIF($E$194:$E206,$E206)&amp;"："&amp;VLOOKUP(COUNTIF($E$194:$E206,$E206),$L$184:$R$193,IF(H206=1,4,IF(H206=4,3,2))+IF(INDEX([1]Sheet1!$1:$1048576,MATCH($E206,[1]Sheet1!$A:$A,0),MATCH("zizhi",[1]Sheet1!$2:$2,0))&gt;=13,0,3),0)&amp;IF($Q206="","","（"&amp;$Q206&amp;"）"))</f>
        <v>进阶+3：攻击提高10%</v>
      </c>
      <c r="T206" s="1"/>
      <c r="U206" s="1"/>
      <c r="V206" s="2" t="str">
        <f>VLOOKUP(COUNTIF($E$194:$E206,$E206),$L$184:$X$193,IF(H206=1,4,IF(H206=4,3,2))+IF(INDEX([1]Sheet1!$1:$1048576,MATCH($E206,[1]Sheet1!$A:$A,0),MATCH("zizhi",[1]Sheet1!$2:$2,0))&gt;=13,0,3)+6,0)</f>
        <v>11050</v>
      </c>
      <c r="W206" s="2" t="str">
        <f t="shared" si="6"/>
        <v>进阶+3：攻击提高10%</v>
      </c>
      <c r="X206" s="45" t="str">
        <f t="shared" si="4"/>
        <v>11050</v>
      </c>
      <c r="Y206" s="2"/>
      <c r="Z206" s="2"/>
      <c r="AA206" s="2"/>
    </row>
    <row r="207" spans="1:29" ht="33">
      <c r="A207" s="10">
        <f>E207*100+COUNTIF($E$194:$E207,$E207)</f>
        <v>121104</v>
      </c>
      <c r="B207" s="68" t="s">
        <v>1968</v>
      </c>
      <c r="C207" s="50" t="s">
        <v>2</v>
      </c>
      <c r="D207" s="10">
        <f t="shared" si="10"/>
        <v>1</v>
      </c>
      <c r="E207" s="45">
        <f>INDEX($I:$I,MATCH($E206,$I:$I,0)+IF(COUNTIF($E$194:$E206,$E206)&lt;=VLOOKUP($E206,$I$134:$K$193,3,0)-1,0,1),0)</f>
        <v>1211</v>
      </c>
      <c r="F207" s="45" t="str">
        <f t="shared" si="5"/>
        <v>斗战胜佛</v>
      </c>
      <c r="G207" s="45" t="s">
        <v>217</v>
      </c>
      <c r="H207" s="45">
        <f>VLOOKUP($E207,[1]Sheet1!$A:$G,7,0)</f>
        <v>3</v>
      </c>
      <c r="I207" s="45" t="str">
        <f>IF($G207="","",IF(COUNTIF(技能描述!$D:$D,$F207)&gt;0,VLOOKUP($F207&amp;$G207,技能描述!$A:$C,3,0),LEFT(VLOOKUP($E207,[1]Sheet1!$A:$J,10,0),FIND("_",VLOOKUP($E207,[1]Sheet1!$A:$J,10,0))-1)&amp;$G207))</f>
        <v>douzhanshengfo_skill04</v>
      </c>
      <c r="J207" s="45" t="str">
        <f>IF($I207="","",VLOOKUP($I207,技能描述!$A:$C,3,0))</f>
        <v>神挡杀神，对范围内敌人进行7次攻击，造成自身攻击力@s的物伤，必定暴击，造成6秒流血效果</v>
      </c>
      <c r="K207" s="45" t="str">
        <f>IF($I207="","",INDEX([2]Sheet1!$1:$1048576,MATCH($I207,[2]Sheet1!$A:$A,0),MATCH("description_damage",[2]Sheet1!$2:$2,0)))</f>
        <v>121106</v>
      </c>
      <c r="L207" s="80" t="str">
        <f>IF($K207="","",IF(LEN($K207)-LEN(SUBSTITUTE($K207,",",""))=0,VLOOKUP(INT($K207),[3]Sheet1!$A:$C,3,0),VLOOKUP(INT(LEFT($K207,FIND(",",$K207)-1)),[3]Sheet1!$A:$C,3,0)))</f>
        <v>2|1|0.24|0|0|0</v>
      </c>
      <c r="M207" s="80" t="str">
        <f t="shared" si="11"/>
        <v>24%</v>
      </c>
      <c r="N207" s="45" t="str">
        <f>IF(LEN($K207)-LEN(SUBSTITUTE($K207,",",""))=1,VLOOKUP(INT(RIGHT($K207,LEN($K207)-FIND(",",$K207))),[3]Sheet1!$A:$C,3,0),"")</f>
        <v/>
      </c>
      <c r="O207" s="45" t="str">
        <f t="shared" si="7"/>
        <v/>
      </c>
      <c r="P207" s="45" t="str">
        <f t="shared" si="8"/>
        <v>神挡杀神，对范围内敌人进行7次攻击，造成自身攻击力24%的物伤，必定暴击，造成6秒流血效果</v>
      </c>
      <c r="Q207" s="45" t="str">
        <f t="shared" si="9"/>
        <v>神挡杀神，对范围内敌人进行7次攻击，造成自身攻击力24%的物伤，必定暴击，造成6秒流血效果</v>
      </c>
      <c r="R207" s="45"/>
      <c r="S207" s="45" t="str">
        <f>IF(ISERROR($Q207),"进阶+"&amp;COUNTIF($E$194:$E207,$E207)&amp;"："&amp;"找ZC配技能","进阶+"&amp;COUNTIF($E$194:$E207,$E207)&amp;"："&amp;VLOOKUP(COUNTIF($E$194:$E207,$E207),$L$184:$R$193,IF(H207=1,4,IF(H207=4,3,2))+IF(INDEX([1]Sheet1!$1:$1048576,MATCH($E207,[1]Sheet1!$A:$A,0),MATCH("zizhi",[1]Sheet1!$2:$2,0))&gt;=13,0,3),0)&amp;IF($Q207="","","（"&amp;$Q207&amp;"）"))</f>
        <v>进阶+4：激活AI2技能（神挡杀神，对范围内敌人进行7次攻击，造成自身攻击力24%的物伤，必定暴击，造成6秒流血效果）</v>
      </c>
      <c r="T207" s="1"/>
      <c r="U207" s="1"/>
      <c r="V207" s="2" t="str">
        <f>VLOOKUP(COUNTIF($E$194:$E207,$E207),$L$184:$X$193,IF(H207=1,4,IF(H207=4,3,2))+IF(INDEX([1]Sheet1!$1:$1048576,MATCH($E207,[1]Sheet1!$A:$A,0),MATCH("zizhi",[1]Sheet1!$2:$2,0))&gt;=13,0,3)+6,0)</f>
        <v>[]</v>
      </c>
      <c r="W207" s="2" t="str">
        <f t="shared" si="6"/>
        <v>进阶+4：激活AI2技能（神挡杀神，对范围内敌人进行7次攻击，造成自身攻击力24%的物伤，必定暴击，造成6秒流血效果）</v>
      </c>
      <c r="X207" s="45" t="str">
        <f t="shared" si="4"/>
        <v>[]</v>
      </c>
      <c r="Y207" s="2"/>
      <c r="Z207" s="2"/>
      <c r="AA207" s="2"/>
    </row>
    <row r="208" spans="1:29">
      <c r="A208" s="10">
        <f>E208*100+COUNTIF($E$194:$E208,$E208)</f>
        <v>121105</v>
      </c>
      <c r="B208" s="68" t="s">
        <v>323</v>
      </c>
      <c r="C208" s="50" t="s">
        <v>140</v>
      </c>
      <c r="D208" s="10" t="str">
        <f t="shared" si="10"/>
        <v>[]</v>
      </c>
      <c r="E208" s="45">
        <f>INDEX($I:$I,MATCH($E207,$I:$I,0)+IF(COUNTIF($E$194:$E207,$E207)&lt;=VLOOKUP($E207,$I$134:$K$193,3,0)-1,0,1),0)</f>
        <v>1211</v>
      </c>
      <c r="F208" s="45" t="str">
        <f t="shared" si="5"/>
        <v>斗战胜佛</v>
      </c>
      <c r="H208" s="45">
        <f>VLOOKUP($E208,[1]Sheet1!$A:$G,7,0)</f>
        <v>3</v>
      </c>
      <c r="I208" s="45" t="str">
        <f>IF($G208="","",IF(COUNTIF(技能描述!$D:$D,$F208)&gt;0,VLOOKUP($F208&amp;$G208,技能描述!$A:$C,3,0),LEFT(VLOOKUP($E208,[1]Sheet1!$A:$J,10,0),FIND("_",VLOOKUP($E208,[1]Sheet1!$A:$J,10,0))-1)&amp;$G208))</f>
        <v/>
      </c>
      <c r="J208" s="45" t="str">
        <f>IF($I208="","",VLOOKUP($I208,技能描述!$A:$C,3,0))</f>
        <v/>
      </c>
      <c r="K208" s="45" t="str">
        <f>IF($I208="","",INDEX([2]Sheet1!$1:$1048576,MATCH($I208,[2]Sheet1!$A:$A,0),MATCH("description_damage",[2]Sheet1!$2:$2,0)))</f>
        <v/>
      </c>
      <c r="L208" s="80" t="str">
        <f>IF($K208="","",IF(LEN($K208)-LEN(SUBSTITUTE($K208,",",""))=0,VLOOKUP(INT($K208),[3]Sheet1!$A:$C,3,0),VLOOKUP(INT(LEFT($K208,FIND(",",$K208)-1)),[3]Sheet1!$A:$C,3,0)))</f>
        <v/>
      </c>
      <c r="M208" s="80" t="str">
        <f t="shared" si="11"/>
        <v/>
      </c>
      <c r="N208" s="45" t="str">
        <f>IF(LEN($K208)-LEN(SUBSTITUTE($K208,",",""))=1,VLOOKUP(INT(RIGHT($K208,LEN($K208)-FIND(",",$K208))),[3]Sheet1!$A:$C,3,0),"")</f>
        <v/>
      </c>
      <c r="O208" s="45" t="str">
        <f t="shared" si="7"/>
        <v/>
      </c>
      <c r="P208" s="45" t="str">
        <f t="shared" si="8"/>
        <v/>
      </c>
      <c r="Q208" s="45" t="str">
        <f t="shared" si="9"/>
        <v/>
      </c>
      <c r="R208" s="45"/>
      <c r="S208" s="45" t="str">
        <f>IF(ISERROR($Q208),"进阶+"&amp;COUNTIF($E$194:$E208,$E208)&amp;"："&amp;"找ZC配技能","进阶+"&amp;COUNTIF($E$194:$E208,$E208)&amp;"："&amp;VLOOKUP(COUNTIF($E$194:$E208,$E208),$L$184:$R$193,IF(H208=1,4,IF(H208=4,3,2))+IF(INDEX([1]Sheet1!$1:$1048576,MATCH($E208,[1]Sheet1!$A:$A,0),MATCH("zizhi",[1]Sheet1!$2:$2,0))&gt;=13,0,3),0)&amp;IF($Q208="","","（"&amp;$Q208&amp;"）"))</f>
        <v>进阶+5：生命，防御提高10%</v>
      </c>
      <c r="T208" s="1"/>
      <c r="U208" s="1"/>
      <c r="V208" s="2" t="str">
        <f>VLOOKUP(COUNTIF($E$194:$E208,$E208),$L$184:$X$193,IF(H208=1,4,IF(H208=4,3,2))+IF(INDEX([1]Sheet1!$1:$1048576,MATCH($E208,[1]Sheet1!$A:$A,0),MATCH("zizhi",[1]Sheet1!$2:$2,0))&gt;=13,0,3)+6,0)</f>
        <v>11090,6502,6512</v>
      </c>
      <c r="W208" s="2" t="str">
        <f t="shared" si="6"/>
        <v>进阶+5：生命，防御提高10%</v>
      </c>
      <c r="X208" s="45" t="str">
        <f t="shared" si="4"/>
        <v>11090,6502,6512</v>
      </c>
      <c r="Y208" s="2"/>
      <c r="Z208" s="2"/>
      <c r="AA208" s="2"/>
    </row>
    <row r="209" spans="1:27" ht="49.5">
      <c r="A209" s="10">
        <f>E209*100+COUNTIF($E$194:$E209,$E209)</f>
        <v>121106</v>
      </c>
      <c r="B209" s="68" t="s">
        <v>2079</v>
      </c>
      <c r="C209" s="50" t="s">
        <v>2</v>
      </c>
      <c r="D209" s="10">
        <f t="shared" si="10"/>
        <v>1</v>
      </c>
      <c r="E209" s="45">
        <f>INDEX($I:$I,MATCH($E208,$I:$I,0)+IF(COUNTIF($E$194:$E208,$E208)&lt;=VLOOKUP($E208,$I$134:$K$193,3,0)-1,0,1),0)</f>
        <v>1211</v>
      </c>
      <c r="F209" s="45" t="str">
        <f t="shared" si="5"/>
        <v>斗战胜佛</v>
      </c>
      <c r="G209" s="45" t="s">
        <v>218</v>
      </c>
      <c r="H209" s="45">
        <f>VLOOKUP($E209,[1]Sheet1!$A:$G,7,0)</f>
        <v>3</v>
      </c>
      <c r="I209" s="45" t="str">
        <f>IF($G209="","",IF(COUNTIF(技能描述!$D:$D,$F209)&gt;0,VLOOKUP($F209&amp;$G209,技能描述!$A:$C,3,0),LEFT(VLOOKUP($E209,[1]Sheet1!$A:$J,10,0),FIND("_",VLOOKUP($E209,[1]Sheet1!$A:$J,10,0))-1)&amp;$G209))</f>
        <v>douzhanshengfo_skill011</v>
      </c>
      <c r="J209" s="45" t="str">
        <f>IF($I209="","",VLOOKUP($I209,技能描述!$A:$C,3,0))</f>
        <v>一棍定乾坤，对范围内敌人造成主角攻击力@s的物伤，60%概率昏迷敌人3秒，若对方被控制状态，若对方处于眩晕状态,无视对方20%的物理防御和抗暴</v>
      </c>
      <c r="K209" s="45" t="str">
        <f>IF($I209="","",INDEX([2]Sheet1!$1:$1048576,MATCH($I209,[2]Sheet1!$A:$A,0),MATCH("description_damage",[2]Sheet1!$2:$2,0)))</f>
        <v>121107</v>
      </c>
      <c r="L209" s="80" t="str">
        <f>IF($K209="","",IF(LEN($K209)-LEN(SUBSTITUTE($K209,",",""))=0,VLOOKUP(INT($K209),[3]Sheet1!$A:$C,3,0),VLOOKUP(INT(LEFT($K209,FIND(",",$K209)-1)),[3]Sheet1!$A:$C,3,0)))</f>
        <v>2|1|1.32|0|0|0</v>
      </c>
      <c r="M209" s="80" t="str">
        <f t="shared" si="11"/>
        <v>132%</v>
      </c>
      <c r="N209" s="45" t="str">
        <f>IF(LEN($K209)-LEN(SUBSTITUTE($K209,",",""))=1,VLOOKUP(INT(RIGHT($K209,LEN($K209)-FIND(",",$K209))),[3]Sheet1!$A:$C,3,0),"")</f>
        <v/>
      </c>
      <c r="O209" s="45" t="str">
        <f t="shared" si="7"/>
        <v/>
      </c>
      <c r="P209" s="45" t="str">
        <f t="shared" si="8"/>
        <v>一棍定乾坤，对范围内敌人造成主角攻击力132%的物伤，60%概率昏迷敌人3秒，若对方被控制状态，若对方处于眩晕状态,无视对方20%的物理防御和抗暴</v>
      </c>
      <c r="Q209" s="45" t="str">
        <f t="shared" si="9"/>
        <v>一棍定乾坤，对范围内敌人造成主角攻击力132%的物伤，60%概率昏迷敌人3秒，若对方被控制状态，若对方处于眩晕状态,无视对方20%的物理防御和抗暴</v>
      </c>
      <c r="R209" s="45"/>
      <c r="S209" s="45" t="str">
        <f>IF(ISERROR($Q209),"进阶+"&amp;COUNTIF($E$194:$E209,$E209)&amp;"："&amp;"找ZC配技能","进阶+"&amp;COUNTIF($E$194:$E209,$E209)&amp;"："&amp;VLOOKUP(COUNTIF($E$194:$E209,$E209),$L$184:$R$193,IF(H209=1,4,IF(H209=4,3,2))+IF(INDEX([1]Sheet1!$1:$1048576,MATCH($E209,[1]Sheet1!$A:$A,0),MATCH("zizhi",[1]Sheet1!$2:$2,0))&gt;=13,0,3),0)&amp;IF($Q209="","","（"&amp;$Q209&amp;"）"))</f>
        <v>进阶+6：增强主角技能（一棍定乾坤，对范围内敌人造成主角攻击力132%的物伤，60%概率昏迷敌人3秒，若对方被控制状态，若对方处于眩晕状态,无视对方20%的物理防御和抗暴）</v>
      </c>
      <c r="T209" s="1"/>
      <c r="U209" s="1"/>
      <c r="V209" s="2" t="str">
        <f>VLOOKUP(COUNTIF($E$194:$E209,$E209),$L$184:$X$193,IF(H209=1,4,IF(H209=4,3,2))+IF(INDEX([1]Sheet1!$1:$1048576,MATCH($E209,[1]Sheet1!$A:$A,0),MATCH("zizhi",[1]Sheet1!$2:$2,0))&gt;=13,0,3)+6,0)</f>
        <v>[]</v>
      </c>
      <c r="W209" s="2" t="str">
        <f t="shared" si="6"/>
        <v>进阶+6：增强主角技能（一棍定乾坤，对范围内敌人造成主角攻击力132%的物伤，60%概率昏迷敌人3秒，若对方被控制状态，若对方处于眩晕状态,无视对方20%的物理防御和抗暴）</v>
      </c>
      <c r="X209" s="45" t="str">
        <f t="shared" si="4"/>
        <v>[]</v>
      </c>
      <c r="Y209" s="2"/>
      <c r="Z209" s="2"/>
      <c r="AA209" s="2"/>
    </row>
    <row r="210" spans="1:27">
      <c r="A210" s="10">
        <f>E210*100+COUNTIF($E$194:$E210,$E210)</f>
        <v>121107</v>
      </c>
      <c r="B210" s="68" t="s">
        <v>359</v>
      </c>
      <c r="C210" s="50" t="s">
        <v>353</v>
      </c>
      <c r="D210" s="10" t="str">
        <f t="shared" si="10"/>
        <v>[]</v>
      </c>
      <c r="E210" s="45">
        <f>INDEX($I:$I,MATCH($E209,$I:$I,0)+IF(COUNTIF($E$194:$E209,$E209)&lt;=VLOOKUP($E209,$I$134:$K$193,3,0)-1,0,1),0)</f>
        <v>1211</v>
      </c>
      <c r="F210" s="45" t="str">
        <f t="shared" si="5"/>
        <v>斗战胜佛</v>
      </c>
      <c r="H210" s="45">
        <f>VLOOKUP($E210,[1]Sheet1!$A:$G,7,0)</f>
        <v>3</v>
      </c>
      <c r="I210" s="45" t="str">
        <f>IF($G210="","",IF(COUNTIF(技能描述!$D:$D,$F210)&gt;0,VLOOKUP($F210&amp;$G210,技能描述!$A:$C,3,0),LEFT(VLOOKUP($E210,[1]Sheet1!$A:$J,10,0),FIND("_",VLOOKUP($E210,[1]Sheet1!$A:$J,10,0))-1)&amp;$G210))</f>
        <v/>
      </c>
      <c r="J210" s="45" t="str">
        <f>IF($I210="","",VLOOKUP($I210,技能描述!$A:$C,3,0))</f>
        <v/>
      </c>
      <c r="K210" s="45" t="str">
        <f>IF($I210="","",INDEX([2]Sheet1!$1:$1048576,MATCH($I210,[2]Sheet1!$A:$A,0),MATCH("description_damage",[2]Sheet1!$2:$2,0)))</f>
        <v/>
      </c>
      <c r="L210" s="80" t="str">
        <f>IF($K210="","",IF(LEN($K210)-LEN(SUBSTITUTE($K210,",",""))=0,VLOOKUP(INT($K210),[3]Sheet1!$A:$C,3,0),VLOOKUP(INT(LEFT($K210,FIND(",",$K210)-1)),[3]Sheet1!$A:$C,3,0)))</f>
        <v/>
      </c>
      <c r="M210" s="80" t="str">
        <f t="shared" si="11"/>
        <v/>
      </c>
      <c r="N210" s="45" t="str">
        <f>IF(LEN($K210)-LEN(SUBSTITUTE($K210,",",""))=1,VLOOKUP(INT(RIGHT($K210,LEN($K210)-FIND(",",$K210))),[3]Sheet1!$A:$C,3,0),"")</f>
        <v/>
      </c>
      <c r="O210" s="45" t="str">
        <f t="shared" si="7"/>
        <v/>
      </c>
      <c r="P210" s="45" t="str">
        <f t="shared" si="8"/>
        <v/>
      </c>
      <c r="Q210" s="45" t="str">
        <f t="shared" si="9"/>
        <v/>
      </c>
      <c r="R210" s="45"/>
      <c r="S210" s="45" t="str">
        <f>IF(ISERROR($Q210),"进阶+"&amp;COUNTIF($E$194:$E210,$E210)&amp;"："&amp;"找ZC配技能","进阶+"&amp;COUNTIF($E$194:$E210,$E210)&amp;"："&amp;VLOOKUP(COUNTIF($E$194:$E210,$E210),$L$184:$R$193,IF(H210=1,4,IF(H210=4,3,2))+IF(INDEX([1]Sheet1!$1:$1048576,MATCH($E210,[1]Sheet1!$A:$A,0),MATCH("zizhi",[1]Sheet1!$2:$2,0))&gt;=13,0,3),0)&amp;IF($Q210="","","（"&amp;$Q210&amp;"）"))</f>
        <v>进阶+7：全队攻击提高10%</v>
      </c>
      <c r="T210" s="1"/>
      <c r="U210" s="1"/>
      <c r="V210" s="2" t="str">
        <f>VLOOKUP(COUNTIF($E$194:$E210,$E210),$L$184:$X$193,IF(H210=1,4,IF(H210=4,3,2))+IF(INDEX([1]Sheet1!$1:$1048576,MATCH($E210,[1]Sheet1!$A:$A,0),MATCH("zizhi",[1]Sheet1!$2:$2,0))&gt;=13,0,3)+6,0)</f>
        <v>58010</v>
      </c>
      <c r="W210" s="2" t="str">
        <f t="shared" si="6"/>
        <v>进阶+7：全队攻击提高10%</v>
      </c>
      <c r="X210" s="45" t="str">
        <f t="shared" si="4"/>
        <v>58010</v>
      </c>
      <c r="Y210" s="2"/>
      <c r="Z210" s="2"/>
      <c r="AA210" s="2"/>
    </row>
    <row r="211" spans="1:27" ht="33">
      <c r="A211" s="10">
        <f>E211*100+COUNTIF($E$194:$E211,$E211)</f>
        <v>121108</v>
      </c>
      <c r="B211" s="68" t="s">
        <v>1986</v>
      </c>
      <c r="C211" s="50" t="s">
        <v>2</v>
      </c>
      <c r="D211" s="10">
        <f t="shared" si="10"/>
        <v>1</v>
      </c>
      <c r="E211" s="45">
        <f>INDEX($I:$I,MATCH($E210,$I:$I,0)+IF(COUNTIF($E$194:$E210,$E210)&lt;=VLOOKUP($E210,$I$134:$K$193,3,0)-1,0,1),0)</f>
        <v>1211</v>
      </c>
      <c r="F211" s="45" t="str">
        <f t="shared" si="5"/>
        <v>斗战胜佛</v>
      </c>
      <c r="G211" s="45" t="s">
        <v>219</v>
      </c>
      <c r="H211" s="45">
        <f>VLOOKUP($E211,[1]Sheet1!$A:$G,7,0)</f>
        <v>3</v>
      </c>
      <c r="I211" s="45" t="str">
        <f>IF($G211="","",IF(COUNTIF(技能描述!$D:$D,$F211)&gt;0,VLOOKUP($F211&amp;$G211,技能描述!$A:$C,3,0),LEFT(VLOOKUP($E211,[1]Sheet1!$A:$J,10,0),FIND("_",VLOOKUP($E211,[1]Sheet1!$A:$J,10,0))-1)&amp;$G211))</f>
        <v>douzhanshengfo_skill021</v>
      </c>
      <c r="J211" s="45" t="str">
        <f>IF($I211="","",VLOOKUP($I211,技能描述!$A:$C,3,0))</f>
        <v>棍出如龙，对范围内敌人进行3次攻击，造成自身攻击力@s的物伤，并增加敌人受到的伤害@s，持续3秒</v>
      </c>
      <c r="K211" s="45" t="str">
        <f>IF($I211="","",INDEX([2]Sheet1!$1:$1048576,MATCH($I211,[2]Sheet1!$A:$A,0),MATCH("description_damage",[2]Sheet1!$2:$2,0)))</f>
        <v>121108,9015</v>
      </c>
      <c r="L211" s="80" t="str">
        <f>IF($K211="","",IF(LEN($K211)-LEN(SUBSTITUTE($K211,",",""))=0,VLOOKUP(INT($K211),[3]Sheet1!$A:$C,3,0),VLOOKUP(INT(LEFT($K211,FIND(",",$K211)-1)),[3]Sheet1!$A:$C,3,0)))</f>
        <v>2|1|0.77|0|0|0</v>
      </c>
      <c r="M211" s="80" t="str">
        <f t="shared" si="11"/>
        <v>77%</v>
      </c>
      <c r="N211" s="45" t="str">
        <f>IF(LEN($K211)-LEN(SUBSTITUTE($K211,",",""))=1,VLOOKUP(INT(RIGHT($K211,LEN($K211)-FIND(",",$K211))),[3]Sheet1!$A:$C,3,0),"")</f>
        <v>4|3|0.15|0|1</v>
      </c>
      <c r="O211" s="45" t="str">
        <f t="shared" si="7"/>
        <v>15%</v>
      </c>
      <c r="P211" s="45" t="str">
        <f t="shared" si="8"/>
        <v>棍出如龙，对范围内敌人进行3次攻击，造成自身攻击力77%的物伤，并增加敌人受到的伤害@s，持续3秒</v>
      </c>
      <c r="Q211" s="45" t="str">
        <f t="shared" si="9"/>
        <v>棍出如龙，对范围内敌人进行3次攻击，造成自身攻击力77%的物伤，并增加敌人受到的伤害15%，持续3秒</v>
      </c>
      <c r="R211" s="45"/>
      <c r="S211" s="45" t="str">
        <f>IF(ISERROR($Q211),"进阶+"&amp;COUNTIF($E$194:$E211,$E211)&amp;"："&amp;"找ZC配技能","进阶+"&amp;COUNTIF($E$194:$E211,$E211)&amp;"："&amp;VLOOKUP(COUNTIF($E$194:$E211,$E211),$L$184:$R$193,IF(H211=1,4,IF(H211=4,3,2))+IF(INDEX([1]Sheet1!$1:$1048576,MATCH($E211,[1]Sheet1!$A:$A,0),MATCH("zizhi",[1]Sheet1!$2:$2,0))&gt;=13,0,3),0)&amp;IF($Q211="","","（"&amp;$Q211&amp;"）"))</f>
        <v>进阶+8：增强AI1技能（棍出如龙，对范围内敌人进行3次攻击，造成自身攻击力77%的物伤，并增加敌人受到的伤害15%，持续3秒）</v>
      </c>
      <c r="T211" s="1"/>
      <c r="U211" s="1"/>
      <c r="V211" s="2" t="str">
        <f>VLOOKUP(COUNTIF($E$194:$E211,$E211),$L$184:$X$193,IF(H211=1,4,IF(H211=4,3,2))+IF(INDEX([1]Sheet1!$1:$1048576,MATCH($E211,[1]Sheet1!$A:$A,0),MATCH("zizhi",[1]Sheet1!$2:$2,0))&gt;=13,0,3)+6,0)</f>
        <v>[]</v>
      </c>
      <c r="W211" s="2" t="str">
        <f t="shared" si="6"/>
        <v>进阶+8：增强AI1技能（棍出如龙，对范围内敌人进行3次攻击，造成自身攻击力77%的物伤，并增加敌人受到的伤害15%，持续3秒）</v>
      </c>
      <c r="X211" s="45" t="str">
        <f t="shared" si="4"/>
        <v>[]</v>
      </c>
      <c r="Y211" s="2"/>
      <c r="Z211" s="2"/>
      <c r="AA211" s="2"/>
    </row>
    <row r="212" spans="1:27">
      <c r="A212" s="10">
        <f>E212*100+COUNTIF($E$194:$E212,$E212)</f>
        <v>121109</v>
      </c>
      <c r="B212" s="68" t="s">
        <v>1899</v>
      </c>
      <c r="C212" s="50" t="s">
        <v>2085</v>
      </c>
      <c r="D212" s="10" t="str">
        <f t="shared" si="10"/>
        <v>[]</v>
      </c>
      <c r="E212" s="45">
        <f>INDEX($I:$I,MATCH($E211,$I:$I,0)+IF(COUNTIF($E$194:$E211,$E211)&lt;=VLOOKUP($E211,$I$134:$K$193,3,0)-1,0,1),0)</f>
        <v>1211</v>
      </c>
      <c r="F212" s="45" t="str">
        <f t="shared" si="5"/>
        <v>斗战胜佛</v>
      </c>
      <c r="H212" s="45">
        <f>VLOOKUP($E212,[1]Sheet1!$A:$G,7,0)</f>
        <v>3</v>
      </c>
      <c r="I212" s="45" t="str">
        <f>IF($G212="","",IF(COUNTIF(技能描述!$D:$D,$F212)&gt;0,VLOOKUP($F212&amp;$G212,技能描述!$A:$C,3,0),LEFT(VLOOKUP($E212,[1]Sheet1!$A:$J,10,0),FIND("_",VLOOKUP($E212,[1]Sheet1!$A:$J,10,0))-1)&amp;$G212))</f>
        <v/>
      </c>
      <c r="J212" s="45" t="str">
        <f>IF($I212="","",VLOOKUP($I212,技能描述!$A:$C,3,0))</f>
        <v/>
      </c>
      <c r="K212" s="45" t="str">
        <f>IF($I212="","",INDEX([2]Sheet1!$1:$1048576,MATCH($I212,[2]Sheet1!$A:$A,0),MATCH("description_damage",[2]Sheet1!$2:$2,0)))</f>
        <v/>
      </c>
      <c r="L212" s="80" t="str">
        <f>IF($K212="","",IF(LEN($K212)-LEN(SUBSTITUTE($K212,",",""))=0,VLOOKUP(INT($K212),[3]Sheet1!$A:$C,3,0),VLOOKUP(INT(LEFT($K212,FIND(",",$K212)-1)),[3]Sheet1!$A:$C,3,0)))</f>
        <v/>
      </c>
      <c r="M212" s="80" t="str">
        <f t="shared" si="11"/>
        <v/>
      </c>
      <c r="N212" s="45" t="str">
        <f>IF(LEN($K212)-LEN(SUBSTITUTE($K212,",",""))=1,VLOOKUP(INT(RIGHT($K212,LEN($K212)-FIND(",",$K212))),[3]Sheet1!$A:$C,3,0),"")</f>
        <v/>
      </c>
      <c r="O212" s="45" t="str">
        <f t="shared" si="7"/>
        <v/>
      </c>
      <c r="P212" s="45" t="str">
        <f t="shared" si="8"/>
        <v/>
      </c>
      <c r="Q212" s="45" t="str">
        <f t="shared" si="9"/>
        <v/>
      </c>
      <c r="R212" s="45"/>
      <c r="S212" s="45" t="str">
        <f>IF(ISERROR($Q212),"进阶+"&amp;COUNTIF($E$194:$E212,$E212)&amp;"："&amp;"找ZC配技能","进阶+"&amp;COUNTIF($E$194:$E212,$E212)&amp;"："&amp;VLOOKUP(COUNTIF($E$194:$E212,$E212),$L$184:$R$193,IF(H212=1,4,IF(H212=4,3,2))+IF(INDEX([1]Sheet1!$1:$1048576,MATCH($E212,[1]Sheet1!$A:$A,0),MATCH("zizhi",[1]Sheet1!$2:$2,0))&gt;=13,0,3),0)&amp;IF($Q212="","","（"&amp;$Q212&amp;"）"))</f>
        <v>进阶+9：全队攻击提高15%</v>
      </c>
      <c r="T212" s="1"/>
      <c r="U212" s="1"/>
      <c r="V212" s="2" t="str">
        <f>VLOOKUP(COUNTIF($E$194:$E212,$E212),$L$184:$X$193,IF(H212=1,4,IF(H212=4,3,2))+IF(INDEX([1]Sheet1!$1:$1048576,MATCH($E212,[1]Sheet1!$A:$A,0),MATCH("zizhi",[1]Sheet1!$2:$2,0))&gt;=13,0,3)+6,0)</f>
        <v>58015</v>
      </c>
      <c r="W212" s="2" t="str">
        <f t="shared" si="6"/>
        <v>进阶+9：全队攻击提高15%</v>
      </c>
      <c r="X212" s="45" t="str">
        <f t="shared" si="4"/>
        <v>58015</v>
      </c>
      <c r="Y212" s="2"/>
      <c r="Z212" s="2"/>
      <c r="AA212" s="2"/>
    </row>
    <row r="213" spans="1:27" ht="33">
      <c r="A213" s="10">
        <f>E213*100+COUNTIF($E$194:$E213,$E213)</f>
        <v>121110</v>
      </c>
      <c r="B213" s="68" t="s">
        <v>1969</v>
      </c>
      <c r="C213" s="50" t="s">
        <v>2</v>
      </c>
      <c r="D213" s="10">
        <f t="shared" si="10"/>
        <v>1</v>
      </c>
      <c r="E213" s="45">
        <f>INDEX($I:$I,MATCH($E212,$I:$I,0)+IF(COUNTIF($E$194:$E212,$E212)&lt;=VLOOKUP($E212,$I$134:$K$193,3,0)-1,0,1),0)</f>
        <v>1211</v>
      </c>
      <c r="F213" s="45" t="str">
        <f t="shared" si="5"/>
        <v>斗战胜佛</v>
      </c>
      <c r="G213" s="45" t="s">
        <v>220</v>
      </c>
      <c r="H213" s="45">
        <f>VLOOKUP($E213,[1]Sheet1!$A:$G,7,0)</f>
        <v>3</v>
      </c>
      <c r="I213" s="45" t="str">
        <f>IF($G213="","",IF(COUNTIF(技能描述!$D:$D,$F213)&gt;0,VLOOKUP($F213&amp;$G213,技能描述!$A:$C,3,0),LEFT(VLOOKUP($E213,[1]Sheet1!$A:$J,10,0),FIND("_",VLOOKUP($E213,[1]Sheet1!$A:$J,10,0))-1)&amp;$G213))</f>
        <v>douzhanshengfo_skill041</v>
      </c>
      <c r="J213" s="45" t="str">
        <f>IF($I213="","",VLOOKUP($I213,技能描述!$A:$C,3,0))</f>
        <v>神挡杀神，对范围内敌人进行7次攻击，造成自身攻击力@s的物伤，必定暴击，造成6秒高级流血效果</v>
      </c>
      <c r="K213" s="45" t="str">
        <f>IF($I213="","",INDEX([2]Sheet1!$1:$1048576,MATCH($I213,[2]Sheet1!$A:$A,0),MATCH("description_damage",[2]Sheet1!$2:$2,0)))</f>
        <v>121109</v>
      </c>
      <c r="L213" s="80" t="str">
        <f>IF($K213="","",IF(LEN($K213)-LEN(SUBSTITUTE($K213,",",""))=0,VLOOKUP(INT($K213),[3]Sheet1!$A:$C,3,0),VLOOKUP(INT(LEFT($K213,FIND(",",$K213)-1)),[3]Sheet1!$A:$C,3,0)))</f>
        <v>2|1|0.33|0|0|0</v>
      </c>
      <c r="M213" s="80" t="str">
        <f t="shared" si="11"/>
        <v>33%</v>
      </c>
      <c r="N213" s="45" t="str">
        <f>IF(LEN($K213)-LEN(SUBSTITUTE($K213,",",""))=1,VLOOKUP(INT(RIGHT($K213,LEN($K213)-FIND(",",$K213))),[3]Sheet1!$A:$C,3,0),"")</f>
        <v/>
      </c>
      <c r="O213" s="45" t="str">
        <f t="shared" si="7"/>
        <v/>
      </c>
      <c r="P213" s="45" t="str">
        <f t="shared" si="8"/>
        <v>神挡杀神，对范围内敌人进行7次攻击，造成自身攻击力33%的物伤，必定暴击，造成6秒高级流血效果</v>
      </c>
      <c r="Q213" s="45" t="str">
        <f t="shared" si="9"/>
        <v>神挡杀神，对范围内敌人进行7次攻击，造成自身攻击力33%的物伤，必定暴击，造成6秒高级流血效果</v>
      </c>
      <c r="R213" s="45"/>
      <c r="S213" s="45" t="str">
        <f>IF(ISERROR($Q213),"进阶+"&amp;COUNTIF($E$194:$E213,$E213)&amp;"："&amp;"找ZC配技能","进阶+"&amp;COUNTIF($E$194:$E213,$E213)&amp;"："&amp;VLOOKUP(COUNTIF($E$194:$E213,$E213),$L$184:$R$193,IF(H213=1,4,IF(H213=4,3,2))+IF(INDEX([1]Sheet1!$1:$1048576,MATCH($E213,[1]Sheet1!$A:$A,0),MATCH("zizhi",[1]Sheet1!$2:$2,0))&gt;=13,0,3),0)&amp;IF($Q213="","","（"&amp;$Q213&amp;"）"))</f>
        <v>进阶+10：增强AI2技能（神挡杀神，对范围内敌人进行7次攻击，造成自身攻击力33%的物伤，必定暴击，造成6秒高级流血效果）</v>
      </c>
      <c r="T213" s="1"/>
      <c r="U213" s="1"/>
      <c r="V213" s="2" t="str">
        <f>VLOOKUP(COUNTIF($E$194:$E213,$E213),$L$184:$X$193,IF(H213=1,4,IF(H213=4,3,2))+IF(INDEX([1]Sheet1!$1:$1048576,MATCH($E213,[1]Sheet1!$A:$A,0),MATCH("zizhi",[1]Sheet1!$2:$2,0))&gt;=13,0,3)+6,0)</f>
        <v>[]</v>
      </c>
      <c r="W213" s="2" t="str">
        <f t="shared" si="6"/>
        <v>进阶+10：增强AI2技能（神挡杀神，对范围内敌人进行7次攻击，造成自身攻击力33%的物伤，必定暴击，造成6秒高级流血效果）</v>
      </c>
      <c r="X213" s="45" t="str">
        <f t="shared" si="4"/>
        <v>[]</v>
      </c>
      <c r="Y213" s="2"/>
      <c r="Z213" s="2"/>
      <c r="AA213" s="2"/>
    </row>
    <row r="214" spans="1:27">
      <c r="A214" s="10">
        <f>E214*100+COUNTIF($E$194:$E214,$E214)</f>
        <v>110101</v>
      </c>
      <c r="B214" s="68" t="s">
        <v>310</v>
      </c>
      <c r="C214" s="50" t="s">
        <v>127</v>
      </c>
      <c r="D214" s="10" t="str">
        <f t="shared" si="10"/>
        <v>[]</v>
      </c>
      <c r="E214" s="45">
        <f>INDEX($I:$I,MATCH($E213,$I:$I,0)+IF(COUNTIF($E$194:$E213,$E213)&lt;=VLOOKUP($E213,$I$134:$K$193,3,0)-1,0,1),0)</f>
        <v>1101</v>
      </c>
      <c r="F214" s="45" t="str">
        <f t="shared" si="5"/>
        <v>二郎神</v>
      </c>
      <c r="H214" s="45">
        <f>VLOOKUP($E214,[1]Sheet1!$A:$G,7,0)</f>
        <v>3</v>
      </c>
      <c r="I214" s="45" t="str">
        <f>IF($G214="","",IF(COUNTIF(技能描述!$D:$D,$F214)&gt;0,VLOOKUP($F214&amp;$G214,技能描述!$A:$C,3,0),LEFT(VLOOKUP($E214,[1]Sheet1!$A:$J,10,0),FIND("_",VLOOKUP($E214,[1]Sheet1!$A:$J,10,0))-1)&amp;$G214))</f>
        <v/>
      </c>
      <c r="J214" s="45" t="str">
        <f>IF($I214="","",VLOOKUP($I214,技能描述!$A:$C,3,0))</f>
        <v/>
      </c>
      <c r="K214" s="45" t="str">
        <f>IF($I214="","",INDEX([2]Sheet1!$1:$1048576,MATCH($I214,[2]Sheet1!$A:$A,0),MATCH("description_damage",[2]Sheet1!$2:$2,0)))</f>
        <v/>
      </c>
      <c r="L214" s="80" t="str">
        <f>IF($K214="","",IF(LEN($K214)-LEN(SUBSTITUTE($K214,",",""))=0,VLOOKUP(INT($K214),[3]Sheet1!$A:$C,3,0),VLOOKUP(INT(LEFT($K214,FIND(",",$K214)-1)),[3]Sheet1!$A:$C,3,0)))</f>
        <v/>
      </c>
      <c r="M214" s="80" t="str">
        <f t="shared" si="11"/>
        <v/>
      </c>
      <c r="N214" s="45" t="str">
        <f>IF(LEN($K214)-LEN(SUBSTITUTE($K214,",",""))=1,VLOOKUP(INT(RIGHT($K214,LEN($K214)-FIND(",",$K214))),[3]Sheet1!$A:$C,3,0),"")</f>
        <v/>
      </c>
      <c r="O214" s="45" t="str">
        <f t="shared" si="7"/>
        <v/>
      </c>
      <c r="P214" s="45" t="str">
        <f t="shared" si="8"/>
        <v/>
      </c>
      <c r="Q214" s="45" t="str">
        <f t="shared" si="9"/>
        <v/>
      </c>
      <c r="R214" s="45"/>
      <c r="S214" s="45" t="str">
        <f>IF(ISERROR($Q214),"进阶+"&amp;COUNTIF($E$194:$E214,$E214)&amp;"："&amp;"找ZC配技能","进阶+"&amp;COUNTIF($E$194:$E214,$E214)&amp;"："&amp;VLOOKUP(COUNTIF($E$194:$E214,$E214),$L$184:$R$193,IF(H214=1,4,IF(H214=4,3,2))+IF(INDEX([1]Sheet1!$1:$1048576,MATCH($E214,[1]Sheet1!$A:$A,0),MATCH("zizhi",[1]Sheet1!$2:$2,0))&gt;=13,0,3),0)&amp;IF($Q214="","","（"&amp;$Q214&amp;"）"))</f>
        <v>进阶+1：攻击提高10%</v>
      </c>
      <c r="T214" s="1"/>
      <c r="U214" s="1"/>
      <c r="V214" s="2" t="str">
        <f>VLOOKUP(COUNTIF($E$194:$E214,$E214),$L$184:$X$193,IF(H214=1,4,IF(H214=4,3,2))+IF(INDEX([1]Sheet1!$1:$1048576,MATCH($E214,[1]Sheet1!$A:$A,0),MATCH("zizhi",[1]Sheet1!$2:$2,0))&gt;=13,0,3)+6,0)</f>
        <v>11050</v>
      </c>
      <c r="W214" s="2" t="str">
        <f t="shared" si="6"/>
        <v>进阶+1：攻击提高10%</v>
      </c>
      <c r="X214" s="45" t="str">
        <f t="shared" si="4"/>
        <v>11050</v>
      </c>
      <c r="Y214" s="2"/>
      <c r="Z214" s="2"/>
      <c r="AA214" s="2"/>
    </row>
    <row r="215" spans="1:27" ht="33">
      <c r="A215" s="10">
        <f>E215*100+COUNTIF($E$194:$E215,$E215)</f>
        <v>110102</v>
      </c>
      <c r="B215" s="68" t="s">
        <v>2092</v>
      </c>
      <c r="C215" s="50" t="s">
        <v>2</v>
      </c>
      <c r="D215" s="10">
        <f t="shared" si="10"/>
        <v>1</v>
      </c>
      <c r="E215" s="45">
        <f>INDEX($I:$I,MATCH($E214,$I:$I,0)+IF(COUNTIF($E$194:$E214,$E214)&lt;=VLOOKUP($E214,$I$134:$K$193,3,0)-1,0,1),0)</f>
        <v>1101</v>
      </c>
      <c r="F215" s="45" t="str">
        <f t="shared" si="5"/>
        <v>二郎神</v>
      </c>
      <c r="G215" s="45" t="s">
        <v>216</v>
      </c>
      <c r="H215" s="45">
        <f>VLOOKUP($E215,[1]Sheet1!$A:$G,7,0)</f>
        <v>3</v>
      </c>
      <c r="I215" s="45" t="str">
        <f>IF($G215="","",IF(COUNTIF(技能描述!$D:$D,$F215)&gt;0,VLOOKUP($F215&amp;$G215,技能描述!$A:$C,3,0),LEFT(VLOOKUP($E215,[1]Sheet1!$A:$J,10,0),FIND("_",VLOOKUP($E215,[1]Sheet1!$A:$J,10,0))-1)&amp;$G215))</f>
        <v>erlangshen_skill03</v>
      </c>
      <c r="J215" s="45" t="str">
        <f>IF($I215="","",VLOOKUP($I215,技能描述!$A:$C,3,0))</f>
        <v>提升自身@s的真实暴击率，且被攻击有概率净化自身不良状态</v>
      </c>
      <c r="K215" s="45" t="str">
        <f>IF($I215="","",INDEX([2]Sheet1!$1:$1048576,MATCH($I215,[2]Sheet1!$A:$A,0),MATCH("description_damage",[2]Sheet1!$2:$2,0)))</f>
        <v>9010</v>
      </c>
      <c r="L215" s="80" t="str">
        <f>IF($K215="","",IF(LEN($K215)-LEN(SUBSTITUTE($K215,",",""))=0,VLOOKUP(INT($K215),[3]Sheet1!$A:$C,3,0),VLOOKUP(INT(LEFT($K215,FIND(",",$K215)-1)),[3]Sheet1!$A:$C,3,0)))</f>
        <v>4|3|0.1|0|1</v>
      </c>
      <c r="M215" s="80" t="str">
        <f t="shared" si="11"/>
        <v>10%</v>
      </c>
      <c r="N215" s="45" t="str">
        <f>IF(LEN($K215)-LEN(SUBSTITUTE($K215,",",""))=1,VLOOKUP(INT(RIGHT($K215,LEN($K215)-FIND(",",$K215))),[3]Sheet1!$A:$C,3,0),"")</f>
        <v/>
      </c>
      <c r="O215" s="45" t="str">
        <f t="shared" si="7"/>
        <v/>
      </c>
      <c r="P215" s="45" t="str">
        <f t="shared" si="8"/>
        <v>提升自身10%的真实暴击率，且被攻击有概率净化自身不良状态</v>
      </c>
      <c r="Q215" s="45" t="str">
        <f t="shared" si="9"/>
        <v>提升自身10%的真实暴击率，且被攻击有概率净化自身不良状态</v>
      </c>
      <c r="R215" s="45"/>
      <c r="S215" s="45" t="str">
        <f>IF(ISERROR($Q215),"进阶+"&amp;COUNTIF($E$194:$E215,$E215)&amp;"："&amp;"找ZC配技能","进阶+"&amp;COUNTIF($E$194:$E215,$E215)&amp;"："&amp;VLOOKUP(COUNTIF($E$194:$E215,$E215),$L$184:$R$193,IF(H215=1,4,IF(H215=4,3,2))+IF(INDEX([1]Sheet1!$1:$1048576,MATCH($E215,[1]Sheet1!$A:$A,0),MATCH("zizhi",[1]Sheet1!$2:$2,0))&gt;=13,0,3),0)&amp;IF($Q215="","","（"&amp;$Q215&amp;"）"))</f>
        <v>进阶+2：激活被动技能（提升自身10%的真实暴击率，且被攻击有概率净化自身不良状态）</v>
      </c>
      <c r="T215" s="1"/>
      <c r="U215" s="1"/>
      <c r="V215" s="2" t="str">
        <f>VLOOKUP(COUNTIF($E$194:$E215,$E215),$L$184:$X$193,IF(H215=1,4,IF(H215=4,3,2))+IF(INDEX([1]Sheet1!$1:$1048576,MATCH($E215,[1]Sheet1!$A:$A,0),MATCH("zizhi",[1]Sheet1!$2:$2,0))&gt;=13,0,3)+6,0)</f>
        <v>[]</v>
      </c>
      <c r="W215" s="2" t="str">
        <f t="shared" si="6"/>
        <v>进阶+2：激活被动技能（提升自身10%的真实暴击率，且被攻击有概率净化自身不良状态）</v>
      </c>
      <c r="X215" s="45" t="str">
        <f t="shared" si="4"/>
        <v>[]</v>
      </c>
      <c r="Y215" s="2"/>
      <c r="Z215" s="2"/>
      <c r="AA215" s="2"/>
    </row>
    <row r="216" spans="1:27">
      <c r="A216" s="10">
        <f>E216*100+COUNTIF($E$194:$E216,$E216)</f>
        <v>110103</v>
      </c>
      <c r="B216" s="68" t="s">
        <v>312</v>
      </c>
      <c r="C216" s="50" t="s">
        <v>127</v>
      </c>
      <c r="D216" s="10" t="str">
        <f t="shared" si="10"/>
        <v>[]</v>
      </c>
      <c r="E216" s="45">
        <f>INDEX($I:$I,MATCH($E215,$I:$I,0)+IF(COUNTIF($E$194:$E215,$E215)&lt;=VLOOKUP($E215,$I$134:$K$193,3,0)-1,0,1),0)</f>
        <v>1101</v>
      </c>
      <c r="F216" s="45" t="str">
        <f t="shared" si="5"/>
        <v>二郎神</v>
      </c>
      <c r="H216" s="45">
        <f>VLOOKUP($E216,[1]Sheet1!$A:$G,7,0)</f>
        <v>3</v>
      </c>
      <c r="I216" s="45" t="str">
        <f>IF($G216="","",IF(COUNTIF(技能描述!$D:$D,$F216)&gt;0,VLOOKUP($F216&amp;$G216,技能描述!$A:$C,3,0),LEFT(VLOOKUP($E216,[1]Sheet1!$A:$J,10,0),FIND("_",VLOOKUP($E216,[1]Sheet1!$A:$J,10,0))-1)&amp;$G216))</f>
        <v/>
      </c>
      <c r="J216" s="45" t="str">
        <f>IF($I216="","",VLOOKUP($I216,技能描述!$A:$C,3,0))</f>
        <v/>
      </c>
      <c r="K216" s="45" t="str">
        <f>IF($I216="","",INDEX([2]Sheet1!$1:$1048576,MATCH($I216,[2]Sheet1!$A:$A,0),MATCH("description_damage",[2]Sheet1!$2:$2,0)))</f>
        <v/>
      </c>
      <c r="L216" s="80" t="str">
        <f>IF($K216="","",IF(LEN($K216)-LEN(SUBSTITUTE($K216,",",""))=0,VLOOKUP(INT($K216),[3]Sheet1!$A:$C,3,0),VLOOKUP(INT(LEFT($K216,FIND(",",$K216)-1)),[3]Sheet1!$A:$C,3,0)))</f>
        <v/>
      </c>
      <c r="M216" s="80" t="str">
        <f t="shared" si="11"/>
        <v/>
      </c>
      <c r="N216" s="45" t="str">
        <f>IF(LEN($K216)-LEN(SUBSTITUTE($K216,",",""))=1,VLOOKUP(INT(RIGHT($K216,LEN($K216)-FIND(",",$K216))),[3]Sheet1!$A:$C,3,0),"")</f>
        <v/>
      </c>
      <c r="O216" s="45" t="str">
        <f t="shared" si="7"/>
        <v/>
      </c>
      <c r="P216" s="45" t="str">
        <f t="shared" si="8"/>
        <v/>
      </c>
      <c r="Q216" s="45" t="str">
        <f t="shared" si="9"/>
        <v/>
      </c>
      <c r="R216" s="45"/>
      <c r="S216" s="45" t="str">
        <f>IF(ISERROR($Q216),"进阶+"&amp;COUNTIF($E$194:$E216,$E216)&amp;"："&amp;"找ZC配技能","进阶+"&amp;COUNTIF($E$194:$E216,$E216)&amp;"："&amp;VLOOKUP(COUNTIF($E$194:$E216,$E216),$L$184:$R$193,IF(H216=1,4,IF(H216=4,3,2))+IF(INDEX([1]Sheet1!$1:$1048576,MATCH($E216,[1]Sheet1!$A:$A,0),MATCH("zizhi",[1]Sheet1!$2:$2,0))&gt;=13,0,3),0)&amp;IF($Q216="","","（"&amp;$Q216&amp;"）"))</f>
        <v>进阶+3：攻击提高10%</v>
      </c>
      <c r="T216" s="1"/>
      <c r="U216" s="1"/>
      <c r="V216" s="2" t="str">
        <f>VLOOKUP(COUNTIF($E$194:$E216,$E216),$L$184:$X$193,IF(H216=1,4,IF(H216=4,3,2))+IF(INDEX([1]Sheet1!$1:$1048576,MATCH($E216,[1]Sheet1!$A:$A,0),MATCH("zizhi",[1]Sheet1!$2:$2,0))&gt;=13,0,3)+6,0)</f>
        <v>11050</v>
      </c>
      <c r="W216" s="2" t="str">
        <f t="shared" si="6"/>
        <v>进阶+3：攻击提高10%</v>
      </c>
      <c r="X216" s="45" t="str">
        <f t="shared" si="4"/>
        <v>11050</v>
      </c>
      <c r="Y216" s="2"/>
      <c r="Z216" s="2"/>
      <c r="AA216" s="2"/>
    </row>
    <row r="217" spans="1:27" ht="33">
      <c r="A217" s="10">
        <f>E217*100+COUNTIF($E$194:$E217,$E217)</f>
        <v>110104</v>
      </c>
      <c r="B217" s="68" t="s">
        <v>1855</v>
      </c>
      <c r="C217" s="50" t="s">
        <v>2</v>
      </c>
      <c r="D217" s="10">
        <f t="shared" si="10"/>
        <v>1</v>
      </c>
      <c r="E217" s="45">
        <f>INDEX($I:$I,MATCH($E216,$I:$I,0)+IF(COUNTIF($E$194:$E216,$E216)&lt;=VLOOKUP($E216,$I$134:$K$193,3,0)-1,0,1),0)</f>
        <v>1101</v>
      </c>
      <c r="F217" s="45" t="str">
        <f t="shared" si="5"/>
        <v>二郎神</v>
      </c>
      <c r="G217" s="45" t="s">
        <v>217</v>
      </c>
      <c r="H217" s="45">
        <f>VLOOKUP($E217,[1]Sheet1!$A:$G,7,0)</f>
        <v>3</v>
      </c>
      <c r="I217" s="45" t="str">
        <f>IF($G217="","",IF(COUNTIF(技能描述!$D:$D,$F217)&gt;0,VLOOKUP($F217&amp;$G217,技能描述!$A:$C,3,0),LEFT(VLOOKUP($E217,[1]Sheet1!$A:$J,10,0),FIND("_",VLOOKUP($E217,[1]Sheet1!$A:$J,10,0))-1)&amp;$G217))</f>
        <v>erlangshen_skill04</v>
      </c>
      <c r="J217" s="45" t="str">
        <f>IF($I217="","",VLOOKUP($I217,技能描述!$A:$C,3,0))</f>
        <v>二郎神舞动长枪对范围内敌人造成自身攻击力@s的物伤，必定暴击，并造成6秒流血效果</v>
      </c>
      <c r="K217" s="45" t="str">
        <f>IF($I217="","",INDEX([2]Sheet1!$1:$1048576,MATCH($I217,[2]Sheet1!$A:$A,0),MATCH("description_damage",[2]Sheet1!$2:$2,0)))</f>
        <v>110106</v>
      </c>
      <c r="L217" s="80" t="str">
        <f>IF($K217="","",IF(LEN($K217)-LEN(SUBSTITUTE($K217,",",""))=0,VLOOKUP(INT($K217),[3]Sheet1!$A:$C,3,0),VLOOKUP(INT(LEFT($K217,FIND(",",$K217)-1)),[3]Sheet1!$A:$C,3,0)))</f>
        <v>2|1|1.65|0|0|0</v>
      </c>
      <c r="M217" s="80" t="str">
        <f t="shared" si="11"/>
        <v>165%</v>
      </c>
      <c r="N217" s="45" t="str">
        <f>IF(LEN($K217)-LEN(SUBSTITUTE($K217,",",""))=1,VLOOKUP(INT(RIGHT($K217,LEN($K217)-FIND(",",$K217))),[3]Sheet1!$A:$C,3,0),"")</f>
        <v/>
      </c>
      <c r="O217" s="45" t="str">
        <f t="shared" si="7"/>
        <v/>
      </c>
      <c r="P217" s="45" t="str">
        <f t="shared" si="8"/>
        <v>二郎神舞动长枪对范围内敌人造成自身攻击力165%的物伤，必定暴击，并造成6秒流血效果</v>
      </c>
      <c r="Q217" s="45" t="str">
        <f t="shared" si="9"/>
        <v>二郎神舞动长枪对范围内敌人造成自身攻击力165%的物伤，必定暴击，并造成6秒流血效果</v>
      </c>
      <c r="R217" s="45"/>
      <c r="S217" s="45" t="str">
        <f>IF(ISERROR($Q217),"进阶+"&amp;COUNTIF($E$194:$E217,$E217)&amp;"："&amp;"找ZC配技能","进阶+"&amp;COUNTIF($E$194:$E217,$E217)&amp;"："&amp;VLOOKUP(COUNTIF($E$194:$E217,$E217),$L$184:$R$193,IF(H217=1,4,IF(H217=4,3,2))+IF(INDEX([1]Sheet1!$1:$1048576,MATCH($E217,[1]Sheet1!$A:$A,0),MATCH("zizhi",[1]Sheet1!$2:$2,0))&gt;=13,0,3),0)&amp;IF($Q217="","","（"&amp;$Q217&amp;"）"))</f>
        <v>进阶+4：激活AI2技能（二郎神舞动长枪对范围内敌人造成自身攻击力165%的物伤，必定暴击，并造成6秒流血效果）</v>
      </c>
      <c r="T217" s="1"/>
      <c r="U217" s="1"/>
      <c r="V217" s="2" t="str">
        <f>VLOOKUP(COUNTIF($E$194:$E217,$E217),$L$184:$X$193,IF(H217=1,4,IF(H217=4,3,2))+IF(INDEX([1]Sheet1!$1:$1048576,MATCH($E217,[1]Sheet1!$A:$A,0),MATCH("zizhi",[1]Sheet1!$2:$2,0))&gt;=13,0,3)+6,0)</f>
        <v>[]</v>
      </c>
      <c r="W217" s="2" t="str">
        <f t="shared" si="6"/>
        <v>进阶+4：激活AI2技能（二郎神舞动长枪对范围内敌人造成自身攻击力165%的物伤，必定暴击，并造成6秒流血效果）</v>
      </c>
      <c r="X217" s="45" t="str">
        <f t="shared" si="4"/>
        <v>[]</v>
      </c>
      <c r="Y217" s="2"/>
      <c r="Z217" s="2"/>
      <c r="AA217" s="2"/>
    </row>
    <row r="218" spans="1:27">
      <c r="A218" s="10">
        <f>E218*100+COUNTIF($E$194:$E218,$E218)</f>
        <v>110105</v>
      </c>
      <c r="B218" s="68" t="s">
        <v>323</v>
      </c>
      <c r="C218" s="50" t="s">
        <v>140</v>
      </c>
      <c r="D218" s="10" t="str">
        <f t="shared" si="10"/>
        <v>[]</v>
      </c>
      <c r="E218" s="45">
        <f>INDEX($I:$I,MATCH($E217,$I:$I,0)+IF(COUNTIF($E$194:$E217,$E217)&lt;=VLOOKUP($E217,$I$134:$K$193,3,0)-1,0,1),0)</f>
        <v>1101</v>
      </c>
      <c r="F218" s="45" t="str">
        <f t="shared" si="5"/>
        <v>二郎神</v>
      </c>
      <c r="H218" s="45">
        <f>VLOOKUP($E218,[1]Sheet1!$A:$G,7,0)</f>
        <v>3</v>
      </c>
      <c r="I218" s="45" t="str">
        <f>IF($G218="","",IF(COUNTIF(技能描述!$D:$D,$F218)&gt;0,VLOOKUP($F218&amp;$G218,技能描述!$A:$C,3,0),LEFT(VLOOKUP($E218,[1]Sheet1!$A:$J,10,0),FIND("_",VLOOKUP($E218,[1]Sheet1!$A:$J,10,0))-1)&amp;$G218))</f>
        <v/>
      </c>
      <c r="J218" s="45" t="str">
        <f>IF($I218="","",VLOOKUP($I218,技能描述!$A:$C,3,0))</f>
        <v/>
      </c>
      <c r="K218" s="45" t="str">
        <f>IF($I218="","",INDEX([2]Sheet1!$1:$1048576,MATCH($I218,[2]Sheet1!$A:$A,0),MATCH("description_damage",[2]Sheet1!$2:$2,0)))</f>
        <v/>
      </c>
      <c r="L218" s="80" t="str">
        <f>IF($K218="","",IF(LEN($K218)-LEN(SUBSTITUTE($K218,",",""))=0,VLOOKUP(INT($K218),[3]Sheet1!$A:$C,3,0),VLOOKUP(INT(LEFT($K218,FIND(",",$K218)-1)),[3]Sheet1!$A:$C,3,0)))</f>
        <v/>
      </c>
      <c r="M218" s="80" t="str">
        <f t="shared" si="11"/>
        <v/>
      </c>
      <c r="N218" s="45" t="str">
        <f>IF(LEN($K218)-LEN(SUBSTITUTE($K218,",",""))=1,VLOOKUP(INT(RIGHT($K218,LEN($K218)-FIND(",",$K218))),[3]Sheet1!$A:$C,3,0),"")</f>
        <v/>
      </c>
      <c r="O218" s="45" t="str">
        <f t="shared" si="7"/>
        <v/>
      </c>
      <c r="P218" s="45" t="str">
        <f t="shared" si="8"/>
        <v/>
      </c>
      <c r="Q218" s="45" t="str">
        <f t="shared" si="9"/>
        <v/>
      </c>
      <c r="R218" s="45"/>
      <c r="S218" s="45" t="str">
        <f>IF(ISERROR($Q218),"进阶+"&amp;COUNTIF($E$194:$E218,$E218)&amp;"："&amp;"找ZC配技能","进阶+"&amp;COUNTIF($E$194:$E218,$E218)&amp;"："&amp;VLOOKUP(COUNTIF($E$194:$E218,$E218),$L$184:$R$193,IF(H218=1,4,IF(H218=4,3,2))+IF(INDEX([1]Sheet1!$1:$1048576,MATCH($E218,[1]Sheet1!$A:$A,0),MATCH("zizhi",[1]Sheet1!$2:$2,0))&gt;=13,0,3),0)&amp;IF($Q218="","","（"&amp;$Q218&amp;"）"))</f>
        <v>进阶+5：生命，防御提高10%</v>
      </c>
      <c r="T218" s="1"/>
      <c r="U218" s="1"/>
      <c r="V218" s="2" t="str">
        <f>VLOOKUP(COUNTIF($E$194:$E218,$E218),$L$184:$X$193,IF(H218=1,4,IF(H218=4,3,2))+IF(INDEX([1]Sheet1!$1:$1048576,MATCH($E218,[1]Sheet1!$A:$A,0),MATCH("zizhi",[1]Sheet1!$2:$2,0))&gt;=13,0,3)+6,0)</f>
        <v>11090,6502,6512</v>
      </c>
      <c r="W218" s="2" t="str">
        <f t="shared" si="6"/>
        <v>进阶+5：生命，防御提高10%</v>
      </c>
      <c r="X218" s="45" t="str">
        <f t="shared" si="4"/>
        <v>11090,6502,6512</v>
      </c>
      <c r="Y218" s="2"/>
      <c r="Z218" s="2"/>
      <c r="AA218" s="2"/>
    </row>
    <row r="219" spans="1:27" ht="49.5">
      <c r="A219" s="10">
        <f>E219*100+COUNTIF($E$194:$E219,$E219)</f>
        <v>110106</v>
      </c>
      <c r="B219" s="68" t="s">
        <v>2093</v>
      </c>
      <c r="C219" s="50" t="s">
        <v>2</v>
      </c>
      <c r="D219" s="10">
        <f t="shared" si="10"/>
        <v>1</v>
      </c>
      <c r="E219" s="45">
        <f>INDEX($I:$I,MATCH($E218,$I:$I,0)+IF(COUNTIF($E$194:$E218,$E218)&lt;=VLOOKUP($E218,$I$134:$K$193,3,0)-1,0,1),0)</f>
        <v>1101</v>
      </c>
      <c r="F219" s="45" t="str">
        <f t="shared" si="5"/>
        <v>二郎神</v>
      </c>
      <c r="G219" s="45" t="s">
        <v>218</v>
      </c>
      <c r="H219" s="45">
        <f>VLOOKUP($E219,[1]Sheet1!$A:$G,7,0)</f>
        <v>3</v>
      </c>
      <c r="I219" s="45" t="str">
        <f>IF($G219="","",IF(COUNTIF(技能描述!$D:$D,$F219)&gt;0,VLOOKUP($F219&amp;$G219,技能描述!$A:$C,3,0),LEFT(VLOOKUP($E219,[1]Sheet1!$A:$J,10,0),FIND("_",VLOOKUP($E219,[1]Sheet1!$A:$J,10,0))-1)&amp;$G219))</f>
        <v>erlangshen_skill011</v>
      </c>
      <c r="J219" s="45" t="str">
        <f>IF($I219="","",VLOOKUP($I219,技能描述!$A:$C,3,0))</f>
        <v>释放二郎真君领域，对敌人进行3次攻击，造成主角攻击力@s的物伤，每次攻击27%的概率昏迷敌人3秒，对流血状态目标暴击率提高20%，对灼烧状态目标无视20%防御</v>
      </c>
      <c r="K219" s="45" t="str">
        <f>IF($I219="","",INDEX([2]Sheet1!$1:$1048576,MATCH($I219,[2]Sheet1!$A:$A,0),MATCH("description_damage",[2]Sheet1!$2:$2,0)))</f>
        <v>110107</v>
      </c>
      <c r="L219" s="80" t="str">
        <f>IF($K219="","",IF(LEN($K219)-LEN(SUBSTITUTE($K219,",",""))=0,VLOOKUP(INT($K219),[3]Sheet1!$A:$C,3,0),VLOOKUP(INT(LEFT($K219,FIND(",",$K219)-1)),[3]Sheet1!$A:$C,3,0)))</f>
        <v>2|1|1.32|0|0|0</v>
      </c>
      <c r="M219" s="80" t="str">
        <f t="shared" si="11"/>
        <v>132%</v>
      </c>
      <c r="N219" s="45" t="str">
        <f>IF(LEN($K219)-LEN(SUBSTITUTE($K219,",",""))=1,VLOOKUP(INT(RIGHT($K219,LEN($K219)-FIND(",",$K219))),[3]Sheet1!$A:$C,3,0),"")</f>
        <v/>
      </c>
      <c r="O219" s="45" t="str">
        <f t="shared" si="7"/>
        <v/>
      </c>
      <c r="P219" s="45" t="str">
        <f t="shared" si="8"/>
        <v>释放二郎真君领域，对敌人进行3次攻击，造成主角攻击力132%的物伤，每次攻击27%的概率昏迷敌人3秒，对流血状态目标暴击率提高20%，对灼烧状态目标无视20%防御</v>
      </c>
      <c r="Q219" s="45" t="str">
        <f t="shared" si="9"/>
        <v>释放二郎真君领域，对敌人进行3次攻击，造成主角攻击力132%的物伤，每次攻击27%的概率昏迷敌人3秒，对流血状态目标暴击率提高20%，对灼烧状态目标无视20%防御</v>
      </c>
      <c r="R219" s="45"/>
      <c r="S219" s="45" t="str">
        <f>IF(ISERROR($Q219),"进阶+"&amp;COUNTIF($E$194:$E219,$E219)&amp;"："&amp;"找ZC配技能","进阶+"&amp;COUNTIF($E$194:$E219,$E219)&amp;"："&amp;VLOOKUP(COUNTIF($E$194:$E219,$E219),$L$184:$R$193,IF(H219=1,4,IF(H219=4,3,2))+IF(INDEX([1]Sheet1!$1:$1048576,MATCH($E219,[1]Sheet1!$A:$A,0),MATCH("zizhi",[1]Sheet1!$2:$2,0))&gt;=13,0,3),0)&amp;IF($Q219="","","（"&amp;$Q219&amp;"）"))</f>
        <v>进阶+6：增强主角技能（释放二郎真君领域，对敌人进行3次攻击，造成主角攻击力132%的物伤，每次攻击27%的概率昏迷敌人3秒，对流血状态目标暴击率提高20%，对灼烧状态目标无视20%防御）</v>
      </c>
      <c r="T219" s="1"/>
      <c r="U219" s="1"/>
      <c r="V219" s="2" t="str">
        <f>VLOOKUP(COUNTIF($E$194:$E219,$E219),$L$184:$X$193,IF(H219=1,4,IF(H219=4,3,2))+IF(INDEX([1]Sheet1!$1:$1048576,MATCH($E219,[1]Sheet1!$A:$A,0),MATCH("zizhi",[1]Sheet1!$2:$2,0))&gt;=13,0,3)+6,0)</f>
        <v>[]</v>
      </c>
      <c r="W219" s="2" t="str">
        <f t="shared" si="6"/>
        <v>进阶+6：增强主角技能（释放二郎真君领域，对敌人进行3次攻击，造成主角攻击力132%的物伤，每次攻击27%的概率昏迷敌人3秒，对流血状态目标暴击率提高20%，对灼烧状态目标无视20%防御）</v>
      </c>
      <c r="X219" s="45" t="str">
        <f t="shared" si="4"/>
        <v>[]</v>
      </c>
      <c r="Y219" s="2"/>
      <c r="Z219" s="2"/>
      <c r="AA219" s="2"/>
    </row>
    <row r="220" spans="1:27">
      <c r="A220" s="10">
        <f>E220*100+COUNTIF($E$194:$E220,$E220)</f>
        <v>110107</v>
      </c>
      <c r="B220" s="68" t="s">
        <v>359</v>
      </c>
      <c r="C220" s="50" t="s">
        <v>353</v>
      </c>
      <c r="D220" s="10" t="str">
        <f t="shared" si="10"/>
        <v>[]</v>
      </c>
      <c r="E220" s="45">
        <f>INDEX($I:$I,MATCH($E219,$I:$I,0)+IF(COUNTIF($E$194:$E219,$E219)&lt;=VLOOKUP($E219,$I$134:$K$193,3,0)-1,0,1),0)</f>
        <v>1101</v>
      </c>
      <c r="F220" s="45" t="str">
        <f t="shared" si="5"/>
        <v>二郎神</v>
      </c>
      <c r="H220" s="45">
        <f>VLOOKUP($E220,[1]Sheet1!$A:$G,7,0)</f>
        <v>3</v>
      </c>
      <c r="I220" s="45" t="str">
        <f>IF($G220="","",IF(COUNTIF(技能描述!$D:$D,$F220)&gt;0,VLOOKUP($F220&amp;$G220,技能描述!$A:$C,3,0),LEFT(VLOOKUP($E220,[1]Sheet1!$A:$J,10,0),FIND("_",VLOOKUP($E220,[1]Sheet1!$A:$J,10,0))-1)&amp;$G220))</f>
        <v/>
      </c>
      <c r="J220" s="45" t="str">
        <f>IF($I220="","",VLOOKUP($I220,技能描述!$A:$C,3,0))</f>
        <v/>
      </c>
      <c r="K220" s="45" t="str">
        <f>IF($I220="","",INDEX([2]Sheet1!$1:$1048576,MATCH($I220,[2]Sheet1!$A:$A,0),MATCH("description_damage",[2]Sheet1!$2:$2,0)))</f>
        <v/>
      </c>
      <c r="L220" s="80" t="str">
        <f>IF($K220="","",IF(LEN($K220)-LEN(SUBSTITUTE($K220,",",""))=0,VLOOKUP(INT($K220),[3]Sheet1!$A:$C,3,0),VLOOKUP(INT(LEFT($K220,FIND(",",$K220)-1)),[3]Sheet1!$A:$C,3,0)))</f>
        <v/>
      </c>
      <c r="M220" s="80" t="str">
        <f t="shared" si="11"/>
        <v/>
      </c>
      <c r="N220" s="45" t="str">
        <f>IF(LEN($K220)-LEN(SUBSTITUTE($K220,",",""))=1,VLOOKUP(INT(RIGHT($K220,LEN($K220)-FIND(",",$K220))),[3]Sheet1!$A:$C,3,0),"")</f>
        <v/>
      </c>
      <c r="O220" s="45" t="str">
        <f t="shared" si="7"/>
        <v/>
      </c>
      <c r="P220" s="45" t="str">
        <f t="shared" si="8"/>
        <v/>
      </c>
      <c r="Q220" s="45" t="str">
        <f t="shared" si="9"/>
        <v/>
      </c>
      <c r="R220" s="45"/>
      <c r="S220" s="45" t="str">
        <f>IF(ISERROR($Q220),"进阶+"&amp;COUNTIF($E$194:$E220,$E220)&amp;"："&amp;"找ZC配技能","进阶+"&amp;COUNTIF($E$194:$E220,$E220)&amp;"："&amp;VLOOKUP(COUNTIF($E$194:$E220,$E220),$L$184:$R$193,IF(H220=1,4,IF(H220=4,3,2))+IF(INDEX([1]Sheet1!$1:$1048576,MATCH($E220,[1]Sheet1!$A:$A,0),MATCH("zizhi",[1]Sheet1!$2:$2,0))&gt;=13,0,3),0)&amp;IF($Q220="","","（"&amp;$Q220&amp;"）"))</f>
        <v>进阶+7：全队攻击提高10%</v>
      </c>
      <c r="T220" s="1"/>
      <c r="U220" s="1"/>
      <c r="V220" s="2" t="str">
        <f>VLOOKUP(COUNTIF($E$194:$E220,$E220),$L$184:$X$193,IF(H220=1,4,IF(H220=4,3,2))+IF(INDEX([1]Sheet1!$1:$1048576,MATCH($E220,[1]Sheet1!$A:$A,0),MATCH("zizhi",[1]Sheet1!$2:$2,0))&gt;=13,0,3)+6,0)</f>
        <v>58010</v>
      </c>
      <c r="W220" s="2" t="str">
        <f t="shared" si="6"/>
        <v>进阶+7：全队攻击提高10%</v>
      </c>
      <c r="X220" s="45" t="str">
        <f t="shared" si="4"/>
        <v>58010</v>
      </c>
      <c r="Y220" s="2"/>
      <c r="Z220" s="2"/>
      <c r="AA220" s="2"/>
    </row>
    <row r="221" spans="1:27" ht="33">
      <c r="A221" s="10">
        <f>E221*100+COUNTIF($E$194:$E221,$E221)</f>
        <v>110108</v>
      </c>
      <c r="B221" s="68" t="s">
        <v>1987</v>
      </c>
      <c r="C221" s="50" t="s">
        <v>2</v>
      </c>
      <c r="D221" s="10">
        <f t="shared" si="10"/>
        <v>1</v>
      </c>
      <c r="E221" s="45">
        <f>INDEX($I:$I,MATCH($E220,$I:$I,0)+IF(COUNTIF($E$194:$E220,$E220)&lt;=VLOOKUP($E220,$I$134:$K$193,3,0)-1,0,1),0)</f>
        <v>1101</v>
      </c>
      <c r="F221" s="45" t="str">
        <f t="shared" si="5"/>
        <v>二郎神</v>
      </c>
      <c r="G221" s="45" t="s">
        <v>219</v>
      </c>
      <c r="H221" s="45">
        <f>VLOOKUP($E221,[1]Sheet1!$A:$G,7,0)</f>
        <v>3</v>
      </c>
      <c r="I221" s="45" t="str">
        <f>IF($G221="","",IF(COUNTIF(技能描述!$D:$D,$F221)&gt;0,VLOOKUP($F221&amp;$G221,技能描述!$A:$C,3,0),LEFT(VLOOKUP($E221,[1]Sheet1!$A:$J,10,0),FIND("_",VLOOKUP($E221,[1]Sheet1!$A:$J,10,0))-1)&amp;$G221))</f>
        <v>erlangshen_skill021</v>
      </c>
      <c r="J221" s="45" t="str">
        <f>IF($I221="","",VLOOKUP($I221,技能描述!$A:$C,3,0))</f>
        <v>二郎神用天眼发射激光对范围内敌军进行2次攻击，造成自身攻击力@s的物伤，并提升敌军所受伤害@s，持续3秒</v>
      </c>
      <c r="K221" s="45" t="str">
        <f>IF($I221="","",INDEX([2]Sheet1!$1:$1048576,MATCH($I221,[2]Sheet1!$A:$A,0),MATCH("description_damage",[2]Sheet1!$2:$2,0)))</f>
        <v>110108,9015</v>
      </c>
      <c r="L221" s="80" t="str">
        <f>IF($K221="","",IF(LEN($K221)-LEN(SUBSTITUTE($K221,",",""))=0,VLOOKUP(INT($K221),[3]Sheet1!$A:$C,3,0),VLOOKUP(INT(LEFT($K221,FIND(",",$K221)-1)),[3]Sheet1!$A:$C,3,0)))</f>
        <v>2|1|1.16|0|0|0</v>
      </c>
      <c r="M221" s="80" t="str">
        <f t="shared" si="11"/>
        <v>116%</v>
      </c>
      <c r="N221" s="45" t="str">
        <f>IF(LEN($K221)-LEN(SUBSTITUTE($K221,",",""))=1,VLOOKUP(INT(RIGHT($K221,LEN($K221)-FIND(",",$K221))),[3]Sheet1!$A:$C,3,0),"")</f>
        <v>4|3|0.15|0|1</v>
      </c>
      <c r="O221" s="45" t="str">
        <f t="shared" si="7"/>
        <v>15%</v>
      </c>
      <c r="P221" s="45" t="str">
        <f t="shared" si="8"/>
        <v>二郎神用天眼发射激光对范围内敌军进行2次攻击，造成自身攻击力116%的物伤，并提升敌军所受伤害@s，持续3秒</v>
      </c>
      <c r="Q221" s="45" t="str">
        <f t="shared" si="9"/>
        <v>二郎神用天眼发射激光对范围内敌军进行2次攻击，造成自身攻击力116%的物伤，并提升敌军所受伤害15%，持续3秒</v>
      </c>
      <c r="R221" s="45"/>
      <c r="S221" s="45" t="str">
        <f>IF(ISERROR($Q221),"进阶+"&amp;COUNTIF($E$194:$E221,$E221)&amp;"："&amp;"找ZC配技能","进阶+"&amp;COUNTIF($E$194:$E221,$E221)&amp;"："&amp;VLOOKUP(COUNTIF($E$194:$E221,$E221),$L$184:$R$193,IF(H221=1,4,IF(H221=4,3,2))+IF(INDEX([1]Sheet1!$1:$1048576,MATCH($E221,[1]Sheet1!$A:$A,0),MATCH("zizhi",[1]Sheet1!$2:$2,0))&gt;=13,0,3),0)&amp;IF($Q221="","","（"&amp;$Q221&amp;"）"))</f>
        <v>进阶+8：增强AI1技能（二郎神用天眼发射激光对范围内敌军进行2次攻击，造成自身攻击力116%的物伤，并提升敌军所受伤害15%，持续3秒）</v>
      </c>
      <c r="T221" s="1"/>
      <c r="U221" s="1"/>
      <c r="V221" s="2" t="str">
        <f>VLOOKUP(COUNTIF($E$194:$E221,$E221),$L$184:$X$193,IF(H221=1,4,IF(H221=4,3,2))+IF(INDEX([1]Sheet1!$1:$1048576,MATCH($E221,[1]Sheet1!$A:$A,0),MATCH("zizhi",[1]Sheet1!$2:$2,0))&gt;=13,0,3)+6,0)</f>
        <v>[]</v>
      </c>
      <c r="W221" s="2" t="str">
        <f t="shared" si="6"/>
        <v>进阶+8：增强AI1技能（二郎神用天眼发射激光对范围内敌军进行2次攻击，造成自身攻击力116%的物伤，并提升敌军所受伤害15%，持续3秒）</v>
      </c>
      <c r="X221" s="45" t="str">
        <f t="shared" si="4"/>
        <v>[]</v>
      </c>
      <c r="Y221" s="2"/>
      <c r="Z221" s="2"/>
      <c r="AA221" s="2"/>
    </row>
    <row r="222" spans="1:27">
      <c r="A222" s="10">
        <f>E222*100+COUNTIF($E$194:$E222,$E222)</f>
        <v>110109</v>
      </c>
      <c r="B222" s="68" t="s">
        <v>1899</v>
      </c>
      <c r="C222" s="50" t="s">
        <v>2085</v>
      </c>
      <c r="D222" s="10" t="str">
        <f t="shared" si="10"/>
        <v>[]</v>
      </c>
      <c r="E222" s="45">
        <f>INDEX($I:$I,MATCH($E221,$I:$I,0)+IF(COUNTIF($E$194:$E221,$E221)&lt;=VLOOKUP($E221,$I$134:$K$193,3,0)-1,0,1),0)</f>
        <v>1101</v>
      </c>
      <c r="F222" s="45" t="str">
        <f t="shared" si="5"/>
        <v>二郎神</v>
      </c>
      <c r="H222" s="45">
        <f>VLOOKUP($E222,[1]Sheet1!$A:$G,7,0)</f>
        <v>3</v>
      </c>
      <c r="I222" s="45" t="str">
        <f>IF($G222="","",IF(COUNTIF(技能描述!$D:$D,$F222)&gt;0,VLOOKUP($F222&amp;$G222,技能描述!$A:$C,3,0),LEFT(VLOOKUP($E222,[1]Sheet1!$A:$J,10,0),FIND("_",VLOOKUP($E222,[1]Sheet1!$A:$J,10,0))-1)&amp;$G222))</f>
        <v/>
      </c>
      <c r="J222" s="45" t="str">
        <f>IF($I222="","",VLOOKUP($I222,技能描述!$A:$C,3,0))</f>
        <v/>
      </c>
      <c r="K222" s="45" t="str">
        <f>IF($I222="","",INDEX([2]Sheet1!$1:$1048576,MATCH($I222,[2]Sheet1!$A:$A,0),MATCH("description_damage",[2]Sheet1!$2:$2,0)))</f>
        <v/>
      </c>
      <c r="L222" s="80" t="str">
        <f>IF($K222="","",IF(LEN($K222)-LEN(SUBSTITUTE($K222,",",""))=0,VLOOKUP(INT($K222),[3]Sheet1!$A:$C,3,0),VLOOKUP(INT(LEFT($K222,FIND(",",$K222)-1)),[3]Sheet1!$A:$C,3,0)))</f>
        <v/>
      </c>
      <c r="M222" s="80" t="str">
        <f t="shared" si="11"/>
        <v/>
      </c>
      <c r="N222" s="45" t="str">
        <f>IF(LEN($K222)-LEN(SUBSTITUTE($K222,",",""))=1,VLOOKUP(INT(RIGHT($K222,LEN($K222)-FIND(",",$K222))),[3]Sheet1!$A:$C,3,0),"")</f>
        <v/>
      </c>
      <c r="O222" s="45" t="str">
        <f t="shared" si="7"/>
        <v/>
      </c>
      <c r="P222" s="45" t="str">
        <f t="shared" si="8"/>
        <v/>
      </c>
      <c r="Q222" s="45" t="str">
        <f t="shared" si="9"/>
        <v/>
      </c>
      <c r="R222" s="45"/>
      <c r="S222" s="45" t="str">
        <f>IF(ISERROR($Q222),"进阶+"&amp;COUNTIF($E$194:$E222,$E222)&amp;"："&amp;"找ZC配技能","进阶+"&amp;COUNTIF($E$194:$E222,$E222)&amp;"："&amp;VLOOKUP(COUNTIF($E$194:$E222,$E222),$L$184:$R$193,IF(H222=1,4,IF(H222=4,3,2))+IF(INDEX([1]Sheet1!$1:$1048576,MATCH($E222,[1]Sheet1!$A:$A,0),MATCH("zizhi",[1]Sheet1!$2:$2,0))&gt;=13,0,3),0)&amp;IF($Q222="","","（"&amp;$Q222&amp;"）"))</f>
        <v>进阶+9：全队攻击提高15%</v>
      </c>
      <c r="T222" s="1"/>
      <c r="U222" s="1"/>
      <c r="V222" s="2" t="str">
        <f>VLOOKUP(COUNTIF($E$194:$E222,$E222),$L$184:$X$193,IF(H222=1,4,IF(H222=4,3,2))+IF(INDEX([1]Sheet1!$1:$1048576,MATCH($E222,[1]Sheet1!$A:$A,0),MATCH("zizhi",[1]Sheet1!$2:$2,0))&gt;=13,0,3)+6,0)</f>
        <v>58015</v>
      </c>
      <c r="W222" s="2" t="str">
        <f t="shared" si="6"/>
        <v>进阶+9：全队攻击提高15%</v>
      </c>
      <c r="X222" s="45" t="str">
        <f t="shared" si="4"/>
        <v>58015</v>
      </c>
      <c r="Y222" s="2"/>
      <c r="Z222" s="2"/>
      <c r="AA222" s="2"/>
    </row>
    <row r="223" spans="1:27" ht="33">
      <c r="A223" s="10">
        <f>E223*100+COUNTIF($E$194:$E223,$E223)</f>
        <v>110110</v>
      </c>
      <c r="B223" s="68" t="s">
        <v>1901</v>
      </c>
      <c r="C223" s="50" t="s">
        <v>2</v>
      </c>
      <c r="D223" s="10">
        <f t="shared" si="10"/>
        <v>1</v>
      </c>
      <c r="E223" s="45">
        <f>INDEX($I:$I,MATCH($E222,$I:$I,0)+IF(COUNTIF($E$194:$E222,$E222)&lt;=VLOOKUP($E222,$I$134:$K$193,3,0)-1,0,1),0)</f>
        <v>1101</v>
      </c>
      <c r="F223" s="45" t="str">
        <f t="shared" si="5"/>
        <v>二郎神</v>
      </c>
      <c r="G223" s="45" t="s">
        <v>220</v>
      </c>
      <c r="H223" s="45">
        <f>VLOOKUP($E223,[1]Sheet1!$A:$G,7,0)</f>
        <v>3</v>
      </c>
      <c r="I223" s="45" t="str">
        <f>IF($G223="","",IF(COUNTIF(技能描述!$D:$D,$F223)&gt;0,VLOOKUP($F223&amp;$G223,技能描述!$A:$C,3,0),LEFT(VLOOKUP($E223,[1]Sheet1!$A:$J,10,0),FIND("_",VLOOKUP($E223,[1]Sheet1!$A:$J,10,0))-1)&amp;$G223))</f>
        <v>erlangshen_skill041</v>
      </c>
      <c r="J223" s="45" t="str">
        <f>IF($I223="","",VLOOKUP($I223,技能描述!$A:$C,3,0))</f>
        <v>二郎神舞动长枪对范围内敌人造成自身攻击力@s的物伤，必定暴击，并造成6秒高级流血效果</v>
      </c>
      <c r="K223" s="45" t="str">
        <f>IF($I223="","",INDEX([2]Sheet1!$1:$1048576,MATCH($I223,[2]Sheet1!$A:$A,0),MATCH("description_damage",[2]Sheet1!$2:$2,0)))</f>
        <v>110109</v>
      </c>
      <c r="L223" s="80" t="str">
        <f>IF($K223="","",IF(LEN($K223)-LEN(SUBSTITUTE($K223,",",""))=0,VLOOKUP(INT($K223),[3]Sheet1!$A:$C,3,0),VLOOKUP(INT(LEFT($K223,FIND(",",$K223)-1)),[3]Sheet1!$A:$C,3,0)))</f>
        <v>2|1|2.31|0|0|0</v>
      </c>
      <c r="M223" s="80" t="str">
        <f t="shared" si="11"/>
        <v>231%</v>
      </c>
      <c r="N223" s="45" t="str">
        <f>IF(LEN($K223)-LEN(SUBSTITUTE($K223,",",""))=1,VLOOKUP(INT(RIGHT($K223,LEN($K223)-FIND(",",$K223))),[3]Sheet1!$A:$C,3,0),"")</f>
        <v/>
      </c>
      <c r="O223" s="45" t="str">
        <f t="shared" si="7"/>
        <v/>
      </c>
      <c r="P223" s="45" t="str">
        <f t="shared" si="8"/>
        <v>二郎神舞动长枪对范围内敌人造成自身攻击力231%的物伤，必定暴击，并造成6秒高级流血效果</v>
      </c>
      <c r="Q223" s="45" t="str">
        <f t="shared" si="9"/>
        <v>二郎神舞动长枪对范围内敌人造成自身攻击力231%的物伤，必定暴击，并造成6秒高级流血效果</v>
      </c>
      <c r="R223" s="45"/>
      <c r="S223" s="45" t="str">
        <f>IF(ISERROR($Q223),"进阶+"&amp;COUNTIF($E$194:$E223,$E223)&amp;"："&amp;"找ZC配技能","进阶+"&amp;COUNTIF($E$194:$E223,$E223)&amp;"："&amp;VLOOKUP(COUNTIF($E$194:$E223,$E223),$L$184:$R$193,IF(H223=1,4,IF(H223=4,3,2))+IF(INDEX([1]Sheet1!$1:$1048576,MATCH($E223,[1]Sheet1!$A:$A,0),MATCH("zizhi",[1]Sheet1!$2:$2,0))&gt;=13,0,3),0)&amp;IF($Q223="","","（"&amp;$Q223&amp;"）"))</f>
        <v>进阶+10：增强AI2技能（二郎神舞动长枪对范围内敌人造成自身攻击力231%的物伤，必定暴击，并造成6秒高级流血效果）</v>
      </c>
      <c r="T223" s="1"/>
      <c r="U223" s="1"/>
      <c r="V223" s="2" t="str">
        <f>VLOOKUP(COUNTIF($E$194:$E223,$E223),$L$184:$X$193,IF(H223=1,4,IF(H223=4,3,2))+IF(INDEX([1]Sheet1!$1:$1048576,MATCH($E223,[1]Sheet1!$A:$A,0),MATCH("zizhi",[1]Sheet1!$2:$2,0))&gt;=13,0,3)+6,0)</f>
        <v>[]</v>
      </c>
      <c r="W223" s="2" t="str">
        <f t="shared" si="6"/>
        <v>进阶+10：增强AI2技能（二郎神舞动长枪对范围内敌人造成自身攻击力231%的物伤，必定暴击，并造成6秒高级流血效果）</v>
      </c>
      <c r="X223" s="45" t="str">
        <f t="shared" si="4"/>
        <v>[]</v>
      </c>
      <c r="Y223" s="2"/>
      <c r="Z223" s="2"/>
      <c r="AA223" s="2"/>
    </row>
    <row r="224" spans="1:27">
      <c r="A224" s="10">
        <f>E224*100+COUNTIF($E$194:$E224,$E224)</f>
        <v>110801</v>
      </c>
      <c r="B224" s="68" t="s">
        <v>319</v>
      </c>
      <c r="C224" s="50" t="s">
        <v>2086</v>
      </c>
      <c r="D224" s="10" t="str">
        <f t="shared" si="10"/>
        <v>[]</v>
      </c>
      <c r="E224" s="45">
        <f>INDEX($I:$I,MATCH($E223,$I:$I,0)+IF(COUNTIF($E$194:$E223,$E223)&lt;=VLOOKUP($E223,$I$134:$K$193,3,0)-1,0,1),0)</f>
        <v>1108</v>
      </c>
      <c r="F224" s="45" t="str">
        <f t="shared" si="5"/>
        <v>托塔天王</v>
      </c>
      <c r="H224" s="45">
        <f>VLOOKUP($E224,[1]Sheet1!$A:$G,7,0)</f>
        <v>4</v>
      </c>
      <c r="I224" s="45" t="str">
        <f>IF($G224="","",IF(COUNTIF(技能描述!$D:$D,$F224)&gt;0,VLOOKUP($F224&amp;$G224,技能描述!$A:$C,3,0),LEFT(VLOOKUP($E224,[1]Sheet1!$A:$J,10,0),FIND("_",VLOOKUP($E224,[1]Sheet1!$A:$J,10,0))-1)&amp;$G224))</f>
        <v/>
      </c>
      <c r="J224" s="45" t="str">
        <f>IF($I224="","",VLOOKUP($I224,技能描述!$A:$C,3,0))</f>
        <v/>
      </c>
      <c r="K224" s="45" t="str">
        <f>IF($I224="","",INDEX([2]Sheet1!$1:$1048576,MATCH($I224,[2]Sheet1!$A:$A,0),MATCH("description_damage",[2]Sheet1!$2:$2,0)))</f>
        <v/>
      </c>
      <c r="L224" s="80" t="str">
        <f>IF($K224="","",IF(LEN($K224)-LEN(SUBSTITUTE($K224,",",""))=0,VLOOKUP(INT($K224),[3]Sheet1!$A:$C,3,0),VLOOKUP(INT(LEFT($K224,FIND(",",$K224)-1)),[3]Sheet1!$A:$C,3,0)))</f>
        <v/>
      </c>
      <c r="M224" s="80" t="str">
        <f t="shared" si="11"/>
        <v/>
      </c>
      <c r="N224" s="45" t="str">
        <f>IF(LEN($K224)-LEN(SUBSTITUTE($K224,",",""))=1,VLOOKUP(INT(RIGHT($K224,LEN($K224)-FIND(",",$K224))),[3]Sheet1!$A:$C,3,0),"")</f>
        <v/>
      </c>
      <c r="O224" s="45" t="str">
        <f t="shared" si="7"/>
        <v/>
      </c>
      <c r="P224" s="45" t="str">
        <f t="shared" si="8"/>
        <v/>
      </c>
      <c r="Q224" s="45" t="str">
        <f t="shared" si="9"/>
        <v/>
      </c>
      <c r="R224" s="45"/>
      <c r="S224" s="45" t="str">
        <f>IF(ISERROR($Q224),"进阶+"&amp;COUNTIF($E$194:$E224,$E224)&amp;"："&amp;"找ZC配技能","进阶+"&amp;COUNTIF($E$194:$E224,$E224)&amp;"："&amp;VLOOKUP(COUNTIF($E$194:$E224,$E224),$L$184:$R$193,IF(H224=1,4,IF(H224=4,3,2))+IF(INDEX([1]Sheet1!$1:$1048576,MATCH($E224,[1]Sheet1!$A:$A,0),MATCH("zizhi",[1]Sheet1!$2:$2,0))&gt;=13,0,3),0)&amp;IF($Q224="","","（"&amp;$Q224&amp;"）"))</f>
        <v>进阶+1：生命提高10%</v>
      </c>
      <c r="T224" s="1"/>
      <c r="U224" s="1"/>
      <c r="V224" s="2" t="str">
        <f>VLOOKUP(COUNTIF($E$194:$E224,$E224),$L$184:$X$193,IF(H224=1,4,IF(H224=4,3,2))+IF(INDEX([1]Sheet1!$1:$1048576,MATCH($E224,[1]Sheet1!$A:$A,0),MATCH("zizhi",[1]Sheet1!$2:$2,0))&gt;=13,0,3)+6,0)</f>
        <v>11090</v>
      </c>
      <c r="W224" s="2" t="str">
        <f t="shared" si="6"/>
        <v>进阶+1：生命提高10%</v>
      </c>
      <c r="X224" s="45" t="str">
        <f t="shared" si="4"/>
        <v>11090</v>
      </c>
      <c r="Y224" s="2"/>
      <c r="Z224" s="2"/>
      <c r="AA224" s="2"/>
    </row>
    <row r="225" spans="1:27">
      <c r="A225" s="10">
        <f>E225*100+COUNTIF($E$194:$E225,$E225)</f>
        <v>110802</v>
      </c>
      <c r="B225" s="68" t="s">
        <v>330</v>
      </c>
      <c r="C225" s="50" t="s">
        <v>2</v>
      </c>
      <c r="D225" s="10">
        <f t="shared" si="10"/>
        <v>1</v>
      </c>
      <c r="E225" s="45">
        <f>INDEX($I:$I,MATCH($E224,$I:$I,0)+IF(COUNTIF($E$194:$E224,$E224)&lt;=VLOOKUP($E224,$I$134:$K$193,3,0)-1,0,1),0)</f>
        <v>1108</v>
      </c>
      <c r="F225" s="45" t="str">
        <f t="shared" si="5"/>
        <v>托塔天王</v>
      </c>
      <c r="G225" s="45" t="s">
        <v>216</v>
      </c>
      <c r="H225" s="45">
        <f>VLOOKUP($E225,[1]Sheet1!$A:$G,7,0)</f>
        <v>4</v>
      </c>
      <c r="I225" s="45" t="str">
        <f>IF($G225="","",IF(COUNTIF(技能描述!$D:$D,$F225)&gt;0,VLOOKUP($F225&amp;$G225,技能描述!$A:$C,3,0),LEFT(VLOOKUP($E225,[1]Sheet1!$A:$J,10,0),FIND("_",VLOOKUP($E225,[1]Sheet1!$A:$J,10,0))-1)&amp;$G225))</f>
        <v>tuotatianwang_skill03</v>
      </c>
      <c r="J225" s="45" t="str">
        <f>IF($I225="","",VLOOKUP($I225,技能描述!$A:$C,3,0))</f>
        <v>进入战斗场景时，降低自身受到伤害@s</v>
      </c>
      <c r="K225" s="45" t="str">
        <f>IF($I225="","",INDEX([2]Sheet1!$1:$1048576,MATCH($I225,[2]Sheet1!$A:$A,0),MATCH("description_damage",[2]Sheet1!$2:$2,0)))</f>
        <v>9020</v>
      </c>
      <c r="L225" s="80" t="str">
        <f>IF($K225="","",IF(LEN($K225)-LEN(SUBSTITUTE($K225,",",""))=0,VLOOKUP(INT($K225),[3]Sheet1!$A:$C,3,0),VLOOKUP(INT(LEFT($K225,FIND(",",$K225)-1)),[3]Sheet1!$A:$C,3,0)))</f>
        <v>4|3|0.2|0|1</v>
      </c>
      <c r="M225" s="80" t="str">
        <f t="shared" si="11"/>
        <v>20%</v>
      </c>
      <c r="N225" s="45" t="str">
        <f>IF(LEN($K225)-LEN(SUBSTITUTE($K225,",",""))=1,VLOOKUP(INT(RIGHT($K225,LEN($K225)-FIND(",",$K225))),[3]Sheet1!$A:$C,3,0),"")</f>
        <v/>
      </c>
      <c r="O225" s="45" t="str">
        <f t="shared" si="7"/>
        <v/>
      </c>
      <c r="P225" s="45" t="str">
        <f t="shared" si="8"/>
        <v>进入战斗场景时，降低自身受到伤害20%</v>
      </c>
      <c r="Q225" s="45" t="str">
        <f t="shared" si="9"/>
        <v>进入战斗场景时，降低自身受到伤害20%</v>
      </c>
      <c r="R225" s="45"/>
      <c r="S225" s="45" t="str">
        <f>IF(ISERROR($Q225),"进阶+"&amp;COUNTIF($E$194:$E225,$E225)&amp;"："&amp;"找ZC配技能","进阶+"&amp;COUNTIF($E$194:$E225,$E225)&amp;"："&amp;VLOOKUP(COUNTIF($E$194:$E225,$E225),$L$184:$R$193,IF(H225=1,4,IF(H225=4,3,2))+IF(INDEX([1]Sheet1!$1:$1048576,MATCH($E225,[1]Sheet1!$A:$A,0),MATCH("zizhi",[1]Sheet1!$2:$2,0))&gt;=13,0,3),0)&amp;IF($Q225="","","（"&amp;$Q225&amp;"）"))</f>
        <v>进阶+2：激活被动技能（进入战斗场景时，降低自身受到伤害20%）</v>
      </c>
      <c r="T225" s="1"/>
      <c r="U225" s="1"/>
      <c r="V225" s="2" t="str">
        <f>VLOOKUP(COUNTIF($E$194:$E225,$E225),$L$184:$X$193,IF(H225=1,4,IF(H225=4,3,2))+IF(INDEX([1]Sheet1!$1:$1048576,MATCH($E225,[1]Sheet1!$A:$A,0),MATCH("zizhi",[1]Sheet1!$2:$2,0))&gt;=13,0,3)+6,0)</f>
        <v>[]</v>
      </c>
      <c r="W225" s="2" t="str">
        <f t="shared" si="6"/>
        <v>进阶+2：激活被动技能（进入战斗场景时，降低自身受到伤害20%）</v>
      </c>
      <c r="X225" s="45" t="str">
        <f t="shared" si="4"/>
        <v>[]</v>
      </c>
      <c r="Y225" s="2"/>
      <c r="Z225" s="2"/>
      <c r="AA225" s="2"/>
    </row>
    <row r="226" spans="1:27">
      <c r="A226" s="10">
        <f>E226*100+COUNTIF($E$194:$E226,$E226)</f>
        <v>110803</v>
      </c>
      <c r="B226" s="68" t="s">
        <v>324</v>
      </c>
      <c r="C226" s="50" t="s">
        <v>140</v>
      </c>
      <c r="D226" s="10" t="str">
        <f t="shared" si="10"/>
        <v>[]</v>
      </c>
      <c r="E226" s="45">
        <f>INDEX($I:$I,MATCH($E225,$I:$I,0)+IF(COUNTIF($E$194:$E225,$E225)&lt;=VLOOKUP($E225,$I$134:$K$193,3,0)-1,0,1),0)</f>
        <v>1108</v>
      </c>
      <c r="F226" s="45" t="str">
        <f t="shared" si="5"/>
        <v>托塔天王</v>
      </c>
      <c r="H226" s="45">
        <f>VLOOKUP($E226,[1]Sheet1!$A:$G,7,0)</f>
        <v>4</v>
      </c>
      <c r="I226" s="45" t="str">
        <f>IF($G226="","",IF(COUNTIF(技能描述!$D:$D,$F226)&gt;0,VLOOKUP($F226&amp;$G226,技能描述!$A:$C,3,0),LEFT(VLOOKUP($E226,[1]Sheet1!$A:$J,10,0),FIND("_",VLOOKUP($E226,[1]Sheet1!$A:$J,10,0))-1)&amp;$G226))</f>
        <v/>
      </c>
      <c r="J226" s="45" t="str">
        <f>IF($I226="","",VLOOKUP($I226,技能描述!$A:$C,3,0))</f>
        <v/>
      </c>
      <c r="K226" s="45" t="str">
        <f>IF($I226="","",INDEX([2]Sheet1!$1:$1048576,MATCH($I226,[2]Sheet1!$A:$A,0),MATCH("description_damage",[2]Sheet1!$2:$2,0)))</f>
        <v/>
      </c>
      <c r="L226" s="80" t="str">
        <f>IF($K226="","",IF(LEN($K226)-LEN(SUBSTITUTE($K226,",",""))=0,VLOOKUP(INT($K226),[3]Sheet1!$A:$C,3,0),VLOOKUP(INT(LEFT($K226,FIND(",",$K226)-1)),[3]Sheet1!$A:$C,3,0)))</f>
        <v/>
      </c>
      <c r="M226" s="80" t="str">
        <f t="shared" si="11"/>
        <v/>
      </c>
      <c r="N226" s="45" t="str">
        <f>IF(LEN($K226)-LEN(SUBSTITUTE($K226,",",""))=1,VLOOKUP(INT(RIGHT($K226,LEN($K226)-FIND(",",$K226))),[3]Sheet1!$A:$C,3,0),"")</f>
        <v/>
      </c>
      <c r="O226" s="45" t="str">
        <f t="shared" si="7"/>
        <v/>
      </c>
      <c r="P226" s="45" t="str">
        <f t="shared" si="8"/>
        <v/>
      </c>
      <c r="Q226" s="45" t="str">
        <f t="shared" si="9"/>
        <v/>
      </c>
      <c r="R226" s="45"/>
      <c r="S226" s="45" t="str">
        <f>IF(ISERROR($Q226),"进阶+"&amp;COUNTIF($E$194:$E226,$E226)&amp;"："&amp;"找ZC配技能","进阶+"&amp;COUNTIF($E$194:$E226,$E226)&amp;"："&amp;VLOOKUP(COUNTIF($E$194:$E226,$E226),$L$184:$R$193,IF(H226=1,4,IF(H226=4,3,2))+IF(INDEX([1]Sheet1!$1:$1048576,MATCH($E226,[1]Sheet1!$A:$A,0),MATCH("zizhi",[1]Sheet1!$2:$2,0))&gt;=13,0,3),0)&amp;IF($Q226="","","（"&amp;$Q226&amp;"）"))</f>
        <v>进阶+3：生命，防御提高10%</v>
      </c>
      <c r="T226" s="1"/>
      <c r="U226" s="1"/>
      <c r="V226" s="2" t="str">
        <f>VLOOKUP(COUNTIF($E$194:$E226,$E226),$L$184:$X$193,IF(H226=1,4,IF(H226=4,3,2))+IF(INDEX([1]Sheet1!$1:$1048576,MATCH($E226,[1]Sheet1!$A:$A,0),MATCH("zizhi",[1]Sheet1!$2:$2,0))&gt;=13,0,3)+6,0)</f>
        <v>11090,6502,6512</v>
      </c>
      <c r="W226" s="2" t="str">
        <f t="shared" si="6"/>
        <v>进阶+3：生命，防御提高10%</v>
      </c>
      <c r="X226" s="45" t="str">
        <f t="shared" si="4"/>
        <v>11090,6502,6512</v>
      </c>
      <c r="Y226" s="2"/>
      <c r="Z226" s="2"/>
      <c r="AA226" s="2"/>
    </row>
    <row r="227" spans="1:27" ht="33">
      <c r="A227" s="10">
        <f>E227*100+COUNTIF($E$194:$E227,$E227)</f>
        <v>110804</v>
      </c>
      <c r="B227" s="68" t="s">
        <v>1856</v>
      </c>
      <c r="C227" s="50" t="s">
        <v>2</v>
      </c>
      <c r="D227" s="10">
        <f t="shared" si="10"/>
        <v>1</v>
      </c>
      <c r="E227" s="45">
        <f>INDEX($I:$I,MATCH($E226,$I:$I,0)+IF(COUNTIF($E$194:$E226,$E226)&lt;=VLOOKUP($E226,$I$134:$K$193,3,0)-1,0,1),0)</f>
        <v>1108</v>
      </c>
      <c r="F227" s="45" t="str">
        <f t="shared" si="5"/>
        <v>托塔天王</v>
      </c>
      <c r="G227" s="45" t="s">
        <v>217</v>
      </c>
      <c r="H227" s="45">
        <f>VLOOKUP($E227,[1]Sheet1!$A:$G,7,0)</f>
        <v>4</v>
      </c>
      <c r="I227" s="45" t="str">
        <f>IF($G227="","",IF(COUNTIF(技能描述!$D:$D,$F227)&gt;0,VLOOKUP($F227&amp;$G227,技能描述!$A:$C,3,0),LEFT(VLOOKUP($E227,[1]Sheet1!$A:$J,10,0),FIND("_",VLOOKUP($E227,[1]Sheet1!$A:$J,10,0))-1)&amp;$G227))</f>
        <v>tuotatianwang_skill04</v>
      </c>
      <c r="J227" s="45" t="str">
        <f>IF($I227="","",VLOOKUP($I227,技能描述!$A:$C,3,0))</f>
        <v>托塔天王用宝塔镇压敌军，对范围内敌人造成自身攻击力@s的伤害，30%概率眩晕对手2秒</v>
      </c>
      <c r="K227" s="45" t="str">
        <f>IF($I227="","",INDEX([2]Sheet1!$1:$1048576,MATCH($I227,[2]Sheet1!$A:$A,0),MATCH("description_damage",[2]Sheet1!$2:$2,0)))</f>
        <v>110806,9010</v>
      </c>
      <c r="L227" s="80" t="str">
        <f>IF($K227="","",IF(LEN($K227)-LEN(SUBSTITUTE($K227,",",""))=0,VLOOKUP(INT($K227),[3]Sheet1!$A:$C,3,0),VLOOKUP(INT(LEFT($K227,FIND(",",$K227)-1)),[3]Sheet1!$A:$C,3,0)))</f>
        <v>2|2|1.5|0|0|0</v>
      </c>
      <c r="M227" s="80" t="str">
        <f t="shared" si="11"/>
        <v>150%</v>
      </c>
      <c r="N227" s="45" t="str">
        <f>IF(LEN($K227)-LEN(SUBSTITUTE($K227,",",""))=1,VLOOKUP(INT(RIGHT($K227,LEN($K227)-FIND(",",$K227))),[3]Sheet1!$A:$C,3,0),"")</f>
        <v>4|3|0.1|0|1</v>
      </c>
      <c r="O227" s="45" t="str">
        <f t="shared" si="7"/>
        <v>10%</v>
      </c>
      <c r="P227" s="45" t="str">
        <f t="shared" si="8"/>
        <v>托塔天王用宝塔镇压敌军，对范围内敌人造成自身攻击力150%的伤害，30%概率眩晕对手2秒</v>
      </c>
      <c r="Q227" s="45" t="str">
        <f t="shared" si="9"/>
        <v>托塔天王用宝塔镇压敌军，对范围内敌人造成自身攻击力150%的伤害，30%概率眩晕对手2秒</v>
      </c>
      <c r="R227" s="45"/>
      <c r="S227" s="45" t="str">
        <f>IF(ISERROR($Q227),"进阶+"&amp;COUNTIF($E$194:$E227,$E227)&amp;"："&amp;"找ZC配技能","进阶+"&amp;COUNTIF($E$194:$E227,$E227)&amp;"："&amp;VLOOKUP(COUNTIF($E$194:$E227,$E227),$L$184:$R$193,IF(H227=1,4,IF(H227=4,3,2))+IF(INDEX([1]Sheet1!$1:$1048576,MATCH($E227,[1]Sheet1!$A:$A,0),MATCH("zizhi",[1]Sheet1!$2:$2,0))&gt;=13,0,3),0)&amp;IF($Q227="","","（"&amp;$Q227&amp;"）"))</f>
        <v>进阶+4：激活AI2技能（托塔天王用宝塔镇压敌军，对范围内敌人造成自身攻击力150%的伤害，30%概率眩晕对手2秒）</v>
      </c>
      <c r="T227" s="1"/>
      <c r="U227" s="1"/>
      <c r="V227" s="2" t="str">
        <f>VLOOKUP(COUNTIF($E$194:$E227,$E227),$L$184:$X$193,IF(H227=1,4,IF(H227=4,3,2))+IF(INDEX([1]Sheet1!$1:$1048576,MATCH($E227,[1]Sheet1!$A:$A,0),MATCH("zizhi",[1]Sheet1!$2:$2,0))&gt;=13,0,3)+6,0)</f>
        <v>[]</v>
      </c>
      <c r="W227" s="2" t="str">
        <f t="shared" si="6"/>
        <v>进阶+4：激活AI2技能（托塔天王用宝塔镇压敌军，对范围内敌人造成自身攻击力150%的伤害，30%概率眩晕对手2秒）</v>
      </c>
      <c r="X227" s="45" t="str">
        <f t="shared" si="4"/>
        <v>[]</v>
      </c>
      <c r="Y227" s="2"/>
      <c r="Z227" s="2"/>
      <c r="AA227" s="2"/>
    </row>
    <row r="228" spans="1:27">
      <c r="A228" s="10">
        <f>E228*100+COUNTIF($E$194:$E228,$E228)</f>
        <v>110805</v>
      </c>
      <c r="B228" s="68" t="s">
        <v>320</v>
      </c>
      <c r="C228" s="50" t="s">
        <v>239</v>
      </c>
      <c r="D228" s="10" t="str">
        <f t="shared" si="10"/>
        <v>[]</v>
      </c>
      <c r="E228" s="45">
        <f>INDEX($I:$I,MATCH($E227,$I:$I,0)+IF(COUNTIF($E$194:$E227,$E227)&lt;=VLOOKUP($E227,$I$134:$K$193,3,0)-1,0,1),0)</f>
        <v>1108</v>
      </c>
      <c r="F228" s="45" t="str">
        <f t="shared" si="5"/>
        <v>托塔天王</v>
      </c>
      <c r="H228" s="45">
        <f>VLOOKUP($E228,[1]Sheet1!$A:$G,7,0)</f>
        <v>4</v>
      </c>
      <c r="I228" s="45" t="str">
        <f>IF($G228="","",IF(COUNTIF(技能描述!$D:$D,$F228)&gt;0,VLOOKUP($F228&amp;$G228,技能描述!$A:$C,3,0),LEFT(VLOOKUP($E228,[1]Sheet1!$A:$J,10,0),FIND("_",VLOOKUP($E228,[1]Sheet1!$A:$J,10,0))-1)&amp;$G228))</f>
        <v/>
      </c>
      <c r="J228" s="45" t="str">
        <f>IF($I228="","",VLOOKUP($I228,技能描述!$A:$C,3,0))</f>
        <v/>
      </c>
      <c r="K228" s="45" t="str">
        <f>IF($I228="","",INDEX([2]Sheet1!$1:$1048576,MATCH($I228,[2]Sheet1!$A:$A,0),MATCH("description_damage",[2]Sheet1!$2:$2,0)))</f>
        <v/>
      </c>
      <c r="L228" s="80" t="str">
        <f>IF($K228="","",IF(LEN($K228)-LEN(SUBSTITUTE($K228,",",""))=0,VLOOKUP(INT($K228),[3]Sheet1!$A:$C,3,0),VLOOKUP(INT(LEFT($K228,FIND(",",$K228)-1)),[3]Sheet1!$A:$C,3,0)))</f>
        <v/>
      </c>
      <c r="M228" s="80" t="str">
        <f t="shared" si="11"/>
        <v/>
      </c>
      <c r="N228" s="45" t="str">
        <f>IF(LEN($K228)-LEN(SUBSTITUTE($K228,",",""))=1,VLOOKUP(INT(RIGHT($K228,LEN($K228)-FIND(",",$K228))),[3]Sheet1!$A:$C,3,0),"")</f>
        <v/>
      </c>
      <c r="O228" s="45" t="str">
        <f t="shared" si="7"/>
        <v/>
      </c>
      <c r="P228" s="45" t="str">
        <f t="shared" si="8"/>
        <v/>
      </c>
      <c r="Q228" s="45" t="str">
        <f t="shared" si="9"/>
        <v/>
      </c>
      <c r="R228" s="45"/>
      <c r="S228" s="45" t="str">
        <f>IF(ISERROR($Q228),"进阶+"&amp;COUNTIF($E$194:$E228,$E228)&amp;"："&amp;"找ZC配技能","进阶+"&amp;COUNTIF($E$194:$E228,$E228)&amp;"："&amp;VLOOKUP(COUNTIF($E$194:$E228,$E228),$L$184:$R$193,IF(H228=1,4,IF(H228=4,3,2))+IF(INDEX([1]Sheet1!$1:$1048576,MATCH($E228,[1]Sheet1!$A:$A,0),MATCH("zizhi",[1]Sheet1!$2:$2,0))&gt;=13,0,3),0)&amp;IF($Q228="","","（"&amp;$Q228&amp;"）"))</f>
        <v>进阶+5：攻击提高15%</v>
      </c>
      <c r="T228" s="1"/>
      <c r="U228" s="1"/>
      <c r="V228" s="2" t="str">
        <f>VLOOKUP(COUNTIF($E$194:$E228,$E228),$L$184:$X$193,IF(H228=1,4,IF(H228=4,3,2))+IF(INDEX([1]Sheet1!$1:$1048576,MATCH($E228,[1]Sheet1!$A:$A,0),MATCH("zizhi",[1]Sheet1!$2:$2,0))&gt;=13,0,3)+6,0)</f>
        <v>11055</v>
      </c>
      <c r="W228" s="2" t="str">
        <f t="shared" si="6"/>
        <v>进阶+5：攻击提高15%</v>
      </c>
      <c r="X228" s="45" t="str">
        <f t="shared" si="4"/>
        <v>11055</v>
      </c>
      <c r="Y228" s="2"/>
      <c r="Z228" s="2"/>
      <c r="AA228" s="2"/>
    </row>
    <row r="229" spans="1:27" ht="33">
      <c r="A229" s="10">
        <f>E229*100+COUNTIF($E$194:$E229,$E229)</f>
        <v>110806</v>
      </c>
      <c r="B229" s="68" t="s">
        <v>1988</v>
      </c>
      <c r="C229" s="50" t="s">
        <v>2</v>
      </c>
      <c r="D229" s="10">
        <f t="shared" si="10"/>
        <v>1</v>
      </c>
      <c r="E229" s="45">
        <f>INDEX($I:$I,MATCH($E228,$I:$I,0)+IF(COUNTIF($E$194:$E228,$E228)&lt;=VLOOKUP($E228,$I$134:$K$193,3,0)-1,0,1),0)</f>
        <v>1108</v>
      </c>
      <c r="F229" s="45" t="str">
        <f t="shared" si="5"/>
        <v>托塔天王</v>
      </c>
      <c r="G229" s="45" t="s">
        <v>218</v>
      </c>
      <c r="H229" s="45">
        <f>VLOOKUP($E229,[1]Sheet1!$A:$G,7,0)</f>
        <v>4</v>
      </c>
      <c r="I229" s="45" t="str">
        <f>IF($G229="","",IF(COUNTIF(技能描述!$D:$D,$F229)&gt;0,VLOOKUP($F229&amp;$G229,技能描述!$A:$C,3,0),LEFT(VLOOKUP($E229,[1]Sheet1!$A:$J,10,0),FIND("_",VLOOKUP($E229,[1]Sheet1!$A:$J,10,0))-1)&amp;$G229))</f>
        <v>tuotatianwang_skill011</v>
      </c>
      <c r="J229" s="45" t="str">
        <f>IF($I229="","",VLOOKUP($I229,技能描述!$A:$C,3,0))</f>
        <v>召唤玲珑宝塔笼罩所有友军，降低全体友军受到伤害@s，有50%概率给目标增加5层格挡，持续3秒</v>
      </c>
      <c r="K229" s="45" t="str">
        <f>IF($I229="","",INDEX([2]Sheet1!$1:$1048576,MATCH($I229,[2]Sheet1!$A:$A,0),MATCH("description_damage",[2]Sheet1!$2:$2,0)))</f>
        <v>9040</v>
      </c>
      <c r="L229" s="80" t="str">
        <f>IF($K229="","",IF(LEN($K229)-LEN(SUBSTITUTE($K229,",",""))=0,VLOOKUP(INT($K229),[3]Sheet1!$A:$C,3,0),VLOOKUP(INT(LEFT($K229,FIND(",",$K229)-1)),[3]Sheet1!$A:$C,3,0)))</f>
        <v>4|3|0.4|0|1</v>
      </c>
      <c r="M229" s="80" t="str">
        <f t="shared" si="11"/>
        <v>40%</v>
      </c>
      <c r="N229" s="45" t="str">
        <f>IF(LEN($K229)-LEN(SUBSTITUTE($K229,",",""))=1,VLOOKUP(INT(RIGHT($K229,LEN($K229)-FIND(",",$K229))),[3]Sheet1!$A:$C,3,0),"")</f>
        <v/>
      </c>
      <c r="O229" s="45" t="str">
        <f t="shared" si="7"/>
        <v/>
      </c>
      <c r="P229" s="45" t="str">
        <f t="shared" si="8"/>
        <v>召唤玲珑宝塔笼罩所有友军，降低全体友军受到伤害40%，有50%概率给目标增加5层格挡，持续3秒</v>
      </c>
      <c r="Q229" s="45" t="str">
        <f t="shared" si="9"/>
        <v>召唤玲珑宝塔笼罩所有友军，降低全体友军受到伤害40%，有50%概率给目标增加5层格挡，持续3秒</v>
      </c>
      <c r="R229" s="45"/>
      <c r="S229" s="45" t="str">
        <f>IF(ISERROR($Q229),"进阶+"&amp;COUNTIF($E$194:$E229,$E229)&amp;"："&amp;"找ZC配技能","进阶+"&amp;COUNTIF($E$194:$E229,$E229)&amp;"："&amp;VLOOKUP(COUNTIF($E$194:$E229,$E229),$L$184:$R$193,IF(H229=1,4,IF(H229=4,3,2))+IF(INDEX([1]Sheet1!$1:$1048576,MATCH($E229,[1]Sheet1!$A:$A,0),MATCH("zizhi",[1]Sheet1!$2:$2,0))&gt;=13,0,3),0)&amp;IF($Q229="","","（"&amp;$Q229&amp;"）"))</f>
        <v>进阶+6：增强主角技能（召唤玲珑宝塔笼罩所有友军，降低全体友军受到伤害40%，有50%概率给目标增加5层格挡，持续3秒）</v>
      </c>
      <c r="T229" s="1"/>
      <c r="U229" s="1"/>
      <c r="V229" s="2" t="str">
        <f>VLOOKUP(COUNTIF($E$194:$E229,$E229),$L$184:$X$193,IF(H229=1,4,IF(H229=4,3,2))+IF(INDEX([1]Sheet1!$1:$1048576,MATCH($E229,[1]Sheet1!$A:$A,0),MATCH("zizhi",[1]Sheet1!$2:$2,0))&gt;=13,0,3)+6,0)</f>
        <v>[]</v>
      </c>
      <c r="W229" s="2" t="str">
        <f t="shared" si="6"/>
        <v>进阶+6：增强主角技能（召唤玲珑宝塔笼罩所有友军，降低全体友军受到伤害40%，有50%概率给目标增加5层格挡，持续3秒）</v>
      </c>
      <c r="X229" s="45" t="str">
        <f t="shared" si="4"/>
        <v>[]</v>
      </c>
      <c r="Y229" s="2"/>
      <c r="Z229" s="2"/>
      <c r="AA229" s="2"/>
    </row>
    <row r="230" spans="1:27">
      <c r="A230" s="10">
        <f>E230*100+COUNTIF($E$194:$E230,$E230)</f>
        <v>110807</v>
      </c>
      <c r="B230" s="68" t="s">
        <v>360</v>
      </c>
      <c r="C230" s="50" t="s">
        <v>354</v>
      </c>
      <c r="D230" s="10" t="str">
        <f t="shared" si="10"/>
        <v>[]</v>
      </c>
      <c r="E230" s="45">
        <f>INDEX($I:$I,MATCH($E229,$I:$I,0)+IF(COUNTIF($E$194:$E229,$E229)&lt;=VLOOKUP($E229,$I$134:$K$193,3,0)-1,0,1),0)</f>
        <v>1108</v>
      </c>
      <c r="F230" s="45" t="str">
        <f t="shared" si="5"/>
        <v>托塔天王</v>
      </c>
      <c r="H230" s="45">
        <f>VLOOKUP($E230,[1]Sheet1!$A:$G,7,0)</f>
        <v>4</v>
      </c>
      <c r="I230" s="45" t="str">
        <f>IF($G230="","",IF(COUNTIF(技能描述!$D:$D,$F230)&gt;0,VLOOKUP($F230&amp;$G230,技能描述!$A:$C,3,0),LEFT(VLOOKUP($E230,[1]Sheet1!$A:$J,10,0),FIND("_",VLOOKUP($E230,[1]Sheet1!$A:$J,10,0))-1)&amp;$G230))</f>
        <v/>
      </c>
      <c r="J230" s="45" t="str">
        <f>IF($I230="","",VLOOKUP($I230,技能描述!$A:$C,3,0))</f>
        <v/>
      </c>
      <c r="K230" s="45" t="str">
        <f>IF($I230="","",INDEX([2]Sheet1!$1:$1048576,MATCH($I230,[2]Sheet1!$A:$A,0),MATCH("description_damage",[2]Sheet1!$2:$2,0)))</f>
        <v/>
      </c>
      <c r="L230" s="80" t="str">
        <f>IF($K230="","",IF(LEN($K230)-LEN(SUBSTITUTE($K230,",",""))=0,VLOOKUP(INT($K230),[3]Sheet1!$A:$C,3,0),VLOOKUP(INT(LEFT($K230,FIND(",",$K230)-1)),[3]Sheet1!$A:$C,3,0)))</f>
        <v/>
      </c>
      <c r="M230" s="80" t="str">
        <f t="shared" si="11"/>
        <v/>
      </c>
      <c r="N230" s="45" t="str">
        <f>IF(LEN($K230)-LEN(SUBSTITUTE($K230,",",""))=1,VLOOKUP(INT(RIGHT($K230,LEN($K230)-FIND(",",$K230))),[3]Sheet1!$A:$C,3,0),"")</f>
        <v/>
      </c>
      <c r="O230" s="45" t="str">
        <f t="shared" si="7"/>
        <v/>
      </c>
      <c r="P230" s="45" t="str">
        <f t="shared" si="8"/>
        <v/>
      </c>
      <c r="Q230" s="45" t="str">
        <f t="shared" si="9"/>
        <v/>
      </c>
      <c r="R230" s="45"/>
      <c r="S230" s="45" t="str">
        <f>IF(ISERROR($Q230),"进阶+"&amp;COUNTIF($E$194:$E230,$E230)&amp;"："&amp;"找ZC配技能","进阶+"&amp;COUNTIF($E$194:$E230,$E230)&amp;"："&amp;VLOOKUP(COUNTIF($E$194:$E230,$E230),$L$184:$R$193,IF(H230=1,4,IF(H230=4,3,2))+IF(INDEX([1]Sheet1!$1:$1048576,MATCH($E230,[1]Sheet1!$A:$A,0),MATCH("zizhi",[1]Sheet1!$2:$2,0))&gt;=13,0,3),0)&amp;IF($Q230="","","（"&amp;$Q230&amp;"）"))</f>
        <v>进阶+7：全队生命，防御提高10%</v>
      </c>
      <c r="T230" s="1"/>
      <c r="U230" s="1"/>
      <c r="V230" s="2" t="str">
        <f>VLOOKUP(COUNTIF($E$194:$E230,$E230),$L$184:$X$193,IF(H230=1,4,IF(H230=4,3,2))+IF(INDEX([1]Sheet1!$1:$1048576,MATCH($E230,[1]Sheet1!$A:$A,0),MATCH("zizhi",[1]Sheet1!$2:$2,0))&gt;=13,0,3)+6,0)</f>
        <v>57010,59010,60010</v>
      </c>
      <c r="W230" s="2" t="str">
        <f t="shared" si="6"/>
        <v>进阶+7：全队生命，防御提高10%</v>
      </c>
      <c r="X230" s="45" t="str">
        <f t="shared" si="4"/>
        <v>57010,59010,60010</v>
      </c>
      <c r="Y230" s="2"/>
      <c r="Z230" s="2"/>
      <c r="AA230" s="2"/>
    </row>
    <row r="231" spans="1:27" ht="33">
      <c r="A231" s="10">
        <f>E231*100+COUNTIF($E$194:$E231,$E231)</f>
        <v>110808</v>
      </c>
      <c r="B231" s="68" t="s">
        <v>1989</v>
      </c>
      <c r="C231" s="50" t="s">
        <v>2</v>
      </c>
      <c r="D231" s="10">
        <f t="shared" si="10"/>
        <v>1</v>
      </c>
      <c r="E231" s="45">
        <f>INDEX($I:$I,MATCH($E230,$I:$I,0)+IF(COUNTIF($E$194:$E230,$E230)&lt;=VLOOKUP($E230,$I$134:$K$193,3,0)-1,0,1),0)</f>
        <v>1108</v>
      </c>
      <c r="F231" s="45" t="str">
        <f t="shared" si="5"/>
        <v>托塔天王</v>
      </c>
      <c r="G231" s="45" t="s">
        <v>219</v>
      </c>
      <c r="H231" s="45">
        <f>VLOOKUP($E231,[1]Sheet1!$A:$G,7,0)</f>
        <v>4</v>
      </c>
      <c r="I231" s="45" t="str">
        <f>IF($G231="","",IF(COUNTIF(技能描述!$D:$D,$F231)&gt;0,VLOOKUP($F231&amp;$G231,技能描述!$A:$C,3,0),LEFT(VLOOKUP($E231,[1]Sheet1!$A:$J,10,0),FIND("_",VLOOKUP($E231,[1]Sheet1!$A:$J,10,0))-1)&amp;$G231))</f>
        <v>tuotatianwang_skill021</v>
      </c>
      <c r="J231" s="45" t="str">
        <f>IF($I231="","",VLOOKUP($I231,技能描述!$A:$C,3,0))</f>
        <v>托塔天王释放自身天王之力形成护盾，提升自身防御力@s，进入霸体状态，持续3秒</v>
      </c>
      <c r="K231" s="45" t="str">
        <f>IF($I231="","",INDEX([2]Sheet1!$1:$1048576,MATCH($I231,[2]Sheet1!$A:$A,0),MATCH("description_damage",[2]Sheet1!$2:$2,0)))</f>
        <v>9040</v>
      </c>
      <c r="L231" s="80" t="str">
        <f>IF($K231="","",IF(LEN($K231)-LEN(SUBSTITUTE($K231,",",""))=0,VLOOKUP(INT($K231),[3]Sheet1!$A:$C,3,0),VLOOKUP(INT(LEFT($K231,FIND(",",$K231)-1)),[3]Sheet1!$A:$C,3,0)))</f>
        <v>4|3|0.4|0|1</v>
      </c>
      <c r="M231" s="80" t="str">
        <f t="shared" si="11"/>
        <v>40%</v>
      </c>
      <c r="N231" s="45" t="str">
        <f>IF(LEN($K231)-LEN(SUBSTITUTE($K231,",",""))=1,VLOOKUP(INT(RIGHT($K231,LEN($K231)-FIND(",",$K231))),[3]Sheet1!$A:$C,3,0),"")</f>
        <v/>
      </c>
      <c r="O231" s="45" t="str">
        <f t="shared" si="7"/>
        <v/>
      </c>
      <c r="P231" s="45" t="str">
        <f t="shared" si="8"/>
        <v>托塔天王释放自身天王之力形成护盾，提升自身防御力40%，进入霸体状态，持续3秒</v>
      </c>
      <c r="Q231" s="45" t="str">
        <f t="shared" si="9"/>
        <v>托塔天王释放自身天王之力形成护盾，提升自身防御力40%，进入霸体状态，持续3秒</v>
      </c>
      <c r="R231" s="45"/>
      <c r="S231" s="45" t="str">
        <f>IF(ISERROR($Q231),"进阶+"&amp;COUNTIF($E$194:$E231,$E231)&amp;"："&amp;"找ZC配技能","进阶+"&amp;COUNTIF($E$194:$E231,$E231)&amp;"："&amp;VLOOKUP(COUNTIF($E$194:$E231,$E231),$L$184:$R$193,IF(H231=1,4,IF(H231=4,3,2))+IF(INDEX([1]Sheet1!$1:$1048576,MATCH($E231,[1]Sheet1!$A:$A,0),MATCH("zizhi",[1]Sheet1!$2:$2,0))&gt;=13,0,3),0)&amp;IF($Q231="","","（"&amp;$Q231&amp;"）"))</f>
        <v>进阶+8：增强AI1技能（托塔天王释放自身天王之力形成护盾，提升自身防御力40%，进入霸体状态，持续3秒）</v>
      </c>
      <c r="T231" s="1"/>
      <c r="U231" s="1"/>
      <c r="V231" s="2" t="str">
        <f>VLOOKUP(COUNTIF($E$194:$E231,$E231),$L$184:$X$193,IF(H231=1,4,IF(H231=4,3,2))+IF(INDEX([1]Sheet1!$1:$1048576,MATCH($E231,[1]Sheet1!$A:$A,0),MATCH("zizhi",[1]Sheet1!$2:$2,0))&gt;=13,0,3)+6,0)</f>
        <v>[]</v>
      </c>
      <c r="W231" s="2" t="str">
        <f t="shared" si="6"/>
        <v>进阶+8：增强AI1技能（托塔天王释放自身天王之力形成护盾，提升自身防御力40%，进入霸体状态，持续3秒）</v>
      </c>
      <c r="X231" s="45" t="str">
        <f t="shared" si="4"/>
        <v>[]</v>
      </c>
      <c r="Y231" s="2"/>
      <c r="Z231" s="2"/>
      <c r="AA231" s="2"/>
    </row>
    <row r="232" spans="1:27">
      <c r="A232" s="10">
        <f>E232*100+COUNTIF($E$194:$E232,$E232)</f>
        <v>110809</v>
      </c>
      <c r="B232" s="68" t="s">
        <v>1902</v>
      </c>
      <c r="C232" s="50" t="s">
        <v>357</v>
      </c>
      <c r="D232" s="10" t="str">
        <f t="shared" si="10"/>
        <v>[]</v>
      </c>
      <c r="E232" s="45">
        <f>INDEX($I:$I,MATCH($E231,$I:$I,0)+IF(COUNTIF($E$194:$E231,$E231)&lt;=VLOOKUP($E231,$I$134:$K$193,3,0)-1,0,1),0)</f>
        <v>1108</v>
      </c>
      <c r="F232" s="45" t="str">
        <f t="shared" si="5"/>
        <v>托塔天王</v>
      </c>
      <c r="H232" s="45">
        <f>VLOOKUP($E232,[1]Sheet1!$A:$G,7,0)</f>
        <v>4</v>
      </c>
      <c r="I232" s="45" t="str">
        <f>IF($G232="","",IF(COUNTIF(技能描述!$D:$D,$F232)&gt;0,VLOOKUP($F232&amp;$G232,技能描述!$A:$C,3,0),LEFT(VLOOKUP($E232,[1]Sheet1!$A:$J,10,0),FIND("_",VLOOKUP($E232,[1]Sheet1!$A:$J,10,0))-1)&amp;$G232))</f>
        <v/>
      </c>
      <c r="J232" s="45" t="str">
        <f>IF($I232="","",VLOOKUP($I232,技能描述!$A:$C,3,0))</f>
        <v/>
      </c>
      <c r="K232" s="45" t="str">
        <f>IF($I232="","",INDEX([2]Sheet1!$1:$1048576,MATCH($I232,[2]Sheet1!$A:$A,0),MATCH("description_damage",[2]Sheet1!$2:$2,0)))</f>
        <v/>
      </c>
      <c r="L232" s="80" t="str">
        <f>IF($K232="","",IF(LEN($K232)-LEN(SUBSTITUTE($K232,",",""))=0,VLOOKUP(INT($K232),[3]Sheet1!$A:$C,3,0),VLOOKUP(INT(LEFT($K232,FIND(",",$K232)-1)),[3]Sheet1!$A:$C,3,0)))</f>
        <v/>
      </c>
      <c r="M232" s="80" t="str">
        <f t="shared" si="11"/>
        <v/>
      </c>
      <c r="N232" s="45" t="str">
        <f>IF(LEN($K232)-LEN(SUBSTITUTE($K232,",",""))=1,VLOOKUP(INT(RIGHT($K232,LEN($K232)-FIND(",",$K232))),[3]Sheet1!$A:$C,3,0),"")</f>
        <v/>
      </c>
      <c r="O232" s="45" t="str">
        <f t="shared" si="7"/>
        <v/>
      </c>
      <c r="P232" s="45" t="str">
        <f t="shared" si="8"/>
        <v/>
      </c>
      <c r="Q232" s="45" t="str">
        <f t="shared" si="9"/>
        <v/>
      </c>
      <c r="R232" s="45"/>
      <c r="S232" s="45" t="str">
        <f>IF(ISERROR($Q232),"进阶+"&amp;COUNTIF($E$194:$E232,$E232)&amp;"："&amp;"找ZC配技能","进阶+"&amp;COUNTIF($E$194:$E232,$E232)&amp;"："&amp;VLOOKUP(COUNTIF($E$194:$E232,$E232),$L$184:$R$193,IF(H232=1,4,IF(H232=4,3,2))+IF(INDEX([1]Sheet1!$1:$1048576,MATCH($E232,[1]Sheet1!$A:$A,0),MATCH("zizhi",[1]Sheet1!$2:$2,0))&gt;=13,0,3),0)&amp;IF($Q232="","","（"&amp;$Q232&amp;"）"))</f>
        <v>进阶+9：全队生命，防御提高15%</v>
      </c>
      <c r="T232" s="1"/>
      <c r="U232" s="1"/>
      <c r="V232" s="2" t="str">
        <f>VLOOKUP(COUNTIF($E$194:$E232,$E232),$L$184:$X$193,IF(H232=1,4,IF(H232=4,3,2))+IF(INDEX([1]Sheet1!$1:$1048576,MATCH($E232,[1]Sheet1!$A:$A,0),MATCH("zizhi",[1]Sheet1!$2:$2,0))&gt;=13,0,3)+6,0)</f>
        <v>57015,59015,60015</v>
      </c>
      <c r="W232" s="2" t="str">
        <f t="shared" si="6"/>
        <v>进阶+9：全队生命，防御提高15%</v>
      </c>
      <c r="X232" s="45" t="str">
        <f t="shared" si="4"/>
        <v>57015,59015,60015</v>
      </c>
      <c r="Y232" s="2"/>
      <c r="Z232" s="2"/>
      <c r="AA232" s="2"/>
    </row>
    <row r="233" spans="1:27" ht="33">
      <c r="A233" s="10">
        <f>E233*100+COUNTIF($E$194:$E233,$E233)</f>
        <v>110810</v>
      </c>
      <c r="B233" s="68" t="s">
        <v>1903</v>
      </c>
      <c r="C233" s="50" t="s">
        <v>2</v>
      </c>
      <c r="D233" s="10">
        <f t="shared" si="10"/>
        <v>1</v>
      </c>
      <c r="E233" s="45">
        <f>INDEX($I:$I,MATCH($E232,$I:$I,0)+IF(COUNTIF($E$194:$E232,$E232)&lt;=VLOOKUP($E232,$I$134:$K$193,3,0)-1,0,1),0)</f>
        <v>1108</v>
      </c>
      <c r="F233" s="45" t="str">
        <f t="shared" si="5"/>
        <v>托塔天王</v>
      </c>
      <c r="G233" s="45" t="s">
        <v>220</v>
      </c>
      <c r="H233" s="45">
        <f>VLOOKUP($E233,[1]Sheet1!$A:$G,7,0)</f>
        <v>4</v>
      </c>
      <c r="I233" s="45" t="str">
        <f>IF($G233="","",IF(COUNTIF(技能描述!$D:$D,$F233)&gt;0,VLOOKUP($F233&amp;$G233,技能描述!$A:$C,3,0),LEFT(VLOOKUP($E233,[1]Sheet1!$A:$J,10,0),FIND("_",VLOOKUP($E233,[1]Sheet1!$A:$J,10,0))-1)&amp;$G233))</f>
        <v>tuotatianwang_skill041</v>
      </c>
      <c r="J233" s="45" t="str">
        <f>IF($I233="","",VLOOKUP($I233,技能描述!$A:$C,3,0))</f>
        <v>托塔天王用宝塔镇压敌军，对范围内敌人造成自身攻击力@s的伤害，60%概率眩晕对手2秒</v>
      </c>
      <c r="K233" s="45" t="str">
        <f>IF($I233="","",INDEX([2]Sheet1!$1:$1048576,MATCH($I233,[2]Sheet1!$A:$A,0),MATCH("description_damage",[2]Sheet1!$2:$2,0)))</f>
        <v>110809,9015</v>
      </c>
      <c r="L233" s="80" t="str">
        <f>IF($K233="","",IF(LEN($K233)-LEN(SUBSTITUTE($K233,",",""))=0,VLOOKUP(INT($K233),[3]Sheet1!$A:$C,3,0),VLOOKUP(INT(LEFT($K233,FIND(",",$K233)-1)),[3]Sheet1!$A:$C,3,0)))</f>
        <v>2|2|2.1|0|0|0</v>
      </c>
      <c r="M233" s="80" t="str">
        <f t="shared" si="11"/>
        <v>210%</v>
      </c>
      <c r="N233" s="45" t="str">
        <f>IF(LEN($K233)-LEN(SUBSTITUTE($K233,",",""))=1,VLOOKUP(INT(RIGHT($K233,LEN($K233)-FIND(",",$K233))),[3]Sheet1!$A:$C,3,0),"")</f>
        <v>4|3|0.15|0|1</v>
      </c>
      <c r="O233" s="45" t="str">
        <f t="shared" si="7"/>
        <v>15%</v>
      </c>
      <c r="P233" s="45" t="str">
        <f t="shared" si="8"/>
        <v>托塔天王用宝塔镇压敌军，对范围内敌人造成自身攻击力210%的伤害，60%概率眩晕对手2秒</v>
      </c>
      <c r="Q233" s="45" t="str">
        <f t="shared" si="9"/>
        <v>托塔天王用宝塔镇压敌军，对范围内敌人造成自身攻击力210%的伤害，60%概率眩晕对手2秒</v>
      </c>
      <c r="R233" s="45"/>
      <c r="S233" s="45" t="str">
        <f>IF(ISERROR($Q233),"进阶+"&amp;COUNTIF($E$194:$E233,$E233)&amp;"："&amp;"找ZC配技能","进阶+"&amp;COUNTIF($E$194:$E233,$E233)&amp;"："&amp;VLOOKUP(COUNTIF($E$194:$E233,$E233),$L$184:$R$193,IF(H233=1,4,IF(H233=4,3,2))+IF(INDEX([1]Sheet1!$1:$1048576,MATCH($E233,[1]Sheet1!$A:$A,0),MATCH("zizhi",[1]Sheet1!$2:$2,0))&gt;=13,0,3),0)&amp;IF($Q233="","","（"&amp;$Q233&amp;"）"))</f>
        <v>进阶+10：增强AI2技能（托塔天王用宝塔镇压敌军，对范围内敌人造成自身攻击力210%的伤害，60%概率眩晕对手2秒）</v>
      </c>
      <c r="T233" s="1"/>
      <c r="U233" s="1"/>
      <c r="V233" s="2" t="str">
        <f>VLOOKUP(COUNTIF($E$194:$E233,$E233),$L$184:$X$193,IF(H233=1,4,IF(H233=4,3,2))+IF(INDEX([1]Sheet1!$1:$1048576,MATCH($E233,[1]Sheet1!$A:$A,0),MATCH("zizhi",[1]Sheet1!$2:$2,0))&gt;=13,0,3)+6,0)</f>
        <v>[]</v>
      </c>
      <c r="W233" s="2" t="str">
        <f t="shared" si="6"/>
        <v>进阶+10：增强AI2技能（托塔天王用宝塔镇压敌军，对范围内敌人造成自身攻击力210%的伤害，60%概率眩晕对手2秒）</v>
      </c>
      <c r="X233" s="45" t="str">
        <f t="shared" si="4"/>
        <v>[]</v>
      </c>
      <c r="Y233" s="2"/>
      <c r="Z233" s="2"/>
      <c r="AA233" s="2"/>
    </row>
    <row r="234" spans="1:27">
      <c r="A234" s="10">
        <f>E234*100+COUNTIF($E$194:$E234,$E234)</f>
        <v>111301</v>
      </c>
      <c r="B234" s="68" t="s">
        <v>319</v>
      </c>
      <c r="C234" s="50" t="s">
        <v>2086</v>
      </c>
      <c r="D234" s="10" t="str">
        <f t="shared" si="10"/>
        <v>[]</v>
      </c>
      <c r="E234" s="45">
        <f>INDEX($I:$I,MATCH($E233,$I:$I,0)+IF(COUNTIF($E$194:$E233,$E233)&lt;=VLOOKUP($E233,$I$134:$K$193,3,0)-1,0,1),0)</f>
        <v>1113</v>
      </c>
      <c r="F234" s="45" t="str">
        <f t="shared" si="5"/>
        <v>虎力大仙</v>
      </c>
      <c r="H234" s="45">
        <f>VLOOKUP($E234,[1]Sheet1!$A:$G,7,0)</f>
        <v>4</v>
      </c>
      <c r="I234" s="45" t="str">
        <f>IF($G234="","",IF(COUNTIF(技能描述!$D:$D,$F234)&gt;0,VLOOKUP($F234&amp;$G234,技能描述!$A:$C,3,0),LEFT(VLOOKUP($E234,[1]Sheet1!$A:$J,10,0),FIND("_",VLOOKUP($E234,[1]Sheet1!$A:$J,10,0))-1)&amp;$G234))</f>
        <v/>
      </c>
      <c r="J234" s="45" t="str">
        <f>IF($I234="","",VLOOKUP($I234,技能描述!$A:$C,3,0))</f>
        <v/>
      </c>
      <c r="K234" s="45" t="str">
        <f>IF($I234="","",INDEX([2]Sheet1!$1:$1048576,MATCH($I234,[2]Sheet1!$A:$A,0),MATCH("description_damage",[2]Sheet1!$2:$2,0)))</f>
        <v/>
      </c>
      <c r="L234" s="80" t="str">
        <f>IF($K234="","",IF(LEN($K234)-LEN(SUBSTITUTE($K234,",",""))=0,VLOOKUP(INT($K234),[3]Sheet1!$A:$C,3,0),VLOOKUP(INT(LEFT($K234,FIND(",",$K234)-1)),[3]Sheet1!$A:$C,3,0)))</f>
        <v/>
      </c>
      <c r="M234" s="80" t="str">
        <f t="shared" si="11"/>
        <v/>
      </c>
      <c r="N234" s="45" t="str">
        <f>IF(LEN($K234)-LEN(SUBSTITUTE($K234,",",""))=1,VLOOKUP(INT(RIGHT($K234,LEN($K234)-FIND(",",$K234))),[3]Sheet1!$A:$C,3,0),"")</f>
        <v/>
      </c>
      <c r="O234" s="45" t="str">
        <f t="shared" si="7"/>
        <v/>
      </c>
      <c r="P234" s="45" t="str">
        <f t="shared" si="8"/>
        <v/>
      </c>
      <c r="Q234" s="45" t="str">
        <f t="shared" si="9"/>
        <v/>
      </c>
      <c r="R234" s="45"/>
      <c r="S234" s="45" t="str">
        <f>IF(ISERROR($Q234),"进阶+"&amp;COUNTIF($E$194:$E234,$E234)&amp;"："&amp;"找ZC配技能","进阶+"&amp;COUNTIF($E$194:$E234,$E234)&amp;"："&amp;VLOOKUP(COUNTIF($E$194:$E234,$E234),$L$184:$R$193,IF(H234=1,4,IF(H234=4,3,2))+IF(INDEX([1]Sheet1!$1:$1048576,MATCH($E234,[1]Sheet1!$A:$A,0),MATCH("zizhi",[1]Sheet1!$2:$2,0))&gt;=13,0,3),0)&amp;IF($Q234="","","（"&amp;$Q234&amp;"）"))</f>
        <v>进阶+1：生命提高10%</v>
      </c>
      <c r="T234" s="1"/>
      <c r="U234" s="1"/>
      <c r="V234" s="2" t="str">
        <f>VLOOKUP(COUNTIF($E$194:$E234,$E234),$L$184:$X$193,IF(H234=1,4,IF(H234=4,3,2))+IF(INDEX([1]Sheet1!$1:$1048576,MATCH($E234,[1]Sheet1!$A:$A,0),MATCH("zizhi",[1]Sheet1!$2:$2,0))&gt;=13,0,3)+6,0)</f>
        <v>11090</v>
      </c>
      <c r="W234" s="2" t="str">
        <f t="shared" si="6"/>
        <v>进阶+1：生命提高10%</v>
      </c>
      <c r="X234" s="45" t="str">
        <f t="shared" si="4"/>
        <v>11090</v>
      </c>
      <c r="Y234" s="2"/>
      <c r="Z234" s="2"/>
      <c r="AA234" s="2"/>
    </row>
    <row r="235" spans="1:27">
      <c r="A235" s="10">
        <f>E235*100+COUNTIF($E$194:$E235,$E235)</f>
        <v>111302</v>
      </c>
      <c r="B235" s="69" t="s">
        <v>331</v>
      </c>
      <c r="C235" s="50" t="s">
        <v>2</v>
      </c>
      <c r="D235" s="10">
        <f t="shared" si="10"/>
        <v>1</v>
      </c>
      <c r="E235" s="45">
        <f>INDEX($I:$I,MATCH($E234,$I:$I,0)+IF(COUNTIF($E$194:$E234,$E234)&lt;=VLOOKUP($E234,$I$134:$K$193,3,0)-1,0,1),0)</f>
        <v>1113</v>
      </c>
      <c r="F235" s="45" t="str">
        <f t="shared" si="5"/>
        <v>虎力大仙</v>
      </c>
      <c r="G235" s="45" t="s">
        <v>216</v>
      </c>
      <c r="H235" s="45">
        <f>VLOOKUP($E235,[1]Sheet1!$A:$G,7,0)</f>
        <v>4</v>
      </c>
      <c r="I235" s="45" t="str">
        <f>IF($G235="","",IF(COUNTIF(技能描述!$D:$D,$F235)&gt;0,VLOOKUP($F235&amp;$G235,技能描述!$A:$C,3,0),LEFT(VLOOKUP($E235,[1]Sheet1!$A:$J,10,0),FIND("_",VLOOKUP($E235,[1]Sheet1!$A:$J,10,0))-1)&amp;$G235))</f>
        <v>hulidaxian_skill03</v>
      </c>
      <c r="J235" s="45" t="str">
        <f>IF($I235="","",VLOOKUP($I235,技能描述!$A:$C,3,0))</f>
        <v>进入战斗场景时，提升自身生命值上限@s</v>
      </c>
      <c r="K235" s="45" t="str">
        <f>IF($I235="","",INDEX([2]Sheet1!$1:$1048576,MATCH($I235,[2]Sheet1!$A:$A,0),MATCH("description_damage",[2]Sheet1!$2:$2,0)))</f>
        <v>9020</v>
      </c>
      <c r="L235" s="80" t="str">
        <f>IF($K235="","",IF(LEN($K235)-LEN(SUBSTITUTE($K235,",",""))=0,VLOOKUP(INT($K235),[3]Sheet1!$A:$C,3,0),VLOOKUP(INT(LEFT($K235,FIND(",",$K235)-1)),[3]Sheet1!$A:$C,3,0)))</f>
        <v>4|3|0.2|0|1</v>
      </c>
      <c r="M235" s="80" t="str">
        <f t="shared" si="11"/>
        <v>20%</v>
      </c>
      <c r="N235" s="45" t="str">
        <f>IF(LEN($K235)-LEN(SUBSTITUTE($K235,",",""))=1,VLOOKUP(INT(RIGHT($K235,LEN($K235)-FIND(",",$K235))),[3]Sheet1!$A:$C,3,0),"")</f>
        <v/>
      </c>
      <c r="O235" s="45" t="str">
        <f t="shared" si="7"/>
        <v/>
      </c>
      <c r="P235" s="45" t="str">
        <f t="shared" si="8"/>
        <v>进入战斗场景时，提升自身生命值上限20%</v>
      </c>
      <c r="Q235" s="45" t="str">
        <f t="shared" si="9"/>
        <v>进入战斗场景时，提升自身生命值上限20%</v>
      </c>
      <c r="R235" s="45"/>
      <c r="S235" s="45" t="str">
        <f>IF(ISERROR($Q235),"进阶+"&amp;COUNTIF($E$194:$E235,$E235)&amp;"："&amp;"找ZC配技能","进阶+"&amp;COUNTIF($E$194:$E235,$E235)&amp;"："&amp;VLOOKUP(COUNTIF($E$194:$E235,$E235),$L$184:$R$193,IF(H235=1,4,IF(H235=4,3,2))+IF(INDEX([1]Sheet1!$1:$1048576,MATCH($E235,[1]Sheet1!$A:$A,0),MATCH("zizhi",[1]Sheet1!$2:$2,0))&gt;=13,0,3),0)&amp;IF($Q235="","","（"&amp;$Q235&amp;"）"))</f>
        <v>进阶+2：激活被动技能（进入战斗场景时，提升自身生命值上限20%）</v>
      </c>
      <c r="T235" s="1"/>
      <c r="U235" s="1"/>
      <c r="V235" s="2" t="str">
        <f>VLOOKUP(COUNTIF($E$194:$E235,$E235),$L$184:$X$193,IF(H235=1,4,IF(H235=4,3,2))+IF(INDEX([1]Sheet1!$1:$1048576,MATCH($E235,[1]Sheet1!$A:$A,0),MATCH("zizhi",[1]Sheet1!$2:$2,0))&gt;=13,0,3)+6,0)</f>
        <v>[]</v>
      </c>
      <c r="W235" s="2" t="str">
        <f t="shared" si="6"/>
        <v>进阶+2：激活被动技能（进入战斗场景时，提升自身生命值上限20%）</v>
      </c>
      <c r="X235" s="45" t="str">
        <f t="shared" si="4"/>
        <v>[]</v>
      </c>
      <c r="Y235" s="2"/>
      <c r="Z235" s="2"/>
      <c r="AA235" s="2"/>
    </row>
    <row r="236" spans="1:27">
      <c r="A236" s="10">
        <f>E236*100+COUNTIF($E$194:$E236,$E236)</f>
        <v>111303</v>
      </c>
      <c r="B236" s="68" t="s">
        <v>324</v>
      </c>
      <c r="C236" s="50" t="s">
        <v>140</v>
      </c>
      <c r="D236" s="10" t="str">
        <f t="shared" si="10"/>
        <v>[]</v>
      </c>
      <c r="E236" s="45">
        <f>INDEX($I:$I,MATCH($E235,$I:$I,0)+IF(COUNTIF($E$194:$E235,$E235)&lt;=VLOOKUP($E235,$I$134:$K$193,3,0)-1,0,1),0)</f>
        <v>1113</v>
      </c>
      <c r="F236" s="45" t="str">
        <f t="shared" si="5"/>
        <v>虎力大仙</v>
      </c>
      <c r="H236" s="45">
        <f>VLOOKUP($E236,[1]Sheet1!$A:$G,7,0)</f>
        <v>4</v>
      </c>
      <c r="I236" s="45" t="str">
        <f>IF($G236="","",IF(COUNTIF(技能描述!$D:$D,$F236)&gt;0,VLOOKUP($F236&amp;$G236,技能描述!$A:$C,3,0),LEFT(VLOOKUP($E236,[1]Sheet1!$A:$J,10,0),FIND("_",VLOOKUP($E236,[1]Sheet1!$A:$J,10,0))-1)&amp;$G236))</f>
        <v/>
      </c>
      <c r="J236" s="45" t="str">
        <f>IF($I236="","",VLOOKUP($I236,技能描述!$A:$C,3,0))</f>
        <v/>
      </c>
      <c r="K236" s="45" t="str">
        <f>IF($I236="","",INDEX([2]Sheet1!$1:$1048576,MATCH($I236,[2]Sheet1!$A:$A,0),MATCH("description_damage",[2]Sheet1!$2:$2,0)))</f>
        <v/>
      </c>
      <c r="L236" s="80" t="str">
        <f>IF($K236="","",IF(LEN($K236)-LEN(SUBSTITUTE($K236,",",""))=0,VLOOKUP(INT($K236),[3]Sheet1!$A:$C,3,0),VLOOKUP(INT(LEFT($K236,FIND(",",$K236)-1)),[3]Sheet1!$A:$C,3,0)))</f>
        <v/>
      </c>
      <c r="M236" s="80" t="str">
        <f t="shared" si="11"/>
        <v/>
      </c>
      <c r="N236" s="45" t="str">
        <f>IF(LEN($K236)-LEN(SUBSTITUTE($K236,",",""))=1,VLOOKUP(INT(RIGHT($K236,LEN($K236)-FIND(",",$K236))),[3]Sheet1!$A:$C,3,0),"")</f>
        <v/>
      </c>
      <c r="O236" s="45" t="str">
        <f t="shared" si="7"/>
        <v/>
      </c>
      <c r="P236" s="45" t="str">
        <f t="shared" si="8"/>
        <v/>
      </c>
      <c r="Q236" s="45" t="str">
        <f t="shared" si="9"/>
        <v/>
      </c>
      <c r="R236" s="45"/>
      <c r="S236" s="45" t="str">
        <f>IF(ISERROR($Q236),"进阶+"&amp;COUNTIF($E$194:$E236,$E236)&amp;"："&amp;"找ZC配技能","进阶+"&amp;COUNTIF($E$194:$E236,$E236)&amp;"："&amp;VLOOKUP(COUNTIF($E$194:$E236,$E236),$L$184:$R$193,IF(H236=1,4,IF(H236=4,3,2))+IF(INDEX([1]Sheet1!$1:$1048576,MATCH($E236,[1]Sheet1!$A:$A,0),MATCH("zizhi",[1]Sheet1!$2:$2,0))&gt;=13,0,3),0)&amp;IF($Q236="","","（"&amp;$Q236&amp;"）"))</f>
        <v>进阶+3：生命，防御提高10%</v>
      </c>
      <c r="T236" s="1"/>
      <c r="U236" s="1"/>
      <c r="V236" s="2" t="str">
        <f>VLOOKUP(COUNTIF($E$194:$E236,$E236),$L$184:$X$193,IF(H236=1,4,IF(H236=4,3,2))+IF(INDEX([1]Sheet1!$1:$1048576,MATCH($E236,[1]Sheet1!$A:$A,0),MATCH("zizhi",[1]Sheet1!$2:$2,0))&gt;=13,0,3)+6,0)</f>
        <v>11090,6502,6512</v>
      </c>
      <c r="W236" s="2" t="str">
        <f t="shared" si="6"/>
        <v>进阶+3：生命，防御提高10%</v>
      </c>
      <c r="X236" s="45" t="str">
        <f t="shared" si="4"/>
        <v>11090,6502,6512</v>
      </c>
      <c r="Y236" s="2"/>
      <c r="Z236" s="2"/>
      <c r="AA236" s="2"/>
    </row>
    <row r="237" spans="1:27" ht="33">
      <c r="A237" s="10">
        <f>E237*100+COUNTIF($E$194:$E237,$E237)</f>
        <v>111304</v>
      </c>
      <c r="B237" s="68" t="s">
        <v>1857</v>
      </c>
      <c r="C237" s="50" t="s">
        <v>2</v>
      </c>
      <c r="D237" s="10">
        <f t="shared" si="10"/>
        <v>1</v>
      </c>
      <c r="E237" s="45">
        <f>INDEX($I:$I,MATCH($E236,$I:$I,0)+IF(COUNTIF($E$194:$E236,$E236)&lt;=VLOOKUP($E236,$I$134:$K$193,3,0)-1,0,1),0)</f>
        <v>1113</v>
      </c>
      <c r="F237" s="45" t="str">
        <f t="shared" si="5"/>
        <v>虎力大仙</v>
      </c>
      <c r="G237" s="45" t="s">
        <v>217</v>
      </c>
      <c r="H237" s="45">
        <f>VLOOKUP($E237,[1]Sheet1!$A:$G,7,0)</f>
        <v>4</v>
      </c>
      <c r="I237" s="45" t="str">
        <f>IF($G237="","",IF(COUNTIF(技能描述!$D:$D,$F237)&gt;0,VLOOKUP($F237&amp;$G237,技能描述!$A:$C,3,0),LEFT(VLOOKUP($E237,[1]Sheet1!$A:$J,10,0),FIND("_",VLOOKUP($E237,[1]Sheet1!$A:$J,10,0))-1)&amp;$G237))</f>
        <v>hulidaxian_skill04</v>
      </c>
      <c r="J237" s="45" t="str">
        <f>IF($I237="","",VLOOKUP($I237,技能描述!$A:$C,3,0))</f>
        <v>虎力大仙利用自身内丹治疗自身，每0.5秒恢复自身生命值上限@s的生命值，持续3秒，并清除自身一个不利状态</v>
      </c>
      <c r="K237" s="45" t="str">
        <f>IF($I237="","",INDEX([2]Sheet1!$1:$1048576,MATCH($I237,[2]Sheet1!$A:$A,0),MATCH("description_damage",[2]Sheet1!$2:$2,0)))</f>
        <v>9002</v>
      </c>
      <c r="L237" s="80" t="str">
        <f>IF($K237="","",IF(LEN($K237)-LEN(SUBSTITUTE($K237,",",""))=0,VLOOKUP(INT($K237),[3]Sheet1!$A:$C,3,0),VLOOKUP(INT(LEFT($K237,FIND(",",$K237)-1)),[3]Sheet1!$A:$C,3,0)))</f>
        <v>4|3|0.02|0|1</v>
      </c>
      <c r="M237" s="80" t="str">
        <f t="shared" si="11"/>
        <v>2%</v>
      </c>
      <c r="N237" s="45" t="str">
        <f>IF(LEN($K237)-LEN(SUBSTITUTE($K237,",",""))=1,VLOOKUP(INT(RIGHT($K237,LEN($K237)-FIND(",",$K237))),[3]Sheet1!$A:$C,3,0),"")</f>
        <v/>
      </c>
      <c r="O237" s="45" t="str">
        <f t="shared" si="7"/>
        <v/>
      </c>
      <c r="P237" s="45" t="str">
        <f t="shared" si="8"/>
        <v>虎力大仙利用自身内丹治疗自身，每0.5秒恢复自身生命值上限2%的生命值，持续3秒，并清除自身一个不利状态</v>
      </c>
      <c r="Q237" s="45" t="str">
        <f t="shared" si="9"/>
        <v>虎力大仙利用自身内丹治疗自身，每0.5秒恢复自身生命值上限2%的生命值，持续3秒，并清除自身一个不利状态</v>
      </c>
      <c r="R237" s="45"/>
      <c r="S237" s="45" t="str">
        <f>IF(ISERROR($Q237),"进阶+"&amp;COUNTIF($E$194:$E237,$E237)&amp;"："&amp;"找ZC配技能","进阶+"&amp;COUNTIF($E$194:$E237,$E237)&amp;"："&amp;VLOOKUP(COUNTIF($E$194:$E237,$E237),$L$184:$R$193,IF(H237=1,4,IF(H237=4,3,2))+IF(INDEX([1]Sheet1!$1:$1048576,MATCH($E237,[1]Sheet1!$A:$A,0),MATCH("zizhi",[1]Sheet1!$2:$2,0))&gt;=13,0,3),0)&amp;IF($Q237="","","（"&amp;$Q237&amp;"）"))</f>
        <v>进阶+4：激活AI2技能（虎力大仙利用自身内丹治疗自身，每0.5秒恢复自身生命值上限2%的生命值，持续3秒，并清除自身一个不利状态）</v>
      </c>
      <c r="T237" s="1"/>
      <c r="U237" s="1"/>
      <c r="V237" s="2" t="str">
        <f>VLOOKUP(COUNTIF($E$194:$E237,$E237),$L$184:$X$193,IF(H237=1,4,IF(H237=4,3,2))+IF(INDEX([1]Sheet1!$1:$1048576,MATCH($E237,[1]Sheet1!$A:$A,0),MATCH("zizhi",[1]Sheet1!$2:$2,0))&gt;=13,0,3)+6,0)</f>
        <v>[]</v>
      </c>
      <c r="W237" s="2" t="str">
        <f t="shared" si="6"/>
        <v>进阶+4：激活AI2技能（虎力大仙利用自身内丹治疗自身，每0.5秒恢复自身生命值上限2%的生命值，持续3秒，并清除自身一个不利状态）</v>
      </c>
      <c r="X237" s="45" t="str">
        <f t="shared" si="4"/>
        <v>[]</v>
      </c>
      <c r="Y237" s="2"/>
      <c r="Z237" s="2"/>
      <c r="AA237" s="2"/>
    </row>
    <row r="238" spans="1:27">
      <c r="A238" s="10">
        <f>E238*100+COUNTIF($E$194:$E238,$E238)</f>
        <v>111305</v>
      </c>
      <c r="B238" s="68" t="s">
        <v>320</v>
      </c>
      <c r="C238" s="50" t="s">
        <v>239</v>
      </c>
      <c r="D238" s="10" t="str">
        <f t="shared" si="10"/>
        <v>[]</v>
      </c>
      <c r="E238" s="45">
        <f>INDEX($I:$I,MATCH($E237,$I:$I,0)+IF(COUNTIF($E$194:$E237,$E237)&lt;=VLOOKUP($E237,$I$134:$K$193,3,0)-1,0,1),0)</f>
        <v>1113</v>
      </c>
      <c r="F238" s="45" t="str">
        <f t="shared" si="5"/>
        <v>虎力大仙</v>
      </c>
      <c r="H238" s="45">
        <f>VLOOKUP($E238,[1]Sheet1!$A:$G,7,0)</f>
        <v>4</v>
      </c>
      <c r="I238" s="45" t="str">
        <f>IF($G238="","",IF(COUNTIF(技能描述!$D:$D,$F238)&gt;0,VLOOKUP($F238&amp;$G238,技能描述!$A:$C,3,0),LEFT(VLOOKUP($E238,[1]Sheet1!$A:$J,10,0),FIND("_",VLOOKUP($E238,[1]Sheet1!$A:$J,10,0))-1)&amp;$G238))</f>
        <v/>
      </c>
      <c r="J238" s="45" t="str">
        <f>IF($I238="","",VLOOKUP($I238,技能描述!$A:$C,3,0))</f>
        <v/>
      </c>
      <c r="K238" s="45" t="str">
        <f>IF($I238="","",INDEX([2]Sheet1!$1:$1048576,MATCH($I238,[2]Sheet1!$A:$A,0),MATCH("description_damage",[2]Sheet1!$2:$2,0)))</f>
        <v/>
      </c>
      <c r="L238" s="80" t="str">
        <f>IF($K238="","",IF(LEN($K238)-LEN(SUBSTITUTE($K238,",",""))=0,VLOOKUP(INT($K238),[3]Sheet1!$A:$C,3,0),VLOOKUP(INT(LEFT($K238,FIND(",",$K238)-1)),[3]Sheet1!$A:$C,3,0)))</f>
        <v/>
      </c>
      <c r="M238" s="80" t="str">
        <f t="shared" si="11"/>
        <v/>
      </c>
      <c r="N238" s="45" t="str">
        <f>IF(LEN($K238)-LEN(SUBSTITUTE($K238,",",""))=1,VLOOKUP(INT(RIGHT($K238,LEN($K238)-FIND(",",$K238))),[3]Sheet1!$A:$C,3,0),"")</f>
        <v/>
      </c>
      <c r="O238" s="45" t="str">
        <f t="shared" si="7"/>
        <v/>
      </c>
      <c r="P238" s="45" t="str">
        <f t="shared" si="8"/>
        <v/>
      </c>
      <c r="Q238" s="45" t="str">
        <f t="shared" si="9"/>
        <v/>
      </c>
      <c r="R238" s="45"/>
      <c r="S238" s="45" t="str">
        <f>IF(ISERROR($Q238),"进阶+"&amp;COUNTIF($E$194:$E238,$E238)&amp;"："&amp;"找ZC配技能","进阶+"&amp;COUNTIF($E$194:$E238,$E238)&amp;"："&amp;VLOOKUP(COUNTIF($E$194:$E238,$E238),$L$184:$R$193,IF(H238=1,4,IF(H238=4,3,2))+IF(INDEX([1]Sheet1!$1:$1048576,MATCH($E238,[1]Sheet1!$A:$A,0),MATCH("zizhi",[1]Sheet1!$2:$2,0))&gt;=13,0,3),0)&amp;IF($Q238="","","（"&amp;$Q238&amp;"）"))</f>
        <v>进阶+5：攻击提高15%</v>
      </c>
      <c r="T238" s="1"/>
      <c r="U238" s="1"/>
      <c r="V238" s="2" t="str">
        <f>VLOOKUP(COUNTIF($E$194:$E238,$E238),$L$184:$X$193,IF(H238=1,4,IF(H238=4,3,2))+IF(INDEX([1]Sheet1!$1:$1048576,MATCH($E238,[1]Sheet1!$A:$A,0),MATCH("zizhi",[1]Sheet1!$2:$2,0))&gt;=13,0,3)+6,0)</f>
        <v>11055</v>
      </c>
      <c r="W238" s="2" t="str">
        <f t="shared" si="6"/>
        <v>进阶+5：攻击提高15%</v>
      </c>
      <c r="X238" s="45" t="str">
        <f t="shared" si="4"/>
        <v>11055</v>
      </c>
      <c r="Y238" s="2"/>
      <c r="Z238" s="2"/>
      <c r="AA238" s="2"/>
    </row>
    <row r="239" spans="1:27" ht="33">
      <c r="A239" s="10">
        <f>E239*100+COUNTIF($E$194:$E239,$E239)</f>
        <v>111306</v>
      </c>
      <c r="B239" s="68" t="s">
        <v>1990</v>
      </c>
      <c r="C239" s="50" t="s">
        <v>2</v>
      </c>
      <c r="D239" s="10">
        <f t="shared" si="10"/>
        <v>1</v>
      </c>
      <c r="E239" s="45">
        <f>INDEX($I:$I,MATCH($E238,$I:$I,0)+IF(COUNTIF($E$194:$E238,$E238)&lt;=VLOOKUP($E238,$I$134:$K$193,3,0)-1,0,1),0)</f>
        <v>1113</v>
      </c>
      <c r="F239" s="45" t="str">
        <f t="shared" si="5"/>
        <v>虎力大仙</v>
      </c>
      <c r="G239" s="45" t="s">
        <v>218</v>
      </c>
      <c r="H239" s="45">
        <f>VLOOKUP($E239,[1]Sheet1!$A:$G,7,0)</f>
        <v>4</v>
      </c>
      <c r="I239" s="45" t="str">
        <f>IF($G239="","",IF(COUNTIF(技能描述!$D:$D,$F239)&gt;0,VLOOKUP($F239&amp;$G239,技能描述!$A:$C,3,0),LEFT(VLOOKUP($E239,[1]Sheet1!$A:$J,10,0),FIND("_",VLOOKUP($E239,[1]Sheet1!$A:$J,10,0))-1)&amp;$G239))</f>
        <v>hulidaxian_skill011</v>
      </c>
      <c r="J239" s="45" t="str">
        <f>IF($I239="","",VLOOKUP($I239,技能描述!$A:$C,3,0))</f>
        <v>释放虎力大仙野性护盾，为全体友军吸收伤害，最多为友军自身生命值上限@s，持续3秒</v>
      </c>
      <c r="K239" s="45" t="str">
        <f>IF($I239="","",INDEX([2]Sheet1!$1:$1048576,MATCH($I239,[2]Sheet1!$A:$A,0),MATCH("description_damage",[2]Sheet1!$2:$2,0)))</f>
        <v>9040</v>
      </c>
      <c r="L239" s="80" t="str">
        <f>IF($K239="","",IF(LEN($K239)-LEN(SUBSTITUTE($K239,",",""))=0,VLOOKUP(INT($K239),[3]Sheet1!$A:$C,3,0),VLOOKUP(INT(LEFT($K239,FIND(",",$K239)-1)),[3]Sheet1!$A:$C,3,0)))</f>
        <v>4|3|0.4|0|1</v>
      </c>
      <c r="M239" s="80" t="str">
        <f t="shared" si="11"/>
        <v>40%</v>
      </c>
      <c r="N239" s="45" t="str">
        <f>IF(LEN($K239)-LEN(SUBSTITUTE($K239,",",""))=1,VLOOKUP(INT(RIGHT($K239,LEN($K239)-FIND(",",$K239))),[3]Sheet1!$A:$C,3,0),"")</f>
        <v/>
      </c>
      <c r="O239" s="45" t="str">
        <f t="shared" si="7"/>
        <v/>
      </c>
      <c r="P239" s="45" t="str">
        <f t="shared" si="8"/>
        <v>释放虎力大仙野性护盾，为全体友军吸收伤害，最多为友军自身生命值上限40%，持续3秒</v>
      </c>
      <c r="Q239" s="45" t="str">
        <f t="shared" si="9"/>
        <v>释放虎力大仙野性护盾，为全体友军吸收伤害，最多为友军自身生命值上限40%，持续3秒</v>
      </c>
      <c r="R239" s="45"/>
      <c r="S239" s="45" t="str">
        <f>IF(ISERROR($Q239),"进阶+"&amp;COUNTIF($E$194:$E239,$E239)&amp;"："&amp;"找ZC配技能","进阶+"&amp;COUNTIF($E$194:$E239,$E239)&amp;"："&amp;VLOOKUP(COUNTIF($E$194:$E239,$E239),$L$184:$R$193,IF(H239=1,4,IF(H239=4,3,2))+IF(INDEX([1]Sheet1!$1:$1048576,MATCH($E239,[1]Sheet1!$A:$A,0),MATCH("zizhi",[1]Sheet1!$2:$2,0))&gt;=13,0,3),0)&amp;IF($Q239="","","（"&amp;$Q239&amp;"）"))</f>
        <v>进阶+6：增强主角技能（释放虎力大仙野性护盾，为全体友军吸收伤害，最多为友军自身生命值上限40%，持续3秒）</v>
      </c>
      <c r="T239" s="1"/>
      <c r="U239" s="1"/>
      <c r="V239" s="2" t="str">
        <f>VLOOKUP(COUNTIF($E$194:$E239,$E239),$L$184:$X$193,IF(H239=1,4,IF(H239=4,3,2))+IF(INDEX([1]Sheet1!$1:$1048576,MATCH($E239,[1]Sheet1!$A:$A,0),MATCH("zizhi",[1]Sheet1!$2:$2,0))&gt;=13,0,3)+6,0)</f>
        <v>[]</v>
      </c>
      <c r="W239" s="2" t="str">
        <f t="shared" si="6"/>
        <v>进阶+6：增强主角技能（释放虎力大仙野性护盾，为全体友军吸收伤害，最多为友军自身生命值上限40%，持续3秒）</v>
      </c>
      <c r="X239" s="45" t="str">
        <f t="shared" si="4"/>
        <v>[]</v>
      </c>
      <c r="Y239" s="2"/>
      <c r="Z239" s="2"/>
      <c r="AA239" s="2"/>
    </row>
    <row r="240" spans="1:27">
      <c r="A240" s="10">
        <f>E240*100+COUNTIF($E$194:$E240,$E240)</f>
        <v>111307</v>
      </c>
      <c r="B240" s="68" t="s">
        <v>360</v>
      </c>
      <c r="C240" s="50" t="s">
        <v>354</v>
      </c>
      <c r="D240" s="10" t="str">
        <f t="shared" si="10"/>
        <v>[]</v>
      </c>
      <c r="E240" s="45">
        <f>INDEX($I:$I,MATCH($E239,$I:$I,0)+IF(COUNTIF($E$194:$E239,$E239)&lt;=VLOOKUP($E239,$I$134:$K$193,3,0)-1,0,1),0)</f>
        <v>1113</v>
      </c>
      <c r="F240" s="45" t="str">
        <f t="shared" si="5"/>
        <v>虎力大仙</v>
      </c>
      <c r="H240" s="45">
        <f>VLOOKUP($E240,[1]Sheet1!$A:$G,7,0)</f>
        <v>4</v>
      </c>
      <c r="I240" s="45" t="str">
        <f>IF($G240="","",IF(COUNTIF(技能描述!$D:$D,$F240)&gt;0,VLOOKUP($F240&amp;$G240,技能描述!$A:$C,3,0),LEFT(VLOOKUP($E240,[1]Sheet1!$A:$J,10,0),FIND("_",VLOOKUP($E240,[1]Sheet1!$A:$J,10,0))-1)&amp;$G240))</f>
        <v/>
      </c>
      <c r="J240" s="45" t="str">
        <f>IF($I240="","",VLOOKUP($I240,技能描述!$A:$C,3,0))</f>
        <v/>
      </c>
      <c r="K240" s="45" t="str">
        <f>IF($I240="","",INDEX([2]Sheet1!$1:$1048576,MATCH($I240,[2]Sheet1!$A:$A,0),MATCH("description_damage",[2]Sheet1!$2:$2,0)))</f>
        <v/>
      </c>
      <c r="L240" s="80" t="str">
        <f>IF($K240="","",IF(LEN($K240)-LEN(SUBSTITUTE($K240,",",""))=0,VLOOKUP(INT($K240),[3]Sheet1!$A:$C,3,0),VLOOKUP(INT(LEFT($K240,FIND(",",$K240)-1)),[3]Sheet1!$A:$C,3,0)))</f>
        <v/>
      </c>
      <c r="M240" s="80" t="str">
        <f t="shared" si="11"/>
        <v/>
      </c>
      <c r="N240" s="45" t="str">
        <f>IF(LEN($K240)-LEN(SUBSTITUTE($K240,",",""))=1,VLOOKUP(INT(RIGHT($K240,LEN($K240)-FIND(",",$K240))),[3]Sheet1!$A:$C,3,0),"")</f>
        <v/>
      </c>
      <c r="O240" s="45" t="str">
        <f t="shared" si="7"/>
        <v/>
      </c>
      <c r="P240" s="45" t="str">
        <f t="shared" si="8"/>
        <v/>
      </c>
      <c r="Q240" s="45" t="str">
        <f t="shared" si="9"/>
        <v/>
      </c>
      <c r="R240" s="45"/>
      <c r="S240" s="45" t="str">
        <f>IF(ISERROR($Q240),"进阶+"&amp;COUNTIF($E$194:$E240,$E240)&amp;"："&amp;"找ZC配技能","进阶+"&amp;COUNTIF($E$194:$E240,$E240)&amp;"："&amp;VLOOKUP(COUNTIF($E$194:$E240,$E240),$L$184:$R$193,IF(H240=1,4,IF(H240=4,3,2))+IF(INDEX([1]Sheet1!$1:$1048576,MATCH($E240,[1]Sheet1!$A:$A,0),MATCH("zizhi",[1]Sheet1!$2:$2,0))&gt;=13,0,3),0)&amp;IF($Q240="","","（"&amp;$Q240&amp;"）"))</f>
        <v>进阶+7：全队生命，防御提高10%</v>
      </c>
      <c r="T240" s="1"/>
      <c r="U240" s="1"/>
      <c r="V240" s="2" t="str">
        <f>VLOOKUP(COUNTIF($E$194:$E240,$E240),$L$184:$X$193,IF(H240=1,4,IF(H240=4,3,2))+IF(INDEX([1]Sheet1!$1:$1048576,MATCH($E240,[1]Sheet1!$A:$A,0),MATCH("zizhi",[1]Sheet1!$2:$2,0))&gt;=13,0,3)+6,0)</f>
        <v>57010,59010,60010</v>
      </c>
      <c r="W240" s="2" t="str">
        <f t="shared" si="6"/>
        <v>进阶+7：全队生命，防御提高10%</v>
      </c>
      <c r="X240" s="45" t="str">
        <f t="shared" si="4"/>
        <v>57010,59010,60010</v>
      </c>
      <c r="Y240" s="2"/>
      <c r="Z240" s="2"/>
      <c r="AA240" s="2"/>
    </row>
    <row r="241" spans="1:27" ht="49.5">
      <c r="A241" s="10">
        <f>E241*100+COUNTIF($E$194:$E241,$E241)</f>
        <v>111308</v>
      </c>
      <c r="B241" s="68" t="s">
        <v>1991</v>
      </c>
      <c r="C241" s="50" t="s">
        <v>2</v>
      </c>
      <c r="D241" s="10">
        <f t="shared" si="10"/>
        <v>1</v>
      </c>
      <c r="E241" s="45">
        <f>INDEX($I:$I,MATCH($E240,$I:$I,0)+IF(COUNTIF($E$194:$E240,$E240)&lt;=VLOOKUP($E240,$I$134:$K$193,3,0)-1,0,1),0)</f>
        <v>1113</v>
      </c>
      <c r="F241" s="45" t="str">
        <f t="shared" si="5"/>
        <v>虎力大仙</v>
      </c>
      <c r="G241" s="45" t="s">
        <v>219</v>
      </c>
      <c r="H241" s="45">
        <f>VLOOKUP($E241,[1]Sheet1!$A:$G,7,0)</f>
        <v>4</v>
      </c>
      <c r="I241" s="45" t="str">
        <f>IF($G241="","",IF(COUNTIF(技能描述!$D:$D,$F241)&gt;0,VLOOKUP($F241&amp;$G241,技能描述!$A:$C,3,0),LEFT(VLOOKUP($E241,[1]Sheet1!$A:$J,10,0),FIND("_",VLOOKUP($E241,[1]Sheet1!$A:$J,10,0))-1)&amp;$G241))</f>
        <v>hulidaxian_skill021</v>
      </c>
      <c r="J241" s="45" t="str">
        <f>IF($I241="","",VLOOKUP($I241,技能描述!$A:$C,3,0))</f>
        <v>虎力大仙蓄力咆哮，对范围内敌人造成自身攻击力@s的物伤，嘲讽对手普攻击自己并使敌人造成的伤害降低@s，持续3秒</v>
      </c>
      <c r="K241" s="45" t="str">
        <f>IF($I241="","",INDEX([2]Sheet1!$1:$1048576,MATCH($I241,[2]Sheet1!$A:$A,0),MATCH("description_damage",[2]Sheet1!$2:$2,0)))</f>
        <v>111308,9015</v>
      </c>
      <c r="L241" s="80" t="str">
        <f>IF($K241="","",IF(LEN($K241)-LEN(SUBSTITUTE($K241,",",""))=0,VLOOKUP(INT($K241),[3]Sheet1!$A:$C,3,0),VLOOKUP(INT(LEFT($K241,FIND(",",$K241)-1)),[3]Sheet1!$A:$C,3,0)))</f>
        <v>2|1|2.1|0|0|0</v>
      </c>
      <c r="M241" s="80" t="str">
        <f t="shared" si="11"/>
        <v>210%</v>
      </c>
      <c r="N241" s="45" t="str">
        <f>IF(LEN($K241)-LEN(SUBSTITUTE($K241,",",""))=1,VLOOKUP(INT(RIGHT($K241,LEN($K241)-FIND(",",$K241))),[3]Sheet1!$A:$C,3,0),"")</f>
        <v>4|3|0.15|0|1</v>
      </c>
      <c r="O241" s="45" t="str">
        <f t="shared" si="7"/>
        <v>15%</v>
      </c>
      <c r="P241" s="45" t="str">
        <f t="shared" si="8"/>
        <v>虎力大仙蓄力咆哮，对范围内敌人造成自身攻击力210%的物伤，嘲讽对手普攻击自己并使敌人造成的伤害降低@s，持续3秒</v>
      </c>
      <c r="Q241" s="45" t="str">
        <f t="shared" si="9"/>
        <v>虎力大仙蓄力咆哮，对范围内敌人造成自身攻击力210%的物伤，嘲讽对手普攻击自己并使敌人造成的伤害降低15%，持续3秒</v>
      </c>
      <c r="R241" s="45"/>
      <c r="S241" s="45" t="str">
        <f>IF(ISERROR($Q241),"进阶+"&amp;COUNTIF($E$194:$E241,$E241)&amp;"："&amp;"找ZC配技能","进阶+"&amp;COUNTIF($E$194:$E241,$E241)&amp;"："&amp;VLOOKUP(COUNTIF($E$194:$E241,$E241),$L$184:$R$193,IF(H241=1,4,IF(H241=4,3,2))+IF(INDEX([1]Sheet1!$1:$1048576,MATCH($E241,[1]Sheet1!$A:$A,0),MATCH("zizhi",[1]Sheet1!$2:$2,0))&gt;=13,0,3),0)&amp;IF($Q241="","","（"&amp;$Q241&amp;"）"))</f>
        <v>进阶+8：增强AI1技能（虎力大仙蓄力咆哮，对范围内敌人造成自身攻击力210%的物伤，嘲讽对手普攻击自己并使敌人造成的伤害降低15%，持续3秒）</v>
      </c>
      <c r="T241" s="1"/>
      <c r="U241" s="1"/>
      <c r="V241" s="2" t="str">
        <f>VLOOKUP(COUNTIF($E$194:$E241,$E241),$L$184:$X$193,IF(H241=1,4,IF(H241=4,3,2))+IF(INDEX([1]Sheet1!$1:$1048576,MATCH($E241,[1]Sheet1!$A:$A,0),MATCH("zizhi",[1]Sheet1!$2:$2,0))&gt;=13,0,3)+6,0)</f>
        <v>[]</v>
      </c>
      <c r="W241" s="2" t="str">
        <f t="shared" si="6"/>
        <v>进阶+8：增强AI1技能（虎力大仙蓄力咆哮，对范围内敌人造成自身攻击力210%的物伤，嘲讽对手普攻击自己并使敌人造成的伤害降低15%，持续3秒）</v>
      </c>
      <c r="X241" s="45" t="str">
        <f t="shared" si="4"/>
        <v>[]</v>
      </c>
      <c r="Y241" s="2"/>
      <c r="Z241" s="2"/>
      <c r="AA241" s="2"/>
    </row>
    <row r="242" spans="1:27">
      <c r="A242" s="10">
        <f>E242*100+COUNTIF($E$194:$E242,$E242)</f>
        <v>111309</v>
      </c>
      <c r="B242" s="68" t="s">
        <v>1902</v>
      </c>
      <c r="C242" s="50" t="s">
        <v>357</v>
      </c>
      <c r="D242" s="10" t="str">
        <f t="shared" si="10"/>
        <v>[]</v>
      </c>
      <c r="E242" s="45">
        <f>INDEX($I:$I,MATCH($E241,$I:$I,0)+IF(COUNTIF($E$194:$E241,$E241)&lt;=VLOOKUP($E241,$I$134:$K$193,3,0)-1,0,1),0)</f>
        <v>1113</v>
      </c>
      <c r="F242" s="45" t="str">
        <f t="shared" si="5"/>
        <v>虎力大仙</v>
      </c>
      <c r="H242" s="45">
        <f>VLOOKUP($E242,[1]Sheet1!$A:$G,7,0)</f>
        <v>4</v>
      </c>
      <c r="I242" s="45" t="str">
        <f>IF($G242="","",IF(COUNTIF(技能描述!$D:$D,$F242)&gt;0,VLOOKUP($F242&amp;$G242,技能描述!$A:$C,3,0),LEFT(VLOOKUP($E242,[1]Sheet1!$A:$J,10,0),FIND("_",VLOOKUP($E242,[1]Sheet1!$A:$J,10,0))-1)&amp;$G242))</f>
        <v/>
      </c>
      <c r="J242" s="45" t="str">
        <f>IF($I242="","",VLOOKUP($I242,技能描述!$A:$C,3,0))</f>
        <v/>
      </c>
      <c r="K242" s="45" t="str">
        <f>IF($I242="","",INDEX([2]Sheet1!$1:$1048576,MATCH($I242,[2]Sheet1!$A:$A,0),MATCH("description_damage",[2]Sheet1!$2:$2,0)))</f>
        <v/>
      </c>
      <c r="L242" s="80" t="str">
        <f>IF($K242="","",IF(LEN($K242)-LEN(SUBSTITUTE($K242,",",""))=0,VLOOKUP(INT($K242),[3]Sheet1!$A:$C,3,0),VLOOKUP(INT(LEFT($K242,FIND(",",$K242)-1)),[3]Sheet1!$A:$C,3,0)))</f>
        <v/>
      </c>
      <c r="M242" s="80" t="str">
        <f t="shared" si="11"/>
        <v/>
      </c>
      <c r="N242" s="45" t="str">
        <f>IF(LEN($K242)-LEN(SUBSTITUTE($K242,",",""))=1,VLOOKUP(INT(RIGHT($K242,LEN($K242)-FIND(",",$K242))),[3]Sheet1!$A:$C,3,0),"")</f>
        <v/>
      </c>
      <c r="O242" s="45" t="str">
        <f t="shared" si="7"/>
        <v/>
      </c>
      <c r="P242" s="45" t="str">
        <f t="shared" si="8"/>
        <v/>
      </c>
      <c r="Q242" s="45" t="str">
        <f t="shared" si="9"/>
        <v/>
      </c>
      <c r="R242" s="45"/>
      <c r="S242" s="45" t="str">
        <f>IF(ISERROR($Q242),"进阶+"&amp;COUNTIF($E$194:$E242,$E242)&amp;"："&amp;"找ZC配技能","进阶+"&amp;COUNTIF($E$194:$E242,$E242)&amp;"："&amp;VLOOKUP(COUNTIF($E$194:$E242,$E242),$L$184:$R$193,IF(H242=1,4,IF(H242=4,3,2))+IF(INDEX([1]Sheet1!$1:$1048576,MATCH($E242,[1]Sheet1!$A:$A,0),MATCH("zizhi",[1]Sheet1!$2:$2,0))&gt;=13,0,3),0)&amp;IF($Q242="","","（"&amp;$Q242&amp;"）"))</f>
        <v>进阶+9：全队生命，防御提高15%</v>
      </c>
      <c r="T242" s="1"/>
      <c r="U242" s="1"/>
      <c r="V242" s="2" t="str">
        <f>VLOOKUP(COUNTIF($E$194:$E242,$E242),$L$184:$X$193,IF(H242=1,4,IF(H242=4,3,2))+IF(INDEX([1]Sheet1!$1:$1048576,MATCH($E242,[1]Sheet1!$A:$A,0),MATCH("zizhi",[1]Sheet1!$2:$2,0))&gt;=13,0,3)+6,0)</f>
        <v>57015,59015,60015</v>
      </c>
      <c r="W242" s="2" t="str">
        <f t="shared" si="6"/>
        <v>进阶+9：全队生命，防御提高15%</v>
      </c>
      <c r="X242" s="45" t="str">
        <f t="shared" si="4"/>
        <v>57015,59015,60015</v>
      </c>
      <c r="Y242" s="2"/>
      <c r="Z242" s="2"/>
      <c r="AA242" s="2"/>
    </row>
    <row r="243" spans="1:27" ht="33">
      <c r="A243" s="10">
        <f>E243*100+COUNTIF($E$194:$E243,$E243)</f>
        <v>111310</v>
      </c>
      <c r="B243" s="68" t="s">
        <v>1904</v>
      </c>
      <c r="C243" s="50" t="s">
        <v>2</v>
      </c>
      <c r="D243" s="10">
        <f t="shared" si="10"/>
        <v>1</v>
      </c>
      <c r="E243" s="45">
        <f>INDEX($I:$I,MATCH($E242,$I:$I,0)+IF(COUNTIF($E$194:$E242,$E242)&lt;=VLOOKUP($E242,$I$134:$K$193,3,0)-1,0,1),0)</f>
        <v>1113</v>
      </c>
      <c r="F243" s="45" t="str">
        <f t="shared" si="5"/>
        <v>虎力大仙</v>
      </c>
      <c r="G243" s="45" t="s">
        <v>220</v>
      </c>
      <c r="H243" s="45">
        <f>VLOOKUP($E243,[1]Sheet1!$A:$G,7,0)</f>
        <v>4</v>
      </c>
      <c r="I243" s="45" t="str">
        <f>IF($G243="","",IF(COUNTIF(技能描述!$D:$D,$F243)&gt;0,VLOOKUP($F243&amp;$G243,技能描述!$A:$C,3,0),LEFT(VLOOKUP($E243,[1]Sheet1!$A:$J,10,0),FIND("_",VLOOKUP($E243,[1]Sheet1!$A:$J,10,0))-1)&amp;$G243))</f>
        <v>hulidaxian_skill041</v>
      </c>
      <c r="J243" s="45" t="str">
        <f>IF($I243="","",VLOOKUP($I243,技能描述!$A:$C,3,0))</f>
        <v>虎力大仙利用自身内丹治疗自身，每0.5秒恢复自身生命值上限@s的生命值，持续3秒，并清除自身所有不利状态</v>
      </c>
      <c r="K243" s="45" t="str">
        <f>IF($I243="","",INDEX([2]Sheet1!$1:$1048576,MATCH($I243,[2]Sheet1!$A:$A,0),MATCH("description_damage",[2]Sheet1!$2:$2,0)))</f>
        <v>9003</v>
      </c>
      <c r="L243" s="80" t="str">
        <f>IF($K243="","",IF(LEN($K243)-LEN(SUBSTITUTE($K243,",",""))=0,VLOOKUP(INT($K243),[3]Sheet1!$A:$C,3,0),VLOOKUP(INT(LEFT($K243,FIND(",",$K243)-1)),[3]Sheet1!$A:$C,3,0)))</f>
        <v>4|3|0.03|0|1</v>
      </c>
      <c r="M243" s="80" t="str">
        <f t="shared" si="11"/>
        <v>3%</v>
      </c>
      <c r="N243" s="45" t="str">
        <f>IF(LEN($K243)-LEN(SUBSTITUTE($K243,",",""))=1,VLOOKUP(INT(RIGHT($K243,LEN($K243)-FIND(",",$K243))),[3]Sheet1!$A:$C,3,0),"")</f>
        <v/>
      </c>
      <c r="O243" s="45" t="str">
        <f t="shared" si="7"/>
        <v/>
      </c>
      <c r="P243" s="45" t="str">
        <f t="shared" si="8"/>
        <v>虎力大仙利用自身内丹治疗自身，每0.5秒恢复自身生命值上限3%的生命值，持续3秒，并清除自身所有不利状态</v>
      </c>
      <c r="Q243" s="45" t="str">
        <f t="shared" si="9"/>
        <v>虎力大仙利用自身内丹治疗自身，每0.5秒恢复自身生命值上限3%的生命值，持续3秒，并清除自身所有不利状态</v>
      </c>
      <c r="R243" s="45"/>
      <c r="S243" s="45" t="str">
        <f>IF(ISERROR($Q243),"进阶+"&amp;COUNTIF($E$194:$E243,$E243)&amp;"："&amp;"找ZC配技能","进阶+"&amp;COUNTIF($E$194:$E243,$E243)&amp;"："&amp;VLOOKUP(COUNTIF($E$194:$E243,$E243),$L$184:$R$193,IF(H243=1,4,IF(H243=4,3,2))+IF(INDEX([1]Sheet1!$1:$1048576,MATCH($E243,[1]Sheet1!$A:$A,0),MATCH("zizhi",[1]Sheet1!$2:$2,0))&gt;=13,0,3),0)&amp;IF($Q243="","","（"&amp;$Q243&amp;"）"))</f>
        <v>进阶+10：增强AI2技能（虎力大仙利用自身内丹治疗自身，每0.5秒恢复自身生命值上限3%的生命值，持续3秒，并清除自身所有不利状态）</v>
      </c>
      <c r="T243" s="1"/>
      <c r="U243" s="1"/>
      <c r="V243" s="2" t="str">
        <f>VLOOKUP(COUNTIF($E$194:$E243,$E243),$L$184:$X$193,IF(H243=1,4,IF(H243=4,3,2))+IF(INDEX([1]Sheet1!$1:$1048576,MATCH($E243,[1]Sheet1!$A:$A,0),MATCH("zizhi",[1]Sheet1!$2:$2,0))&gt;=13,0,3)+6,0)</f>
        <v>[]</v>
      </c>
      <c r="W243" s="2" t="str">
        <f t="shared" si="6"/>
        <v>进阶+10：增强AI2技能（虎力大仙利用自身内丹治疗自身，每0.5秒恢复自身生命值上限3%的生命值，持续3秒，并清除自身所有不利状态）</v>
      </c>
      <c r="X243" s="45" t="str">
        <f t="shared" si="4"/>
        <v>[]</v>
      </c>
      <c r="Y243" s="2"/>
      <c r="Z243" s="2"/>
      <c r="AA243" s="2"/>
    </row>
    <row r="244" spans="1:27">
      <c r="A244" s="10">
        <f>E244*100+COUNTIF($E$194:$E244,$E244)</f>
        <v>112001</v>
      </c>
      <c r="B244" s="68" t="s">
        <v>319</v>
      </c>
      <c r="C244" s="50" t="s">
        <v>2086</v>
      </c>
      <c r="D244" s="10" t="str">
        <f t="shared" si="10"/>
        <v>[]</v>
      </c>
      <c r="E244" s="45">
        <f>INDEX($I:$I,MATCH($E243,$I:$I,0)+IF(COUNTIF($E$194:$E243,$E243)&lt;=VLOOKUP($E243,$I$134:$K$193,3,0)-1,0,1),0)</f>
        <v>1120</v>
      </c>
      <c r="F244" s="45" t="str">
        <f t="shared" si="5"/>
        <v>猪八戒</v>
      </c>
      <c r="H244" s="45">
        <f>VLOOKUP($E244,[1]Sheet1!$A:$G,7,0)</f>
        <v>4</v>
      </c>
      <c r="I244" s="45" t="str">
        <f>IF($G244="","",IF(COUNTIF(技能描述!$D:$D,$F244)&gt;0,VLOOKUP($F244&amp;$G244,技能描述!$A:$C,3,0),LEFT(VLOOKUP($E244,[1]Sheet1!$A:$J,10,0),FIND("_",VLOOKUP($E244,[1]Sheet1!$A:$J,10,0))-1)&amp;$G244))</f>
        <v/>
      </c>
      <c r="J244" s="45" t="str">
        <f>IF($I244="","",VLOOKUP($I244,技能描述!$A:$C,3,0))</f>
        <v/>
      </c>
      <c r="K244" s="45" t="str">
        <f>IF($I244="","",INDEX([2]Sheet1!$1:$1048576,MATCH($I244,[2]Sheet1!$A:$A,0),MATCH("description_damage",[2]Sheet1!$2:$2,0)))</f>
        <v/>
      </c>
      <c r="L244" s="80" t="str">
        <f>IF($K244="","",IF(LEN($K244)-LEN(SUBSTITUTE($K244,",",""))=0,VLOOKUP(INT($K244),[3]Sheet1!$A:$C,3,0),VLOOKUP(INT(LEFT($K244,FIND(",",$K244)-1)),[3]Sheet1!$A:$C,3,0)))</f>
        <v/>
      </c>
      <c r="M244" s="80" t="str">
        <f t="shared" si="11"/>
        <v/>
      </c>
      <c r="N244" s="45" t="str">
        <f>IF(LEN($K244)-LEN(SUBSTITUTE($K244,",",""))=1,VLOOKUP(INT(RIGHT($K244,LEN($K244)-FIND(",",$K244))),[3]Sheet1!$A:$C,3,0),"")</f>
        <v/>
      </c>
      <c r="O244" s="45" t="str">
        <f t="shared" si="7"/>
        <v/>
      </c>
      <c r="P244" s="45" t="str">
        <f t="shared" si="8"/>
        <v/>
      </c>
      <c r="Q244" s="45" t="str">
        <f t="shared" si="9"/>
        <v/>
      </c>
      <c r="R244" s="45"/>
      <c r="S244" s="45" t="str">
        <f>IF(ISERROR($Q244),"进阶+"&amp;COUNTIF($E$194:$E244,$E244)&amp;"："&amp;"找ZC配技能","进阶+"&amp;COUNTIF($E$194:$E244,$E244)&amp;"："&amp;VLOOKUP(COUNTIF($E$194:$E244,$E244),$L$184:$R$193,IF(H244=1,4,IF(H244=4,3,2))+IF(INDEX([1]Sheet1!$1:$1048576,MATCH($E244,[1]Sheet1!$A:$A,0),MATCH("zizhi",[1]Sheet1!$2:$2,0))&gt;=13,0,3),0)&amp;IF($Q244="","","（"&amp;$Q244&amp;"）"))</f>
        <v>进阶+1：生命提高10%</v>
      </c>
      <c r="T244" s="1"/>
      <c r="U244" s="1"/>
      <c r="V244" s="2" t="str">
        <f>VLOOKUP(COUNTIF($E$194:$E244,$E244),$L$184:$X$193,IF(H244=1,4,IF(H244=4,3,2))+IF(INDEX([1]Sheet1!$1:$1048576,MATCH($E244,[1]Sheet1!$A:$A,0),MATCH("zizhi",[1]Sheet1!$2:$2,0))&gt;=13,0,3)+6,0)</f>
        <v>11090</v>
      </c>
      <c r="W244" s="2" t="str">
        <f t="shared" si="6"/>
        <v>进阶+1：生命提高10%</v>
      </c>
      <c r="X244" s="45" t="str">
        <f t="shared" si="4"/>
        <v>11090</v>
      </c>
      <c r="Y244" s="2"/>
      <c r="Z244" s="2"/>
      <c r="AA244" s="2"/>
    </row>
    <row r="245" spans="1:27">
      <c r="A245" s="10">
        <f>E245*100+COUNTIF($E$194:$E245,$E245)</f>
        <v>112002</v>
      </c>
      <c r="B245" s="68" t="s">
        <v>332</v>
      </c>
      <c r="C245" s="50" t="s">
        <v>2</v>
      </c>
      <c r="D245" s="10">
        <f t="shared" si="10"/>
        <v>1</v>
      </c>
      <c r="E245" s="45">
        <f>INDEX($I:$I,MATCH($E244,$I:$I,0)+IF(COUNTIF($E$194:$E244,$E244)&lt;=VLOOKUP($E244,$I$134:$K$193,3,0)-1,0,1),0)</f>
        <v>1120</v>
      </c>
      <c r="F245" s="45" t="str">
        <f t="shared" si="5"/>
        <v>猪八戒</v>
      </c>
      <c r="G245" s="45" t="s">
        <v>216</v>
      </c>
      <c r="H245" s="45">
        <f>VLOOKUP($E245,[1]Sheet1!$A:$G,7,0)</f>
        <v>4</v>
      </c>
      <c r="I245" s="45" t="str">
        <f>IF($G245="","",IF(COUNTIF(技能描述!$D:$D,$F245)&gt;0,VLOOKUP($F245&amp;$G245,技能描述!$A:$C,3,0),LEFT(VLOOKUP($E245,[1]Sheet1!$A:$J,10,0),FIND("_",VLOOKUP($E245,[1]Sheet1!$A:$J,10,0))-1)&amp;$G245))</f>
        <v>zhubajie_skill03</v>
      </c>
      <c r="J245" s="45" t="str">
        <f>IF($I245="","",VLOOKUP($I245,技能描述!$A:$C,3,0))</f>
        <v>进入战斗场景时，降低自身受到的伤害@s</v>
      </c>
      <c r="K245" s="45" t="str">
        <f>IF($I245="","",INDEX([2]Sheet1!$1:$1048576,MATCH($I245,[2]Sheet1!$A:$A,0),MATCH("description_damage",[2]Sheet1!$2:$2,0)))</f>
        <v>9020</v>
      </c>
      <c r="L245" s="80" t="str">
        <f>IF($K245="","",IF(LEN($K245)-LEN(SUBSTITUTE($K245,",",""))=0,VLOOKUP(INT($K245),[3]Sheet1!$A:$C,3,0),VLOOKUP(INT(LEFT($K245,FIND(",",$K245)-1)),[3]Sheet1!$A:$C,3,0)))</f>
        <v>4|3|0.2|0|1</v>
      </c>
      <c r="M245" s="80" t="str">
        <f t="shared" si="11"/>
        <v>20%</v>
      </c>
      <c r="N245" s="45" t="str">
        <f>IF(LEN($K245)-LEN(SUBSTITUTE($K245,",",""))=1,VLOOKUP(INT(RIGHT($K245,LEN($K245)-FIND(",",$K245))),[3]Sheet1!$A:$C,3,0),"")</f>
        <v/>
      </c>
      <c r="O245" s="45" t="str">
        <f t="shared" si="7"/>
        <v/>
      </c>
      <c r="P245" s="45" t="str">
        <f t="shared" si="8"/>
        <v>进入战斗场景时，降低自身受到的伤害20%</v>
      </c>
      <c r="Q245" s="45" t="str">
        <f t="shared" si="9"/>
        <v>进入战斗场景时，降低自身受到的伤害20%</v>
      </c>
      <c r="R245" s="45"/>
      <c r="S245" s="45" t="str">
        <f>IF(ISERROR($Q245),"进阶+"&amp;COUNTIF($E$194:$E245,$E245)&amp;"："&amp;"找ZC配技能","进阶+"&amp;COUNTIF($E$194:$E245,$E245)&amp;"："&amp;VLOOKUP(COUNTIF($E$194:$E245,$E245),$L$184:$R$193,IF(H245=1,4,IF(H245=4,3,2))+IF(INDEX([1]Sheet1!$1:$1048576,MATCH($E245,[1]Sheet1!$A:$A,0),MATCH("zizhi",[1]Sheet1!$2:$2,0))&gt;=13,0,3),0)&amp;IF($Q245="","","（"&amp;$Q245&amp;"）"))</f>
        <v>进阶+2：激活被动技能（进入战斗场景时，降低自身受到的伤害20%）</v>
      </c>
      <c r="T245" s="1"/>
      <c r="U245" s="1"/>
      <c r="V245" s="2" t="str">
        <f>VLOOKUP(COUNTIF($E$194:$E245,$E245),$L$184:$X$193,IF(H245=1,4,IF(H245=4,3,2))+IF(INDEX([1]Sheet1!$1:$1048576,MATCH($E245,[1]Sheet1!$A:$A,0),MATCH("zizhi",[1]Sheet1!$2:$2,0))&gt;=13,0,3)+6,0)</f>
        <v>[]</v>
      </c>
      <c r="W245" s="2" t="str">
        <f t="shared" si="6"/>
        <v>进阶+2：激活被动技能（进入战斗场景时，降低自身受到的伤害20%）</v>
      </c>
      <c r="X245" s="45" t="str">
        <f t="shared" si="4"/>
        <v>[]</v>
      </c>
      <c r="Y245" s="2"/>
      <c r="Z245" s="2"/>
      <c r="AA245" s="2"/>
    </row>
    <row r="246" spans="1:27">
      <c r="A246" s="10">
        <f>E246*100+COUNTIF($E$194:$E246,$E246)</f>
        <v>112003</v>
      </c>
      <c r="B246" s="68" t="s">
        <v>324</v>
      </c>
      <c r="C246" s="50" t="s">
        <v>140</v>
      </c>
      <c r="D246" s="10" t="str">
        <f t="shared" si="10"/>
        <v>[]</v>
      </c>
      <c r="E246" s="45">
        <f>INDEX($I:$I,MATCH($E245,$I:$I,0)+IF(COUNTIF($E$194:$E245,$E245)&lt;=VLOOKUP($E245,$I$134:$K$193,3,0)-1,0,1),0)</f>
        <v>1120</v>
      </c>
      <c r="F246" s="45" t="str">
        <f t="shared" si="5"/>
        <v>猪八戒</v>
      </c>
      <c r="H246" s="45">
        <f>VLOOKUP($E246,[1]Sheet1!$A:$G,7,0)</f>
        <v>4</v>
      </c>
      <c r="I246" s="45" t="str">
        <f>IF($G246="","",IF(COUNTIF(技能描述!$D:$D,$F246)&gt;0,VLOOKUP($F246&amp;$G246,技能描述!$A:$C,3,0),LEFT(VLOOKUP($E246,[1]Sheet1!$A:$J,10,0),FIND("_",VLOOKUP($E246,[1]Sheet1!$A:$J,10,0))-1)&amp;$G246))</f>
        <v/>
      </c>
      <c r="J246" s="45" t="str">
        <f>IF($I246="","",VLOOKUP($I246,技能描述!$A:$C,3,0))</f>
        <v/>
      </c>
      <c r="K246" s="45" t="str">
        <f>IF($I246="","",INDEX([2]Sheet1!$1:$1048576,MATCH($I246,[2]Sheet1!$A:$A,0),MATCH("description_damage",[2]Sheet1!$2:$2,0)))</f>
        <v/>
      </c>
      <c r="L246" s="80" t="str">
        <f>IF($K246="","",IF(LEN($K246)-LEN(SUBSTITUTE($K246,",",""))=0,VLOOKUP(INT($K246),[3]Sheet1!$A:$C,3,0),VLOOKUP(INT(LEFT($K246,FIND(",",$K246)-1)),[3]Sheet1!$A:$C,3,0)))</f>
        <v/>
      </c>
      <c r="M246" s="80" t="str">
        <f t="shared" si="11"/>
        <v/>
      </c>
      <c r="N246" s="45" t="str">
        <f>IF(LEN($K246)-LEN(SUBSTITUTE($K246,",",""))=1,VLOOKUP(INT(RIGHT($K246,LEN($K246)-FIND(",",$K246))),[3]Sheet1!$A:$C,3,0),"")</f>
        <v/>
      </c>
      <c r="O246" s="45" t="str">
        <f t="shared" si="7"/>
        <v/>
      </c>
      <c r="P246" s="45" t="str">
        <f t="shared" si="8"/>
        <v/>
      </c>
      <c r="Q246" s="45" t="str">
        <f t="shared" si="9"/>
        <v/>
      </c>
      <c r="R246" s="45"/>
      <c r="S246" s="45" t="str">
        <f>IF(ISERROR($Q246),"进阶+"&amp;COUNTIF($E$194:$E246,$E246)&amp;"："&amp;"找ZC配技能","进阶+"&amp;COUNTIF($E$194:$E246,$E246)&amp;"："&amp;VLOOKUP(COUNTIF($E$194:$E246,$E246),$L$184:$R$193,IF(H246=1,4,IF(H246=4,3,2))+IF(INDEX([1]Sheet1!$1:$1048576,MATCH($E246,[1]Sheet1!$A:$A,0),MATCH("zizhi",[1]Sheet1!$2:$2,0))&gt;=13,0,3),0)&amp;IF($Q246="","","（"&amp;$Q246&amp;"）"))</f>
        <v>进阶+3：生命，防御提高10%</v>
      </c>
      <c r="T246" s="1"/>
      <c r="U246" s="1"/>
      <c r="V246" s="2" t="str">
        <f>VLOOKUP(COUNTIF($E$194:$E246,$E246),$L$184:$X$193,IF(H246=1,4,IF(H246=4,3,2))+IF(INDEX([1]Sheet1!$1:$1048576,MATCH($E246,[1]Sheet1!$A:$A,0),MATCH("zizhi",[1]Sheet1!$2:$2,0))&gt;=13,0,3)+6,0)</f>
        <v>11090,6502,6512</v>
      </c>
      <c r="W246" s="2" t="str">
        <f t="shared" si="6"/>
        <v>进阶+3：生命，防御提高10%</v>
      </c>
      <c r="X246" s="45" t="str">
        <f t="shared" si="4"/>
        <v>11090,6502,6512</v>
      </c>
      <c r="Y246" s="2"/>
      <c r="Z246" s="2"/>
      <c r="AA246" s="2"/>
    </row>
    <row r="247" spans="1:27" ht="33">
      <c r="A247" s="10">
        <f>E247*100+COUNTIF($E$194:$E247,$E247)</f>
        <v>112004</v>
      </c>
      <c r="B247" s="68" t="s">
        <v>1858</v>
      </c>
      <c r="C247" s="50" t="s">
        <v>2</v>
      </c>
      <c r="D247" s="10">
        <f t="shared" si="10"/>
        <v>1</v>
      </c>
      <c r="E247" s="45">
        <f>INDEX($I:$I,MATCH($E246,$I:$I,0)+IF(COUNTIF($E$194:$E246,$E246)&lt;=VLOOKUP($E246,$I$134:$K$193,3,0)-1,0,1),0)</f>
        <v>1120</v>
      </c>
      <c r="F247" s="45" t="str">
        <f t="shared" si="5"/>
        <v>猪八戒</v>
      </c>
      <c r="G247" s="45" t="s">
        <v>217</v>
      </c>
      <c r="H247" s="45">
        <f>VLOOKUP($E247,[1]Sheet1!$A:$G,7,0)</f>
        <v>4</v>
      </c>
      <c r="I247" s="45" t="str">
        <f>IF($G247="","",IF(COUNTIF(技能描述!$D:$D,$F247)&gt;0,VLOOKUP($F247&amp;$G247,技能描述!$A:$C,3,0),LEFT(VLOOKUP($E247,[1]Sheet1!$A:$J,10,0),FIND("_",VLOOKUP($E247,[1]Sheet1!$A:$J,10,0))-1)&amp;$G247))</f>
        <v>zhubajie_skill04</v>
      </c>
      <c r="J247" s="45" t="str">
        <f>IF($I247="","",VLOOKUP($I247,技能描述!$A:$C,3,0))</f>
        <v>猪八戒释放自身神力，对范围内敌人造成自身攻击力@s的法伤，30%的概率击飞对手2秒</v>
      </c>
      <c r="K247" s="45" t="str">
        <f>IF($I247="","",INDEX([2]Sheet1!$1:$1048576,MATCH($I247,[2]Sheet1!$A:$A,0),MATCH("description_damage",[2]Sheet1!$2:$2,0)))</f>
        <v>112006,9010</v>
      </c>
      <c r="L247" s="80" t="str">
        <f>IF($K247="","",IF(LEN($K247)-LEN(SUBSTITUTE($K247,",",""))=0,VLOOKUP(INT($K247),[3]Sheet1!$A:$C,3,0),VLOOKUP(INT(LEFT($K247,FIND(",",$K247)-1)),[3]Sheet1!$A:$C,3,0)))</f>
        <v>2|2|1.5|0|0|0</v>
      </c>
      <c r="M247" s="80" t="str">
        <f t="shared" si="11"/>
        <v>150%</v>
      </c>
      <c r="N247" s="45" t="str">
        <f>IF(LEN($K247)-LEN(SUBSTITUTE($K247,",",""))=1,VLOOKUP(INT(RIGHT($K247,LEN($K247)-FIND(",",$K247))),[3]Sheet1!$A:$C,3,0),"")</f>
        <v>4|3|0.1|0|1</v>
      </c>
      <c r="O247" s="45" t="str">
        <f t="shared" si="7"/>
        <v>10%</v>
      </c>
      <c r="P247" s="45" t="str">
        <f t="shared" si="8"/>
        <v>猪八戒释放自身神力，对范围内敌人造成自身攻击力150%的法伤，30%的概率击飞对手2秒</v>
      </c>
      <c r="Q247" s="45" t="str">
        <f t="shared" si="9"/>
        <v>猪八戒释放自身神力，对范围内敌人造成自身攻击力150%的法伤，30%的概率击飞对手2秒</v>
      </c>
      <c r="R247" s="45"/>
      <c r="S247" s="45" t="str">
        <f>IF(ISERROR($Q247),"进阶+"&amp;COUNTIF($E$194:$E247,$E247)&amp;"："&amp;"找ZC配技能","进阶+"&amp;COUNTIF($E$194:$E247,$E247)&amp;"："&amp;VLOOKUP(COUNTIF($E$194:$E247,$E247),$L$184:$R$193,IF(H247=1,4,IF(H247=4,3,2))+IF(INDEX([1]Sheet1!$1:$1048576,MATCH($E247,[1]Sheet1!$A:$A,0),MATCH("zizhi",[1]Sheet1!$2:$2,0))&gt;=13,0,3),0)&amp;IF($Q247="","","（"&amp;$Q247&amp;"）"))</f>
        <v>进阶+4：激活AI2技能（猪八戒释放自身神力，对范围内敌人造成自身攻击力150%的法伤，30%的概率击飞对手2秒）</v>
      </c>
      <c r="T247" s="1"/>
      <c r="U247" s="1"/>
      <c r="V247" s="2" t="str">
        <f>VLOOKUP(COUNTIF($E$194:$E247,$E247),$L$184:$X$193,IF(H247=1,4,IF(H247=4,3,2))+IF(INDEX([1]Sheet1!$1:$1048576,MATCH($E247,[1]Sheet1!$A:$A,0),MATCH("zizhi",[1]Sheet1!$2:$2,0))&gt;=13,0,3)+6,0)</f>
        <v>[]</v>
      </c>
      <c r="W247" s="2" t="str">
        <f t="shared" si="6"/>
        <v>进阶+4：激活AI2技能（猪八戒释放自身神力，对范围内敌人造成自身攻击力150%的法伤，30%的概率击飞对手2秒）</v>
      </c>
      <c r="X247" s="45" t="str">
        <f t="shared" si="4"/>
        <v>[]</v>
      </c>
      <c r="Y247" s="2"/>
      <c r="Z247" s="2"/>
      <c r="AA247" s="2"/>
    </row>
    <row r="248" spans="1:27">
      <c r="A248" s="10">
        <f>E248*100+COUNTIF($E$194:$E248,$E248)</f>
        <v>112005</v>
      </c>
      <c r="B248" s="68" t="s">
        <v>320</v>
      </c>
      <c r="C248" s="50" t="s">
        <v>239</v>
      </c>
      <c r="D248" s="10" t="str">
        <f t="shared" si="10"/>
        <v>[]</v>
      </c>
      <c r="E248" s="45">
        <f>INDEX($I:$I,MATCH($E247,$I:$I,0)+IF(COUNTIF($E$194:$E247,$E247)&lt;=VLOOKUP($E247,$I$134:$K$193,3,0)-1,0,1),0)</f>
        <v>1120</v>
      </c>
      <c r="F248" s="45" t="str">
        <f t="shared" si="5"/>
        <v>猪八戒</v>
      </c>
      <c r="H248" s="45">
        <f>VLOOKUP($E248,[1]Sheet1!$A:$G,7,0)</f>
        <v>4</v>
      </c>
      <c r="I248" s="45" t="str">
        <f>IF($G248="","",IF(COUNTIF(技能描述!$D:$D,$F248)&gt;0,VLOOKUP($F248&amp;$G248,技能描述!$A:$C,3,0),LEFT(VLOOKUP($E248,[1]Sheet1!$A:$J,10,0),FIND("_",VLOOKUP($E248,[1]Sheet1!$A:$J,10,0))-1)&amp;$G248))</f>
        <v/>
      </c>
      <c r="J248" s="45" t="str">
        <f>IF($I248="","",VLOOKUP($I248,技能描述!$A:$C,3,0))</f>
        <v/>
      </c>
      <c r="K248" s="45" t="str">
        <f>IF($I248="","",INDEX([2]Sheet1!$1:$1048576,MATCH($I248,[2]Sheet1!$A:$A,0),MATCH("description_damage",[2]Sheet1!$2:$2,0)))</f>
        <v/>
      </c>
      <c r="L248" s="80" t="str">
        <f>IF($K248="","",IF(LEN($K248)-LEN(SUBSTITUTE($K248,",",""))=0,VLOOKUP(INT($K248),[3]Sheet1!$A:$C,3,0),VLOOKUP(INT(LEFT($K248,FIND(",",$K248)-1)),[3]Sheet1!$A:$C,3,0)))</f>
        <v/>
      </c>
      <c r="M248" s="80" t="str">
        <f t="shared" si="11"/>
        <v/>
      </c>
      <c r="N248" s="45" t="str">
        <f>IF(LEN($K248)-LEN(SUBSTITUTE($K248,",",""))=1,VLOOKUP(INT(RIGHT($K248,LEN($K248)-FIND(",",$K248))),[3]Sheet1!$A:$C,3,0),"")</f>
        <v/>
      </c>
      <c r="O248" s="45" t="str">
        <f t="shared" si="7"/>
        <v/>
      </c>
      <c r="P248" s="45" t="str">
        <f t="shared" si="8"/>
        <v/>
      </c>
      <c r="Q248" s="45" t="str">
        <f t="shared" si="9"/>
        <v/>
      </c>
      <c r="R248" s="45"/>
      <c r="S248" s="45" t="str">
        <f>IF(ISERROR($Q248),"进阶+"&amp;COUNTIF($E$194:$E248,$E248)&amp;"："&amp;"找ZC配技能","进阶+"&amp;COUNTIF($E$194:$E248,$E248)&amp;"："&amp;VLOOKUP(COUNTIF($E$194:$E248,$E248),$L$184:$R$193,IF(H248=1,4,IF(H248=4,3,2))+IF(INDEX([1]Sheet1!$1:$1048576,MATCH($E248,[1]Sheet1!$A:$A,0),MATCH("zizhi",[1]Sheet1!$2:$2,0))&gt;=13,0,3),0)&amp;IF($Q248="","","（"&amp;$Q248&amp;"）"))</f>
        <v>进阶+5：攻击提高15%</v>
      </c>
      <c r="T248" s="1"/>
      <c r="U248" s="1"/>
      <c r="V248" s="2" t="str">
        <f>VLOOKUP(COUNTIF($E$194:$E248,$E248),$L$184:$X$193,IF(H248=1,4,IF(H248=4,3,2))+IF(INDEX([1]Sheet1!$1:$1048576,MATCH($E248,[1]Sheet1!$A:$A,0),MATCH("zizhi",[1]Sheet1!$2:$2,0))&gt;=13,0,3)+6,0)</f>
        <v>11055</v>
      </c>
      <c r="W248" s="2" t="str">
        <f t="shared" si="6"/>
        <v>进阶+5：攻击提高15%</v>
      </c>
      <c r="X248" s="45" t="str">
        <f t="shared" si="4"/>
        <v>11055</v>
      </c>
      <c r="Y248" s="2"/>
      <c r="Z248" s="2"/>
      <c r="AA248" s="2"/>
    </row>
    <row r="249" spans="1:27" ht="33">
      <c r="A249" s="10">
        <f>E249*100+COUNTIF($E$194:$E249,$E249)</f>
        <v>112006</v>
      </c>
      <c r="B249" s="68" t="s">
        <v>1992</v>
      </c>
      <c r="C249" s="50" t="s">
        <v>2</v>
      </c>
      <c r="D249" s="10">
        <f t="shared" si="10"/>
        <v>1</v>
      </c>
      <c r="E249" s="45">
        <f>INDEX($I:$I,MATCH($E248,$I:$I,0)+IF(COUNTIF($E$194:$E248,$E248)&lt;=VLOOKUP($E248,$I$134:$K$193,3,0)-1,0,1),0)</f>
        <v>1120</v>
      </c>
      <c r="F249" s="45" t="str">
        <f t="shared" si="5"/>
        <v>猪八戒</v>
      </c>
      <c r="G249" s="45" t="s">
        <v>218</v>
      </c>
      <c r="H249" s="45">
        <f>VLOOKUP($E249,[1]Sheet1!$A:$G,7,0)</f>
        <v>4</v>
      </c>
      <c r="I249" s="45" t="str">
        <f>IF($G249="","",IF(COUNTIF(技能描述!$D:$D,$F249)&gt;0,VLOOKUP($F249&amp;$G249,技能描述!$A:$C,3,0),LEFT(VLOOKUP($E249,[1]Sheet1!$A:$J,10,0),FIND("_",VLOOKUP($E249,[1]Sheet1!$A:$J,10,0))-1)&amp;$G249))</f>
        <v>zhubajie_skill011</v>
      </c>
      <c r="J249" s="45" t="str">
        <f>IF($I249="","",VLOOKUP($I249,技能描述!$A:$C,3,0))</f>
        <v>释放天蓬元帅之力，以神威护体，所有目标有50%的概率进入无敌状态，持续2秒</v>
      </c>
      <c r="K249" s="45" t="str">
        <f>IF($I249="","",INDEX([2]Sheet1!$1:$1048576,MATCH($I249,[2]Sheet1!$A:$A,0),MATCH("description_damage",[2]Sheet1!$2:$2,0)))</f>
        <v>9040</v>
      </c>
      <c r="L249" s="80" t="str">
        <f>IF($K249="","",IF(LEN($K249)-LEN(SUBSTITUTE($K249,",",""))=0,VLOOKUP(INT($K249),[3]Sheet1!$A:$C,3,0),VLOOKUP(INT(LEFT($K249,FIND(",",$K249)-1)),[3]Sheet1!$A:$C,3,0)))</f>
        <v>4|3|0.4|0|1</v>
      </c>
      <c r="M249" s="80" t="str">
        <f t="shared" si="11"/>
        <v>40%</v>
      </c>
      <c r="N249" s="45" t="str">
        <f>IF(LEN($K249)-LEN(SUBSTITUTE($K249,",",""))=1,VLOOKUP(INT(RIGHT($K249,LEN($K249)-FIND(",",$K249))),[3]Sheet1!$A:$C,3,0),"")</f>
        <v/>
      </c>
      <c r="O249" s="45" t="str">
        <f t="shared" si="7"/>
        <v/>
      </c>
      <c r="P249" s="45" t="str">
        <f t="shared" si="8"/>
        <v>释放天蓬元帅之力，以神威护体，所有目标有50%的概率进入无敌状态，持续2秒</v>
      </c>
      <c r="Q249" s="45" t="str">
        <f t="shared" si="9"/>
        <v>释放天蓬元帅之力，以神威护体，所有目标有50%的概率进入无敌状态，持续2秒</v>
      </c>
      <c r="R249" s="45"/>
      <c r="S249" s="45" t="str">
        <f>IF(ISERROR($Q249),"进阶+"&amp;COUNTIF($E$194:$E249,$E249)&amp;"："&amp;"找ZC配技能","进阶+"&amp;COUNTIF($E$194:$E249,$E249)&amp;"："&amp;VLOOKUP(COUNTIF($E$194:$E249,$E249),$L$184:$R$193,IF(H249=1,4,IF(H249=4,3,2))+IF(INDEX([1]Sheet1!$1:$1048576,MATCH($E249,[1]Sheet1!$A:$A,0),MATCH("zizhi",[1]Sheet1!$2:$2,0))&gt;=13,0,3),0)&amp;IF($Q249="","","（"&amp;$Q249&amp;"）"))</f>
        <v>进阶+6：增强主角技能（释放天蓬元帅之力，以神威护体，所有目标有50%的概率进入无敌状态，持续2秒）</v>
      </c>
      <c r="T249" s="1"/>
      <c r="U249" s="1"/>
      <c r="V249" s="2" t="str">
        <f>VLOOKUP(COUNTIF($E$194:$E249,$E249),$L$184:$X$193,IF(H249=1,4,IF(H249=4,3,2))+IF(INDEX([1]Sheet1!$1:$1048576,MATCH($E249,[1]Sheet1!$A:$A,0),MATCH("zizhi",[1]Sheet1!$2:$2,0))&gt;=13,0,3)+6,0)</f>
        <v>[]</v>
      </c>
      <c r="W249" s="2" t="str">
        <f t="shared" si="6"/>
        <v>进阶+6：增强主角技能（释放天蓬元帅之力，以神威护体，所有目标有50%的概率进入无敌状态，持续2秒）</v>
      </c>
      <c r="X249" s="45" t="str">
        <f t="shared" si="4"/>
        <v>[]</v>
      </c>
      <c r="Y249" s="2"/>
      <c r="Z249" s="2"/>
      <c r="AA249" s="2"/>
    </row>
    <row r="250" spans="1:27">
      <c r="A250" s="10">
        <f>E250*100+COUNTIF($E$194:$E250,$E250)</f>
        <v>112007</v>
      </c>
      <c r="B250" s="68" t="s">
        <v>360</v>
      </c>
      <c r="C250" s="50" t="s">
        <v>354</v>
      </c>
      <c r="D250" s="10" t="str">
        <f t="shared" si="10"/>
        <v>[]</v>
      </c>
      <c r="E250" s="45">
        <f>INDEX($I:$I,MATCH($E249,$I:$I,0)+IF(COUNTIF($E$194:$E249,$E249)&lt;=VLOOKUP($E249,$I$134:$K$193,3,0)-1,0,1),0)</f>
        <v>1120</v>
      </c>
      <c r="F250" s="45" t="str">
        <f t="shared" si="5"/>
        <v>猪八戒</v>
      </c>
      <c r="H250" s="45">
        <f>VLOOKUP($E250,[1]Sheet1!$A:$G,7,0)</f>
        <v>4</v>
      </c>
      <c r="I250" s="45" t="str">
        <f>IF($G250="","",IF(COUNTIF(技能描述!$D:$D,$F250)&gt;0,VLOOKUP($F250&amp;$G250,技能描述!$A:$C,3,0),LEFT(VLOOKUP($E250,[1]Sheet1!$A:$J,10,0),FIND("_",VLOOKUP($E250,[1]Sheet1!$A:$J,10,0))-1)&amp;$G250))</f>
        <v/>
      </c>
      <c r="J250" s="45" t="str">
        <f>IF($I250="","",VLOOKUP($I250,技能描述!$A:$C,3,0))</f>
        <v/>
      </c>
      <c r="K250" s="45" t="str">
        <f>IF($I250="","",INDEX([2]Sheet1!$1:$1048576,MATCH($I250,[2]Sheet1!$A:$A,0),MATCH("description_damage",[2]Sheet1!$2:$2,0)))</f>
        <v/>
      </c>
      <c r="L250" s="80" t="str">
        <f>IF($K250="","",IF(LEN($K250)-LEN(SUBSTITUTE($K250,",",""))=0,VLOOKUP(INT($K250),[3]Sheet1!$A:$C,3,0),VLOOKUP(INT(LEFT($K250,FIND(",",$K250)-1)),[3]Sheet1!$A:$C,3,0)))</f>
        <v/>
      </c>
      <c r="M250" s="80" t="str">
        <f t="shared" si="11"/>
        <v/>
      </c>
      <c r="N250" s="45" t="str">
        <f>IF(LEN($K250)-LEN(SUBSTITUTE($K250,",",""))=1,VLOOKUP(INT(RIGHT($K250,LEN($K250)-FIND(",",$K250))),[3]Sheet1!$A:$C,3,0),"")</f>
        <v/>
      </c>
      <c r="O250" s="45" t="str">
        <f t="shared" si="7"/>
        <v/>
      </c>
      <c r="P250" s="45" t="str">
        <f t="shared" si="8"/>
        <v/>
      </c>
      <c r="Q250" s="45" t="str">
        <f t="shared" si="9"/>
        <v/>
      </c>
      <c r="R250" s="45"/>
      <c r="S250" s="45" t="str">
        <f>IF(ISERROR($Q250),"进阶+"&amp;COUNTIF($E$194:$E250,$E250)&amp;"："&amp;"找ZC配技能","进阶+"&amp;COUNTIF($E$194:$E250,$E250)&amp;"："&amp;VLOOKUP(COUNTIF($E$194:$E250,$E250),$L$184:$R$193,IF(H250=1,4,IF(H250=4,3,2))+IF(INDEX([1]Sheet1!$1:$1048576,MATCH($E250,[1]Sheet1!$A:$A,0),MATCH("zizhi",[1]Sheet1!$2:$2,0))&gt;=13,0,3),0)&amp;IF($Q250="","","（"&amp;$Q250&amp;"）"))</f>
        <v>进阶+7：全队生命，防御提高10%</v>
      </c>
      <c r="T250" s="1"/>
      <c r="U250" s="1"/>
      <c r="V250" s="2" t="str">
        <f>VLOOKUP(COUNTIF($E$194:$E250,$E250),$L$184:$X$193,IF(H250=1,4,IF(H250=4,3,2))+IF(INDEX([1]Sheet1!$1:$1048576,MATCH($E250,[1]Sheet1!$A:$A,0),MATCH("zizhi",[1]Sheet1!$2:$2,0))&gt;=13,0,3)+6,0)</f>
        <v>57010,59010,60010</v>
      </c>
      <c r="W250" s="2" t="str">
        <f t="shared" si="6"/>
        <v>进阶+7：全队生命，防御提高10%</v>
      </c>
      <c r="X250" s="45" t="str">
        <f t="shared" si="4"/>
        <v>57010,59010,60010</v>
      </c>
      <c r="Y250" s="2"/>
      <c r="Z250" s="2"/>
      <c r="AA250" s="2"/>
    </row>
    <row r="251" spans="1:27" ht="33">
      <c r="A251" s="10">
        <f>E251*100+COUNTIF($E$194:$E251,$E251)</f>
        <v>112008</v>
      </c>
      <c r="B251" s="68" t="s">
        <v>1993</v>
      </c>
      <c r="C251" s="50" t="s">
        <v>2</v>
      </c>
      <c r="D251" s="10">
        <f t="shared" si="10"/>
        <v>1</v>
      </c>
      <c r="E251" s="45">
        <f>INDEX($I:$I,MATCH($E250,$I:$I,0)+IF(COUNTIF($E$194:$E250,$E250)&lt;=VLOOKUP($E250,$I$134:$K$193,3,0)-1,0,1),0)</f>
        <v>1120</v>
      </c>
      <c r="F251" s="45" t="str">
        <f t="shared" si="5"/>
        <v>猪八戒</v>
      </c>
      <c r="G251" s="45" t="s">
        <v>219</v>
      </c>
      <c r="H251" s="45">
        <f>VLOOKUP($E251,[1]Sheet1!$A:$G,7,0)</f>
        <v>4</v>
      </c>
      <c r="I251" s="45" t="str">
        <f>IF($G251="","",IF(COUNTIF(技能描述!$D:$D,$F251)&gt;0,VLOOKUP($F251&amp;$G251,技能描述!$A:$C,3,0),LEFT(VLOOKUP($E251,[1]Sheet1!$A:$J,10,0),FIND("_",VLOOKUP($E251,[1]Sheet1!$A:$J,10,0))-1)&amp;$G251))</f>
        <v>zhubajie_skill021</v>
      </c>
      <c r="J251" s="45" t="str">
        <f>IF($I251="","",VLOOKUP($I251,技能描述!$A:$C,3,0))</f>
        <v>猪八戒以天神仙力护体，提升自身防御力@s，持续6秒，自身60%的概率进入无敌状态，持续2秒</v>
      </c>
      <c r="K251" s="45" t="str">
        <f>IF($I251="","",INDEX([2]Sheet1!$1:$1048576,MATCH($I251,[2]Sheet1!$A:$A,0),MATCH("description_damage",[2]Sheet1!$2:$2,0)))</f>
        <v>9040</v>
      </c>
      <c r="L251" s="80" t="str">
        <f>IF($K251="","",IF(LEN($K251)-LEN(SUBSTITUTE($K251,",",""))=0,VLOOKUP(INT($K251),[3]Sheet1!$A:$C,3,0),VLOOKUP(INT(LEFT($K251,FIND(",",$K251)-1)),[3]Sheet1!$A:$C,3,0)))</f>
        <v>4|3|0.4|0|1</v>
      </c>
      <c r="M251" s="80" t="str">
        <f t="shared" si="11"/>
        <v>40%</v>
      </c>
      <c r="N251" s="45" t="str">
        <f>IF(LEN($K251)-LEN(SUBSTITUTE($K251,",",""))=1,VLOOKUP(INT(RIGHT($K251,LEN($K251)-FIND(",",$K251))),[3]Sheet1!$A:$C,3,0),"")</f>
        <v/>
      </c>
      <c r="O251" s="45" t="str">
        <f t="shared" si="7"/>
        <v/>
      </c>
      <c r="P251" s="45" t="str">
        <f t="shared" si="8"/>
        <v>猪八戒以天神仙力护体，提升自身防御力40%，持续6秒，自身60%的概率进入无敌状态，持续2秒</v>
      </c>
      <c r="Q251" s="45" t="str">
        <f t="shared" si="9"/>
        <v>猪八戒以天神仙力护体，提升自身防御力40%，持续6秒，自身60%的概率进入无敌状态，持续2秒</v>
      </c>
      <c r="R251" s="45"/>
      <c r="S251" s="45" t="str">
        <f>IF(ISERROR($Q251),"进阶+"&amp;COUNTIF($E$194:$E251,$E251)&amp;"："&amp;"找ZC配技能","进阶+"&amp;COUNTIF($E$194:$E251,$E251)&amp;"："&amp;VLOOKUP(COUNTIF($E$194:$E251,$E251),$L$184:$R$193,IF(H251=1,4,IF(H251=4,3,2))+IF(INDEX([1]Sheet1!$1:$1048576,MATCH($E251,[1]Sheet1!$A:$A,0),MATCH("zizhi",[1]Sheet1!$2:$2,0))&gt;=13,0,3),0)&amp;IF($Q251="","","（"&amp;$Q251&amp;"）"))</f>
        <v>进阶+8：增强AI1技能（猪八戒以天神仙力护体，提升自身防御力40%，持续6秒，自身60%的概率进入无敌状态，持续2秒）</v>
      </c>
      <c r="T251" s="1"/>
      <c r="U251" s="1"/>
      <c r="V251" s="2" t="str">
        <f>VLOOKUP(COUNTIF($E$194:$E251,$E251),$L$184:$X$193,IF(H251=1,4,IF(H251=4,3,2))+IF(INDEX([1]Sheet1!$1:$1048576,MATCH($E251,[1]Sheet1!$A:$A,0),MATCH("zizhi",[1]Sheet1!$2:$2,0))&gt;=13,0,3)+6,0)</f>
        <v>[]</v>
      </c>
      <c r="W251" s="2" t="str">
        <f t="shared" si="6"/>
        <v>进阶+8：增强AI1技能（猪八戒以天神仙力护体，提升自身防御力40%，持续6秒，自身60%的概率进入无敌状态，持续2秒）</v>
      </c>
      <c r="X251" s="45" t="str">
        <f t="shared" si="4"/>
        <v>[]</v>
      </c>
      <c r="Y251" s="2"/>
      <c r="Z251" s="2"/>
      <c r="AA251" s="2"/>
    </row>
    <row r="252" spans="1:27">
      <c r="A252" s="10">
        <f>E252*100+COUNTIF($E$194:$E252,$E252)</f>
        <v>112009</v>
      </c>
      <c r="B252" s="68" t="s">
        <v>1902</v>
      </c>
      <c r="C252" s="50" t="s">
        <v>357</v>
      </c>
      <c r="D252" s="10" t="str">
        <f t="shared" si="10"/>
        <v>[]</v>
      </c>
      <c r="E252" s="45">
        <f>INDEX($I:$I,MATCH($E251,$I:$I,0)+IF(COUNTIF($E$194:$E251,$E251)&lt;=VLOOKUP($E251,$I$134:$K$193,3,0)-1,0,1),0)</f>
        <v>1120</v>
      </c>
      <c r="F252" s="45" t="str">
        <f t="shared" si="5"/>
        <v>猪八戒</v>
      </c>
      <c r="H252" s="45">
        <f>VLOOKUP($E252,[1]Sheet1!$A:$G,7,0)</f>
        <v>4</v>
      </c>
      <c r="I252" s="45" t="str">
        <f>IF($G252="","",IF(COUNTIF(技能描述!$D:$D,$F252)&gt;0,VLOOKUP($F252&amp;$G252,技能描述!$A:$C,3,0),LEFT(VLOOKUP($E252,[1]Sheet1!$A:$J,10,0),FIND("_",VLOOKUP($E252,[1]Sheet1!$A:$J,10,0))-1)&amp;$G252))</f>
        <v/>
      </c>
      <c r="J252" s="45" t="str">
        <f>IF($I252="","",VLOOKUP($I252,技能描述!$A:$C,3,0))</f>
        <v/>
      </c>
      <c r="K252" s="45" t="str">
        <f>IF($I252="","",INDEX([2]Sheet1!$1:$1048576,MATCH($I252,[2]Sheet1!$A:$A,0),MATCH("description_damage",[2]Sheet1!$2:$2,0)))</f>
        <v/>
      </c>
      <c r="L252" s="80" t="str">
        <f>IF($K252="","",IF(LEN($K252)-LEN(SUBSTITUTE($K252,",",""))=0,VLOOKUP(INT($K252),[3]Sheet1!$A:$C,3,0),VLOOKUP(INT(LEFT($K252,FIND(",",$K252)-1)),[3]Sheet1!$A:$C,3,0)))</f>
        <v/>
      </c>
      <c r="M252" s="80" t="str">
        <f t="shared" si="11"/>
        <v/>
      </c>
      <c r="N252" s="45" t="str">
        <f>IF(LEN($K252)-LEN(SUBSTITUTE($K252,",",""))=1,VLOOKUP(INT(RIGHT($K252,LEN($K252)-FIND(",",$K252))),[3]Sheet1!$A:$C,3,0),"")</f>
        <v/>
      </c>
      <c r="O252" s="45" t="str">
        <f t="shared" si="7"/>
        <v/>
      </c>
      <c r="P252" s="45" t="str">
        <f t="shared" si="8"/>
        <v/>
      </c>
      <c r="Q252" s="45" t="str">
        <f t="shared" si="9"/>
        <v/>
      </c>
      <c r="R252" s="45"/>
      <c r="S252" s="45" t="str">
        <f>IF(ISERROR($Q252),"进阶+"&amp;COUNTIF($E$194:$E252,$E252)&amp;"："&amp;"找ZC配技能","进阶+"&amp;COUNTIF($E$194:$E252,$E252)&amp;"："&amp;VLOOKUP(COUNTIF($E$194:$E252,$E252),$L$184:$R$193,IF(H252=1,4,IF(H252=4,3,2))+IF(INDEX([1]Sheet1!$1:$1048576,MATCH($E252,[1]Sheet1!$A:$A,0),MATCH("zizhi",[1]Sheet1!$2:$2,0))&gt;=13,0,3),0)&amp;IF($Q252="","","（"&amp;$Q252&amp;"）"))</f>
        <v>进阶+9：全队生命，防御提高15%</v>
      </c>
      <c r="T252" s="1"/>
      <c r="U252" s="1"/>
      <c r="V252" s="2" t="str">
        <f>VLOOKUP(COUNTIF($E$194:$E252,$E252),$L$184:$X$193,IF(H252=1,4,IF(H252=4,3,2))+IF(INDEX([1]Sheet1!$1:$1048576,MATCH($E252,[1]Sheet1!$A:$A,0),MATCH("zizhi",[1]Sheet1!$2:$2,0))&gt;=13,0,3)+6,0)</f>
        <v>57015,59015,60015</v>
      </c>
      <c r="W252" s="2" t="str">
        <f t="shared" si="6"/>
        <v>进阶+9：全队生命，防御提高15%</v>
      </c>
      <c r="X252" s="45" t="str">
        <f t="shared" si="4"/>
        <v>57015,59015,60015</v>
      </c>
      <c r="Y252" s="2"/>
      <c r="Z252" s="2"/>
      <c r="AA252" s="2"/>
    </row>
    <row r="253" spans="1:27" ht="33">
      <c r="A253" s="10">
        <f>E253*100+COUNTIF($E$194:$E253,$E253)</f>
        <v>112010</v>
      </c>
      <c r="B253" s="68" t="s">
        <v>1905</v>
      </c>
      <c r="C253" s="50" t="s">
        <v>2</v>
      </c>
      <c r="D253" s="10">
        <f t="shared" si="10"/>
        <v>1</v>
      </c>
      <c r="E253" s="45">
        <f>INDEX($I:$I,MATCH($E252,$I:$I,0)+IF(COUNTIF($E$194:$E252,$E252)&lt;=VLOOKUP($E252,$I$134:$K$193,3,0)-1,0,1),0)</f>
        <v>1120</v>
      </c>
      <c r="F253" s="45" t="str">
        <f t="shared" si="5"/>
        <v>猪八戒</v>
      </c>
      <c r="G253" s="45" t="s">
        <v>220</v>
      </c>
      <c r="H253" s="45">
        <f>VLOOKUP($E253,[1]Sheet1!$A:$G,7,0)</f>
        <v>4</v>
      </c>
      <c r="I253" s="45" t="str">
        <f>IF($G253="","",IF(COUNTIF(技能描述!$D:$D,$F253)&gt;0,VLOOKUP($F253&amp;$G253,技能描述!$A:$C,3,0),LEFT(VLOOKUP($E253,[1]Sheet1!$A:$J,10,0),FIND("_",VLOOKUP($E253,[1]Sheet1!$A:$J,10,0))-1)&amp;$G253))</f>
        <v>zhubajie_skill041</v>
      </c>
      <c r="J253" s="45" t="str">
        <f>IF($I253="","",VLOOKUP($I253,技能描述!$A:$C,3,0))</f>
        <v>猪八戒释放自身神力，对范围内敌人造成自身攻击力@s的法伤，60%的概率击飞对手2秒</v>
      </c>
      <c r="K253" s="45" t="str">
        <f>IF($I253="","",INDEX([2]Sheet1!$1:$1048576,MATCH($I253,[2]Sheet1!$A:$A,0),MATCH("description_damage",[2]Sheet1!$2:$2,0)))</f>
        <v>112009,9015</v>
      </c>
      <c r="L253" s="80" t="str">
        <f>IF($K253="","",IF(LEN($K253)-LEN(SUBSTITUTE($K253,",",""))=0,VLOOKUP(INT($K253),[3]Sheet1!$A:$C,3,0),VLOOKUP(INT(LEFT($K253,FIND(",",$K253)-1)),[3]Sheet1!$A:$C,3,0)))</f>
        <v>2|2|2.1|0|0|0</v>
      </c>
      <c r="M253" s="80" t="str">
        <f t="shared" si="11"/>
        <v>210%</v>
      </c>
      <c r="N253" s="45" t="str">
        <f>IF(LEN($K253)-LEN(SUBSTITUTE($K253,",",""))=1,VLOOKUP(INT(RIGHT($K253,LEN($K253)-FIND(",",$K253))),[3]Sheet1!$A:$C,3,0),"")</f>
        <v>4|3|0.15|0|1</v>
      </c>
      <c r="O253" s="45" t="str">
        <f t="shared" si="7"/>
        <v>15%</v>
      </c>
      <c r="P253" s="45" t="str">
        <f t="shared" si="8"/>
        <v>猪八戒释放自身神力，对范围内敌人造成自身攻击力210%的法伤，60%的概率击飞对手2秒</v>
      </c>
      <c r="Q253" s="45" t="str">
        <f t="shared" si="9"/>
        <v>猪八戒释放自身神力，对范围内敌人造成自身攻击力210%的法伤，60%的概率击飞对手2秒</v>
      </c>
      <c r="R253" s="45"/>
      <c r="S253" s="45" t="str">
        <f>IF(ISERROR($Q253),"进阶+"&amp;COUNTIF($E$194:$E253,$E253)&amp;"："&amp;"找ZC配技能","进阶+"&amp;COUNTIF($E$194:$E253,$E253)&amp;"："&amp;VLOOKUP(COUNTIF($E$194:$E253,$E253),$L$184:$R$193,IF(H253=1,4,IF(H253=4,3,2))+IF(INDEX([1]Sheet1!$1:$1048576,MATCH($E253,[1]Sheet1!$A:$A,0),MATCH("zizhi",[1]Sheet1!$2:$2,0))&gt;=13,0,3),0)&amp;IF($Q253="","","（"&amp;$Q253&amp;"）"))</f>
        <v>进阶+10：增强AI2技能（猪八戒释放自身神力，对范围内敌人造成自身攻击力210%的法伤，60%的概率击飞对手2秒）</v>
      </c>
      <c r="T253" s="1"/>
      <c r="U253" s="1"/>
      <c r="V253" s="2" t="str">
        <f>VLOOKUP(COUNTIF($E$194:$E253,$E253),$L$184:$X$193,IF(H253=1,4,IF(H253=4,3,2))+IF(INDEX([1]Sheet1!$1:$1048576,MATCH($E253,[1]Sheet1!$A:$A,0),MATCH("zizhi",[1]Sheet1!$2:$2,0))&gt;=13,0,3)+6,0)</f>
        <v>[]</v>
      </c>
      <c r="W253" s="2" t="str">
        <f t="shared" si="6"/>
        <v>进阶+10：增强AI2技能（猪八戒释放自身神力，对范围内敌人造成自身攻击力210%的法伤，60%的概率击飞对手2秒）</v>
      </c>
      <c r="X253" s="45" t="str">
        <f t="shared" si="4"/>
        <v>[]</v>
      </c>
      <c r="Y253" s="2"/>
      <c r="Z253" s="2"/>
      <c r="AA253" s="2"/>
    </row>
    <row r="254" spans="1:27">
      <c r="A254" s="10">
        <f>E254*100+COUNTIF($E$194:$E254,$E254)</f>
        <v>112701</v>
      </c>
      <c r="B254" s="68" t="s">
        <v>319</v>
      </c>
      <c r="C254" s="50" t="s">
        <v>2086</v>
      </c>
      <c r="D254" s="10" t="str">
        <f t="shared" si="10"/>
        <v>[]</v>
      </c>
      <c r="E254" s="45">
        <f>INDEX($I:$I,MATCH($E253,$I:$I,0)+IF(COUNTIF($E$194:$E253,$E253)&lt;=VLOOKUP($E253,$I$134:$K$193,3,0)-1,0,1),0)</f>
        <v>1127</v>
      </c>
      <c r="F254" s="45" t="str">
        <f t="shared" si="5"/>
        <v>弥勒佛</v>
      </c>
      <c r="H254" s="45">
        <f>VLOOKUP($E254,[1]Sheet1!$A:$G,7,0)</f>
        <v>4</v>
      </c>
      <c r="I254" s="45" t="str">
        <f>IF($G254="","",IF(COUNTIF(技能描述!$D:$D,$F254)&gt;0,VLOOKUP($F254&amp;$G254,技能描述!$A:$C,3,0),LEFT(VLOOKUP($E254,[1]Sheet1!$A:$J,10,0),FIND("_",VLOOKUP($E254,[1]Sheet1!$A:$J,10,0))-1)&amp;$G254))</f>
        <v/>
      </c>
      <c r="J254" s="45" t="str">
        <f>IF($I254="","",VLOOKUP($I254,技能描述!$A:$C,3,0))</f>
        <v/>
      </c>
      <c r="K254" s="45" t="str">
        <f>IF($I254="","",INDEX([2]Sheet1!$1:$1048576,MATCH($I254,[2]Sheet1!$A:$A,0),MATCH("description_damage",[2]Sheet1!$2:$2,0)))</f>
        <v/>
      </c>
      <c r="L254" s="80" t="str">
        <f>IF($K254="","",IF(LEN($K254)-LEN(SUBSTITUTE($K254,",",""))=0,VLOOKUP(INT($K254),[3]Sheet1!$A:$C,3,0),VLOOKUP(INT(LEFT($K254,FIND(",",$K254)-1)),[3]Sheet1!$A:$C,3,0)))</f>
        <v/>
      </c>
      <c r="M254" s="80" t="str">
        <f t="shared" si="11"/>
        <v/>
      </c>
      <c r="N254" s="45" t="str">
        <f>IF(LEN($K254)-LEN(SUBSTITUTE($K254,",",""))=1,VLOOKUP(INT(RIGHT($K254,LEN($K254)-FIND(",",$K254))),[3]Sheet1!$A:$C,3,0),"")</f>
        <v/>
      </c>
      <c r="O254" s="45" t="str">
        <f t="shared" si="7"/>
        <v/>
      </c>
      <c r="P254" s="45" t="str">
        <f t="shared" si="8"/>
        <v/>
      </c>
      <c r="Q254" s="45" t="str">
        <f t="shared" si="9"/>
        <v/>
      </c>
      <c r="R254" s="45"/>
      <c r="S254" s="45" t="str">
        <f>IF(ISERROR($Q254),"进阶+"&amp;COUNTIF($E$194:$E254,$E254)&amp;"："&amp;"找ZC配技能","进阶+"&amp;COUNTIF($E$194:$E254,$E254)&amp;"："&amp;VLOOKUP(COUNTIF($E$194:$E254,$E254),$L$184:$R$193,IF(H254=1,4,IF(H254=4,3,2))+IF(INDEX([1]Sheet1!$1:$1048576,MATCH($E254,[1]Sheet1!$A:$A,0),MATCH("zizhi",[1]Sheet1!$2:$2,0))&gt;=13,0,3),0)&amp;IF($Q254="","","（"&amp;$Q254&amp;"）"))</f>
        <v>进阶+1：生命提高10%</v>
      </c>
      <c r="T254" s="1"/>
      <c r="U254" s="1"/>
      <c r="V254" s="2" t="str">
        <f>VLOOKUP(COUNTIF($E$194:$E254,$E254),$L$184:$X$193,IF(H254=1,4,IF(H254=4,3,2))+IF(INDEX([1]Sheet1!$1:$1048576,MATCH($E254,[1]Sheet1!$A:$A,0),MATCH("zizhi",[1]Sheet1!$2:$2,0))&gt;=13,0,3)+6,0)</f>
        <v>11090</v>
      </c>
      <c r="W254" s="2" t="str">
        <f t="shared" si="6"/>
        <v>进阶+1：生命提高10%</v>
      </c>
      <c r="X254" s="45" t="str">
        <f t="shared" si="4"/>
        <v>11090</v>
      </c>
      <c r="Y254" s="2"/>
      <c r="Z254" s="2"/>
      <c r="AA254" s="2"/>
    </row>
    <row r="255" spans="1:27">
      <c r="A255" s="10">
        <f>E255*100+COUNTIF($E$194:$E255,$E255)</f>
        <v>112702</v>
      </c>
      <c r="B255" s="68" t="s">
        <v>331</v>
      </c>
      <c r="C255" s="50" t="s">
        <v>2</v>
      </c>
      <c r="D255" s="10">
        <f t="shared" si="10"/>
        <v>1</v>
      </c>
      <c r="E255" s="45">
        <f>INDEX($I:$I,MATCH($E254,$I:$I,0)+IF(COUNTIF($E$194:$E254,$E254)&lt;=VLOOKUP($E254,$I$134:$K$193,3,0)-1,0,1),0)</f>
        <v>1127</v>
      </c>
      <c r="F255" s="45" t="str">
        <f t="shared" si="5"/>
        <v>弥勒佛</v>
      </c>
      <c r="G255" s="45" t="s">
        <v>216</v>
      </c>
      <c r="H255" s="45">
        <f>VLOOKUP($E255,[1]Sheet1!$A:$G,7,0)</f>
        <v>4</v>
      </c>
      <c r="I255" s="45" t="str">
        <f>IF($G255="","",IF(COUNTIF(技能描述!$D:$D,$F255)&gt;0,VLOOKUP($F255&amp;$G255,技能描述!$A:$C,3,0),LEFT(VLOOKUP($E255,[1]Sheet1!$A:$J,10,0),FIND("_",VLOOKUP($E255,[1]Sheet1!$A:$J,10,0))-1)&amp;$G255))</f>
        <v>milefo_skill03</v>
      </c>
      <c r="J255" s="45" t="str">
        <f>IF($I255="","",VLOOKUP($I255,技能描述!$A:$C,3,0))</f>
        <v>进入战斗场景时，提升自身生命值上限@s</v>
      </c>
      <c r="K255" s="45" t="str">
        <f>IF($I255="","",INDEX([2]Sheet1!$1:$1048576,MATCH($I255,[2]Sheet1!$A:$A,0),MATCH("description_damage",[2]Sheet1!$2:$2,0)))</f>
        <v>9020</v>
      </c>
      <c r="L255" s="80" t="str">
        <f>IF($K255="","",IF(LEN($K255)-LEN(SUBSTITUTE($K255,",",""))=0,VLOOKUP(INT($K255),[3]Sheet1!$A:$C,3,0),VLOOKUP(INT(LEFT($K255,FIND(",",$K255)-1)),[3]Sheet1!$A:$C,3,0)))</f>
        <v>4|3|0.2|0|1</v>
      </c>
      <c r="M255" s="80" t="str">
        <f t="shared" si="11"/>
        <v>20%</v>
      </c>
      <c r="N255" s="45" t="str">
        <f>IF(LEN($K255)-LEN(SUBSTITUTE($K255,",",""))=1,VLOOKUP(INT(RIGHT($K255,LEN($K255)-FIND(",",$K255))),[3]Sheet1!$A:$C,3,0),"")</f>
        <v/>
      </c>
      <c r="O255" s="45" t="str">
        <f t="shared" si="7"/>
        <v/>
      </c>
      <c r="P255" s="45" t="str">
        <f t="shared" si="8"/>
        <v>进入战斗场景时，提升自身生命值上限20%</v>
      </c>
      <c r="Q255" s="45" t="str">
        <f t="shared" si="9"/>
        <v>进入战斗场景时，提升自身生命值上限20%</v>
      </c>
      <c r="R255" s="45"/>
      <c r="S255" s="45" t="str">
        <f>IF(ISERROR($Q255),"进阶+"&amp;COUNTIF($E$194:$E255,$E255)&amp;"："&amp;"找ZC配技能","进阶+"&amp;COUNTIF($E$194:$E255,$E255)&amp;"："&amp;VLOOKUP(COUNTIF($E$194:$E255,$E255),$L$184:$R$193,IF(H255=1,4,IF(H255=4,3,2))+IF(INDEX([1]Sheet1!$1:$1048576,MATCH($E255,[1]Sheet1!$A:$A,0),MATCH("zizhi",[1]Sheet1!$2:$2,0))&gt;=13,0,3),0)&amp;IF($Q255="","","（"&amp;$Q255&amp;"）"))</f>
        <v>进阶+2：激活被动技能（进入战斗场景时，提升自身生命值上限20%）</v>
      </c>
      <c r="T255" s="1"/>
      <c r="U255" s="1"/>
      <c r="V255" s="2" t="str">
        <f>VLOOKUP(COUNTIF($E$194:$E255,$E255),$L$184:$X$193,IF(H255=1,4,IF(H255=4,3,2))+IF(INDEX([1]Sheet1!$1:$1048576,MATCH($E255,[1]Sheet1!$A:$A,0),MATCH("zizhi",[1]Sheet1!$2:$2,0))&gt;=13,0,3)+6,0)</f>
        <v>[]</v>
      </c>
      <c r="W255" s="2" t="str">
        <f t="shared" si="6"/>
        <v>进阶+2：激活被动技能（进入战斗场景时，提升自身生命值上限20%）</v>
      </c>
      <c r="X255" s="45" t="str">
        <f t="shared" si="4"/>
        <v>[]</v>
      </c>
      <c r="Y255" s="2"/>
      <c r="Z255" s="2"/>
      <c r="AA255" s="2"/>
    </row>
    <row r="256" spans="1:27">
      <c r="A256" s="10">
        <f>E256*100+COUNTIF($E$194:$E256,$E256)</f>
        <v>112703</v>
      </c>
      <c r="B256" s="68" t="s">
        <v>324</v>
      </c>
      <c r="C256" s="50" t="s">
        <v>140</v>
      </c>
      <c r="D256" s="10" t="str">
        <f t="shared" si="10"/>
        <v>[]</v>
      </c>
      <c r="E256" s="45">
        <f>INDEX($I:$I,MATCH($E255,$I:$I,0)+IF(COUNTIF($E$194:$E255,$E255)&lt;=VLOOKUP($E255,$I$134:$K$193,3,0)-1,0,1),0)</f>
        <v>1127</v>
      </c>
      <c r="F256" s="45" t="str">
        <f t="shared" si="5"/>
        <v>弥勒佛</v>
      </c>
      <c r="H256" s="45">
        <f>VLOOKUP($E256,[1]Sheet1!$A:$G,7,0)</f>
        <v>4</v>
      </c>
      <c r="I256" s="45" t="str">
        <f>IF($G256="","",IF(COUNTIF(技能描述!$D:$D,$F256)&gt;0,VLOOKUP($F256&amp;$G256,技能描述!$A:$C,3,0),LEFT(VLOOKUP($E256,[1]Sheet1!$A:$J,10,0),FIND("_",VLOOKUP($E256,[1]Sheet1!$A:$J,10,0))-1)&amp;$G256))</f>
        <v/>
      </c>
      <c r="J256" s="45" t="str">
        <f>IF($I256="","",VLOOKUP($I256,技能描述!$A:$C,3,0))</f>
        <v/>
      </c>
      <c r="K256" s="45" t="str">
        <f>IF($I256="","",INDEX([2]Sheet1!$1:$1048576,MATCH($I256,[2]Sheet1!$A:$A,0),MATCH("description_damage",[2]Sheet1!$2:$2,0)))</f>
        <v/>
      </c>
      <c r="L256" s="80" t="str">
        <f>IF($K256="","",IF(LEN($K256)-LEN(SUBSTITUTE($K256,",",""))=0,VLOOKUP(INT($K256),[3]Sheet1!$A:$C,3,0),VLOOKUP(INT(LEFT($K256,FIND(",",$K256)-1)),[3]Sheet1!$A:$C,3,0)))</f>
        <v/>
      </c>
      <c r="M256" s="80" t="str">
        <f t="shared" si="11"/>
        <v/>
      </c>
      <c r="N256" s="45" t="str">
        <f>IF(LEN($K256)-LEN(SUBSTITUTE($K256,",",""))=1,VLOOKUP(INT(RIGHT($K256,LEN($K256)-FIND(",",$K256))),[3]Sheet1!$A:$C,3,0),"")</f>
        <v/>
      </c>
      <c r="O256" s="45" t="str">
        <f t="shared" si="7"/>
        <v/>
      </c>
      <c r="P256" s="45" t="str">
        <f t="shared" si="8"/>
        <v/>
      </c>
      <c r="Q256" s="45" t="str">
        <f t="shared" si="9"/>
        <v/>
      </c>
      <c r="R256" s="45"/>
      <c r="S256" s="45" t="str">
        <f>IF(ISERROR($Q256),"进阶+"&amp;COUNTIF($E$194:$E256,$E256)&amp;"："&amp;"找ZC配技能","进阶+"&amp;COUNTIF($E$194:$E256,$E256)&amp;"："&amp;VLOOKUP(COUNTIF($E$194:$E256,$E256),$L$184:$R$193,IF(H256=1,4,IF(H256=4,3,2))+IF(INDEX([1]Sheet1!$1:$1048576,MATCH($E256,[1]Sheet1!$A:$A,0),MATCH("zizhi",[1]Sheet1!$2:$2,0))&gt;=13,0,3),0)&amp;IF($Q256="","","（"&amp;$Q256&amp;"）"))</f>
        <v>进阶+3：生命，防御提高10%</v>
      </c>
      <c r="T256" s="1"/>
      <c r="U256" s="1"/>
      <c r="V256" s="2" t="str">
        <f>VLOOKUP(COUNTIF($E$194:$E256,$E256),$L$184:$X$193,IF(H256=1,4,IF(H256=4,3,2))+IF(INDEX([1]Sheet1!$1:$1048576,MATCH($E256,[1]Sheet1!$A:$A,0),MATCH("zizhi",[1]Sheet1!$2:$2,0))&gt;=13,0,3)+6,0)</f>
        <v>11090,6502,6512</v>
      </c>
      <c r="W256" s="2" t="str">
        <f t="shared" si="6"/>
        <v>进阶+3：生命，防御提高10%</v>
      </c>
      <c r="X256" s="45" t="str">
        <f t="shared" si="4"/>
        <v>11090,6502,6512</v>
      </c>
      <c r="Y256" s="2"/>
      <c r="Z256" s="2"/>
      <c r="AA256" s="2"/>
    </row>
    <row r="257" spans="1:27" ht="33">
      <c r="A257" s="10">
        <f>E257*100+COUNTIF($E$194:$E257,$E257)</f>
        <v>112704</v>
      </c>
      <c r="B257" s="68" t="s">
        <v>1859</v>
      </c>
      <c r="C257" s="50" t="s">
        <v>2</v>
      </c>
      <c r="D257" s="10">
        <f t="shared" si="10"/>
        <v>1</v>
      </c>
      <c r="E257" s="45">
        <f>INDEX($I:$I,MATCH($E256,$I:$I,0)+IF(COUNTIF($E$194:$E256,$E256)&lt;=VLOOKUP($E256,$I$134:$K$193,3,0)-1,0,1),0)</f>
        <v>1127</v>
      </c>
      <c r="F257" s="45" t="str">
        <f t="shared" si="5"/>
        <v>弥勒佛</v>
      </c>
      <c r="G257" s="45" t="s">
        <v>217</v>
      </c>
      <c r="H257" s="45">
        <f>VLOOKUP($E257,[1]Sheet1!$A:$G,7,0)</f>
        <v>4</v>
      </c>
      <c r="I257" s="45" t="str">
        <f>IF($G257="","",IF(COUNTIF(技能描述!$D:$D,$F257)&gt;0,VLOOKUP($F257&amp;$G257,技能描述!$A:$C,3,0),LEFT(VLOOKUP($E257,[1]Sheet1!$A:$J,10,0),FIND("_",VLOOKUP($E257,[1]Sheet1!$A:$J,10,0))-1)&amp;$G257))</f>
        <v>milefo_skill04</v>
      </c>
      <c r="J257" s="45" t="str">
        <f>IF($I257="","",VLOOKUP($I257,技能描述!$A:$C,3,0))</f>
        <v>弥勒佛用佛法治疗自身，每0.5秒恢复自身生命值上限@s的生命值，持续2秒，并清除自身一个不利状态</v>
      </c>
      <c r="K257" s="45" t="str">
        <f>IF($I257="","",INDEX([2]Sheet1!$1:$1048576,MATCH($I257,[2]Sheet1!$A:$A,0),MATCH("description_damage",[2]Sheet1!$2:$2,0)))</f>
        <v>9002</v>
      </c>
      <c r="L257" s="80" t="str">
        <f>IF($K257="","",IF(LEN($K257)-LEN(SUBSTITUTE($K257,",",""))=0,VLOOKUP(INT($K257),[3]Sheet1!$A:$C,3,0),VLOOKUP(INT(LEFT($K257,FIND(",",$K257)-1)),[3]Sheet1!$A:$C,3,0)))</f>
        <v>4|3|0.02|0|1</v>
      </c>
      <c r="M257" s="80" t="str">
        <f t="shared" si="11"/>
        <v>2%</v>
      </c>
      <c r="N257" s="45" t="str">
        <f>IF(LEN($K257)-LEN(SUBSTITUTE($K257,",",""))=1,VLOOKUP(INT(RIGHT($K257,LEN($K257)-FIND(",",$K257))),[3]Sheet1!$A:$C,3,0),"")</f>
        <v/>
      </c>
      <c r="O257" s="45" t="str">
        <f t="shared" si="7"/>
        <v/>
      </c>
      <c r="P257" s="45" t="str">
        <f t="shared" si="8"/>
        <v>弥勒佛用佛法治疗自身，每0.5秒恢复自身生命值上限2%的生命值，持续2秒，并清除自身一个不利状态</v>
      </c>
      <c r="Q257" s="45" t="str">
        <f t="shared" si="9"/>
        <v>弥勒佛用佛法治疗自身，每0.5秒恢复自身生命值上限2%的生命值，持续2秒，并清除自身一个不利状态</v>
      </c>
      <c r="R257" s="45"/>
      <c r="S257" s="45" t="str">
        <f>IF(ISERROR($Q257),"进阶+"&amp;COUNTIF($E$194:$E257,$E257)&amp;"："&amp;"找ZC配技能","进阶+"&amp;COUNTIF($E$194:$E257,$E257)&amp;"："&amp;VLOOKUP(COUNTIF($E$194:$E257,$E257),$L$184:$R$193,IF(H257=1,4,IF(H257=4,3,2))+IF(INDEX([1]Sheet1!$1:$1048576,MATCH($E257,[1]Sheet1!$A:$A,0),MATCH("zizhi",[1]Sheet1!$2:$2,0))&gt;=13,0,3),0)&amp;IF($Q257="","","（"&amp;$Q257&amp;"）"))</f>
        <v>进阶+4：激活AI2技能（弥勒佛用佛法治疗自身，每0.5秒恢复自身生命值上限2%的生命值，持续2秒，并清除自身一个不利状态）</v>
      </c>
      <c r="T257" s="1"/>
      <c r="U257" s="1"/>
      <c r="V257" s="2" t="str">
        <f>VLOOKUP(COUNTIF($E$194:$E257,$E257),$L$184:$X$193,IF(H257=1,4,IF(H257=4,3,2))+IF(INDEX([1]Sheet1!$1:$1048576,MATCH($E257,[1]Sheet1!$A:$A,0),MATCH("zizhi",[1]Sheet1!$2:$2,0))&gt;=13,0,3)+6,0)</f>
        <v>[]</v>
      </c>
      <c r="W257" s="2" t="str">
        <f t="shared" si="6"/>
        <v>进阶+4：激活AI2技能（弥勒佛用佛法治疗自身，每0.5秒恢复自身生命值上限2%的生命值，持续2秒，并清除自身一个不利状态）</v>
      </c>
      <c r="X257" s="45" t="str">
        <f t="shared" si="4"/>
        <v>[]</v>
      </c>
      <c r="Y257" s="2"/>
      <c r="Z257" s="2"/>
      <c r="AA257" s="2"/>
    </row>
    <row r="258" spans="1:27">
      <c r="A258" s="10">
        <f>E258*100+COUNTIF($E$194:$E258,$E258)</f>
        <v>112705</v>
      </c>
      <c r="B258" s="68" t="s">
        <v>320</v>
      </c>
      <c r="C258" s="50" t="s">
        <v>239</v>
      </c>
      <c r="D258" s="10" t="str">
        <f t="shared" si="10"/>
        <v>[]</v>
      </c>
      <c r="E258" s="45">
        <f>INDEX($I:$I,MATCH($E257,$I:$I,0)+IF(COUNTIF($E$194:$E257,$E257)&lt;=VLOOKUP($E257,$I$134:$K$193,3,0)-1,0,1),0)</f>
        <v>1127</v>
      </c>
      <c r="F258" s="45" t="str">
        <f t="shared" si="5"/>
        <v>弥勒佛</v>
      </c>
      <c r="H258" s="45">
        <f>VLOOKUP($E258,[1]Sheet1!$A:$G,7,0)</f>
        <v>4</v>
      </c>
      <c r="I258" s="45" t="str">
        <f>IF($G258="","",IF(COUNTIF(技能描述!$D:$D,$F258)&gt;0,VLOOKUP($F258&amp;$G258,技能描述!$A:$C,3,0),LEFT(VLOOKUP($E258,[1]Sheet1!$A:$J,10,0),FIND("_",VLOOKUP($E258,[1]Sheet1!$A:$J,10,0))-1)&amp;$G258))</f>
        <v/>
      </c>
      <c r="J258" s="45" t="str">
        <f>IF($I258="","",VLOOKUP($I258,技能描述!$A:$C,3,0))</f>
        <v/>
      </c>
      <c r="K258" s="45" t="str">
        <f>IF($I258="","",INDEX([2]Sheet1!$1:$1048576,MATCH($I258,[2]Sheet1!$A:$A,0),MATCH("description_damage",[2]Sheet1!$2:$2,0)))</f>
        <v/>
      </c>
      <c r="L258" s="80" t="str">
        <f>IF($K258="","",IF(LEN($K258)-LEN(SUBSTITUTE($K258,",",""))=0,VLOOKUP(INT($K258),[3]Sheet1!$A:$C,3,0),VLOOKUP(INT(LEFT($K258,FIND(",",$K258)-1)),[3]Sheet1!$A:$C,3,0)))</f>
        <v/>
      </c>
      <c r="M258" s="80" t="str">
        <f t="shared" si="11"/>
        <v/>
      </c>
      <c r="N258" s="45" t="str">
        <f>IF(LEN($K258)-LEN(SUBSTITUTE($K258,",",""))=1,VLOOKUP(INT(RIGHT($K258,LEN($K258)-FIND(",",$K258))),[3]Sheet1!$A:$C,3,0),"")</f>
        <v/>
      </c>
      <c r="O258" s="45" t="str">
        <f t="shared" si="7"/>
        <v/>
      </c>
      <c r="P258" s="45" t="str">
        <f t="shared" ref="P258:P321" si="12">IF($M258="","",IF(ISERROR(FIND("@s",$J258)),$J258,LEFT(J258,FIND("@s",$J258)-1)&amp;$M258&amp;RIGHT($J258,LEN($J258)-FIND("@s",$J258)-1)))</f>
        <v/>
      </c>
      <c r="Q258" s="45" t="str">
        <f t="shared" si="9"/>
        <v/>
      </c>
      <c r="R258" s="45"/>
      <c r="S258" s="45" t="str">
        <f>IF(ISERROR($Q258),"进阶+"&amp;COUNTIF($E$194:$E258,$E258)&amp;"："&amp;"找ZC配技能","进阶+"&amp;COUNTIF($E$194:$E258,$E258)&amp;"："&amp;VLOOKUP(COUNTIF($E$194:$E258,$E258),$L$184:$R$193,IF(H258=1,4,IF(H258=4,3,2))+IF(INDEX([1]Sheet1!$1:$1048576,MATCH($E258,[1]Sheet1!$A:$A,0),MATCH("zizhi",[1]Sheet1!$2:$2,0))&gt;=13,0,3),0)&amp;IF($Q258="","","（"&amp;$Q258&amp;"）"))</f>
        <v>进阶+5：攻击提高15%</v>
      </c>
      <c r="T258" s="1"/>
      <c r="U258" s="1"/>
      <c r="V258" s="2" t="str">
        <f>VLOOKUP(COUNTIF($E$194:$E258,$E258),$L$184:$X$193,IF(H258=1,4,IF(H258=4,3,2))+IF(INDEX([1]Sheet1!$1:$1048576,MATCH($E258,[1]Sheet1!$A:$A,0),MATCH("zizhi",[1]Sheet1!$2:$2,0))&gt;=13,0,3)+6,0)</f>
        <v>11055</v>
      </c>
      <c r="W258" s="2" t="str">
        <f t="shared" si="6"/>
        <v>进阶+5：攻击提高15%</v>
      </c>
      <c r="X258" s="45" t="str">
        <f t="shared" ref="X258:X321" si="13">IF(ISERROR(FIND("找ZC配技能",$S258)),$V258,$W$184)</f>
        <v>11055</v>
      </c>
      <c r="Y258" s="2"/>
      <c r="Z258" s="2"/>
      <c r="AA258" s="2"/>
    </row>
    <row r="259" spans="1:27" ht="33">
      <c r="A259" s="10">
        <f>E259*100+COUNTIF($E$194:$E259,$E259)</f>
        <v>112706</v>
      </c>
      <c r="B259" s="68" t="s">
        <v>1994</v>
      </c>
      <c r="C259" s="50" t="s">
        <v>2</v>
      </c>
      <c r="D259" s="10">
        <f t="shared" si="10"/>
        <v>1</v>
      </c>
      <c r="E259" s="45">
        <f>INDEX($I:$I,MATCH($E258,$I:$I,0)+IF(COUNTIF($E$194:$E258,$E258)&lt;=VLOOKUP($E258,$I$134:$K$193,3,0)-1,0,1),0)</f>
        <v>1127</v>
      </c>
      <c r="F259" s="45" t="str">
        <f t="shared" ref="F259:F322" si="14">VLOOKUP($E259,$I$134:$K$193,2,0)</f>
        <v>弥勒佛</v>
      </c>
      <c r="G259" s="45" t="s">
        <v>218</v>
      </c>
      <c r="H259" s="45">
        <f>VLOOKUP($E259,[1]Sheet1!$A:$G,7,0)</f>
        <v>4</v>
      </c>
      <c r="I259" s="45" t="str">
        <f>IF($G259="","",IF(COUNTIF(技能描述!$D:$D,$F259)&gt;0,VLOOKUP($F259&amp;$G259,技能描述!$A:$C,3,0),LEFT(VLOOKUP($E259,[1]Sheet1!$A:$J,10,0),FIND("_",VLOOKUP($E259,[1]Sheet1!$A:$J,10,0))-1)&amp;$G259))</f>
        <v>milefo_skill011</v>
      </c>
      <c r="J259" s="45" t="str">
        <f>IF($I259="","",VLOOKUP($I259,技能描述!$A:$C,3,0))</f>
        <v>为全体友军召唤护体光球吸收伤害，最多为友军自身生命值上限@s，持续3秒</v>
      </c>
      <c r="K259" s="45" t="str">
        <f>IF($I259="","",INDEX([2]Sheet1!$1:$1048576,MATCH($I259,[2]Sheet1!$A:$A,0),MATCH("description_damage",[2]Sheet1!$2:$2,0)))</f>
        <v>9040</v>
      </c>
      <c r="L259" s="80" t="str">
        <f>IF($K259="","",IF(LEN($K259)-LEN(SUBSTITUTE($K259,",",""))=0,VLOOKUP(INT($K259),[3]Sheet1!$A:$C,3,0),VLOOKUP(INT(LEFT($K259,FIND(",",$K259)-1)),[3]Sheet1!$A:$C,3,0)))</f>
        <v>4|3|0.4|0|1</v>
      </c>
      <c r="M259" s="80" t="str">
        <f t="shared" si="11"/>
        <v>40%</v>
      </c>
      <c r="N259" s="45" t="str">
        <f>IF(LEN($K259)-LEN(SUBSTITUTE($K259,",",""))=1,VLOOKUP(INT(RIGHT($K259,LEN($K259)-FIND(",",$K259))),[3]Sheet1!$A:$C,3,0),"")</f>
        <v/>
      </c>
      <c r="O259" s="45" t="str">
        <f t="shared" si="7"/>
        <v/>
      </c>
      <c r="P259" s="45" t="str">
        <f t="shared" si="12"/>
        <v>为全体友军召唤护体光球吸收伤害，最多为友军自身生命值上限40%，持续3秒</v>
      </c>
      <c r="Q259" s="45" t="str">
        <f t="shared" si="9"/>
        <v>为全体友军召唤护体光球吸收伤害，最多为友军自身生命值上限40%，持续3秒</v>
      </c>
      <c r="R259" s="45"/>
      <c r="S259" s="45" t="str">
        <f>IF(ISERROR($Q259),"进阶+"&amp;COUNTIF($E$194:$E259,$E259)&amp;"："&amp;"找ZC配技能","进阶+"&amp;COUNTIF($E$194:$E259,$E259)&amp;"："&amp;VLOOKUP(COUNTIF($E$194:$E259,$E259),$L$184:$R$193,IF(H259=1,4,IF(H259=4,3,2))+IF(INDEX([1]Sheet1!$1:$1048576,MATCH($E259,[1]Sheet1!$A:$A,0),MATCH("zizhi",[1]Sheet1!$2:$2,0))&gt;=13,0,3),0)&amp;IF($Q259="","","（"&amp;$Q259&amp;"）"))</f>
        <v>进阶+6：增强主角技能（为全体友军召唤护体光球吸收伤害，最多为友军自身生命值上限40%，持续3秒）</v>
      </c>
      <c r="T259" s="1"/>
      <c r="U259" s="1"/>
      <c r="V259" s="2" t="str">
        <f>VLOOKUP(COUNTIF($E$194:$E259,$E259),$L$184:$X$193,IF(H259=1,4,IF(H259=4,3,2))+IF(INDEX([1]Sheet1!$1:$1048576,MATCH($E259,[1]Sheet1!$A:$A,0),MATCH("zizhi",[1]Sheet1!$2:$2,0))&gt;=13,0,3)+6,0)</f>
        <v>[]</v>
      </c>
      <c r="W259" s="2" t="str">
        <f t="shared" ref="W259:W322" si="15">IF(ISERROR(FIND("找ZC配技能",$S259)),$S259,"进阶+"&amp;INT(RIGHT($A259,2))&amp;":生命提高10%")</f>
        <v>进阶+6：增强主角技能（为全体友军召唤护体光球吸收伤害，最多为友军自身生命值上限40%，持续3秒）</v>
      </c>
      <c r="X259" s="45" t="str">
        <f t="shared" si="13"/>
        <v>[]</v>
      </c>
      <c r="Y259" s="2"/>
      <c r="Z259" s="2"/>
      <c r="AA259" s="2"/>
    </row>
    <row r="260" spans="1:27">
      <c r="A260" s="10">
        <f>E260*100+COUNTIF($E$194:$E260,$E260)</f>
        <v>112707</v>
      </c>
      <c r="B260" s="68" t="s">
        <v>360</v>
      </c>
      <c r="C260" s="50" t="s">
        <v>354</v>
      </c>
      <c r="D260" s="10" t="str">
        <f t="shared" si="10"/>
        <v>[]</v>
      </c>
      <c r="E260" s="45">
        <f>INDEX($I:$I,MATCH($E259,$I:$I,0)+IF(COUNTIF($E$194:$E259,$E259)&lt;=VLOOKUP($E259,$I$134:$K$193,3,0)-1,0,1),0)</f>
        <v>1127</v>
      </c>
      <c r="F260" s="45" t="str">
        <f t="shared" si="14"/>
        <v>弥勒佛</v>
      </c>
      <c r="H260" s="45">
        <f>VLOOKUP($E260,[1]Sheet1!$A:$G,7,0)</f>
        <v>4</v>
      </c>
      <c r="I260" s="45" t="str">
        <f>IF($G260="","",IF(COUNTIF(技能描述!$D:$D,$F260)&gt;0,VLOOKUP($F260&amp;$G260,技能描述!$A:$C,3,0),LEFT(VLOOKUP($E260,[1]Sheet1!$A:$J,10,0),FIND("_",VLOOKUP($E260,[1]Sheet1!$A:$J,10,0))-1)&amp;$G260))</f>
        <v/>
      </c>
      <c r="J260" s="45" t="str">
        <f>IF($I260="","",VLOOKUP($I260,技能描述!$A:$C,3,0))</f>
        <v/>
      </c>
      <c r="K260" s="45" t="str">
        <f>IF($I260="","",INDEX([2]Sheet1!$1:$1048576,MATCH($I260,[2]Sheet1!$A:$A,0),MATCH("description_damage",[2]Sheet1!$2:$2,0)))</f>
        <v/>
      </c>
      <c r="L260" s="80" t="str">
        <f>IF($K260="","",IF(LEN($K260)-LEN(SUBSTITUTE($K260,",",""))=0,VLOOKUP(INT($K260),[3]Sheet1!$A:$C,3,0),VLOOKUP(INT(LEFT($K260,FIND(",",$K260)-1)),[3]Sheet1!$A:$C,3,0)))</f>
        <v/>
      </c>
      <c r="M260" s="80" t="str">
        <f t="shared" si="11"/>
        <v/>
      </c>
      <c r="N260" s="45" t="str">
        <f>IF(LEN($K260)-LEN(SUBSTITUTE($K260,",",""))=1,VLOOKUP(INT(RIGHT($K260,LEN($K260)-FIND(",",$K260))),[3]Sheet1!$A:$C,3,0),"")</f>
        <v/>
      </c>
      <c r="O260" s="45" t="str">
        <f t="shared" ref="O260:O323" si="16">IF($N260="","",LEFT(RIGHT($N260,LEN($N260)-4),FIND("|",RIGHT($N260,LEN($N260)-4))-1)*100&amp;"%")</f>
        <v/>
      </c>
      <c r="P260" s="45" t="str">
        <f t="shared" si="12"/>
        <v/>
      </c>
      <c r="Q260" s="45" t="str">
        <f t="shared" ref="Q260:Q323" si="17">IF($O260="",$P260,SUBSTITUTE($P260,"@s",$O260))</f>
        <v/>
      </c>
      <c r="R260" s="45"/>
      <c r="S260" s="45" t="str">
        <f>IF(ISERROR($Q260),"进阶+"&amp;COUNTIF($E$194:$E260,$E260)&amp;"："&amp;"找ZC配技能","进阶+"&amp;COUNTIF($E$194:$E260,$E260)&amp;"："&amp;VLOOKUP(COUNTIF($E$194:$E260,$E260),$L$184:$R$193,IF(H260=1,4,IF(H260=4,3,2))+IF(INDEX([1]Sheet1!$1:$1048576,MATCH($E260,[1]Sheet1!$A:$A,0),MATCH("zizhi",[1]Sheet1!$2:$2,0))&gt;=13,0,3),0)&amp;IF($Q260="","","（"&amp;$Q260&amp;"）"))</f>
        <v>进阶+7：全队生命，防御提高10%</v>
      </c>
      <c r="T260" s="1"/>
      <c r="U260" s="1"/>
      <c r="V260" s="2" t="str">
        <f>VLOOKUP(COUNTIF($E$194:$E260,$E260),$L$184:$X$193,IF(H260=1,4,IF(H260=4,3,2))+IF(INDEX([1]Sheet1!$1:$1048576,MATCH($E260,[1]Sheet1!$A:$A,0),MATCH("zizhi",[1]Sheet1!$2:$2,0))&gt;=13,0,3)+6,0)</f>
        <v>57010,59010,60010</v>
      </c>
      <c r="W260" s="2" t="str">
        <f t="shared" si="15"/>
        <v>进阶+7：全队生命，防御提高10%</v>
      </c>
      <c r="X260" s="45" t="str">
        <f t="shared" si="13"/>
        <v>57010,59010,60010</v>
      </c>
      <c r="Y260" s="2"/>
      <c r="Z260" s="2"/>
      <c r="AA260" s="2"/>
    </row>
    <row r="261" spans="1:27" ht="49.5">
      <c r="A261" s="10">
        <f>E261*100+COUNTIF($E$194:$E261,$E261)</f>
        <v>112708</v>
      </c>
      <c r="B261" s="68" t="s">
        <v>1995</v>
      </c>
      <c r="C261" s="50" t="s">
        <v>2</v>
      </c>
      <c r="D261" s="10">
        <f t="shared" ref="D261:D324" si="18">IF(ISERROR(FIND("技能",$B261)),"[]",1)</f>
        <v>1</v>
      </c>
      <c r="E261" s="45">
        <f>INDEX($I:$I,MATCH($E260,$I:$I,0)+IF(COUNTIF($E$194:$E260,$E260)&lt;=VLOOKUP($E260,$I$134:$K$193,3,0)-1,0,1),0)</f>
        <v>1127</v>
      </c>
      <c r="F261" s="45" t="str">
        <f t="shared" si="14"/>
        <v>弥勒佛</v>
      </c>
      <c r="G261" s="45" t="s">
        <v>219</v>
      </c>
      <c r="H261" s="45">
        <f>VLOOKUP($E261,[1]Sheet1!$A:$G,7,0)</f>
        <v>4</v>
      </c>
      <c r="I261" s="45" t="str">
        <f>IF($G261="","",IF(COUNTIF(技能描述!$D:$D,$F261)&gt;0,VLOOKUP($F261&amp;$G261,技能描述!$A:$C,3,0),LEFT(VLOOKUP($E261,[1]Sheet1!$A:$J,10,0),FIND("_",VLOOKUP($E261,[1]Sheet1!$A:$J,10,0))-1)&amp;$G261))</f>
        <v>milefo_skill021</v>
      </c>
      <c r="J261" s="45" t="str">
        <f>IF($I261="","",VLOOKUP($I261,技能描述!$A:$C,3,0))</f>
        <v>弥勒佛用佛光普照大地，对范围内敌人造成自身攻击力@s的物伤，嘲讽普攻自己敌人并降低敌人造成的伤害@s，持续3秒</v>
      </c>
      <c r="K261" s="45" t="str">
        <f>IF($I261="","",INDEX([2]Sheet1!$1:$1048576,MATCH($I261,[2]Sheet1!$A:$A,0),MATCH("description_damage",[2]Sheet1!$2:$2,0)))</f>
        <v>112708,9015</v>
      </c>
      <c r="L261" s="80" t="str">
        <f>IF($K261="","",IF(LEN($K261)-LEN(SUBSTITUTE($K261,",",""))=0,VLOOKUP(INT($K261),[3]Sheet1!$A:$C,3,0),VLOOKUP(INT(LEFT($K261,FIND(",",$K261)-1)),[3]Sheet1!$A:$C,3,0)))</f>
        <v>2|1|2.1|0|0|0</v>
      </c>
      <c r="M261" s="80" t="str">
        <f t="shared" ref="M261:M324" si="19">IF($L261="","",LEFT(RIGHT($L261,LEN($L261)-4),FIND("|",RIGHT($L261,LEN($L261)-4))-1)*100&amp;"%")</f>
        <v>210%</v>
      </c>
      <c r="N261" s="45" t="str">
        <f>IF(LEN($K261)-LEN(SUBSTITUTE($K261,",",""))=1,VLOOKUP(INT(RIGHT($K261,LEN($K261)-FIND(",",$K261))),[3]Sheet1!$A:$C,3,0),"")</f>
        <v>4|3|0.15|0|1</v>
      </c>
      <c r="O261" s="45" t="str">
        <f t="shared" si="16"/>
        <v>15%</v>
      </c>
      <c r="P261" s="45" t="str">
        <f t="shared" si="12"/>
        <v>弥勒佛用佛光普照大地，对范围内敌人造成自身攻击力210%的物伤，嘲讽普攻自己敌人并降低敌人造成的伤害@s，持续3秒</v>
      </c>
      <c r="Q261" s="45" t="str">
        <f t="shared" si="17"/>
        <v>弥勒佛用佛光普照大地，对范围内敌人造成自身攻击力210%的物伤，嘲讽普攻自己敌人并降低敌人造成的伤害15%，持续3秒</v>
      </c>
      <c r="R261" s="45"/>
      <c r="S261" s="45" t="str">
        <f>IF(ISERROR($Q261),"进阶+"&amp;COUNTIF($E$194:$E261,$E261)&amp;"："&amp;"找ZC配技能","进阶+"&amp;COUNTIF($E$194:$E261,$E261)&amp;"："&amp;VLOOKUP(COUNTIF($E$194:$E261,$E261),$L$184:$R$193,IF(H261=1,4,IF(H261=4,3,2))+IF(INDEX([1]Sheet1!$1:$1048576,MATCH($E261,[1]Sheet1!$A:$A,0),MATCH("zizhi",[1]Sheet1!$2:$2,0))&gt;=13,0,3),0)&amp;IF($Q261="","","（"&amp;$Q261&amp;"）"))</f>
        <v>进阶+8：增强AI1技能（弥勒佛用佛光普照大地，对范围内敌人造成自身攻击力210%的物伤，嘲讽普攻自己敌人并降低敌人造成的伤害15%，持续3秒）</v>
      </c>
      <c r="T261" s="1"/>
      <c r="U261" s="1"/>
      <c r="V261" s="2" t="str">
        <f>VLOOKUP(COUNTIF($E$194:$E261,$E261),$L$184:$X$193,IF(H261=1,4,IF(H261=4,3,2))+IF(INDEX([1]Sheet1!$1:$1048576,MATCH($E261,[1]Sheet1!$A:$A,0),MATCH("zizhi",[1]Sheet1!$2:$2,0))&gt;=13,0,3)+6,0)</f>
        <v>[]</v>
      </c>
      <c r="W261" s="2" t="str">
        <f t="shared" si="15"/>
        <v>进阶+8：增强AI1技能（弥勒佛用佛光普照大地，对范围内敌人造成自身攻击力210%的物伤，嘲讽普攻自己敌人并降低敌人造成的伤害15%，持续3秒）</v>
      </c>
      <c r="X261" s="45" t="str">
        <f t="shared" si="13"/>
        <v>[]</v>
      </c>
      <c r="Y261" s="2"/>
      <c r="Z261" s="2"/>
      <c r="AA261" s="2"/>
    </row>
    <row r="262" spans="1:27">
      <c r="A262" s="10">
        <f>E262*100+COUNTIF($E$194:$E262,$E262)</f>
        <v>112709</v>
      </c>
      <c r="B262" s="68" t="s">
        <v>1902</v>
      </c>
      <c r="C262" s="50" t="s">
        <v>357</v>
      </c>
      <c r="D262" s="10" t="str">
        <f t="shared" si="18"/>
        <v>[]</v>
      </c>
      <c r="E262" s="45">
        <f>INDEX($I:$I,MATCH($E261,$I:$I,0)+IF(COUNTIF($E$194:$E261,$E261)&lt;=VLOOKUP($E261,$I$134:$K$193,3,0)-1,0,1),0)</f>
        <v>1127</v>
      </c>
      <c r="F262" s="45" t="str">
        <f t="shared" si="14"/>
        <v>弥勒佛</v>
      </c>
      <c r="H262" s="45">
        <f>VLOOKUP($E262,[1]Sheet1!$A:$G,7,0)</f>
        <v>4</v>
      </c>
      <c r="I262" s="45" t="str">
        <f>IF($G262="","",IF(COUNTIF(技能描述!$D:$D,$F262)&gt;0,VLOOKUP($F262&amp;$G262,技能描述!$A:$C,3,0),LEFT(VLOOKUP($E262,[1]Sheet1!$A:$J,10,0),FIND("_",VLOOKUP($E262,[1]Sheet1!$A:$J,10,0))-1)&amp;$G262))</f>
        <v/>
      </c>
      <c r="J262" s="45" t="str">
        <f>IF($I262="","",VLOOKUP($I262,技能描述!$A:$C,3,0))</f>
        <v/>
      </c>
      <c r="K262" s="45" t="str">
        <f>IF($I262="","",INDEX([2]Sheet1!$1:$1048576,MATCH($I262,[2]Sheet1!$A:$A,0),MATCH("description_damage",[2]Sheet1!$2:$2,0)))</f>
        <v/>
      </c>
      <c r="L262" s="80" t="str">
        <f>IF($K262="","",IF(LEN($K262)-LEN(SUBSTITUTE($K262,",",""))=0,VLOOKUP(INT($K262),[3]Sheet1!$A:$C,3,0),VLOOKUP(INT(LEFT($K262,FIND(",",$K262)-1)),[3]Sheet1!$A:$C,3,0)))</f>
        <v/>
      </c>
      <c r="M262" s="80" t="str">
        <f t="shared" si="19"/>
        <v/>
      </c>
      <c r="N262" s="45" t="str">
        <f>IF(LEN($K262)-LEN(SUBSTITUTE($K262,",",""))=1,VLOOKUP(INT(RIGHT($K262,LEN($K262)-FIND(",",$K262))),[3]Sheet1!$A:$C,3,0),"")</f>
        <v/>
      </c>
      <c r="O262" s="45" t="str">
        <f t="shared" si="16"/>
        <v/>
      </c>
      <c r="P262" s="45" t="str">
        <f t="shared" si="12"/>
        <v/>
      </c>
      <c r="Q262" s="45" t="str">
        <f t="shared" si="17"/>
        <v/>
      </c>
      <c r="R262" s="45"/>
      <c r="S262" s="45" t="str">
        <f>IF(ISERROR($Q262),"进阶+"&amp;COUNTIF($E$194:$E262,$E262)&amp;"："&amp;"找ZC配技能","进阶+"&amp;COUNTIF($E$194:$E262,$E262)&amp;"："&amp;VLOOKUP(COUNTIF($E$194:$E262,$E262),$L$184:$R$193,IF(H262=1,4,IF(H262=4,3,2))+IF(INDEX([1]Sheet1!$1:$1048576,MATCH($E262,[1]Sheet1!$A:$A,0),MATCH("zizhi",[1]Sheet1!$2:$2,0))&gt;=13,0,3),0)&amp;IF($Q262="","","（"&amp;$Q262&amp;"）"))</f>
        <v>进阶+9：全队生命，防御提高15%</v>
      </c>
      <c r="T262" s="1"/>
      <c r="U262" s="1"/>
      <c r="V262" s="2" t="str">
        <f>VLOOKUP(COUNTIF($E$194:$E262,$E262),$L$184:$X$193,IF(H262=1,4,IF(H262=4,3,2))+IF(INDEX([1]Sheet1!$1:$1048576,MATCH($E262,[1]Sheet1!$A:$A,0),MATCH("zizhi",[1]Sheet1!$2:$2,0))&gt;=13,0,3)+6,0)</f>
        <v>57015,59015,60015</v>
      </c>
      <c r="W262" s="2" t="str">
        <f t="shared" si="15"/>
        <v>进阶+9：全队生命，防御提高15%</v>
      </c>
      <c r="X262" s="45" t="str">
        <f t="shared" si="13"/>
        <v>57015,59015,60015</v>
      </c>
      <c r="Y262" s="2"/>
      <c r="Z262" s="2"/>
      <c r="AA262" s="2"/>
    </row>
    <row r="263" spans="1:27" ht="33">
      <c r="A263" s="10">
        <f>E263*100+COUNTIF($E$194:$E263,$E263)</f>
        <v>112710</v>
      </c>
      <c r="B263" s="68" t="s">
        <v>1906</v>
      </c>
      <c r="C263" s="50" t="s">
        <v>2</v>
      </c>
      <c r="D263" s="10">
        <f t="shared" si="18"/>
        <v>1</v>
      </c>
      <c r="E263" s="45">
        <f>INDEX($I:$I,MATCH($E262,$I:$I,0)+IF(COUNTIF($E$194:$E262,$E262)&lt;=VLOOKUP($E262,$I$134:$K$193,3,0)-1,0,1),0)</f>
        <v>1127</v>
      </c>
      <c r="F263" s="45" t="str">
        <f t="shared" si="14"/>
        <v>弥勒佛</v>
      </c>
      <c r="G263" s="45" t="s">
        <v>220</v>
      </c>
      <c r="H263" s="45">
        <f>VLOOKUP($E263,[1]Sheet1!$A:$G,7,0)</f>
        <v>4</v>
      </c>
      <c r="I263" s="45" t="str">
        <f>IF($G263="","",IF(COUNTIF(技能描述!$D:$D,$F263)&gt;0,VLOOKUP($F263&amp;$G263,技能描述!$A:$C,3,0),LEFT(VLOOKUP($E263,[1]Sheet1!$A:$J,10,0),FIND("_",VLOOKUP($E263,[1]Sheet1!$A:$J,10,0))-1)&amp;$G263))</f>
        <v>milefo_skill041</v>
      </c>
      <c r="J263" s="45" t="str">
        <f>IF($I263="","",VLOOKUP($I263,技能描述!$A:$C,3,0))</f>
        <v>弥勒佛用佛法治疗自身，每0.5秒恢复自身生命值上限@s的生命值，持续2秒，并清除自身所有不利状态</v>
      </c>
      <c r="K263" s="45" t="str">
        <f>IF($I263="","",INDEX([2]Sheet1!$1:$1048576,MATCH($I263,[2]Sheet1!$A:$A,0),MATCH("description_damage",[2]Sheet1!$2:$2,0)))</f>
        <v>9003</v>
      </c>
      <c r="L263" s="80" t="str">
        <f>IF($K263="","",IF(LEN($K263)-LEN(SUBSTITUTE($K263,",",""))=0,VLOOKUP(INT($K263),[3]Sheet1!$A:$C,3,0),VLOOKUP(INT(LEFT($K263,FIND(",",$K263)-1)),[3]Sheet1!$A:$C,3,0)))</f>
        <v>4|3|0.03|0|1</v>
      </c>
      <c r="M263" s="80" t="str">
        <f t="shared" si="19"/>
        <v>3%</v>
      </c>
      <c r="N263" s="45" t="str">
        <f>IF(LEN($K263)-LEN(SUBSTITUTE($K263,",",""))=1,VLOOKUP(INT(RIGHT($K263,LEN($K263)-FIND(",",$K263))),[3]Sheet1!$A:$C,3,0),"")</f>
        <v/>
      </c>
      <c r="O263" s="45" t="str">
        <f t="shared" si="16"/>
        <v/>
      </c>
      <c r="P263" s="45" t="str">
        <f t="shared" si="12"/>
        <v>弥勒佛用佛法治疗自身，每0.5秒恢复自身生命值上限3%的生命值，持续2秒，并清除自身所有不利状态</v>
      </c>
      <c r="Q263" s="45" t="str">
        <f t="shared" si="17"/>
        <v>弥勒佛用佛法治疗自身，每0.5秒恢复自身生命值上限3%的生命值，持续2秒，并清除自身所有不利状态</v>
      </c>
      <c r="R263" s="45"/>
      <c r="S263" s="45" t="str">
        <f>IF(ISERROR($Q263),"进阶+"&amp;COUNTIF($E$194:$E263,$E263)&amp;"："&amp;"找ZC配技能","进阶+"&amp;COUNTIF($E$194:$E263,$E263)&amp;"："&amp;VLOOKUP(COUNTIF($E$194:$E263,$E263),$L$184:$R$193,IF(H263=1,4,IF(H263=4,3,2))+IF(INDEX([1]Sheet1!$1:$1048576,MATCH($E263,[1]Sheet1!$A:$A,0),MATCH("zizhi",[1]Sheet1!$2:$2,0))&gt;=13,0,3),0)&amp;IF($Q263="","","（"&amp;$Q263&amp;"）"))</f>
        <v>进阶+10：增强AI2技能（弥勒佛用佛法治疗自身，每0.5秒恢复自身生命值上限3%的生命值，持续2秒，并清除自身所有不利状态）</v>
      </c>
      <c r="T263" s="1"/>
      <c r="U263" s="1"/>
      <c r="V263" s="2" t="str">
        <f>VLOOKUP(COUNTIF($E$194:$E263,$E263),$L$184:$X$193,IF(H263=1,4,IF(H263=4,3,2))+IF(INDEX([1]Sheet1!$1:$1048576,MATCH($E263,[1]Sheet1!$A:$A,0),MATCH("zizhi",[1]Sheet1!$2:$2,0))&gt;=13,0,3)+6,0)</f>
        <v>[]</v>
      </c>
      <c r="W263" s="2" t="str">
        <f t="shared" si="15"/>
        <v>进阶+10：增强AI2技能（弥勒佛用佛法治疗自身，每0.5秒恢复自身生命值上限3%的生命值，持续2秒，并清除自身所有不利状态）</v>
      </c>
      <c r="X263" s="45" t="str">
        <f t="shared" si="13"/>
        <v>[]</v>
      </c>
      <c r="Y263" s="2"/>
      <c r="Z263" s="2"/>
      <c r="AA263" s="2"/>
    </row>
    <row r="264" spans="1:27">
      <c r="A264" s="10">
        <f>E264*100+COUNTIF($E$194:$E264,$E264)</f>
        <v>121201</v>
      </c>
      <c r="B264" s="68" t="s">
        <v>319</v>
      </c>
      <c r="C264" s="50" t="s">
        <v>2086</v>
      </c>
      <c r="D264" s="10" t="str">
        <f t="shared" si="18"/>
        <v>[]</v>
      </c>
      <c r="E264" s="45">
        <f>INDEX($I:$I,MATCH($E263,$I:$I,0)+IF(COUNTIF($E$194:$E263,$E263)&lt;=VLOOKUP($E263,$I$134:$K$193,3,0)-1,0,1),0)</f>
        <v>1212</v>
      </c>
      <c r="F264" s="45" t="str">
        <f t="shared" si="14"/>
        <v>金蝉子</v>
      </c>
      <c r="H264" s="45">
        <f>VLOOKUP($E264,[1]Sheet1!$A:$G,7,0)</f>
        <v>4</v>
      </c>
      <c r="I264" s="45" t="str">
        <f>IF($G264="","",IF(COUNTIF(技能描述!$D:$D,$F264)&gt;0,VLOOKUP($F264&amp;$G264,技能描述!$A:$C,3,0),LEFT(VLOOKUP($E264,[1]Sheet1!$A:$J,10,0),FIND("_",VLOOKUP($E264,[1]Sheet1!$A:$J,10,0))-1)&amp;$G264))</f>
        <v/>
      </c>
      <c r="J264" s="45" t="str">
        <f>IF($I264="","",VLOOKUP($I264,技能描述!$A:$C,3,0))</f>
        <v/>
      </c>
      <c r="K264" s="45" t="str">
        <f>IF($I264="","",INDEX([2]Sheet1!$1:$1048576,MATCH($I264,[2]Sheet1!$A:$A,0),MATCH("description_damage",[2]Sheet1!$2:$2,0)))</f>
        <v/>
      </c>
      <c r="L264" s="80" t="str">
        <f>IF($K264="","",IF(LEN($K264)-LEN(SUBSTITUTE($K264,",",""))=0,VLOOKUP(INT($K264),[3]Sheet1!$A:$C,3,0),VLOOKUP(INT(LEFT($K264,FIND(",",$K264)-1)),[3]Sheet1!$A:$C,3,0)))</f>
        <v/>
      </c>
      <c r="M264" s="80" t="str">
        <f t="shared" si="19"/>
        <v/>
      </c>
      <c r="N264" s="45" t="str">
        <f>IF(LEN($K264)-LEN(SUBSTITUTE($K264,",",""))=1,VLOOKUP(INT(RIGHT($K264,LEN($K264)-FIND(",",$K264))),[3]Sheet1!$A:$C,3,0),"")</f>
        <v/>
      </c>
      <c r="O264" s="45" t="str">
        <f t="shared" si="16"/>
        <v/>
      </c>
      <c r="P264" s="45" t="str">
        <f t="shared" si="12"/>
        <v/>
      </c>
      <c r="Q264" s="45" t="str">
        <f t="shared" si="17"/>
        <v/>
      </c>
      <c r="R264" s="45"/>
      <c r="S264" s="45" t="str">
        <f>IF(ISERROR($Q264),"进阶+"&amp;COUNTIF($E$194:$E264,$E264)&amp;"："&amp;"找ZC配技能","进阶+"&amp;COUNTIF($E$194:$E264,$E264)&amp;"："&amp;VLOOKUP(COUNTIF($E$194:$E264,$E264),$L$184:$R$193,IF(H264=1,4,IF(H264=4,3,2))+IF(INDEX([1]Sheet1!$1:$1048576,MATCH($E264,[1]Sheet1!$A:$A,0),MATCH("zizhi",[1]Sheet1!$2:$2,0))&gt;=13,0,3),0)&amp;IF($Q264="","","（"&amp;$Q264&amp;"）"))</f>
        <v>进阶+1：生命提高10%</v>
      </c>
      <c r="T264" s="1"/>
      <c r="U264" s="1"/>
      <c r="V264" s="2" t="str">
        <f>VLOOKUP(COUNTIF($E$194:$E264,$E264),$L$184:$X$193,IF(H264=1,4,IF(H264=4,3,2))+IF(INDEX([1]Sheet1!$1:$1048576,MATCH($E264,[1]Sheet1!$A:$A,0),MATCH("zizhi",[1]Sheet1!$2:$2,0))&gt;=13,0,3)+6,0)</f>
        <v>11090</v>
      </c>
      <c r="W264" s="2" t="str">
        <f t="shared" si="15"/>
        <v>进阶+1：生命提高10%</v>
      </c>
      <c r="X264" s="45" t="str">
        <f t="shared" si="13"/>
        <v>11090</v>
      </c>
      <c r="Y264" s="2"/>
      <c r="Z264" s="2"/>
      <c r="AA264" s="2"/>
    </row>
    <row r="265" spans="1:27" ht="33">
      <c r="A265" s="10">
        <f>E265*100+COUNTIF($E$194:$E265,$E265)</f>
        <v>121202</v>
      </c>
      <c r="B265" s="68" t="s">
        <v>2099</v>
      </c>
      <c r="C265" s="50" t="s">
        <v>2</v>
      </c>
      <c r="D265" s="10">
        <f t="shared" si="18"/>
        <v>1</v>
      </c>
      <c r="E265" s="45">
        <f>INDEX($I:$I,MATCH($E264,$I:$I,0)+IF(COUNTIF($E$194:$E264,$E264)&lt;=VLOOKUP($E264,$I$134:$K$193,3,0)-1,0,1),0)</f>
        <v>1212</v>
      </c>
      <c r="F265" s="45" t="str">
        <f t="shared" si="14"/>
        <v>金蝉子</v>
      </c>
      <c r="G265" s="45" t="s">
        <v>216</v>
      </c>
      <c r="H265" s="45">
        <f>VLOOKUP($E265,[1]Sheet1!$A:$G,7,0)</f>
        <v>4</v>
      </c>
      <c r="I265" s="45" t="str">
        <f>IF($G265="","",IF(COUNTIF(技能描述!$D:$D,$F265)&gt;0,VLOOKUP($F265&amp;$G265,技能描述!$A:$C,3,0),LEFT(VLOOKUP($E265,[1]Sheet1!$A:$J,10,0),FIND("_",VLOOKUP($E265,[1]Sheet1!$A:$J,10,0))-1)&amp;$G265))</f>
        <v>jinchanzi_skill03</v>
      </c>
      <c r="J265" s="45" t="str">
        <f>IF($I265="","",VLOOKUP($I265,技能描述!$A:$C,3,0))</f>
        <v>自身生命低于30%后，受到伤害减少20%，同时反弹伤害的20%给攻击者</v>
      </c>
      <c r="K265" s="45" t="str">
        <f>IF($I265="","",INDEX([2]Sheet1!$1:$1048576,MATCH($I265,[2]Sheet1!$A:$A,0),MATCH("description_damage",[2]Sheet1!$2:$2,0)))</f>
        <v>9020</v>
      </c>
      <c r="L265" s="80" t="str">
        <f>IF($K265="","",IF(LEN($K265)-LEN(SUBSTITUTE($K265,",",""))=0,VLOOKUP(INT($K265),[3]Sheet1!$A:$C,3,0),VLOOKUP(INT(LEFT($K265,FIND(",",$K265)-1)),[3]Sheet1!$A:$C,3,0)))</f>
        <v>4|3|0.2|0|1</v>
      </c>
      <c r="M265" s="80" t="str">
        <f t="shared" si="19"/>
        <v>20%</v>
      </c>
      <c r="N265" s="45" t="str">
        <f>IF(LEN($K265)-LEN(SUBSTITUTE($K265,",",""))=1,VLOOKUP(INT(RIGHT($K265,LEN($K265)-FIND(",",$K265))),[3]Sheet1!$A:$C,3,0),"")</f>
        <v/>
      </c>
      <c r="O265" s="45" t="str">
        <f t="shared" si="16"/>
        <v/>
      </c>
      <c r="P265" s="45" t="str">
        <f t="shared" si="12"/>
        <v>自身生命低于30%后，受到伤害减少20%，同时反弹伤害的20%给攻击者</v>
      </c>
      <c r="Q265" s="45" t="str">
        <f t="shared" si="17"/>
        <v>自身生命低于30%后，受到伤害减少20%，同时反弹伤害的20%给攻击者</v>
      </c>
      <c r="R265" s="45"/>
      <c r="S265" s="45" t="str">
        <f>IF(ISERROR($Q265),"进阶+"&amp;COUNTIF($E$194:$E265,$E265)&amp;"："&amp;"找ZC配技能","进阶+"&amp;COUNTIF($E$194:$E265,$E265)&amp;"："&amp;VLOOKUP(COUNTIF($E$194:$E265,$E265),$L$184:$R$193,IF(H265=1,4,IF(H265=4,3,2))+IF(INDEX([1]Sheet1!$1:$1048576,MATCH($E265,[1]Sheet1!$A:$A,0),MATCH("zizhi",[1]Sheet1!$2:$2,0))&gt;=13,0,3),0)&amp;IF($Q265="","","（"&amp;$Q265&amp;"）"))</f>
        <v>进阶+2：激活被动技能（自身生命低于30%后，受到伤害减少20%，同时反弹伤害的20%给攻击者）</v>
      </c>
      <c r="T265" s="1"/>
      <c r="U265" s="1"/>
      <c r="V265" s="2" t="str">
        <f>VLOOKUP(COUNTIF($E$194:$E265,$E265),$L$184:$X$193,IF(H265=1,4,IF(H265=4,3,2))+IF(INDEX([1]Sheet1!$1:$1048576,MATCH($E265,[1]Sheet1!$A:$A,0),MATCH("zizhi",[1]Sheet1!$2:$2,0))&gt;=13,0,3)+6,0)</f>
        <v>[]</v>
      </c>
      <c r="W265" s="2" t="str">
        <f t="shared" si="15"/>
        <v>进阶+2：激活被动技能（自身生命低于30%后，受到伤害减少20%，同时反弹伤害的20%给攻击者）</v>
      </c>
      <c r="X265" s="45" t="str">
        <f t="shared" si="13"/>
        <v>[]</v>
      </c>
      <c r="Y265" s="2"/>
      <c r="Z265" s="2"/>
      <c r="AA265" s="2"/>
    </row>
    <row r="266" spans="1:27">
      <c r="A266" s="10">
        <f>E266*100+COUNTIF($E$194:$E266,$E266)</f>
        <v>121203</v>
      </c>
      <c r="B266" s="68" t="s">
        <v>324</v>
      </c>
      <c r="C266" s="50" t="s">
        <v>140</v>
      </c>
      <c r="D266" s="10" t="str">
        <f t="shared" si="18"/>
        <v>[]</v>
      </c>
      <c r="E266" s="45">
        <f>INDEX($I:$I,MATCH($E265,$I:$I,0)+IF(COUNTIF($E$194:$E265,$E265)&lt;=VLOOKUP($E265,$I$134:$K$193,3,0)-1,0,1),0)</f>
        <v>1212</v>
      </c>
      <c r="F266" s="45" t="str">
        <f t="shared" si="14"/>
        <v>金蝉子</v>
      </c>
      <c r="H266" s="45">
        <f>VLOOKUP($E266,[1]Sheet1!$A:$G,7,0)</f>
        <v>4</v>
      </c>
      <c r="I266" s="45" t="str">
        <f>IF($G266="","",IF(COUNTIF(技能描述!$D:$D,$F266)&gt;0,VLOOKUP($F266&amp;$G266,技能描述!$A:$C,3,0),LEFT(VLOOKUP($E266,[1]Sheet1!$A:$J,10,0),FIND("_",VLOOKUP($E266,[1]Sheet1!$A:$J,10,0))-1)&amp;$G266))</f>
        <v/>
      </c>
      <c r="J266" s="45" t="str">
        <f>IF($I266="","",VLOOKUP($I266,技能描述!$A:$C,3,0))</f>
        <v/>
      </c>
      <c r="K266" s="45" t="str">
        <f>IF($I266="","",INDEX([2]Sheet1!$1:$1048576,MATCH($I266,[2]Sheet1!$A:$A,0),MATCH("description_damage",[2]Sheet1!$2:$2,0)))</f>
        <v/>
      </c>
      <c r="L266" s="80" t="str">
        <f>IF($K266="","",IF(LEN($K266)-LEN(SUBSTITUTE($K266,",",""))=0,VLOOKUP(INT($K266),[3]Sheet1!$A:$C,3,0),VLOOKUP(INT(LEFT($K266,FIND(",",$K266)-1)),[3]Sheet1!$A:$C,3,0)))</f>
        <v/>
      </c>
      <c r="M266" s="80" t="str">
        <f t="shared" si="19"/>
        <v/>
      </c>
      <c r="N266" s="45" t="str">
        <f>IF(LEN($K266)-LEN(SUBSTITUTE($K266,",",""))=1,VLOOKUP(INT(RIGHT($K266,LEN($K266)-FIND(",",$K266))),[3]Sheet1!$A:$C,3,0),"")</f>
        <v/>
      </c>
      <c r="O266" s="45" t="str">
        <f t="shared" si="16"/>
        <v/>
      </c>
      <c r="P266" s="45" t="str">
        <f t="shared" si="12"/>
        <v/>
      </c>
      <c r="Q266" s="45" t="str">
        <f t="shared" si="17"/>
        <v/>
      </c>
      <c r="R266" s="45"/>
      <c r="S266" s="45" t="str">
        <f>IF(ISERROR($Q266),"进阶+"&amp;COUNTIF($E$194:$E266,$E266)&amp;"："&amp;"找ZC配技能","进阶+"&amp;COUNTIF($E$194:$E266,$E266)&amp;"："&amp;VLOOKUP(COUNTIF($E$194:$E266,$E266),$L$184:$R$193,IF(H266=1,4,IF(H266=4,3,2))+IF(INDEX([1]Sheet1!$1:$1048576,MATCH($E266,[1]Sheet1!$A:$A,0),MATCH("zizhi",[1]Sheet1!$2:$2,0))&gt;=13,0,3),0)&amp;IF($Q266="","","（"&amp;$Q266&amp;"）"))</f>
        <v>进阶+3：生命，防御提高10%</v>
      </c>
      <c r="T266" s="1"/>
      <c r="U266" s="1"/>
      <c r="V266" s="2" t="str">
        <f>VLOOKUP(COUNTIF($E$194:$E266,$E266),$L$184:$X$193,IF(H266=1,4,IF(H266=4,3,2))+IF(INDEX([1]Sheet1!$1:$1048576,MATCH($E266,[1]Sheet1!$A:$A,0),MATCH("zizhi",[1]Sheet1!$2:$2,0))&gt;=13,0,3)+6,0)</f>
        <v>11090,6502,6512</v>
      </c>
      <c r="W266" s="2" t="str">
        <f t="shared" si="15"/>
        <v>进阶+3：生命，防御提高10%</v>
      </c>
      <c r="X266" s="45" t="str">
        <f t="shared" si="13"/>
        <v>11090,6502,6512</v>
      </c>
      <c r="Y266" s="2"/>
      <c r="Z266" s="2"/>
      <c r="AA266" s="2"/>
    </row>
    <row r="267" spans="1:27" ht="49.5">
      <c r="A267" s="10">
        <f>E267*100+COUNTIF($E$194:$E267,$E267)</f>
        <v>121204</v>
      </c>
      <c r="B267" s="68" t="s">
        <v>1860</v>
      </c>
      <c r="C267" s="50" t="s">
        <v>2</v>
      </c>
      <c r="D267" s="10">
        <f t="shared" si="18"/>
        <v>1</v>
      </c>
      <c r="E267" s="45">
        <f>INDEX($I:$I,MATCH($E266,$I:$I,0)+IF(COUNTIF($E$194:$E266,$E266)&lt;=VLOOKUP($E266,$I$134:$K$193,3,0)-1,0,1),0)</f>
        <v>1212</v>
      </c>
      <c r="F267" s="45" t="str">
        <f t="shared" si="14"/>
        <v>金蝉子</v>
      </c>
      <c r="G267" s="45" t="s">
        <v>217</v>
      </c>
      <c r="H267" s="45">
        <f>VLOOKUP($E267,[1]Sheet1!$A:$G,7,0)</f>
        <v>4</v>
      </c>
      <c r="I267" s="45" t="str">
        <f>IF($G267="","",IF(COUNTIF(技能描述!$D:$D,$F267)&gt;0,VLOOKUP($F267&amp;$G267,技能描述!$A:$C,3,0),LEFT(VLOOKUP($E267,[1]Sheet1!$A:$J,10,0),FIND("_",VLOOKUP($E267,[1]Sheet1!$A:$J,10,0))-1)&amp;$G267))</f>
        <v>jinchanzi_skill04</v>
      </c>
      <c r="J267" s="45" t="str">
        <f>IF($I267="","",VLOOKUP($I267,技能描述!$A:$C,3,0))</f>
        <v>金蝉子发动天罡咒印，对范围内敌人进行7次攻击，造成自身攻击力@s的法伤，并降低敌人造成的伤害@s，持续3秒</v>
      </c>
      <c r="K267" s="45" t="str">
        <f>IF($I267="","",INDEX([2]Sheet1!$1:$1048576,MATCH($I267,[2]Sheet1!$A:$A,0),MATCH("description_damage",[2]Sheet1!$2:$2,0)))</f>
        <v>121204,9010</v>
      </c>
      <c r="L267" s="80" t="str">
        <f>IF($K267="","",IF(LEN($K267)-LEN(SUBSTITUTE($K267,",",""))=0,VLOOKUP(INT($K267),[3]Sheet1!$A:$C,3,0),VLOOKUP(INT(LEFT($K267,FIND(",",$K267)-1)),[3]Sheet1!$A:$C,3,0)))</f>
        <v>2|2|0.21|0|0|0</v>
      </c>
      <c r="M267" s="80" t="str">
        <f t="shared" si="19"/>
        <v>21%</v>
      </c>
      <c r="N267" s="45" t="str">
        <f>IF(LEN($K267)-LEN(SUBSTITUTE($K267,",",""))=1,VLOOKUP(INT(RIGHT($K267,LEN($K267)-FIND(",",$K267))),[3]Sheet1!$A:$C,3,0),"")</f>
        <v>4|3|0.1|0|1</v>
      </c>
      <c r="O267" s="45" t="str">
        <f t="shared" si="16"/>
        <v>10%</v>
      </c>
      <c r="P267" s="45" t="str">
        <f t="shared" si="12"/>
        <v>金蝉子发动天罡咒印，对范围内敌人进行7次攻击，造成自身攻击力21%的法伤，并降低敌人造成的伤害@s，持续3秒</v>
      </c>
      <c r="Q267" s="45" t="str">
        <f t="shared" si="17"/>
        <v>金蝉子发动天罡咒印，对范围内敌人进行7次攻击，造成自身攻击力21%的法伤，并降低敌人造成的伤害10%，持续3秒</v>
      </c>
      <c r="R267" s="45"/>
      <c r="S267" s="45" t="str">
        <f>IF(ISERROR($Q267),"进阶+"&amp;COUNTIF($E$194:$E267,$E267)&amp;"："&amp;"找ZC配技能","进阶+"&amp;COUNTIF($E$194:$E267,$E267)&amp;"："&amp;VLOOKUP(COUNTIF($E$194:$E267,$E267),$L$184:$R$193,IF(H267=1,4,IF(H267=4,3,2))+IF(INDEX([1]Sheet1!$1:$1048576,MATCH($E267,[1]Sheet1!$A:$A,0),MATCH("zizhi",[1]Sheet1!$2:$2,0))&gt;=13,0,3),0)&amp;IF($Q267="","","（"&amp;$Q267&amp;"）"))</f>
        <v>进阶+4：激活AI2技能（金蝉子发动天罡咒印，对范围内敌人进行7次攻击，造成自身攻击力21%的法伤，并降低敌人造成的伤害10%，持续3秒）</v>
      </c>
      <c r="T267" s="1"/>
      <c r="U267" s="1"/>
      <c r="V267" s="2" t="str">
        <f>VLOOKUP(COUNTIF($E$194:$E267,$E267),$L$184:$X$193,IF(H267=1,4,IF(H267=4,3,2))+IF(INDEX([1]Sheet1!$1:$1048576,MATCH($E267,[1]Sheet1!$A:$A,0),MATCH("zizhi",[1]Sheet1!$2:$2,0))&gt;=13,0,3)+6,0)</f>
        <v>[]</v>
      </c>
      <c r="W267" s="2" t="str">
        <f t="shared" si="15"/>
        <v>进阶+4：激活AI2技能（金蝉子发动天罡咒印，对范围内敌人进行7次攻击，造成自身攻击力21%的法伤，并降低敌人造成的伤害10%，持续3秒）</v>
      </c>
      <c r="X267" s="45" t="str">
        <f t="shared" si="13"/>
        <v>[]</v>
      </c>
      <c r="Y267" s="2"/>
      <c r="Z267" s="2"/>
      <c r="AA267" s="2"/>
    </row>
    <row r="268" spans="1:27">
      <c r="A268" s="10">
        <f>E268*100+COUNTIF($E$194:$E268,$E268)</f>
        <v>121205</v>
      </c>
      <c r="B268" s="68" t="s">
        <v>320</v>
      </c>
      <c r="C268" s="50" t="s">
        <v>239</v>
      </c>
      <c r="D268" s="10" t="str">
        <f t="shared" si="18"/>
        <v>[]</v>
      </c>
      <c r="E268" s="45">
        <f>INDEX($I:$I,MATCH($E267,$I:$I,0)+IF(COUNTIF($E$194:$E267,$E267)&lt;=VLOOKUP($E267,$I$134:$K$193,3,0)-1,0,1),0)</f>
        <v>1212</v>
      </c>
      <c r="F268" s="45" t="str">
        <f t="shared" si="14"/>
        <v>金蝉子</v>
      </c>
      <c r="H268" s="45">
        <f>VLOOKUP($E268,[1]Sheet1!$A:$G,7,0)</f>
        <v>4</v>
      </c>
      <c r="I268" s="45" t="str">
        <f>IF($G268="","",IF(COUNTIF(技能描述!$D:$D,$F268)&gt;0,VLOOKUP($F268&amp;$G268,技能描述!$A:$C,3,0),LEFT(VLOOKUP($E268,[1]Sheet1!$A:$J,10,0),FIND("_",VLOOKUP($E268,[1]Sheet1!$A:$J,10,0))-1)&amp;$G268))</f>
        <v/>
      </c>
      <c r="J268" s="45" t="str">
        <f>IF($I268="","",VLOOKUP($I268,技能描述!$A:$C,3,0))</f>
        <v/>
      </c>
      <c r="K268" s="45" t="str">
        <f>IF($I268="","",INDEX([2]Sheet1!$1:$1048576,MATCH($I268,[2]Sheet1!$A:$A,0),MATCH("description_damage",[2]Sheet1!$2:$2,0)))</f>
        <v/>
      </c>
      <c r="L268" s="80" t="str">
        <f>IF($K268="","",IF(LEN($K268)-LEN(SUBSTITUTE($K268,",",""))=0,VLOOKUP(INT($K268),[3]Sheet1!$A:$C,3,0),VLOOKUP(INT(LEFT($K268,FIND(",",$K268)-1)),[3]Sheet1!$A:$C,3,0)))</f>
        <v/>
      </c>
      <c r="M268" s="80" t="str">
        <f t="shared" si="19"/>
        <v/>
      </c>
      <c r="N268" s="45" t="str">
        <f>IF(LEN($K268)-LEN(SUBSTITUTE($K268,",",""))=1,VLOOKUP(INT(RIGHT($K268,LEN($K268)-FIND(",",$K268))),[3]Sheet1!$A:$C,3,0),"")</f>
        <v/>
      </c>
      <c r="O268" s="45" t="str">
        <f t="shared" si="16"/>
        <v/>
      </c>
      <c r="P268" s="45" t="str">
        <f t="shared" si="12"/>
        <v/>
      </c>
      <c r="Q268" s="45" t="str">
        <f t="shared" si="17"/>
        <v/>
      </c>
      <c r="R268" s="45"/>
      <c r="S268" s="45" t="str">
        <f>IF(ISERROR($Q268),"进阶+"&amp;COUNTIF($E$194:$E268,$E268)&amp;"："&amp;"找ZC配技能","进阶+"&amp;COUNTIF($E$194:$E268,$E268)&amp;"："&amp;VLOOKUP(COUNTIF($E$194:$E268,$E268),$L$184:$R$193,IF(H268=1,4,IF(H268=4,3,2))+IF(INDEX([1]Sheet1!$1:$1048576,MATCH($E268,[1]Sheet1!$A:$A,0),MATCH("zizhi",[1]Sheet1!$2:$2,0))&gt;=13,0,3),0)&amp;IF($Q268="","","（"&amp;$Q268&amp;"）"))</f>
        <v>进阶+5：攻击提高15%</v>
      </c>
      <c r="T268" s="1"/>
      <c r="U268" s="1"/>
      <c r="V268" s="2" t="str">
        <f>VLOOKUP(COUNTIF($E$194:$E268,$E268),$L$184:$X$193,IF(H268=1,4,IF(H268=4,3,2))+IF(INDEX([1]Sheet1!$1:$1048576,MATCH($E268,[1]Sheet1!$A:$A,0),MATCH("zizhi",[1]Sheet1!$2:$2,0))&gt;=13,0,3)+6,0)</f>
        <v>11055</v>
      </c>
      <c r="W268" s="2" t="str">
        <f t="shared" si="15"/>
        <v>进阶+5：攻击提高15%</v>
      </c>
      <c r="X268" s="45" t="str">
        <f t="shared" si="13"/>
        <v>11055</v>
      </c>
      <c r="Y268" s="2"/>
      <c r="Z268" s="2"/>
      <c r="AA268" s="2"/>
    </row>
    <row r="269" spans="1:27" ht="33">
      <c r="A269" s="10">
        <f>E269*100+COUNTIF($E$194:$E269,$E269)</f>
        <v>121206</v>
      </c>
      <c r="B269" s="68" t="s">
        <v>1996</v>
      </c>
      <c r="C269" s="50" t="s">
        <v>2</v>
      </c>
      <c r="D269" s="10">
        <f t="shared" si="18"/>
        <v>1</v>
      </c>
      <c r="E269" s="45">
        <f>INDEX($I:$I,MATCH($E268,$I:$I,0)+IF(COUNTIF($E$194:$E268,$E268)&lt;=VLOOKUP($E268,$I$134:$K$193,3,0)-1,0,1),0)</f>
        <v>1212</v>
      </c>
      <c r="F269" s="45" t="str">
        <f t="shared" si="14"/>
        <v>金蝉子</v>
      </c>
      <c r="G269" s="45" t="s">
        <v>218</v>
      </c>
      <c r="H269" s="45">
        <f>VLOOKUP($E269,[1]Sheet1!$A:$G,7,0)</f>
        <v>4</v>
      </c>
      <c r="I269" s="45" t="str">
        <f>IF($G269="","",IF(COUNTIF(技能描述!$D:$D,$F269)&gt;0,VLOOKUP($F269&amp;$G269,技能描述!$A:$C,3,0),LEFT(VLOOKUP($E269,[1]Sheet1!$A:$J,10,0),FIND("_",VLOOKUP($E269,[1]Sheet1!$A:$J,10,0))-1)&amp;$G269))</f>
        <v>jinchanzi_skill011</v>
      </c>
      <c r="J269" s="45" t="str">
        <f>IF($I269="","",VLOOKUP($I269,技能描述!$A:$C,3,0))</f>
        <v>念动圣诫天咒为友军施加护盾，降低全体友军受到伤害@s，持续6秒</v>
      </c>
      <c r="K269" s="45" t="str">
        <f>IF($I269="","",INDEX([2]Sheet1!$1:$1048576,MATCH($I269,[2]Sheet1!$A:$A,0),MATCH("description_damage",[2]Sheet1!$2:$2,0)))</f>
        <v>9040</v>
      </c>
      <c r="L269" s="80" t="str">
        <f>IF($K269="","",IF(LEN($K269)-LEN(SUBSTITUTE($K269,",",""))=0,VLOOKUP(INT($K269),[3]Sheet1!$A:$C,3,0),VLOOKUP(INT(LEFT($K269,FIND(",",$K269)-1)),[3]Sheet1!$A:$C,3,0)))</f>
        <v>4|3|0.4|0|1</v>
      </c>
      <c r="M269" s="80" t="str">
        <f t="shared" si="19"/>
        <v>40%</v>
      </c>
      <c r="N269" s="45" t="str">
        <f>IF(LEN($K269)-LEN(SUBSTITUTE($K269,",",""))=1,VLOOKUP(INT(RIGHT($K269,LEN($K269)-FIND(",",$K269))),[3]Sheet1!$A:$C,3,0),"")</f>
        <v/>
      </c>
      <c r="O269" s="45" t="str">
        <f t="shared" si="16"/>
        <v/>
      </c>
      <c r="P269" s="45" t="str">
        <f t="shared" si="12"/>
        <v>念动圣诫天咒为友军施加护盾，降低全体友军受到伤害40%，持续6秒</v>
      </c>
      <c r="Q269" s="45" t="str">
        <f t="shared" si="17"/>
        <v>念动圣诫天咒为友军施加护盾，降低全体友军受到伤害40%，持续6秒</v>
      </c>
      <c r="R269" s="45"/>
      <c r="S269" s="45" t="str">
        <f>IF(ISERROR($Q269),"进阶+"&amp;COUNTIF($E$194:$E269,$E269)&amp;"："&amp;"找ZC配技能","进阶+"&amp;COUNTIF($E$194:$E269,$E269)&amp;"："&amp;VLOOKUP(COUNTIF($E$194:$E269,$E269),$L$184:$R$193,IF(H269=1,4,IF(H269=4,3,2))+IF(INDEX([1]Sheet1!$1:$1048576,MATCH($E269,[1]Sheet1!$A:$A,0),MATCH("zizhi",[1]Sheet1!$2:$2,0))&gt;=13,0,3),0)&amp;IF($Q269="","","（"&amp;$Q269&amp;"）"))</f>
        <v>进阶+6：增强主角技能（念动圣诫天咒为友军施加护盾，降低全体友军受到伤害40%，持续6秒）</v>
      </c>
      <c r="T269" s="1"/>
      <c r="U269" s="1"/>
      <c r="V269" s="2" t="str">
        <f>VLOOKUP(COUNTIF($E$194:$E269,$E269),$L$184:$X$193,IF(H269=1,4,IF(H269=4,3,2))+IF(INDEX([1]Sheet1!$1:$1048576,MATCH($E269,[1]Sheet1!$A:$A,0),MATCH("zizhi",[1]Sheet1!$2:$2,0))&gt;=13,0,3)+6,0)</f>
        <v>[]</v>
      </c>
      <c r="W269" s="2" t="str">
        <f t="shared" si="15"/>
        <v>进阶+6：增强主角技能（念动圣诫天咒为友军施加护盾，降低全体友军受到伤害40%，持续6秒）</v>
      </c>
      <c r="X269" s="45" t="str">
        <f t="shared" si="13"/>
        <v>[]</v>
      </c>
      <c r="Y269" s="2"/>
      <c r="Z269" s="2"/>
      <c r="AA269" s="2"/>
    </row>
    <row r="270" spans="1:27">
      <c r="A270" s="10">
        <f>E270*100+COUNTIF($E$194:$E270,$E270)</f>
        <v>121207</v>
      </c>
      <c r="B270" s="68" t="s">
        <v>360</v>
      </c>
      <c r="C270" s="50" t="s">
        <v>354</v>
      </c>
      <c r="D270" s="10" t="str">
        <f t="shared" si="18"/>
        <v>[]</v>
      </c>
      <c r="E270" s="45">
        <f>INDEX($I:$I,MATCH($E269,$I:$I,0)+IF(COUNTIF($E$194:$E269,$E269)&lt;=VLOOKUP($E269,$I$134:$K$193,3,0)-1,0,1),0)</f>
        <v>1212</v>
      </c>
      <c r="F270" s="45" t="str">
        <f t="shared" si="14"/>
        <v>金蝉子</v>
      </c>
      <c r="H270" s="45">
        <f>VLOOKUP($E270,[1]Sheet1!$A:$G,7,0)</f>
        <v>4</v>
      </c>
      <c r="I270" s="45" t="str">
        <f>IF($G270="","",IF(COUNTIF(技能描述!$D:$D,$F270)&gt;0,VLOOKUP($F270&amp;$G270,技能描述!$A:$C,3,0),LEFT(VLOOKUP($E270,[1]Sheet1!$A:$J,10,0),FIND("_",VLOOKUP($E270,[1]Sheet1!$A:$J,10,0))-1)&amp;$G270))</f>
        <v/>
      </c>
      <c r="J270" s="45" t="str">
        <f>IF($I270="","",VLOOKUP($I270,技能描述!$A:$C,3,0))</f>
        <v/>
      </c>
      <c r="K270" s="45" t="str">
        <f>IF($I270="","",INDEX([2]Sheet1!$1:$1048576,MATCH($I270,[2]Sheet1!$A:$A,0),MATCH("description_damage",[2]Sheet1!$2:$2,0)))</f>
        <v/>
      </c>
      <c r="L270" s="80" t="str">
        <f>IF($K270="","",IF(LEN($K270)-LEN(SUBSTITUTE($K270,",",""))=0,VLOOKUP(INT($K270),[3]Sheet1!$A:$C,3,0),VLOOKUP(INT(LEFT($K270,FIND(",",$K270)-1)),[3]Sheet1!$A:$C,3,0)))</f>
        <v/>
      </c>
      <c r="M270" s="80" t="str">
        <f t="shared" si="19"/>
        <v/>
      </c>
      <c r="N270" s="45" t="str">
        <f>IF(LEN($K270)-LEN(SUBSTITUTE($K270,",",""))=1,VLOOKUP(INT(RIGHT($K270,LEN($K270)-FIND(",",$K270))),[3]Sheet1!$A:$C,3,0),"")</f>
        <v/>
      </c>
      <c r="O270" s="45" t="str">
        <f t="shared" si="16"/>
        <v/>
      </c>
      <c r="P270" s="45" t="str">
        <f t="shared" si="12"/>
        <v/>
      </c>
      <c r="Q270" s="45" t="str">
        <f t="shared" si="17"/>
        <v/>
      </c>
      <c r="R270" s="45"/>
      <c r="S270" s="45" t="str">
        <f>IF(ISERROR($Q270),"进阶+"&amp;COUNTIF($E$194:$E270,$E270)&amp;"："&amp;"找ZC配技能","进阶+"&amp;COUNTIF($E$194:$E270,$E270)&amp;"："&amp;VLOOKUP(COUNTIF($E$194:$E270,$E270),$L$184:$R$193,IF(H270=1,4,IF(H270=4,3,2))+IF(INDEX([1]Sheet1!$1:$1048576,MATCH($E270,[1]Sheet1!$A:$A,0),MATCH("zizhi",[1]Sheet1!$2:$2,0))&gt;=13,0,3),0)&amp;IF($Q270="","","（"&amp;$Q270&amp;"）"))</f>
        <v>进阶+7：全队生命，防御提高10%</v>
      </c>
      <c r="T270" s="1"/>
      <c r="U270" s="1"/>
      <c r="V270" s="2" t="str">
        <f>VLOOKUP(COUNTIF($E$194:$E270,$E270),$L$184:$X$193,IF(H270=1,4,IF(H270=4,3,2))+IF(INDEX([1]Sheet1!$1:$1048576,MATCH($E270,[1]Sheet1!$A:$A,0),MATCH("zizhi",[1]Sheet1!$2:$2,0))&gt;=13,0,3)+6,0)</f>
        <v>57010,59010,60010</v>
      </c>
      <c r="W270" s="2" t="str">
        <f t="shared" si="15"/>
        <v>进阶+7：全队生命，防御提高10%</v>
      </c>
      <c r="X270" s="45" t="str">
        <f t="shared" si="13"/>
        <v>57010,59010,60010</v>
      </c>
      <c r="Y270" s="2"/>
      <c r="Z270" s="2"/>
      <c r="AA270" s="2"/>
    </row>
    <row r="271" spans="1:27" ht="33">
      <c r="A271" s="10">
        <f>E271*100+COUNTIF($E$194:$E271,$E271)</f>
        <v>121208</v>
      </c>
      <c r="B271" s="68" t="s">
        <v>1997</v>
      </c>
      <c r="C271" s="50" t="s">
        <v>2</v>
      </c>
      <c r="D271" s="10">
        <f t="shared" si="18"/>
        <v>1</v>
      </c>
      <c r="E271" s="45">
        <f>INDEX($I:$I,MATCH($E270,$I:$I,0)+IF(COUNTIF($E$194:$E270,$E270)&lt;=VLOOKUP($E270,$I$134:$K$193,3,0)-1,0,1),0)</f>
        <v>1212</v>
      </c>
      <c r="F271" s="45" t="str">
        <f t="shared" si="14"/>
        <v>金蝉子</v>
      </c>
      <c r="G271" s="45" t="s">
        <v>219</v>
      </c>
      <c r="H271" s="45">
        <f>VLOOKUP($E271,[1]Sheet1!$A:$G,7,0)</f>
        <v>4</v>
      </c>
      <c r="I271" s="45" t="str">
        <f>IF($G271="","",IF(COUNTIF(技能描述!$D:$D,$F271)&gt;0,VLOOKUP($F271&amp;$G271,技能描述!$A:$C,3,0),LEFT(VLOOKUP($E271,[1]Sheet1!$A:$J,10,0),FIND("_",VLOOKUP($E271,[1]Sheet1!$A:$J,10,0))-1)&amp;$G271))</f>
        <v>jinchanzi_skill021</v>
      </c>
      <c r="J271" s="45" t="str">
        <f>IF($I271="","",VLOOKUP($I271,技能描述!$A:$C,3,0))</f>
        <v>金蝉子给自身增加一个生命上限20%的生命护盾</v>
      </c>
      <c r="K271" s="45" t="str">
        <f>IF($I271="","",INDEX([2]Sheet1!$1:$1048576,MATCH($I271,[2]Sheet1!$A:$A,0),MATCH("description_damage",[2]Sheet1!$2:$2,0)))</f>
        <v>9040</v>
      </c>
      <c r="L271" s="80" t="str">
        <f>IF($K271="","",IF(LEN($K271)-LEN(SUBSTITUTE($K271,",",""))=0,VLOOKUP(INT($K271),[3]Sheet1!$A:$C,3,0),VLOOKUP(INT(LEFT($K271,FIND(",",$K271)-1)),[3]Sheet1!$A:$C,3,0)))</f>
        <v>4|3|0.4|0|1</v>
      </c>
      <c r="M271" s="80" t="str">
        <f t="shared" si="19"/>
        <v>40%</v>
      </c>
      <c r="N271" s="45" t="str">
        <f>IF(LEN($K271)-LEN(SUBSTITUTE($K271,",",""))=1,VLOOKUP(INT(RIGHT($K271,LEN($K271)-FIND(",",$K271))),[3]Sheet1!$A:$C,3,0),"")</f>
        <v/>
      </c>
      <c r="O271" s="45" t="str">
        <f t="shared" si="16"/>
        <v/>
      </c>
      <c r="P271" s="45" t="str">
        <f t="shared" si="12"/>
        <v>金蝉子给自身增加一个生命上限20%的生命护盾</v>
      </c>
      <c r="Q271" s="45" t="str">
        <f t="shared" si="17"/>
        <v>金蝉子给自身增加一个生命上限20%的生命护盾</v>
      </c>
      <c r="R271" s="45"/>
      <c r="S271" s="45" t="str">
        <f>IF(ISERROR($Q271),"进阶+"&amp;COUNTIF($E$194:$E271,$E271)&amp;"："&amp;"找ZC配技能","进阶+"&amp;COUNTIF($E$194:$E271,$E271)&amp;"："&amp;VLOOKUP(COUNTIF($E$194:$E271,$E271),$L$184:$R$193,IF(H271=1,4,IF(H271=4,3,2))+IF(INDEX([1]Sheet1!$1:$1048576,MATCH($E271,[1]Sheet1!$A:$A,0),MATCH("zizhi",[1]Sheet1!$2:$2,0))&gt;=13,0,3),0)&amp;IF($Q271="","","（"&amp;$Q271&amp;"）"))</f>
        <v>进阶+8：增强AI1技能（金蝉子给自身增加一个生命上限20%的生命护盾）</v>
      </c>
      <c r="T271" s="1"/>
      <c r="U271" s="1"/>
      <c r="V271" s="2" t="str">
        <f>VLOOKUP(COUNTIF($E$194:$E271,$E271),$L$184:$X$193,IF(H271=1,4,IF(H271=4,3,2))+IF(INDEX([1]Sheet1!$1:$1048576,MATCH($E271,[1]Sheet1!$A:$A,0),MATCH("zizhi",[1]Sheet1!$2:$2,0))&gt;=13,0,3)+6,0)</f>
        <v>[]</v>
      </c>
      <c r="W271" s="2" t="str">
        <f t="shared" si="15"/>
        <v>进阶+8：增强AI1技能（金蝉子给自身增加一个生命上限20%的生命护盾）</v>
      </c>
      <c r="X271" s="45" t="str">
        <f t="shared" si="13"/>
        <v>[]</v>
      </c>
      <c r="Y271" s="2"/>
      <c r="Z271" s="2"/>
      <c r="AA271" s="2"/>
    </row>
    <row r="272" spans="1:27">
      <c r="A272" s="10">
        <f>E272*100+COUNTIF($E$194:$E272,$E272)</f>
        <v>121209</v>
      </c>
      <c r="B272" s="68" t="s">
        <v>1902</v>
      </c>
      <c r="C272" s="50" t="s">
        <v>357</v>
      </c>
      <c r="D272" s="10" t="str">
        <f t="shared" si="18"/>
        <v>[]</v>
      </c>
      <c r="E272" s="45">
        <f>INDEX($I:$I,MATCH($E271,$I:$I,0)+IF(COUNTIF($E$194:$E271,$E271)&lt;=VLOOKUP($E271,$I$134:$K$193,3,0)-1,0,1),0)</f>
        <v>1212</v>
      </c>
      <c r="F272" s="45" t="str">
        <f t="shared" si="14"/>
        <v>金蝉子</v>
      </c>
      <c r="H272" s="45">
        <f>VLOOKUP($E272,[1]Sheet1!$A:$G,7,0)</f>
        <v>4</v>
      </c>
      <c r="I272" s="45" t="str">
        <f>IF($G272="","",IF(COUNTIF(技能描述!$D:$D,$F272)&gt;0,VLOOKUP($F272&amp;$G272,技能描述!$A:$C,3,0),LEFT(VLOOKUP($E272,[1]Sheet1!$A:$J,10,0),FIND("_",VLOOKUP($E272,[1]Sheet1!$A:$J,10,0))-1)&amp;$G272))</f>
        <v/>
      </c>
      <c r="J272" s="45" t="str">
        <f>IF($I272="","",VLOOKUP($I272,技能描述!$A:$C,3,0))</f>
        <v/>
      </c>
      <c r="K272" s="45" t="str">
        <f>IF($I272="","",INDEX([2]Sheet1!$1:$1048576,MATCH($I272,[2]Sheet1!$A:$A,0),MATCH("description_damage",[2]Sheet1!$2:$2,0)))</f>
        <v/>
      </c>
      <c r="L272" s="80" t="str">
        <f>IF($K272="","",IF(LEN($K272)-LEN(SUBSTITUTE($K272,",",""))=0,VLOOKUP(INT($K272),[3]Sheet1!$A:$C,3,0),VLOOKUP(INT(LEFT($K272,FIND(",",$K272)-1)),[3]Sheet1!$A:$C,3,0)))</f>
        <v/>
      </c>
      <c r="M272" s="80" t="str">
        <f t="shared" si="19"/>
        <v/>
      </c>
      <c r="N272" s="45" t="str">
        <f>IF(LEN($K272)-LEN(SUBSTITUTE($K272,",",""))=1,VLOOKUP(INT(RIGHT($K272,LEN($K272)-FIND(",",$K272))),[3]Sheet1!$A:$C,3,0),"")</f>
        <v/>
      </c>
      <c r="O272" s="45" t="str">
        <f t="shared" si="16"/>
        <v/>
      </c>
      <c r="P272" s="45" t="str">
        <f t="shared" si="12"/>
        <v/>
      </c>
      <c r="Q272" s="45" t="str">
        <f t="shared" si="17"/>
        <v/>
      </c>
      <c r="R272" s="45"/>
      <c r="S272" s="45" t="str">
        <f>IF(ISERROR($Q272),"进阶+"&amp;COUNTIF($E$194:$E272,$E272)&amp;"："&amp;"找ZC配技能","进阶+"&amp;COUNTIF($E$194:$E272,$E272)&amp;"："&amp;VLOOKUP(COUNTIF($E$194:$E272,$E272),$L$184:$R$193,IF(H272=1,4,IF(H272=4,3,2))+IF(INDEX([1]Sheet1!$1:$1048576,MATCH($E272,[1]Sheet1!$A:$A,0),MATCH("zizhi",[1]Sheet1!$2:$2,0))&gt;=13,0,3),0)&amp;IF($Q272="","","（"&amp;$Q272&amp;"）"))</f>
        <v>进阶+9：全队生命，防御提高15%</v>
      </c>
      <c r="T272" s="1"/>
      <c r="U272" s="1"/>
      <c r="V272" s="2" t="str">
        <f>VLOOKUP(COUNTIF($E$194:$E272,$E272),$L$184:$X$193,IF(H272=1,4,IF(H272=4,3,2))+IF(INDEX([1]Sheet1!$1:$1048576,MATCH($E272,[1]Sheet1!$A:$A,0),MATCH("zizhi",[1]Sheet1!$2:$2,0))&gt;=13,0,3)+6,0)</f>
        <v>57015,59015,60015</v>
      </c>
      <c r="W272" s="2" t="str">
        <f t="shared" si="15"/>
        <v>进阶+9：全队生命，防御提高15%</v>
      </c>
      <c r="X272" s="45" t="str">
        <f t="shared" si="13"/>
        <v>57015,59015,60015</v>
      </c>
      <c r="Y272" s="2"/>
      <c r="Z272" s="2"/>
      <c r="AA272" s="2"/>
    </row>
    <row r="273" spans="1:27" ht="49.5">
      <c r="A273" s="10">
        <f>E273*100+COUNTIF($E$194:$E273,$E273)</f>
        <v>121210</v>
      </c>
      <c r="B273" s="68" t="s">
        <v>1907</v>
      </c>
      <c r="C273" s="50" t="s">
        <v>2</v>
      </c>
      <c r="D273" s="10">
        <f t="shared" si="18"/>
        <v>1</v>
      </c>
      <c r="E273" s="45">
        <f>INDEX($I:$I,MATCH($E272,$I:$I,0)+IF(COUNTIF($E$194:$E272,$E272)&lt;=VLOOKUP($E272,$I$134:$K$193,3,0)-1,0,1),0)</f>
        <v>1212</v>
      </c>
      <c r="F273" s="45" t="str">
        <f t="shared" si="14"/>
        <v>金蝉子</v>
      </c>
      <c r="G273" s="45" t="s">
        <v>220</v>
      </c>
      <c r="H273" s="45">
        <f>VLOOKUP($E273,[1]Sheet1!$A:$G,7,0)</f>
        <v>4</v>
      </c>
      <c r="I273" s="45" t="str">
        <f>IF($G273="","",IF(COUNTIF(技能描述!$D:$D,$F273)&gt;0,VLOOKUP($F273&amp;$G273,技能描述!$A:$C,3,0),LEFT(VLOOKUP($E273,[1]Sheet1!$A:$J,10,0),FIND("_",VLOOKUP($E273,[1]Sheet1!$A:$J,10,0))-1)&amp;$G273))</f>
        <v>jinchanzi_skill041</v>
      </c>
      <c r="J273" s="45" t="str">
        <f>IF($I273="","",VLOOKUP($I273,技能描述!$A:$C,3,0))</f>
        <v>金蝉子发动天罡咒印，对范围内敌人进行7次攻击，造成自身攻击力@s的法伤，并降低敌人造成的伤害@s，持续3秒</v>
      </c>
      <c r="K273" s="45" t="str">
        <f>IF($I273="","",INDEX([2]Sheet1!$1:$1048576,MATCH($I273,[2]Sheet1!$A:$A,0),MATCH("description_damage",[2]Sheet1!$2:$2,0)))</f>
        <v>121207,9015</v>
      </c>
      <c r="L273" s="80" t="str">
        <f>IF($K273="","",IF(LEN($K273)-LEN(SUBSTITUTE($K273,",",""))=0,VLOOKUP(INT($K273),[3]Sheet1!$A:$C,3,0),VLOOKUP(INT(LEFT($K273,FIND(",",$K273)-1)),[3]Sheet1!$A:$C,3,0)))</f>
        <v>2|2|0.3|0|0|0</v>
      </c>
      <c r="M273" s="80" t="str">
        <f t="shared" si="19"/>
        <v>30%</v>
      </c>
      <c r="N273" s="45" t="str">
        <f>IF(LEN($K273)-LEN(SUBSTITUTE($K273,",",""))=1,VLOOKUP(INT(RIGHT($K273,LEN($K273)-FIND(",",$K273))),[3]Sheet1!$A:$C,3,0),"")</f>
        <v>4|3|0.15|0|1</v>
      </c>
      <c r="O273" s="45" t="str">
        <f t="shared" si="16"/>
        <v>15%</v>
      </c>
      <c r="P273" s="45" t="str">
        <f t="shared" si="12"/>
        <v>金蝉子发动天罡咒印，对范围内敌人进行7次攻击，造成自身攻击力30%的法伤，并降低敌人造成的伤害@s，持续3秒</v>
      </c>
      <c r="Q273" s="45" t="str">
        <f t="shared" si="17"/>
        <v>金蝉子发动天罡咒印，对范围内敌人进行7次攻击，造成自身攻击力30%的法伤，并降低敌人造成的伤害15%，持续3秒</v>
      </c>
      <c r="R273" s="45"/>
      <c r="S273" s="45" t="str">
        <f>IF(ISERROR($Q273),"进阶+"&amp;COUNTIF($E$194:$E273,$E273)&amp;"："&amp;"找ZC配技能","进阶+"&amp;COUNTIF($E$194:$E273,$E273)&amp;"："&amp;VLOOKUP(COUNTIF($E$194:$E273,$E273),$L$184:$R$193,IF(H273=1,4,IF(H273=4,3,2))+IF(INDEX([1]Sheet1!$1:$1048576,MATCH($E273,[1]Sheet1!$A:$A,0),MATCH("zizhi",[1]Sheet1!$2:$2,0))&gt;=13,0,3),0)&amp;IF($Q273="","","（"&amp;$Q273&amp;"）"))</f>
        <v>进阶+10：增强AI2技能（金蝉子发动天罡咒印，对范围内敌人进行7次攻击，造成自身攻击力30%的法伤，并降低敌人造成的伤害15%，持续3秒）</v>
      </c>
      <c r="T273" s="1"/>
      <c r="U273" s="1"/>
      <c r="V273" s="2" t="str">
        <f>VLOOKUP(COUNTIF($E$194:$E273,$E273),$L$184:$X$193,IF(H273=1,4,IF(H273=4,3,2))+IF(INDEX([1]Sheet1!$1:$1048576,MATCH($E273,[1]Sheet1!$A:$A,0),MATCH("zizhi",[1]Sheet1!$2:$2,0))&gt;=13,0,3)+6,0)</f>
        <v>[]</v>
      </c>
      <c r="W273" s="2" t="str">
        <f t="shared" si="15"/>
        <v>进阶+10：增强AI2技能（金蝉子发动天罡咒印，对范围内敌人进行7次攻击，造成自身攻击力30%的法伤，并降低敌人造成的伤害15%，持续3秒）</v>
      </c>
      <c r="X273" s="45" t="str">
        <f t="shared" si="13"/>
        <v>[]</v>
      </c>
      <c r="Y273" s="2"/>
      <c r="Z273" s="2"/>
      <c r="AA273" s="2"/>
    </row>
    <row r="274" spans="1:27">
      <c r="A274" s="10">
        <f>E274*100+COUNTIF($E$194:$E274,$E274)</f>
        <v>121901</v>
      </c>
      <c r="B274" s="68" t="s">
        <v>319</v>
      </c>
      <c r="C274" s="50" t="s">
        <v>2086</v>
      </c>
      <c r="D274" s="10" t="str">
        <f t="shared" si="18"/>
        <v>[]</v>
      </c>
      <c r="E274" s="45">
        <f>INDEX($I:$I,MATCH($E273,$I:$I,0)+IF(COUNTIF($E$194:$E273,$E273)&lt;=VLOOKUP($E273,$I$134:$K$193,3,0)-1,0,1),0)</f>
        <v>1219</v>
      </c>
      <c r="F274" s="45" t="str">
        <f t="shared" si="14"/>
        <v>黑无常</v>
      </c>
      <c r="H274" s="45">
        <f>VLOOKUP($E274,[1]Sheet1!$A:$G,7,0)</f>
        <v>4</v>
      </c>
      <c r="I274" s="45" t="str">
        <f>IF($G274="","",IF(COUNTIF(技能描述!$D:$D,$F274)&gt;0,VLOOKUP($F274&amp;$G274,技能描述!$A:$C,3,0),LEFT(VLOOKUP($E274,[1]Sheet1!$A:$J,10,0),FIND("_",VLOOKUP($E274,[1]Sheet1!$A:$J,10,0))-1)&amp;$G274))</f>
        <v/>
      </c>
      <c r="J274" s="45" t="str">
        <f>IF($I274="","",VLOOKUP($I274,技能描述!$A:$C,3,0))</f>
        <v/>
      </c>
      <c r="K274" s="45" t="str">
        <f>IF($I274="","",INDEX([2]Sheet1!$1:$1048576,MATCH($I274,[2]Sheet1!$A:$A,0),MATCH("description_damage",[2]Sheet1!$2:$2,0)))</f>
        <v/>
      </c>
      <c r="L274" s="80" t="str">
        <f>IF($K274="","",IF(LEN($K274)-LEN(SUBSTITUTE($K274,",",""))=0,VLOOKUP(INT($K274),[3]Sheet1!$A:$C,3,0),VLOOKUP(INT(LEFT($K274,FIND(",",$K274)-1)),[3]Sheet1!$A:$C,3,0)))</f>
        <v/>
      </c>
      <c r="M274" s="80" t="str">
        <f t="shared" si="19"/>
        <v/>
      </c>
      <c r="N274" s="45" t="str">
        <f>IF(LEN($K274)-LEN(SUBSTITUTE($K274,",",""))=1,VLOOKUP(INT(RIGHT($K274,LEN($K274)-FIND(",",$K274))),[3]Sheet1!$A:$C,3,0),"")</f>
        <v/>
      </c>
      <c r="O274" s="45" t="str">
        <f t="shared" si="16"/>
        <v/>
      </c>
      <c r="P274" s="45" t="str">
        <f t="shared" si="12"/>
        <v/>
      </c>
      <c r="Q274" s="45" t="str">
        <f t="shared" si="17"/>
        <v/>
      </c>
      <c r="R274" s="45"/>
      <c r="S274" s="45" t="str">
        <f>IF(ISERROR($Q274),"进阶+"&amp;COUNTIF($E$194:$E274,$E274)&amp;"："&amp;"找ZC配技能","进阶+"&amp;COUNTIF($E$194:$E274,$E274)&amp;"："&amp;VLOOKUP(COUNTIF($E$194:$E274,$E274),$L$184:$R$193,IF(H274=1,4,IF(H274=4,3,2))+IF(INDEX([1]Sheet1!$1:$1048576,MATCH($E274,[1]Sheet1!$A:$A,0),MATCH("zizhi",[1]Sheet1!$2:$2,0))&gt;=13,0,3),0)&amp;IF($Q274="","","（"&amp;$Q274&amp;"）"))</f>
        <v>进阶+1：生命提高10%</v>
      </c>
      <c r="T274" s="1"/>
      <c r="U274" s="1"/>
      <c r="V274" s="2" t="str">
        <f>VLOOKUP(COUNTIF($E$194:$E274,$E274),$L$184:$X$193,IF(H274=1,4,IF(H274=4,3,2))+IF(INDEX([1]Sheet1!$1:$1048576,MATCH($E274,[1]Sheet1!$A:$A,0),MATCH("zizhi",[1]Sheet1!$2:$2,0))&gt;=13,0,3)+6,0)</f>
        <v>11090</v>
      </c>
      <c r="W274" s="2" t="str">
        <f t="shared" si="15"/>
        <v>进阶+1：生命提高10%</v>
      </c>
      <c r="X274" s="45" t="str">
        <f t="shared" si="13"/>
        <v>11090</v>
      </c>
      <c r="Y274" s="2"/>
      <c r="Z274" s="2"/>
      <c r="AA274" s="2"/>
    </row>
    <row r="275" spans="1:27">
      <c r="A275" s="10">
        <f>E275*100+COUNTIF($E$194:$E275,$E275)</f>
        <v>121902</v>
      </c>
      <c r="B275" s="68" t="s">
        <v>1998</v>
      </c>
      <c r="C275" s="50" t="s">
        <v>2</v>
      </c>
      <c r="D275" s="10">
        <f t="shared" si="18"/>
        <v>1</v>
      </c>
      <c r="E275" s="45">
        <f>INDEX($I:$I,MATCH($E274,$I:$I,0)+IF(COUNTIF($E$194:$E274,$E274)&lt;=VLOOKUP($E274,$I$134:$K$193,3,0)-1,0,1),0)</f>
        <v>1219</v>
      </c>
      <c r="F275" s="45" t="str">
        <f t="shared" si="14"/>
        <v>黑无常</v>
      </c>
      <c r="G275" s="45" t="s">
        <v>216</v>
      </c>
      <c r="H275" s="45">
        <f>VLOOKUP($E275,[1]Sheet1!$A:$G,7,0)</f>
        <v>4</v>
      </c>
      <c r="I275" s="45" t="str">
        <f>IF($G275="","",IF(COUNTIF(技能描述!$D:$D,$F275)&gt;0,VLOOKUP($F275&amp;$G275,技能描述!$A:$C,3,0),LEFT(VLOOKUP($E275,[1]Sheet1!$A:$J,10,0),FIND("_",VLOOKUP($E275,[1]Sheet1!$A:$J,10,0))-1)&amp;$G275))</f>
        <v>heiwuchang_skill03</v>
      </c>
      <c r="J275" s="45" t="str">
        <f>IF($I275="","",VLOOKUP($I275,技能描述!$A:$C,3,0))</f>
        <v>进入战斗场景时，闪避上升@s</v>
      </c>
      <c r="K275" s="45" t="str">
        <f>IF($I275="","",INDEX([2]Sheet1!$1:$1048576,MATCH($I275,[2]Sheet1!$A:$A,0),MATCH("description_damage",[2]Sheet1!$2:$2,0)))</f>
        <v>9020</v>
      </c>
      <c r="L275" s="80" t="str">
        <f>IF($K275="","",IF(LEN($K275)-LEN(SUBSTITUTE($K275,",",""))=0,VLOOKUP(INT($K275),[3]Sheet1!$A:$C,3,0),VLOOKUP(INT(LEFT($K275,FIND(",",$K275)-1)),[3]Sheet1!$A:$C,3,0)))</f>
        <v>4|3|0.2|0|1</v>
      </c>
      <c r="M275" s="80" t="str">
        <f t="shared" si="19"/>
        <v>20%</v>
      </c>
      <c r="N275" s="45" t="str">
        <f>IF(LEN($K275)-LEN(SUBSTITUTE($K275,",",""))=1,VLOOKUP(INT(RIGHT($K275,LEN($K275)-FIND(",",$K275))),[3]Sheet1!$A:$C,3,0),"")</f>
        <v/>
      </c>
      <c r="O275" s="45" t="str">
        <f t="shared" si="16"/>
        <v/>
      </c>
      <c r="P275" s="45" t="str">
        <f t="shared" si="12"/>
        <v>进入战斗场景时，闪避上升20%</v>
      </c>
      <c r="Q275" s="45" t="str">
        <f t="shared" si="17"/>
        <v>进入战斗场景时，闪避上升20%</v>
      </c>
      <c r="R275" s="45"/>
      <c r="S275" s="45" t="str">
        <f>IF(ISERROR($Q275),"进阶+"&amp;COUNTIF($E$194:$E275,$E275)&amp;"："&amp;"找ZC配技能","进阶+"&amp;COUNTIF($E$194:$E275,$E275)&amp;"："&amp;VLOOKUP(COUNTIF($E$194:$E275,$E275),$L$184:$R$193,IF(H275=1,4,IF(H275=4,3,2))+IF(INDEX([1]Sheet1!$1:$1048576,MATCH($E275,[1]Sheet1!$A:$A,0),MATCH("zizhi",[1]Sheet1!$2:$2,0))&gt;=13,0,3),0)&amp;IF($Q275="","","（"&amp;$Q275&amp;"）"))</f>
        <v>进阶+2：激活被动技能（进入战斗场景时，闪避上升20%）</v>
      </c>
      <c r="T275" s="1"/>
      <c r="U275" s="1"/>
      <c r="V275" s="2" t="str">
        <f>VLOOKUP(COUNTIF($E$194:$E275,$E275),$L$184:$X$193,IF(H275=1,4,IF(H275=4,3,2))+IF(INDEX([1]Sheet1!$1:$1048576,MATCH($E275,[1]Sheet1!$A:$A,0),MATCH("zizhi",[1]Sheet1!$2:$2,0))&gt;=13,0,3)+6,0)</f>
        <v>[]</v>
      </c>
      <c r="W275" s="2" t="str">
        <f t="shared" si="15"/>
        <v>进阶+2：激活被动技能（进入战斗场景时，闪避上升20%）</v>
      </c>
      <c r="X275" s="45" t="str">
        <f t="shared" si="13"/>
        <v>[]</v>
      </c>
      <c r="Y275" s="2"/>
      <c r="Z275" s="2"/>
      <c r="AA275" s="2"/>
    </row>
    <row r="276" spans="1:27">
      <c r="A276" s="10">
        <f>E276*100+COUNTIF($E$194:$E276,$E276)</f>
        <v>121903</v>
      </c>
      <c r="B276" s="68" t="s">
        <v>324</v>
      </c>
      <c r="C276" s="50" t="s">
        <v>140</v>
      </c>
      <c r="D276" s="10" t="str">
        <f t="shared" si="18"/>
        <v>[]</v>
      </c>
      <c r="E276" s="45">
        <f>INDEX($I:$I,MATCH($E275,$I:$I,0)+IF(COUNTIF($E$194:$E275,$E275)&lt;=VLOOKUP($E275,$I$134:$K$193,3,0)-1,0,1),0)</f>
        <v>1219</v>
      </c>
      <c r="F276" s="45" t="str">
        <f t="shared" si="14"/>
        <v>黑无常</v>
      </c>
      <c r="H276" s="45">
        <f>VLOOKUP($E276,[1]Sheet1!$A:$G,7,0)</f>
        <v>4</v>
      </c>
      <c r="I276" s="45" t="str">
        <f>IF($G276="","",IF(COUNTIF(技能描述!$D:$D,$F276)&gt;0,VLOOKUP($F276&amp;$G276,技能描述!$A:$C,3,0),LEFT(VLOOKUP($E276,[1]Sheet1!$A:$J,10,0),FIND("_",VLOOKUP($E276,[1]Sheet1!$A:$J,10,0))-1)&amp;$G276))</f>
        <v/>
      </c>
      <c r="J276" s="45" t="str">
        <f>IF($I276="","",VLOOKUP($I276,技能描述!$A:$C,3,0))</f>
        <v/>
      </c>
      <c r="K276" s="45" t="str">
        <f>IF($I276="","",INDEX([2]Sheet1!$1:$1048576,MATCH($I276,[2]Sheet1!$A:$A,0),MATCH("description_damage",[2]Sheet1!$2:$2,0)))</f>
        <v/>
      </c>
      <c r="L276" s="80" t="str">
        <f>IF($K276="","",IF(LEN($K276)-LEN(SUBSTITUTE($K276,",",""))=0,VLOOKUP(INT($K276),[3]Sheet1!$A:$C,3,0),VLOOKUP(INT(LEFT($K276,FIND(",",$K276)-1)),[3]Sheet1!$A:$C,3,0)))</f>
        <v/>
      </c>
      <c r="M276" s="80" t="str">
        <f t="shared" si="19"/>
        <v/>
      </c>
      <c r="N276" s="45" t="str">
        <f>IF(LEN($K276)-LEN(SUBSTITUTE($K276,",",""))=1,VLOOKUP(INT(RIGHT($K276,LEN($K276)-FIND(",",$K276))),[3]Sheet1!$A:$C,3,0),"")</f>
        <v/>
      </c>
      <c r="O276" s="45" t="str">
        <f t="shared" si="16"/>
        <v/>
      </c>
      <c r="P276" s="45" t="str">
        <f t="shared" si="12"/>
        <v/>
      </c>
      <c r="Q276" s="45" t="str">
        <f t="shared" si="17"/>
        <v/>
      </c>
      <c r="R276" s="45"/>
      <c r="S276" s="45" t="str">
        <f>IF(ISERROR($Q276),"进阶+"&amp;COUNTIF($E$194:$E276,$E276)&amp;"："&amp;"找ZC配技能","进阶+"&amp;COUNTIF($E$194:$E276,$E276)&amp;"："&amp;VLOOKUP(COUNTIF($E$194:$E276,$E276),$L$184:$R$193,IF(H276=1,4,IF(H276=4,3,2))+IF(INDEX([1]Sheet1!$1:$1048576,MATCH($E276,[1]Sheet1!$A:$A,0),MATCH("zizhi",[1]Sheet1!$2:$2,0))&gt;=13,0,3),0)&amp;IF($Q276="","","（"&amp;$Q276&amp;"）"))</f>
        <v>进阶+3：生命，防御提高10%</v>
      </c>
      <c r="T276" s="1"/>
      <c r="U276" s="1"/>
      <c r="V276" s="2" t="str">
        <f>VLOOKUP(COUNTIF($E$194:$E276,$E276),$L$184:$X$193,IF(H276=1,4,IF(H276=4,3,2))+IF(INDEX([1]Sheet1!$1:$1048576,MATCH($E276,[1]Sheet1!$A:$A,0),MATCH("zizhi",[1]Sheet1!$2:$2,0))&gt;=13,0,3)+6,0)</f>
        <v>11090,6502,6512</v>
      </c>
      <c r="W276" s="2" t="str">
        <f t="shared" si="15"/>
        <v>进阶+3：生命，防御提高10%</v>
      </c>
      <c r="X276" s="45" t="str">
        <f t="shared" si="13"/>
        <v>11090,6502,6512</v>
      </c>
      <c r="Y276" s="2"/>
      <c r="Z276" s="2"/>
      <c r="AA276" s="2"/>
    </row>
    <row r="277" spans="1:27" ht="33">
      <c r="A277" s="10">
        <f>E277*100+COUNTIF($E$194:$E277,$E277)</f>
        <v>121904</v>
      </c>
      <c r="B277" s="68" t="s">
        <v>2100</v>
      </c>
      <c r="C277" s="50" t="s">
        <v>2</v>
      </c>
      <c r="D277" s="10">
        <f t="shared" si="18"/>
        <v>1</v>
      </c>
      <c r="E277" s="45">
        <f>INDEX($I:$I,MATCH($E276,$I:$I,0)+IF(COUNTIF($E$194:$E276,$E276)&lt;=VLOOKUP($E276,$I$134:$K$193,3,0)-1,0,1),0)</f>
        <v>1219</v>
      </c>
      <c r="F277" s="45" t="str">
        <f t="shared" si="14"/>
        <v>黑无常</v>
      </c>
      <c r="G277" s="45" t="s">
        <v>217</v>
      </c>
      <c r="H277" s="45">
        <f>VLOOKUP($E277,[1]Sheet1!$A:$G,7,0)</f>
        <v>4</v>
      </c>
      <c r="I277" s="45" t="str">
        <f>IF($G277="","",IF(COUNTIF(技能描述!$D:$D,$F277)&gt;0,VLOOKUP($F277&amp;$G277,技能描述!$A:$C,3,0),LEFT(VLOOKUP($E277,[1]Sheet1!$A:$J,10,0),FIND("_",VLOOKUP($E277,[1]Sheet1!$A:$J,10,0))-1)&amp;$G277))</f>
        <v>heiwuchang_skill04</v>
      </c>
      <c r="J277" s="45" t="str">
        <f>IF($I277="","",VLOOKUP($I277,技能描述!$A:$C,3,0))</f>
        <v>黑无常用地府秘法治疗自身，每0.5秒恢复自身生命值上限@s的生命值，持续2秒，清除自身一个不利状态</v>
      </c>
      <c r="K277" s="45" t="str">
        <f>IF($I277="","",INDEX([2]Sheet1!$1:$1048576,MATCH($I277,[2]Sheet1!$A:$A,0),MATCH("description_damage",[2]Sheet1!$2:$2,0)))</f>
        <v>9002</v>
      </c>
      <c r="L277" s="80" t="str">
        <f>IF($K277="","",IF(LEN($K277)-LEN(SUBSTITUTE($K277,",",""))=0,VLOOKUP(INT($K277),[3]Sheet1!$A:$C,3,0),VLOOKUP(INT(LEFT($K277,FIND(",",$K277)-1)),[3]Sheet1!$A:$C,3,0)))</f>
        <v>4|3|0.02|0|1</v>
      </c>
      <c r="M277" s="80" t="str">
        <f t="shared" si="19"/>
        <v>2%</v>
      </c>
      <c r="N277" s="45" t="str">
        <f>IF(LEN($K277)-LEN(SUBSTITUTE($K277,",",""))=1,VLOOKUP(INT(RIGHT($K277,LEN($K277)-FIND(",",$K277))),[3]Sheet1!$A:$C,3,0),"")</f>
        <v/>
      </c>
      <c r="O277" s="45" t="str">
        <f t="shared" si="16"/>
        <v/>
      </c>
      <c r="P277" s="45" t="str">
        <f t="shared" si="12"/>
        <v>黑无常用地府秘法治疗自身，每0.5秒恢复自身生命值上限2%的生命值，持续2秒，清除自身一个不利状态</v>
      </c>
      <c r="Q277" s="45" t="str">
        <f t="shared" si="17"/>
        <v>黑无常用地府秘法治疗自身，每0.5秒恢复自身生命值上限2%的生命值，持续2秒，清除自身一个不利状态</v>
      </c>
      <c r="R277" s="45"/>
      <c r="S277" s="45" t="str">
        <f>IF(ISERROR($Q277),"进阶+"&amp;COUNTIF($E$194:$E277,$E277)&amp;"："&amp;"找ZC配技能","进阶+"&amp;COUNTIF($E$194:$E277,$E277)&amp;"："&amp;VLOOKUP(COUNTIF($E$194:$E277,$E277),$L$184:$R$193,IF(H277=1,4,IF(H277=4,3,2))+IF(INDEX([1]Sheet1!$1:$1048576,MATCH($E277,[1]Sheet1!$A:$A,0),MATCH("zizhi",[1]Sheet1!$2:$2,0))&gt;=13,0,3),0)&amp;IF($Q277="","","（"&amp;$Q277&amp;"）"))</f>
        <v>进阶+4：激活AI2技能（黑无常用地府秘法治疗自身，每0.5秒恢复自身生命值上限2%的生命值，持续2秒，清除自身一个不利状态）</v>
      </c>
      <c r="T277" s="1"/>
      <c r="U277" s="1"/>
      <c r="V277" s="2" t="str">
        <f>VLOOKUP(COUNTIF($E$194:$E277,$E277),$L$184:$X$193,IF(H277=1,4,IF(H277=4,3,2))+IF(INDEX([1]Sheet1!$1:$1048576,MATCH($E277,[1]Sheet1!$A:$A,0),MATCH("zizhi",[1]Sheet1!$2:$2,0))&gt;=13,0,3)+6,0)</f>
        <v>[]</v>
      </c>
      <c r="W277" s="2" t="str">
        <f t="shared" si="15"/>
        <v>进阶+4：激活AI2技能（黑无常用地府秘法治疗自身，每0.5秒恢复自身生命值上限2%的生命值，持续2秒，清除自身一个不利状态）</v>
      </c>
      <c r="X277" s="45" t="str">
        <f t="shared" si="13"/>
        <v>[]</v>
      </c>
      <c r="Y277" s="2"/>
      <c r="Z277" s="2"/>
      <c r="AA277" s="2"/>
    </row>
    <row r="278" spans="1:27">
      <c r="A278" s="10">
        <f>E278*100+COUNTIF($E$194:$E278,$E278)</f>
        <v>121905</v>
      </c>
      <c r="B278" s="68" t="s">
        <v>320</v>
      </c>
      <c r="C278" s="50" t="s">
        <v>239</v>
      </c>
      <c r="D278" s="10" t="str">
        <f t="shared" si="18"/>
        <v>[]</v>
      </c>
      <c r="E278" s="45">
        <f>INDEX($I:$I,MATCH($E277,$I:$I,0)+IF(COUNTIF($E$194:$E277,$E277)&lt;=VLOOKUP($E277,$I$134:$K$193,3,0)-1,0,1),0)</f>
        <v>1219</v>
      </c>
      <c r="F278" s="45" t="str">
        <f t="shared" si="14"/>
        <v>黑无常</v>
      </c>
      <c r="H278" s="45">
        <f>VLOOKUP($E278,[1]Sheet1!$A:$G,7,0)</f>
        <v>4</v>
      </c>
      <c r="I278" s="45" t="str">
        <f>IF($G278="","",IF(COUNTIF(技能描述!$D:$D,$F278)&gt;0,VLOOKUP($F278&amp;$G278,技能描述!$A:$C,3,0),LEFT(VLOOKUP($E278,[1]Sheet1!$A:$J,10,0),FIND("_",VLOOKUP($E278,[1]Sheet1!$A:$J,10,0))-1)&amp;$G278))</f>
        <v/>
      </c>
      <c r="J278" s="45" t="str">
        <f>IF($I278="","",VLOOKUP($I278,技能描述!$A:$C,3,0))</f>
        <v/>
      </c>
      <c r="K278" s="45" t="str">
        <f>IF($I278="","",INDEX([2]Sheet1!$1:$1048576,MATCH($I278,[2]Sheet1!$A:$A,0),MATCH("description_damage",[2]Sheet1!$2:$2,0)))</f>
        <v/>
      </c>
      <c r="L278" s="80" t="str">
        <f>IF($K278="","",IF(LEN($K278)-LEN(SUBSTITUTE($K278,",",""))=0,VLOOKUP(INT($K278),[3]Sheet1!$A:$C,3,0),VLOOKUP(INT(LEFT($K278,FIND(",",$K278)-1)),[3]Sheet1!$A:$C,3,0)))</f>
        <v/>
      </c>
      <c r="M278" s="80" t="str">
        <f t="shared" si="19"/>
        <v/>
      </c>
      <c r="N278" s="45" t="str">
        <f>IF(LEN($K278)-LEN(SUBSTITUTE($K278,",",""))=1,VLOOKUP(INT(RIGHT($K278,LEN($K278)-FIND(",",$K278))),[3]Sheet1!$A:$C,3,0),"")</f>
        <v/>
      </c>
      <c r="O278" s="45" t="str">
        <f t="shared" si="16"/>
        <v/>
      </c>
      <c r="P278" s="45" t="str">
        <f t="shared" si="12"/>
        <v/>
      </c>
      <c r="Q278" s="45" t="str">
        <f t="shared" si="17"/>
        <v/>
      </c>
      <c r="R278" s="45"/>
      <c r="S278" s="45" t="str">
        <f>IF(ISERROR($Q278),"进阶+"&amp;COUNTIF($E$194:$E278,$E278)&amp;"："&amp;"找ZC配技能","进阶+"&amp;COUNTIF($E$194:$E278,$E278)&amp;"："&amp;VLOOKUP(COUNTIF($E$194:$E278,$E278),$L$184:$R$193,IF(H278=1,4,IF(H278=4,3,2))+IF(INDEX([1]Sheet1!$1:$1048576,MATCH($E278,[1]Sheet1!$A:$A,0),MATCH("zizhi",[1]Sheet1!$2:$2,0))&gt;=13,0,3),0)&amp;IF($Q278="","","（"&amp;$Q278&amp;"）"))</f>
        <v>进阶+5：攻击提高15%</v>
      </c>
      <c r="T278" s="1"/>
      <c r="U278" s="1"/>
      <c r="V278" s="2" t="str">
        <f>VLOOKUP(COUNTIF($E$194:$E278,$E278),$L$184:$X$193,IF(H278=1,4,IF(H278=4,3,2))+IF(INDEX([1]Sheet1!$1:$1048576,MATCH($E278,[1]Sheet1!$A:$A,0),MATCH("zizhi",[1]Sheet1!$2:$2,0))&gt;=13,0,3)+6,0)</f>
        <v>11055</v>
      </c>
      <c r="W278" s="2" t="str">
        <f t="shared" si="15"/>
        <v>进阶+5：攻击提高15%</v>
      </c>
      <c r="X278" s="45" t="str">
        <f t="shared" si="13"/>
        <v>11055</v>
      </c>
      <c r="Y278" s="2"/>
      <c r="Z278" s="2"/>
      <c r="AA278" s="2"/>
    </row>
    <row r="279" spans="1:27" ht="33">
      <c r="A279" s="10">
        <f>E279*100+COUNTIF($E$194:$E279,$E279)</f>
        <v>121906</v>
      </c>
      <c r="B279" s="68" t="s">
        <v>2102</v>
      </c>
      <c r="C279" s="50" t="s">
        <v>2</v>
      </c>
      <c r="D279" s="10">
        <f t="shared" si="18"/>
        <v>1</v>
      </c>
      <c r="E279" s="45">
        <f>INDEX($I:$I,MATCH($E278,$I:$I,0)+IF(COUNTIF($E$194:$E278,$E278)&lt;=VLOOKUP($E278,$I$134:$K$193,3,0)-1,0,1),0)</f>
        <v>1219</v>
      </c>
      <c r="F279" s="45" t="str">
        <f t="shared" si="14"/>
        <v>黑无常</v>
      </c>
      <c r="G279" s="45" t="s">
        <v>218</v>
      </c>
      <c r="H279" s="45">
        <f>VLOOKUP($E279,[1]Sheet1!$A:$G,7,0)</f>
        <v>4</v>
      </c>
      <c r="I279" s="45" t="str">
        <f>IF($G279="","",IF(COUNTIF(技能描述!$D:$D,$F279)&gt;0,VLOOKUP($F279&amp;$G279,技能描述!$A:$C,3,0),LEFT(VLOOKUP($E279,[1]Sheet1!$A:$J,10,0),FIND("_",VLOOKUP($E279,[1]Sheet1!$A:$J,10,0))-1)&amp;$G279))</f>
        <v>heiwuchang_skill011</v>
      </c>
      <c r="J279" s="45" t="str">
        <f>IF($I279="","",VLOOKUP($I279,技能描述!$A:$C,3,0))</f>
        <v>释放地府鬼法，为全体友军吸收伤害，最多为友军自身生命值上限@s，持续3秒</v>
      </c>
      <c r="K279" s="45" t="str">
        <f>IF($I279="","",INDEX([2]Sheet1!$1:$1048576,MATCH($I279,[2]Sheet1!$A:$A,0),MATCH("description_damage",[2]Sheet1!$2:$2,0)))</f>
        <v>9040</v>
      </c>
      <c r="L279" s="80" t="str">
        <f>IF($K279="","",IF(LEN($K279)-LEN(SUBSTITUTE($K279,",",""))=0,VLOOKUP(INT($K279),[3]Sheet1!$A:$C,3,0),VLOOKUP(INT(LEFT($K279,FIND(",",$K279)-1)),[3]Sheet1!$A:$C,3,0)))</f>
        <v>4|3|0.4|0|1</v>
      </c>
      <c r="M279" s="80" t="str">
        <f t="shared" si="19"/>
        <v>40%</v>
      </c>
      <c r="N279" s="45" t="str">
        <f>IF(LEN($K279)-LEN(SUBSTITUTE($K279,",",""))=1,VLOOKUP(INT(RIGHT($K279,LEN($K279)-FIND(",",$K279))),[3]Sheet1!$A:$C,3,0),"")</f>
        <v/>
      </c>
      <c r="O279" s="45" t="str">
        <f t="shared" si="16"/>
        <v/>
      </c>
      <c r="P279" s="45" t="str">
        <f t="shared" si="12"/>
        <v>释放地府鬼法，为全体友军吸收伤害，最多为友军自身生命值上限40%，持续3秒</v>
      </c>
      <c r="Q279" s="45" t="str">
        <f t="shared" si="17"/>
        <v>释放地府鬼法，为全体友军吸收伤害，最多为友军自身生命值上限40%，持续3秒</v>
      </c>
      <c r="R279" s="45"/>
      <c r="S279" s="45" t="str">
        <f>IF(ISERROR($Q279),"进阶+"&amp;COUNTIF($E$194:$E279,$E279)&amp;"："&amp;"找ZC配技能","进阶+"&amp;COUNTIF($E$194:$E279,$E279)&amp;"："&amp;VLOOKUP(COUNTIF($E$194:$E279,$E279),$L$184:$R$193,IF(H279=1,4,IF(H279=4,3,2))+IF(INDEX([1]Sheet1!$1:$1048576,MATCH($E279,[1]Sheet1!$A:$A,0),MATCH("zizhi",[1]Sheet1!$2:$2,0))&gt;=13,0,3),0)&amp;IF($Q279="","","（"&amp;$Q279&amp;"）"))</f>
        <v>进阶+6：增强主角技能（释放地府鬼法，为全体友军吸收伤害，最多为友军自身生命值上限40%，持续3秒）</v>
      </c>
      <c r="T279" s="1"/>
      <c r="U279" s="1"/>
      <c r="V279" s="2" t="str">
        <f>VLOOKUP(COUNTIF($E$194:$E279,$E279),$L$184:$X$193,IF(H279=1,4,IF(H279=4,3,2))+IF(INDEX([1]Sheet1!$1:$1048576,MATCH($E279,[1]Sheet1!$A:$A,0),MATCH("zizhi",[1]Sheet1!$2:$2,0))&gt;=13,0,3)+6,0)</f>
        <v>[]</v>
      </c>
      <c r="W279" s="2" t="str">
        <f t="shared" si="15"/>
        <v>进阶+6：增强主角技能（释放地府鬼法，为全体友军吸收伤害，最多为友军自身生命值上限40%，持续3秒）</v>
      </c>
      <c r="X279" s="45" t="str">
        <f t="shared" si="13"/>
        <v>[]</v>
      </c>
      <c r="Y279" s="2"/>
      <c r="Z279" s="2"/>
      <c r="AA279" s="2"/>
    </row>
    <row r="280" spans="1:27">
      <c r="A280" s="10">
        <f>E280*100+COUNTIF($E$194:$E280,$E280)</f>
        <v>121907</v>
      </c>
      <c r="B280" s="68" t="s">
        <v>360</v>
      </c>
      <c r="C280" s="50" t="s">
        <v>354</v>
      </c>
      <c r="D280" s="10" t="str">
        <f t="shared" si="18"/>
        <v>[]</v>
      </c>
      <c r="E280" s="45">
        <f>INDEX($I:$I,MATCH($E279,$I:$I,0)+IF(COUNTIF($E$194:$E279,$E279)&lt;=VLOOKUP($E279,$I$134:$K$193,3,0)-1,0,1),0)</f>
        <v>1219</v>
      </c>
      <c r="F280" s="45" t="str">
        <f t="shared" si="14"/>
        <v>黑无常</v>
      </c>
      <c r="H280" s="45">
        <f>VLOOKUP($E280,[1]Sheet1!$A:$G,7,0)</f>
        <v>4</v>
      </c>
      <c r="I280" s="45" t="str">
        <f>IF($G280="","",IF(COUNTIF(技能描述!$D:$D,$F280)&gt;0,VLOOKUP($F280&amp;$G280,技能描述!$A:$C,3,0),LEFT(VLOOKUP($E280,[1]Sheet1!$A:$J,10,0),FIND("_",VLOOKUP($E280,[1]Sheet1!$A:$J,10,0))-1)&amp;$G280))</f>
        <v/>
      </c>
      <c r="J280" s="45" t="str">
        <f>IF($I280="","",VLOOKUP($I280,技能描述!$A:$C,3,0))</f>
        <v/>
      </c>
      <c r="K280" s="45" t="str">
        <f>IF($I280="","",INDEX([2]Sheet1!$1:$1048576,MATCH($I280,[2]Sheet1!$A:$A,0),MATCH("description_damage",[2]Sheet1!$2:$2,0)))</f>
        <v/>
      </c>
      <c r="L280" s="80" t="str">
        <f>IF($K280="","",IF(LEN($K280)-LEN(SUBSTITUTE($K280,",",""))=0,VLOOKUP(INT($K280),[3]Sheet1!$A:$C,3,0),VLOOKUP(INT(LEFT($K280,FIND(",",$K280)-1)),[3]Sheet1!$A:$C,3,0)))</f>
        <v/>
      </c>
      <c r="M280" s="80" t="str">
        <f t="shared" si="19"/>
        <v/>
      </c>
      <c r="N280" s="45" t="str">
        <f>IF(LEN($K280)-LEN(SUBSTITUTE($K280,",",""))=1,VLOOKUP(INT(RIGHT($K280,LEN($K280)-FIND(",",$K280))),[3]Sheet1!$A:$C,3,0),"")</f>
        <v/>
      </c>
      <c r="O280" s="45" t="str">
        <f t="shared" si="16"/>
        <v/>
      </c>
      <c r="P280" s="45" t="str">
        <f t="shared" si="12"/>
        <v/>
      </c>
      <c r="Q280" s="45" t="str">
        <f t="shared" si="17"/>
        <v/>
      </c>
      <c r="R280" s="45"/>
      <c r="S280" s="45" t="str">
        <f>IF(ISERROR($Q280),"进阶+"&amp;COUNTIF($E$194:$E280,$E280)&amp;"："&amp;"找ZC配技能","进阶+"&amp;COUNTIF($E$194:$E280,$E280)&amp;"："&amp;VLOOKUP(COUNTIF($E$194:$E280,$E280),$L$184:$R$193,IF(H280=1,4,IF(H280=4,3,2))+IF(INDEX([1]Sheet1!$1:$1048576,MATCH($E280,[1]Sheet1!$A:$A,0),MATCH("zizhi",[1]Sheet1!$2:$2,0))&gt;=13,0,3),0)&amp;IF($Q280="","","（"&amp;$Q280&amp;"）"))</f>
        <v>进阶+7：全队生命，防御提高10%</v>
      </c>
      <c r="T280" s="1"/>
      <c r="U280" s="1"/>
      <c r="V280" s="2" t="str">
        <f>VLOOKUP(COUNTIF($E$194:$E280,$E280),$L$184:$X$193,IF(H280=1,4,IF(H280=4,3,2))+IF(INDEX([1]Sheet1!$1:$1048576,MATCH($E280,[1]Sheet1!$A:$A,0),MATCH("zizhi",[1]Sheet1!$2:$2,0))&gt;=13,0,3)+6,0)</f>
        <v>57010,59010,60010</v>
      </c>
      <c r="W280" s="2" t="str">
        <f t="shared" si="15"/>
        <v>进阶+7：全队生命，防御提高10%</v>
      </c>
      <c r="X280" s="45" t="str">
        <f t="shared" si="13"/>
        <v>57010,59010,60010</v>
      </c>
      <c r="Y280" s="2"/>
      <c r="Z280" s="2"/>
      <c r="AA280" s="2"/>
    </row>
    <row r="281" spans="1:27" ht="49.5">
      <c r="A281" s="10">
        <f>E281*100+COUNTIF($E$194:$E281,$E281)</f>
        <v>121908</v>
      </c>
      <c r="B281" s="68" t="s">
        <v>1999</v>
      </c>
      <c r="C281" s="50" t="s">
        <v>2</v>
      </c>
      <c r="D281" s="10">
        <f t="shared" si="18"/>
        <v>1</v>
      </c>
      <c r="E281" s="45">
        <f>INDEX($I:$I,MATCH($E280,$I:$I,0)+IF(COUNTIF($E$194:$E280,$E280)&lt;=VLOOKUP($E280,$I$134:$K$193,3,0)-1,0,1),0)</f>
        <v>1219</v>
      </c>
      <c r="F281" s="45" t="str">
        <f t="shared" si="14"/>
        <v>黑无常</v>
      </c>
      <c r="G281" s="45" t="s">
        <v>219</v>
      </c>
      <c r="H281" s="45">
        <f>VLOOKUP($E281,[1]Sheet1!$A:$G,7,0)</f>
        <v>4</v>
      </c>
      <c r="I281" s="45" t="str">
        <f>IF($G281="","",IF(COUNTIF(技能描述!$D:$D,$F281)&gt;0,VLOOKUP($F281&amp;$G281,技能描述!$A:$C,3,0),LEFT(VLOOKUP($E281,[1]Sheet1!$A:$J,10,0),FIND("_",VLOOKUP($E281,[1]Sheet1!$A:$J,10,0))-1)&amp;$G281))</f>
        <v>heiwuchang_skill021</v>
      </c>
      <c r="J281" s="45" t="str">
        <f>IF($I281="","",VLOOKUP($I281,技能描述!$A:$C,3,0))</f>
        <v>黑无常挥舞一道剑气斩向敌军，对范围内敌人进行4次攻击,造成自身攻击力@s的物伤，自身进入极速状态，攻速闪避提升20%，并降低敌人攻击力@s，持续3秒</v>
      </c>
      <c r="K281" s="45" t="str">
        <f>IF($I281="","",INDEX([2]Sheet1!$1:$1048576,MATCH($I281,[2]Sheet1!$A:$A,0),MATCH("description_damage",[2]Sheet1!$2:$2,0)))</f>
        <v>121908,9015</v>
      </c>
      <c r="L281" s="80" t="str">
        <f>IF($K281="","",IF(LEN($K281)-LEN(SUBSTITUTE($K281,",",""))=0,VLOOKUP(INT($K281),[3]Sheet1!$A:$C,3,0),VLOOKUP(INT(LEFT($K281,FIND(",",$K281)-1)),[3]Sheet1!$A:$C,3,0)))</f>
        <v>2|1|0.7|0|0|0</v>
      </c>
      <c r="M281" s="80" t="str">
        <f t="shared" si="19"/>
        <v>70%</v>
      </c>
      <c r="N281" s="45" t="str">
        <f>IF(LEN($K281)-LEN(SUBSTITUTE($K281,",",""))=1,VLOOKUP(INT(RIGHT($K281,LEN($K281)-FIND(",",$K281))),[3]Sheet1!$A:$C,3,0),"")</f>
        <v>4|3|0.15|0|1</v>
      </c>
      <c r="O281" s="45" t="str">
        <f t="shared" si="16"/>
        <v>15%</v>
      </c>
      <c r="P281" s="45" t="str">
        <f t="shared" si="12"/>
        <v>黑无常挥舞一道剑气斩向敌军，对范围内敌人进行4次攻击,造成自身攻击力70%的物伤，自身进入极速状态，攻速闪避提升20%，并降低敌人攻击力@s，持续3秒</v>
      </c>
      <c r="Q281" s="45" t="str">
        <f t="shared" si="17"/>
        <v>黑无常挥舞一道剑气斩向敌军，对范围内敌人进行4次攻击,造成自身攻击力70%的物伤，自身进入极速状态，攻速闪避提升20%，并降低敌人攻击力15%，持续3秒</v>
      </c>
      <c r="R281" s="45"/>
      <c r="S281" s="45" t="str">
        <f>IF(ISERROR($Q281),"进阶+"&amp;COUNTIF($E$194:$E281,$E281)&amp;"："&amp;"找ZC配技能","进阶+"&amp;COUNTIF($E$194:$E281,$E281)&amp;"："&amp;VLOOKUP(COUNTIF($E$194:$E281,$E281),$L$184:$R$193,IF(H281=1,4,IF(H281=4,3,2))+IF(INDEX([1]Sheet1!$1:$1048576,MATCH($E281,[1]Sheet1!$A:$A,0),MATCH("zizhi",[1]Sheet1!$2:$2,0))&gt;=13,0,3),0)&amp;IF($Q281="","","（"&amp;$Q281&amp;"）"))</f>
        <v>进阶+8：增强AI1技能（黑无常挥舞一道剑气斩向敌军，对范围内敌人进行4次攻击,造成自身攻击力70%的物伤，自身进入极速状态，攻速闪避提升20%，并降低敌人攻击力15%，持续3秒）</v>
      </c>
      <c r="T281" s="1"/>
      <c r="U281" s="1"/>
      <c r="V281" s="2" t="str">
        <f>VLOOKUP(COUNTIF($E$194:$E281,$E281),$L$184:$X$193,IF(H281=1,4,IF(H281=4,3,2))+IF(INDEX([1]Sheet1!$1:$1048576,MATCH($E281,[1]Sheet1!$A:$A,0),MATCH("zizhi",[1]Sheet1!$2:$2,0))&gt;=13,0,3)+6,0)</f>
        <v>[]</v>
      </c>
      <c r="W281" s="2" t="str">
        <f t="shared" si="15"/>
        <v>进阶+8：增强AI1技能（黑无常挥舞一道剑气斩向敌军，对范围内敌人进行4次攻击,造成自身攻击力70%的物伤，自身进入极速状态，攻速闪避提升20%，并降低敌人攻击力15%，持续3秒）</v>
      </c>
      <c r="X281" s="45" t="str">
        <f t="shared" si="13"/>
        <v>[]</v>
      </c>
      <c r="Y281" s="2"/>
      <c r="Z281" s="2"/>
      <c r="AA281" s="2"/>
    </row>
    <row r="282" spans="1:27">
      <c r="A282" s="10">
        <f>E282*100+COUNTIF($E$194:$E282,$E282)</f>
        <v>121909</v>
      </c>
      <c r="B282" s="68" t="s">
        <v>1902</v>
      </c>
      <c r="C282" s="50" t="s">
        <v>357</v>
      </c>
      <c r="D282" s="10" t="str">
        <f t="shared" si="18"/>
        <v>[]</v>
      </c>
      <c r="E282" s="45">
        <f>INDEX($I:$I,MATCH($E281,$I:$I,0)+IF(COUNTIF($E$194:$E281,$E281)&lt;=VLOOKUP($E281,$I$134:$K$193,3,0)-1,0,1),0)</f>
        <v>1219</v>
      </c>
      <c r="F282" s="45" t="str">
        <f t="shared" si="14"/>
        <v>黑无常</v>
      </c>
      <c r="H282" s="45">
        <f>VLOOKUP($E282,[1]Sheet1!$A:$G,7,0)</f>
        <v>4</v>
      </c>
      <c r="I282" s="45" t="str">
        <f>IF($G282="","",IF(COUNTIF(技能描述!$D:$D,$F282)&gt;0,VLOOKUP($F282&amp;$G282,技能描述!$A:$C,3,0),LEFT(VLOOKUP($E282,[1]Sheet1!$A:$J,10,0),FIND("_",VLOOKUP($E282,[1]Sheet1!$A:$J,10,0))-1)&amp;$G282))</f>
        <v/>
      </c>
      <c r="J282" s="45" t="str">
        <f>IF($I282="","",VLOOKUP($I282,技能描述!$A:$C,3,0))</f>
        <v/>
      </c>
      <c r="K282" s="45" t="str">
        <f>IF($I282="","",INDEX([2]Sheet1!$1:$1048576,MATCH($I282,[2]Sheet1!$A:$A,0),MATCH("description_damage",[2]Sheet1!$2:$2,0)))</f>
        <v/>
      </c>
      <c r="L282" s="80" t="str">
        <f>IF($K282="","",IF(LEN($K282)-LEN(SUBSTITUTE($K282,",",""))=0,VLOOKUP(INT($K282),[3]Sheet1!$A:$C,3,0),VLOOKUP(INT(LEFT($K282,FIND(",",$K282)-1)),[3]Sheet1!$A:$C,3,0)))</f>
        <v/>
      </c>
      <c r="M282" s="80" t="str">
        <f t="shared" si="19"/>
        <v/>
      </c>
      <c r="N282" s="45" t="str">
        <f>IF(LEN($K282)-LEN(SUBSTITUTE($K282,",",""))=1,VLOOKUP(INT(RIGHT($K282,LEN($K282)-FIND(",",$K282))),[3]Sheet1!$A:$C,3,0),"")</f>
        <v/>
      </c>
      <c r="O282" s="45" t="str">
        <f t="shared" si="16"/>
        <v/>
      </c>
      <c r="P282" s="45" t="str">
        <f t="shared" si="12"/>
        <v/>
      </c>
      <c r="Q282" s="45" t="str">
        <f t="shared" si="17"/>
        <v/>
      </c>
      <c r="R282" s="45"/>
      <c r="S282" s="45" t="str">
        <f>IF(ISERROR($Q282),"进阶+"&amp;COUNTIF($E$194:$E282,$E282)&amp;"："&amp;"找ZC配技能","进阶+"&amp;COUNTIF($E$194:$E282,$E282)&amp;"："&amp;VLOOKUP(COUNTIF($E$194:$E282,$E282),$L$184:$R$193,IF(H282=1,4,IF(H282=4,3,2))+IF(INDEX([1]Sheet1!$1:$1048576,MATCH($E282,[1]Sheet1!$A:$A,0),MATCH("zizhi",[1]Sheet1!$2:$2,0))&gt;=13,0,3),0)&amp;IF($Q282="","","（"&amp;$Q282&amp;"）"))</f>
        <v>进阶+9：全队生命，防御提高15%</v>
      </c>
      <c r="T282" s="1"/>
      <c r="U282" s="1"/>
      <c r="V282" s="2" t="str">
        <f>VLOOKUP(COUNTIF($E$194:$E282,$E282),$L$184:$X$193,IF(H282=1,4,IF(H282=4,3,2))+IF(INDEX([1]Sheet1!$1:$1048576,MATCH($E282,[1]Sheet1!$A:$A,0),MATCH("zizhi",[1]Sheet1!$2:$2,0))&gt;=13,0,3)+6,0)</f>
        <v>57015,59015,60015</v>
      </c>
      <c r="W282" s="2" t="str">
        <f t="shared" si="15"/>
        <v>进阶+9：全队生命，防御提高15%</v>
      </c>
      <c r="X282" s="45" t="str">
        <f t="shared" si="13"/>
        <v>57015,59015,60015</v>
      </c>
      <c r="Y282" s="2"/>
      <c r="Z282" s="2"/>
      <c r="AA282" s="2"/>
    </row>
    <row r="283" spans="1:27" ht="33">
      <c r="A283" s="10">
        <f>E283*100+COUNTIF($E$194:$E283,$E283)</f>
        <v>121910</v>
      </c>
      <c r="B283" s="68" t="s">
        <v>2101</v>
      </c>
      <c r="C283" s="50" t="s">
        <v>2</v>
      </c>
      <c r="D283" s="10">
        <f t="shared" si="18"/>
        <v>1</v>
      </c>
      <c r="E283" s="45">
        <f>INDEX($I:$I,MATCH($E282,$I:$I,0)+IF(COUNTIF($E$194:$E282,$E282)&lt;=VLOOKUP($E282,$I$134:$K$193,3,0)-1,0,1),0)</f>
        <v>1219</v>
      </c>
      <c r="F283" s="45" t="str">
        <f t="shared" si="14"/>
        <v>黑无常</v>
      </c>
      <c r="G283" s="45" t="s">
        <v>220</v>
      </c>
      <c r="H283" s="45">
        <f>VLOOKUP($E283,[1]Sheet1!$A:$G,7,0)</f>
        <v>4</v>
      </c>
      <c r="I283" s="45" t="str">
        <f>IF($G283="","",IF(COUNTIF(技能描述!$D:$D,$F283)&gt;0,VLOOKUP($F283&amp;$G283,技能描述!$A:$C,3,0),LEFT(VLOOKUP($E283,[1]Sheet1!$A:$J,10,0),FIND("_",VLOOKUP($E283,[1]Sheet1!$A:$J,10,0))-1)&amp;$G283))</f>
        <v>heiwuchang_skill041</v>
      </c>
      <c r="J283" s="45" t="str">
        <f>IF($I283="","",VLOOKUP($I283,技能描述!$A:$C,3,0))</f>
        <v>黑无常用地府秘法治疗自身，每0.5秒恢复自身生命值上限@s的生命值，持续2秒，清除自身所有不利状态</v>
      </c>
      <c r="K283" s="45" t="str">
        <f>IF($I283="","",INDEX([2]Sheet1!$1:$1048576,MATCH($I283,[2]Sheet1!$A:$A,0),MATCH("description_damage",[2]Sheet1!$2:$2,0)))</f>
        <v>9003</v>
      </c>
      <c r="L283" s="80" t="str">
        <f>IF($K283="","",IF(LEN($K283)-LEN(SUBSTITUTE($K283,",",""))=0,VLOOKUP(INT($K283),[3]Sheet1!$A:$C,3,0),VLOOKUP(INT(LEFT($K283,FIND(",",$K283)-1)),[3]Sheet1!$A:$C,3,0)))</f>
        <v>4|3|0.03|0|1</v>
      </c>
      <c r="M283" s="80" t="str">
        <f t="shared" si="19"/>
        <v>3%</v>
      </c>
      <c r="N283" s="45" t="str">
        <f>IF(LEN($K283)-LEN(SUBSTITUTE($K283,",",""))=1,VLOOKUP(INT(RIGHT($K283,LEN($K283)-FIND(",",$K283))),[3]Sheet1!$A:$C,3,0),"")</f>
        <v/>
      </c>
      <c r="O283" s="45" t="str">
        <f t="shared" si="16"/>
        <v/>
      </c>
      <c r="P283" s="45" t="str">
        <f t="shared" si="12"/>
        <v>黑无常用地府秘法治疗自身，每0.5秒恢复自身生命值上限3%的生命值，持续2秒，清除自身所有不利状态</v>
      </c>
      <c r="Q283" s="45" t="str">
        <f t="shared" si="17"/>
        <v>黑无常用地府秘法治疗自身，每0.5秒恢复自身生命值上限3%的生命值，持续2秒，清除自身所有不利状态</v>
      </c>
      <c r="R283" s="45"/>
      <c r="S283" s="45" t="str">
        <f>IF(ISERROR($Q283),"进阶+"&amp;COUNTIF($E$194:$E283,$E283)&amp;"："&amp;"找ZC配技能","进阶+"&amp;COUNTIF($E$194:$E283,$E283)&amp;"："&amp;VLOOKUP(COUNTIF($E$194:$E283,$E283),$L$184:$R$193,IF(H283=1,4,IF(H283=4,3,2))+IF(INDEX([1]Sheet1!$1:$1048576,MATCH($E283,[1]Sheet1!$A:$A,0),MATCH("zizhi",[1]Sheet1!$2:$2,0))&gt;=13,0,3),0)&amp;IF($Q283="","","（"&amp;$Q283&amp;"）"))</f>
        <v>进阶+10：增强AI2技能（黑无常用地府秘法治疗自身，每0.5秒恢复自身生命值上限3%的生命值，持续2秒，清除自身所有不利状态）</v>
      </c>
      <c r="T283" s="1"/>
      <c r="U283" s="1"/>
      <c r="V283" s="2" t="str">
        <f>VLOOKUP(COUNTIF($E$194:$E283,$E283),$L$184:$X$193,IF(H283=1,4,IF(H283=4,3,2))+IF(INDEX([1]Sheet1!$1:$1048576,MATCH($E283,[1]Sheet1!$A:$A,0),MATCH("zizhi",[1]Sheet1!$2:$2,0))&gt;=13,0,3)+6,0)</f>
        <v>[]</v>
      </c>
      <c r="W283" s="2" t="str">
        <f t="shared" si="15"/>
        <v>进阶+10：增强AI2技能（黑无常用地府秘法治疗自身，每0.5秒恢复自身生命值上限3%的生命值，持续2秒，清除自身所有不利状态）</v>
      </c>
      <c r="X283" s="45" t="str">
        <f t="shared" si="13"/>
        <v>[]</v>
      </c>
      <c r="Y283" s="2"/>
      <c r="Z283" s="2"/>
      <c r="AA283" s="2"/>
    </row>
    <row r="284" spans="1:27">
      <c r="A284" s="10">
        <f>E284*100+COUNTIF($E$194:$E284,$E284)</f>
        <v>111201</v>
      </c>
      <c r="B284" s="68" t="s">
        <v>310</v>
      </c>
      <c r="C284" s="50" t="s">
        <v>127</v>
      </c>
      <c r="D284" s="10" t="str">
        <f t="shared" si="18"/>
        <v>[]</v>
      </c>
      <c r="E284" s="45">
        <f>INDEX($I:$I,MATCH($E283,$I:$I,0)+IF(COUNTIF($E$194:$E283,$E283)&lt;=VLOOKUP($E283,$I$134:$K$193,3,0)-1,0,1),0)</f>
        <v>1112</v>
      </c>
      <c r="F284" s="45" t="str">
        <f t="shared" si="14"/>
        <v>牛魔王</v>
      </c>
      <c r="H284" s="45">
        <f>VLOOKUP($E284,[1]Sheet1!$A:$G,7,0)</f>
        <v>3</v>
      </c>
      <c r="I284" s="45" t="str">
        <f>IF($G284="","",IF(COUNTIF(技能描述!$D:$D,$F284)&gt;0,VLOOKUP($F284&amp;$G284,技能描述!$A:$C,3,0),LEFT(VLOOKUP($E284,[1]Sheet1!$A:$J,10,0),FIND("_",VLOOKUP($E284,[1]Sheet1!$A:$J,10,0))-1)&amp;$G284))</f>
        <v/>
      </c>
      <c r="J284" s="45" t="str">
        <f>IF($I284="","",VLOOKUP($I284,技能描述!$A:$C,3,0))</f>
        <v/>
      </c>
      <c r="K284" s="45" t="str">
        <f>IF($I284="","",INDEX([2]Sheet1!$1:$1048576,MATCH($I284,[2]Sheet1!$A:$A,0),MATCH("description_damage",[2]Sheet1!$2:$2,0)))</f>
        <v/>
      </c>
      <c r="L284" s="80" t="str">
        <f>IF($K284="","",IF(LEN($K284)-LEN(SUBSTITUTE($K284,",",""))=0,VLOOKUP(INT($K284),[3]Sheet1!$A:$C,3,0),VLOOKUP(INT(LEFT($K284,FIND(",",$K284)-1)),[3]Sheet1!$A:$C,3,0)))</f>
        <v/>
      </c>
      <c r="M284" s="80" t="str">
        <f t="shared" si="19"/>
        <v/>
      </c>
      <c r="N284" s="45" t="str">
        <f>IF(LEN($K284)-LEN(SUBSTITUTE($K284,",",""))=1,VLOOKUP(INT(RIGHT($K284,LEN($K284)-FIND(",",$K284))),[3]Sheet1!$A:$C,3,0),"")</f>
        <v/>
      </c>
      <c r="O284" s="45" t="str">
        <f t="shared" si="16"/>
        <v/>
      </c>
      <c r="P284" s="45" t="str">
        <f t="shared" si="12"/>
        <v/>
      </c>
      <c r="Q284" s="45" t="str">
        <f t="shared" si="17"/>
        <v/>
      </c>
      <c r="R284" s="45"/>
      <c r="S284" s="45" t="str">
        <f>IF(ISERROR($Q284),"进阶+"&amp;COUNTIF($E$194:$E284,$E284)&amp;"："&amp;"找ZC配技能","进阶+"&amp;COUNTIF($E$194:$E284,$E284)&amp;"："&amp;VLOOKUP(COUNTIF($E$194:$E284,$E284),$L$184:$R$193,IF(H284=1,4,IF(H284=4,3,2))+IF(INDEX([1]Sheet1!$1:$1048576,MATCH($E284,[1]Sheet1!$A:$A,0),MATCH("zizhi",[1]Sheet1!$2:$2,0))&gt;=13,0,3),0)&amp;IF($Q284="","","（"&amp;$Q284&amp;"）"))</f>
        <v>进阶+1：攻击提高10%</v>
      </c>
      <c r="T284" s="1"/>
      <c r="U284" s="1"/>
      <c r="V284" s="2" t="str">
        <f>VLOOKUP(COUNTIF($E$194:$E284,$E284),$L$184:$X$193,IF(H284=1,4,IF(H284=4,3,2))+IF(INDEX([1]Sheet1!$1:$1048576,MATCH($E284,[1]Sheet1!$A:$A,0),MATCH("zizhi",[1]Sheet1!$2:$2,0))&gt;=13,0,3)+6,0)</f>
        <v>11050</v>
      </c>
      <c r="W284" s="2" t="str">
        <f t="shared" si="15"/>
        <v>进阶+1：攻击提高10%</v>
      </c>
      <c r="X284" s="45" t="str">
        <f t="shared" si="13"/>
        <v>11050</v>
      </c>
      <c r="Y284" s="2"/>
      <c r="Z284" s="2"/>
      <c r="AA284" s="2"/>
    </row>
    <row r="285" spans="1:27">
      <c r="A285" s="10">
        <f>E285*100+COUNTIF($E$194:$E285,$E285)</f>
        <v>111202</v>
      </c>
      <c r="B285" s="68" t="s">
        <v>2080</v>
      </c>
      <c r="C285" s="50" t="s">
        <v>2</v>
      </c>
      <c r="D285" s="10">
        <f t="shared" si="18"/>
        <v>1</v>
      </c>
      <c r="E285" s="45">
        <f>INDEX($I:$I,MATCH($E284,$I:$I,0)+IF(COUNTIF($E$194:$E284,$E284)&lt;=VLOOKUP($E284,$I$134:$K$193,3,0)-1,0,1),0)</f>
        <v>1112</v>
      </c>
      <c r="F285" s="45" t="str">
        <f t="shared" si="14"/>
        <v>牛魔王</v>
      </c>
      <c r="G285" s="45" t="s">
        <v>216</v>
      </c>
      <c r="H285" s="45">
        <f>VLOOKUP($E285,[1]Sheet1!$A:$G,7,0)</f>
        <v>3</v>
      </c>
      <c r="I285" s="45" t="str">
        <f>IF($G285="","",IF(COUNTIF(技能描述!$D:$D,$F285)&gt;0,VLOOKUP($F285&amp;$G285,技能描述!$A:$C,3,0),LEFT(VLOOKUP($E285,[1]Sheet1!$A:$J,10,0),FIND("_",VLOOKUP($E285,[1]Sheet1!$A:$J,10,0))-1)&amp;$G285))</f>
        <v>niumowang_skill03</v>
      </c>
      <c r="J285" s="45" t="str">
        <f>IF($I285="","",VLOOKUP($I285,技能描述!$A:$C,3,0))</f>
        <v>被攻击有20%概率反弹20%受到的伤害</v>
      </c>
      <c r="K285" s="45" t="str">
        <f>IF($I285="","",INDEX([2]Sheet1!$1:$1048576,MATCH($I285,[2]Sheet1!$A:$A,0),MATCH("description_damage",[2]Sheet1!$2:$2,0)))</f>
        <v>9020</v>
      </c>
      <c r="L285" s="80" t="str">
        <f>IF($K285="","",IF(LEN($K285)-LEN(SUBSTITUTE($K285,",",""))=0,VLOOKUP(INT($K285),[3]Sheet1!$A:$C,3,0),VLOOKUP(INT(LEFT($K285,FIND(",",$K285)-1)),[3]Sheet1!$A:$C,3,0)))</f>
        <v>4|3|0.2|0|1</v>
      </c>
      <c r="M285" s="80" t="str">
        <f t="shared" si="19"/>
        <v>20%</v>
      </c>
      <c r="N285" s="45" t="str">
        <f>IF(LEN($K285)-LEN(SUBSTITUTE($K285,",",""))=1,VLOOKUP(INT(RIGHT($K285,LEN($K285)-FIND(",",$K285))),[3]Sheet1!$A:$C,3,0),"")</f>
        <v/>
      </c>
      <c r="O285" s="45" t="str">
        <f t="shared" si="16"/>
        <v/>
      </c>
      <c r="P285" s="45" t="str">
        <f t="shared" si="12"/>
        <v>被攻击有20%概率反弹20%受到的伤害</v>
      </c>
      <c r="Q285" s="45" t="str">
        <f t="shared" si="17"/>
        <v>被攻击有20%概率反弹20%受到的伤害</v>
      </c>
      <c r="R285" s="45"/>
      <c r="S285" s="45" t="str">
        <f>IF(ISERROR($Q285),"进阶+"&amp;COUNTIF($E$194:$E285,$E285)&amp;"："&amp;"找ZC配技能","进阶+"&amp;COUNTIF($E$194:$E285,$E285)&amp;"："&amp;VLOOKUP(COUNTIF($E$194:$E285,$E285),$L$184:$R$193,IF(H285=1,4,IF(H285=4,3,2))+IF(INDEX([1]Sheet1!$1:$1048576,MATCH($E285,[1]Sheet1!$A:$A,0),MATCH("zizhi",[1]Sheet1!$2:$2,0))&gt;=13,0,3),0)&amp;IF($Q285="","","（"&amp;$Q285&amp;"）"))</f>
        <v>进阶+2：激活被动技能（被攻击有20%概率反弹20%受到的伤害）</v>
      </c>
      <c r="T285" s="1"/>
      <c r="U285" s="1"/>
      <c r="V285" s="2" t="str">
        <f>VLOOKUP(COUNTIF($E$194:$E285,$E285),$L$184:$X$193,IF(H285=1,4,IF(H285=4,3,2))+IF(INDEX([1]Sheet1!$1:$1048576,MATCH($E285,[1]Sheet1!$A:$A,0),MATCH("zizhi",[1]Sheet1!$2:$2,0))&gt;=13,0,3)+6,0)</f>
        <v>[]</v>
      </c>
      <c r="W285" s="2" t="str">
        <f t="shared" si="15"/>
        <v>进阶+2：激活被动技能（被攻击有20%概率反弹20%受到的伤害）</v>
      </c>
      <c r="X285" s="45" t="str">
        <f t="shared" si="13"/>
        <v>[]</v>
      </c>
      <c r="Y285" s="2"/>
      <c r="Z285" s="2"/>
      <c r="AA285" s="2"/>
    </row>
    <row r="286" spans="1:27">
      <c r="A286" s="10">
        <f>E286*100+COUNTIF($E$194:$E286,$E286)</f>
        <v>111203</v>
      </c>
      <c r="B286" s="68" t="s">
        <v>312</v>
      </c>
      <c r="C286" s="50" t="s">
        <v>127</v>
      </c>
      <c r="D286" s="10" t="str">
        <f t="shared" si="18"/>
        <v>[]</v>
      </c>
      <c r="E286" s="45">
        <f>INDEX($I:$I,MATCH($E285,$I:$I,0)+IF(COUNTIF($E$194:$E285,$E285)&lt;=VLOOKUP($E285,$I$134:$K$193,3,0)-1,0,1),0)</f>
        <v>1112</v>
      </c>
      <c r="F286" s="45" t="str">
        <f t="shared" si="14"/>
        <v>牛魔王</v>
      </c>
      <c r="H286" s="45">
        <f>VLOOKUP($E286,[1]Sheet1!$A:$G,7,0)</f>
        <v>3</v>
      </c>
      <c r="I286" s="45" t="str">
        <f>IF($G286="","",IF(COUNTIF(技能描述!$D:$D,$F286)&gt;0,VLOOKUP($F286&amp;$G286,技能描述!$A:$C,3,0),LEFT(VLOOKUP($E286,[1]Sheet1!$A:$J,10,0),FIND("_",VLOOKUP($E286,[1]Sheet1!$A:$J,10,0))-1)&amp;$G286))</f>
        <v/>
      </c>
      <c r="J286" s="45" t="str">
        <f>IF($I286="","",VLOOKUP($I286,技能描述!$A:$C,3,0))</f>
        <v/>
      </c>
      <c r="K286" s="45" t="str">
        <f>IF($I286="","",INDEX([2]Sheet1!$1:$1048576,MATCH($I286,[2]Sheet1!$A:$A,0),MATCH("description_damage",[2]Sheet1!$2:$2,0)))</f>
        <v/>
      </c>
      <c r="L286" s="80" t="str">
        <f>IF($K286="","",IF(LEN($K286)-LEN(SUBSTITUTE($K286,",",""))=0,VLOOKUP(INT($K286),[3]Sheet1!$A:$C,3,0),VLOOKUP(INT(LEFT($K286,FIND(",",$K286)-1)),[3]Sheet1!$A:$C,3,0)))</f>
        <v/>
      </c>
      <c r="M286" s="80" t="str">
        <f t="shared" si="19"/>
        <v/>
      </c>
      <c r="N286" s="45" t="str">
        <f>IF(LEN($K286)-LEN(SUBSTITUTE($K286,",",""))=1,VLOOKUP(INT(RIGHT($K286,LEN($K286)-FIND(",",$K286))),[3]Sheet1!$A:$C,3,0),"")</f>
        <v/>
      </c>
      <c r="O286" s="45" t="str">
        <f t="shared" si="16"/>
        <v/>
      </c>
      <c r="P286" s="45" t="str">
        <f t="shared" si="12"/>
        <v/>
      </c>
      <c r="Q286" s="45" t="str">
        <f t="shared" si="17"/>
        <v/>
      </c>
      <c r="R286" s="45"/>
      <c r="S286" s="45" t="str">
        <f>IF(ISERROR($Q286),"进阶+"&amp;COUNTIF($E$194:$E286,$E286)&amp;"："&amp;"找ZC配技能","进阶+"&amp;COUNTIF($E$194:$E286,$E286)&amp;"："&amp;VLOOKUP(COUNTIF($E$194:$E286,$E286),$L$184:$R$193,IF(H286=1,4,IF(H286=4,3,2))+IF(INDEX([1]Sheet1!$1:$1048576,MATCH($E286,[1]Sheet1!$A:$A,0),MATCH("zizhi",[1]Sheet1!$2:$2,0))&gt;=13,0,3),0)&amp;IF($Q286="","","（"&amp;$Q286&amp;"）"))</f>
        <v>进阶+3：攻击提高10%</v>
      </c>
      <c r="T286" s="1"/>
      <c r="U286" s="1"/>
      <c r="V286" s="2" t="str">
        <f>VLOOKUP(COUNTIF($E$194:$E286,$E286),$L$184:$X$193,IF(H286=1,4,IF(H286=4,3,2))+IF(INDEX([1]Sheet1!$1:$1048576,MATCH($E286,[1]Sheet1!$A:$A,0),MATCH("zizhi",[1]Sheet1!$2:$2,0))&gt;=13,0,3)+6,0)</f>
        <v>11050</v>
      </c>
      <c r="W286" s="2" t="str">
        <f t="shared" si="15"/>
        <v>进阶+3：攻击提高10%</v>
      </c>
      <c r="X286" s="45" t="str">
        <f t="shared" si="13"/>
        <v>11050</v>
      </c>
      <c r="Y286" s="2"/>
      <c r="Z286" s="2"/>
      <c r="AA286" s="2"/>
    </row>
    <row r="287" spans="1:27" ht="49.5">
      <c r="A287" s="10">
        <f>E287*100+COUNTIF($E$194:$E287,$E287)</f>
        <v>111204</v>
      </c>
      <c r="B287" s="68" t="s">
        <v>1861</v>
      </c>
      <c r="C287" s="50" t="s">
        <v>2</v>
      </c>
      <c r="D287" s="10">
        <f t="shared" si="18"/>
        <v>1</v>
      </c>
      <c r="E287" s="45">
        <f>INDEX($I:$I,MATCH($E286,$I:$I,0)+IF(COUNTIF($E$194:$E286,$E286)&lt;=VLOOKUP($E286,$I$134:$K$193,3,0)-1,0,1),0)</f>
        <v>1112</v>
      </c>
      <c r="F287" s="45" t="str">
        <f t="shared" si="14"/>
        <v>牛魔王</v>
      </c>
      <c r="G287" s="45" t="s">
        <v>217</v>
      </c>
      <c r="H287" s="45">
        <f>VLOOKUP($E287,[1]Sheet1!$A:$G,7,0)</f>
        <v>3</v>
      </c>
      <c r="I287" s="45" t="str">
        <f>IF($G287="","",IF(COUNTIF(技能描述!$D:$D,$F287)&gt;0,VLOOKUP($F287&amp;$G287,技能描述!$A:$C,3,0),LEFT(VLOOKUP($E287,[1]Sheet1!$A:$J,10,0),FIND("_",VLOOKUP($E287,[1]Sheet1!$A:$J,10,0))-1)&amp;$G287))</f>
        <v>niumowang_skill04</v>
      </c>
      <c r="J287" s="45" t="str">
        <f>IF($I287="","",VLOOKUP($I287,技能描述!$A:$C,3,0))</f>
        <v>牛魔王抡起巨斧旋转，对范围内敌人进行6次攻击，造成自身攻击力@s的物伤，并使敌人受到伤害提升@s，持续3秒</v>
      </c>
      <c r="K287" s="45" t="str">
        <f>IF($I287="","",INDEX([2]Sheet1!$1:$1048576,MATCH($I287,[2]Sheet1!$A:$A,0),MATCH("description_damage",[2]Sheet1!$2:$2,0)))</f>
        <v>111204,9010</v>
      </c>
      <c r="L287" s="80" t="str">
        <f>IF($K287="","",IF(LEN($K287)-LEN(SUBSTITUTE($K287,",",""))=0,VLOOKUP(INT($K287),[3]Sheet1!$A:$C,3,0),VLOOKUP(INT(LEFT($K287,FIND(",",$K287)-1)),[3]Sheet1!$A:$C,3,0)))</f>
        <v>2|1|0.25|0|0|0</v>
      </c>
      <c r="M287" s="80" t="str">
        <f t="shared" si="19"/>
        <v>25%</v>
      </c>
      <c r="N287" s="45" t="str">
        <f>IF(LEN($K287)-LEN(SUBSTITUTE($K287,",",""))=1,VLOOKUP(INT(RIGHT($K287,LEN($K287)-FIND(",",$K287))),[3]Sheet1!$A:$C,3,0),"")</f>
        <v>4|3|0.1|0|1</v>
      </c>
      <c r="O287" s="45" t="str">
        <f t="shared" si="16"/>
        <v>10%</v>
      </c>
      <c r="P287" s="45" t="str">
        <f t="shared" si="12"/>
        <v>牛魔王抡起巨斧旋转，对范围内敌人进行6次攻击，造成自身攻击力25%的物伤，并使敌人受到伤害提升@s，持续3秒</v>
      </c>
      <c r="Q287" s="45" t="str">
        <f t="shared" si="17"/>
        <v>牛魔王抡起巨斧旋转，对范围内敌人进行6次攻击，造成自身攻击力25%的物伤，并使敌人受到伤害提升10%，持续3秒</v>
      </c>
      <c r="R287" s="45"/>
      <c r="S287" s="45" t="str">
        <f>IF(ISERROR($Q287),"进阶+"&amp;COUNTIF($E$194:$E287,$E287)&amp;"："&amp;"找ZC配技能","进阶+"&amp;COUNTIF($E$194:$E287,$E287)&amp;"："&amp;VLOOKUP(COUNTIF($E$194:$E287,$E287),$L$184:$R$193,IF(H287=1,4,IF(H287=4,3,2))+IF(INDEX([1]Sheet1!$1:$1048576,MATCH($E287,[1]Sheet1!$A:$A,0),MATCH("zizhi",[1]Sheet1!$2:$2,0))&gt;=13,0,3),0)&amp;IF($Q287="","","（"&amp;$Q287&amp;"）"))</f>
        <v>进阶+4：激活AI2技能（牛魔王抡起巨斧旋转，对范围内敌人进行6次攻击，造成自身攻击力25%的物伤，并使敌人受到伤害提升10%，持续3秒）</v>
      </c>
      <c r="T287" s="1"/>
      <c r="U287" s="1"/>
      <c r="V287" s="2" t="str">
        <f>VLOOKUP(COUNTIF($E$194:$E287,$E287),$L$184:$X$193,IF(H287=1,4,IF(H287=4,3,2))+IF(INDEX([1]Sheet1!$1:$1048576,MATCH($E287,[1]Sheet1!$A:$A,0),MATCH("zizhi",[1]Sheet1!$2:$2,0))&gt;=13,0,3)+6,0)</f>
        <v>[]</v>
      </c>
      <c r="W287" s="2" t="str">
        <f t="shared" si="15"/>
        <v>进阶+4：激活AI2技能（牛魔王抡起巨斧旋转，对范围内敌人进行6次攻击，造成自身攻击力25%的物伤，并使敌人受到伤害提升10%，持续3秒）</v>
      </c>
      <c r="X287" s="45" t="str">
        <f t="shared" si="13"/>
        <v>[]</v>
      </c>
      <c r="Y287" s="2"/>
      <c r="Z287" s="2"/>
      <c r="AA287" s="2"/>
    </row>
    <row r="288" spans="1:27">
      <c r="A288" s="10">
        <f>E288*100+COUNTIF($E$194:$E288,$E288)</f>
        <v>111205</v>
      </c>
      <c r="B288" s="68" t="s">
        <v>323</v>
      </c>
      <c r="C288" s="50" t="s">
        <v>140</v>
      </c>
      <c r="D288" s="10" t="str">
        <f t="shared" si="18"/>
        <v>[]</v>
      </c>
      <c r="E288" s="45">
        <f>INDEX($I:$I,MATCH($E287,$I:$I,0)+IF(COUNTIF($E$194:$E287,$E287)&lt;=VLOOKUP($E287,$I$134:$K$193,3,0)-1,0,1),0)</f>
        <v>1112</v>
      </c>
      <c r="F288" s="45" t="str">
        <f t="shared" si="14"/>
        <v>牛魔王</v>
      </c>
      <c r="H288" s="45">
        <f>VLOOKUP($E288,[1]Sheet1!$A:$G,7,0)</f>
        <v>3</v>
      </c>
      <c r="I288" s="45" t="str">
        <f>IF($G288="","",IF(COUNTIF(技能描述!$D:$D,$F288)&gt;0,VLOOKUP($F288&amp;$G288,技能描述!$A:$C,3,0),LEFT(VLOOKUP($E288,[1]Sheet1!$A:$J,10,0),FIND("_",VLOOKUP($E288,[1]Sheet1!$A:$J,10,0))-1)&amp;$G288))</f>
        <v/>
      </c>
      <c r="J288" s="45" t="str">
        <f>IF($I288="","",VLOOKUP($I288,技能描述!$A:$C,3,0))</f>
        <v/>
      </c>
      <c r="K288" s="45" t="str">
        <f>IF($I288="","",INDEX([2]Sheet1!$1:$1048576,MATCH($I288,[2]Sheet1!$A:$A,0),MATCH("description_damage",[2]Sheet1!$2:$2,0)))</f>
        <v/>
      </c>
      <c r="L288" s="80" t="str">
        <f>IF($K288="","",IF(LEN($K288)-LEN(SUBSTITUTE($K288,",",""))=0,VLOOKUP(INT($K288),[3]Sheet1!$A:$C,3,0),VLOOKUP(INT(LEFT($K288,FIND(",",$K288)-1)),[3]Sheet1!$A:$C,3,0)))</f>
        <v/>
      </c>
      <c r="M288" s="80" t="str">
        <f t="shared" si="19"/>
        <v/>
      </c>
      <c r="N288" s="45" t="str">
        <f>IF(LEN($K288)-LEN(SUBSTITUTE($K288,",",""))=1,VLOOKUP(INT(RIGHT($K288,LEN($K288)-FIND(",",$K288))),[3]Sheet1!$A:$C,3,0),"")</f>
        <v/>
      </c>
      <c r="O288" s="45" t="str">
        <f t="shared" si="16"/>
        <v/>
      </c>
      <c r="P288" s="45" t="str">
        <f t="shared" si="12"/>
        <v/>
      </c>
      <c r="Q288" s="45" t="str">
        <f t="shared" si="17"/>
        <v/>
      </c>
      <c r="R288" s="45"/>
      <c r="S288" s="45" t="str">
        <f>IF(ISERROR($Q288),"进阶+"&amp;COUNTIF($E$194:$E288,$E288)&amp;"："&amp;"找ZC配技能","进阶+"&amp;COUNTIF($E$194:$E288,$E288)&amp;"："&amp;VLOOKUP(COUNTIF($E$194:$E288,$E288),$L$184:$R$193,IF(H288=1,4,IF(H288=4,3,2))+IF(INDEX([1]Sheet1!$1:$1048576,MATCH($E288,[1]Sheet1!$A:$A,0),MATCH("zizhi",[1]Sheet1!$2:$2,0))&gt;=13,0,3),0)&amp;IF($Q288="","","（"&amp;$Q288&amp;"）"))</f>
        <v>进阶+5：生命，防御提高10%</v>
      </c>
      <c r="T288" s="1"/>
      <c r="U288" s="1"/>
      <c r="V288" s="2" t="str">
        <f>VLOOKUP(COUNTIF($E$194:$E288,$E288),$L$184:$X$193,IF(H288=1,4,IF(H288=4,3,2))+IF(INDEX([1]Sheet1!$1:$1048576,MATCH($E288,[1]Sheet1!$A:$A,0),MATCH("zizhi",[1]Sheet1!$2:$2,0))&gt;=13,0,3)+6,0)</f>
        <v>11090,6502,6512</v>
      </c>
      <c r="W288" s="2" t="str">
        <f t="shared" si="15"/>
        <v>进阶+5：生命，防御提高10%</v>
      </c>
      <c r="X288" s="45" t="str">
        <f t="shared" si="13"/>
        <v>11090,6502,6512</v>
      </c>
      <c r="Y288" s="2"/>
      <c r="Z288" s="2"/>
      <c r="AA288" s="2"/>
    </row>
    <row r="289" spans="1:27" ht="49.5">
      <c r="A289" s="10">
        <f>E289*100+COUNTIF($E$194:$E289,$E289)</f>
        <v>111206</v>
      </c>
      <c r="B289" s="68" t="s">
        <v>2000</v>
      </c>
      <c r="C289" s="50" t="s">
        <v>2</v>
      </c>
      <c r="D289" s="10">
        <f t="shared" si="18"/>
        <v>1</v>
      </c>
      <c r="E289" s="45">
        <f>INDEX($I:$I,MATCH($E288,$I:$I,0)+IF(COUNTIF($E$194:$E288,$E288)&lt;=VLOOKUP($E288,$I$134:$K$193,3,0)-1,0,1),0)</f>
        <v>1112</v>
      </c>
      <c r="F289" s="45" t="str">
        <f t="shared" si="14"/>
        <v>牛魔王</v>
      </c>
      <c r="G289" s="45" t="s">
        <v>218</v>
      </c>
      <c r="H289" s="45">
        <f>VLOOKUP($E289,[1]Sheet1!$A:$G,7,0)</f>
        <v>3</v>
      </c>
      <c r="I289" s="45" t="str">
        <f>IF($G289="","",IF(COUNTIF(技能描述!$D:$D,$F289)&gt;0,VLOOKUP($F289&amp;$G289,技能描述!$A:$C,3,0),LEFT(VLOOKUP($E289,[1]Sheet1!$A:$J,10,0),FIND("_",VLOOKUP($E289,[1]Sheet1!$A:$J,10,0))-1)&amp;$G289))</f>
        <v>niumowang_skill011</v>
      </c>
      <c r="J289" s="45" t="str">
        <f>IF($I289="","",VLOOKUP($I289,技能描述!$A:$C,3,0))</f>
        <v>释放牛魔王扭转乾坤之法，对范围内敌人进行3次攻击，造成主角攻击力@s的物伤，造成目标高级灼烧效果，持续6秒</v>
      </c>
      <c r="K289" s="45" t="str">
        <f>IF($I289="","",INDEX([2]Sheet1!$1:$1048576,MATCH($I289,[2]Sheet1!$A:$A,0),MATCH("description_damage",[2]Sheet1!$2:$2,0)))</f>
        <v>111205</v>
      </c>
      <c r="L289" s="80" t="str">
        <f>IF($K289="","",IF(LEN($K289)-LEN(SUBSTITUTE($K289,",",""))=0,VLOOKUP(INT($K289),[3]Sheet1!$A:$C,3,0),VLOOKUP(INT(LEFT($K289,FIND(",",$K289)-1)),[3]Sheet1!$A:$C,3,0)))</f>
        <v>2|1|2|0|0|0</v>
      </c>
      <c r="M289" s="80" t="str">
        <f t="shared" si="19"/>
        <v>200%</v>
      </c>
      <c r="N289" s="45" t="str">
        <f>IF(LEN($K289)-LEN(SUBSTITUTE($K289,",",""))=1,VLOOKUP(INT(RIGHT($K289,LEN($K289)-FIND(",",$K289))),[3]Sheet1!$A:$C,3,0),"")</f>
        <v/>
      </c>
      <c r="O289" s="45" t="str">
        <f t="shared" si="16"/>
        <v/>
      </c>
      <c r="P289" s="45" t="str">
        <f t="shared" si="12"/>
        <v>释放牛魔王扭转乾坤之法，对范围内敌人进行3次攻击，造成主角攻击力200%的物伤，造成目标高级灼烧效果，持续6秒</v>
      </c>
      <c r="Q289" s="45" t="str">
        <f t="shared" si="17"/>
        <v>释放牛魔王扭转乾坤之法，对范围内敌人进行3次攻击，造成主角攻击力200%的物伤，造成目标高级灼烧效果，持续6秒</v>
      </c>
      <c r="R289" s="45"/>
      <c r="S289" s="45" t="str">
        <f>IF(ISERROR($Q289),"进阶+"&amp;COUNTIF($E$194:$E289,$E289)&amp;"："&amp;"找ZC配技能","进阶+"&amp;COUNTIF($E$194:$E289,$E289)&amp;"："&amp;VLOOKUP(COUNTIF($E$194:$E289,$E289),$L$184:$R$193,IF(H289=1,4,IF(H289=4,3,2))+IF(INDEX([1]Sheet1!$1:$1048576,MATCH($E289,[1]Sheet1!$A:$A,0),MATCH("zizhi",[1]Sheet1!$2:$2,0))&gt;=13,0,3),0)&amp;IF($Q289="","","（"&amp;$Q289&amp;"）"))</f>
        <v>进阶+6：增强主角技能（释放牛魔王扭转乾坤之法，对范围内敌人进行3次攻击，造成主角攻击力200%的物伤，造成目标高级灼烧效果，持续6秒）</v>
      </c>
      <c r="T289" s="1"/>
      <c r="U289" s="1"/>
      <c r="V289" s="2" t="str">
        <f>VLOOKUP(COUNTIF($E$194:$E289,$E289),$L$184:$X$193,IF(H289=1,4,IF(H289=4,3,2))+IF(INDEX([1]Sheet1!$1:$1048576,MATCH($E289,[1]Sheet1!$A:$A,0),MATCH("zizhi",[1]Sheet1!$2:$2,0))&gt;=13,0,3)+6,0)</f>
        <v>[]</v>
      </c>
      <c r="W289" s="2" t="str">
        <f t="shared" si="15"/>
        <v>进阶+6：增强主角技能（释放牛魔王扭转乾坤之法，对范围内敌人进行3次攻击，造成主角攻击力200%的物伤，造成目标高级灼烧效果，持续6秒）</v>
      </c>
      <c r="X289" s="45" t="str">
        <f t="shared" si="13"/>
        <v>[]</v>
      </c>
      <c r="Y289" s="2"/>
      <c r="Z289" s="2"/>
      <c r="AA289" s="2"/>
    </row>
    <row r="290" spans="1:27">
      <c r="A290" s="10">
        <f>E290*100+COUNTIF($E$194:$E290,$E290)</f>
        <v>111207</v>
      </c>
      <c r="B290" s="68" t="s">
        <v>359</v>
      </c>
      <c r="C290" s="50" t="s">
        <v>353</v>
      </c>
      <c r="D290" s="10" t="str">
        <f t="shared" si="18"/>
        <v>[]</v>
      </c>
      <c r="E290" s="45">
        <f>INDEX($I:$I,MATCH($E289,$I:$I,0)+IF(COUNTIF($E$194:$E289,$E289)&lt;=VLOOKUP($E289,$I$134:$K$193,3,0)-1,0,1),0)</f>
        <v>1112</v>
      </c>
      <c r="F290" s="45" t="str">
        <f t="shared" si="14"/>
        <v>牛魔王</v>
      </c>
      <c r="H290" s="45">
        <f>VLOOKUP($E290,[1]Sheet1!$A:$G,7,0)</f>
        <v>3</v>
      </c>
      <c r="I290" s="45" t="str">
        <f>IF($G290="","",IF(COUNTIF(技能描述!$D:$D,$F290)&gt;0,VLOOKUP($F290&amp;$G290,技能描述!$A:$C,3,0),LEFT(VLOOKUP($E290,[1]Sheet1!$A:$J,10,0),FIND("_",VLOOKUP($E290,[1]Sheet1!$A:$J,10,0))-1)&amp;$G290))</f>
        <v/>
      </c>
      <c r="J290" s="45" t="str">
        <f>IF($I290="","",VLOOKUP($I290,技能描述!$A:$C,3,0))</f>
        <v/>
      </c>
      <c r="K290" s="45" t="str">
        <f>IF($I290="","",INDEX([2]Sheet1!$1:$1048576,MATCH($I290,[2]Sheet1!$A:$A,0),MATCH("description_damage",[2]Sheet1!$2:$2,0)))</f>
        <v/>
      </c>
      <c r="L290" s="80" t="str">
        <f>IF($K290="","",IF(LEN($K290)-LEN(SUBSTITUTE($K290,",",""))=0,VLOOKUP(INT($K290),[3]Sheet1!$A:$C,3,0),VLOOKUP(INT(LEFT($K290,FIND(",",$K290)-1)),[3]Sheet1!$A:$C,3,0)))</f>
        <v/>
      </c>
      <c r="M290" s="80" t="str">
        <f t="shared" si="19"/>
        <v/>
      </c>
      <c r="N290" s="45" t="str">
        <f>IF(LEN($K290)-LEN(SUBSTITUTE($K290,",",""))=1,VLOOKUP(INT(RIGHT($K290,LEN($K290)-FIND(",",$K290))),[3]Sheet1!$A:$C,3,0),"")</f>
        <v/>
      </c>
      <c r="O290" s="45" t="str">
        <f t="shared" si="16"/>
        <v/>
      </c>
      <c r="P290" s="45" t="str">
        <f t="shared" si="12"/>
        <v/>
      </c>
      <c r="Q290" s="45" t="str">
        <f t="shared" si="17"/>
        <v/>
      </c>
      <c r="R290" s="45"/>
      <c r="S290" s="45" t="str">
        <f>IF(ISERROR($Q290),"进阶+"&amp;COUNTIF($E$194:$E290,$E290)&amp;"："&amp;"找ZC配技能","进阶+"&amp;COUNTIF($E$194:$E290,$E290)&amp;"："&amp;VLOOKUP(COUNTIF($E$194:$E290,$E290),$L$184:$R$193,IF(H290=1,4,IF(H290=4,3,2))+IF(INDEX([1]Sheet1!$1:$1048576,MATCH($E290,[1]Sheet1!$A:$A,0),MATCH("zizhi",[1]Sheet1!$2:$2,0))&gt;=13,0,3),0)&amp;IF($Q290="","","（"&amp;$Q290&amp;"）"))</f>
        <v>进阶+7：全队攻击提高10%</v>
      </c>
      <c r="T290" s="1"/>
      <c r="U290" s="1"/>
      <c r="V290" s="2" t="str">
        <f>VLOOKUP(COUNTIF($E$194:$E290,$E290),$L$184:$X$193,IF(H290=1,4,IF(H290=4,3,2))+IF(INDEX([1]Sheet1!$1:$1048576,MATCH($E290,[1]Sheet1!$A:$A,0),MATCH("zizhi",[1]Sheet1!$2:$2,0))&gt;=13,0,3)+6,0)</f>
        <v>58010</v>
      </c>
      <c r="W290" s="2" t="str">
        <f t="shared" si="15"/>
        <v>进阶+7：全队攻击提高10%</v>
      </c>
      <c r="X290" s="45" t="str">
        <f t="shared" si="13"/>
        <v>58010</v>
      </c>
      <c r="Y290" s="2"/>
      <c r="Z290" s="2"/>
      <c r="AA290" s="2"/>
    </row>
    <row r="291" spans="1:27" ht="33">
      <c r="A291" s="10">
        <f>E291*100+COUNTIF($E$194:$E291,$E291)</f>
        <v>111208</v>
      </c>
      <c r="B291" s="68" t="s">
        <v>2001</v>
      </c>
      <c r="C291" s="50" t="s">
        <v>2</v>
      </c>
      <c r="D291" s="10">
        <f t="shared" si="18"/>
        <v>1</v>
      </c>
      <c r="E291" s="45">
        <f>INDEX($I:$I,MATCH($E290,$I:$I,0)+IF(COUNTIF($E$194:$E290,$E290)&lt;=VLOOKUP($E290,$I$134:$K$193,3,0)-1,0,1),0)</f>
        <v>1112</v>
      </c>
      <c r="F291" s="45" t="str">
        <f t="shared" si="14"/>
        <v>牛魔王</v>
      </c>
      <c r="G291" s="45" t="s">
        <v>219</v>
      </c>
      <c r="H291" s="45">
        <f>VLOOKUP($E291,[1]Sheet1!$A:$G,7,0)</f>
        <v>3</v>
      </c>
      <c r="I291" s="45" t="str">
        <f>IF($G291="","",IF(COUNTIF(技能描述!$D:$D,$F291)&gt;0,VLOOKUP($F291&amp;$G291,技能描述!$A:$C,3,0),LEFT(VLOOKUP($E291,[1]Sheet1!$A:$J,10,0),FIND("_",VLOOKUP($E291,[1]Sheet1!$A:$J,10,0))-1)&amp;$G291))</f>
        <v>niumowang_skill021</v>
      </c>
      <c r="J291" s="45" t="str">
        <f>IF($I291="","",VLOOKUP($I291,技能描述!$A:$C,3,0))</f>
        <v>牛魔王举斧砸向前方，对范围内敌人造成3次自身攻击力@s的物伤，每次27%的几率敲晕目标3秒</v>
      </c>
      <c r="K291" s="45" t="str">
        <f>IF($I291="","",INDEX([2]Sheet1!$1:$1048576,MATCH($I291,[2]Sheet1!$A:$A,0),MATCH("description_damage",[2]Sheet1!$2:$2,0)))</f>
        <v>111206,9015</v>
      </c>
      <c r="L291" s="80" t="str">
        <f>IF($K291="","",IF(LEN($K291)-LEN(SUBSTITUTE($K291,",",""))=0,VLOOKUP(INT($K291),[3]Sheet1!$A:$C,3,0),VLOOKUP(INT(LEFT($K291,FIND(",",$K291)-1)),[3]Sheet1!$A:$C,3,0)))</f>
        <v>2|1|0.7|0|0|0</v>
      </c>
      <c r="M291" s="80" t="str">
        <f t="shared" si="19"/>
        <v>70%</v>
      </c>
      <c r="N291" s="45" t="str">
        <f>IF(LEN($K291)-LEN(SUBSTITUTE($K291,",",""))=1,VLOOKUP(INT(RIGHT($K291,LEN($K291)-FIND(",",$K291))),[3]Sheet1!$A:$C,3,0),"")</f>
        <v>4|3|0.15|0|1</v>
      </c>
      <c r="O291" s="45" t="str">
        <f t="shared" si="16"/>
        <v>15%</v>
      </c>
      <c r="P291" s="45" t="str">
        <f t="shared" si="12"/>
        <v>牛魔王举斧砸向前方，对范围内敌人造成3次自身攻击力70%的物伤，每次27%的几率敲晕目标3秒</v>
      </c>
      <c r="Q291" s="45" t="str">
        <f t="shared" si="17"/>
        <v>牛魔王举斧砸向前方，对范围内敌人造成3次自身攻击力70%的物伤，每次27%的几率敲晕目标3秒</v>
      </c>
      <c r="R291" s="45"/>
      <c r="S291" s="45" t="str">
        <f>IF(ISERROR($Q291),"进阶+"&amp;COUNTIF($E$194:$E291,$E291)&amp;"："&amp;"找ZC配技能","进阶+"&amp;COUNTIF($E$194:$E291,$E291)&amp;"："&amp;VLOOKUP(COUNTIF($E$194:$E291,$E291),$L$184:$R$193,IF(H291=1,4,IF(H291=4,3,2))+IF(INDEX([1]Sheet1!$1:$1048576,MATCH($E291,[1]Sheet1!$A:$A,0),MATCH("zizhi",[1]Sheet1!$2:$2,0))&gt;=13,0,3),0)&amp;IF($Q291="","","（"&amp;$Q291&amp;"）"))</f>
        <v>进阶+8：增强AI1技能（牛魔王举斧砸向前方，对范围内敌人造成3次自身攻击力70%的物伤，每次27%的几率敲晕目标3秒）</v>
      </c>
      <c r="T291" s="1"/>
      <c r="U291" s="1"/>
      <c r="V291" s="2" t="str">
        <f>VLOOKUP(COUNTIF($E$194:$E291,$E291),$L$184:$X$193,IF(H291=1,4,IF(H291=4,3,2))+IF(INDEX([1]Sheet1!$1:$1048576,MATCH($E291,[1]Sheet1!$A:$A,0),MATCH("zizhi",[1]Sheet1!$2:$2,0))&gt;=13,0,3)+6,0)</f>
        <v>[]</v>
      </c>
      <c r="W291" s="2" t="str">
        <f t="shared" si="15"/>
        <v>进阶+8：增强AI1技能（牛魔王举斧砸向前方，对范围内敌人造成3次自身攻击力70%的物伤，每次27%的几率敲晕目标3秒）</v>
      </c>
      <c r="X291" s="45" t="str">
        <f t="shared" si="13"/>
        <v>[]</v>
      </c>
      <c r="Y291" s="2"/>
      <c r="Z291" s="2"/>
      <c r="AA291" s="2"/>
    </row>
    <row r="292" spans="1:27">
      <c r="A292" s="10">
        <f>E292*100+COUNTIF($E$194:$E292,$E292)</f>
        <v>111209</v>
      </c>
      <c r="B292" s="68" t="s">
        <v>1899</v>
      </c>
      <c r="C292" s="50" t="s">
        <v>2085</v>
      </c>
      <c r="D292" s="10" t="str">
        <f t="shared" si="18"/>
        <v>[]</v>
      </c>
      <c r="E292" s="45">
        <f>INDEX($I:$I,MATCH($E291,$I:$I,0)+IF(COUNTIF($E$194:$E291,$E291)&lt;=VLOOKUP($E291,$I$134:$K$193,3,0)-1,0,1),0)</f>
        <v>1112</v>
      </c>
      <c r="F292" s="45" t="str">
        <f t="shared" si="14"/>
        <v>牛魔王</v>
      </c>
      <c r="H292" s="45">
        <f>VLOOKUP($E292,[1]Sheet1!$A:$G,7,0)</f>
        <v>3</v>
      </c>
      <c r="I292" s="45" t="str">
        <f>IF($G292="","",IF(COUNTIF(技能描述!$D:$D,$F292)&gt;0,VLOOKUP($F292&amp;$G292,技能描述!$A:$C,3,0),LEFT(VLOOKUP($E292,[1]Sheet1!$A:$J,10,0),FIND("_",VLOOKUP($E292,[1]Sheet1!$A:$J,10,0))-1)&amp;$G292))</f>
        <v/>
      </c>
      <c r="J292" s="45" t="str">
        <f>IF($I292="","",VLOOKUP($I292,技能描述!$A:$C,3,0))</f>
        <v/>
      </c>
      <c r="K292" s="45" t="str">
        <f>IF($I292="","",INDEX([2]Sheet1!$1:$1048576,MATCH($I292,[2]Sheet1!$A:$A,0),MATCH("description_damage",[2]Sheet1!$2:$2,0)))</f>
        <v/>
      </c>
      <c r="L292" s="80" t="str">
        <f>IF($K292="","",IF(LEN($K292)-LEN(SUBSTITUTE($K292,",",""))=0,VLOOKUP(INT($K292),[3]Sheet1!$A:$C,3,0),VLOOKUP(INT(LEFT($K292,FIND(",",$K292)-1)),[3]Sheet1!$A:$C,3,0)))</f>
        <v/>
      </c>
      <c r="M292" s="80" t="str">
        <f t="shared" si="19"/>
        <v/>
      </c>
      <c r="N292" s="45" t="str">
        <f>IF(LEN($K292)-LEN(SUBSTITUTE($K292,",",""))=1,VLOOKUP(INT(RIGHT($K292,LEN($K292)-FIND(",",$K292))),[3]Sheet1!$A:$C,3,0),"")</f>
        <v/>
      </c>
      <c r="O292" s="45" t="str">
        <f t="shared" si="16"/>
        <v/>
      </c>
      <c r="P292" s="45" t="str">
        <f t="shared" si="12"/>
        <v/>
      </c>
      <c r="Q292" s="45" t="str">
        <f t="shared" si="17"/>
        <v/>
      </c>
      <c r="R292" s="45"/>
      <c r="S292" s="45" t="str">
        <f>IF(ISERROR($Q292),"进阶+"&amp;COUNTIF($E$194:$E292,$E292)&amp;"："&amp;"找ZC配技能","进阶+"&amp;COUNTIF($E$194:$E292,$E292)&amp;"："&amp;VLOOKUP(COUNTIF($E$194:$E292,$E292),$L$184:$R$193,IF(H292=1,4,IF(H292=4,3,2))+IF(INDEX([1]Sheet1!$1:$1048576,MATCH($E292,[1]Sheet1!$A:$A,0),MATCH("zizhi",[1]Sheet1!$2:$2,0))&gt;=13,0,3),0)&amp;IF($Q292="","","（"&amp;$Q292&amp;"）"))</f>
        <v>进阶+9：全队攻击提高15%</v>
      </c>
      <c r="T292" s="1"/>
      <c r="U292" s="1"/>
      <c r="V292" s="2" t="str">
        <f>VLOOKUP(COUNTIF($E$194:$E292,$E292),$L$184:$X$193,IF(H292=1,4,IF(H292=4,3,2))+IF(INDEX([1]Sheet1!$1:$1048576,MATCH($E292,[1]Sheet1!$A:$A,0),MATCH("zizhi",[1]Sheet1!$2:$2,0))&gt;=13,0,3)+6,0)</f>
        <v>58015</v>
      </c>
      <c r="W292" s="2" t="str">
        <f t="shared" si="15"/>
        <v>进阶+9：全队攻击提高15%</v>
      </c>
      <c r="X292" s="45" t="str">
        <f t="shared" si="13"/>
        <v>58015</v>
      </c>
      <c r="Y292" s="2"/>
      <c r="Z292" s="2"/>
      <c r="AA292" s="2"/>
    </row>
    <row r="293" spans="1:27" ht="49.5">
      <c r="A293" s="10">
        <f>E293*100+COUNTIF($E$194:$E293,$E293)</f>
        <v>111210</v>
      </c>
      <c r="B293" s="68" t="s">
        <v>1908</v>
      </c>
      <c r="C293" s="50" t="s">
        <v>2</v>
      </c>
      <c r="D293" s="10">
        <f t="shared" si="18"/>
        <v>1</v>
      </c>
      <c r="E293" s="45">
        <f>INDEX($I:$I,MATCH($E292,$I:$I,0)+IF(COUNTIF($E$194:$E292,$E292)&lt;=VLOOKUP($E292,$I$134:$K$193,3,0)-1,0,1),0)</f>
        <v>1112</v>
      </c>
      <c r="F293" s="45" t="str">
        <f t="shared" si="14"/>
        <v>牛魔王</v>
      </c>
      <c r="G293" s="45" t="s">
        <v>220</v>
      </c>
      <c r="H293" s="45">
        <f>VLOOKUP($E293,[1]Sheet1!$A:$G,7,0)</f>
        <v>3</v>
      </c>
      <c r="I293" s="45" t="str">
        <f>IF($G293="","",IF(COUNTIF(技能描述!$D:$D,$F293)&gt;0,VLOOKUP($F293&amp;$G293,技能描述!$A:$C,3,0),LEFT(VLOOKUP($E293,[1]Sheet1!$A:$J,10,0),FIND("_",VLOOKUP($E293,[1]Sheet1!$A:$J,10,0))-1)&amp;$G293))</f>
        <v>niumowang_skill041</v>
      </c>
      <c r="J293" s="45" t="str">
        <f>IF($I293="","",VLOOKUP($I293,技能描述!$A:$C,3,0))</f>
        <v>牛魔王抡起巨斧旋转，对范围内敌人进行6次攻击，造成自身攻击力@s的物伤，并使敌人受到伤害提升@s，持续3秒</v>
      </c>
      <c r="K293" s="45" t="str">
        <f>IF($I293="","",INDEX([2]Sheet1!$1:$1048576,MATCH($I293,[2]Sheet1!$A:$A,0),MATCH("description_damage",[2]Sheet1!$2:$2,0)))</f>
        <v>111207,9015</v>
      </c>
      <c r="L293" s="80" t="str">
        <f>IF($K293="","",IF(LEN($K293)-LEN(SUBSTITUTE($K293,",",""))=0,VLOOKUP(INT($K293),[3]Sheet1!$A:$C,3,0),VLOOKUP(INT(LEFT($K293,FIND(",",$K293)-1)),[3]Sheet1!$A:$C,3,0)))</f>
        <v>2|1|0.35|0|0|0</v>
      </c>
      <c r="M293" s="80" t="str">
        <f t="shared" si="19"/>
        <v>35%</v>
      </c>
      <c r="N293" s="45" t="str">
        <f>IF(LEN($K293)-LEN(SUBSTITUTE($K293,",",""))=1,VLOOKUP(INT(RIGHT($K293,LEN($K293)-FIND(",",$K293))),[3]Sheet1!$A:$C,3,0),"")</f>
        <v>4|3|0.15|0|1</v>
      </c>
      <c r="O293" s="45" t="str">
        <f t="shared" si="16"/>
        <v>15%</v>
      </c>
      <c r="P293" s="45" t="str">
        <f t="shared" si="12"/>
        <v>牛魔王抡起巨斧旋转，对范围内敌人进行6次攻击，造成自身攻击力35%的物伤，并使敌人受到伤害提升@s，持续3秒</v>
      </c>
      <c r="Q293" s="45" t="str">
        <f t="shared" si="17"/>
        <v>牛魔王抡起巨斧旋转，对范围内敌人进行6次攻击，造成自身攻击力35%的物伤，并使敌人受到伤害提升15%，持续3秒</v>
      </c>
      <c r="R293" s="45"/>
      <c r="S293" s="45" t="str">
        <f>IF(ISERROR($Q293),"进阶+"&amp;COUNTIF($E$194:$E293,$E293)&amp;"："&amp;"找ZC配技能","进阶+"&amp;COUNTIF($E$194:$E293,$E293)&amp;"："&amp;VLOOKUP(COUNTIF($E$194:$E293,$E293),$L$184:$R$193,IF(H293=1,4,IF(H293=4,3,2))+IF(INDEX([1]Sheet1!$1:$1048576,MATCH($E293,[1]Sheet1!$A:$A,0),MATCH("zizhi",[1]Sheet1!$2:$2,0))&gt;=13,0,3),0)&amp;IF($Q293="","","（"&amp;$Q293&amp;"）"))</f>
        <v>进阶+10：增强AI2技能（牛魔王抡起巨斧旋转，对范围内敌人进行6次攻击，造成自身攻击力35%的物伤，并使敌人受到伤害提升15%，持续3秒）</v>
      </c>
      <c r="T293" s="1"/>
      <c r="U293" s="1"/>
      <c r="V293" s="2" t="str">
        <f>VLOOKUP(COUNTIF($E$194:$E293,$E293),$L$184:$X$193,IF(H293=1,4,IF(H293=4,3,2))+IF(INDEX([1]Sheet1!$1:$1048576,MATCH($E293,[1]Sheet1!$A:$A,0),MATCH("zizhi",[1]Sheet1!$2:$2,0))&gt;=13,0,3)+6,0)</f>
        <v>[]</v>
      </c>
      <c r="W293" s="2" t="str">
        <f t="shared" si="15"/>
        <v>进阶+10：增强AI2技能（牛魔王抡起巨斧旋转，对范围内敌人进行6次攻击，造成自身攻击力35%的物伤，并使敌人受到伤害提升15%，持续3秒）</v>
      </c>
      <c r="X293" s="45" t="str">
        <f t="shared" si="13"/>
        <v>[]</v>
      </c>
      <c r="Y293" s="2"/>
      <c r="Z293" s="2"/>
      <c r="AA293" s="2"/>
    </row>
    <row r="294" spans="1:27">
      <c r="A294" s="10">
        <f>E294*100+COUNTIF($E$194:$E294,$E294)</f>
        <v>111901</v>
      </c>
      <c r="B294" s="68" t="s">
        <v>310</v>
      </c>
      <c r="C294" s="50" t="s">
        <v>127</v>
      </c>
      <c r="D294" s="10" t="str">
        <f t="shared" si="18"/>
        <v>[]</v>
      </c>
      <c r="E294" s="45">
        <f>INDEX($I:$I,MATCH($E293,$I:$I,0)+IF(COUNTIF($E$194:$E293,$E293)&lt;=VLOOKUP($E293,$I$134:$K$193,3,0)-1,0,1),0)</f>
        <v>1119</v>
      </c>
      <c r="F294" s="45" t="str">
        <f t="shared" si="14"/>
        <v>孙悟空</v>
      </c>
      <c r="H294" s="45">
        <f>VLOOKUP($E294,[1]Sheet1!$A:$G,7,0)</f>
        <v>3</v>
      </c>
      <c r="I294" s="45" t="str">
        <f>IF($G294="","",IF(COUNTIF(技能描述!$D:$D,$F294)&gt;0,VLOOKUP($F294&amp;$G294,技能描述!$A:$C,3,0),LEFT(VLOOKUP($E294,[1]Sheet1!$A:$J,10,0),FIND("_",VLOOKUP($E294,[1]Sheet1!$A:$J,10,0))-1)&amp;$G294))</f>
        <v/>
      </c>
      <c r="J294" s="45" t="str">
        <f>IF($I294="","",VLOOKUP($I294,技能描述!$A:$C,3,0))</f>
        <v/>
      </c>
      <c r="K294" s="45" t="str">
        <f>IF($I294="","",INDEX([2]Sheet1!$1:$1048576,MATCH($I294,[2]Sheet1!$A:$A,0),MATCH("description_damage",[2]Sheet1!$2:$2,0)))</f>
        <v/>
      </c>
      <c r="L294" s="80" t="str">
        <f>IF($K294="","",IF(LEN($K294)-LEN(SUBSTITUTE($K294,",",""))=0,VLOOKUP(INT($K294),[3]Sheet1!$A:$C,3,0),VLOOKUP(INT(LEFT($K294,FIND(",",$K294)-1)),[3]Sheet1!$A:$C,3,0)))</f>
        <v/>
      </c>
      <c r="M294" s="80" t="str">
        <f t="shared" si="19"/>
        <v/>
      </c>
      <c r="N294" s="45" t="str">
        <f>IF(LEN($K294)-LEN(SUBSTITUTE($K294,",",""))=1,VLOOKUP(INT(RIGHT($K294,LEN($K294)-FIND(",",$K294))),[3]Sheet1!$A:$C,3,0),"")</f>
        <v/>
      </c>
      <c r="O294" s="45" t="str">
        <f t="shared" si="16"/>
        <v/>
      </c>
      <c r="P294" s="45" t="str">
        <f t="shared" si="12"/>
        <v/>
      </c>
      <c r="Q294" s="45" t="str">
        <f t="shared" si="17"/>
        <v/>
      </c>
      <c r="R294" s="45"/>
      <c r="S294" s="45" t="str">
        <f>IF(ISERROR($Q294),"进阶+"&amp;COUNTIF($E$194:$E294,$E294)&amp;"："&amp;"找ZC配技能","进阶+"&amp;COUNTIF($E$194:$E294,$E294)&amp;"："&amp;VLOOKUP(COUNTIF($E$194:$E294,$E294),$L$184:$R$193,IF(H294=1,4,IF(H294=4,3,2))+IF(INDEX([1]Sheet1!$1:$1048576,MATCH($E294,[1]Sheet1!$A:$A,0),MATCH("zizhi",[1]Sheet1!$2:$2,0))&gt;=13,0,3),0)&amp;IF($Q294="","","（"&amp;$Q294&amp;"）"))</f>
        <v>进阶+1：攻击提高10%</v>
      </c>
      <c r="T294" s="1"/>
      <c r="U294" s="1"/>
      <c r="V294" s="2" t="str">
        <f>VLOOKUP(COUNTIF($E$194:$E294,$E294),$L$184:$X$193,IF(H294=1,4,IF(H294=4,3,2))+IF(INDEX([1]Sheet1!$1:$1048576,MATCH($E294,[1]Sheet1!$A:$A,0),MATCH("zizhi",[1]Sheet1!$2:$2,0))&gt;=13,0,3)+6,0)</f>
        <v>11050</v>
      </c>
      <c r="W294" s="2" t="str">
        <f t="shared" si="15"/>
        <v>进阶+1：攻击提高10%</v>
      </c>
      <c r="X294" s="45" t="str">
        <f t="shared" si="13"/>
        <v>11050</v>
      </c>
      <c r="Y294" s="2"/>
      <c r="Z294" s="2"/>
      <c r="AA294" s="2"/>
    </row>
    <row r="295" spans="1:27" ht="33">
      <c r="A295" s="10">
        <f>E295*100+COUNTIF($E$194:$E295,$E295)</f>
        <v>111902</v>
      </c>
      <c r="B295" s="68" t="s">
        <v>2094</v>
      </c>
      <c r="C295" s="50" t="s">
        <v>2</v>
      </c>
      <c r="D295" s="10">
        <f t="shared" si="18"/>
        <v>1</v>
      </c>
      <c r="E295" s="45">
        <f>INDEX($I:$I,MATCH($E294,$I:$I,0)+IF(COUNTIF($E$194:$E294,$E294)&lt;=VLOOKUP($E294,$I$134:$K$193,3,0)-1,0,1),0)</f>
        <v>1119</v>
      </c>
      <c r="F295" s="45" t="str">
        <f t="shared" si="14"/>
        <v>孙悟空</v>
      </c>
      <c r="G295" s="45" t="s">
        <v>216</v>
      </c>
      <c r="H295" s="45">
        <f>VLOOKUP($E295,[1]Sheet1!$A:$G,7,0)</f>
        <v>3</v>
      </c>
      <c r="I295" s="45" t="str">
        <f>IF($G295="","",IF(COUNTIF(技能描述!$D:$D,$F295)&gt;0,VLOOKUP($F295&amp;$G295,技能描述!$A:$C,3,0),LEFT(VLOOKUP($E295,[1]Sheet1!$A:$J,10,0),FIND("_",VLOOKUP($E295,[1]Sheet1!$A:$J,10,0))-1)&amp;$G295))</f>
        <v>sunwukong_skill03</v>
      </c>
      <c r="J295" s="45" t="str">
        <f>IF($I295="","",VLOOKUP($I295,技能描述!$A:$C,3,0))</f>
        <v>提升自身@s的真实暴击率，普攻有概率击晕对手1秒</v>
      </c>
      <c r="K295" s="45" t="str">
        <f>IF($I295="","",INDEX([2]Sheet1!$1:$1048576,MATCH($I295,[2]Sheet1!$A:$A,0),MATCH("description_damage",[2]Sheet1!$2:$2,0)))</f>
        <v>9010</v>
      </c>
      <c r="L295" s="80" t="str">
        <f>IF($K295="","",IF(LEN($K295)-LEN(SUBSTITUTE($K295,",",""))=0,VLOOKUP(INT($K295),[3]Sheet1!$A:$C,3,0),VLOOKUP(INT(LEFT($K295,FIND(",",$K295)-1)),[3]Sheet1!$A:$C,3,0)))</f>
        <v>4|3|0.1|0|1</v>
      </c>
      <c r="M295" s="80" t="str">
        <f t="shared" si="19"/>
        <v>10%</v>
      </c>
      <c r="N295" s="45" t="str">
        <f>IF(LEN($K295)-LEN(SUBSTITUTE($K295,",",""))=1,VLOOKUP(INT(RIGHT($K295,LEN($K295)-FIND(",",$K295))),[3]Sheet1!$A:$C,3,0),"")</f>
        <v/>
      </c>
      <c r="O295" s="45" t="str">
        <f t="shared" si="16"/>
        <v/>
      </c>
      <c r="P295" s="45" t="str">
        <f t="shared" si="12"/>
        <v>提升自身10%的真实暴击率，普攻有概率击晕对手1秒</v>
      </c>
      <c r="Q295" s="45" t="str">
        <f t="shared" si="17"/>
        <v>提升自身10%的真实暴击率，普攻有概率击晕对手1秒</v>
      </c>
      <c r="R295" s="45"/>
      <c r="S295" s="45" t="str">
        <f>IF(ISERROR($Q295),"进阶+"&amp;COUNTIF($E$194:$E295,$E295)&amp;"："&amp;"找ZC配技能","进阶+"&amp;COUNTIF($E$194:$E295,$E295)&amp;"："&amp;VLOOKUP(COUNTIF($E$194:$E295,$E295),$L$184:$R$193,IF(H295=1,4,IF(H295=4,3,2))+IF(INDEX([1]Sheet1!$1:$1048576,MATCH($E295,[1]Sheet1!$A:$A,0),MATCH("zizhi",[1]Sheet1!$2:$2,0))&gt;=13,0,3),0)&amp;IF($Q295="","","（"&amp;$Q295&amp;"）"))</f>
        <v>进阶+2：激活被动技能（提升自身10%的真实暴击率，普攻有概率击晕对手1秒）</v>
      </c>
      <c r="T295" s="1"/>
      <c r="U295" s="1"/>
      <c r="V295" s="2" t="str">
        <f>VLOOKUP(COUNTIF($E$194:$E295,$E295),$L$184:$X$193,IF(H295=1,4,IF(H295=4,3,2))+IF(INDEX([1]Sheet1!$1:$1048576,MATCH($E295,[1]Sheet1!$A:$A,0),MATCH("zizhi",[1]Sheet1!$2:$2,0))&gt;=13,0,3)+6,0)</f>
        <v>[]</v>
      </c>
      <c r="W295" s="2" t="str">
        <f t="shared" si="15"/>
        <v>进阶+2：激活被动技能（提升自身10%的真实暴击率，普攻有概率击晕对手1秒）</v>
      </c>
      <c r="X295" s="45" t="str">
        <f t="shared" si="13"/>
        <v>[]</v>
      </c>
      <c r="Y295" s="2"/>
      <c r="Z295" s="2"/>
      <c r="AA295" s="2"/>
    </row>
    <row r="296" spans="1:27">
      <c r="A296" s="10">
        <f>E296*100+COUNTIF($E$194:$E296,$E296)</f>
        <v>111903</v>
      </c>
      <c r="B296" s="68" t="s">
        <v>312</v>
      </c>
      <c r="C296" s="50" t="s">
        <v>127</v>
      </c>
      <c r="D296" s="10" t="str">
        <f t="shared" si="18"/>
        <v>[]</v>
      </c>
      <c r="E296" s="45">
        <f>INDEX($I:$I,MATCH($E295,$I:$I,0)+IF(COUNTIF($E$194:$E295,$E295)&lt;=VLOOKUP($E295,$I$134:$K$193,3,0)-1,0,1),0)</f>
        <v>1119</v>
      </c>
      <c r="F296" s="45" t="str">
        <f t="shared" si="14"/>
        <v>孙悟空</v>
      </c>
      <c r="H296" s="45">
        <f>VLOOKUP($E296,[1]Sheet1!$A:$G,7,0)</f>
        <v>3</v>
      </c>
      <c r="I296" s="45" t="str">
        <f>IF($G296="","",IF(COUNTIF(技能描述!$D:$D,$F296)&gt;0,VLOOKUP($F296&amp;$G296,技能描述!$A:$C,3,0),LEFT(VLOOKUP($E296,[1]Sheet1!$A:$J,10,0),FIND("_",VLOOKUP($E296,[1]Sheet1!$A:$J,10,0))-1)&amp;$G296))</f>
        <v/>
      </c>
      <c r="J296" s="45" t="str">
        <f>IF($I296="","",VLOOKUP($I296,技能描述!$A:$C,3,0))</f>
        <v/>
      </c>
      <c r="K296" s="45" t="str">
        <f>IF($I296="","",INDEX([2]Sheet1!$1:$1048576,MATCH($I296,[2]Sheet1!$A:$A,0),MATCH("description_damage",[2]Sheet1!$2:$2,0)))</f>
        <v/>
      </c>
      <c r="L296" s="80" t="str">
        <f>IF($K296="","",IF(LEN($K296)-LEN(SUBSTITUTE($K296,",",""))=0,VLOOKUP(INT($K296),[3]Sheet1!$A:$C,3,0),VLOOKUP(INT(LEFT($K296,FIND(",",$K296)-1)),[3]Sheet1!$A:$C,3,0)))</f>
        <v/>
      </c>
      <c r="M296" s="80" t="str">
        <f t="shared" si="19"/>
        <v/>
      </c>
      <c r="N296" s="45" t="str">
        <f>IF(LEN($K296)-LEN(SUBSTITUTE($K296,",",""))=1,VLOOKUP(INT(RIGHT($K296,LEN($K296)-FIND(",",$K296))),[3]Sheet1!$A:$C,3,0),"")</f>
        <v/>
      </c>
      <c r="O296" s="45" t="str">
        <f t="shared" si="16"/>
        <v/>
      </c>
      <c r="P296" s="45" t="str">
        <f t="shared" si="12"/>
        <v/>
      </c>
      <c r="Q296" s="45" t="str">
        <f t="shared" si="17"/>
        <v/>
      </c>
      <c r="R296" s="45"/>
      <c r="S296" s="45" t="str">
        <f>IF(ISERROR($Q296),"进阶+"&amp;COUNTIF($E$194:$E296,$E296)&amp;"："&amp;"找ZC配技能","进阶+"&amp;COUNTIF($E$194:$E296,$E296)&amp;"："&amp;VLOOKUP(COUNTIF($E$194:$E296,$E296),$L$184:$R$193,IF(H296=1,4,IF(H296=4,3,2))+IF(INDEX([1]Sheet1!$1:$1048576,MATCH($E296,[1]Sheet1!$A:$A,0),MATCH("zizhi",[1]Sheet1!$2:$2,0))&gt;=13,0,3),0)&amp;IF($Q296="","","（"&amp;$Q296&amp;"）"))</f>
        <v>进阶+3：攻击提高10%</v>
      </c>
      <c r="T296" s="1"/>
      <c r="U296" s="1"/>
      <c r="V296" s="2" t="str">
        <f>VLOOKUP(COUNTIF($E$194:$E296,$E296),$L$184:$X$193,IF(H296=1,4,IF(H296=4,3,2))+IF(INDEX([1]Sheet1!$1:$1048576,MATCH($E296,[1]Sheet1!$A:$A,0),MATCH("zizhi",[1]Sheet1!$2:$2,0))&gt;=13,0,3)+6,0)</f>
        <v>11050</v>
      </c>
      <c r="W296" s="2" t="str">
        <f t="shared" si="15"/>
        <v>进阶+3：攻击提高10%</v>
      </c>
      <c r="X296" s="45" t="str">
        <f t="shared" si="13"/>
        <v>11050</v>
      </c>
      <c r="Y296" s="2"/>
      <c r="Z296" s="2"/>
      <c r="AA296" s="2"/>
    </row>
    <row r="297" spans="1:27" ht="49.5">
      <c r="A297" s="10">
        <f>E297*100+COUNTIF($E$194:$E297,$E297)</f>
        <v>111904</v>
      </c>
      <c r="B297" s="68" t="s">
        <v>1862</v>
      </c>
      <c r="C297" s="50" t="s">
        <v>2</v>
      </c>
      <c r="D297" s="10">
        <f t="shared" si="18"/>
        <v>1</v>
      </c>
      <c r="E297" s="45">
        <f>INDEX($I:$I,MATCH($E296,$I:$I,0)+IF(COUNTIF($E$194:$E296,$E296)&lt;=VLOOKUP($E296,$I$134:$K$193,3,0)-1,0,1),0)</f>
        <v>1119</v>
      </c>
      <c r="F297" s="45" t="str">
        <f t="shared" si="14"/>
        <v>孙悟空</v>
      </c>
      <c r="G297" s="45" t="s">
        <v>217</v>
      </c>
      <c r="H297" s="45">
        <f>VLOOKUP($E297,[1]Sheet1!$A:$G,7,0)</f>
        <v>3</v>
      </c>
      <c r="I297" s="45" t="str">
        <f>IF($G297="","",IF(COUNTIF(技能描述!$D:$D,$F297)&gt;0,VLOOKUP($F297&amp;$G297,技能描述!$A:$C,3,0),LEFT(VLOOKUP($E297,[1]Sheet1!$A:$J,10,0),FIND("_",VLOOKUP($E297,[1]Sheet1!$A:$J,10,0))-1)&amp;$G297))</f>
        <v>sunwukong_skill04</v>
      </c>
      <c r="J297" s="45" t="str">
        <f>IF($I297="","",VLOOKUP($I297,技能描述!$A:$C,3,0))</f>
        <v>孙悟空抡起金箍棒旋转，对范围内敌人进行4次攻击，造成自身攻击力@s的物伤，必定暴击，并造成灼烧效果，持续6秒</v>
      </c>
      <c r="K297" s="45" t="str">
        <f>IF($I297="","",INDEX([2]Sheet1!$1:$1048576,MATCH($I297,[2]Sheet1!$A:$A,0),MATCH("description_damage",[2]Sheet1!$2:$2,0)))</f>
        <v>111906</v>
      </c>
      <c r="L297" s="80" t="str">
        <f>IF($K297="","",IF(LEN($K297)-LEN(SUBSTITUTE($K297,",",""))=0,VLOOKUP(INT($K297),[3]Sheet1!$A:$C,3,0),VLOOKUP(INT(LEFT($K297,FIND(",",$K297)-1)),[3]Sheet1!$A:$C,3,0)))</f>
        <v>2|1|0.41|0|0|0</v>
      </c>
      <c r="M297" s="80" t="str">
        <f t="shared" si="19"/>
        <v>41%</v>
      </c>
      <c r="N297" s="45" t="str">
        <f>IF(LEN($K297)-LEN(SUBSTITUTE($K297,",",""))=1,VLOOKUP(INT(RIGHT($K297,LEN($K297)-FIND(",",$K297))),[3]Sheet1!$A:$C,3,0),"")</f>
        <v/>
      </c>
      <c r="O297" s="45" t="str">
        <f t="shared" si="16"/>
        <v/>
      </c>
      <c r="P297" s="45" t="str">
        <f t="shared" si="12"/>
        <v>孙悟空抡起金箍棒旋转，对范围内敌人进行4次攻击，造成自身攻击力41%的物伤，必定暴击，并造成灼烧效果，持续6秒</v>
      </c>
      <c r="Q297" s="45" t="str">
        <f t="shared" si="17"/>
        <v>孙悟空抡起金箍棒旋转，对范围内敌人进行4次攻击，造成自身攻击力41%的物伤，必定暴击，并造成灼烧效果，持续6秒</v>
      </c>
      <c r="R297" s="45"/>
      <c r="S297" s="45" t="str">
        <f>IF(ISERROR($Q297),"进阶+"&amp;COUNTIF($E$194:$E297,$E297)&amp;"："&amp;"找ZC配技能","进阶+"&amp;COUNTIF($E$194:$E297,$E297)&amp;"："&amp;VLOOKUP(COUNTIF($E$194:$E297,$E297),$L$184:$R$193,IF(H297=1,4,IF(H297=4,3,2))+IF(INDEX([1]Sheet1!$1:$1048576,MATCH($E297,[1]Sheet1!$A:$A,0),MATCH("zizhi",[1]Sheet1!$2:$2,0))&gt;=13,0,3),0)&amp;IF($Q297="","","（"&amp;$Q297&amp;"）"))</f>
        <v>进阶+4：激活AI2技能（孙悟空抡起金箍棒旋转，对范围内敌人进行4次攻击，造成自身攻击力41%的物伤，必定暴击，并造成灼烧效果，持续6秒）</v>
      </c>
      <c r="T297" s="1"/>
      <c r="U297" s="1"/>
      <c r="V297" s="2" t="str">
        <f>VLOOKUP(COUNTIF($E$194:$E297,$E297),$L$184:$X$193,IF(H297=1,4,IF(H297=4,3,2))+IF(INDEX([1]Sheet1!$1:$1048576,MATCH($E297,[1]Sheet1!$A:$A,0),MATCH("zizhi",[1]Sheet1!$2:$2,0))&gt;=13,0,3)+6,0)</f>
        <v>[]</v>
      </c>
      <c r="W297" s="2" t="str">
        <f t="shared" si="15"/>
        <v>进阶+4：激活AI2技能（孙悟空抡起金箍棒旋转，对范围内敌人进行4次攻击，造成自身攻击力41%的物伤，必定暴击，并造成灼烧效果，持续6秒）</v>
      </c>
      <c r="X297" s="45" t="str">
        <f t="shared" si="13"/>
        <v>[]</v>
      </c>
      <c r="Y297" s="2"/>
      <c r="Z297" s="2"/>
      <c r="AA297" s="2"/>
    </row>
    <row r="298" spans="1:27">
      <c r="A298" s="10">
        <f>E298*100+COUNTIF($E$194:$E298,$E298)</f>
        <v>111905</v>
      </c>
      <c r="B298" s="68" t="s">
        <v>323</v>
      </c>
      <c r="C298" s="50" t="s">
        <v>140</v>
      </c>
      <c r="D298" s="10" t="str">
        <f t="shared" si="18"/>
        <v>[]</v>
      </c>
      <c r="E298" s="45">
        <f>INDEX($I:$I,MATCH($E297,$I:$I,0)+IF(COUNTIF($E$194:$E297,$E297)&lt;=VLOOKUP($E297,$I$134:$K$193,3,0)-1,0,1),0)</f>
        <v>1119</v>
      </c>
      <c r="F298" s="45" t="str">
        <f t="shared" si="14"/>
        <v>孙悟空</v>
      </c>
      <c r="H298" s="45">
        <f>VLOOKUP($E298,[1]Sheet1!$A:$G,7,0)</f>
        <v>3</v>
      </c>
      <c r="I298" s="45" t="str">
        <f>IF($G298="","",IF(COUNTIF(技能描述!$D:$D,$F298)&gt;0,VLOOKUP($F298&amp;$G298,技能描述!$A:$C,3,0),LEFT(VLOOKUP($E298,[1]Sheet1!$A:$J,10,0),FIND("_",VLOOKUP($E298,[1]Sheet1!$A:$J,10,0))-1)&amp;$G298))</f>
        <v/>
      </c>
      <c r="J298" s="45" t="str">
        <f>IF($I298="","",VLOOKUP($I298,技能描述!$A:$C,3,0))</f>
        <v/>
      </c>
      <c r="K298" s="45" t="str">
        <f>IF($I298="","",INDEX([2]Sheet1!$1:$1048576,MATCH($I298,[2]Sheet1!$A:$A,0),MATCH("description_damage",[2]Sheet1!$2:$2,0)))</f>
        <v/>
      </c>
      <c r="L298" s="80" t="str">
        <f>IF($K298="","",IF(LEN($K298)-LEN(SUBSTITUTE($K298,",",""))=0,VLOOKUP(INT($K298),[3]Sheet1!$A:$C,3,0),VLOOKUP(INT(LEFT($K298,FIND(",",$K298)-1)),[3]Sheet1!$A:$C,3,0)))</f>
        <v/>
      </c>
      <c r="M298" s="80" t="str">
        <f t="shared" si="19"/>
        <v/>
      </c>
      <c r="N298" s="45" t="str">
        <f>IF(LEN($K298)-LEN(SUBSTITUTE($K298,",",""))=1,VLOOKUP(INT(RIGHT($K298,LEN($K298)-FIND(",",$K298))),[3]Sheet1!$A:$C,3,0),"")</f>
        <v/>
      </c>
      <c r="O298" s="45" t="str">
        <f t="shared" si="16"/>
        <v/>
      </c>
      <c r="P298" s="45" t="str">
        <f t="shared" si="12"/>
        <v/>
      </c>
      <c r="Q298" s="45" t="str">
        <f t="shared" si="17"/>
        <v/>
      </c>
      <c r="R298" s="45"/>
      <c r="S298" s="45" t="str">
        <f>IF(ISERROR($Q298),"进阶+"&amp;COUNTIF($E$194:$E298,$E298)&amp;"："&amp;"找ZC配技能","进阶+"&amp;COUNTIF($E$194:$E298,$E298)&amp;"："&amp;VLOOKUP(COUNTIF($E$194:$E298,$E298),$L$184:$R$193,IF(H298=1,4,IF(H298=4,3,2))+IF(INDEX([1]Sheet1!$1:$1048576,MATCH($E298,[1]Sheet1!$A:$A,0),MATCH("zizhi",[1]Sheet1!$2:$2,0))&gt;=13,0,3),0)&amp;IF($Q298="","","（"&amp;$Q298&amp;"）"))</f>
        <v>进阶+5：生命，防御提高10%</v>
      </c>
      <c r="T298" s="1"/>
      <c r="U298" s="1"/>
      <c r="V298" s="2" t="str">
        <f>VLOOKUP(COUNTIF($E$194:$E298,$E298),$L$184:$X$193,IF(H298=1,4,IF(H298=4,3,2))+IF(INDEX([1]Sheet1!$1:$1048576,MATCH($E298,[1]Sheet1!$A:$A,0),MATCH("zizhi",[1]Sheet1!$2:$2,0))&gt;=13,0,3)+6,0)</f>
        <v>11090,6502,6512</v>
      </c>
      <c r="W298" s="2" t="str">
        <f t="shared" si="15"/>
        <v>进阶+5：生命，防御提高10%</v>
      </c>
      <c r="X298" s="45" t="str">
        <f t="shared" si="13"/>
        <v>11090,6502,6512</v>
      </c>
      <c r="Y298" s="2"/>
      <c r="Z298" s="2"/>
      <c r="AA298" s="2"/>
    </row>
    <row r="299" spans="1:27" ht="49.5">
      <c r="A299" s="10">
        <f>E299*100+COUNTIF($E$194:$E299,$E299)</f>
        <v>111906</v>
      </c>
      <c r="B299" s="68" t="s">
        <v>2002</v>
      </c>
      <c r="C299" s="50" t="s">
        <v>2</v>
      </c>
      <c r="D299" s="10">
        <f t="shared" si="18"/>
        <v>1</v>
      </c>
      <c r="E299" s="45">
        <f>INDEX($I:$I,MATCH($E298,$I:$I,0)+IF(COUNTIF($E$194:$E298,$E298)&lt;=VLOOKUP($E298,$I$134:$K$193,3,0)-1,0,1),0)</f>
        <v>1119</v>
      </c>
      <c r="F299" s="45" t="str">
        <f t="shared" si="14"/>
        <v>孙悟空</v>
      </c>
      <c r="G299" s="45" t="s">
        <v>218</v>
      </c>
      <c r="H299" s="45">
        <f>VLOOKUP($E299,[1]Sheet1!$A:$G,7,0)</f>
        <v>3</v>
      </c>
      <c r="I299" s="45" t="str">
        <f>IF($G299="","",IF(COUNTIF(技能描述!$D:$D,$F299)&gt;0,VLOOKUP($F299&amp;$G299,技能描述!$A:$C,3,0),LEFT(VLOOKUP($E299,[1]Sheet1!$A:$J,10,0),FIND("_",VLOOKUP($E299,[1]Sheet1!$A:$J,10,0))-1)&amp;$G299))</f>
        <v>sunwukong_skill011</v>
      </c>
      <c r="J299" s="45" t="str">
        <f>IF($I299="","",VLOOKUP($I299,技能描述!$A:$C,3,0))</f>
        <v>召唤齐天大圣之魂，对范围内敌人造成4次主角攻击力@s的物伤，每次有21%的概率昏迷敌人3秒，对灼烧状态目标攻击伤害提升20%，对减防状态目标无视其20%闪避</v>
      </c>
      <c r="K299" s="45" t="str">
        <f>IF($I299="","",INDEX([2]Sheet1!$1:$1048576,MATCH($I299,[2]Sheet1!$A:$A,0),MATCH("description_damage",[2]Sheet1!$2:$2,0)))</f>
        <v>111907</v>
      </c>
      <c r="L299" s="80" t="str">
        <f>IF($K299="","",IF(LEN($K299)-LEN(SUBSTITUTE($K299,",",""))=0,VLOOKUP(INT($K299),[3]Sheet1!$A:$C,3,0),VLOOKUP(INT(LEFT($K299,FIND(",",$K299)-1)),[3]Sheet1!$A:$C,3,0)))</f>
        <v>2|1|0.99|0|0|0</v>
      </c>
      <c r="M299" s="80" t="str">
        <f t="shared" si="19"/>
        <v>99%</v>
      </c>
      <c r="N299" s="45" t="str">
        <f>IF(LEN($K299)-LEN(SUBSTITUTE($K299,",",""))=1,VLOOKUP(INT(RIGHT($K299,LEN($K299)-FIND(",",$K299))),[3]Sheet1!$A:$C,3,0),"")</f>
        <v/>
      </c>
      <c r="O299" s="45" t="str">
        <f t="shared" si="16"/>
        <v/>
      </c>
      <c r="P299" s="45" t="str">
        <f t="shared" si="12"/>
        <v>召唤齐天大圣之魂，对范围内敌人造成4次主角攻击力99%的物伤，每次有21%的概率昏迷敌人3秒，对灼烧状态目标攻击伤害提升20%，对减防状态目标无视其20%闪避</v>
      </c>
      <c r="Q299" s="45" t="str">
        <f t="shared" si="17"/>
        <v>召唤齐天大圣之魂，对范围内敌人造成4次主角攻击力99%的物伤，每次有21%的概率昏迷敌人3秒，对灼烧状态目标攻击伤害提升20%，对减防状态目标无视其20%闪避</v>
      </c>
      <c r="R299" s="45"/>
      <c r="S299" s="45" t="str">
        <f>IF(ISERROR($Q299),"进阶+"&amp;COUNTIF($E$194:$E299,$E299)&amp;"："&amp;"找ZC配技能","进阶+"&amp;COUNTIF($E$194:$E299,$E299)&amp;"："&amp;VLOOKUP(COUNTIF($E$194:$E299,$E299),$L$184:$R$193,IF(H299=1,4,IF(H299=4,3,2))+IF(INDEX([1]Sheet1!$1:$1048576,MATCH($E299,[1]Sheet1!$A:$A,0),MATCH("zizhi",[1]Sheet1!$2:$2,0))&gt;=13,0,3),0)&amp;IF($Q299="","","（"&amp;$Q299&amp;"）"))</f>
        <v>进阶+6：增强主角技能（召唤齐天大圣之魂，对范围内敌人造成4次主角攻击力99%的物伤，每次有21%的概率昏迷敌人3秒，对灼烧状态目标攻击伤害提升20%，对减防状态目标无视其20%闪避）</v>
      </c>
      <c r="T299" s="1"/>
      <c r="U299" s="1"/>
      <c r="V299" s="2" t="str">
        <f>VLOOKUP(COUNTIF($E$194:$E299,$E299),$L$184:$X$193,IF(H299=1,4,IF(H299=4,3,2))+IF(INDEX([1]Sheet1!$1:$1048576,MATCH($E299,[1]Sheet1!$A:$A,0),MATCH("zizhi",[1]Sheet1!$2:$2,0))&gt;=13,0,3)+6,0)</f>
        <v>[]</v>
      </c>
      <c r="W299" s="2" t="str">
        <f t="shared" si="15"/>
        <v>进阶+6：增强主角技能（召唤齐天大圣之魂，对范围内敌人造成4次主角攻击力99%的物伤，每次有21%的概率昏迷敌人3秒，对灼烧状态目标攻击伤害提升20%，对减防状态目标无视其20%闪避）</v>
      </c>
      <c r="X299" s="45" t="str">
        <f t="shared" si="13"/>
        <v>[]</v>
      </c>
      <c r="Y299" s="2"/>
      <c r="Z299" s="2"/>
      <c r="AA299" s="2"/>
    </row>
    <row r="300" spans="1:27">
      <c r="A300" s="10">
        <f>E300*100+COUNTIF($E$194:$E300,$E300)</f>
        <v>111907</v>
      </c>
      <c r="B300" s="68" t="s">
        <v>359</v>
      </c>
      <c r="C300" s="50" t="s">
        <v>353</v>
      </c>
      <c r="D300" s="10" t="str">
        <f t="shared" si="18"/>
        <v>[]</v>
      </c>
      <c r="E300" s="45">
        <f>INDEX($I:$I,MATCH($E299,$I:$I,0)+IF(COUNTIF($E$194:$E299,$E299)&lt;=VLOOKUP($E299,$I$134:$K$193,3,0)-1,0,1),0)</f>
        <v>1119</v>
      </c>
      <c r="F300" s="45" t="str">
        <f t="shared" si="14"/>
        <v>孙悟空</v>
      </c>
      <c r="H300" s="45">
        <f>VLOOKUP($E300,[1]Sheet1!$A:$G,7,0)</f>
        <v>3</v>
      </c>
      <c r="I300" s="45" t="str">
        <f>IF($G300="","",IF(COUNTIF(技能描述!$D:$D,$F300)&gt;0,VLOOKUP($F300&amp;$G300,技能描述!$A:$C,3,0),LEFT(VLOOKUP($E300,[1]Sheet1!$A:$J,10,0),FIND("_",VLOOKUP($E300,[1]Sheet1!$A:$J,10,0))-1)&amp;$G300))</f>
        <v/>
      </c>
      <c r="J300" s="45" t="str">
        <f>IF($I300="","",VLOOKUP($I300,技能描述!$A:$C,3,0))</f>
        <v/>
      </c>
      <c r="K300" s="45" t="str">
        <f>IF($I300="","",INDEX([2]Sheet1!$1:$1048576,MATCH($I300,[2]Sheet1!$A:$A,0),MATCH("description_damage",[2]Sheet1!$2:$2,0)))</f>
        <v/>
      </c>
      <c r="L300" s="80" t="str">
        <f>IF($K300="","",IF(LEN($K300)-LEN(SUBSTITUTE($K300,",",""))=0,VLOOKUP(INT($K300),[3]Sheet1!$A:$C,3,0),VLOOKUP(INT(LEFT($K300,FIND(",",$K300)-1)),[3]Sheet1!$A:$C,3,0)))</f>
        <v/>
      </c>
      <c r="M300" s="80" t="str">
        <f t="shared" si="19"/>
        <v/>
      </c>
      <c r="N300" s="45" t="str">
        <f>IF(LEN($K300)-LEN(SUBSTITUTE($K300,",",""))=1,VLOOKUP(INT(RIGHT($K300,LEN($K300)-FIND(",",$K300))),[3]Sheet1!$A:$C,3,0),"")</f>
        <v/>
      </c>
      <c r="O300" s="45" t="str">
        <f t="shared" si="16"/>
        <v/>
      </c>
      <c r="P300" s="45" t="str">
        <f t="shared" si="12"/>
        <v/>
      </c>
      <c r="Q300" s="45" t="str">
        <f t="shared" si="17"/>
        <v/>
      </c>
      <c r="R300" s="45"/>
      <c r="S300" s="45" t="str">
        <f>IF(ISERROR($Q300),"进阶+"&amp;COUNTIF($E$194:$E300,$E300)&amp;"："&amp;"找ZC配技能","进阶+"&amp;COUNTIF($E$194:$E300,$E300)&amp;"："&amp;VLOOKUP(COUNTIF($E$194:$E300,$E300),$L$184:$R$193,IF(H300=1,4,IF(H300=4,3,2))+IF(INDEX([1]Sheet1!$1:$1048576,MATCH($E300,[1]Sheet1!$A:$A,0),MATCH("zizhi",[1]Sheet1!$2:$2,0))&gt;=13,0,3),0)&amp;IF($Q300="","","（"&amp;$Q300&amp;"）"))</f>
        <v>进阶+7：全队攻击提高10%</v>
      </c>
      <c r="T300" s="1"/>
      <c r="U300" s="1"/>
      <c r="V300" s="2" t="str">
        <f>VLOOKUP(COUNTIF($E$194:$E300,$E300),$L$184:$X$193,IF(H300=1,4,IF(H300=4,3,2))+IF(INDEX([1]Sheet1!$1:$1048576,MATCH($E300,[1]Sheet1!$A:$A,0),MATCH("zizhi",[1]Sheet1!$2:$2,0))&gt;=13,0,3)+6,0)</f>
        <v>58010</v>
      </c>
      <c r="W300" s="2" t="str">
        <f t="shared" si="15"/>
        <v>进阶+7：全队攻击提高10%</v>
      </c>
      <c r="X300" s="45" t="str">
        <f t="shared" si="13"/>
        <v>58010</v>
      </c>
      <c r="Y300" s="2"/>
      <c r="Z300" s="2"/>
      <c r="AA300" s="2"/>
    </row>
    <row r="301" spans="1:27" ht="33">
      <c r="A301" s="10">
        <f>E301*100+COUNTIF($E$194:$E301,$E301)</f>
        <v>111908</v>
      </c>
      <c r="B301" s="68" t="s">
        <v>2003</v>
      </c>
      <c r="C301" s="50" t="s">
        <v>2</v>
      </c>
      <c r="D301" s="10">
        <f t="shared" si="18"/>
        <v>1</v>
      </c>
      <c r="E301" s="45">
        <f>INDEX($I:$I,MATCH($E300,$I:$I,0)+IF(COUNTIF($E$194:$E300,$E300)&lt;=VLOOKUP($E300,$I$134:$K$193,3,0)-1,0,1),0)</f>
        <v>1119</v>
      </c>
      <c r="F301" s="45" t="str">
        <f t="shared" si="14"/>
        <v>孙悟空</v>
      </c>
      <c r="G301" s="45" t="s">
        <v>219</v>
      </c>
      <c r="H301" s="45">
        <f>VLOOKUP($E301,[1]Sheet1!$A:$G,7,0)</f>
        <v>3</v>
      </c>
      <c r="I301" s="45" t="str">
        <f>IF($G301="","",IF(COUNTIF(技能描述!$D:$D,$F301)&gt;0,VLOOKUP($F301&amp;$G301,技能描述!$A:$C,3,0),LEFT(VLOOKUP($E301,[1]Sheet1!$A:$J,10,0),FIND("_",VLOOKUP($E301,[1]Sheet1!$A:$J,10,0))-1)&amp;$G301))</f>
        <v>sunwukong_skill021</v>
      </c>
      <c r="J301" s="45" t="str">
        <f>IF($I301="","",VLOOKUP($I301,技能描述!$A:$C,3,0))</f>
        <v>孙悟空舞棒砸地，对范围内敌人进行2次攻击，造成自身攻击力@s的物伤，并使敌人受到的伤害增加@s，持续3秒</v>
      </c>
      <c r="K301" s="45" t="str">
        <f>IF($I301="","",INDEX([2]Sheet1!$1:$1048576,MATCH($I301,[2]Sheet1!$A:$A,0),MATCH("description_damage",[2]Sheet1!$2:$2,0)))</f>
        <v>111908,9015</v>
      </c>
      <c r="L301" s="80" t="str">
        <f>IF($K301="","",IF(LEN($K301)-LEN(SUBSTITUTE($K301,",",""))=0,VLOOKUP(INT($K301),[3]Sheet1!$A:$C,3,0),VLOOKUP(INT(LEFT($K301,FIND(",",$K301)-1)),[3]Sheet1!$A:$C,3,0)))</f>
        <v>2|1|1.16|0|0|0</v>
      </c>
      <c r="M301" s="80" t="str">
        <f t="shared" si="19"/>
        <v>116%</v>
      </c>
      <c r="N301" s="45" t="str">
        <f>IF(LEN($K301)-LEN(SUBSTITUTE($K301,",",""))=1,VLOOKUP(INT(RIGHT($K301,LEN($K301)-FIND(",",$K301))),[3]Sheet1!$A:$C,3,0),"")</f>
        <v>4|3|0.15|0|1</v>
      </c>
      <c r="O301" s="45" t="str">
        <f t="shared" si="16"/>
        <v>15%</v>
      </c>
      <c r="P301" s="45" t="str">
        <f t="shared" si="12"/>
        <v>孙悟空舞棒砸地，对范围内敌人进行2次攻击，造成自身攻击力116%的物伤，并使敌人受到的伤害增加@s，持续3秒</v>
      </c>
      <c r="Q301" s="45" t="str">
        <f t="shared" si="17"/>
        <v>孙悟空舞棒砸地，对范围内敌人进行2次攻击，造成自身攻击力116%的物伤，并使敌人受到的伤害增加15%，持续3秒</v>
      </c>
      <c r="R301" s="45"/>
      <c r="S301" s="45" t="str">
        <f>IF(ISERROR($Q301),"进阶+"&amp;COUNTIF($E$194:$E301,$E301)&amp;"："&amp;"找ZC配技能","进阶+"&amp;COUNTIF($E$194:$E301,$E301)&amp;"："&amp;VLOOKUP(COUNTIF($E$194:$E301,$E301),$L$184:$R$193,IF(H301=1,4,IF(H301=4,3,2))+IF(INDEX([1]Sheet1!$1:$1048576,MATCH($E301,[1]Sheet1!$A:$A,0),MATCH("zizhi",[1]Sheet1!$2:$2,0))&gt;=13,0,3),0)&amp;IF($Q301="","","（"&amp;$Q301&amp;"）"))</f>
        <v>进阶+8：增强AI1技能（孙悟空舞棒砸地，对范围内敌人进行2次攻击，造成自身攻击力116%的物伤，并使敌人受到的伤害增加15%，持续3秒）</v>
      </c>
      <c r="T301" s="1"/>
      <c r="U301" s="1"/>
      <c r="V301" s="2" t="str">
        <f>VLOOKUP(COUNTIF($E$194:$E301,$E301),$L$184:$X$193,IF(H301=1,4,IF(H301=4,3,2))+IF(INDEX([1]Sheet1!$1:$1048576,MATCH($E301,[1]Sheet1!$A:$A,0),MATCH("zizhi",[1]Sheet1!$2:$2,0))&gt;=13,0,3)+6,0)</f>
        <v>[]</v>
      </c>
      <c r="W301" s="2" t="str">
        <f t="shared" si="15"/>
        <v>进阶+8：增强AI1技能（孙悟空舞棒砸地，对范围内敌人进行2次攻击，造成自身攻击力116%的物伤，并使敌人受到的伤害增加15%，持续3秒）</v>
      </c>
      <c r="X301" s="45" t="str">
        <f t="shared" si="13"/>
        <v>[]</v>
      </c>
      <c r="Y301" s="2"/>
      <c r="Z301" s="2"/>
      <c r="AA301" s="2"/>
    </row>
    <row r="302" spans="1:27">
      <c r="A302" s="10">
        <f>E302*100+COUNTIF($E$194:$E302,$E302)</f>
        <v>111909</v>
      </c>
      <c r="B302" s="68" t="s">
        <v>1899</v>
      </c>
      <c r="C302" s="50" t="s">
        <v>2085</v>
      </c>
      <c r="D302" s="10" t="str">
        <f t="shared" si="18"/>
        <v>[]</v>
      </c>
      <c r="E302" s="45">
        <f>INDEX($I:$I,MATCH($E301,$I:$I,0)+IF(COUNTIF($E$194:$E301,$E301)&lt;=VLOOKUP($E301,$I$134:$K$193,3,0)-1,0,1),0)</f>
        <v>1119</v>
      </c>
      <c r="F302" s="45" t="str">
        <f t="shared" si="14"/>
        <v>孙悟空</v>
      </c>
      <c r="H302" s="45">
        <f>VLOOKUP($E302,[1]Sheet1!$A:$G,7,0)</f>
        <v>3</v>
      </c>
      <c r="I302" s="45" t="str">
        <f>IF($G302="","",IF(COUNTIF(技能描述!$D:$D,$F302)&gt;0,VLOOKUP($F302&amp;$G302,技能描述!$A:$C,3,0),LEFT(VLOOKUP($E302,[1]Sheet1!$A:$J,10,0),FIND("_",VLOOKUP($E302,[1]Sheet1!$A:$J,10,0))-1)&amp;$G302))</f>
        <v/>
      </c>
      <c r="J302" s="45" t="str">
        <f>IF($I302="","",VLOOKUP($I302,技能描述!$A:$C,3,0))</f>
        <v/>
      </c>
      <c r="K302" s="45" t="str">
        <f>IF($I302="","",INDEX([2]Sheet1!$1:$1048576,MATCH($I302,[2]Sheet1!$A:$A,0),MATCH("description_damage",[2]Sheet1!$2:$2,0)))</f>
        <v/>
      </c>
      <c r="L302" s="80" t="str">
        <f>IF($K302="","",IF(LEN($K302)-LEN(SUBSTITUTE($K302,",",""))=0,VLOOKUP(INT($K302),[3]Sheet1!$A:$C,3,0),VLOOKUP(INT(LEFT($K302,FIND(",",$K302)-1)),[3]Sheet1!$A:$C,3,0)))</f>
        <v/>
      </c>
      <c r="M302" s="80" t="str">
        <f t="shared" si="19"/>
        <v/>
      </c>
      <c r="N302" s="45" t="str">
        <f>IF(LEN($K302)-LEN(SUBSTITUTE($K302,",",""))=1,VLOOKUP(INT(RIGHT($K302,LEN($K302)-FIND(",",$K302))),[3]Sheet1!$A:$C,3,0),"")</f>
        <v/>
      </c>
      <c r="O302" s="45" t="str">
        <f t="shared" si="16"/>
        <v/>
      </c>
      <c r="P302" s="45" t="str">
        <f t="shared" si="12"/>
        <v/>
      </c>
      <c r="Q302" s="45" t="str">
        <f t="shared" si="17"/>
        <v/>
      </c>
      <c r="R302" s="45"/>
      <c r="S302" s="45" t="str">
        <f>IF(ISERROR($Q302),"进阶+"&amp;COUNTIF($E$194:$E302,$E302)&amp;"："&amp;"找ZC配技能","进阶+"&amp;COUNTIF($E$194:$E302,$E302)&amp;"："&amp;VLOOKUP(COUNTIF($E$194:$E302,$E302),$L$184:$R$193,IF(H302=1,4,IF(H302=4,3,2))+IF(INDEX([1]Sheet1!$1:$1048576,MATCH($E302,[1]Sheet1!$A:$A,0),MATCH("zizhi",[1]Sheet1!$2:$2,0))&gt;=13,0,3),0)&amp;IF($Q302="","","（"&amp;$Q302&amp;"）"))</f>
        <v>进阶+9：全队攻击提高15%</v>
      </c>
      <c r="T302" s="1"/>
      <c r="U302" s="1"/>
      <c r="V302" s="2" t="str">
        <f>VLOOKUP(COUNTIF($E$194:$E302,$E302),$L$184:$X$193,IF(H302=1,4,IF(H302=4,3,2))+IF(INDEX([1]Sheet1!$1:$1048576,MATCH($E302,[1]Sheet1!$A:$A,0),MATCH("zizhi",[1]Sheet1!$2:$2,0))&gt;=13,0,3)+6,0)</f>
        <v>58015</v>
      </c>
      <c r="W302" s="2" t="str">
        <f t="shared" si="15"/>
        <v>进阶+9：全队攻击提高15%</v>
      </c>
      <c r="X302" s="45" t="str">
        <f t="shared" si="13"/>
        <v>58015</v>
      </c>
      <c r="Y302" s="2"/>
      <c r="Z302" s="2"/>
      <c r="AA302" s="2"/>
    </row>
    <row r="303" spans="1:27" ht="49.5">
      <c r="A303" s="10">
        <f>E303*100+COUNTIF($E$194:$E303,$E303)</f>
        <v>111910</v>
      </c>
      <c r="B303" s="68" t="s">
        <v>1909</v>
      </c>
      <c r="C303" s="50" t="s">
        <v>2</v>
      </c>
      <c r="D303" s="10">
        <f t="shared" si="18"/>
        <v>1</v>
      </c>
      <c r="E303" s="45">
        <f>INDEX($I:$I,MATCH($E302,$I:$I,0)+IF(COUNTIF($E$194:$E302,$E302)&lt;=VLOOKUP($E302,$I$134:$K$193,3,0)-1,0,1),0)</f>
        <v>1119</v>
      </c>
      <c r="F303" s="45" t="str">
        <f t="shared" si="14"/>
        <v>孙悟空</v>
      </c>
      <c r="G303" s="45" t="s">
        <v>220</v>
      </c>
      <c r="H303" s="45">
        <f>VLOOKUP($E303,[1]Sheet1!$A:$G,7,0)</f>
        <v>3</v>
      </c>
      <c r="I303" s="45" t="str">
        <f>IF($G303="","",IF(COUNTIF(技能描述!$D:$D,$F303)&gt;0,VLOOKUP($F303&amp;$G303,技能描述!$A:$C,3,0),LEFT(VLOOKUP($E303,[1]Sheet1!$A:$J,10,0),FIND("_",VLOOKUP($E303,[1]Sheet1!$A:$J,10,0))-1)&amp;$G303))</f>
        <v>sunwukong_skill041</v>
      </c>
      <c r="J303" s="45" t="str">
        <f>IF($I303="","",VLOOKUP($I303,技能描述!$A:$C,3,0))</f>
        <v>孙悟空抡起金箍棒旋转，对范围内敌人进行4次攻击，造成自身攻击力@s的物伤，必定暴击，并造成灼烧效果，持续6秒</v>
      </c>
      <c r="K303" s="45" t="str">
        <f>IF($I303="","",INDEX([2]Sheet1!$1:$1048576,MATCH($I303,[2]Sheet1!$A:$A,0),MATCH("description_damage",[2]Sheet1!$2:$2,0)))</f>
        <v>111909</v>
      </c>
      <c r="L303" s="80" t="str">
        <f>IF($K303="","",IF(LEN($K303)-LEN(SUBSTITUTE($K303,",",""))=0,VLOOKUP(INT($K303),[3]Sheet1!$A:$C,3,0),VLOOKUP(INT(LEFT($K303,FIND(",",$K303)-1)),[3]Sheet1!$A:$C,3,0)))</f>
        <v>2|1|0.58|0|0|0</v>
      </c>
      <c r="M303" s="80" t="str">
        <f t="shared" si="19"/>
        <v>58%</v>
      </c>
      <c r="N303" s="45" t="str">
        <f>IF(LEN($K303)-LEN(SUBSTITUTE($K303,",",""))=1,VLOOKUP(INT(RIGHT($K303,LEN($K303)-FIND(",",$K303))),[3]Sheet1!$A:$C,3,0),"")</f>
        <v/>
      </c>
      <c r="O303" s="45" t="str">
        <f t="shared" si="16"/>
        <v/>
      </c>
      <c r="P303" s="45" t="str">
        <f t="shared" si="12"/>
        <v>孙悟空抡起金箍棒旋转，对范围内敌人进行4次攻击，造成自身攻击力58%的物伤，必定暴击，并造成灼烧效果，持续6秒</v>
      </c>
      <c r="Q303" s="45" t="str">
        <f t="shared" si="17"/>
        <v>孙悟空抡起金箍棒旋转，对范围内敌人进行4次攻击，造成自身攻击力58%的物伤，必定暴击，并造成灼烧效果，持续6秒</v>
      </c>
      <c r="R303" s="45"/>
      <c r="S303" s="45" t="str">
        <f>IF(ISERROR($Q303),"进阶+"&amp;COUNTIF($E$194:$E303,$E303)&amp;"："&amp;"找ZC配技能","进阶+"&amp;COUNTIF($E$194:$E303,$E303)&amp;"："&amp;VLOOKUP(COUNTIF($E$194:$E303,$E303),$L$184:$R$193,IF(H303=1,4,IF(H303=4,3,2))+IF(INDEX([1]Sheet1!$1:$1048576,MATCH($E303,[1]Sheet1!$A:$A,0),MATCH("zizhi",[1]Sheet1!$2:$2,0))&gt;=13,0,3),0)&amp;IF($Q303="","","（"&amp;$Q303&amp;"）"))</f>
        <v>进阶+10：增强AI2技能（孙悟空抡起金箍棒旋转，对范围内敌人进行4次攻击，造成自身攻击力58%的物伤，必定暴击，并造成灼烧效果，持续6秒）</v>
      </c>
      <c r="T303" s="1"/>
      <c r="U303" s="1"/>
      <c r="V303" s="2" t="str">
        <f>VLOOKUP(COUNTIF($E$194:$E303,$E303),$L$184:$X$193,IF(H303=1,4,IF(H303=4,3,2))+IF(INDEX([1]Sheet1!$1:$1048576,MATCH($E303,[1]Sheet1!$A:$A,0),MATCH("zizhi",[1]Sheet1!$2:$2,0))&gt;=13,0,3)+6,0)</f>
        <v>[]</v>
      </c>
      <c r="W303" s="2" t="str">
        <f t="shared" si="15"/>
        <v>进阶+10：增强AI2技能（孙悟空抡起金箍棒旋转，对范围内敌人进行4次攻击，造成自身攻击力58%的物伤，必定暴击，并造成灼烧效果，持续6秒）</v>
      </c>
      <c r="X303" s="45" t="str">
        <f t="shared" si="13"/>
        <v>[]</v>
      </c>
      <c r="Y303" s="2"/>
      <c r="Z303" s="2"/>
      <c r="AA303" s="2"/>
    </row>
    <row r="304" spans="1:27">
      <c r="A304" s="10">
        <f>E304*100+COUNTIF($E$194:$E304,$E304)</f>
        <v>110501</v>
      </c>
      <c r="B304" s="68" t="s">
        <v>310</v>
      </c>
      <c r="C304" s="50" t="s">
        <v>127</v>
      </c>
      <c r="D304" s="10" t="str">
        <f t="shared" si="18"/>
        <v>[]</v>
      </c>
      <c r="E304" s="45">
        <f>INDEX($I:$I,MATCH($E303,$I:$I,0)+IF(COUNTIF($E$194:$E303,$E303)&lt;=VLOOKUP($E303,$I$134:$K$193,3,0)-1,0,1),0)</f>
        <v>1105</v>
      </c>
      <c r="F304" s="45" t="str">
        <f t="shared" si="14"/>
        <v>王母娘娘</v>
      </c>
      <c r="H304" s="45">
        <f>VLOOKUP($E304,[1]Sheet1!$A:$G,7,0)</f>
        <v>2</v>
      </c>
      <c r="I304" s="45" t="str">
        <f>IF($G304="","",IF(COUNTIF(技能描述!$D:$D,$F304)&gt;0,VLOOKUP($F304&amp;$G304,技能描述!$A:$C,3,0),LEFT(VLOOKUP($E304,[1]Sheet1!$A:$J,10,0),FIND("_",VLOOKUP($E304,[1]Sheet1!$A:$J,10,0))-1)&amp;$G304))</f>
        <v/>
      </c>
      <c r="J304" s="45" t="str">
        <f>IF($I304="","",VLOOKUP($I304,技能描述!$A:$C,3,0))</f>
        <v/>
      </c>
      <c r="K304" s="45" t="str">
        <f>IF($I304="","",INDEX([2]Sheet1!$1:$1048576,MATCH($I304,[2]Sheet1!$A:$A,0),MATCH("description_damage",[2]Sheet1!$2:$2,0)))</f>
        <v/>
      </c>
      <c r="L304" s="80" t="str">
        <f>IF($K304="","",IF(LEN($K304)-LEN(SUBSTITUTE($K304,",",""))=0,VLOOKUP(INT($K304),[3]Sheet1!$A:$C,3,0),VLOOKUP(INT(LEFT($K304,FIND(",",$K304)-1)),[3]Sheet1!$A:$C,3,0)))</f>
        <v/>
      </c>
      <c r="M304" s="80" t="str">
        <f t="shared" si="19"/>
        <v/>
      </c>
      <c r="N304" s="45" t="str">
        <f>IF(LEN($K304)-LEN(SUBSTITUTE($K304,",",""))=1,VLOOKUP(INT(RIGHT($K304,LEN($K304)-FIND(",",$K304))),[3]Sheet1!$A:$C,3,0),"")</f>
        <v/>
      </c>
      <c r="O304" s="45" t="str">
        <f t="shared" si="16"/>
        <v/>
      </c>
      <c r="P304" s="45" t="str">
        <f t="shared" si="12"/>
        <v/>
      </c>
      <c r="Q304" s="45" t="str">
        <f t="shared" si="17"/>
        <v/>
      </c>
      <c r="R304" s="45"/>
      <c r="S304" s="45" t="str">
        <f>IF(ISERROR($Q304),"进阶+"&amp;COUNTIF($E$194:$E304,$E304)&amp;"："&amp;"找ZC配技能","进阶+"&amp;COUNTIF($E$194:$E304,$E304)&amp;"："&amp;VLOOKUP(COUNTIF($E$194:$E304,$E304),$L$184:$R$193,IF(H304=1,4,IF(H304=4,3,2))+IF(INDEX([1]Sheet1!$1:$1048576,MATCH($E304,[1]Sheet1!$A:$A,0),MATCH("zizhi",[1]Sheet1!$2:$2,0))&gt;=13,0,3),0)&amp;IF($Q304="","","（"&amp;$Q304&amp;"）"))</f>
        <v>进阶+1：攻击提高10%</v>
      </c>
      <c r="T304" s="1"/>
      <c r="U304" s="1"/>
      <c r="V304" s="2" t="str">
        <f>VLOOKUP(COUNTIF($E$194:$E304,$E304),$L$184:$X$193,IF(H304=1,4,IF(H304=4,3,2))+IF(INDEX([1]Sheet1!$1:$1048576,MATCH($E304,[1]Sheet1!$A:$A,0),MATCH("zizhi",[1]Sheet1!$2:$2,0))&gt;=13,0,3)+6,0)</f>
        <v>11050</v>
      </c>
      <c r="W304" s="2" t="str">
        <f t="shared" si="15"/>
        <v>进阶+1：攻击提高10%</v>
      </c>
      <c r="X304" s="45" t="str">
        <f t="shared" si="13"/>
        <v>11050</v>
      </c>
      <c r="Y304" s="2"/>
      <c r="Z304" s="2"/>
      <c r="AA304" s="2"/>
    </row>
    <row r="305" spans="1:27" ht="33">
      <c r="A305" s="10">
        <f>E305*100+COUNTIF($E$194:$E305,$E305)</f>
        <v>110502</v>
      </c>
      <c r="B305" s="68" t="s">
        <v>333</v>
      </c>
      <c r="C305" s="50" t="s">
        <v>2</v>
      </c>
      <c r="D305" s="10">
        <f t="shared" si="18"/>
        <v>1</v>
      </c>
      <c r="E305" s="45">
        <f>INDEX($I:$I,MATCH($E304,$I:$I,0)+IF(COUNTIF($E$194:$E304,$E304)&lt;=VLOOKUP($E304,$I$134:$K$193,3,0)-1,0,1),0)</f>
        <v>1105</v>
      </c>
      <c r="F305" s="45" t="str">
        <f t="shared" si="14"/>
        <v>王母娘娘</v>
      </c>
      <c r="G305" s="45" t="s">
        <v>216</v>
      </c>
      <c r="H305" s="45">
        <f>VLOOKUP($E305,[1]Sheet1!$A:$G,7,0)</f>
        <v>2</v>
      </c>
      <c r="I305" s="45" t="str">
        <f>IF($G305="","",IF(COUNTIF(技能描述!$D:$D,$F305)&gt;0,VLOOKUP($F305&amp;$G305,技能描述!$A:$C,3,0),LEFT(VLOOKUP($E305,[1]Sheet1!$A:$J,10,0),FIND("_",VLOOKUP($E305,[1]Sheet1!$A:$J,10,0))-1)&amp;$G305))</f>
        <v>wangmuniangniang_skill03</v>
      </c>
      <c r="J305" s="45" t="str">
        <f>IF($I305="","",VLOOKUP($I305,技能描述!$A:$C,3,0))</f>
        <v>进入战斗场景时，提升全体友军造成的伤害@s</v>
      </c>
      <c r="K305" s="45" t="str">
        <f>IF($I305="","",INDEX([2]Sheet1!$1:$1048576,MATCH($I305,[2]Sheet1!$A:$A,0),MATCH("description_damage",[2]Sheet1!$2:$2,0)))</f>
        <v>9010</v>
      </c>
      <c r="L305" s="80" t="str">
        <f>IF($K305="","",IF(LEN($K305)-LEN(SUBSTITUTE($K305,",",""))=0,VLOOKUP(INT($K305),[3]Sheet1!$A:$C,3,0),VLOOKUP(INT(LEFT($K305,FIND(",",$K305)-1)),[3]Sheet1!$A:$C,3,0)))</f>
        <v>4|3|0.1|0|1</v>
      </c>
      <c r="M305" s="80" t="str">
        <f t="shared" si="19"/>
        <v>10%</v>
      </c>
      <c r="N305" s="45" t="str">
        <f>IF(LEN($K305)-LEN(SUBSTITUTE($K305,",",""))=1,VLOOKUP(INT(RIGHT($K305,LEN($K305)-FIND(",",$K305))),[3]Sheet1!$A:$C,3,0),"")</f>
        <v/>
      </c>
      <c r="O305" s="45" t="str">
        <f t="shared" si="16"/>
        <v/>
      </c>
      <c r="P305" s="45" t="str">
        <f t="shared" si="12"/>
        <v>进入战斗场景时，提升全体友军造成的伤害10%</v>
      </c>
      <c r="Q305" s="45" t="str">
        <f t="shared" si="17"/>
        <v>进入战斗场景时，提升全体友军造成的伤害10%</v>
      </c>
      <c r="R305" s="45"/>
      <c r="S305" s="45" t="str">
        <f>IF(ISERROR($Q305),"进阶+"&amp;COUNTIF($E$194:$E305,$E305)&amp;"："&amp;"找ZC配技能","进阶+"&amp;COUNTIF($E$194:$E305,$E305)&amp;"："&amp;VLOOKUP(COUNTIF($E$194:$E305,$E305),$L$184:$R$193,IF(H305=1,4,IF(H305=4,3,2))+IF(INDEX([1]Sheet1!$1:$1048576,MATCH($E305,[1]Sheet1!$A:$A,0),MATCH("zizhi",[1]Sheet1!$2:$2,0))&gt;=13,0,3),0)&amp;IF($Q305="","","（"&amp;$Q305&amp;"）"))</f>
        <v>进阶+2：激活被动技能（进入战斗场景时，提升全体友军造成的伤害10%）</v>
      </c>
      <c r="T305" s="1"/>
      <c r="U305" s="1"/>
      <c r="V305" s="2" t="str">
        <f>VLOOKUP(COUNTIF($E$194:$E305,$E305),$L$184:$X$193,IF(H305=1,4,IF(H305=4,3,2))+IF(INDEX([1]Sheet1!$1:$1048576,MATCH($E305,[1]Sheet1!$A:$A,0),MATCH("zizhi",[1]Sheet1!$2:$2,0))&gt;=13,0,3)+6,0)</f>
        <v>[]</v>
      </c>
      <c r="W305" s="2" t="str">
        <f t="shared" si="15"/>
        <v>进阶+2：激活被动技能（进入战斗场景时，提升全体友军造成的伤害10%）</v>
      </c>
      <c r="X305" s="45" t="str">
        <f t="shared" si="13"/>
        <v>[]</v>
      </c>
      <c r="Y305" s="2"/>
      <c r="Z305" s="2"/>
      <c r="AA305" s="2"/>
    </row>
    <row r="306" spans="1:27">
      <c r="A306" s="10">
        <f>E306*100+COUNTIF($E$194:$E306,$E306)</f>
        <v>110503</v>
      </c>
      <c r="B306" s="68" t="s">
        <v>312</v>
      </c>
      <c r="C306" s="50" t="s">
        <v>127</v>
      </c>
      <c r="D306" s="10" t="str">
        <f t="shared" si="18"/>
        <v>[]</v>
      </c>
      <c r="E306" s="45">
        <f>INDEX($I:$I,MATCH($E305,$I:$I,0)+IF(COUNTIF($E$194:$E305,$E305)&lt;=VLOOKUP($E305,$I$134:$K$193,3,0)-1,0,1),0)</f>
        <v>1105</v>
      </c>
      <c r="F306" s="45" t="str">
        <f t="shared" si="14"/>
        <v>王母娘娘</v>
      </c>
      <c r="H306" s="45">
        <f>VLOOKUP($E306,[1]Sheet1!$A:$G,7,0)</f>
        <v>2</v>
      </c>
      <c r="I306" s="45" t="str">
        <f>IF($G306="","",IF(COUNTIF(技能描述!$D:$D,$F306)&gt;0,VLOOKUP($F306&amp;$G306,技能描述!$A:$C,3,0),LEFT(VLOOKUP($E306,[1]Sheet1!$A:$J,10,0),FIND("_",VLOOKUP($E306,[1]Sheet1!$A:$J,10,0))-1)&amp;$G306))</f>
        <v/>
      </c>
      <c r="J306" s="45" t="str">
        <f>IF($I306="","",VLOOKUP($I306,技能描述!$A:$C,3,0))</f>
        <v/>
      </c>
      <c r="K306" s="45" t="str">
        <f>IF($I306="","",INDEX([2]Sheet1!$1:$1048576,MATCH($I306,[2]Sheet1!$A:$A,0),MATCH("description_damage",[2]Sheet1!$2:$2,0)))</f>
        <v/>
      </c>
      <c r="L306" s="80" t="str">
        <f>IF($K306="","",IF(LEN($K306)-LEN(SUBSTITUTE($K306,",",""))=0,VLOOKUP(INT($K306),[3]Sheet1!$A:$C,3,0),VLOOKUP(INT(LEFT($K306,FIND(",",$K306)-1)),[3]Sheet1!$A:$C,3,0)))</f>
        <v/>
      </c>
      <c r="M306" s="80" t="str">
        <f t="shared" si="19"/>
        <v/>
      </c>
      <c r="N306" s="45" t="str">
        <f>IF(LEN($K306)-LEN(SUBSTITUTE($K306,",",""))=1,VLOOKUP(INT(RIGHT($K306,LEN($K306)-FIND(",",$K306))),[3]Sheet1!$A:$C,3,0),"")</f>
        <v/>
      </c>
      <c r="O306" s="45" t="str">
        <f t="shared" si="16"/>
        <v/>
      </c>
      <c r="P306" s="45" t="str">
        <f t="shared" si="12"/>
        <v/>
      </c>
      <c r="Q306" s="45" t="str">
        <f t="shared" si="17"/>
        <v/>
      </c>
      <c r="R306" s="45"/>
      <c r="S306" s="45" t="str">
        <f>IF(ISERROR($Q306),"进阶+"&amp;COUNTIF($E$194:$E306,$E306)&amp;"："&amp;"找ZC配技能","进阶+"&amp;COUNTIF($E$194:$E306,$E306)&amp;"："&amp;VLOOKUP(COUNTIF($E$194:$E306,$E306),$L$184:$R$193,IF(H306=1,4,IF(H306=4,3,2))+IF(INDEX([1]Sheet1!$1:$1048576,MATCH($E306,[1]Sheet1!$A:$A,0),MATCH("zizhi",[1]Sheet1!$2:$2,0))&gt;=13,0,3),0)&amp;IF($Q306="","","（"&amp;$Q306&amp;"）"))</f>
        <v>进阶+3：攻击提高10%</v>
      </c>
      <c r="T306" s="1"/>
      <c r="U306" s="1"/>
      <c r="V306" s="2" t="str">
        <f>VLOOKUP(COUNTIF($E$194:$E306,$E306),$L$184:$X$193,IF(H306=1,4,IF(H306=4,3,2))+IF(INDEX([1]Sheet1!$1:$1048576,MATCH($E306,[1]Sheet1!$A:$A,0),MATCH("zizhi",[1]Sheet1!$2:$2,0))&gt;=13,0,3)+6,0)</f>
        <v>11050</v>
      </c>
      <c r="W306" s="2" t="str">
        <f t="shared" si="15"/>
        <v>进阶+3：攻击提高10%</v>
      </c>
      <c r="X306" s="45" t="str">
        <f t="shared" si="13"/>
        <v>11050</v>
      </c>
      <c r="Y306" s="2"/>
      <c r="Z306" s="2"/>
      <c r="AA306" s="2"/>
    </row>
    <row r="307" spans="1:27" ht="33">
      <c r="A307" s="10">
        <f>E307*100+COUNTIF($E$194:$E307,$E307)</f>
        <v>110504</v>
      </c>
      <c r="B307" s="68" t="s">
        <v>2095</v>
      </c>
      <c r="C307" s="50" t="s">
        <v>2</v>
      </c>
      <c r="D307" s="10">
        <f t="shared" si="18"/>
        <v>1</v>
      </c>
      <c r="E307" s="45">
        <f>INDEX($I:$I,MATCH($E306,$I:$I,0)+IF(COUNTIF($E$194:$E306,$E306)&lt;=VLOOKUP($E306,$I$134:$K$193,3,0)-1,0,1),0)</f>
        <v>1105</v>
      </c>
      <c r="F307" s="45" t="str">
        <f t="shared" si="14"/>
        <v>王母娘娘</v>
      </c>
      <c r="G307" s="45" t="s">
        <v>217</v>
      </c>
      <c r="H307" s="45">
        <f>VLOOKUP($E307,[1]Sheet1!$A:$G,7,0)</f>
        <v>2</v>
      </c>
      <c r="I307" s="45" t="str">
        <f>IF($G307="","",IF(COUNTIF(技能描述!$D:$D,$F307)&gt;0,VLOOKUP($F307&amp;$G307,技能描述!$A:$C,3,0),LEFT(VLOOKUP($E307,[1]Sheet1!$A:$J,10,0),FIND("_",VLOOKUP($E307,[1]Sheet1!$A:$J,10,0))-1)&amp;$G307))</f>
        <v>wangmuniangniang_skill04</v>
      </c>
      <c r="J307" s="45" t="str">
        <f>IF($I307="","",VLOOKUP($I307,技能描述!$A:$C,3,0))</f>
        <v>王母于地面释放凤凰焚焰，对范围内敌人造成自身攻击力@s的法伤，并造成灼烧效果，持续3秒</v>
      </c>
      <c r="K307" s="45" t="str">
        <f>IF($I307="","",INDEX([2]Sheet1!$1:$1048576,MATCH($I307,[2]Sheet1!$A:$A,0),MATCH("description_damage",[2]Sheet1!$2:$2,0)))</f>
        <v>110504</v>
      </c>
      <c r="L307" s="80" t="str">
        <f>IF($K307="","",IF(LEN($K307)-LEN(SUBSTITUTE($K307,",",""))=0,VLOOKUP(INT($K307),[3]Sheet1!$A:$C,3,0),VLOOKUP(INT(LEFT($K307,FIND(",",$K307)-1)),[3]Sheet1!$A:$C,3,0)))</f>
        <v>2|2|1.65|0|0|0</v>
      </c>
      <c r="M307" s="80" t="str">
        <f t="shared" si="19"/>
        <v>165%</v>
      </c>
      <c r="N307" s="45" t="str">
        <f>IF(LEN($K307)-LEN(SUBSTITUTE($K307,",",""))=1,VLOOKUP(INT(RIGHT($K307,LEN($K307)-FIND(",",$K307))),[3]Sheet1!$A:$C,3,0),"")</f>
        <v/>
      </c>
      <c r="O307" s="45" t="str">
        <f t="shared" si="16"/>
        <v/>
      </c>
      <c r="P307" s="45" t="str">
        <f t="shared" si="12"/>
        <v>王母于地面释放凤凰焚焰，对范围内敌人造成自身攻击力165%的法伤，并造成灼烧效果，持续3秒</v>
      </c>
      <c r="Q307" s="45" t="str">
        <f t="shared" si="17"/>
        <v>王母于地面释放凤凰焚焰，对范围内敌人造成自身攻击力165%的法伤，并造成灼烧效果，持续3秒</v>
      </c>
      <c r="R307" s="45"/>
      <c r="S307" s="45" t="str">
        <f>IF(ISERROR($Q307),"进阶+"&amp;COUNTIF($E$194:$E307,$E307)&amp;"："&amp;"找ZC配技能","进阶+"&amp;COUNTIF($E$194:$E307,$E307)&amp;"："&amp;VLOOKUP(COUNTIF($E$194:$E307,$E307),$L$184:$R$193,IF(H307=1,4,IF(H307=4,3,2))+IF(INDEX([1]Sheet1!$1:$1048576,MATCH($E307,[1]Sheet1!$A:$A,0),MATCH("zizhi",[1]Sheet1!$2:$2,0))&gt;=13,0,3),0)&amp;IF($Q307="","","（"&amp;$Q307&amp;"）"))</f>
        <v>进阶+4：激活AI2技能（王母于地面释放凤凰焚焰，对范围内敌人造成自身攻击力165%的法伤，并造成灼烧效果，持续3秒）</v>
      </c>
      <c r="T307" s="1"/>
      <c r="U307" s="1"/>
      <c r="V307" s="2" t="str">
        <f>VLOOKUP(COUNTIF($E$194:$E307,$E307),$L$184:$X$193,IF(H307=1,4,IF(H307=4,3,2))+IF(INDEX([1]Sheet1!$1:$1048576,MATCH($E307,[1]Sheet1!$A:$A,0),MATCH("zizhi",[1]Sheet1!$2:$2,0))&gt;=13,0,3)+6,0)</f>
        <v>[]</v>
      </c>
      <c r="W307" s="2" t="str">
        <f t="shared" si="15"/>
        <v>进阶+4：激活AI2技能（王母于地面释放凤凰焚焰，对范围内敌人造成自身攻击力165%的法伤，并造成灼烧效果，持续3秒）</v>
      </c>
      <c r="X307" s="45" t="str">
        <f t="shared" si="13"/>
        <v>[]</v>
      </c>
      <c r="Y307" s="2"/>
      <c r="Z307" s="2"/>
      <c r="AA307" s="2"/>
    </row>
    <row r="308" spans="1:27">
      <c r="A308" s="10">
        <f>E308*100+COUNTIF($E$194:$E308,$E308)</f>
        <v>110505</v>
      </c>
      <c r="B308" s="68" t="s">
        <v>323</v>
      </c>
      <c r="C308" s="50" t="s">
        <v>140</v>
      </c>
      <c r="D308" s="10" t="str">
        <f t="shared" si="18"/>
        <v>[]</v>
      </c>
      <c r="E308" s="45">
        <f>INDEX($I:$I,MATCH($E307,$I:$I,0)+IF(COUNTIF($E$194:$E307,$E307)&lt;=VLOOKUP($E307,$I$134:$K$193,3,0)-1,0,1),0)</f>
        <v>1105</v>
      </c>
      <c r="F308" s="45" t="str">
        <f t="shared" si="14"/>
        <v>王母娘娘</v>
      </c>
      <c r="H308" s="45">
        <f>VLOOKUP($E308,[1]Sheet1!$A:$G,7,0)</f>
        <v>2</v>
      </c>
      <c r="I308" s="45" t="str">
        <f>IF($G308="","",IF(COUNTIF(技能描述!$D:$D,$F308)&gt;0,VLOOKUP($F308&amp;$G308,技能描述!$A:$C,3,0),LEFT(VLOOKUP($E308,[1]Sheet1!$A:$J,10,0),FIND("_",VLOOKUP($E308,[1]Sheet1!$A:$J,10,0))-1)&amp;$G308))</f>
        <v/>
      </c>
      <c r="J308" s="45" t="str">
        <f>IF($I308="","",VLOOKUP($I308,技能描述!$A:$C,3,0))</f>
        <v/>
      </c>
      <c r="K308" s="45" t="str">
        <f>IF($I308="","",INDEX([2]Sheet1!$1:$1048576,MATCH($I308,[2]Sheet1!$A:$A,0),MATCH("description_damage",[2]Sheet1!$2:$2,0)))</f>
        <v/>
      </c>
      <c r="L308" s="80" t="str">
        <f>IF($K308="","",IF(LEN($K308)-LEN(SUBSTITUTE($K308,",",""))=0,VLOOKUP(INT($K308),[3]Sheet1!$A:$C,3,0),VLOOKUP(INT(LEFT($K308,FIND(",",$K308)-1)),[3]Sheet1!$A:$C,3,0)))</f>
        <v/>
      </c>
      <c r="M308" s="80" t="str">
        <f t="shared" si="19"/>
        <v/>
      </c>
      <c r="N308" s="45" t="str">
        <f>IF(LEN($K308)-LEN(SUBSTITUTE($K308,",",""))=1,VLOOKUP(INT(RIGHT($K308,LEN($K308)-FIND(",",$K308))),[3]Sheet1!$A:$C,3,0),"")</f>
        <v/>
      </c>
      <c r="O308" s="45" t="str">
        <f t="shared" si="16"/>
        <v/>
      </c>
      <c r="P308" s="45" t="str">
        <f t="shared" si="12"/>
        <v/>
      </c>
      <c r="Q308" s="45" t="str">
        <f t="shared" si="17"/>
        <v/>
      </c>
      <c r="R308" s="45"/>
      <c r="S308" s="45" t="str">
        <f>IF(ISERROR($Q308),"进阶+"&amp;COUNTIF($E$194:$E308,$E308)&amp;"："&amp;"找ZC配技能","进阶+"&amp;COUNTIF($E$194:$E308,$E308)&amp;"："&amp;VLOOKUP(COUNTIF($E$194:$E308,$E308),$L$184:$R$193,IF(H308=1,4,IF(H308=4,3,2))+IF(INDEX([1]Sheet1!$1:$1048576,MATCH($E308,[1]Sheet1!$A:$A,0),MATCH("zizhi",[1]Sheet1!$2:$2,0))&gt;=13,0,3),0)&amp;IF($Q308="","","（"&amp;$Q308&amp;"）"))</f>
        <v>进阶+5：生命，防御提高10%</v>
      </c>
      <c r="T308" s="1"/>
      <c r="U308" s="1"/>
      <c r="V308" s="2" t="str">
        <f>VLOOKUP(COUNTIF($E$194:$E308,$E308),$L$184:$X$193,IF(H308=1,4,IF(H308=4,3,2))+IF(INDEX([1]Sheet1!$1:$1048576,MATCH($E308,[1]Sheet1!$A:$A,0),MATCH("zizhi",[1]Sheet1!$2:$2,0))&gt;=13,0,3)+6,0)</f>
        <v>11090,6502,6512</v>
      </c>
      <c r="W308" s="2" t="str">
        <f t="shared" si="15"/>
        <v>进阶+5：生命，防御提高10%</v>
      </c>
      <c r="X308" s="45" t="str">
        <f t="shared" si="13"/>
        <v>11090,6502,6512</v>
      </c>
      <c r="Y308" s="2"/>
      <c r="Z308" s="2"/>
      <c r="AA308" s="2"/>
    </row>
    <row r="309" spans="1:27" ht="49.5">
      <c r="A309" s="10">
        <f>E309*100+COUNTIF($E$194:$E309,$E309)</f>
        <v>110506</v>
      </c>
      <c r="B309" s="68" t="s">
        <v>2004</v>
      </c>
      <c r="C309" s="50" t="s">
        <v>2</v>
      </c>
      <c r="D309" s="10">
        <f t="shared" si="18"/>
        <v>1</v>
      </c>
      <c r="E309" s="45">
        <f>INDEX($I:$I,MATCH($E308,$I:$I,0)+IF(COUNTIF($E$194:$E308,$E308)&lt;=VLOOKUP($E308,$I$134:$K$193,3,0)-1,0,1),0)</f>
        <v>1105</v>
      </c>
      <c r="F309" s="45" t="str">
        <f t="shared" si="14"/>
        <v>王母娘娘</v>
      </c>
      <c r="G309" s="45" t="s">
        <v>218</v>
      </c>
      <c r="H309" s="45">
        <f>VLOOKUP($E309,[1]Sheet1!$A:$G,7,0)</f>
        <v>2</v>
      </c>
      <c r="I309" s="45" t="str">
        <f>IF($G309="","",IF(COUNTIF(技能描述!$D:$D,$F309)&gt;0,VLOOKUP($F309&amp;$G309,技能描述!$A:$C,3,0),LEFT(VLOOKUP($E309,[1]Sheet1!$A:$J,10,0),FIND("_",VLOOKUP($E309,[1]Sheet1!$A:$J,10,0))-1)&amp;$G309))</f>
        <v>wangmuniangniang_skill011</v>
      </c>
      <c r="J309" s="45" t="str">
        <f>IF($I309="","",VLOOKUP($I309,技能描述!$A:$C,3,0))</f>
        <v>于敌军上空释放地狱冥焰，对范围内敌人进行6次攻击，造成主角攻击力@s的法伤，并提升自身法伤@s，持续3秒，目标处于灼烧状态无视20%的法防</v>
      </c>
      <c r="K309" s="45" t="str">
        <f>IF($I309="","",INDEX([2]Sheet1!$1:$1048576,MATCH($I309,[2]Sheet1!$A:$A,0),MATCH("description_damage",[2]Sheet1!$2:$2,0)))</f>
        <v>110505,9020</v>
      </c>
      <c r="L309" s="80" t="str">
        <f>IF($K309="","",IF(LEN($K309)-LEN(SUBSTITUTE($K309,",",""))=0,VLOOKUP(INT($K309),[3]Sheet1!$A:$C,3,0),VLOOKUP(INT(LEFT($K309,FIND(",",$K309)-1)),[3]Sheet1!$A:$C,3,0)))</f>
        <v>2|2|0.66|0|0|0</v>
      </c>
      <c r="M309" s="80" t="str">
        <f t="shared" si="19"/>
        <v>66%</v>
      </c>
      <c r="N309" s="45" t="str">
        <f>IF(LEN($K309)-LEN(SUBSTITUTE($K309,",",""))=1,VLOOKUP(INT(RIGHT($K309,LEN($K309)-FIND(",",$K309))),[3]Sheet1!$A:$C,3,0),"")</f>
        <v>4|3|0.2|0|1</v>
      </c>
      <c r="O309" s="45" t="str">
        <f t="shared" si="16"/>
        <v>20%</v>
      </c>
      <c r="P309" s="45" t="str">
        <f t="shared" si="12"/>
        <v>于敌军上空释放地狱冥焰，对范围内敌人进行6次攻击，造成主角攻击力66%的法伤，并提升自身法伤@s，持续3秒，目标处于灼烧状态无视20%的法防</v>
      </c>
      <c r="Q309" s="45" t="str">
        <f t="shared" si="17"/>
        <v>于敌军上空释放地狱冥焰，对范围内敌人进行6次攻击，造成主角攻击力66%的法伤，并提升自身法伤20%，持续3秒，目标处于灼烧状态无视20%的法防</v>
      </c>
      <c r="R309" s="45"/>
      <c r="S309" s="45" t="str">
        <f>IF(ISERROR($Q309),"进阶+"&amp;COUNTIF($E$194:$E309,$E309)&amp;"："&amp;"找ZC配技能","进阶+"&amp;COUNTIF($E$194:$E309,$E309)&amp;"："&amp;VLOOKUP(COUNTIF($E$194:$E309,$E309),$L$184:$R$193,IF(H309=1,4,IF(H309=4,3,2))+IF(INDEX([1]Sheet1!$1:$1048576,MATCH($E309,[1]Sheet1!$A:$A,0),MATCH("zizhi",[1]Sheet1!$2:$2,0))&gt;=13,0,3),0)&amp;IF($Q309="","","（"&amp;$Q309&amp;"）"))</f>
        <v>进阶+6：增强主角技能（于敌军上空释放地狱冥焰，对范围内敌人进行6次攻击，造成主角攻击力66%的法伤，并提升自身法伤20%，持续3秒，目标处于灼烧状态无视20%的法防）</v>
      </c>
      <c r="T309" s="1"/>
      <c r="U309" s="1"/>
      <c r="V309" s="2" t="str">
        <f>VLOOKUP(COUNTIF($E$194:$E309,$E309),$L$184:$X$193,IF(H309=1,4,IF(H309=4,3,2))+IF(INDEX([1]Sheet1!$1:$1048576,MATCH($E309,[1]Sheet1!$A:$A,0),MATCH("zizhi",[1]Sheet1!$2:$2,0))&gt;=13,0,3)+6,0)</f>
        <v>[]</v>
      </c>
      <c r="W309" s="2" t="str">
        <f t="shared" si="15"/>
        <v>进阶+6：增强主角技能（于敌军上空释放地狱冥焰，对范围内敌人进行6次攻击，造成主角攻击力66%的法伤，并提升自身法伤20%，持续3秒，目标处于灼烧状态无视20%的法防）</v>
      </c>
      <c r="X309" s="45" t="str">
        <f t="shared" si="13"/>
        <v>[]</v>
      </c>
      <c r="Y309" s="2"/>
      <c r="Z309" s="2"/>
      <c r="AA309" s="2"/>
    </row>
    <row r="310" spans="1:27">
      <c r="A310" s="10">
        <f>E310*100+COUNTIF($E$194:$E310,$E310)</f>
        <v>110507</v>
      </c>
      <c r="B310" s="68" t="s">
        <v>359</v>
      </c>
      <c r="C310" s="50" t="s">
        <v>353</v>
      </c>
      <c r="D310" s="10" t="str">
        <f t="shared" si="18"/>
        <v>[]</v>
      </c>
      <c r="E310" s="45">
        <f>INDEX($I:$I,MATCH($E309,$I:$I,0)+IF(COUNTIF($E$194:$E309,$E309)&lt;=VLOOKUP($E309,$I$134:$K$193,3,0)-1,0,1),0)</f>
        <v>1105</v>
      </c>
      <c r="F310" s="45" t="str">
        <f t="shared" si="14"/>
        <v>王母娘娘</v>
      </c>
      <c r="H310" s="45">
        <f>VLOOKUP($E310,[1]Sheet1!$A:$G,7,0)</f>
        <v>2</v>
      </c>
      <c r="I310" s="45" t="str">
        <f>IF($G310="","",IF(COUNTIF(技能描述!$D:$D,$F310)&gt;0,VLOOKUP($F310&amp;$G310,技能描述!$A:$C,3,0),LEFT(VLOOKUP($E310,[1]Sheet1!$A:$J,10,0),FIND("_",VLOOKUP($E310,[1]Sheet1!$A:$J,10,0))-1)&amp;$G310))</f>
        <v/>
      </c>
      <c r="J310" s="45" t="str">
        <f>IF($I310="","",VLOOKUP($I310,技能描述!$A:$C,3,0))</f>
        <v/>
      </c>
      <c r="K310" s="45" t="str">
        <f>IF($I310="","",INDEX([2]Sheet1!$1:$1048576,MATCH($I310,[2]Sheet1!$A:$A,0),MATCH("description_damage",[2]Sheet1!$2:$2,0)))</f>
        <v/>
      </c>
      <c r="L310" s="80" t="str">
        <f>IF($K310="","",IF(LEN($K310)-LEN(SUBSTITUTE($K310,",",""))=0,VLOOKUP(INT($K310),[3]Sheet1!$A:$C,3,0),VLOOKUP(INT(LEFT($K310,FIND(",",$K310)-1)),[3]Sheet1!$A:$C,3,0)))</f>
        <v/>
      </c>
      <c r="M310" s="80" t="str">
        <f t="shared" si="19"/>
        <v/>
      </c>
      <c r="N310" s="45" t="str">
        <f>IF(LEN($K310)-LEN(SUBSTITUTE($K310,",",""))=1,VLOOKUP(INT(RIGHT($K310,LEN($K310)-FIND(",",$K310))),[3]Sheet1!$A:$C,3,0),"")</f>
        <v/>
      </c>
      <c r="O310" s="45" t="str">
        <f t="shared" si="16"/>
        <v/>
      </c>
      <c r="P310" s="45" t="str">
        <f t="shared" si="12"/>
        <v/>
      </c>
      <c r="Q310" s="45" t="str">
        <f t="shared" si="17"/>
        <v/>
      </c>
      <c r="R310" s="45"/>
      <c r="S310" s="45" t="str">
        <f>IF(ISERROR($Q310),"进阶+"&amp;COUNTIF($E$194:$E310,$E310)&amp;"："&amp;"找ZC配技能","进阶+"&amp;COUNTIF($E$194:$E310,$E310)&amp;"："&amp;VLOOKUP(COUNTIF($E$194:$E310,$E310),$L$184:$R$193,IF(H310=1,4,IF(H310=4,3,2))+IF(INDEX([1]Sheet1!$1:$1048576,MATCH($E310,[1]Sheet1!$A:$A,0),MATCH("zizhi",[1]Sheet1!$2:$2,0))&gt;=13,0,3),0)&amp;IF($Q310="","","（"&amp;$Q310&amp;"）"))</f>
        <v>进阶+7：全队攻击提高10%</v>
      </c>
      <c r="T310" s="1"/>
      <c r="U310" s="1"/>
      <c r="V310" s="2" t="str">
        <f>VLOOKUP(COUNTIF($E$194:$E310,$E310),$L$184:$X$193,IF(H310=1,4,IF(H310=4,3,2))+IF(INDEX([1]Sheet1!$1:$1048576,MATCH($E310,[1]Sheet1!$A:$A,0),MATCH("zizhi",[1]Sheet1!$2:$2,0))&gt;=13,0,3)+6,0)</f>
        <v>58010</v>
      </c>
      <c r="W310" s="2" t="str">
        <f t="shared" si="15"/>
        <v>进阶+7：全队攻击提高10%</v>
      </c>
      <c r="X310" s="45" t="str">
        <f t="shared" si="13"/>
        <v>58010</v>
      </c>
      <c r="Y310" s="2"/>
      <c r="Z310" s="2"/>
      <c r="AA310" s="2"/>
    </row>
    <row r="311" spans="1:27" ht="49.5">
      <c r="A311" s="10">
        <f>E311*100+COUNTIF($E$194:$E311,$E311)</f>
        <v>110508</v>
      </c>
      <c r="B311" s="68" t="s">
        <v>2005</v>
      </c>
      <c r="C311" s="50" t="s">
        <v>2</v>
      </c>
      <c r="D311" s="10">
        <f t="shared" si="18"/>
        <v>1</v>
      </c>
      <c r="E311" s="45">
        <f>INDEX($I:$I,MATCH($E310,$I:$I,0)+IF(COUNTIF($E$194:$E310,$E310)&lt;=VLOOKUP($E310,$I$134:$K$193,3,0)-1,0,1),0)</f>
        <v>1105</v>
      </c>
      <c r="F311" s="45" t="str">
        <f t="shared" si="14"/>
        <v>王母娘娘</v>
      </c>
      <c r="G311" s="45" t="s">
        <v>219</v>
      </c>
      <c r="H311" s="45">
        <f>VLOOKUP($E311,[1]Sheet1!$A:$G,7,0)</f>
        <v>2</v>
      </c>
      <c r="I311" s="45" t="str">
        <f>IF($G311="","",IF(COUNTIF(技能描述!$D:$D,$F311)&gt;0,VLOOKUP($F311&amp;$G311,技能描述!$A:$C,3,0),LEFT(VLOOKUP($E311,[1]Sheet1!$A:$J,10,0),FIND("_",VLOOKUP($E311,[1]Sheet1!$A:$J,10,0))-1)&amp;$G311))</f>
        <v>wangmuniangniang_skill021</v>
      </c>
      <c r="J311" s="45" t="str">
        <f>IF($I311="","",VLOOKUP($I311,技能描述!$A:$C,3,0))</f>
        <v>王母召唤火球释放圣洁烈焰对范围内敌人进行3次攻击，造成自身攻击力@s的法伤，并使敌人受到的伤害增加@s，持续3秒</v>
      </c>
      <c r="K311" s="45" t="str">
        <f>IF($I311="","",INDEX([2]Sheet1!$1:$1048576,MATCH($I311,[2]Sheet1!$A:$A,0),MATCH("description_damage",[2]Sheet1!$2:$2,0)))</f>
        <v>110506,9015</v>
      </c>
      <c r="L311" s="80" t="str">
        <f>IF($K311="","",IF(LEN($K311)-LEN(SUBSTITUTE($K311,",",""))=0,VLOOKUP(INT($K311),[3]Sheet1!$A:$C,3,0),VLOOKUP(INT(LEFT($K311,FIND(",",$K311)-1)),[3]Sheet1!$A:$C,3,0)))</f>
        <v>2|2|0.77|0|0|0</v>
      </c>
      <c r="M311" s="80" t="str">
        <f t="shared" si="19"/>
        <v>77%</v>
      </c>
      <c r="N311" s="45" t="str">
        <f>IF(LEN($K311)-LEN(SUBSTITUTE($K311,",",""))=1,VLOOKUP(INT(RIGHT($K311,LEN($K311)-FIND(",",$K311))),[3]Sheet1!$A:$C,3,0),"")</f>
        <v>4|3|0.15|0|1</v>
      </c>
      <c r="O311" s="45" t="str">
        <f t="shared" si="16"/>
        <v>15%</v>
      </c>
      <c r="P311" s="45" t="str">
        <f t="shared" si="12"/>
        <v>王母召唤火球释放圣洁烈焰对范围内敌人进行3次攻击，造成自身攻击力77%的法伤，并使敌人受到的伤害增加@s，持续3秒</v>
      </c>
      <c r="Q311" s="45" t="str">
        <f t="shared" si="17"/>
        <v>王母召唤火球释放圣洁烈焰对范围内敌人进行3次攻击，造成自身攻击力77%的法伤，并使敌人受到的伤害增加15%，持续3秒</v>
      </c>
      <c r="R311" s="45"/>
      <c r="S311" s="45" t="str">
        <f>IF(ISERROR($Q311),"进阶+"&amp;COUNTIF($E$194:$E311,$E311)&amp;"："&amp;"找ZC配技能","进阶+"&amp;COUNTIF($E$194:$E311,$E311)&amp;"："&amp;VLOOKUP(COUNTIF($E$194:$E311,$E311),$L$184:$R$193,IF(H311=1,4,IF(H311=4,3,2))+IF(INDEX([1]Sheet1!$1:$1048576,MATCH($E311,[1]Sheet1!$A:$A,0),MATCH("zizhi",[1]Sheet1!$2:$2,0))&gt;=13,0,3),0)&amp;IF($Q311="","","（"&amp;$Q311&amp;"）"))</f>
        <v>进阶+8：增强AI1技能（王母召唤火球释放圣洁烈焰对范围内敌人进行3次攻击，造成自身攻击力77%的法伤，并使敌人受到的伤害增加15%，持续3秒）</v>
      </c>
      <c r="T311" s="1"/>
      <c r="U311" s="1"/>
      <c r="V311" s="2" t="str">
        <f>VLOOKUP(COUNTIF($E$194:$E311,$E311),$L$184:$X$193,IF(H311=1,4,IF(H311=4,3,2))+IF(INDEX([1]Sheet1!$1:$1048576,MATCH($E311,[1]Sheet1!$A:$A,0),MATCH("zizhi",[1]Sheet1!$2:$2,0))&gt;=13,0,3)+6,0)</f>
        <v>[]</v>
      </c>
      <c r="W311" s="2" t="str">
        <f t="shared" si="15"/>
        <v>进阶+8：增强AI1技能（王母召唤火球释放圣洁烈焰对范围内敌人进行3次攻击，造成自身攻击力77%的法伤，并使敌人受到的伤害增加15%，持续3秒）</v>
      </c>
      <c r="X311" s="45" t="str">
        <f t="shared" si="13"/>
        <v>[]</v>
      </c>
      <c r="Y311" s="2"/>
      <c r="Z311" s="2"/>
      <c r="AA311" s="2"/>
    </row>
    <row r="312" spans="1:27">
      <c r="A312" s="10">
        <f>E312*100+COUNTIF($E$194:$E312,$E312)</f>
        <v>110509</v>
      </c>
      <c r="B312" s="68" t="s">
        <v>1899</v>
      </c>
      <c r="C312" s="50" t="s">
        <v>2085</v>
      </c>
      <c r="D312" s="10" t="str">
        <f t="shared" si="18"/>
        <v>[]</v>
      </c>
      <c r="E312" s="45">
        <f>INDEX($I:$I,MATCH($E311,$I:$I,0)+IF(COUNTIF($E$194:$E311,$E311)&lt;=VLOOKUP($E311,$I$134:$K$193,3,0)-1,0,1),0)</f>
        <v>1105</v>
      </c>
      <c r="F312" s="45" t="str">
        <f t="shared" si="14"/>
        <v>王母娘娘</v>
      </c>
      <c r="H312" s="45">
        <f>VLOOKUP($E312,[1]Sheet1!$A:$G,7,0)</f>
        <v>2</v>
      </c>
      <c r="I312" s="45" t="str">
        <f>IF($G312="","",IF(COUNTIF(技能描述!$D:$D,$F312)&gt;0,VLOOKUP($F312&amp;$G312,技能描述!$A:$C,3,0),LEFT(VLOOKUP($E312,[1]Sheet1!$A:$J,10,0),FIND("_",VLOOKUP($E312,[1]Sheet1!$A:$J,10,0))-1)&amp;$G312))</f>
        <v/>
      </c>
      <c r="J312" s="45" t="str">
        <f>IF($I312="","",VLOOKUP($I312,技能描述!$A:$C,3,0))</f>
        <v/>
      </c>
      <c r="K312" s="45" t="str">
        <f>IF($I312="","",INDEX([2]Sheet1!$1:$1048576,MATCH($I312,[2]Sheet1!$A:$A,0),MATCH("description_damage",[2]Sheet1!$2:$2,0)))</f>
        <v/>
      </c>
      <c r="L312" s="80" t="str">
        <f>IF($K312="","",IF(LEN($K312)-LEN(SUBSTITUTE($K312,",",""))=0,VLOOKUP(INT($K312),[3]Sheet1!$A:$C,3,0),VLOOKUP(INT(LEFT($K312,FIND(",",$K312)-1)),[3]Sheet1!$A:$C,3,0)))</f>
        <v/>
      </c>
      <c r="M312" s="80" t="str">
        <f t="shared" si="19"/>
        <v/>
      </c>
      <c r="N312" s="45" t="str">
        <f>IF(LEN($K312)-LEN(SUBSTITUTE($K312,",",""))=1,VLOOKUP(INT(RIGHT($K312,LEN($K312)-FIND(",",$K312))),[3]Sheet1!$A:$C,3,0),"")</f>
        <v/>
      </c>
      <c r="O312" s="45" t="str">
        <f t="shared" si="16"/>
        <v/>
      </c>
      <c r="P312" s="45" t="str">
        <f t="shared" si="12"/>
        <v/>
      </c>
      <c r="Q312" s="45" t="str">
        <f t="shared" si="17"/>
        <v/>
      </c>
      <c r="R312" s="45"/>
      <c r="S312" s="45" t="str">
        <f>IF(ISERROR($Q312),"进阶+"&amp;COUNTIF($E$194:$E312,$E312)&amp;"："&amp;"找ZC配技能","进阶+"&amp;COUNTIF($E$194:$E312,$E312)&amp;"："&amp;VLOOKUP(COUNTIF($E$194:$E312,$E312),$L$184:$R$193,IF(H312=1,4,IF(H312=4,3,2))+IF(INDEX([1]Sheet1!$1:$1048576,MATCH($E312,[1]Sheet1!$A:$A,0),MATCH("zizhi",[1]Sheet1!$2:$2,0))&gt;=13,0,3),0)&amp;IF($Q312="","","（"&amp;$Q312&amp;"）"))</f>
        <v>进阶+9：全队攻击提高15%</v>
      </c>
      <c r="T312" s="1"/>
      <c r="U312" s="1"/>
      <c r="V312" s="2" t="str">
        <f>VLOOKUP(COUNTIF($E$194:$E312,$E312),$L$184:$X$193,IF(H312=1,4,IF(H312=4,3,2))+IF(INDEX([1]Sheet1!$1:$1048576,MATCH($E312,[1]Sheet1!$A:$A,0),MATCH("zizhi",[1]Sheet1!$2:$2,0))&gt;=13,0,3)+6,0)</f>
        <v>58015</v>
      </c>
      <c r="W312" s="2" t="str">
        <f t="shared" si="15"/>
        <v>进阶+9：全队攻击提高15%</v>
      </c>
      <c r="X312" s="45" t="str">
        <f t="shared" si="13"/>
        <v>58015</v>
      </c>
      <c r="Y312" s="2"/>
      <c r="Z312" s="2"/>
      <c r="AA312" s="2"/>
    </row>
    <row r="313" spans="1:27" ht="33">
      <c r="A313" s="10">
        <f>E313*100+COUNTIF($E$194:$E313,$E313)</f>
        <v>110510</v>
      </c>
      <c r="B313" s="68" t="s">
        <v>1910</v>
      </c>
      <c r="C313" s="50" t="s">
        <v>2</v>
      </c>
      <c r="D313" s="10">
        <f t="shared" si="18"/>
        <v>1</v>
      </c>
      <c r="E313" s="45">
        <f>INDEX($I:$I,MATCH($E312,$I:$I,0)+IF(COUNTIF($E$194:$E312,$E312)&lt;=VLOOKUP($E312,$I$134:$K$193,3,0)-1,0,1),0)</f>
        <v>1105</v>
      </c>
      <c r="F313" s="45" t="str">
        <f t="shared" si="14"/>
        <v>王母娘娘</v>
      </c>
      <c r="G313" s="45" t="s">
        <v>220</v>
      </c>
      <c r="H313" s="45">
        <f>VLOOKUP($E313,[1]Sheet1!$A:$G,7,0)</f>
        <v>2</v>
      </c>
      <c r="I313" s="45" t="str">
        <f>IF($G313="","",IF(COUNTIF(技能描述!$D:$D,$F313)&gt;0,VLOOKUP($F313&amp;$G313,技能描述!$A:$C,3,0),LEFT(VLOOKUP($E313,[1]Sheet1!$A:$J,10,0),FIND("_",VLOOKUP($E313,[1]Sheet1!$A:$J,10,0))-1)&amp;$G313))</f>
        <v>wangmuniangniang_skill041</v>
      </c>
      <c r="J313" s="45" t="str">
        <f>IF($I313="","",VLOOKUP($I313,技能描述!$A:$C,3,0))</f>
        <v>王母于地面释放凤凰焚焰，对范围内敌人造成自身攻击力@s的法伤，并造成灼烧效果，持续6秒</v>
      </c>
      <c r="K313" s="45" t="str">
        <f>IF($I313="","",INDEX([2]Sheet1!$1:$1048576,MATCH($I313,[2]Sheet1!$A:$A,0),MATCH("description_damage",[2]Sheet1!$2:$2,0)))</f>
        <v>110507</v>
      </c>
      <c r="L313" s="80" t="str">
        <f>IF($K313="","",IF(LEN($K313)-LEN(SUBSTITUTE($K313,",",""))=0,VLOOKUP(INT($K313),[3]Sheet1!$A:$C,3,0),VLOOKUP(INT(LEFT($K313,FIND(",",$K313)-1)),[3]Sheet1!$A:$C,3,0)))</f>
        <v>2|2|2.31|0|0|0</v>
      </c>
      <c r="M313" s="80" t="str">
        <f t="shared" si="19"/>
        <v>231%</v>
      </c>
      <c r="N313" s="45" t="str">
        <f>IF(LEN($K313)-LEN(SUBSTITUTE($K313,",",""))=1,VLOOKUP(INT(RIGHT($K313,LEN($K313)-FIND(",",$K313))),[3]Sheet1!$A:$C,3,0),"")</f>
        <v/>
      </c>
      <c r="O313" s="45" t="str">
        <f t="shared" si="16"/>
        <v/>
      </c>
      <c r="P313" s="45" t="str">
        <f t="shared" si="12"/>
        <v>王母于地面释放凤凰焚焰，对范围内敌人造成自身攻击力231%的法伤，并造成灼烧效果，持续6秒</v>
      </c>
      <c r="Q313" s="45" t="str">
        <f t="shared" si="17"/>
        <v>王母于地面释放凤凰焚焰，对范围内敌人造成自身攻击力231%的法伤，并造成灼烧效果，持续6秒</v>
      </c>
      <c r="R313" s="45"/>
      <c r="S313" s="45" t="str">
        <f>IF(ISERROR($Q313),"进阶+"&amp;COUNTIF($E$194:$E313,$E313)&amp;"："&amp;"找ZC配技能","进阶+"&amp;COUNTIF($E$194:$E313,$E313)&amp;"："&amp;VLOOKUP(COUNTIF($E$194:$E313,$E313),$L$184:$R$193,IF(H313=1,4,IF(H313=4,3,2))+IF(INDEX([1]Sheet1!$1:$1048576,MATCH($E313,[1]Sheet1!$A:$A,0),MATCH("zizhi",[1]Sheet1!$2:$2,0))&gt;=13,0,3),0)&amp;IF($Q313="","","（"&amp;$Q313&amp;"）"))</f>
        <v>进阶+10：增强AI2技能（王母于地面释放凤凰焚焰，对范围内敌人造成自身攻击力231%的法伤，并造成灼烧效果，持续6秒）</v>
      </c>
      <c r="T313" s="1"/>
      <c r="U313" s="1"/>
      <c r="V313" s="2" t="str">
        <f>VLOOKUP(COUNTIF($E$194:$E313,$E313),$L$184:$X$193,IF(H313=1,4,IF(H313=4,3,2))+IF(INDEX([1]Sheet1!$1:$1048576,MATCH($E313,[1]Sheet1!$A:$A,0),MATCH("zizhi",[1]Sheet1!$2:$2,0))&gt;=13,0,3)+6,0)</f>
        <v>[]</v>
      </c>
      <c r="W313" s="2" t="str">
        <f t="shared" si="15"/>
        <v>进阶+10：增强AI2技能（王母于地面释放凤凰焚焰，对范围内敌人造成自身攻击力231%的法伤，并造成灼烧效果，持续6秒）</v>
      </c>
      <c r="X313" s="45" t="str">
        <f t="shared" si="13"/>
        <v>[]</v>
      </c>
      <c r="Y313" s="2"/>
      <c r="Z313" s="2"/>
      <c r="AA313" s="2"/>
    </row>
    <row r="314" spans="1:27">
      <c r="A314" s="10">
        <f>E314*100+COUNTIF($E$194:$E314,$E314)</f>
        <v>121801</v>
      </c>
      <c r="B314" s="68" t="s">
        <v>310</v>
      </c>
      <c r="C314" s="50" t="s">
        <v>127</v>
      </c>
      <c r="D314" s="10" t="str">
        <f t="shared" si="18"/>
        <v>[]</v>
      </c>
      <c r="E314" s="45">
        <f>INDEX($I:$I,MATCH($E313,$I:$I,0)+IF(COUNTIF($E$194:$E313,$E313)&lt;=VLOOKUP($E313,$I$134:$K$193,3,0)-1,0,1),0)</f>
        <v>1218</v>
      </c>
      <c r="F314" s="45" t="str">
        <f t="shared" si="14"/>
        <v>白无常</v>
      </c>
      <c r="H314" s="45">
        <f>VLOOKUP($E314,[1]Sheet1!$A:$G,7,0)</f>
        <v>2</v>
      </c>
      <c r="I314" s="45" t="str">
        <f>IF($G314="","",IF(COUNTIF(技能描述!$D:$D,$F314)&gt;0,VLOOKUP($F314&amp;$G314,技能描述!$A:$C,3,0),LEFT(VLOOKUP($E314,[1]Sheet1!$A:$J,10,0),FIND("_",VLOOKUP($E314,[1]Sheet1!$A:$J,10,0))-1)&amp;$G314))</f>
        <v/>
      </c>
      <c r="J314" s="45" t="str">
        <f>IF($I314="","",VLOOKUP($I314,技能描述!$A:$C,3,0))</f>
        <v/>
      </c>
      <c r="K314" s="45" t="str">
        <f>IF($I314="","",INDEX([2]Sheet1!$1:$1048576,MATCH($I314,[2]Sheet1!$A:$A,0),MATCH("description_damage",[2]Sheet1!$2:$2,0)))</f>
        <v/>
      </c>
      <c r="L314" s="80" t="str">
        <f>IF($K314="","",IF(LEN($K314)-LEN(SUBSTITUTE($K314,",",""))=0,VLOOKUP(INT($K314),[3]Sheet1!$A:$C,3,0),VLOOKUP(INT(LEFT($K314,FIND(",",$K314)-1)),[3]Sheet1!$A:$C,3,0)))</f>
        <v/>
      </c>
      <c r="M314" s="80" t="str">
        <f t="shared" si="19"/>
        <v/>
      </c>
      <c r="N314" s="45" t="str">
        <f>IF(LEN($K314)-LEN(SUBSTITUTE($K314,",",""))=1,VLOOKUP(INT(RIGHT($K314,LEN($K314)-FIND(",",$K314))),[3]Sheet1!$A:$C,3,0),"")</f>
        <v/>
      </c>
      <c r="O314" s="45" t="str">
        <f t="shared" si="16"/>
        <v/>
      </c>
      <c r="P314" s="45" t="str">
        <f t="shared" si="12"/>
        <v/>
      </c>
      <c r="Q314" s="45" t="str">
        <f t="shared" si="17"/>
        <v/>
      </c>
      <c r="R314" s="45"/>
      <c r="S314" s="45" t="str">
        <f>IF(ISERROR($Q314),"进阶+"&amp;COUNTIF($E$194:$E314,$E314)&amp;"："&amp;"找ZC配技能","进阶+"&amp;COUNTIF($E$194:$E314,$E314)&amp;"："&amp;VLOOKUP(COUNTIF($E$194:$E314,$E314),$L$184:$R$193,IF(H314=1,4,IF(H314=4,3,2))+IF(INDEX([1]Sheet1!$1:$1048576,MATCH($E314,[1]Sheet1!$A:$A,0),MATCH("zizhi",[1]Sheet1!$2:$2,0))&gt;=13,0,3),0)&amp;IF($Q314="","","（"&amp;$Q314&amp;"）"))</f>
        <v>进阶+1：攻击提高10%</v>
      </c>
      <c r="T314" s="1"/>
      <c r="U314" s="1"/>
      <c r="V314" s="2" t="str">
        <f>VLOOKUP(COUNTIF($E$194:$E314,$E314),$L$184:$X$193,IF(H314=1,4,IF(H314=4,3,2))+IF(INDEX([1]Sheet1!$1:$1048576,MATCH($E314,[1]Sheet1!$A:$A,0),MATCH("zizhi",[1]Sheet1!$2:$2,0))&gt;=13,0,3)+6,0)</f>
        <v>11050</v>
      </c>
      <c r="W314" s="2" t="str">
        <f t="shared" si="15"/>
        <v>进阶+1：攻击提高10%</v>
      </c>
      <c r="X314" s="45" t="str">
        <f t="shared" si="13"/>
        <v>11050</v>
      </c>
      <c r="Y314" s="2"/>
      <c r="Z314" s="2"/>
      <c r="AA314" s="2"/>
    </row>
    <row r="315" spans="1:27">
      <c r="A315" s="10">
        <f>E315*100+COUNTIF($E$194:$E315,$E315)</f>
        <v>121802</v>
      </c>
      <c r="B315" s="68" t="s">
        <v>334</v>
      </c>
      <c r="C315" s="50" t="s">
        <v>2</v>
      </c>
      <c r="D315" s="10">
        <f t="shared" si="18"/>
        <v>1</v>
      </c>
      <c r="E315" s="45">
        <f>INDEX($I:$I,MATCH($E314,$I:$I,0)+IF(COUNTIF($E$194:$E314,$E314)&lt;=VLOOKUP($E314,$I$134:$K$193,3,0)-1,0,1),0)</f>
        <v>1218</v>
      </c>
      <c r="F315" s="45" t="str">
        <f t="shared" si="14"/>
        <v>白无常</v>
      </c>
      <c r="G315" s="45" t="s">
        <v>216</v>
      </c>
      <c r="H315" s="45">
        <f>VLOOKUP($E315,[1]Sheet1!$A:$G,7,0)</f>
        <v>2</v>
      </c>
      <c r="I315" s="45" t="str">
        <f>IF($G315="","",IF(COUNTIF(技能描述!$D:$D,$F315)&gt;0,VLOOKUP($F315&amp;$G315,技能描述!$A:$C,3,0),LEFT(VLOOKUP($E315,[1]Sheet1!$A:$J,10,0),FIND("_",VLOOKUP($E315,[1]Sheet1!$A:$J,10,0))-1)&amp;$G315))</f>
        <v>baiwuchang_skill03</v>
      </c>
      <c r="J315" s="45" t="str">
        <f>IF($I315="","",VLOOKUP($I315,技能描述!$A:$C,3,0))</f>
        <v>进入战斗场景时，提升自身造成的伤害@s</v>
      </c>
      <c r="K315" s="45" t="str">
        <f>IF($I315="","",INDEX([2]Sheet1!$1:$1048576,MATCH($I315,[2]Sheet1!$A:$A,0),MATCH("description_damage",[2]Sheet1!$2:$2,0)))</f>
        <v>9010</v>
      </c>
      <c r="L315" s="80" t="str">
        <f>IF($K315="","",IF(LEN($K315)-LEN(SUBSTITUTE($K315,",",""))=0,VLOOKUP(INT($K315),[3]Sheet1!$A:$C,3,0),VLOOKUP(INT(LEFT($K315,FIND(",",$K315)-1)),[3]Sheet1!$A:$C,3,0)))</f>
        <v>4|3|0.1|0|1</v>
      </c>
      <c r="M315" s="80" t="str">
        <f t="shared" si="19"/>
        <v>10%</v>
      </c>
      <c r="N315" s="45" t="str">
        <f>IF(LEN($K315)-LEN(SUBSTITUTE($K315,",",""))=1,VLOOKUP(INT(RIGHT($K315,LEN($K315)-FIND(",",$K315))),[3]Sheet1!$A:$C,3,0),"")</f>
        <v/>
      </c>
      <c r="O315" s="45" t="str">
        <f t="shared" si="16"/>
        <v/>
      </c>
      <c r="P315" s="45" t="str">
        <f t="shared" si="12"/>
        <v>进入战斗场景时，提升自身造成的伤害10%</v>
      </c>
      <c r="Q315" s="45" t="str">
        <f t="shared" si="17"/>
        <v>进入战斗场景时，提升自身造成的伤害10%</v>
      </c>
      <c r="R315" s="45"/>
      <c r="S315" s="45" t="str">
        <f>IF(ISERROR($Q315),"进阶+"&amp;COUNTIF($E$194:$E315,$E315)&amp;"："&amp;"找ZC配技能","进阶+"&amp;COUNTIF($E$194:$E315,$E315)&amp;"："&amp;VLOOKUP(COUNTIF($E$194:$E315,$E315),$L$184:$R$193,IF(H315=1,4,IF(H315=4,3,2))+IF(INDEX([1]Sheet1!$1:$1048576,MATCH($E315,[1]Sheet1!$A:$A,0),MATCH("zizhi",[1]Sheet1!$2:$2,0))&gt;=13,0,3),0)&amp;IF($Q315="","","（"&amp;$Q315&amp;"）"))</f>
        <v>进阶+2：激活被动技能（进入战斗场景时，提升自身造成的伤害10%）</v>
      </c>
      <c r="T315" s="1"/>
      <c r="U315" s="1"/>
      <c r="V315" s="2" t="str">
        <f>VLOOKUP(COUNTIF($E$194:$E315,$E315),$L$184:$X$193,IF(H315=1,4,IF(H315=4,3,2))+IF(INDEX([1]Sheet1!$1:$1048576,MATCH($E315,[1]Sheet1!$A:$A,0),MATCH("zizhi",[1]Sheet1!$2:$2,0))&gt;=13,0,3)+6,0)</f>
        <v>[]</v>
      </c>
      <c r="W315" s="2" t="str">
        <f t="shared" si="15"/>
        <v>进阶+2：激活被动技能（进入战斗场景时，提升自身造成的伤害10%）</v>
      </c>
      <c r="X315" s="45" t="str">
        <f t="shared" si="13"/>
        <v>[]</v>
      </c>
      <c r="Y315" s="2"/>
      <c r="Z315" s="2"/>
      <c r="AA315" s="2"/>
    </row>
    <row r="316" spans="1:27">
      <c r="A316" s="10">
        <f>E316*100+COUNTIF($E$194:$E316,$E316)</f>
        <v>121803</v>
      </c>
      <c r="B316" s="68" t="s">
        <v>312</v>
      </c>
      <c r="C316" s="50" t="s">
        <v>127</v>
      </c>
      <c r="D316" s="10" t="str">
        <f t="shared" si="18"/>
        <v>[]</v>
      </c>
      <c r="E316" s="45">
        <f>INDEX($I:$I,MATCH($E315,$I:$I,0)+IF(COUNTIF($E$194:$E315,$E315)&lt;=VLOOKUP($E315,$I$134:$K$193,3,0)-1,0,1),0)</f>
        <v>1218</v>
      </c>
      <c r="F316" s="45" t="str">
        <f t="shared" si="14"/>
        <v>白无常</v>
      </c>
      <c r="H316" s="45">
        <f>VLOOKUP($E316,[1]Sheet1!$A:$G,7,0)</f>
        <v>2</v>
      </c>
      <c r="I316" s="45" t="str">
        <f>IF($G316="","",IF(COUNTIF(技能描述!$D:$D,$F316)&gt;0,VLOOKUP($F316&amp;$G316,技能描述!$A:$C,3,0),LEFT(VLOOKUP($E316,[1]Sheet1!$A:$J,10,0),FIND("_",VLOOKUP($E316,[1]Sheet1!$A:$J,10,0))-1)&amp;$G316))</f>
        <v/>
      </c>
      <c r="J316" s="45" t="str">
        <f>IF($I316="","",VLOOKUP($I316,技能描述!$A:$C,3,0))</f>
        <v/>
      </c>
      <c r="K316" s="45" t="str">
        <f>IF($I316="","",INDEX([2]Sheet1!$1:$1048576,MATCH($I316,[2]Sheet1!$A:$A,0),MATCH("description_damage",[2]Sheet1!$2:$2,0)))</f>
        <v/>
      </c>
      <c r="L316" s="80" t="str">
        <f>IF($K316="","",IF(LEN($K316)-LEN(SUBSTITUTE($K316,",",""))=0,VLOOKUP(INT($K316),[3]Sheet1!$A:$C,3,0),VLOOKUP(INT(LEFT($K316,FIND(",",$K316)-1)),[3]Sheet1!$A:$C,3,0)))</f>
        <v/>
      </c>
      <c r="M316" s="80" t="str">
        <f t="shared" si="19"/>
        <v/>
      </c>
      <c r="N316" s="45" t="str">
        <f>IF(LEN($K316)-LEN(SUBSTITUTE($K316,",",""))=1,VLOOKUP(INT(RIGHT($K316,LEN($K316)-FIND(",",$K316))),[3]Sheet1!$A:$C,3,0),"")</f>
        <v/>
      </c>
      <c r="O316" s="45" t="str">
        <f t="shared" si="16"/>
        <v/>
      </c>
      <c r="P316" s="45" t="str">
        <f t="shared" si="12"/>
        <v/>
      </c>
      <c r="Q316" s="45" t="str">
        <f t="shared" si="17"/>
        <v/>
      </c>
      <c r="R316" s="45"/>
      <c r="S316" s="45" t="str">
        <f>IF(ISERROR($Q316),"进阶+"&amp;COUNTIF($E$194:$E316,$E316)&amp;"："&amp;"找ZC配技能","进阶+"&amp;COUNTIF($E$194:$E316,$E316)&amp;"："&amp;VLOOKUP(COUNTIF($E$194:$E316,$E316),$L$184:$R$193,IF(H316=1,4,IF(H316=4,3,2))+IF(INDEX([1]Sheet1!$1:$1048576,MATCH($E316,[1]Sheet1!$A:$A,0),MATCH("zizhi",[1]Sheet1!$2:$2,0))&gt;=13,0,3),0)&amp;IF($Q316="","","（"&amp;$Q316&amp;"）"))</f>
        <v>进阶+3：攻击提高10%</v>
      </c>
      <c r="T316" s="1"/>
      <c r="U316" s="1"/>
      <c r="V316" s="2" t="str">
        <f>VLOOKUP(COUNTIF($E$194:$E316,$E316),$L$184:$X$193,IF(H316=1,4,IF(H316=4,3,2))+IF(INDEX([1]Sheet1!$1:$1048576,MATCH($E316,[1]Sheet1!$A:$A,0),MATCH("zizhi",[1]Sheet1!$2:$2,0))&gt;=13,0,3)+6,0)</f>
        <v>11050</v>
      </c>
      <c r="W316" s="2" t="str">
        <f t="shared" si="15"/>
        <v>进阶+3：攻击提高10%</v>
      </c>
      <c r="X316" s="45" t="str">
        <f t="shared" si="13"/>
        <v>11050</v>
      </c>
      <c r="Y316" s="2"/>
      <c r="Z316" s="2"/>
      <c r="AA316" s="2"/>
    </row>
    <row r="317" spans="1:27" ht="49.5">
      <c r="A317" s="10">
        <f>E317*100+COUNTIF($E$194:$E317,$E317)</f>
        <v>121804</v>
      </c>
      <c r="B317" s="68" t="s">
        <v>1863</v>
      </c>
      <c r="C317" s="50" t="s">
        <v>2</v>
      </c>
      <c r="D317" s="10">
        <f t="shared" si="18"/>
        <v>1</v>
      </c>
      <c r="E317" s="45">
        <f>INDEX($I:$I,MATCH($E316,$I:$I,0)+IF(COUNTIF($E$194:$E316,$E316)&lt;=VLOOKUP($E316,$I$134:$K$193,3,0)-1,0,1),0)</f>
        <v>1218</v>
      </c>
      <c r="F317" s="45" t="str">
        <f t="shared" si="14"/>
        <v>白无常</v>
      </c>
      <c r="G317" s="45" t="s">
        <v>217</v>
      </c>
      <c r="H317" s="45">
        <f>VLOOKUP($E317,[1]Sheet1!$A:$G,7,0)</f>
        <v>2</v>
      </c>
      <c r="I317" s="45" t="str">
        <f>IF($G317="","",IF(COUNTIF(技能描述!$D:$D,$F317)&gt;0,VLOOKUP($F317&amp;$G317,技能描述!$A:$C,3,0),LEFT(VLOOKUP($E317,[1]Sheet1!$A:$J,10,0),FIND("_",VLOOKUP($E317,[1]Sheet1!$A:$J,10,0))-1)&amp;$G317))</f>
        <v>baiwuchang_skill04</v>
      </c>
      <c r="J317" s="45" t="str">
        <f>IF($I317="","",VLOOKUP($I317,技能描述!$A:$C,3,0))</f>
        <v>白无常将噬魂幡插入地面释放咒法，对范围内敌人进行7次攻击,造成自身攻击力@s的法伤，同时提升自身暴击@s,持续3秒</v>
      </c>
      <c r="K317" s="45" t="str">
        <f>IF($I317="","",INDEX([2]Sheet1!$1:$1048576,MATCH($I317,[2]Sheet1!$A:$A,0),MATCH("description_damage",[2]Sheet1!$2:$2,0)))</f>
        <v>121806,9010</v>
      </c>
      <c r="L317" s="80" t="str">
        <f>IF($K317="","",IF(LEN($K317)-LEN(SUBSTITUTE($K317,",",""))=0,VLOOKUP(INT($K317),[3]Sheet1!$A:$C,3,0),VLOOKUP(INT(LEFT($K317,FIND(",",$K317)-1)),[3]Sheet1!$A:$C,3,0)))</f>
        <v>2|2|0.21|0|0|0</v>
      </c>
      <c r="M317" s="80" t="str">
        <f t="shared" si="19"/>
        <v>21%</v>
      </c>
      <c r="N317" s="45" t="str">
        <f>IF(LEN($K317)-LEN(SUBSTITUTE($K317,",",""))=1,VLOOKUP(INT(RIGHT($K317,LEN($K317)-FIND(",",$K317))),[3]Sheet1!$A:$C,3,0),"")</f>
        <v>4|3|0.1|0|1</v>
      </c>
      <c r="O317" s="45" t="str">
        <f t="shared" si="16"/>
        <v>10%</v>
      </c>
      <c r="P317" s="45" t="str">
        <f t="shared" si="12"/>
        <v>白无常将噬魂幡插入地面释放咒法，对范围内敌人进行7次攻击,造成自身攻击力21%的法伤，同时提升自身暴击@s,持续3秒</v>
      </c>
      <c r="Q317" s="45" t="str">
        <f t="shared" si="17"/>
        <v>白无常将噬魂幡插入地面释放咒法，对范围内敌人进行7次攻击,造成自身攻击力21%的法伤，同时提升自身暴击10%,持续3秒</v>
      </c>
      <c r="R317" s="45"/>
      <c r="S317" s="45" t="str">
        <f>IF(ISERROR($Q317),"进阶+"&amp;COUNTIF($E$194:$E317,$E317)&amp;"："&amp;"找ZC配技能","进阶+"&amp;COUNTIF($E$194:$E317,$E317)&amp;"："&amp;VLOOKUP(COUNTIF($E$194:$E317,$E317),$L$184:$R$193,IF(H317=1,4,IF(H317=4,3,2))+IF(INDEX([1]Sheet1!$1:$1048576,MATCH($E317,[1]Sheet1!$A:$A,0),MATCH("zizhi",[1]Sheet1!$2:$2,0))&gt;=13,0,3),0)&amp;IF($Q317="","","（"&amp;$Q317&amp;"）"))</f>
        <v>进阶+4：激活AI2技能（白无常将噬魂幡插入地面释放咒法，对范围内敌人进行7次攻击,造成自身攻击力21%的法伤，同时提升自身暴击10%,持续3秒）</v>
      </c>
      <c r="T317" s="1"/>
      <c r="U317" s="1"/>
      <c r="V317" s="2" t="str">
        <f>VLOOKUP(COUNTIF($E$194:$E317,$E317),$L$184:$X$193,IF(H317=1,4,IF(H317=4,3,2))+IF(INDEX([1]Sheet1!$1:$1048576,MATCH($E317,[1]Sheet1!$A:$A,0),MATCH("zizhi",[1]Sheet1!$2:$2,0))&gt;=13,0,3)+6,0)</f>
        <v>[]</v>
      </c>
      <c r="W317" s="2" t="str">
        <f t="shared" si="15"/>
        <v>进阶+4：激活AI2技能（白无常将噬魂幡插入地面释放咒法，对范围内敌人进行7次攻击,造成自身攻击力21%的法伤，同时提升自身暴击10%,持续3秒）</v>
      </c>
      <c r="X317" s="45" t="str">
        <f t="shared" si="13"/>
        <v>[]</v>
      </c>
      <c r="Y317" s="2"/>
      <c r="Z317" s="2"/>
      <c r="AA317" s="2"/>
    </row>
    <row r="318" spans="1:27">
      <c r="A318" s="10">
        <f>E318*100+COUNTIF($E$194:$E318,$E318)</f>
        <v>121805</v>
      </c>
      <c r="B318" s="68" t="s">
        <v>323</v>
      </c>
      <c r="C318" s="50" t="s">
        <v>140</v>
      </c>
      <c r="D318" s="10" t="str">
        <f t="shared" si="18"/>
        <v>[]</v>
      </c>
      <c r="E318" s="45">
        <f>INDEX($I:$I,MATCH($E317,$I:$I,0)+IF(COUNTIF($E$194:$E317,$E317)&lt;=VLOOKUP($E317,$I$134:$K$193,3,0)-1,0,1),0)</f>
        <v>1218</v>
      </c>
      <c r="F318" s="45" t="str">
        <f t="shared" si="14"/>
        <v>白无常</v>
      </c>
      <c r="H318" s="45">
        <f>VLOOKUP($E318,[1]Sheet1!$A:$G,7,0)</f>
        <v>2</v>
      </c>
      <c r="I318" s="45" t="str">
        <f>IF($G318="","",IF(COUNTIF(技能描述!$D:$D,$F318)&gt;0,VLOOKUP($F318&amp;$G318,技能描述!$A:$C,3,0),LEFT(VLOOKUP($E318,[1]Sheet1!$A:$J,10,0),FIND("_",VLOOKUP($E318,[1]Sheet1!$A:$J,10,0))-1)&amp;$G318))</f>
        <v/>
      </c>
      <c r="J318" s="45" t="str">
        <f>IF($I318="","",VLOOKUP($I318,技能描述!$A:$C,3,0))</f>
        <v/>
      </c>
      <c r="K318" s="45" t="str">
        <f>IF($I318="","",INDEX([2]Sheet1!$1:$1048576,MATCH($I318,[2]Sheet1!$A:$A,0),MATCH("description_damage",[2]Sheet1!$2:$2,0)))</f>
        <v/>
      </c>
      <c r="L318" s="80" t="str">
        <f>IF($K318="","",IF(LEN($K318)-LEN(SUBSTITUTE($K318,",",""))=0,VLOOKUP(INT($K318),[3]Sheet1!$A:$C,3,0),VLOOKUP(INT(LEFT($K318,FIND(",",$K318)-1)),[3]Sheet1!$A:$C,3,0)))</f>
        <v/>
      </c>
      <c r="M318" s="80" t="str">
        <f t="shared" si="19"/>
        <v/>
      </c>
      <c r="N318" s="45" t="str">
        <f>IF(LEN($K318)-LEN(SUBSTITUTE($K318,",",""))=1,VLOOKUP(INT(RIGHT($K318,LEN($K318)-FIND(",",$K318))),[3]Sheet1!$A:$C,3,0),"")</f>
        <v/>
      </c>
      <c r="O318" s="45" t="str">
        <f t="shared" si="16"/>
        <v/>
      </c>
      <c r="P318" s="45" t="str">
        <f t="shared" si="12"/>
        <v/>
      </c>
      <c r="Q318" s="45" t="str">
        <f t="shared" si="17"/>
        <v/>
      </c>
      <c r="R318" s="45"/>
      <c r="S318" s="45" t="str">
        <f>IF(ISERROR($Q318),"进阶+"&amp;COUNTIF($E$194:$E318,$E318)&amp;"："&amp;"找ZC配技能","进阶+"&amp;COUNTIF($E$194:$E318,$E318)&amp;"："&amp;VLOOKUP(COUNTIF($E$194:$E318,$E318),$L$184:$R$193,IF(H318=1,4,IF(H318=4,3,2))+IF(INDEX([1]Sheet1!$1:$1048576,MATCH($E318,[1]Sheet1!$A:$A,0),MATCH("zizhi",[1]Sheet1!$2:$2,0))&gt;=13,0,3),0)&amp;IF($Q318="","","（"&amp;$Q318&amp;"）"))</f>
        <v>进阶+5：生命，防御提高10%</v>
      </c>
      <c r="T318" s="1"/>
      <c r="U318" s="1"/>
      <c r="V318" s="2" t="str">
        <f>VLOOKUP(COUNTIF($E$194:$E318,$E318),$L$184:$X$193,IF(H318=1,4,IF(H318=4,3,2))+IF(INDEX([1]Sheet1!$1:$1048576,MATCH($E318,[1]Sheet1!$A:$A,0),MATCH("zizhi",[1]Sheet1!$2:$2,0))&gt;=13,0,3)+6,0)</f>
        <v>11090,6502,6512</v>
      </c>
      <c r="W318" s="2" t="str">
        <f t="shared" si="15"/>
        <v>进阶+5：生命，防御提高10%</v>
      </c>
      <c r="X318" s="45" t="str">
        <f t="shared" si="13"/>
        <v>11090,6502,6512</v>
      </c>
      <c r="Y318" s="2"/>
      <c r="Z318" s="2"/>
      <c r="AA318" s="2"/>
    </row>
    <row r="319" spans="1:27" ht="33">
      <c r="A319" s="10">
        <f>E319*100+COUNTIF($E$194:$E319,$E319)</f>
        <v>121806</v>
      </c>
      <c r="B319" s="68" t="s">
        <v>2006</v>
      </c>
      <c r="C319" s="50" t="s">
        <v>2</v>
      </c>
      <c r="D319" s="10">
        <f t="shared" si="18"/>
        <v>1</v>
      </c>
      <c r="E319" s="45">
        <f>INDEX($I:$I,MATCH($E318,$I:$I,0)+IF(COUNTIF($E$194:$E318,$E318)&lt;=VLOOKUP($E318,$I$134:$K$193,3,0)-1,0,1),0)</f>
        <v>1218</v>
      </c>
      <c r="F319" s="45" t="str">
        <f t="shared" si="14"/>
        <v>白无常</v>
      </c>
      <c r="G319" s="45" t="s">
        <v>218</v>
      </c>
      <c r="H319" s="45">
        <f>VLOOKUP($E319,[1]Sheet1!$A:$G,7,0)</f>
        <v>2</v>
      </c>
      <c r="I319" s="45" t="str">
        <f>IF($G319="","",IF(COUNTIF(技能描述!$D:$D,$F319)&gt;0,VLOOKUP($F319&amp;$G319,技能描述!$A:$C,3,0),LEFT(VLOOKUP($E319,[1]Sheet1!$A:$J,10,0),FIND("_",VLOOKUP($E319,[1]Sheet1!$A:$J,10,0))-1)&amp;$G319))</f>
        <v>baiwuchang_skill011</v>
      </c>
      <c r="J319" s="45" t="str">
        <f>IF($I319="","",VLOOKUP($I319,技能描述!$A:$C,3,0))</f>
        <v>释放噬魂幡咒法攻击敌军，对范围内敌人造成主角攻击力@s的法伤,造成高级流血状态6秒</v>
      </c>
      <c r="K319" s="45" t="str">
        <f>IF($I319="","",INDEX([2]Sheet1!$1:$1048576,MATCH($I319,[2]Sheet1!$A:$A,0),MATCH("description_damage",[2]Sheet1!$2:$2,0)))</f>
        <v>121807</v>
      </c>
      <c r="L319" s="80" t="str">
        <f>IF($K319="","",IF(LEN($K319)-LEN(SUBSTITUTE($K319,",",""))=0,VLOOKUP(INT($K319),[3]Sheet1!$A:$C,3,0),VLOOKUP(INT(LEFT($K319,FIND(",",$K319)-1)),[3]Sheet1!$A:$C,3,0)))</f>
        <v>2|2|6|0|0|0</v>
      </c>
      <c r="M319" s="80" t="str">
        <f t="shared" si="19"/>
        <v>600%</v>
      </c>
      <c r="N319" s="45" t="str">
        <f>IF(LEN($K319)-LEN(SUBSTITUTE($K319,",",""))=1,VLOOKUP(INT(RIGHT($K319,LEN($K319)-FIND(",",$K319))),[3]Sheet1!$A:$C,3,0),"")</f>
        <v/>
      </c>
      <c r="O319" s="45" t="str">
        <f t="shared" si="16"/>
        <v/>
      </c>
      <c r="P319" s="45" t="str">
        <f t="shared" si="12"/>
        <v>释放噬魂幡咒法攻击敌军，对范围内敌人造成主角攻击力600%的法伤,造成高级流血状态6秒</v>
      </c>
      <c r="Q319" s="45" t="str">
        <f t="shared" si="17"/>
        <v>释放噬魂幡咒法攻击敌军，对范围内敌人造成主角攻击力600%的法伤,造成高级流血状态6秒</v>
      </c>
      <c r="R319" s="45"/>
      <c r="S319" s="45" t="str">
        <f>IF(ISERROR($Q319),"进阶+"&amp;COUNTIF($E$194:$E319,$E319)&amp;"："&amp;"找ZC配技能","进阶+"&amp;COUNTIF($E$194:$E319,$E319)&amp;"："&amp;VLOOKUP(COUNTIF($E$194:$E319,$E319),$L$184:$R$193,IF(H319=1,4,IF(H319=4,3,2))+IF(INDEX([1]Sheet1!$1:$1048576,MATCH($E319,[1]Sheet1!$A:$A,0),MATCH("zizhi",[1]Sheet1!$2:$2,0))&gt;=13,0,3),0)&amp;IF($Q319="","","（"&amp;$Q319&amp;"）"))</f>
        <v>进阶+6：增强主角技能（释放噬魂幡咒法攻击敌军，对范围内敌人造成主角攻击力600%的法伤,造成高级流血状态6秒）</v>
      </c>
      <c r="T319" s="1"/>
      <c r="U319" s="1"/>
      <c r="V319" s="2" t="str">
        <f>VLOOKUP(COUNTIF($E$194:$E319,$E319),$L$184:$X$193,IF(H319=1,4,IF(H319=4,3,2))+IF(INDEX([1]Sheet1!$1:$1048576,MATCH($E319,[1]Sheet1!$A:$A,0),MATCH("zizhi",[1]Sheet1!$2:$2,0))&gt;=13,0,3)+6,0)</f>
        <v>[]</v>
      </c>
      <c r="W319" s="2" t="str">
        <f t="shared" si="15"/>
        <v>进阶+6：增强主角技能（释放噬魂幡咒法攻击敌军，对范围内敌人造成主角攻击力600%的法伤,造成高级流血状态6秒）</v>
      </c>
      <c r="X319" s="45" t="str">
        <f t="shared" si="13"/>
        <v>[]</v>
      </c>
      <c r="Y319" s="2"/>
      <c r="Z319" s="2"/>
      <c r="AA319" s="2"/>
    </row>
    <row r="320" spans="1:27">
      <c r="A320" s="10">
        <f>E320*100+COUNTIF($E$194:$E320,$E320)</f>
        <v>121807</v>
      </c>
      <c r="B320" s="68" t="s">
        <v>359</v>
      </c>
      <c r="C320" s="50" t="s">
        <v>353</v>
      </c>
      <c r="D320" s="10" t="str">
        <f t="shared" si="18"/>
        <v>[]</v>
      </c>
      <c r="E320" s="45">
        <f>INDEX($I:$I,MATCH($E319,$I:$I,0)+IF(COUNTIF($E$194:$E319,$E319)&lt;=VLOOKUP($E319,$I$134:$K$193,3,0)-1,0,1),0)</f>
        <v>1218</v>
      </c>
      <c r="F320" s="45" t="str">
        <f t="shared" si="14"/>
        <v>白无常</v>
      </c>
      <c r="H320" s="45">
        <f>VLOOKUP($E320,[1]Sheet1!$A:$G,7,0)</f>
        <v>2</v>
      </c>
      <c r="I320" s="45" t="str">
        <f>IF($G320="","",IF(COUNTIF(技能描述!$D:$D,$F320)&gt;0,VLOOKUP($F320&amp;$G320,技能描述!$A:$C,3,0),LEFT(VLOOKUP($E320,[1]Sheet1!$A:$J,10,0),FIND("_",VLOOKUP($E320,[1]Sheet1!$A:$J,10,0))-1)&amp;$G320))</f>
        <v/>
      </c>
      <c r="J320" s="45" t="str">
        <f>IF($I320="","",VLOOKUP($I320,技能描述!$A:$C,3,0))</f>
        <v/>
      </c>
      <c r="K320" s="45" t="str">
        <f>IF($I320="","",INDEX([2]Sheet1!$1:$1048576,MATCH($I320,[2]Sheet1!$A:$A,0),MATCH("description_damage",[2]Sheet1!$2:$2,0)))</f>
        <v/>
      </c>
      <c r="L320" s="80" t="str">
        <f>IF($K320="","",IF(LEN($K320)-LEN(SUBSTITUTE($K320,",",""))=0,VLOOKUP(INT($K320),[3]Sheet1!$A:$C,3,0),VLOOKUP(INT(LEFT($K320,FIND(",",$K320)-1)),[3]Sheet1!$A:$C,3,0)))</f>
        <v/>
      </c>
      <c r="M320" s="80" t="str">
        <f t="shared" si="19"/>
        <v/>
      </c>
      <c r="N320" s="45" t="str">
        <f>IF(LEN($K320)-LEN(SUBSTITUTE($K320,",",""))=1,VLOOKUP(INT(RIGHT($K320,LEN($K320)-FIND(",",$K320))),[3]Sheet1!$A:$C,3,0),"")</f>
        <v/>
      </c>
      <c r="O320" s="45" t="str">
        <f t="shared" si="16"/>
        <v/>
      </c>
      <c r="P320" s="45" t="str">
        <f t="shared" si="12"/>
        <v/>
      </c>
      <c r="Q320" s="45" t="str">
        <f t="shared" si="17"/>
        <v/>
      </c>
      <c r="R320" s="45"/>
      <c r="S320" s="45" t="str">
        <f>IF(ISERROR($Q320),"进阶+"&amp;COUNTIF($E$194:$E320,$E320)&amp;"："&amp;"找ZC配技能","进阶+"&amp;COUNTIF($E$194:$E320,$E320)&amp;"："&amp;VLOOKUP(COUNTIF($E$194:$E320,$E320),$L$184:$R$193,IF(H320=1,4,IF(H320=4,3,2))+IF(INDEX([1]Sheet1!$1:$1048576,MATCH($E320,[1]Sheet1!$A:$A,0),MATCH("zizhi",[1]Sheet1!$2:$2,0))&gt;=13,0,3),0)&amp;IF($Q320="","","（"&amp;$Q320&amp;"）"))</f>
        <v>进阶+7：全队攻击提高10%</v>
      </c>
      <c r="T320" s="1"/>
      <c r="U320" s="1"/>
      <c r="V320" s="2" t="str">
        <f>VLOOKUP(COUNTIF($E$194:$E320,$E320),$L$184:$X$193,IF(H320=1,4,IF(H320=4,3,2))+IF(INDEX([1]Sheet1!$1:$1048576,MATCH($E320,[1]Sheet1!$A:$A,0),MATCH("zizhi",[1]Sheet1!$2:$2,0))&gt;=13,0,3)+6,0)</f>
        <v>58010</v>
      </c>
      <c r="W320" s="2" t="str">
        <f t="shared" si="15"/>
        <v>进阶+7：全队攻击提高10%</v>
      </c>
      <c r="X320" s="45" t="str">
        <f t="shared" si="13"/>
        <v>58010</v>
      </c>
      <c r="Y320" s="2"/>
      <c r="Z320" s="2"/>
      <c r="AA320" s="2"/>
    </row>
    <row r="321" spans="1:27" ht="49.5">
      <c r="A321" s="10">
        <f>E321*100+COUNTIF($E$194:$E321,$E321)</f>
        <v>121808</v>
      </c>
      <c r="B321" s="68" t="s">
        <v>2007</v>
      </c>
      <c r="C321" s="50" t="s">
        <v>2</v>
      </c>
      <c r="D321" s="10">
        <f t="shared" si="18"/>
        <v>1</v>
      </c>
      <c r="E321" s="45">
        <f>INDEX($I:$I,MATCH($E320,$I:$I,0)+IF(COUNTIF($E$194:$E320,$E320)&lt;=VLOOKUP($E320,$I$134:$K$193,3,0)-1,0,1),0)</f>
        <v>1218</v>
      </c>
      <c r="F321" s="45" t="str">
        <f t="shared" si="14"/>
        <v>白无常</v>
      </c>
      <c r="G321" s="45" t="s">
        <v>219</v>
      </c>
      <c r="H321" s="45">
        <f>VLOOKUP($E321,[1]Sheet1!$A:$G,7,0)</f>
        <v>2</v>
      </c>
      <c r="I321" s="45" t="str">
        <f>IF($G321="","",IF(COUNTIF(技能描述!$D:$D,$F321)&gt;0,VLOOKUP($F321&amp;$G321,技能描述!$A:$C,3,0),LEFT(VLOOKUP($E321,[1]Sheet1!$A:$J,10,0),FIND("_",VLOOKUP($E321,[1]Sheet1!$A:$J,10,0))-1)&amp;$G321))</f>
        <v>baiwuchang_skill021</v>
      </c>
      <c r="J321" s="45" t="str">
        <f>IF($I321="","",VLOOKUP($I321,技能描述!$A:$C,3,0))</f>
        <v>白无常用噬魂幡召唤咒法夺取敌军魂魄，对范围内敌人造成自身攻击力@s的法伤，同时提升自身暴击@s,持续3秒，40%概率盅惑目标</v>
      </c>
      <c r="K321" s="45" t="str">
        <f>IF($I321="","",INDEX([2]Sheet1!$1:$1048576,MATCH($I321,[2]Sheet1!$A:$A,0),MATCH("description_damage",[2]Sheet1!$2:$2,0)))</f>
        <v>121808,9015</v>
      </c>
      <c r="L321" s="80" t="str">
        <f>IF($K321="","",IF(LEN($K321)-LEN(SUBSTITUTE($K321,",",""))=0,VLOOKUP(INT($K321),[3]Sheet1!$A:$C,3,0),VLOOKUP(INT(LEFT($K321,FIND(",",$K321)-1)),[3]Sheet1!$A:$C,3,0)))</f>
        <v>2|2|2.1|0|0|0</v>
      </c>
      <c r="M321" s="80" t="str">
        <f t="shared" si="19"/>
        <v>210%</v>
      </c>
      <c r="N321" s="45" t="str">
        <f>IF(LEN($K321)-LEN(SUBSTITUTE($K321,",",""))=1,VLOOKUP(INT(RIGHT($K321,LEN($K321)-FIND(",",$K321))),[3]Sheet1!$A:$C,3,0),"")</f>
        <v>4|3|0.15|0|1</v>
      </c>
      <c r="O321" s="45" t="str">
        <f t="shared" si="16"/>
        <v>15%</v>
      </c>
      <c r="P321" s="45" t="str">
        <f t="shared" si="12"/>
        <v>白无常用噬魂幡召唤咒法夺取敌军魂魄，对范围内敌人造成自身攻击力210%的法伤，同时提升自身暴击@s,持续3秒，40%概率盅惑目标</v>
      </c>
      <c r="Q321" s="45" t="str">
        <f t="shared" si="17"/>
        <v>白无常用噬魂幡召唤咒法夺取敌军魂魄，对范围内敌人造成自身攻击力210%的法伤，同时提升自身暴击15%,持续3秒，40%概率盅惑目标</v>
      </c>
      <c r="R321" s="45"/>
      <c r="S321" s="45" t="str">
        <f>IF(ISERROR($Q321),"进阶+"&amp;COUNTIF($E$194:$E321,$E321)&amp;"："&amp;"找ZC配技能","进阶+"&amp;COUNTIF($E$194:$E321,$E321)&amp;"："&amp;VLOOKUP(COUNTIF($E$194:$E321,$E321),$L$184:$R$193,IF(H321=1,4,IF(H321=4,3,2))+IF(INDEX([1]Sheet1!$1:$1048576,MATCH($E321,[1]Sheet1!$A:$A,0),MATCH("zizhi",[1]Sheet1!$2:$2,0))&gt;=13,0,3),0)&amp;IF($Q321="","","（"&amp;$Q321&amp;"）"))</f>
        <v>进阶+8：增强AI1技能（白无常用噬魂幡召唤咒法夺取敌军魂魄，对范围内敌人造成自身攻击力210%的法伤，同时提升自身暴击15%,持续3秒，40%概率盅惑目标）</v>
      </c>
      <c r="T321" s="1"/>
      <c r="U321" s="1"/>
      <c r="V321" s="2" t="str">
        <f>VLOOKUP(COUNTIF($E$194:$E321,$E321),$L$184:$X$193,IF(H321=1,4,IF(H321=4,3,2))+IF(INDEX([1]Sheet1!$1:$1048576,MATCH($E321,[1]Sheet1!$A:$A,0),MATCH("zizhi",[1]Sheet1!$2:$2,0))&gt;=13,0,3)+6,0)</f>
        <v>[]</v>
      </c>
      <c r="W321" s="2" t="str">
        <f t="shared" si="15"/>
        <v>进阶+8：增强AI1技能（白无常用噬魂幡召唤咒法夺取敌军魂魄，对范围内敌人造成自身攻击力210%的法伤，同时提升自身暴击15%,持续3秒，40%概率盅惑目标）</v>
      </c>
      <c r="X321" s="45" t="str">
        <f t="shared" si="13"/>
        <v>[]</v>
      </c>
      <c r="Y321" s="2"/>
      <c r="Z321" s="2"/>
      <c r="AA321" s="2"/>
    </row>
    <row r="322" spans="1:27">
      <c r="A322" s="10">
        <f>E322*100+COUNTIF($E$194:$E322,$E322)</f>
        <v>121809</v>
      </c>
      <c r="B322" s="68" t="s">
        <v>1899</v>
      </c>
      <c r="C322" s="50" t="s">
        <v>2085</v>
      </c>
      <c r="D322" s="10" t="str">
        <f t="shared" si="18"/>
        <v>[]</v>
      </c>
      <c r="E322" s="45">
        <f>INDEX($I:$I,MATCH($E321,$I:$I,0)+IF(COUNTIF($E$194:$E321,$E321)&lt;=VLOOKUP($E321,$I$134:$K$193,3,0)-1,0,1),0)</f>
        <v>1218</v>
      </c>
      <c r="F322" s="45" t="str">
        <f t="shared" si="14"/>
        <v>白无常</v>
      </c>
      <c r="H322" s="45">
        <f>VLOOKUP($E322,[1]Sheet1!$A:$G,7,0)</f>
        <v>2</v>
      </c>
      <c r="I322" s="45" t="str">
        <f>IF($G322="","",IF(COUNTIF(技能描述!$D:$D,$F322)&gt;0,VLOOKUP($F322&amp;$G322,技能描述!$A:$C,3,0),LEFT(VLOOKUP($E322,[1]Sheet1!$A:$J,10,0),FIND("_",VLOOKUP($E322,[1]Sheet1!$A:$J,10,0))-1)&amp;$G322))</f>
        <v/>
      </c>
      <c r="J322" s="45" t="str">
        <f>IF($I322="","",VLOOKUP($I322,技能描述!$A:$C,3,0))</f>
        <v/>
      </c>
      <c r="K322" s="45" t="str">
        <f>IF($I322="","",INDEX([2]Sheet1!$1:$1048576,MATCH($I322,[2]Sheet1!$A:$A,0),MATCH("description_damage",[2]Sheet1!$2:$2,0)))</f>
        <v/>
      </c>
      <c r="L322" s="80" t="str">
        <f>IF($K322="","",IF(LEN($K322)-LEN(SUBSTITUTE($K322,",",""))=0,VLOOKUP(INT($K322),[3]Sheet1!$A:$C,3,0),VLOOKUP(INT(LEFT($K322,FIND(",",$K322)-1)),[3]Sheet1!$A:$C,3,0)))</f>
        <v/>
      </c>
      <c r="M322" s="80" t="str">
        <f t="shared" si="19"/>
        <v/>
      </c>
      <c r="N322" s="45" t="str">
        <f>IF(LEN($K322)-LEN(SUBSTITUTE($K322,",",""))=1,VLOOKUP(INT(RIGHT($K322,LEN($K322)-FIND(",",$K322))),[3]Sheet1!$A:$C,3,0),"")</f>
        <v/>
      </c>
      <c r="O322" s="45" t="str">
        <f t="shared" si="16"/>
        <v/>
      </c>
      <c r="P322" s="45" t="str">
        <f t="shared" ref="P322:P385" si="20">IF($M322="","",IF(ISERROR(FIND("@s",$J322)),$J322,LEFT(J322,FIND("@s",$J322)-1)&amp;$M322&amp;RIGHT($J322,LEN($J322)-FIND("@s",$J322)-1)))</f>
        <v/>
      </c>
      <c r="Q322" s="45" t="str">
        <f t="shared" si="17"/>
        <v/>
      </c>
      <c r="R322" s="45"/>
      <c r="S322" s="45" t="str">
        <f>IF(ISERROR($Q322),"进阶+"&amp;COUNTIF($E$194:$E322,$E322)&amp;"："&amp;"找ZC配技能","进阶+"&amp;COUNTIF($E$194:$E322,$E322)&amp;"："&amp;VLOOKUP(COUNTIF($E$194:$E322,$E322),$L$184:$R$193,IF(H322=1,4,IF(H322=4,3,2))+IF(INDEX([1]Sheet1!$1:$1048576,MATCH($E322,[1]Sheet1!$A:$A,0),MATCH("zizhi",[1]Sheet1!$2:$2,0))&gt;=13,0,3),0)&amp;IF($Q322="","","（"&amp;$Q322&amp;"）"))</f>
        <v>进阶+9：全队攻击提高15%</v>
      </c>
      <c r="T322" s="1"/>
      <c r="U322" s="1"/>
      <c r="V322" s="2" t="str">
        <f>VLOOKUP(COUNTIF($E$194:$E322,$E322),$L$184:$X$193,IF(H322=1,4,IF(H322=4,3,2))+IF(INDEX([1]Sheet1!$1:$1048576,MATCH($E322,[1]Sheet1!$A:$A,0),MATCH("zizhi",[1]Sheet1!$2:$2,0))&gt;=13,0,3)+6,0)</f>
        <v>58015</v>
      </c>
      <c r="W322" s="2" t="str">
        <f t="shared" si="15"/>
        <v>进阶+9：全队攻击提高15%</v>
      </c>
      <c r="X322" s="45" t="str">
        <f t="shared" ref="X322:X385" si="21">IF(ISERROR(FIND("找ZC配技能",$S322)),$V322,$W$184)</f>
        <v>58015</v>
      </c>
      <c r="Y322" s="2"/>
      <c r="Z322" s="2"/>
      <c r="AA322" s="2"/>
    </row>
    <row r="323" spans="1:27" ht="49.5">
      <c r="A323" s="10">
        <f>E323*100+COUNTIF($E$194:$E323,$E323)</f>
        <v>121810</v>
      </c>
      <c r="B323" s="68" t="s">
        <v>1911</v>
      </c>
      <c r="C323" s="50" t="s">
        <v>2</v>
      </c>
      <c r="D323" s="10">
        <f t="shared" si="18"/>
        <v>1</v>
      </c>
      <c r="E323" s="45">
        <f>INDEX($I:$I,MATCH($E322,$I:$I,0)+IF(COUNTIF($E$194:$E322,$E322)&lt;=VLOOKUP($E322,$I$134:$K$193,3,0)-1,0,1),0)</f>
        <v>1218</v>
      </c>
      <c r="F323" s="45" t="str">
        <f t="shared" ref="F323:F386" si="22">VLOOKUP($E323,$I$134:$K$193,2,0)</f>
        <v>白无常</v>
      </c>
      <c r="G323" s="45" t="s">
        <v>220</v>
      </c>
      <c r="H323" s="45">
        <f>VLOOKUP($E323,[1]Sheet1!$A:$G,7,0)</f>
        <v>2</v>
      </c>
      <c r="I323" s="45" t="str">
        <f>IF($G323="","",IF(COUNTIF(技能描述!$D:$D,$F323)&gt;0,VLOOKUP($F323&amp;$G323,技能描述!$A:$C,3,0),LEFT(VLOOKUP($E323,[1]Sheet1!$A:$J,10,0),FIND("_",VLOOKUP($E323,[1]Sheet1!$A:$J,10,0))-1)&amp;$G323))</f>
        <v>baiwuchang_skill041</v>
      </c>
      <c r="J323" s="45" t="str">
        <f>IF($I323="","",VLOOKUP($I323,技能描述!$A:$C,3,0))</f>
        <v>白无常将噬魂幡插入地面释放咒法，对范围内敌人进行7次攻击,造成自身攻击力@s的法伤，同时提升自身暴击@s,持续3秒</v>
      </c>
      <c r="K323" s="45" t="str">
        <f>IF($I323="","",INDEX([2]Sheet1!$1:$1048576,MATCH($I323,[2]Sheet1!$A:$A,0),MATCH("description_damage",[2]Sheet1!$2:$2,0)))</f>
        <v>121809,9015</v>
      </c>
      <c r="L323" s="80" t="str">
        <f>IF($K323="","",IF(LEN($K323)-LEN(SUBSTITUTE($K323,",",""))=0,VLOOKUP(INT($K323),[3]Sheet1!$A:$C,3,0),VLOOKUP(INT(LEFT($K323,FIND(",",$K323)-1)),[3]Sheet1!$A:$C,3,0)))</f>
        <v>2|2|0.3|0|0|0</v>
      </c>
      <c r="M323" s="80" t="str">
        <f t="shared" si="19"/>
        <v>30%</v>
      </c>
      <c r="N323" s="45" t="str">
        <f>IF(LEN($K323)-LEN(SUBSTITUTE($K323,",",""))=1,VLOOKUP(INT(RIGHT($K323,LEN($K323)-FIND(",",$K323))),[3]Sheet1!$A:$C,3,0),"")</f>
        <v>4|3|0.15|0|1</v>
      </c>
      <c r="O323" s="45" t="str">
        <f t="shared" si="16"/>
        <v>15%</v>
      </c>
      <c r="P323" s="45" t="str">
        <f t="shared" si="20"/>
        <v>白无常将噬魂幡插入地面释放咒法，对范围内敌人进行7次攻击,造成自身攻击力30%的法伤，同时提升自身暴击@s,持续3秒</v>
      </c>
      <c r="Q323" s="45" t="str">
        <f t="shared" si="17"/>
        <v>白无常将噬魂幡插入地面释放咒法，对范围内敌人进行7次攻击,造成自身攻击力30%的法伤，同时提升自身暴击15%,持续3秒</v>
      </c>
      <c r="R323" s="45"/>
      <c r="S323" s="45" t="str">
        <f>IF(ISERROR($Q323),"进阶+"&amp;COUNTIF($E$194:$E323,$E323)&amp;"："&amp;"找ZC配技能","进阶+"&amp;COUNTIF($E$194:$E323,$E323)&amp;"："&amp;VLOOKUP(COUNTIF($E$194:$E323,$E323),$L$184:$R$193,IF(H323=1,4,IF(H323=4,3,2))+IF(INDEX([1]Sheet1!$1:$1048576,MATCH($E323,[1]Sheet1!$A:$A,0),MATCH("zizhi",[1]Sheet1!$2:$2,0))&gt;=13,0,3),0)&amp;IF($Q323="","","（"&amp;$Q323&amp;"）"))</f>
        <v>进阶+10：增强AI2技能（白无常将噬魂幡插入地面释放咒法，对范围内敌人进行7次攻击,造成自身攻击力30%的法伤，同时提升自身暴击15%,持续3秒）</v>
      </c>
      <c r="T323" s="1"/>
      <c r="U323" s="1"/>
      <c r="V323" s="2" t="str">
        <f>VLOOKUP(COUNTIF($E$194:$E323,$E323),$L$184:$X$193,IF(H323=1,4,IF(H323=4,3,2))+IF(INDEX([1]Sheet1!$1:$1048576,MATCH($E323,[1]Sheet1!$A:$A,0),MATCH("zizhi",[1]Sheet1!$2:$2,0))&gt;=13,0,3)+6,0)</f>
        <v>[]</v>
      </c>
      <c r="W323" s="2" t="str">
        <f t="shared" ref="W323:W386" si="23">IF(ISERROR(FIND("找ZC配技能",$S323)),$S323,"进阶+"&amp;INT(RIGHT($A323,2))&amp;":生命提高10%")</f>
        <v>进阶+10：增强AI2技能（白无常将噬魂幡插入地面释放咒法，对范围内敌人进行7次攻击,造成自身攻击力30%的法伤，同时提升自身暴击15%,持续3秒）</v>
      </c>
      <c r="X323" s="45" t="str">
        <f t="shared" si="21"/>
        <v>[]</v>
      </c>
      <c r="Y323" s="2"/>
      <c r="Z323" s="2"/>
      <c r="AA323" s="2"/>
    </row>
    <row r="324" spans="1:27">
      <c r="A324" s="10">
        <f>E324*100+COUNTIF($E$194:$E324,$E324)</f>
        <v>112401</v>
      </c>
      <c r="B324" s="68" t="s">
        <v>310</v>
      </c>
      <c r="C324" s="50" t="s">
        <v>127</v>
      </c>
      <c r="D324" s="10" t="str">
        <f t="shared" si="18"/>
        <v>[]</v>
      </c>
      <c r="E324" s="45">
        <f>INDEX($I:$I,MATCH($E323,$I:$I,0)+IF(COUNTIF($E$194:$E323,$E323)&lt;=VLOOKUP($E323,$I$134:$K$193,3,0)-1,0,1),0)</f>
        <v>1124</v>
      </c>
      <c r="F324" s="45" t="str">
        <f t="shared" si="22"/>
        <v>沙和尚</v>
      </c>
      <c r="H324" s="45">
        <f>VLOOKUP($E324,[1]Sheet1!$A:$G,7,0)</f>
        <v>2</v>
      </c>
      <c r="I324" s="45" t="str">
        <f>IF($G324="","",IF(COUNTIF(技能描述!$D:$D,$F324)&gt;0,VLOOKUP($F324&amp;$G324,技能描述!$A:$C,3,0),LEFT(VLOOKUP($E324,[1]Sheet1!$A:$J,10,0),FIND("_",VLOOKUP($E324,[1]Sheet1!$A:$J,10,0))-1)&amp;$G324))</f>
        <v/>
      </c>
      <c r="J324" s="45" t="str">
        <f>IF($I324="","",VLOOKUP($I324,技能描述!$A:$C,3,0))</f>
        <v/>
      </c>
      <c r="K324" s="45" t="str">
        <f>IF($I324="","",INDEX([2]Sheet1!$1:$1048576,MATCH($I324,[2]Sheet1!$A:$A,0),MATCH("description_damage",[2]Sheet1!$2:$2,0)))</f>
        <v/>
      </c>
      <c r="L324" s="80" t="str">
        <f>IF($K324="","",IF(LEN($K324)-LEN(SUBSTITUTE($K324,",",""))=0,VLOOKUP(INT($K324),[3]Sheet1!$A:$C,3,0),VLOOKUP(INT(LEFT($K324,FIND(",",$K324)-1)),[3]Sheet1!$A:$C,3,0)))</f>
        <v/>
      </c>
      <c r="M324" s="80" t="str">
        <f t="shared" si="19"/>
        <v/>
      </c>
      <c r="N324" s="45" t="str">
        <f>IF(LEN($K324)-LEN(SUBSTITUTE($K324,",",""))=1,VLOOKUP(INT(RIGHT($K324,LEN($K324)-FIND(",",$K324))),[3]Sheet1!$A:$C,3,0),"")</f>
        <v/>
      </c>
      <c r="O324" s="45" t="str">
        <f t="shared" ref="O324:O387" si="24">IF($N324="","",LEFT(RIGHT($N324,LEN($N324)-4),FIND("|",RIGHT($N324,LEN($N324)-4))-1)*100&amp;"%")</f>
        <v/>
      </c>
      <c r="P324" s="45" t="str">
        <f t="shared" si="20"/>
        <v/>
      </c>
      <c r="Q324" s="45" t="str">
        <f t="shared" ref="Q324:Q387" si="25">IF($O324="",$P324,SUBSTITUTE($P324,"@s",$O324))</f>
        <v/>
      </c>
      <c r="R324" s="45"/>
      <c r="S324" s="45" t="str">
        <f>IF(ISERROR($Q324),"进阶+"&amp;COUNTIF($E$194:$E324,$E324)&amp;"："&amp;"找ZC配技能","进阶+"&amp;COUNTIF($E$194:$E324,$E324)&amp;"："&amp;VLOOKUP(COUNTIF($E$194:$E324,$E324),$L$184:$R$193,IF(H324=1,4,IF(H324=4,3,2))+IF(INDEX([1]Sheet1!$1:$1048576,MATCH($E324,[1]Sheet1!$A:$A,0),MATCH("zizhi",[1]Sheet1!$2:$2,0))&gt;=13,0,3),0)&amp;IF($Q324="","","（"&amp;$Q324&amp;"）"))</f>
        <v>进阶+1：攻击提高10%</v>
      </c>
      <c r="T324" s="1"/>
      <c r="U324" s="1"/>
      <c r="V324" s="2" t="str">
        <f>VLOOKUP(COUNTIF($E$194:$E324,$E324),$L$184:$X$193,IF(H324=1,4,IF(H324=4,3,2))+IF(INDEX([1]Sheet1!$1:$1048576,MATCH($E324,[1]Sheet1!$A:$A,0),MATCH("zizhi",[1]Sheet1!$2:$2,0))&gt;=13,0,3)+6,0)</f>
        <v>11050</v>
      </c>
      <c r="W324" s="2" t="str">
        <f t="shared" si="23"/>
        <v>进阶+1：攻击提高10%</v>
      </c>
      <c r="X324" s="45" t="str">
        <f t="shared" si="21"/>
        <v>11050</v>
      </c>
      <c r="Y324" s="2"/>
      <c r="Z324" s="2"/>
      <c r="AA324" s="2"/>
    </row>
    <row r="325" spans="1:27" ht="33">
      <c r="A325" s="10">
        <f>E325*100+COUNTIF($E$194:$E325,$E325)</f>
        <v>112402</v>
      </c>
      <c r="B325" s="68" t="s">
        <v>333</v>
      </c>
      <c r="C325" s="50" t="s">
        <v>2</v>
      </c>
      <c r="D325" s="10">
        <f t="shared" ref="D325:D388" si="26">IF(ISERROR(FIND("技能",$B325)),"[]",1)</f>
        <v>1</v>
      </c>
      <c r="E325" s="45">
        <f>INDEX($I:$I,MATCH($E324,$I:$I,0)+IF(COUNTIF($E$194:$E324,$E324)&lt;=VLOOKUP($E324,$I$134:$K$193,3,0)-1,0,1),0)</f>
        <v>1124</v>
      </c>
      <c r="F325" s="45" t="str">
        <f t="shared" si="22"/>
        <v>沙和尚</v>
      </c>
      <c r="G325" s="45" t="s">
        <v>216</v>
      </c>
      <c r="H325" s="45">
        <f>VLOOKUP($E325,[1]Sheet1!$A:$G,7,0)</f>
        <v>2</v>
      </c>
      <c r="I325" s="45" t="str">
        <f>IF($G325="","",IF(COUNTIF(技能描述!$D:$D,$F325)&gt;0,VLOOKUP($F325&amp;$G325,技能描述!$A:$C,3,0),LEFT(VLOOKUP($E325,[1]Sheet1!$A:$J,10,0),FIND("_",VLOOKUP($E325,[1]Sheet1!$A:$J,10,0))-1)&amp;$G325))</f>
        <v>shaheshang_skill03</v>
      </c>
      <c r="J325" s="45" t="str">
        <f>IF($I325="","",VLOOKUP($I325,技能描述!$A:$C,3,0))</f>
        <v>进入战斗场景时，提升全体友军造成的伤害@s</v>
      </c>
      <c r="K325" s="45" t="str">
        <f>IF($I325="","",INDEX([2]Sheet1!$1:$1048576,MATCH($I325,[2]Sheet1!$A:$A,0),MATCH("description_damage",[2]Sheet1!$2:$2,0)))</f>
        <v>9010</v>
      </c>
      <c r="L325" s="80" t="str">
        <f>IF($K325="","",IF(LEN($K325)-LEN(SUBSTITUTE($K325,",",""))=0,VLOOKUP(INT($K325),[3]Sheet1!$A:$C,3,0),VLOOKUP(INT(LEFT($K325,FIND(",",$K325)-1)),[3]Sheet1!$A:$C,3,0)))</f>
        <v>4|3|0.1|0|1</v>
      </c>
      <c r="M325" s="80" t="str">
        <f t="shared" ref="M325:M388" si="27">IF($L325="","",LEFT(RIGHT($L325,LEN($L325)-4),FIND("|",RIGHT($L325,LEN($L325)-4))-1)*100&amp;"%")</f>
        <v>10%</v>
      </c>
      <c r="N325" s="45" t="str">
        <f>IF(LEN($K325)-LEN(SUBSTITUTE($K325,",",""))=1,VLOOKUP(INT(RIGHT($K325,LEN($K325)-FIND(",",$K325))),[3]Sheet1!$A:$C,3,0),"")</f>
        <v/>
      </c>
      <c r="O325" s="45" t="str">
        <f t="shared" si="24"/>
        <v/>
      </c>
      <c r="P325" s="45" t="str">
        <f t="shared" si="20"/>
        <v>进入战斗场景时，提升全体友军造成的伤害10%</v>
      </c>
      <c r="Q325" s="45" t="str">
        <f t="shared" si="25"/>
        <v>进入战斗场景时，提升全体友军造成的伤害10%</v>
      </c>
      <c r="R325" s="45"/>
      <c r="S325" s="45" t="str">
        <f>IF(ISERROR($Q325),"进阶+"&amp;COUNTIF($E$194:$E325,$E325)&amp;"："&amp;"找ZC配技能","进阶+"&amp;COUNTIF($E$194:$E325,$E325)&amp;"："&amp;VLOOKUP(COUNTIF($E$194:$E325,$E325),$L$184:$R$193,IF(H325=1,4,IF(H325=4,3,2))+IF(INDEX([1]Sheet1!$1:$1048576,MATCH($E325,[1]Sheet1!$A:$A,0),MATCH("zizhi",[1]Sheet1!$2:$2,0))&gt;=13,0,3),0)&amp;IF($Q325="","","（"&amp;$Q325&amp;"）"))</f>
        <v>进阶+2：激活被动技能（进入战斗场景时，提升全体友军造成的伤害10%）</v>
      </c>
      <c r="T325" s="1"/>
      <c r="U325" s="1"/>
      <c r="V325" s="2" t="str">
        <f>VLOOKUP(COUNTIF($E$194:$E325,$E325),$L$184:$X$193,IF(H325=1,4,IF(H325=4,3,2))+IF(INDEX([1]Sheet1!$1:$1048576,MATCH($E325,[1]Sheet1!$A:$A,0),MATCH("zizhi",[1]Sheet1!$2:$2,0))&gt;=13,0,3)+6,0)</f>
        <v>[]</v>
      </c>
      <c r="W325" s="2" t="str">
        <f t="shared" si="23"/>
        <v>进阶+2：激活被动技能（进入战斗场景时，提升全体友军造成的伤害10%）</v>
      </c>
      <c r="X325" s="45" t="str">
        <f t="shared" si="21"/>
        <v>[]</v>
      </c>
      <c r="Y325" s="2"/>
      <c r="Z325" s="2"/>
      <c r="AA325" s="2"/>
    </row>
    <row r="326" spans="1:27">
      <c r="A326" s="10">
        <f>E326*100+COUNTIF($E$194:$E326,$E326)</f>
        <v>112403</v>
      </c>
      <c r="B326" s="68" t="s">
        <v>312</v>
      </c>
      <c r="C326" s="50" t="s">
        <v>127</v>
      </c>
      <c r="D326" s="10" t="str">
        <f t="shared" si="26"/>
        <v>[]</v>
      </c>
      <c r="E326" s="45">
        <f>INDEX($I:$I,MATCH($E325,$I:$I,0)+IF(COUNTIF($E$194:$E325,$E325)&lt;=VLOOKUP($E325,$I$134:$K$193,3,0)-1,0,1),0)</f>
        <v>1124</v>
      </c>
      <c r="F326" s="45" t="str">
        <f t="shared" si="22"/>
        <v>沙和尚</v>
      </c>
      <c r="H326" s="45">
        <f>VLOOKUP($E326,[1]Sheet1!$A:$G,7,0)</f>
        <v>2</v>
      </c>
      <c r="I326" s="45" t="str">
        <f>IF($G326="","",IF(COUNTIF(技能描述!$D:$D,$F326)&gt;0,VLOOKUP($F326&amp;$G326,技能描述!$A:$C,3,0),LEFT(VLOOKUP($E326,[1]Sheet1!$A:$J,10,0),FIND("_",VLOOKUP($E326,[1]Sheet1!$A:$J,10,0))-1)&amp;$G326))</f>
        <v/>
      </c>
      <c r="J326" s="45" t="str">
        <f>IF($I326="","",VLOOKUP($I326,技能描述!$A:$C,3,0))</f>
        <v/>
      </c>
      <c r="K326" s="45" t="str">
        <f>IF($I326="","",INDEX([2]Sheet1!$1:$1048576,MATCH($I326,[2]Sheet1!$A:$A,0),MATCH("description_damage",[2]Sheet1!$2:$2,0)))</f>
        <v/>
      </c>
      <c r="L326" s="80" t="str">
        <f>IF($K326="","",IF(LEN($K326)-LEN(SUBSTITUTE($K326,",",""))=0,VLOOKUP(INT($K326),[3]Sheet1!$A:$C,3,0),VLOOKUP(INT(LEFT($K326,FIND(",",$K326)-1)),[3]Sheet1!$A:$C,3,0)))</f>
        <v/>
      </c>
      <c r="M326" s="80" t="str">
        <f t="shared" si="27"/>
        <v/>
      </c>
      <c r="N326" s="45" t="str">
        <f>IF(LEN($K326)-LEN(SUBSTITUTE($K326,",",""))=1,VLOOKUP(INT(RIGHT($K326,LEN($K326)-FIND(",",$K326))),[3]Sheet1!$A:$C,3,0),"")</f>
        <v/>
      </c>
      <c r="O326" s="45" t="str">
        <f t="shared" si="24"/>
        <v/>
      </c>
      <c r="P326" s="45" t="str">
        <f t="shared" si="20"/>
        <v/>
      </c>
      <c r="Q326" s="45" t="str">
        <f t="shared" si="25"/>
        <v/>
      </c>
      <c r="R326" s="45"/>
      <c r="S326" s="45" t="str">
        <f>IF(ISERROR($Q326),"进阶+"&amp;COUNTIF($E$194:$E326,$E326)&amp;"："&amp;"找ZC配技能","进阶+"&amp;COUNTIF($E$194:$E326,$E326)&amp;"："&amp;VLOOKUP(COUNTIF($E$194:$E326,$E326),$L$184:$R$193,IF(H326=1,4,IF(H326=4,3,2))+IF(INDEX([1]Sheet1!$1:$1048576,MATCH($E326,[1]Sheet1!$A:$A,0),MATCH("zizhi",[1]Sheet1!$2:$2,0))&gt;=13,0,3),0)&amp;IF($Q326="","","（"&amp;$Q326&amp;"）"))</f>
        <v>进阶+3：攻击提高10%</v>
      </c>
      <c r="T326" s="1"/>
      <c r="U326" s="1"/>
      <c r="V326" s="2" t="str">
        <f>VLOOKUP(COUNTIF($E$194:$E326,$E326),$L$184:$X$193,IF(H326=1,4,IF(H326=4,3,2))+IF(INDEX([1]Sheet1!$1:$1048576,MATCH($E326,[1]Sheet1!$A:$A,0),MATCH("zizhi",[1]Sheet1!$2:$2,0))&gt;=13,0,3)+6,0)</f>
        <v>11050</v>
      </c>
      <c r="W326" s="2" t="str">
        <f t="shared" si="23"/>
        <v>进阶+3：攻击提高10%</v>
      </c>
      <c r="X326" s="45" t="str">
        <f t="shared" si="21"/>
        <v>11050</v>
      </c>
      <c r="Y326" s="2"/>
      <c r="Z326" s="2"/>
      <c r="AA326" s="2"/>
    </row>
    <row r="327" spans="1:27" ht="33">
      <c r="A327" s="10">
        <f>E327*100+COUNTIF($E$194:$E327,$E327)</f>
        <v>112404</v>
      </c>
      <c r="B327" s="68" t="s">
        <v>1864</v>
      </c>
      <c r="C327" s="50" t="s">
        <v>2</v>
      </c>
      <c r="D327" s="10">
        <f t="shared" si="26"/>
        <v>1</v>
      </c>
      <c r="E327" s="45">
        <f>INDEX($I:$I,MATCH($E326,$I:$I,0)+IF(COUNTIF($E$194:$E326,$E326)&lt;=VLOOKUP($E326,$I$134:$K$193,3,0)-1,0,1),0)</f>
        <v>1124</v>
      </c>
      <c r="F327" s="45" t="str">
        <f t="shared" si="22"/>
        <v>沙和尚</v>
      </c>
      <c r="G327" s="45" t="s">
        <v>217</v>
      </c>
      <c r="H327" s="45">
        <f>VLOOKUP($E327,[1]Sheet1!$A:$G,7,0)</f>
        <v>2</v>
      </c>
      <c r="I327" s="45" t="str">
        <f>IF($G327="","",IF(COUNTIF(技能描述!$D:$D,$F327)&gt;0,VLOOKUP($F327&amp;$G327,技能描述!$A:$C,3,0),LEFT(VLOOKUP($E327,[1]Sheet1!$A:$J,10,0),FIND("_",VLOOKUP($E327,[1]Sheet1!$A:$J,10,0))-1)&amp;$G327))</f>
        <v>shaheshang_skill04</v>
      </c>
      <c r="J327" s="45" t="str">
        <f>IF($I327="","",VLOOKUP($I327,技能描述!$A:$C,3,0))</f>
        <v>沙和尚引爆水流，对范围内敌人进行3次攻击，使敌人受到自身攻击力@s的法伤,并造成流血效果，持续6秒</v>
      </c>
      <c r="K327" s="45" t="str">
        <f>IF($I327="","",INDEX([2]Sheet1!$1:$1048576,MATCH($I327,[2]Sheet1!$A:$A,0),MATCH("description_damage",[2]Sheet1!$2:$2,0)))</f>
        <v>112404</v>
      </c>
      <c r="L327" s="80" t="str">
        <f>IF($K327="","",IF(LEN($K327)-LEN(SUBSTITUTE($K327,",",""))=0,VLOOKUP(INT($K327),[3]Sheet1!$A:$C,3,0),VLOOKUP(INT(LEFT($K327,FIND(",",$K327)-1)),[3]Sheet1!$A:$C,3,0)))</f>
        <v>2|2|0.55|0|0|0</v>
      </c>
      <c r="M327" s="80" t="str">
        <f t="shared" si="27"/>
        <v>55%</v>
      </c>
      <c r="N327" s="45" t="str">
        <f>IF(LEN($K327)-LEN(SUBSTITUTE($K327,",",""))=1,VLOOKUP(INT(RIGHT($K327,LEN($K327)-FIND(",",$K327))),[3]Sheet1!$A:$C,3,0),"")</f>
        <v/>
      </c>
      <c r="O327" s="45" t="str">
        <f t="shared" si="24"/>
        <v/>
      </c>
      <c r="P327" s="45" t="str">
        <f t="shared" si="20"/>
        <v>沙和尚引爆水流，对范围内敌人进行3次攻击，使敌人受到自身攻击力55%的法伤,并造成流血效果，持续6秒</v>
      </c>
      <c r="Q327" s="45" t="str">
        <f t="shared" si="25"/>
        <v>沙和尚引爆水流，对范围内敌人进行3次攻击，使敌人受到自身攻击力55%的法伤,并造成流血效果，持续6秒</v>
      </c>
      <c r="R327" s="45"/>
      <c r="S327" s="45" t="str">
        <f>IF(ISERROR($Q327),"进阶+"&amp;COUNTIF($E$194:$E327,$E327)&amp;"："&amp;"找ZC配技能","进阶+"&amp;COUNTIF($E$194:$E327,$E327)&amp;"："&amp;VLOOKUP(COUNTIF($E$194:$E327,$E327),$L$184:$R$193,IF(H327=1,4,IF(H327=4,3,2))+IF(INDEX([1]Sheet1!$1:$1048576,MATCH($E327,[1]Sheet1!$A:$A,0),MATCH("zizhi",[1]Sheet1!$2:$2,0))&gt;=13,0,3),0)&amp;IF($Q327="","","（"&amp;$Q327&amp;"）"))</f>
        <v>进阶+4：激活AI2技能（沙和尚引爆水流，对范围内敌人进行3次攻击，使敌人受到自身攻击力55%的法伤,并造成流血效果，持续6秒）</v>
      </c>
      <c r="T327" s="1"/>
      <c r="U327" s="1"/>
      <c r="V327" s="2" t="str">
        <f>VLOOKUP(COUNTIF($E$194:$E327,$E327),$L$184:$X$193,IF(H327=1,4,IF(H327=4,3,2))+IF(INDEX([1]Sheet1!$1:$1048576,MATCH($E327,[1]Sheet1!$A:$A,0),MATCH("zizhi",[1]Sheet1!$2:$2,0))&gt;=13,0,3)+6,0)</f>
        <v>[]</v>
      </c>
      <c r="W327" s="2" t="str">
        <f t="shared" si="23"/>
        <v>进阶+4：激活AI2技能（沙和尚引爆水流，对范围内敌人进行3次攻击，使敌人受到自身攻击力55%的法伤,并造成流血效果，持续6秒）</v>
      </c>
      <c r="X327" s="45" t="str">
        <f t="shared" si="21"/>
        <v>[]</v>
      </c>
      <c r="Y327" s="2"/>
      <c r="Z327" s="2"/>
      <c r="AA327" s="2"/>
    </row>
    <row r="328" spans="1:27">
      <c r="A328" s="10">
        <f>E328*100+COUNTIF($E$194:$E328,$E328)</f>
        <v>112405</v>
      </c>
      <c r="B328" s="68" t="s">
        <v>323</v>
      </c>
      <c r="C328" s="50" t="s">
        <v>140</v>
      </c>
      <c r="D328" s="10" t="str">
        <f t="shared" si="26"/>
        <v>[]</v>
      </c>
      <c r="E328" s="45">
        <f>INDEX($I:$I,MATCH($E327,$I:$I,0)+IF(COUNTIF($E$194:$E327,$E327)&lt;=VLOOKUP($E327,$I$134:$K$193,3,0)-1,0,1),0)</f>
        <v>1124</v>
      </c>
      <c r="F328" s="45" t="str">
        <f t="shared" si="22"/>
        <v>沙和尚</v>
      </c>
      <c r="H328" s="45">
        <f>VLOOKUP($E328,[1]Sheet1!$A:$G,7,0)</f>
        <v>2</v>
      </c>
      <c r="I328" s="45" t="str">
        <f>IF($G328="","",IF(COUNTIF(技能描述!$D:$D,$F328)&gt;0,VLOOKUP($F328&amp;$G328,技能描述!$A:$C,3,0),LEFT(VLOOKUP($E328,[1]Sheet1!$A:$J,10,0),FIND("_",VLOOKUP($E328,[1]Sheet1!$A:$J,10,0))-1)&amp;$G328))</f>
        <v/>
      </c>
      <c r="J328" s="45" t="str">
        <f>IF($I328="","",VLOOKUP($I328,技能描述!$A:$C,3,0))</f>
        <v/>
      </c>
      <c r="K328" s="45" t="str">
        <f>IF($I328="","",INDEX([2]Sheet1!$1:$1048576,MATCH($I328,[2]Sheet1!$A:$A,0),MATCH("description_damage",[2]Sheet1!$2:$2,0)))</f>
        <v/>
      </c>
      <c r="L328" s="80" t="str">
        <f>IF($K328="","",IF(LEN($K328)-LEN(SUBSTITUTE($K328,",",""))=0,VLOOKUP(INT($K328),[3]Sheet1!$A:$C,3,0),VLOOKUP(INT(LEFT($K328,FIND(",",$K328)-1)),[3]Sheet1!$A:$C,3,0)))</f>
        <v/>
      </c>
      <c r="M328" s="80" t="str">
        <f t="shared" si="27"/>
        <v/>
      </c>
      <c r="N328" s="45" t="str">
        <f>IF(LEN($K328)-LEN(SUBSTITUTE($K328,",",""))=1,VLOOKUP(INT(RIGHT($K328,LEN($K328)-FIND(",",$K328))),[3]Sheet1!$A:$C,3,0),"")</f>
        <v/>
      </c>
      <c r="O328" s="45" t="str">
        <f t="shared" si="24"/>
        <v/>
      </c>
      <c r="P328" s="45" t="str">
        <f t="shared" si="20"/>
        <v/>
      </c>
      <c r="Q328" s="45" t="str">
        <f t="shared" si="25"/>
        <v/>
      </c>
      <c r="R328" s="45"/>
      <c r="S328" s="45" t="str">
        <f>IF(ISERROR($Q328),"进阶+"&amp;COUNTIF($E$194:$E328,$E328)&amp;"："&amp;"找ZC配技能","进阶+"&amp;COUNTIF($E$194:$E328,$E328)&amp;"："&amp;VLOOKUP(COUNTIF($E$194:$E328,$E328),$L$184:$R$193,IF(H328=1,4,IF(H328=4,3,2))+IF(INDEX([1]Sheet1!$1:$1048576,MATCH($E328,[1]Sheet1!$A:$A,0),MATCH("zizhi",[1]Sheet1!$2:$2,0))&gt;=13,0,3),0)&amp;IF($Q328="","","（"&amp;$Q328&amp;"）"))</f>
        <v>进阶+5：生命，防御提高10%</v>
      </c>
      <c r="T328" s="1"/>
      <c r="U328" s="1"/>
      <c r="V328" s="2" t="str">
        <f>VLOOKUP(COUNTIF($E$194:$E328,$E328),$L$184:$X$193,IF(H328=1,4,IF(H328=4,3,2))+IF(INDEX([1]Sheet1!$1:$1048576,MATCH($E328,[1]Sheet1!$A:$A,0),MATCH("zizhi",[1]Sheet1!$2:$2,0))&gt;=13,0,3)+6,0)</f>
        <v>11090,6502,6512</v>
      </c>
      <c r="W328" s="2" t="str">
        <f t="shared" si="23"/>
        <v>进阶+5：生命，防御提高10%</v>
      </c>
      <c r="X328" s="45" t="str">
        <f t="shared" si="21"/>
        <v>11090,6502,6512</v>
      </c>
      <c r="Y328" s="2"/>
      <c r="Z328" s="2"/>
      <c r="AA328" s="2"/>
    </row>
    <row r="329" spans="1:27" ht="49.5">
      <c r="A329" s="10">
        <f>E329*100+COUNTIF($E$194:$E329,$E329)</f>
        <v>112406</v>
      </c>
      <c r="B329" s="68" t="s">
        <v>2008</v>
      </c>
      <c r="C329" s="50" t="s">
        <v>2</v>
      </c>
      <c r="D329" s="10">
        <f t="shared" si="26"/>
        <v>1</v>
      </c>
      <c r="E329" s="45">
        <f>INDEX($I:$I,MATCH($E328,$I:$I,0)+IF(COUNTIF($E$194:$E328,$E328)&lt;=VLOOKUP($E328,$I$134:$K$193,3,0)-1,0,1),0)</f>
        <v>1124</v>
      </c>
      <c r="F329" s="45" t="str">
        <f t="shared" si="22"/>
        <v>沙和尚</v>
      </c>
      <c r="G329" s="45" t="s">
        <v>218</v>
      </c>
      <c r="H329" s="45">
        <f>VLOOKUP($E329,[1]Sheet1!$A:$G,7,0)</f>
        <v>2</v>
      </c>
      <c r="I329" s="45" t="str">
        <f>IF($G329="","",IF(COUNTIF(技能描述!$D:$D,$F329)&gt;0,VLOOKUP($F329&amp;$G329,技能描述!$A:$C,3,0),LEFT(VLOOKUP($E329,[1]Sheet1!$A:$J,10,0),FIND("_",VLOOKUP($E329,[1]Sheet1!$A:$J,10,0))-1)&amp;$G329))</f>
        <v>shaheshang_skill011</v>
      </c>
      <c r="J329" s="45" t="str">
        <f>IF($I329="","",VLOOKUP($I329,技能描述!$A:$C,3,0))</f>
        <v>释放大范围水法，对范围内敌人造成主角攻击力@s的法伤,同时提升自身法伤@s，持续3秒，对处于流血状态的目标降低20%的物理防御</v>
      </c>
      <c r="K329" s="45" t="str">
        <f>IF($I329="","",INDEX([2]Sheet1!$1:$1048576,MATCH($I329,[2]Sheet1!$A:$A,0),MATCH("description_damage",[2]Sheet1!$2:$2,0)))</f>
        <v>112405,9020</v>
      </c>
      <c r="L329" s="80" t="str">
        <f>IF($K329="","",IF(LEN($K329)-LEN(SUBSTITUTE($K329,",",""))=0,VLOOKUP(INT($K329),[3]Sheet1!$A:$C,3,0),VLOOKUP(INT(LEFT($K329,FIND(",",$K329)-1)),[3]Sheet1!$A:$C,3,0)))</f>
        <v>2|2|3.96|0|0|0</v>
      </c>
      <c r="M329" s="80" t="str">
        <f t="shared" si="27"/>
        <v>396%</v>
      </c>
      <c r="N329" s="45" t="str">
        <f>IF(LEN($K329)-LEN(SUBSTITUTE($K329,",",""))=1,VLOOKUP(INT(RIGHT($K329,LEN($K329)-FIND(",",$K329))),[3]Sheet1!$A:$C,3,0),"")</f>
        <v>4|3|0.2|0|1</v>
      </c>
      <c r="O329" s="45" t="str">
        <f t="shared" si="24"/>
        <v>20%</v>
      </c>
      <c r="P329" s="45" t="str">
        <f t="shared" si="20"/>
        <v>释放大范围水法，对范围内敌人造成主角攻击力396%的法伤,同时提升自身法伤@s，持续3秒，对处于流血状态的目标降低20%的物理防御</v>
      </c>
      <c r="Q329" s="45" t="str">
        <f t="shared" si="25"/>
        <v>释放大范围水法，对范围内敌人造成主角攻击力396%的法伤,同时提升自身法伤20%，持续3秒，对处于流血状态的目标降低20%的物理防御</v>
      </c>
      <c r="R329" s="45"/>
      <c r="S329" s="45" t="str">
        <f>IF(ISERROR($Q329),"进阶+"&amp;COUNTIF($E$194:$E329,$E329)&amp;"："&amp;"找ZC配技能","进阶+"&amp;COUNTIF($E$194:$E329,$E329)&amp;"："&amp;VLOOKUP(COUNTIF($E$194:$E329,$E329),$L$184:$R$193,IF(H329=1,4,IF(H329=4,3,2))+IF(INDEX([1]Sheet1!$1:$1048576,MATCH($E329,[1]Sheet1!$A:$A,0),MATCH("zizhi",[1]Sheet1!$2:$2,0))&gt;=13,0,3),0)&amp;IF($Q329="","","（"&amp;$Q329&amp;"）"))</f>
        <v>进阶+6：增强主角技能（释放大范围水法，对范围内敌人造成主角攻击力396%的法伤,同时提升自身法伤20%，持续3秒，对处于流血状态的目标降低20%的物理防御）</v>
      </c>
      <c r="T329" s="1"/>
      <c r="U329" s="1"/>
      <c r="V329" s="2" t="str">
        <f>VLOOKUP(COUNTIF($E$194:$E329,$E329),$L$184:$X$193,IF(H329=1,4,IF(H329=4,3,2))+IF(INDEX([1]Sheet1!$1:$1048576,MATCH($E329,[1]Sheet1!$A:$A,0),MATCH("zizhi",[1]Sheet1!$2:$2,0))&gt;=13,0,3)+6,0)</f>
        <v>[]</v>
      </c>
      <c r="W329" s="2" t="str">
        <f t="shared" si="23"/>
        <v>进阶+6：增强主角技能（释放大范围水法，对范围内敌人造成主角攻击力396%的法伤,同时提升自身法伤20%，持续3秒，对处于流血状态的目标降低20%的物理防御）</v>
      </c>
      <c r="X329" s="45" t="str">
        <f t="shared" si="21"/>
        <v>[]</v>
      </c>
      <c r="Y329" s="2"/>
      <c r="Z329" s="2"/>
      <c r="AA329" s="2"/>
    </row>
    <row r="330" spans="1:27">
      <c r="A330" s="10">
        <f>E330*100+COUNTIF($E$194:$E330,$E330)</f>
        <v>112407</v>
      </c>
      <c r="B330" s="68" t="s">
        <v>359</v>
      </c>
      <c r="C330" s="50" t="s">
        <v>353</v>
      </c>
      <c r="D330" s="10" t="str">
        <f t="shared" si="26"/>
        <v>[]</v>
      </c>
      <c r="E330" s="45">
        <f>INDEX($I:$I,MATCH($E329,$I:$I,0)+IF(COUNTIF($E$194:$E329,$E329)&lt;=VLOOKUP($E329,$I$134:$K$193,3,0)-1,0,1),0)</f>
        <v>1124</v>
      </c>
      <c r="F330" s="45" t="str">
        <f t="shared" si="22"/>
        <v>沙和尚</v>
      </c>
      <c r="H330" s="45">
        <f>VLOOKUP($E330,[1]Sheet1!$A:$G,7,0)</f>
        <v>2</v>
      </c>
      <c r="I330" s="45" t="str">
        <f>IF($G330="","",IF(COUNTIF(技能描述!$D:$D,$F330)&gt;0,VLOOKUP($F330&amp;$G330,技能描述!$A:$C,3,0),LEFT(VLOOKUP($E330,[1]Sheet1!$A:$J,10,0),FIND("_",VLOOKUP($E330,[1]Sheet1!$A:$J,10,0))-1)&amp;$G330))</f>
        <v/>
      </c>
      <c r="J330" s="45" t="str">
        <f>IF($I330="","",VLOOKUP($I330,技能描述!$A:$C,3,0))</f>
        <v/>
      </c>
      <c r="K330" s="45" t="str">
        <f>IF($I330="","",INDEX([2]Sheet1!$1:$1048576,MATCH($I330,[2]Sheet1!$A:$A,0),MATCH("description_damage",[2]Sheet1!$2:$2,0)))</f>
        <v/>
      </c>
      <c r="L330" s="80" t="str">
        <f>IF($K330="","",IF(LEN($K330)-LEN(SUBSTITUTE($K330,",",""))=0,VLOOKUP(INT($K330),[3]Sheet1!$A:$C,3,0),VLOOKUP(INT(LEFT($K330,FIND(",",$K330)-1)),[3]Sheet1!$A:$C,3,0)))</f>
        <v/>
      </c>
      <c r="M330" s="80" t="str">
        <f t="shared" si="27"/>
        <v/>
      </c>
      <c r="N330" s="45" t="str">
        <f>IF(LEN($K330)-LEN(SUBSTITUTE($K330,",",""))=1,VLOOKUP(INT(RIGHT($K330,LEN($K330)-FIND(",",$K330))),[3]Sheet1!$A:$C,3,0),"")</f>
        <v/>
      </c>
      <c r="O330" s="45" t="str">
        <f t="shared" si="24"/>
        <v/>
      </c>
      <c r="P330" s="45" t="str">
        <f t="shared" si="20"/>
        <v/>
      </c>
      <c r="Q330" s="45" t="str">
        <f t="shared" si="25"/>
        <v/>
      </c>
      <c r="R330" s="45"/>
      <c r="S330" s="45" t="str">
        <f>IF(ISERROR($Q330),"进阶+"&amp;COUNTIF($E$194:$E330,$E330)&amp;"："&amp;"找ZC配技能","进阶+"&amp;COUNTIF($E$194:$E330,$E330)&amp;"："&amp;VLOOKUP(COUNTIF($E$194:$E330,$E330),$L$184:$R$193,IF(H330=1,4,IF(H330=4,3,2))+IF(INDEX([1]Sheet1!$1:$1048576,MATCH($E330,[1]Sheet1!$A:$A,0),MATCH("zizhi",[1]Sheet1!$2:$2,0))&gt;=13,0,3),0)&amp;IF($Q330="","","（"&amp;$Q330&amp;"）"))</f>
        <v>进阶+7：全队攻击提高10%</v>
      </c>
      <c r="T330" s="1"/>
      <c r="U330" s="1"/>
      <c r="V330" s="2" t="str">
        <f>VLOOKUP(COUNTIF($E$194:$E330,$E330),$L$184:$X$193,IF(H330=1,4,IF(H330=4,3,2))+IF(INDEX([1]Sheet1!$1:$1048576,MATCH($E330,[1]Sheet1!$A:$A,0),MATCH("zizhi",[1]Sheet1!$2:$2,0))&gt;=13,0,3)+6,0)</f>
        <v>58010</v>
      </c>
      <c r="W330" s="2" t="str">
        <f t="shared" si="23"/>
        <v>进阶+7：全队攻击提高10%</v>
      </c>
      <c r="X330" s="45" t="str">
        <f t="shared" si="21"/>
        <v>58010</v>
      </c>
      <c r="Y330" s="2"/>
      <c r="Z330" s="2"/>
      <c r="AA330" s="2"/>
    </row>
    <row r="331" spans="1:27" ht="33">
      <c r="A331" s="10">
        <f>E331*100+COUNTIF($E$194:$E331,$E331)</f>
        <v>112408</v>
      </c>
      <c r="B331" s="68" t="s">
        <v>2009</v>
      </c>
      <c r="C331" s="50" t="s">
        <v>2</v>
      </c>
      <c r="D331" s="10">
        <f t="shared" si="26"/>
        <v>1</v>
      </c>
      <c r="E331" s="45">
        <f>INDEX($I:$I,MATCH($E330,$I:$I,0)+IF(COUNTIF($E$194:$E330,$E330)&lt;=VLOOKUP($E330,$I$134:$K$193,3,0)-1,0,1),0)</f>
        <v>1124</v>
      </c>
      <c r="F331" s="45" t="str">
        <f t="shared" si="22"/>
        <v>沙和尚</v>
      </c>
      <c r="G331" s="45" t="s">
        <v>219</v>
      </c>
      <c r="H331" s="45">
        <f>VLOOKUP($E331,[1]Sheet1!$A:$G,7,0)</f>
        <v>2</v>
      </c>
      <c r="I331" s="45" t="str">
        <f>IF($G331="","",IF(COUNTIF(技能描述!$D:$D,$F331)&gt;0,VLOOKUP($F331&amp;$G331,技能描述!$A:$C,3,0),LEFT(VLOOKUP($E331,[1]Sheet1!$A:$J,10,0),FIND("_",VLOOKUP($E331,[1]Sheet1!$A:$J,10,0))-1)&amp;$G331))</f>
        <v>shaheshang_skill021</v>
      </c>
      <c r="J331" s="45" t="str">
        <f>IF($I331="","",VLOOKUP($I331,技能描述!$A:$C,3,0))</f>
        <v>沙和尚召唤巨浪，对范围内敌人进行2次攻击，造成自身攻击力@s的法伤，并使敌人受到的伤害增加@s，持续3秒</v>
      </c>
      <c r="K331" s="45" t="str">
        <f>IF($I331="","",INDEX([2]Sheet1!$1:$1048576,MATCH($I331,[2]Sheet1!$A:$A,0),MATCH("description_damage",[2]Sheet1!$2:$2,0)))</f>
        <v>112406,9015</v>
      </c>
      <c r="L331" s="80" t="str">
        <f>IF($K331="","",IF(LEN($K331)-LEN(SUBSTITUTE($K331,",",""))=0,VLOOKUP(INT($K331),[3]Sheet1!$A:$C,3,0),VLOOKUP(INT(LEFT($K331,FIND(",",$K331)-1)),[3]Sheet1!$A:$C,3,0)))</f>
        <v>2|2|1.16|0|0|0</v>
      </c>
      <c r="M331" s="80" t="str">
        <f t="shared" si="27"/>
        <v>116%</v>
      </c>
      <c r="N331" s="45" t="str">
        <f>IF(LEN($K331)-LEN(SUBSTITUTE($K331,",",""))=1,VLOOKUP(INT(RIGHT($K331,LEN($K331)-FIND(",",$K331))),[3]Sheet1!$A:$C,3,0),"")</f>
        <v>4|3|0.15|0|1</v>
      </c>
      <c r="O331" s="45" t="str">
        <f t="shared" si="24"/>
        <v>15%</v>
      </c>
      <c r="P331" s="45" t="str">
        <f t="shared" si="20"/>
        <v>沙和尚召唤巨浪，对范围内敌人进行2次攻击，造成自身攻击力116%的法伤，并使敌人受到的伤害增加@s，持续3秒</v>
      </c>
      <c r="Q331" s="45" t="str">
        <f t="shared" si="25"/>
        <v>沙和尚召唤巨浪，对范围内敌人进行2次攻击，造成自身攻击力116%的法伤，并使敌人受到的伤害增加15%，持续3秒</v>
      </c>
      <c r="R331" s="45"/>
      <c r="S331" s="45" t="str">
        <f>IF(ISERROR($Q331),"进阶+"&amp;COUNTIF($E$194:$E331,$E331)&amp;"："&amp;"找ZC配技能","进阶+"&amp;COUNTIF($E$194:$E331,$E331)&amp;"："&amp;VLOOKUP(COUNTIF($E$194:$E331,$E331),$L$184:$R$193,IF(H331=1,4,IF(H331=4,3,2))+IF(INDEX([1]Sheet1!$1:$1048576,MATCH($E331,[1]Sheet1!$A:$A,0),MATCH("zizhi",[1]Sheet1!$2:$2,0))&gt;=13,0,3),0)&amp;IF($Q331="","","（"&amp;$Q331&amp;"）"))</f>
        <v>进阶+8：增强AI1技能（沙和尚召唤巨浪，对范围内敌人进行2次攻击，造成自身攻击力116%的法伤，并使敌人受到的伤害增加15%，持续3秒）</v>
      </c>
      <c r="T331" s="1"/>
      <c r="U331" s="1"/>
      <c r="V331" s="2" t="str">
        <f>VLOOKUP(COUNTIF($E$194:$E331,$E331),$L$184:$X$193,IF(H331=1,4,IF(H331=4,3,2))+IF(INDEX([1]Sheet1!$1:$1048576,MATCH($E331,[1]Sheet1!$A:$A,0),MATCH("zizhi",[1]Sheet1!$2:$2,0))&gt;=13,0,3)+6,0)</f>
        <v>[]</v>
      </c>
      <c r="W331" s="2" t="str">
        <f t="shared" si="23"/>
        <v>进阶+8：增强AI1技能（沙和尚召唤巨浪，对范围内敌人进行2次攻击，造成自身攻击力116%的法伤，并使敌人受到的伤害增加15%，持续3秒）</v>
      </c>
      <c r="X331" s="45" t="str">
        <f t="shared" si="21"/>
        <v>[]</v>
      </c>
      <c r="Y331" s="2"/>
      <c r="Z331" s="2"/>
      <c r="AA331" s="2"/>
    </row>
    <row r="332" spans="1:27">
      <c r="A332" s="10">
        <f>E332*100+COUNTIF($E$194:$E332,$E332)</f>
        <v>112409</v>
      </c>
      <c r="B332" s="68" t="s">
        <v>1899</v>
      </c>
      <c r="C332" s="50" t="s">
        <v>2085</v>
      </c>
      <c r="D332" s="10" t="str">
        <f t="shared" si="26"/>
        <v>[]</v>
      </c>
      <c r="E332" s="45">
        <f>INDEX($I:$I,MATCH($E331,$I:$I,0)+IF(COUNTIF($E$194:$E331,$E331)&lt;=VLOOKUP($E331,$I$134:$K$193,3,0)-1,0,1),0)</f>
        <v>1124</v>
      </c>
      <c r="F332" s="45" t="str">
        <f t="shared" si="22"/>
        <v>沙和尚</v>
      </c>
      <c r="H332" s="45">
        <f>VLOOKUP($E332,[1]Sheet1!$A:$G,7,0)</f>
        <v>2</v>
      </c>
      <c r="I332" s="45" t="str">
        <f>IF($G332="","",IF(COUNTIF(技能描述!$D:$D,$F332)&gt;0,VLOOKUP($F332&amp;$G332,技能描述!$A:$C,3,0),LEFT(VLOOKUP($E332,[1]Sheet1!$A:$J,10,0),FIND("_",VLOOKUP($E332,[1]Sheet1!$A:$J,10,0))-1)&amp;$G332))</f>
        <v/>
      </c>
      <c r="J332" s="45" t="str">
        <f>IF($I332="","",VLOOKUP($I332,技能描述!$A:$C,3,0))</f>
        <v/>
      </c>
      <c r="K332" s="45" t="str">
        <f>IF($I332="","",INDEX([2]Sheet1!$1:$1048576,MATCH($I332,[2]Sheet1!$A:$A,0),MATCH("description_damage",[2]Sheet1!$2:$2,0)))</f>
        <v/>
      </c>
      <c r="L332" s="80" t="str">
        <f>IF($K332="","",IF(LEN($K332)-LEN(SUBSTITUTE($K332,",",""))=0,VLOOKUP(INT($K332),[3]Sheet1!$A:$C,3,0),VLOOKUP(INT(LEFT($K332,FIND(",",$K332)-1)),[3]Sheet1!$A:$C,3,0)))</f>
        <v/>
      </c>
      <c r="M332" s="80" t="str">
        <f t="shared" si="27"/>
        <v/>
      </c>
      <c r="N332" s="45" t="str">
        <f>IF(LEN($K332)-LEN(SUBSTITUTE($K332,",",""))=1,VLOOKUP(INT(RIGHT($K332,LEN($K332)-FIND(",",$K332))),[3]Sheet1!$A:$C,3,0),"")</f>
        <v/>
      </c>
      <c r="O332" s="45" t="str">
        <f t="shared" si="24"/>
        <v/>
      </c>
      <c r="P332" s="45" t="str">
        <f t="shared" si="20"/>
        <v/>
      </c>
      <c r="Q332" s="45" t="str">
        <f t="shared" si="25"/>
        <v/>
      </c>
      <c r="R332" s="45"/>
      <c r="S332" s="45" t="str">
        <f>IF(ISERROR($Q332),"进阶+"&amp;COUNTIF($E$194:$E332,$E332)&amp;"："&amp;"找ZC配技能","进阶+"&amp;COUNTIF($E$194:$E332,$E332)&amp;"："&amp;VLOOKUP(COUNTIF($E$194:$E332,$E332),$L$184:$R$193,IF(H332=1,4,IF(H332=4,3,2))+IF(INDEX([1]Sheet1!$1:$1048576,MATCH($E332,[1]Sheet1!$A:$A,0),MATCH("zizhi",[1]Sheet1!$2:$2,0))&gt;=13,0,3),0)&amp;IF($Q332="","","（"&amp;$Q332&amp;"）"))</f>
        <v>进阶+9：全队攻击提高15%</v>
      </c>
      <c r="T332" s="1"/>
      <c r="U332" s="1"/>
      <c r="V332" s="2" t="str">
        <f>VLOOKUP(COUNTIF($E$194:$E332,$E332),$L$184:$X$193,IF(H332=1,4,IF(H332=4,3,2))+IF(INDEX([1]Sheet1!$1:$1048576,MATCH($E332,[1]Sheet1!$A:$A,0),MATCH("zizhi",[1]Sheet1!$2:$2,0))&gt;=13,0,3)+6,0)</f>
        <v>58015</v>
      </c>
      <c r="W332" s="2" t="str">
        <f t="shared" si="23"/>
        <v>进阶+9：全队攻击提高15%</v>
      </c>
      <c r="X332" s="45" t="str">
        <f t="shared" si="21"/>
        <v>58015</v>
      </c>
      <c r="Y332" s="2"/>
      <c r="Z332" s="2"/>
      <c r="AA332" s="2"/>
    </row>
    <row r="333" spans="1:27" ht="33">
      <c r="A333" s="10">
        <f>E333*100+COUNTIF($E$194:$E333,$E333)</f>
        <v>112410</v>
      </c>
      <c r="B333" s="68" t="s">
        <v>1912</v>
      </c>
      <c r="C333" s="50" t="s">
        <v>2</v>
      </c>
      <c r="D333" s="10">
        <f t="shared" si="26"/>
        <v>1</v>
      </c>
      <c r="E333" s="45">
        <f>INDEX($I:$I,MATCH($E332,$I:$I,0)+IF(COUNTIF($E$194:$E332,$E332)&lt;=VLOOKUP($E332,$I$134:$K$193,3,0)-1,0,1),0)</f>
        <v>1124</v>
      </c>
      <c r="F333" s="45" t="str">
        <f t="shared" si="22"/>
        <v>沙和尚</v>
      </c>
      <c r="G333" s="45" t="s">
        <v>220</v>
      </c>
      <c r="H333" s="45">
        <f>VLOOKUP($E333,[1]Sheet1!$A:$G,7,0)</f>
        <v>2</v>
      </c>
      <c r="I333" s="45" t="str">
        <f>IF($G333="","",IF(COUNTIF(技能描述!$D:$D,$F333)&gt;0,VLOOKUP($F333&amp;$G333,技能描述!$A:$C,3,0),LEFT(VLOOKUP($E333,[1]Sheet1!$A:$J,10,0),FIND("_",VLOOKUP($E333,[1]Sheet1!$A:$J,10,0))-1)&amp;$G333))</f>
        <v>shaheshang_skill041</v>
      </c>
      <c r="J333" s="45" t="str">
        <f>IF($I333="","",VLOOKUP($I333,技能描述!$A:$C,3,0))</f>
        <v>沙和尚引爆水流，对范围内敌人进行3次攻击，使敌人受到自身攻击力@s的法伤,并造成流血效果，持续6秒</v>
      </c>
      <c r="K333" s="45" t="str">
        <f>IF($I333="","",INDEX([2]Sheet1!$1:$1048576,MATCH($I333,[2]Sheet1!$A:$A,0),MATCH("description_damage",[2]Sheet1!$2:$2,0)))</f>
        <v>112407</v>
      </c>
      <c r="L333" s="80" t="str">
        <f>IF($K333="","",IF(LEN($K333)-LEN(SUBSTITUTE($K333,",",""))=0,VLOOKUP(INT($K333),[3]Sheet1!$A:$C,3,0),VLOOKUP(INT(LEFT($K333,FIND(",",$K333)-1)),[3]Sheet1!$A:$C,3,0)))</f>
        <v>2|2|0.77|0|0|0</v>
      </c>
      <c r="M333" s="80" t="str">
        <f t="shared" si="27"/>
        <v>77%</v>
      </c>
      <c r="N333" s="45" t="str">
        <f>IF(LEN($K333)-LEN(SUBSTITUTE($K333,",",""))=1,VLOOKUP(INT(RIGHT($K333,LEN($K333)-FIND(",",$K333))),[3]Sheet1!$A:$C,3,0),"")</f>
        <v/>
      </c>
      <c r="O333" s="45" t="str">
        <f t="shared" si="24"/>
        <v/>
      </c>
      <c r="P333" s="45" t="str">
        <f t="shared" si="20"/>
        <v>沙和尚引爆水流，对范围内敌人进行3次攻击，使敌人受到自身攻击力77%的法伤,并造成流血效果，持续6秒</v>
      </c>
      <c r="Q333" s="45" t="str">
        <f t="shared" si="25"/>
        <v>沙和尚引爆水流，对范围内敌人进行3次攻击，使敌人受到自身攻击力77%的法伤,并造成流血效果，持续6秒</v>
      </c>
      <c r="R333" s="45"/>
      <c r="S333" s="45" t="str">
        <f>IF(ISERROR($Q333),"进阶+"&amp;COUNTIF($E$194:$E333,$E333)&amp;"："&amp;"找ZC配技能","进阶+"&amp;COUNTIF($E$194:$E333,$E333)&amp;"："&amp;VLOOKUP(COUNTIF($E$194:$E333,$E333),$L$184:$R$193,IF(H333=1,4,IF(H333=4,3,2))+IF(INDEX([1]Sheet1!$1:$1048576,MATCH($E333,[1]Sheet1!$A:$A,0),MATCH("zizhi",[1]Sheet1!$2:$2,0))&gt;=13,0,3),0)&amp;IF($Q333="","","（"&amp;$Q333&amp;"）"))</f>
        <v>进阶+10：增强AI2技能（沙和尚引爆水流，对范围内敌人进行3次攻击，使敌人受到自身攻击力77%的法伤,并造成流血效果，持续6秒）</v>
      </c>
      <c r="T333" s="1"/>
      <c r="U333" s="1"/>
      <c r="V333" s="2" t="str">
        <f>VLOOKUP(COUNTIF($E$194:$E333,$E333),$L$184:$X$193,IF(H333=1,4,IF(H333=4,3,2))+IF(INDEX([1]Sheet1!$1:$1048576,MATCH($E333,[1]Sheet1!$A:$A,0),MATCH("zizhi",[1]Sheet1!$2:$2,0))&gt;=13,0,3)+6,0)</f>
        <v>[]</v>
      </c>
      <c r="W333" s="2" t="str">
        <f t="shared" si="23"/>
        <v>进阶+10：增强AI2技能（沙和尚引爆水流，对范围内敌人进行3次攻击，使敌人受到自身攻击力77%的法伤,并造成流血效果，持续6秒）</v>
      </c>
      <c r="X333" s="45" t="str">
        <f t="shared" si="21"/>
        <v>[]</v>
      </c>
      <c r="Y333" s="2"/>
      <c r="Z333" s="2"/>
      <c r="AA333" s="2"/>
    </row>
    <row r="334" spans="1:27">
      <c r="A334" s="10">
        <f>E334*100+COUNTIF($E$194:$E334,$E334)</f>
        <v>112601</v>
      </c>
      <c r="B334" s="68" t="s">
        <v>319</v>
      </c>
      <c r="C334" s="50">
        <v>11090</v>
      </c>
      <c r="D334" s="10" t="str">
        <f t="shared" si="26"/>
        <v>[]</v>
      </c>
      <c r="E334" s="45">
        <f>INDEX($I:$I,MATCH($E333,$I:$I,0)+IF(COUNTIF($E$194:$E333,$E333)&lt;=VLOOKUP($E333,$I$134:$K$193,3,0)-1,0,1),0)</f>
        <v>1126</v>
      </c>
      <c r="F334" s="45" t="str">
        <f t="shared" si="22"/>
        <v>文殊菩萨</v>
      </c>
      <c r="H334" s="45">
        <f>VLOOKUP($E334,[1]Sheet1!$A:$G,7,0)</f>
        <v>1</v>
      </c>
      <c r="I334" s="45" t="str">
        <f>IF($G334="","",IF(COUNTIF(技能描述!$D:$D,$F334)&gt;0,VLOOKUP($F334&amp;$G334,技能描述!$A:$C,3,0),LEFT(VLOOKUP($E334,[1]Sheet1!$A:$J,10,0),FIND("_",VLOOKUP($E334,[1]Sheet1!$A:$J,10,0))-1)&amp;$G334))</f>
        <v/>
      </c>
      <c r="J334" s="45" t="str">
        <f>IF($I334="","",VLOOKUP($I334,技能描述!$A:$C,3,0))</f>
        <v/>
      </c>
      <c r="K334" s="45" t="str">
        <f>IF($I334="","",INDEX([2]Sheet1!$1:$1048576,MATCH($I334,[2]Sheet1!$A:$A,0),MATCH("description_damage",[2]Sheet1!$2:$2,0)))</f>
        <v/>
      </c>
      <c r="L334" s="80" t="str">
        <f>IF($K334="","",IF(LEN($K334)-LEN(SUBSTITUTE($K334,",",""))=0,VLOOKUP(INT($K334),[3]Sheet1!$A:$C,3,0),VLOOKUP(INT(LEFT($K334,FIND(",",$K334)-1)),[3]Sheet1!$A:$C,3,0)))</f>
        <v/>
      </c>
      <c r="M334" s="80" t="str">
        <f t="shared" si="27"/>
        <v/>
      </c>
      <c r="N334" s="45" t="str">
        <f>IF(LEN($K334)-LEN(SUBSTITUTE($K334,",",""))=1,VLOOKUP(INT(RIGHT($K334,LEN($K334)-FIND(",",$K334))),[3]Sheet1!$A:$C,3,0),"")</f>
        <v/>
      </c>
      <c r="O334" s="45" t="str">
        <f t="shared" si="24"/>
        <v/>
      </c>
      <c r="P334" s="45" t="str">
        <f t="shared" si="20"/>
        <v/>
      </c>
      <c r="Q334" s="45" t="str">
        <f t="shared" si="25"/>
        <v/>
      </c>
      <c r="R334" s="45"/>
      <c r="S334" s="45" t="str">
        <f>IF(ISERROR($Q334),"进阶+"&amp;COUNTIF($E$194:$E334,$E334)&amp;"："&amp;"找ZC配技能","进阶+"&amp;COUNTIF($E$194:$E334,$E334)&amp;"："&amp;VLOOKUP(COUNTIF($E$194:$E334,$E334),$L$184:$R$193,IF(H334=1,4,IF(H334=4,3,2))+IF(INDEX([1]Sheet1!$1:$1048576,MATCH($E334,[1]Sheet1!$A:$A,0),MATCH("zizhi",[1]Sheet1!$2:$2,0))&gt;=13,0,3),0)&amp;IF($Q334="","","（"&amp;$Q334&amp;"）"))</f>
        <v>进阶+1：生命提高10%</v>
      </c>
      <c r="T334" s="1"/>
      <c r="U334" s="1"/>
      <c r="V334" s="2">
        <f>VLOOKUP(COUNTIF($E$194:$E334,$E334),$L$184:$X$193,IF(H334=1,4,IF(H334=4,3,2))+IF(INDEX([1]Sheet1!$1:$1048576,MATCH($E334,[1]Sheet1!$A:$A,0),MATCH("zizhi",[1]Sheet1!$2:$2,0))&gt;=13,0,3)+6,0)</f>
        <v>11090</v>
      </c>
      <c r="W334" s="2" t="str">
        <f t="shared" si="23"/>
        <v>进阶+1：生命提高10%</v>
      </c>
      <c r="X334" s="45">
        <f t="shared" si="21"/>
        <v>11090</v>
      </c>
      <c r="Y334" s="2"/>
      <c r="Z334" s="2"/>
      <c r="AA334" s="2"/>
    </row>
    <row r="335" spans="1:27">
      <c r="A335" s="10">
        <f>E335*100+COUNTIF($E$194:$E335,$E335)</f>
        <v>112602</v>
      </c>
      <c r="B335" s="68" t="s">
        <v>335</v>
      </c>
      <c r="C335" s="50" t="s">
        <v>2</v>
      </c>
      <c r="D335" s="10">
        <f t="shared" si="26"/>
        <v>1</v>
      </c>
      <c r="E335" s="45">
        <f>INDEX($I:$I,MATCH($E334,$I:$I,0)+IF(COUNTIF($E$194:$E334,$E334)&lt;=VLOOKUP($E334,$I$134:$K$193,3,0)-1,0,1),0)</f>
        <v>1126</v>
      </c>
      <c r="F335" s="45" t="str">
        <f t="shared" si="22"/>
        <v>文殊菩萨</v>
      </c>
      <c r="G335" s="45" t="s">
        <v>216</v>
      </c>
      <c r="H335" s="45">
        <f>VLOOKUP($E335,[1]Sheet1!$A:$G,7,0)</f>
        <v>1</v>
      </c>
      <c r="I335" s="45" t="str">
        <f>IF($G335="","",IF(COUNTIF(技能描述!$D:$D,$F335)&gt;0,VLOOKUP($F335&amp;$G335,技能描述!$A:$C,3,0),LEFT(VLOOKUP($E335,[1]Sheet1!$A:$J,10,0),FIND("_",VLOOKUP($E335,[1]Sheet1!$A:$J,10,0))-1)&amp;$G335))</f>
        <v>wenshupusa_skill03</v>
      </c>
      <c r="J335" s="45" t="str">
        <f>IF($I335="","",VLOOKUP($I335,技能描述!$A:$C,3,0))</f>
        <v>进入战斗场景时，提升全体友军闪避率@s</v>
      </c>
      <c r="K335" s="45" t="str">
        <f>IF($I335="","",INDEX([2]Sheet1!$1:$1048576,MATCH($I335,[2]Sheet1!$A:$A,0),MATCH("description_damage",[2]Sheet1!$2:$2,0)))</f>
        <v>9010</v>
      </c>
      <c r="L335" s="80" t="str">
        <f>IF($K335="","",IF(LEN($K335)-LEN(SUBSTITUTE($K335,",",""))=0,VLOOKUP(INT($K335),[3]Sheet1!$A:$C,3,0),VLOOKUP(INT(LEFT($K335,FIND(",",$K335)-1)),[3]Sheet1!$A:$C,3,0)))</f>
        <v>4|3|0.1|0|1</v>
      </c>
      <c r="M335" s="80" t="str">
        <f t="shared" si="27"/>
        <v>10%</v>
      </c>
      <c r="N335" s="45" t="str">
        <f>IF(LEN($K335)-LEN(SUBSTITUTE($K335,",",""))=1,VLOOKUP(INT(RIGHT($K335,LEN($K335)-FIND(",",$K335))),[3]Sheet1!$A:$C,3,0),"")</f>
        <v/>
      </c>
      <c r="O335" s="45" t="str">
        <f t="shared" si="24"/>
        <v/>
      </c>
      <c r="P335" s="45" t="str">
        <f t="shared" si="20"/>
        <v>进入战斗场景时，提升全体友军闪避率10%</v>
      </c>
      <c r="Q335" s="45" t="str">
        <f t="shared" si="25"/>
        <v>进入战斗场景时，提升全体友军闪避率10%</v>
      </c>
      <c r="R335" s="45"/>
      <c r="S335" s="45" t="str">
        <f>IF(ISERROR($Q335),"进阶+"&amp;COUNTIF($E$194:$E335,$E335)&amp;"："&amp;"找ZC配技能","进阶+"&amp;COUNTIF($E$194:$E335,$E335)&amp;"："&amp;VLOOKUP(COUNTIF($E$194:$E335,$E335),$L$184:$R$193,IF(H335=1,4,IF(H335=4,3,2))+IF(INDEX([1]Sheet1!$1:$1048576,MATCH($E335,[1]Sheet1!$A:$A,0),MATCH("zizhi",[1]Sheet1!$2:$2,0))&gt;=13,0,3),0)&amp;IF($Q335="","","（"&amp;$Q335&amp;"）"))</f>
        <v>进阶+2：激活被动技能（进入战斗场景时，提升全体友军闪避率10%）</v>
      </c>
      <c r="T335" s="1"/>
      <c r="U335" s="1"/>
      <c r="V335" s="2" t="str">
        <f>VLOOKUP(COUNTIF($E$194:$E335,$E335),$L$184:$X$193,IF(H335=1,4,IF(H335=4,3,2))+IF(INDEX([1]Sheet1!$1:$1048576,MATCH($E335,[1]Sheet1!$A:$A,0),MATCH("zizhi",[1]Sheet1!$2:$2,0))&gt;=13,0,3)+6,0)</f>
        <v>[]</v>
      </c>
      <c r="W335" s="2" t="str">
        <f t="shared" si="23"/>
        <v>进阶+2：激活被动技能（进入战斗场景时，提升全体友军闪避率10%）</v>
      </c>
      <c r="X335" s="45" t="str">
        <f t="shared" si="21"/>
        <v>[]</v>
      </c>
      <c r="Y335" s="2"/>
      <c r="Z335" s="2"/>
      <c r="AA335" s="2"/>
    </row>
    <row r="336" spans="1:27">
      <c r="A336" s="10">
        <f>E336*100+COUNTIF($E$194:$E336,$E336)</f>
        <v>112603</v>
      </c>
      <c r="B336" s="68" t="s">
        <v>312</v>
      </c>
      <c r="C336" s="50" t="s">
        <v>127</v>
      </c>
      <c r="D336" s="10" t="str">
        <f t="shared" si="26"/>
        <v>[]</v>
      </c>
      <c r="E336" s="45">
        <f>INDEX($I:$I,MATCH($E335,$I:$I,0)+IF(COUNTIF($E$194:$E335,$E335)&lt;=VLOOKUP($E335,$I$134:$K$193,3,0)-1,0,1),0)</f>
        <v>1126</v>
      </c>
      <c r="F336" s="45" t="str">
        <f t="shared" si="22"/>
        <v>文殊菩萨</v>
      </c>
      <c r="H336" s="45">
        <f>VLOOKUP($E336,[1]Sheet1!$A:$G,7,0)</f>
        <v>1</v>
      </c>
      <c r="I336" s="45" t="str">
        <f>IF($G336="","",IF(COUNTIF(技能描述!$D:$D,$F336)&gt;0,VLOOKUP($F336&amp;$G336,技能描述!$A:$C,3,0),LEFT(VLOOKUP($E336,[1]Sheet1!$A:$J,10,0),FIND("_",VLOOKUP($E336,[1]Sheet1!$A:$J,10,0))-1)&amp;$G336))</f>
        <v/>
      </c>
      <c r="J336" s="45" t="str">
        <f>IF($I336="","",VLOOKUP($I336,技能描述!$A:$C,3,0))</f>
        <v/>
      </c>
      <c r="K336" s="45" t="str">
        <f>IF($I336="","",INDEX([2]Sheet1!$1:$1048576,MATCH($I336,[2]Sheet1!$A:$A,0),MATCH("description_damage",[2]Sheet1!$2:$2,0)))</f>
        <v/>
      </c>
      <c r="L336" s="80" t="str">
        <f>IF($K336="","",IF(LEN($K336)-LEN(SUBSTITUTE($K336,",",""))=0,VLOOKUP(INT($K336),[3]Sheet1!$A:$C,3,0),VLOOKUP(INT(LEFT($K336,FIND(",",$K336)-1)),[3]Sheet1!$A:$C,3,0)))</f>
        <v/>
      </c>
      <c r="M336" s="80" t="str">
        <f t="shared" si="27"/>
        <v/>
      </c>
      <c r="N336" s="45" t="str">
        <f>IF(LEN($K336)-LEN(SUBSTITUTE($K336,",",""))=1,VLOOKUP(INT(RIGHT($K336,LEN($K336)-FIND(",",$K336))),[3]Sheet1!$A:$C,3,0),"")</f>
        <v/>
      </c>
      <c r="O336" s="45" t="str">
        <f t="shared" si="24"/>
        <v/>
      </c>
      <c r="P336" s="45" t="str">
        <f t="shared" si="20"/>
        <v/>
      </c>
      <c r="Q336" s="45" t="str">
        <f t="shared" si="25"/>
        <v/>
      </c>
      <c r="R336" s="45"/>
      <c r="S336" s="45" t="str">
        <f>IF(ISERROR($Q336),"进阶+"&amp;COUNTIF($E$194:$E336,$E336)&amp;"："&amp;"找ZC配技能","进阶+"&amp;COUNTIF($E$194:$E336,$E336)&amp;"："&amp;VLOOKUP(COUNTIF($E$194:$E336,$E336),$L$184:$R$193,IF(H336=1,4,IF(H336=4,3,2))+IF(INDEX([1]Sheet1!$1:$1048576,MATCH($E336,[1]Sheet1!$A:$A,0),MATCH("zizhi",[1]Sheet1!$2:$2,0))&gt;=13,0,3),0)&amp;IF($Q336="","","（"&amp;$Q336&amp;"）"))</f>
        <v>进阶+3：攻击提高10%</v>
      </c>
      <c r="T336" s="1"/>
      <c r="U336" s="1"/>
      <c r="V336" s="2" t="str">
        <f>VLOOKUP(COUNTIF($E$194:$E336,$E336),$L$184:$X$193,IF(H336=1,4,IF(H336=4,3,2))+IF(INDEX([1]Sheet1!$1:$1048576,MATCH($E336,[1]Sheet1!$A:$A,0),MATCH("zizhi",[1]Sheet1!$2:$2,0))&gt;=13,0,3)+6,0)</f>
        <v>11050</v>
      </c>
      <c r="W336" s="2" t="str">
        <f t="shared" si="23"/>
        <v>进阶+3：攻击提高10%</v>
      </c>
      <c r="X336" s="45" t="str">
        <f t="shared" si="21"/>
        <v>11050</v>
      </c>
      <c r="Y336" s="2"/>
      <c r="Z336" s="2"/>
      <c r="AA336" s="2"/>
    </row>
    <row r="337" spans="1:27" s="61" customFormat="1" ht="33">
      <c r="A337" s="59">
        <f>E337*100+COUNTIF($E$194:$E337,$E337)</f>
        <v>112604</v>
      </c>
      <c r="B337" s="70" t="s">
        <v>1865</v>
      </c>
      <c r="C337" s="60" t="s">
        <v>2</v>
      </c>
      <c r="D337" s="10">
        <f t="shared" si="26"/>
        <v>1</v>
      </c>
      <c r="E337" s="45">
        <f>INDEX($I:$I,MATCH($E336,$I:$I,0)+IF(COUNTIF($E$194:$E336,$E336)&lt;=VLOOKUP($E336,$I$134:$K$193,3,0)-1,0,1),0)</f>
        <v>1126</v>
      </c>
      <c r="F337" s="45" t="str">
        <f t="shared" si="22"/>
        <v>文殊菩萨</v>
      </c>
      <c r="G337" s="45" t="s">
        <v>217</v>
      </c>
      <c r="H337" s="79">
        <f>VLOOKUP($E337,[1]Sheet1!$A:$G,7,0)</f>
        <v>1</v>
      </c>
      <c r="I337" s="45" t="str">
        <f>IF($G337="","",IF(COUNTIF(技能描述!$D:$D,$F337)&gt;0,VLOOKUP($F337&amp;$G337,技能描述!$A:$C,3,0),LEFT(VLOOKUP($E337,[1]Sheet1!$A:$J,10,0),FIND("_",VLOOKUP($E337,[1]Sheet1!$A:$J,10,0))-1)&amp;$G337))</f>
        <v>wenshupusa_skill04</v>
      </c>
      <c r="J337" s="79" t="str">
        <f>IF($I337="","",VLOOKUP($I337,技能描述!$A:$C,3,0))</f>
        <v>文殊菩萨召唤无数经文，对范围内敌人进行3次攻击，造成攻击力@s的法伤，每次攻击清除敌人1个增益状态</v>
      </c>
      <c r="K337" s="45" t="str">
        <f>IF($I337="","",INDEX([2]Sheet1!$1:$1048576,MATCH($I337,[2]Sheet1!$A:$A,0),MATCH("description_damage",[2]Sheet1!$2:$2,0)))</f>
        <v>112604</v>
      </c>
      <c r="L337" s="80" t="str">
        <f>IF($K337="","",IF(LEN($K337)-LEN(SUBSTITUTE($K337,",",""))=0,VLOOKUP(INT($K337),[3]Sheet1!$A:$C,3,0),VLOOKUP(INT(LEFT($K337,FIND(",",$K337)-1)),[3]Sheet1!$A:$C,3,0)))</f>
        <v>2|2|0.95|0|0|0</v>
      </c>
      <c r="M337" s="80" t="str">
        <f t="shared" si="27"/>
        <v>95%</v>
      </c>
      <c r="N337" s="45" t="str">
        <f>IF(LEN($K337)-LEN(SUBSTITUTE($K337,",",""))=1,VLOOKUP(INT(RIGHT($K337,LEN($K337)-FIND(",",$K337))),[3]Sheet1!$A:$C,3,0),"")</f>
        <v/>
      </c>
      <c r="O337" s="45" t="str">
        <f t="shared" si="24"/>
        <v/>
      </c>
      <c r="P337" s="45" t="str">
        <f t="shared" si="20"/>
        <v>文殊菩萨召唤无数经文，对范围内敌人进行3次攻击，造成攻击力95%的法伤，每次攻击清除敌人1个增益状态</v>
      </c>
      <c r="Q337" s="45" t="str">
        <f t="shared" si="25"/>
        <v>文殊菩萨召唤无数经文，对范围内敌人进行3次攻击，造成攻击力95%的法伤，每次攻击清除敌人1个增益状态</v>
      </c>
      <c r="R337" s="79"/>
      <c r="S337" s="45" t="str">
        <f>IF(ISERROR($Q337),"进阶+"&amp;COUNTIF($E$194:$E337,$E337)&amp;"："&amp;"找ZC配技能","进阶+"&amp;COUNTIF($E$194:$E337,$E337)&amp;"："&amp;VLOOKUP(COUNTIF($E$194:$E337,$E337),$L$184:$R$193,IF(H337=1,4,IF(H337=4,3,2))+IF(INDEX([1]Sheet1!$1:$1048576,MATCH($E337,[1]Sheet1!$A:$A,0),MATCH("zizhi",[1]Sheet1!$2:$2,0))&gt;=13,0,3),0)&amp;IF($Q337="","","（"&amp;$Q337&amp;"）"))</f>
        <v>进阶+4：激活AI2技能（文殊菩萨召唤无数经文，对范围内敌人进行3次攻击，造成攻击力95%的法伤，每次攻击清除敌人1个增益状态）</v>
      </c>
      <c r="V337" s="62" t="str">
        <f>VLOOKUP(COUNTIF($E$194:$E337,$E337),$L$184:$X$193,IF(H337=1,4,IF(H337=4,3,2))+IF(INDEX([1]Sheet1!$1:$1048576,MATCH($E337,[1]Sheet1!$A:$A,0),MATCH("zizhi",[1]Sheet1!$2:$2,0))&gt;=13,0,3)+6,0)</f>
        <v>[]</v>
      </c>
      <c r="W337" s="2" t="str">
        <f t="shared" si="23"/>
        <v>进阶+4：激活AI2技能（文殊菩萨召唤无数经文，对范围内敌人进行3次攻击，造成攻击力95%的法伤，每次攻击清除敌人1个增益状态）</v>
      </c>
      <c r="X337" s="45" t="str">
        <f t="shared" si="21"/>
        <v>[]</v>
      </c>
      <c r="Y337" s="2"/>
      <c r="Z337" s="62"/>
      <c r="AA337" s="62"/>
    </row>
    <row r="338" spans="1:27">
      <c r="A338" s="10">
        <f>E338*100+COUNTIF($E$194:$E338,$E338)</f>
        <v>112605</v>
      </c>
      <c r="B338" s="68" t="s">
        <v>323</v>
      </c>
      <c r="C338" s="50" t="s">
        <v>140</v>
      </c>
      <c r="D338" s="10" t="str">
        <f t="shared" si="26"/>
        <v>[]</v>
      </c>
      <c r="E338" s="45">
        <f>INDEX($I:$I,MATCH($E337,$I:$I,0)+IF(COUNTIF($E$194:$E337,$E337)&lt;=VLOOKUP($E337,$I$134:$K$193,3,0)-1,0,1),0)</f>
        <v>1126</v>
      </c>
      <c r="F338" s="45" t="str">
        <f t="shared" si="22"/>
        <v>文殊菩萨</v>
      </c>
      <c r="H338" s="45">
        <f>VLOOKUP($E338,[1]Sheet1!$A:$G,7,0)</f>
        <v>1</v>
      </c>
      <c r="I338" s="45" t="str">
        <f>IF($G338="","",IF(COUNTIF(技能描述!$D:$D,$F338)&gt;0,VLOOKUP($F338&amp;$G338,技能描述!$A:$C,3,0),LEFT(VLOOKUP($E338,[1]Sheet1!$A:$J,10,0),FIND("_",VLOOKUP($E338,[1]Sheet1!$A:$J,10,0))-1)&amp;$G338))</f>
        <v/>
      </c>
      <c r="J338" s="45" t="str">
        <f>IF($I338="","",VLOOKUP($I338,技能描述!$A:$C,3,0))</f>
        <v/>
      </c>
      <c r="K338" s="45" t="str">
        <f>IF($I338="","",INDEX([2]Sheet1!$1:$1048576,MATCH($I338,[2]Sheet1!$A:$A,0),MATCH("description_damage",[2]Sheet1!$2:$2,0)))</f>
        <v/>
      </c>
      <c r="L338" s="80" t="str">
        <f>IF($K338="","",IF(LEN($K338)-LEN(SUBSTITUTE($K338,",",""))=0,VLOOKUP(INT($K338),[3]Sheet1!$A:$C,3,0),VLOOKUP(INT(LEFT($K338,FIND(",",$K338)-1)),[3]Sheet1!$A:$C,3,0)))</f>
        <v/>
      </c>
      <c r="M338" s="80" t="str">
        <f t="shared" si="27"/>
        <v/>
      </c>
      <c r="N338" s="45" t="str">
        <f>IF(LEN($K338)-LEN(SUBSTITUTE($K338,",",""))=1,VLOOKUP(INT(RIGHT($K338,LEN($K338)-FIND(",",$K338))),[3]Sheet1!$A:$C,3,0),"")</f>
        <v/>
      </c>
      <c r="O338" s="45" t="str">
        <f t="shared" si="24"/>
        <v/>
      </c>
      <c r="P338" s="45" t="str">
        <f t="shared" si="20"/>
        <v/>
      </c>
      <c r="Q338" s="45" t="str">
        <f t="shared" si="25"/>
        <v/>
      </c>
      <c r="R338" s="45"/>
      <c r="S338" s="45" t="str">
        <f>IF(ISERROR($Q338),"进阶+"&amp;COUNTIF($E$194:$E338,$E338)&amp;"："&amp;"找ZC配技能","进阶+"&amp;COUNTIF($E$194:$E338,$E338)&amp;"："&amp;VLOOKUP(COUNTIF($E$194:$E338,$E338),$L$184:$R$193,IF(H338=1,4,IF(H338=4,3,2))+IF(INDEX([1]Sheet1!$1:$1048576,MATCH($E338,[1]Sheet1!$A:$A,0),MATCH("zizhi",[1]Sheet1!$2:$2,0))&gt;=13,0,3),0)&amp;IF($Q338="","","（"&amp;$Q338&amp;"）"))</f>
        <v>进阶+5：生命，防御提高10%</v>
      </c>
      <c r="T338" s="1"/>
      <c r="U338" s="1"/>
      <c r="V338" s="2" t="str">
        <f>VLOOKUP(COUNTIF($E$194:$E338,$E338),$L$184:$X$193,IF(H338=1,4,IF(H338=4,3,2))+IF(INDEX([1]Sheet1!$1:$1048576,MATCH($E338,[1]Sheet1!$A:$A,0),MATCH("zizhi",[1]Sheet1!$2:$2,0))&gt;=13,0,3)+6,0)</f>
        <v>11090,6502,6512</v>
      </c>
      <c r="W338" s="2" t="str">
        <f t="shared" si="23"/>
        <v>进阶+5：生命，防御提高10%</v>
      </c>
      <c r="X338" s="45" t="str">
        <f t="shared" si="21"/>
        <v>11090,6502,6512</v>
      </c>
      <c r="Y338" s="2"/>
      <c r="Z338" s="2"/>
      <c r="AA338" s="2"/>
    </row>
    <row r="339" spans="1:27" ht="33">
      <c r="A339" s="10">
        <f>E339*100+COUNTIF($E$194:$E339,$E339)</f>
        <v>112606</v>
      </c>
      <c r="B339" s="68" t="s">
        <v>2010</v>
      </c>
      <c r="C339" s="50" t="s">
        <v>2</v>
      </c>
      <c r="D339" s="10">
        <f t="shared" si="26"/>
        <v>1</v>
      </c>
      <c r="E339" s="45">
        <f>INDEX($I:$I,MATCH($E338,$I:$I,0)+IF(COUNTIF($E$194:$E338,$E338)&lt;=VLOOKUP($E338,$I$134:$K$193,3,0)-1,0,1),0)</f>
        <v>1126</v>
      </c>
      <c r="F339" s="45" t="str">
        <f t="shared" si="22"/>
        <v>文殊菩萨</v>
      </c>
      <c r="G339" s="45" t="s">
        <v>218</v>
      </c>
      <c r="H339" s="45">
        <f>VLOOKUP($E339,[1]Sheet1!$A:$G,7,0)</f>
        <v>1</v>
      </c>
      <c r="I339" s="45" t="str">
        <f>IF($G339="","",IF(COUNTIF(技能描述!$D:$D,$F339)&gt;0,VLOOKUP($F339&amp;$G339,技能描述!$A:$C,3,0),LEFT(VLOOKUP($E339,[1]Sheet1!$A:$J,10,0),FIND("_",VLOOKUP($E339,[1]Sheet1!$A:$J,10,0))-1)&amp;$G339))</f>
        <v>wenshupusa_skill011</v>
      </c>
      <c r="J339" s="45" t="str">
        <f>IF($I339="","",VLOOKUP($I339,技能描述!$A:$C,3,0))</f>
        <v>释放大范围佛光治疗全体友军，每0.5秒恢复主角攻击力@s的生命值，持续3秒</v>
      </c>
      <c r="K339" s="45" t="str">
        <f>IF($I339="","",INDEX([2]Sheet1!$1:$1048576,MATCH($I339,[2]Sheet1!$A:$A,0),MATCH("description_damage",[2]Sheet1!$2:$2,0)))</f>
        <v>9050</v>
      </c>
      <c r="L339" s="80" t="str">
        <f>IF($K339="","",IF(LEN($K339)-LEN(SUBSTITUTE($K339,",",""))=0,VLOOKUP(INT($K339),[3]Sheet1!$A:$C,3,0),VLOOKUP(INT(LEFT($K339,FIND(",",$K339)-1)),[3]Sheet1!$A:$C,3,0)))</f>
        <v>4|3|0.5|0|1</v>
      </c>
      <c r="M339" s="80" t="str">
        <f t="shared" si="27"/>
        <v>50%</v>
      </c>
      <c r="N339" s="45" t="str">
        <f>IF(LEN($K339)-LEN(SUBSTITUTE($K339,",",""))=1,VLOOKUP(INT(RIGHT($K339,LEN($K339)-FIND(",",$K339))),[3]Sheet1!$A:$C,3,0),"")</f>
        <v/>
      </c>
      <c r="O339" s="45" t="str">
        <f t="shared" si="24"/>
        <v/>
      </c>
      <c r="P339" s="45" t="str">
        <f t="shared" si="20"/>
        <v>释放大范围佛光治疗全体友军，每0.5秒恢复主角攻击力50%的生命值，持续3秒</v>
      </c>
      <c r="Q339" s="45" t="str">
        <f t="shared" si="25"/>
        <v>释放大范围佛光治疗全体友军，每0.5秒恢复主角攻击力50%的生命值，持续3秒</v>
      </c>
      <c r="R339" s="45"/>
      <c r="S339" s="45" t="str">
        <f>IF(ISERROR($Q339),"进阶+"&amp;COUNTIF($E$194:$E339,$E339)&amp;"："&amp;"找ZC配技能","进阶+"&amp;COUNTIF($E$194:$E339,$E339)&amp;"："&amp;VLOOKUP(COUNTIF($E$194:$E339,$E339),$L$184:$R$193,IF(H339=1,4,IF(H339=4,3,2))+IF(INDEX([1]Sheet1!$1:$1048576,MATCH($E339,[1]Sheet1!$A:$A,0),MATCH("zizhi",[1]Sheet1!$2:$2,0))&gt;=13,0,3),0)&amp;IF($Q339="","","（"&amp;$Q339&amp;"）"))</f>
        <v>进阶+6：增强主角技能（释放大范围佛光治疗全体友军，每0.5秒恢复主角攻击力50%的生命值，持续3秒）</v>
      </c>
      <c r="T339" s="1"/>
      <c r="U339" s="1"/>
      <c r="V339" s="2" t="str">
        <f>VLOOKUP(COUNTIF($E$194:$E339,$E339),$L$184:$X$193,IF(H339=1,4,IF(H339=4,3,2))+IF(INDEX([1]Sheet1!$1:$1048576,MATCH($E339,[1]Sheet1!$A:$A,0),MATCH("zizhi",[1]Sheet1!$2:$2,0))&gt;=13,0,3)+6,0)</f>
        <v>[]</v>
      </c>
      <c r="W339" s="2" t="str">
        <f t="shared" si="23"/>
        <v>进阶+6：增强主角技能（释放大范围佛光治疗全体友军，每0.5秒恢复主角攻击力50%的生命值，持续3秒）</v>
      </c>
      <c r="X339" s="45" t="str">
        <f t="shared" si="21"/>
        <v>[]</v>
      </c>
      <c r="Y339" s="2"/>
      <c r="Z339" s="2"/>
      <c r="AA339" s="2"/>
    </row>
    <row r="340" spans="1:27">
      <c r="A340" s="10">
        <f>E340*100+COUNTIF($E$194:$E340,$E340)</f>
        <v>112607</v>
      </c>
      <c r="B340" s="68" t="s">
        <v>360</v>
      </c>
      <c r="C340" s="50" t="s">
        <v>354</v>
      </c>
      <c r="D340" s="10" t="str">
        <f t="shared" si="26"/>
        <v>[]</v>
      </c>
      <c r="E340" s="45">
        <f>INDEX($I:$I,MATCH($E339,$I:$I,0)+IF(COUNTIF($E$194:$E339,$E339)&lt;=VLOOKUP($E339,$I$134:$K$193,3,0)-1,0,1),0)</f>
        <v>1126</v>
      </c>
      <c r="F340" s="45" t="str">
        <f t="shared" si="22"/>
        <v>文殊菩萨</v>
      </c>
      <c r="H340" s="45">
        <f>VLOOKUP($E340,[1]Sheet1!$A:$G,7,0)</f>
        <v>1</v>
      </c>
      <c r="I340" s="45" t="str">
        <f>IF($G340="","",IF(COUNTIF(技能描述!$D:$D,$F340)&gt;0,VLOOKUP($F340&amp;$G340,技能描述!$A:$C,3,0),LEFT(VLOOKUP($E340,[1]Sheet1!$A:$J,10,0),FIND("_",VLOOKUP($E340,[1]Sheet1!$A:$J,10,0))-1)&amp;$G340))</f>
        <v/>
      </c>
      <c r="J340" s="45" t="str">
        <f>IF($I340="","",VLOOKUP($I340,技能描述!$A:$C,3,0))</f>
        <v/>
      </c>
      <c r="K340" s="45" t="str">
        <f>IF($I340="","",INDEX([2]Sheet1!$1:$1048576,MATCH($I340,[2]Sheet1!$A:$A,0),MATCH("description_damage",[2]Sheet1!$2:$2,0)))</f>
        <v/>
      </c>
      <c r="L340" s="80" t="str">
        <f>IF($K340="","",IF(LEN($K340)-LEN(SUBSTITUTE($K340,",",""))=0,VLOOKUP(INT($K340),[3]Sheet1!$A:$C,3,0),VLOOKUP(INT(LEFT($K340,FIND(",",$K340)-1)),[3]Sheet1!$A:$C,3,0)))</f>
        <v/>
      </c>
      <c r="M340" s="80" t="str">
        <f t="shared" si="27"/>
        <v/>
      </c>
      <c r="N340" s="45" t="str">
        <f>IF(LEN($K340)-LEN(SUBSTITUTE($K340,",",""))=1,VLOOKUP(INT(RIGHT($K340,LEN($K340)-FIND(",",$K340))),[3]Sheet1!$A:$C,3,0),"")</f>
        <v/>
      </c>
      <c r="O340" s="45" t="str">
        <f t="shared" si="24"/>
        <v/>
      </c>
      <c r="P340" s="45" t="str">
        <f t="shared" si="20"/>
        <v/>
      </c>
      <c r="Q340" s="45" t="str">
        <f t="shared" si="25"/>
        <v/>
      </c>
      <c r="R340" s="45"/>
      <c r="S340" s="45" t="str">
        <f>IF(ISERROR($Q340),"进阶+"&amp;COUNTIF($E$194:$E340,$E340)&amp;"："&amp;"找ZC配技能","进阶+"&amp;COUNTIF($E$194:$E340,$E340)&amp;"："&amp;VLOOKUP(COUNTIF($E$194:$E340,$E340),$L$184:$R$193,IF(H340=1,4,IF(H340=4,3,2))+IF(INDEX([1]Sheet1!$1:$1048576,MATCH($E340,[1]Sheet1!$A:$A,0),MATCH("zizhi",[1]Sheet1!$2:$2,0))&gt;=13,0,3),0)&amp;IF($Q340="","","（"&amp;$Q340&amp;"）"))</f>
        <v>进阶+7：全队生命，防御提高10%</v>
      </c>
      <c r="T340" s="1"/>
      <c r="U340" s="1"/>
      <c r="V340" s="2" t="str">
        <f>VLOOKUP(COUNTIF($E$194:$E340,$E340),$L$184:$X$193,IF(H340=1,4,IF(H340=4,3,2))+IF(INDEX([1]Sheet1!$1:$1048576,MATCH($E340,[1]Sheet1!$A:$A,0),MATCH("zizhi",[1]Sheet1!$2:$2,0))&gt;=13,0,3)+6,0)</f>
        <v>57010,59010,60010</v>
      </c>
      <c r="W340" s="2" t="str">
        <f t="shared" si="23"/>
        <v>进阶+7：全队生命，防御提高10%</v>
      </c>
      <c r="X340" s="45" t="str">
        <f t="shared" si="21"/>
        <v>57010,59010,60010</v>
      </c>
      <c r="Y340" s="2"/>
      <c r="Z340" s="2"/>
      <c r="AA340" s="2"/>
    </row>
    <row r="341" spans="1:27" ht="33">
      <c r="A341" s="10">
        <f>E341*100+COUNTIF($E$194:$E341,$E341)</f>
        <v>112608</v>
      </c>
      <c r="B341" s="68" t="s">
        <v>2011</v>
      </c>
      <c r="C341" s="50" t="s">
        <v>2</v>
      </c>
      <c r="D341" s="10">
        <f t="shared" si="26"/>
        <v>1</v>
      </c>
      <c r="E341" s="45">
        <f>INDEX($I:$I,MATCH($E340,$I:$I,0)+IF(COUNTIF($E$194:$E340,$E340)&lt;=VLOOKUP($E340,$I$134:$K$193,3,0)-1,0,1),0)</f>
        <v>1126</v>
      </c>
      <c r="F341" s="45" t="str">
        <f t="shared" si="22"/>
        <v>文殊菩萨</v>
      </c>
      <c r="G341" s="45" t="s">
        <v>219</v>
      </c>
      <c r="H341" s="45">
        <f>VLOOKUP($E341,[1]Sheet1!$A:$G,7,0)</f>
        <v>1</v>
      </c>
      <c r="I341" s="45" t="str">
        <f>IF($G341="","",IF(COUNTIF(技能描述!$D:$D,$F341)&gt;0,VLOOKUP($F341&amp;$G341,技能描述!$A:$C,3,0),LEFT(VLOOKUP($E341,[1]Sheet1!$A:$J,10,0),FIND("_",VLOOKUP($E341,[1]Sheet1!$A:$J,10,0))-1)&amp;$G341))</f>
        <v>wenshupusa_skill021</v>
      </c>
      <c r="J341" s="45" t="str">
        <f>IF($I341="","",VLOOKUP($I341,技能描述!$A:$C,3,0))</f>
        <v>文殊菩萨召唤佛光治疗阵，治疗生命值百分比最低的友军，恢复自身攻击力@s的生命值</v>
      </c>
      <c r="K341" s="45" t="str">
        <f>IF($I341="","",INDEX([2]Sheet1!$1:$1048576,MATCH($I341,[2]Sheet1!$A:$A,0),MATCH("description_damage",[2]Sheet1!$2:$2,0)))</f>
        <v>112606</v>
      </c>
      <c r="L341" s="80" t="str">
        <f>IF($K341="","",IF(LEN($K341)-LEN(SUBSTITUTE($K341,",",""))=0,VLOOKUP(INT($K341),[3]Sheet1!$A:$C,3,0),VLOOKUP(INT(LEFT($K341,FIND(",",$K341)-1)),[3]Sheet1!$A:$C,3,0)))</f>
        <v>3|1|3.42|0</v>
      </c>
      <c r="M341" s="80" t="str">
        <f t="shared" si="27"/>
        <v>342%</v>
      </c>
      <c r="N341" s="45" t="str">
        <f>IF(LEN($K341)-LEN(SUBSTITUTE($K341,",",""))=1,VLOOKUP(INT(RIGHT($K341,LEN($K341)-FIND(",",$K341))),[3]Sheet1!$A:$C,3,0),"")</f>
        <v/>
      </c>
      <c r="O341" s="45" t="str">
        <f t="shared" si="24"/>
        <v/>
      </c>
      <c r="P341" s="45" t="str">
        <f t="shared" si="20"/>
        <v>文殊菩萨召唤佛光治疗阵，治疗生命值百分比最低的友军，恢复自身攻击力342%的生命值</v>
      </c>
      <c r="Q341" s="45" t="str">
        <f t="shared" si="25"/>
        <v>文殊菩萨召唤佛光治疗阵，治疗生命值百分比最低的友军，恢复自身攻击力342%的生命值</v>
      </c>
      <c r="R341" s="45"/>
      <c r="S341" s="45" t="str">
        <f>IF(ISERROR($Q341),"进阶+"&amp;COUNTIF($E$194:$E341,$E341)&amp;"："&amp;"找ZC配技能","进阶+"&amp;COUNTIF($E$194:$E341,$E341)&amp;"："&amp;VLOOKUP(COUNTIF($E$194:$E341,$E341),$L$184:$R$193,IF(H341=1,4,IF(H341=4,3,2))+IF(INDEX([1]Sheet1!$1:$1048576,MATCH($E341,[1]Sheet1!$A:$A,0),MATCH("zizhi",[1]Sheet1!$2:$2,0))&gt;=13,0,3),0)&amp;IF($Q341="","","（"&amp;$Q341&amp;"）"))</f>
        <v>进阶+8：增强AI1技能（文殊菩萨召唤佛光治疗阵，治疗生命值百分比最低的友军，恢复自身攻击力342%的生命值）</v>
      </c>
      <c r="T341" s="1"/>
      <c r="U341" s="1"/>
      <c r="V341" s="2" t="str">
        <f>VLOOKUP(COUNTIF($E$194:$E341,$E341),$L$184:$X$193,IF(H341=1,4,IF(H341=4,3,2))+IF(INDEX([1]Sheet1!$1:$1048576,MATCH($E341,[1]Sheet1!$A:$A,0),MATCH("zizhi",[1]Sheet1!$2:$2,0))&gt;=13,0,3)+6,0)</f>
        <v>[]</v>
      </c>
      <c r="W341" s="2" t="str">
        <f t="shared" si="23"/>
        <v>进阶+8：增强AI1技能（文殊菩萨召唤佛光治疗阵，治疗生命值百分比最低的友军，恢复自身攻击力342%的生命值）</v>
      </c>
      <c r="X341" s="45" t="str">
        <f t="shared" si="21"/>
        <v>[]</v>
      </c>
      <c r="Y341" s="2"/>
      <c r="Z341" s="2"/>
      <c r="AA341" s="2"/>
    </row>
    <row r="342" spans="1:27">
      <c r="A342" s="10">
        <f>E342*100+COUNTIF($E$194:$E342,$E342)</f>
        <v>112609</v>
      </c>
      <c r="B342" s="68" t="s">
        <v>1902</v>
      </c>
      <c r="C342" s="50" t="s">
        <v>357</v>
      </c>
      <c r="D342" s="10" t="str">
        <f t="shared" si="26"/>
        <v>[]</v>
      </c>
      <c r="E342" s="45">
        <f>INDEX($I:$I,MATCH($E341,$I:$I,0)+IF(COUNTIF($E$194:$E341,$E341)&lt;=VLOOKUP($E341,$I$134:$K$193,3,0)-1,0,1),0)</f>
        <v>1126</v>
      </c>
      <c r="F342" s="45" t="str">
        <f t="shared" si="22"/>
        <v>文殊菩萨</v>
      </c>
      <c r="H342" s="45">
        <f>VLOOKUP($E342,[1]Sheet1!$A:$G,7,0)</f>
        <v>1</v>
      </c>
      <c r="I342" s="45" t="str">
        <f>IF($G342="","",IF(COUNTIF(技能描述!$D:$D,$F342)&gt;0,VLOOKUP($F342&amp;$G342,技能描述!$A:$C,3,0),LEFT(VLOOKUP($E342,[1]Sheet1!$A:$J,10,0),FIND("_",VLOOKUP($E342,[1]Sheet1!$A:$J,10,0))-1)&amp;$G342))</f>
        <v/>
      </c>
      <c r="J342" s="45" t="str">
        <f>IF($I342="","",VLOOKUP($I342,技能描述!$A:$C,3,0))</f>
        <v/>
      </c>
      <c r="K342" s="45" t="str">
        <f>IF($I342="","",INDEX([2]Sheet1!$1:$1048576,MATCH($I342,[2]Sheet1!$A:$A,0),MATCH("description_damage",[2]Sheet1!$2:$2,0)))</f>
        <v/>
      </c>
      <c r="L342" s="80" t="str">
        <f>IF($K342="","",IF(LEN($K342)-LEN(SUBSTITUTE($K342,",",""))=0,VLOOKUP(INT($K342),[3]Sheet1!$A:$C,3,0),VLOOKUP(INT(LEFT($K342,FIND(",",$K342)-1)),[3]Sheet1!$A:$C,3,0)))</f>
        <v/>
      </c>
      <c r="M342" s="80" t="str">
        <f t="shared" si="27"/>
        <v/>
      </c>
      <c r="N342" s="45" t="str">
        <f>IF(LEN($K342)-LEN(SUBSTITUTE($K342,",",""))=1,VLOOKUP(INT(RIGHT($K342,LEN($K342)-FIND(",",$K342))),[3]Sheet1!$A:$C,3,0),"")</f>
        <v/>
      </c>
      <c r="O342" s="45" t="str">
        <f t="shared" si="24"/>
        <v/>
      </c>
      <c r="P342" s="45" t="str">
        <f t="shared" si="20"/>
        <v/>
      </c>
      <c r="Q342" s="45" t="str">
        <f t="shared" si="25"/>
        <v/>
      </c>
      <c r="R342" s="45"/>
      <c r="S342" s="45" t="str">
        <f>IF(ISERROR($Q342),"进阶+"&amp;COUNTIF($E$194:$E342,$E342)&amp;"："&amp;"找ZC配技能","进阶+"&amp;COUNTIF($E$194:$E342,$E342)&amp;"："&amp;VLOOKUP(COUNTIF($E$194:$E342,$E342),$L$184:$R$193,IF(H342=1,4,IF(H342=4,3,2))+IF(INDEX([1]Sheet1!$1:$1048576,MATCH($E342,[1]Sheet1!$A:$A,0),MATCH("zizhi",[1]Sheet1!$2:$2,0))&gt;=13,0,3),0)&amp;IF($Q342="","","（"&amp;$Q342&amp;"）"))</f>
        <v>进阶+9：全队生命，防御提高15%</v>
      </c>
      <c r="T342" s="1"/>
      <c r="U342" s="1"/>
      <c r="V342" s="2" t="str">
        <f>VLOOKUP(COUNTIF($E$194:$E342,$E342),$L$184:$X$193,IF(H342=1,4,IF(H342=4,3,2))+IF(INDEX([1]Sheet1!$1:$1048576,MATCH($E342,[1]Sheet1!$A:$A,0),MATCH("zizhi",[1]Sheet1!$2:$2,0))&gt;=13,0,3)+6,0)</f>
        <v>57015,59015,60015</v>
      </c>
      <c r="W342" s="2" t="str">
        <f t="shared" si="23"/>
        <v>进阶+9：全队生命，防御提高15%</v>
      </c>
      <c r="X342" s="45" t="str">
        <f t="shared" si="21"/>
        <v>57015,59015,60015</v>
      </c>
      <c r="Y342" s="2"/>
      <c r="Z342" s="2"/>
      <c r="AA342" s="2"/>
    </row>
    <row r="343" spans="1:27" ht="33">
      <c r="A343" s="10">
        <f>E343*100+COUNTIF($E$194:$E343,$E343)</f>
        <v>112610</v>
      </c>
      <c r="B343" s="68" t="s">
        <v>1913</v>
      </c>
      <c r="C343" s="50" t="s">
        <v>2</v>
      </c>
      <c r="D343" s="10">
        <f t="shared" si="26"/>
        <v>1</v>
      </c>
      <c r="E343" s="45">
        <f>INDEX($I:$I,MATCH($E342,$I:$I,0)+IF(COUNTIF($E$194:$E342,$E342)&lt;=VLOOKUP($E342,$I$134:$K$193,3,0)-1,0,1),0)</f>
        <v>1126</v>
      </c>
      <c r="F343" s="45" t="str">
        <f t="shared" si="22"/>
        <v>文殊菩萨</v>
      </c>
      <c r="G343" s="45" t="s">
        <v>220</v>
      </c>
      <c r="H343" s="45">
        <f>VLOOKUP($E343,[1]Sheet1!$A:$G,7,0)</f>
        <v>1</v>
      </c>
      <c r="I343" s="45" t="str">
        <f>IF($G343="","",IF(COUNTIF(技能描述!$D:$D,$F343)&gt;0,VLOOKUP($F343&amp;$G343,技能描述!$A:$C,3,0),LEFT(VLOOKUP($E343,[1]Sheet1!$A:$J,10,0),FIND("_",VLOOKUP($E343,[1]Sheet1!$A:$J,10,0))-1)&amp;$G343))</f>
        <v>wenshupusa_skill041</v>
      </c>
      <c r="J343" s="45" t="str">
        <f>IF($I343="","",VLOOKUP($I343,技能描述!$A:$C,3,0))</f>
        <v>文殊菩萨召唤无数经文，对范围内敌人进行3次攻击，造成攻击力@s的法伤，并清除敌人所有增益状态</v>
      </c>
      <c r="K343" s="45" t="str">
        <f>IF($I343="","",INDEX([2]Sheet1!$1:$1048576,MATCH($I343,[2]Sheet1!$A:$A,0),MATCH("description_damage",[2]Sheet1!$2:$2,0)))</f>
        <v>112607</v>
      </c>
      <c r="L343" s="80" t="str">
        <f>IF($K343="","",IF(LEN($K343)-LEN(SUBSTITUTE($K343,",",""))=0,VLOOKUP(INT($K343),[3]Sheet1!$A:$C,3,0),VLOOKUP(INT(LEFT($K343,FIND(",",$K343)-1)),[3]Sheet1!$A:$C,3,0)))</f>
        <v>2|2|1.07|0|0|0</v>
      </c>
      <c r="M343" s="80" t="str">
        <f t="shared" si="27"/>
        <v>107%</v>
      </c>
      <c r="N343" s="45" t="str">
        <f>IF(LEN($K343)-LEN(SUBSTITUTE($K343,",",""))=1,VLOOKUP(INT(RIGHT($K343,LEN($K343)-FIND(",",$K343))),[3]Sheet1!$A:$C,3,0),"")</f>
        <v/>
      </c>
      <c r="O343" s="45" t="str">
        <f t="shared" si="24"/>
        <v/>
      </c>
      <c r="P343" s="45" t="str">
        <f t="shared" si="20"/>
        <v>文殊菩萨召唤无数经文，对范围内敌人进行3次攻击，造成攻击力107%的法伤，并清除敌人所有增益状态</v>
      </c>
      <c r="Q343" s="45" t="str">
        <f t="shared" si="25"/>
        <v>文殊菩萨召唤无数经文，对范围内敌人进行3次攻击，造成攻击力107%的法伤，并清除敌人所有增益状态</v>
      </c>
      <c r="R343" s="45"/>
      <c r="S343" s="45" t="str">
        <f>IF(ISERROR($Q343),"进阶+"&amp;COUNTIF($E$194:$E343,$E343)&amp;"："&amp;"找ZC配技能","进阶+"&amp;COUNTIF($E$194:$E343,$E343)&amp;"："&amp;VLOOKUP(COUNTIF($E$194:$E343,$E343),$L$184:$R$193,IF(H343=1,4,IF(H343=4,3,2))+IF(INDEX([1]Sheet1!$1:$1048576,MATCH($E343,[1]Sheet1!$A:$A,0),MATCH("zizhi",[1]Sheet1!$2:$2,0))&gt;=13,0,3),0)&amp;IF($Q343="","","（"&amp;$Q343&amp;"）"))</f>
        <v>进阶+10：增强AI2技能（文殊菩萨召唤无数经文，对范围内敌人进行3次攻击，造成攻击力107%的法伤，并清除敌人所有增益状态）</v>
      </c>
      <c r="T343" s="1"/>
      <c r="U343" s="1"/>
      <c r="V343" s="2" t="str">
        <f>VLOOKUP(COUNTIF($E$194:$E343,$E343),$L$184:$X$193,IF(H343=1,4,IF(H343=4,3,2))+IF(INDEX([1]Sheet1!$1:$1048576,MATCH($E343,[1]Sheet1!$A:$A,0),MATCH("zizhi",[1]Sheet1!$2:$2,0))&gt;=13,0,3)+6,0)</f>
        <v>[]</v>
      </c>
      <c r="W343" s="2" t="str">
        <f t="shared" si="23"/>
        <v>进阶+10：增强AI2技能（文殊菩萨召唤无数经文，对范围内敌人进行3次攻击，造成攻击力107%的法伤，并清除敌人所有增益状态）</v>
      </c>
      <c r="X343" s="45" t="str">
        <f t="shared" si="21"/>
        <v>[]</v>
      </c>
      <c r="Y343" s="2"/>
      <c r="Z343" s="2"/>
      <c r="AA343" s="2"/>
    </row>
    <row r="344" spans="1:27">
      <c r="A344" s="10">
        <f>E344*100+COUNTIF($E$194:$E344,$E344)</f>
        <v>121301</v>
      </c>
      <c r="B344" s="68" t="s">
        <v>310</v>
      </c>
      <c r="C344" s="50" t="s">
        <v>127</v>
      </c>
      <c r="D344" s="10" t="str">
        <f t="shared" si="26"/>
        <v>[]</v>
      </c>
      <c r="E344" s="45">
        <f>INDEX($I:$I,MATCH($E343,$I:$I,0)+IF(COUNTIF($E$194:$E343,$E343)&lt;=VLOOKUP($E343,$I$134:$K$193,3,0)-1,0,1),0)</f>
        <v>1213</v>
      </c>
      <c r="F344" s="45" t="str">
        <f t="shared" si="22"/>
        <v>龙帝</v>
      </c>
      <c r="H344" s="45">
        <f>VLOOKUP($E344,[1]Sheet1!$A:$G,7,0)</f>
        <v>2</v>
      </c>
      <c r="I344" s="45" t="str">
        <f>IF($G344="","",IF(COUNTIF(技能描述!$D:$D,$F344)&gt;0,VLOOKUP($F344&amp;$G344,技能描述!$A:$C,3,0),LEFT(VLOOKUP($E344,[1]Sheet1!$A:$J,10,0),FIND("_",VLOOKUP($E344,[1]Sheet1!$A:$J,10,0))-1)&amp;$G344))</f>
        <v/>
      </c>
      <c r="J344" s="45" t="str">
        <f>IF($I344="","",VLOOKUP($I344,技能描述!$A:$C,3,0))</f>
        <v/>
      </c>
      <c r="K344" s="45" t="str">
        <f>IF($I344="","",INDEX([2]Sheet1!$1:$1048576,MATCH($I344,[2]Sheet1!$A:$A,0),MATCH("description_damage",[2]Sheet1!$2:$2,0)))</f>
        <v/>
      </c>
      <c r="L344" s="80" t="str">
        <f>IF($K344="","",IF(LEN($K344)-LEN(SUBSTITUTE($K344,",",""))=0,VLOOKUP(INT($K344),[3]Sheet1!$A:$C,3,0),VLOOKUP(INT(LEFT($K344,FIND(",",$K344)-1)),[3]Sheet1!$A:$C,3,0)))</f>
        <v/>
      </c>
      <c r="M344" s="80" t="str">
        <f t="shared" si="27"/>
        <v/>
      </c>
      <c r="N344" s="45" t="str">
        <f>IF(LEN($K344)-LEN(SUBSTITUTE($K344,",",""))=1,VLOOKUP(INT(RIGHT($K344,LEN($K344)-FIND(",",$K344))),[3]Sheet1!$A:$C,3,0),"")</f>
        <v/>
      </c>
      <c r="O344" s="45" t="str">
        <f t="shared" si="24"/>
        <v/>
      </c>
      <c r="P344" s="45" t="str">
        <f t="shared" si="20"/>
        <v/>
      </c>
      <c r="Q344" s="45" t="str">
        <f t="shared" si="25"/>
        <v/>
      </c>
      <c r="R344" s="45"/>
      <c r="S344" s="45" t="str">
        <f>IF(ISERROR($Q344),"进阶+"&amp;COUNTIF($E$194:$E344,$E344)&amp;"："&amp;"找ZC配技能","进阶+"&amp;COUNTIF($E$194:$E344,$E344)&amp;"："&amp;VLOOKUP(COUNTIF($E$194:$E344,$E344),$L$184:$R$193,IF(H344=1,4,IF(H344=4,3,2))+IF(INDEX([1]Sheet1!$1:$1048576,MATCH($E344,[1]Sheet1!$A:$A,0),MATCH("zizhi",[1]Sheet1!$2:$2,0))&gt;=13,0,3),0)&amp;IF($Q344="","","（"&amp;$Q344&amp;"）"))</f>
        <v>进阶+1：攻击提高10%</v>
      </c>
      <c r="T344" s="1"/>
      <c r="U344" s="1"/>
      <c r="V344" s="2" t="str">
        <f>VLOOKUP(COUNTIF($E$194:$E344,$E344),$L$184:$X$193,IF(H344=1,4,IF(H344=4,3,2))+IF(INDEX([1]Sheet1!$1:$1048576,MATCH($E344,[1]Sheet1!$A:$A,0),MATCH("zizhi",[1]Sheet1!$2:$2,0))&gt;=13,0,3)+6,0)</f>
        <v>11050</v>
      </c>
      <c r="W344" s="2" t="str">
        <f t="shared" si="23"/>
        <v>进阶+1：攻击提高10%</v>
      </c>
      <c r="X344" s="45" t="str">
        <f t="shared" si="21"/>
        <v>11050</v>
      </c>
      <c r="Y344" s="2"/>
      <c r="Z344" s="2"/>
      <c r="AA344" s="2"/>
    </row>
    <row r="345" spans="1:27">
      <c r="A345" s="10">
        <f>E345*100+COUNTIF($E$194:$E345,$E345)</f>
        <v>121302</v>
      </c>
      <c r="B345" s="68" t="s">
        <v>334</v>
      </c>
      <c r="C345" s="50" t="s">
        <v>2</v>
      </c>
      <c r="D345" s="10">
        <f t="shared" si="26"/>
        <v>1</v>
      </c>
      <c r="E345" s="45">
        <f>INDEX($I:$I,MATCH($E344,$I:$I,0)+IF(COUNTIF($E$194:$E344,$E344)&lt;=VLOOKUP($E344,$I$134:$K$193,3,0)-1,0,1),0)</f>
        <v>1213</v>
      </c>
      <c r="F345" s="45" t="str">
        <f t="shared" si="22"/>
        <v>龙帝</v>
      </c>
      <c r="G345" s="45" t="s">
        <v>216</v>
      </c>
      <c r="H345" s="45">
        <f>VLOOKUP($E345,[1]Sheet1!$A:$G,7,0)</f>
        <v>2</v>
      </c>
      <c r="I345" s="45" t="str">
        <f>IF($G345="","",IF(COUNTIF(技能描述!$D:$D,$F345)&gt;0,VLOOKUP($F345&amp;$G345,技能描述!$A:$C,3,0),LEFT(VLOOKUP($E345,[1]Sheet1!$A:$J,10,0),FIND("_",VLOOKUP($E345,[1]Sheet1!$A:$J,10,0))-1)&amp;$G345))</f>
        <v>longdi_skill03</v>
      </c>
      <c r="J345" s="45" t="str">
        <f>IF($I345="","",VLOOKUP($I345,技能描述!$A:$C,3,0))</f>
        <v>进入战斗场景时，提升自身造成的伤害@s</v>
      </c>
      <c r="K345" s="45" t="str">
        <f>IF($I345="","",INDEX([2]Sheet1!$1:$1048576,MATCH($I345,[2]Sheet1!$A:$A,0),MATCH("description_damage",[2]Sheet1!$2:$2,0)))</f>
        <v>9010</v>
      </c>
      <c r="L345" s="80" t="str">
        <f>IF($K345="","",IF(LEN($K345)-LEN(SUBSTITUTE($K345,",",""))=0,VLOOKUP(INT($K345),[3]Sheet1!$A:$C,3,0),VLOOKUP(INT(LEFT($K345,FIND(",",$K345)-1)),[3]Sheet1!$A:$C,3,0)))</f>
        <v>4|3|0.1|0|1</v>
      </c>
      <c r="M345" s="80" t="str">
        <f t="shared" si="27"/>
        <v>10%</v>
      </c>
      <c r="N345" s="45" t="str">
        <f>IF(LEN($K345)-LEN(SUBSTITUTE($K345,",",""))=1,VLOOKUP(INT(RIGHT($K345,LEN($K345)-FIND(",",$K345))),[3]Sheet1!$A:$C,3,0),"")</f>
        <v/>
      </c>
      <c r="O345" s="45" t="str">
        <f t="shared" si="24"/>
        <v/>
      </c>
      <c r="P345" s="45" t="str">
        <f t="shared" si="20"/>
        <v>进入战斗场景时，提升自身造成的伤害10%</v>
      </c>
      <c r="Q345" s="45" t="str">
        <f t="shared" si="25"/>
        <v>进入战斗场景时，提升自身造成的伤害10%</v>
      </c>
      <c r="R345" s="45"/>
      <c r="S345" s="45" t="str">
        <f>IF(ISERROR($Q345),"进阶+"&amp;COUNTIF($E$194:$E345,$E345)&amp;"："&amp;"找ZC配技能","进阶+"&amp;COUNTIF($E$194:$E345,$E345)&amp;"："&amp;VLOOKUP(COUNTIF($E$194:$E345,$E345),$L$184:$R$193,IF(H345=1,4,IF(H345=4,3,2))+IF(INDEX([1]Sheet1!$1:$1048576,MATCH($E345,[1]Sheet1!$A:$A,0),MATCH("zizhi",[1]Sheet1!$2:$2,0))&gt;=13,0,3),0)&amp;IF($Q345="","","（"&amp;$Q345&amp;"）"))</f>
        <v>进阶+2：激活被动技能（进入战斗场景时，提升自身造成的伤害10%）</v>
      </c>
      <c r="T345" s="1"/>
      <c r="U345" s="1"/>
      <c r="V345" s="2" t="str">
        <f>VLOOKUP(COUNTIF($E$194:$E345,$E345),$L$184:$X$193,IF(H345=1,4,IF(H345=4,3,2))+IF(INDEX([1]Sheet1!$1:$1048576,MATCH($E345,[1]Sheet1!$A:$A,0),MATCH("zizhi",[1]Sheet1!$2:$2,0))&gt;=13,0,3)+6,0)</f>
        <v>[]</v>
      </c>
      <c r="W345" s="2" t="str">
        <f t="shared" si="23"/>
        <v>进阶+2：激活被动技能（进入战斗场景时，提升自身造成的伤害10%）</v>
      </c>
      <c r="X345" s="45" t="str">
        <f t="shared" si="21"/>
        <v>[]</v>
      </c>
      <c r="Y345" s="2"/>
      <c r="Z345" s="2"/>
      <c r="AA345" s="2"/>
    </row>
    <row r="346" spans="1:27">
      <c r="A346" s="10">
        <f>E346*100+COUNTIF($E$194:$E346,$E346)</f>
        <v>121303</v>
      </c>
      <c r="B346" s="68" t="s">
        <v>312</v>
      </c>
      <c r="C346" s="50" t="s">
        <v>127</v>
      </c>
      <c r="D346" s="10" t="str">
        <f t="shared" si="26"/>
        <v>[]</v>
      </c>
      <c r="E346" s="45">
        <f>INDEX($I:$I,MATCH($E345,$I:$I,0)+IF(COUNTIF($E$194:$E345,$E345)&lt;=VLOOKUP($E345,$I$134:$K$193,3,0)-1,0,1),0)</f>
        <v>1213</v>
      </c>
      <c r="F346" s="45" t="str">
        <f t="shared" si="22"/>
        <v>龙帝</v>
      </c>
      <c r="H346" s="45">
        <f>VLOOKUP($E346,[1]Sheet1!$A:$G,7,0)</f>
        <v>2</v>
      </c>
      <c r="I346" s="45" t="str">
        <f>IF($G346="","",IF(COUNTIF(技能描述!$D:$D,$F346)&gt;0,VLOOKUP($F346&amp;$G346,技能描述!$A:$C,3,0),LEFT(VLOOKUP($E346,[1]Sheet1!$A:$J,10,0),FIND("_",VLOOKUP($E346,[1]Sheet1!$A:$J,10,0))-1)&amp;$G346))</f>
        <v/>
      </c>
      <c r="J346" s="45" t="str">
        <f>IF($I346="","",VLOOKUP($I346,技能描述!$A:$C,3,0))</f>
        <v/>
      </c>
      <c r="K346" s="45" t="str">
        <f>IF($I346="","",INDEX([2]Sheet1!$1:$1048576,MATCH($I346,[2]Sheet1!$A:$A,0),MATCH("description_damage",[2]Sheet1!$2:$2,0)))</f>
        <v/>
      </c>
      <c r="L346" s="80" t="str">
        <f>IF($K346="","",IF(LEN($K346)-LEN(SUBSTITUTE($K346,",",""))=0,VLOOKUP(INT($K346),[3]Sheet1!$A:$C,3,0),VLOOKUP(INT(LEFT($K346,FIND(",",$K346)-1)),[3]Sheet1!$A:$C,3,0)))</f>
        <v/>
      </c>
      <c r="M346" s="80" t="str">
        <f t="shared" si="27"/>
        <v/>
      </c>
      <c r="N346" s="45" t="str">
        <f>IF(LEN($K346)-LEN(SUBSTITUTE($K346,",",""))=1,VLOOKUP(INT(RIGHT($K346,LEN($K346)-FIND(",",$K346))),[3]Sheet1!$A:$C,3,0),"")</f>
        <v/>
      </c>
      <c r="O346" s="45" t="str">
        <f t="shared" si="24"/>
        <v/>
      </c>
      <c r="P346" s="45" t="str">
        <f t="shared" si="20"/>
        <v/>
      </c>
      <c r="Q346" s="45" t="str">
        <f t="shared" si="25"/>
        <v/>
      </c>
      <c r="R346" s="45"/>
      <c r="S346" s="45" t="str">
        <f>IF(ISERROR($Q346),"进阶+"&amp;COUNTIF($E$194:$E346,$E346)&amp;"："&amp;"找ZC配技能","进阶+"&amp;COUNTIF($E$194:$E346,$E346)&amp;"："&amp;VLOOKUP(COUNTIF($E$194:$E346,$E346),$L$184:$R$193,IF(H346=1,4,IF(H346=4,3,2))+IF(INDEX([1]Sheet1!$1:$1048576,MATCH($E346,[1]Sheet1!$A:$A,0),MATCH("zizhi",[1]Sheet1!$2:$2,0))&gt;=13,0,3),0)&amp;IF($Q346="","","（"&amp;$Q346&amp;"）"))</f>
        <v>进阶+3：攻击提高10%</v>
      </c>
      <c r="T346" s="1"/>
      <c r="U346" s="1"/>
      <c r="V346" s="2" t="str">
        <f>VLOOKUP(COUNTIF($E$194:$E346,$E346),$L$184:$X$193,IF(H346=1,4,IF(H346=4,3,2))+IF(INDEX([1]Sheet1!$1:$1048576,MATCH($E346,[1]Sheet1!$A:$A,0),MATCH("zizhi",[1]Sheet1!$2:$2,0))&gt;=13,0,3)+6,0)</f>
        <v>11050</v>
      </c>
      <c r="W346" s="2" t="str">
        <f t="shared" si="23"/>
        <v>进阶+3：攻击提高10%</v>
      </c>
      <c r="X346" s="45" t="str">
        <f t="shared" si="21"/>
        <v>11050</v>
      </c>
      <c r="Y346" s="2"/>
      <c r="Z346" s="2"/>
      <c r="AA346" s="2"/>
    </row>
    <row r="347" spans="1:27" ht="49.5">
      <c r="A347" s="10">
        <f>E347*100+COUNTIF($E$194:$E347,$E347)</f>
        <v>121304</v>
      </c>
      <c r="B347" s="68" t="s">
        <v>1866</v>
      </c>
      <c r="C347" s="50" t="s">
        <v>2</v>
      </c>
      <c r="D347" s="10">
        <f t="shared" si="26"/>
        <v>1</v>
      </c>
      <c r="E347" s="45">
        <f>INDEX($I:$I,MATCH($E346,$I:$I,0)+IF(COUNTIF($E$194:$E346,$E346)&lt;=VLOOKUP($E346,$I$134:$K$193,3,0)-1,0,1),0)</f>
        <v>1213</v>
      </c>
      <c r="F347" s="45" t="str">
        <f t="shared" si="22"/>
        <v>龙帝</v>
      </c>
      <c r="G347" s="45" t="s">
        <v>217</v>
      </c>
      <c r="H347" s="45">
        <f>VLOOKUP($E347,[1]Sheet1!$A:$G,7,0)</f>
        <v>2</v>
      </c>
      <c r="I347" s="45" t="str">
        <f>IF($G347="","",IF(COUNTIF(技能描述!$D:$D,$F347)&gt;0,VLOOKUP($F347&amp;$G347,技能描述!$A:$C,3,0),LEFT(VLOOKUP($E347,[1]Sheet1!$A:$J,10,0),FIND("_",VLOOKUP($E347,[1]Sheet1!$A:$J,10,0))-1)&amp;$G347))</f>
        <v>longdi_skill04</v>
      </c>
      <c r="J347" s="45" t="str">
        <f>IF($I347="","",VLOOKUP($I347,技能描述!$A:$C,3,0))</f>
        <v>龙帝召唤冰球砸向敌军并爆炸，对范围内敌人进行2次攻击，造成自身攻击力@s的法伤，同时提升自身暴击@s,持续3秒</v>
      </c>
      <c r="K347" s="45" t="str">
        <f>IF($I347="","",INDEX([2]Sheet1!$1:$1048576,MATCH($I347,[2]Sheet1!$A:$A,0),MATCH("description_damage",[2]Sheet1!$2:$2,0)))</f>
        <v>121306,9010</v>
      </c>
      <c r="L347" s="80" t="str">
        <f>IF($K347="","",IF(LEN($K347)-LEN(SUBSTITUTE($K347,",",""))=0,VLOOKUP(INT($K347),[3]Sheet1!$A:$C,3,0),VLOOKUP(INT(LEFT($K347,FIND(",",$K347)-1)),[3]Sheet1!$A:$C,3,0)))</f>
        <v>2|2|0.75|0|0|0</v>
      </c>
      <c r="M347" s="80" t="str">
        <f t="shared" si="27"/>
        <v>75%</v>
      </c>
      <c r="N347" s="45" t="str">
        <f>IF(LEN($K347)-LEN(SUBSTITUTE($K347,",",""))=1,VLOOKUP(INT(RIGHT($K347,LEN($K347)-FIND(",",$K347))),[3]Sheet1!$A:$C,3,0),"")</f>
        <v>4|3|0.1|0|1</v>
      </c>
      <c r="O347" s="45" t="str">
        <f t="shared" si="24"/>
        <v>10%</v>
      </c>
      <c r="P347" s="45" t="str">
        <f t="shared" si="20"/>
        <v>龙帝召唤冰球砸向敌军并爆炸，对范围内敌人进行2次攻击，造成自身攻击力75%的法伤，同时提升自身暴击@s,持续3秒</v>
      </c>
      <c r="Q347" s="45" t="str">
        <f t="shared" si="25"/>
        <v>龙帝召唤冰球砸向敌军并爆炸，对范围内敌人进行2次攻击，造成自身攻击力75%的法伤，同时提升自身暴击10%,持续3秒</v>
      </c>
      <c r="R347" s="45"/>
      <c r="S347" s="45" t="str">
        <f>IF(ISERROR($Q347),"进阶+"&amp;COUNTIF($E$194:$E347,$E347)&amp;"："&amp;"找ZC配技能","进阶+"&amp;COUNTIF($E$194:$E347,$E347)&amp;"："&amp;VLOOKUP(COUNTIF($E$194:$E347,$E347),$L$184:$R$193,IF(H347=1,4,IF(H347=4,3,2))+IF(INDEX([1]Sheet1!$1:$1048576,MATCH($E347,[1]Sheet1!$A:$A,0),MATCH("zizhi",[1]Sheet1!$2:$2,0))&gt;=13,0,3),0)&amp;IF($Q347="","","（"&amp;$Q347&amp;"）"))</f>
        <v>进阶+4：激活AI2技能（龙帝召唤冰球砸向敌军并爆炸，对范围内敌人进行2次攻击，造成自身攻击力75%的法伤，同时提升自身暴击10%,持续3秒）</v>
      </c>
      <c r="T347" s="1"/>
      <c r="U347" s="1"/>
      <c r="V347" s="2" t="str">
        <f>VLOOKUP(COUNTIF($E$194:$E347,$E347),$L$184:$X$193,IF(H347=1,4,IF(H347=4,3,2))+IF(INDEX([1]Sheet1!$1:$1048576,MATCH($E347,[1]Sheet1!$A:$A,0),MATCH("zizhi",[1]Sheet1!$2:$2,0))&gt;=13,0,3)+6,0)</f>
        <v>[]</v>
      </c>
      <c r="W347" s="2" t="str">
        <f t="shared" si="23"/>
        <v>进阶+4：激活AI2技能（龙帝召唤冰球砸向敌军并爆炸，对范围内敌人进行2次攻击，造成自身攻击力75%的法伤，同时提升自身暴击10%,持续3秒）</v>
      </c>
      <c r="X347" s="45" t="str">
        <f t="shared" si="21"/>
        <v>[]</v>
      </c>
      <c r="Y347" s="2"/>
      <c r="Z347" s="2"/>
      <c r="AA347" s="2"/>
    </row>
    <row r="348" spans="1:27">
      <c r="A348" s="10">
        <f>E348*100+COUNTIF($E$194:$E348,$E348)</f>
        <v>121305</v>
      </c>
      <c r="B348" s="68" t="s">
        <v>323</v>
      </c>
      <c r="C348" s="50" t="s">
        <v>140</v>
      </c>
      <c r="D348" s="10" t="str">
        <f t="shared" si="26"/>
        <v>[]</v>
      </c>
      <c r="E348" s="45">
        <f>INDEX($I:$I,MATCH($E347,$I:$I,0)+IF(COUNTIF($E$194:$E347,$E347)&lt;=VLOOKUP($E347,$I$134:$K$193,3,0)-1,0,1),0)</f>
        <v>1213</v>
      </c>
      <c r="F348" s="45" t="str">
        <f t="shared" si="22"/>
        <v>龙帝</v>
      </c>
      <c r="H348" s="45">
        <f>VLOOKUP($E348,[1]Sheet1!$A:$G,7,0)</f>
        <v>2</v>
      </c>
      <c r="I348" s="45" t="str">
        <f>IF($G348="","",IF(COUNTIF(技能描述!$D:$D,$F348)&gt;0,VLOOKUP($F348&amp;$G348,技能描述!$A:$C,3,0),LEFT(VLOOKUP($E348,[1]Sheet1!$A:$J,10,0),FIND("_",VLOOKUP($E348,[1]Sheet1!$A:$J,10,0))-1)&amp;$G348))</f>
        <v/>
      </c>
      <c r="J348" s="45" t="str">
        <f>IF($I348="","",VLOOKUP($I348,技能描述!$A:$C,3,0))</f>
        <v/>
      </c>
      <c r="K348" s="45" t="str">
        <f>IF($I348="","",INDEX([2]Sheet1!$1:$1048576,MATCH($I348,[2]Sheet1!$A:$A,0),MATCH("description_damage",[2]Sheet1!$2:$2,0)))</f>
        <v/>
      </c>
      <c r="L348" s="80" t="str">
        <f>IF($K348="","",IF(LEN($K348)-LEN(SUBSTITUTE($K348,",",""))=0,VLOOKUP(INT($K348),[3]Sheet1!$A:$C,3,0),VLOOKUP(INT(LEFT($K348,FIND(",",$K348)-1)),[3]Sheet1!$A:$C,3,0)))</f>
        <v/>
      </c>
      <c r="M348" s="80" t="str">
        <f t="shared" si="27"/>
        <v/>
      </c>
      <c r="N348" s="45" t="str">
        <f>IF(LEN($K348)-LEN(SUBSTITUTE($K348,",",""))=1,VLOOKUP(INT(RIGHT($K348,LEN($K348)-FIND(",",$K348))),[3]Sheet1!$A:$C,3,0),"")</f>
        <v/>
      </c>
      <c r="O348" s="45" t="str">
        <f t="shared" si="24"/>
        <v/>
      </c>
      <c r="P348" s="45" t="str">
        <f t="shared" si="20"/>
        <v/>
      </c>
      <c r="Q348" s="45" t="str">
        <f t="shared" si="25"/>
        <v/>
      </c>
      <c r="R348" s="45"/>
      <c r="S348" s="45" t="str">
        <f>IF(ISERROR($Q348),"进阶+"&amp;COUNTIF($E$194:$E348,$E348)&amp;"："&amp;"找ZC配技能","进阶+"&amp;COUNTIF($E$194:$E348,$E348)&amp;"："&amp;VLOOKUP(COUNTIF($E$194:$E348,$E348),$L$184:$R$193,IF(H348=1,4,IF(H348=4,3,2))+IF(INDEX([1]Sheet1!$1:$1048576,MATCH($E348,[1]Sheet1!$A:$A,0),MATCH("zizhi",[1]Sheet1!$2:$2,0))&gt;=13,0,3),0)&amp;IF($Q348="","","（"&amp;$Q348&amp;"）"))</f>
        <v>进阶+5：生命，防御提高10%</v>
      </c>
      <c r="T348" s="1"/>
      <c r="U348" s="1"/>
      <c r="V348" s="2" t="str">
        <f>VLOOKUP(COUNTIF($E$194:$E348,$E348),$L$184:$X$193,IF(H348=1,4,IF(H348=4,3,2))+IF(INDEX([1]Sheet1!$1:$1048576,MATCH($E348,[1]Sheet1!$A:$A,0),MATCH("zizhi",[1]Sheet1!$2:$2,0))&gt;=13,0,3)+6,0)</f>
        <v>11090,6502,6512</v>
      </c>
      <c r="W348" s="2" t="str">
        <f t="shared" si="23"/>
        <v>进阶+5：生命，防御提高10%</v>
      </c>
      <c r="X348" s="45" t="str">
        <f t="shared" si="21"/>
        <v>11090,6502,6512</v>
      </c>
      <c r="Y348" s="2"/>
      <c r="Z348" s="2"/>
      <c r="AA348" s="2"/>
    </row>
    <row r="349" spans="1:27" ht="33">
      <c r="A349" s="10">
        <f>E349*100+COUNTIF($E$194:$E349,$E349)</f>
        <v>121306</v>
      </c>
      <c r="B349" s="68" t="s">
        <v>2012</v>
      </c>
      <c r="C349" s="50" t="s">
        <v>2</v>
      </c>
      <c r="D349" s="10">
        <f t="shared" si="26"/>
        <v>1</v>
      </c>
      <c r="E349" s="45">
        <f>INDEX($I:$I,MATCH($E348,$I:$I,0)+IF(COUNTIF($E$194:$E348,$E348)&lt;=VLOOKUP($E348,$I$134:$K$193,3,0)-1,0,1),0)</f>
        <v>1213</v>
      </c>
      <c r="F349" s="45" t="str">
        <f t="shared" si="22"/>
        <v>龙帝</v>
      </c>
      <c r="G349" s="45" t="s">
        <v>218</v>
      </c>
      <c r="H349" s="45">
        <f>VLOOKUP($E349,[1]Sheet1!$A:$G,7,0)</f>
        <v>2</v>
      </c>
      <c r="I349" s="45" t="str">
        <f>IF($G349="","",IF(COUNTIF(技能描述!$D:$D,$F349)&gt;0,VLOOKUP($F349&amp;$G349,技能描述!$A:$C,3,0),LEFT(VLOOKUP($E349,[1]Sheet1!$A:$J,10,0),FIND("_",VLOOKUP($E349,[1]Sheet1!$A:$J,10,0))-1)&amp;$G349))</f>
        <v>longdi_skill011</v>
      </c>
      <c r="J349" s="45" t="str">
        <f>IF($I349="","",VLOOKUP($I349,技能描述!$A:$C,3,0))</f>
        <v>召唤巨大的冰球砸向敌军，对范围内敌人造成主角攻击力@s的法伤，40%的概率冰冻目标2秒</v>
      </c>
      <c r="K349" s="45" t="str">
        <f>IF($I349="","",INDEX([2]Sheet1!$1:$1048576,MATCH($I349,[2]Sheet1!$A:$A,0),MATCH("description_damage",[2]Sheet1!$2:$2,0)))</f>
        <v>121307</v>
      </c>
      <c r="L349" s="80" t="str">
        <f>IF($K349="","",IF(LEN($K349)-LEN(SUBSTITUTE($K349,",",""))=0,VLOOKUP(INT($K349),[3]Sheet1!$A:$C,3,0),VLOOKUP(INT(LEFT($K349,FIND(",",$K349)-1)),[3]Sheet1!$A:$C,3,0)))</f>
        <v>2|2|6|0|0|0</v>
      </c>
      <c r="M349" s="80" t="str">
        <f t="shared" si="27"/>
        <v>600%</v>
      </c>
      <c r="N349" s="45" t="str">
        <f>IF(LEN($K349)-LEN(SUBSTITUTE($K349,",",""))=1,VLOOKUP(INT(RIGHT($K349,LEN($K349)-FIND(",",$K349))),[3]Sheet1!$A:$C,3,0),"")</f>
        <v/>
      </c>
      <c r="O349" s="45" t="str">
        <f t="shared" si="24"/>
        <v/>
      </c>
      <c r="P349" s="45" t="str">
        <f t="shared" si="20"/>
        <v>召唤巨大的冰球砸向敌军，对范围内敌人造成主角攻击力600%的法伤，40%的概率冰冻目标2秒</v>
      </c>
      <c r="Q349" s="45" t="str">
        <f t="shared" si="25"/>
        <v>召唤巨大的冰球砸向敌军，对范围内敌人造成主角攻击力600%的法伤，40%的概率冰冻目标2秒</v>
      </c>
      <c r="R349" s="45"/>
      <c r="S349" s="45" t="str">
        <f>IF(ISERROR($Q349),"进阶+"&amp;COUNTIF($E$194:$E349,$E349)&amp;"："&amp;"找ZC配技能","进阶+"&amp;COUNTIF($E$194:$E349,$E349)&amp;"："&amp;VLOOKUP(COUNTIF($E$194:$E349,$E349),$L$184:$R$193,IF(H349=1,4,IF(H349=4,3,2))+IF(INDEX([1]Sheet1!$1:$1048576,MATCH($E349,[1]Sheet1!$A:$A,0),MATCH("zizhi",[1]Sheet1!$2:$2,0))&gt;=13,0,3),0)&amp;IF($Q349="","","（"&amp;$Q349&amp;"）"))</f>
        <v>进阶+6：增强主角技能（召唤巨大的冰球砸向敌军，对范围内敌人造成主角攻击力600%的法伤，40%的概率冰冻目标2秒）</v>
      </c>
      <c r="T349" s="1"/>
      <c r="U349" s="1"/>
      <c r="V349" s="2" t="str">
        <f>VLOOKUP(COUNTIF($E$194:$E349,$E349),$L$184:$X$193,IF(H349=1,4,IF(H349=4,3,2))+IF(INDEX([1]Sheet1!$1:$1048576,MATCH($E349,[1]Sheet1!$A:$A,0),MATCH("zizhi",[1]Sheet1!$2:$2,0))&gt;=13,0,3)+6,0)</f>
        <v>[]</v>
      </c>
      <c r="W349" s="2" t="str">
        <f t="shared" si="23"/>
        <v>进阶+6：增强主角技能（召唤巨大的冰球砸向敌军，对范围内敌人造成主角攻击力600%的法伤，40%的概率冰冻目标2秒）</v>
      </c>
      <c r="X349" s="45" t="str">
        <f t="shared" si="21"/>
        <v>[]</v>
      </c>
      <c r="Y349" s="2"/>
      <c r="Z349" s="2"/>
      <c r="AA349" s="2"/>
    </row>
    <row r="350" spans="1:27">
      <c r="A350" s="10">
        <f>E350*100+COUNTIF($E$194:$E350,$E350)</f>
        <v>121307</v>
      </c>
      <c r="B350" s="68" t="s">
        <v>359</v>
      </c>
      <c r="C350" s="50" t="s">
        <v>353</v>
      </c>
      <c r="D350" s="10" t="str">
        <f t="shared" si="26"/>
        <v>[]</v>
      </c>
      <c r="E350" s="45">
        <f>INDEX($I:$I,MATCH($E349,$I:$I,0)+IF(COUNTIF($E$194:$E349,$E349)&lt;=VLOOKUP($E349,$I$134:$K$193,3,0)-1,0,1),0)</f>
        <v>1213</v>
      </c>
      <c r="F350" s="45" t="str">
        <f t="shared" si="22"/>
        <v>龙帝</v>
      </c>
      <c r="H350" s="45">
        <f>VLOOKUP($E350,[1]Sheet1!$A:$G,7,0)</f>
        <v>2</v>
      </c>
      <c r="I350" s="45" t="str">
        <f>IF($G350="","",IF(COUNTIF(技能描述!$D:$D,$F350)&gt;0,VLOOKUP($F350&amp;$G350,技能描述!$A:$C,3,0),LEFT(VLOOKUP($E350,[1]Sheet1!$A:$J,10,0),FIND("_",VLOOKUP($E350,[1]Sheet1!$A:$J,10,0))-1)&amp;$G350))</f>
        <v/>
      </c>
      <c r="J350" s="45" t="str">
        <f>IF($I350="","",VLOOKUP($I350,技能描述!$A:$C,3,0))</f>
        <v/>
      </c>
      <c r="K350" s="45" t="str">
        <f>IF($I350="","",INDEX([2]Sheet1!$1:$1048576,MATCH($I350,[2]Sheet1!$A:$A,0),MATCH("description_damage",[2]Sheet1!$2:$2,0)))</f>
        <v/>
      </c>
      <c r="L350" s="80" t="str">
        <f>IF($K350="","",IF(LEN($K350)-LEN(SUBSTITUTE($K350,",",""))=0,VLOOKUP(INT($K350),[3]Sheet1!$A:$C,3,0),VLOOKUP(INT(LEFT($K350,FIND(",",$K350)-1)),[3]Sheet1!$A:$C,3,0)))</f>
        <v/>
      </c>
      <c r="M350" s="80" t="str">
        <f t="shared" si="27"/>
        <v/>
      </c>
      <c r="N350" s="45" t="str">
        <f>IF(LEN($K350)-LEN(SUBSTITUTE($K350,",",""))=1,VLOOKUP(INT(RIGHT($K350,LEN($K350)-FIND(",",$K350))),[3]Sheet1!$A:$C,3,0),"")</f>
        <v/>
      </c>
      <c r="O350" s="45" t="str">
        <f t="shared" si="24"/>
        <v/>
      </c>
      <c r="P350" s="45" t="str">
        <f t="shared" si="20"/>
        <v/>
      </c>
      <c r="Q350" s="45" t="str">
        <f t="shared" si="25"/>
        <v/>
      </c>
      <c r="R350" s="45"/>
      <c r="S350" s="45" t="str">
        <f>IF(ISERROR($Q350),"进阶+"&amp;COUNTIF($E$194:$E350,$E350)&amp;"："&amp;"找ZC配技能","进阶+"&amp;COUNTIF($E$194:$E350,$E350)&amp;"："&amp;VLOOKUP(COUNTIF($E$194:$E350,$E350),$L$184:$R$193,IF(H350=1,4,IF(H350=4,3,2))+IF(INDEX([1]Sheet1!$1:$1048576,MATCH($E350,[1]Sheet1!$A:$A,0),MATCH("zizhi",[1]Sheet1!$2:$2,0))&gt;=13,0,3),0)&amp;IF($Q350="","","（"&amp;$Q350&amp;"）"))</f>
        <v>进阶+7：全队攻击提高10%</v>
      </c>
      <c r="T350" s="1"/>
      <c r="U350" s="1"/>
      <c r="V350" s="2" t="str">
        <f>VLOOKUP(COUNTIF($E$194:$E350,$E350),$L$184:$X$193,IF(H350=1,4,IF(H350=4,3,2))+IF(INDEX([1]Sheet1!$1:$1048576,MATCH($E350,[1]Sheet1!$A:$A,0),MATCH("zizhi",[1]Sheet1!$2:$2,0))&gt;=13,0,3)+6,0)</f>
        <v>58010</v>
      </c>
      <c r="W350" s="2" t="str">
        <f t="shared" si="23"/>
        <v>进阶+7：全队攻击提高10%</v>
      </c>
      <c r="X350" s="45" t="str">
        <f t="shared" si="21"/>
        <v>58010</v>
      </c>
      <c r="Y350" s="2"/>
      <c r="Z350" s="2"/>
      <c r="AA350" s="2"/>
    </row>
    <row r="351" spans="1:27" ht="33">
      <c r="A351" s="10">
        <f>E351*100+COUNTIF($E$194:$E351,$E351)</f>
        <v>121308</v>
      </c>
      <c r="B351" s="68" t="s">
        <v>2013</v>
      </c>
      <c r="C351" s="50" t="s">
        <v>2</v>
      </c>
      <c r="D351" s="10">
        <f t="shared" si="26"/>
        <v>1</v>
      </c>
      <c r="E351" s="45">
        <f>INDEX($I:$I,MATCH($E350,$I:$I,0)+IF(COUNTIF($E$194:$E350,$E350)&lt;=VLOOKUP($E350,$I$134:$K$193,3,0)-1,0,1),0)</f>
        <v>1213</v>
      </c>
      <c r="F351" s="45" t="str">
        <f t="shared" si="22"/>
        <v>龙帝</v>
      </c>
      <c r="G351" s="45" t="s">
        <v>219</v>
      </c>
      <c r="H351" s="45">
        <f>VLOOKUP($E351,[1]Sheet1!$A:$G,7,0)</f>
        <v>2</v>
      </c>
      <c r="I351" s="45" t="str">
        <f>IF($G351="","",IF(COUNTIF(技能描述!$D:$D,$F351)&gt;0,VLOOKUP($F351&amp;$G351,技能描述!$A:$C,3,0),LEFT(VLOOKUP($E351,[1]Sheet1!$A:$J,10,0),FIND("_",VLOOKUP($E351,[1]Sheet1!$A:$J,10,0))-1)&amp;$G351))</f>
        <v>longdi_skill021</v>
      </c>
      <c r="J351" s="45" t="str">
        <f>IF($I351="","",VLOOKUP($I351,技能描述!$A:$C,3,0))</f>
        <v>龙帝召唤极寒冰域，对范围内敌人进行2次攻击，造成自身攻击力@s的法伤，每次有23%的概率冰冻目标2秒</v>
      </c>
      <c r="K351" s="45" t="str">
        <f>IF($I351="","",INDEX([2]Sheet1!$1:$1048576,MATCH($I351,[2]Sheet1!$A:$A,0),MATCH("description_damage",[2]Sheet1!$2:$2,0)))</f>
        <v>121308,9015</v>
      </c>
      <c r="L351" s="80" t="str">
        <f>IF($K351="","",IF(LEN($K351)-LEN(SUBSTITUTE($K351,",",""))=0,VLOOKUP(INT($K351),[3]Sheet1!$A:$C,3,0),VLOOKUP(INT(LEFT($K351,FIND(",",$K351)-1)),[3]Sheet1!$A:$C,3,0)))</f>
        <v>2|2|1.05|0|0|0</v>
      </c>
      <c r="M351" s="80" t="str">
        <f t="shared" si="27"/>
        <v>105%</v>
      </c>
      <c r="N351" s="45" t="str">
        <f>IF(LEN($K351)-LEN(SUBSTITUTE($K351,",",""))=1,VLOOKUP(INT(RIGHT($K351,LEN($K351)-FIND(",",$K351))),[3]Sheet1!$A:$C,3,0),"")</f>
        <v>4|3|0.15|0|1</v>
      </c>
      <c r="O351" s="45" t="str">
        <f t="shared" si="24"/>
        <v>15%</v>
      </c>
      <c r="P351" s="45" t="str">
        <f t="shared" si="20"/>
        <v>龙帝召唤极寒冰域，对范围内敌人进行2次攻击，造成自身攻击力105%的法伤，每次有23%的概率冰冻目标2秒</v>
      </c>
      <c r="Q351" s="45" t="str">
        <f t="shared" si="25"/>
        <v>龙帝召唤极寒冰域，对范围内敌人进行2次攻击，造成自身攻击力105%的法伤，每次有23%的概率冰冻目标2秒</v>
      </c>
      <c r="R351" s="45"/>
      <c r="S351" s="45" t="str">
        <f>IF(ISERROR($Q351),"进阶+"&amp;COUNTIF($E$194:$E351,$E351)&amp;"："&amp;"找ZC配技能","进阶+"&amp;COUNTIF($E$194:$E351,$E351)&amp;"："&amp;VLOOKUP(COUNTIF($E$194:$E351,$E351),$L$184:$R$193,IF(H351=1,4,IF(H351=4,3,2))+IF(INDEX([1]Sheet1!$1:$1048576,MATCH($E351,[1]Sheet1!$A:$A,0),MATCH("zizhi",[1]Sheet1!$2:$2,0))&gt;=13,0,3),0)&amp;IF($Q351="","","（"&amp;$Q351&amp;"）"))</f>
        <v>进阶+8：增强AI1技能（龙帝召唤极寒冰域，对范围内敌人进行2次攻击，造成自身攻击力105%的法伤，每次有23%的概率冰冻目标2秒）</v>
      </c>
      <c r="T351" s="1"/>
      <c r="U351" s="1"/>
      <c r="V351" s="2" t="str">
        <f>VLOOKUP(COUNTIF($E$194:$E351,$E351),$L$184:$X$193,IF(H351=1,4,IF(H351=4,3,2))+IF(INDEX([1]Sheet1!$1:$1048576,MATCH($E351,[1]Sheet1!$A:$A,0),MATCH("zizhi",[1]Sheet1!$2:$2,0))&gt;=13,0,3)+6,0)</f>
        <v>[]</v>
      </c>
      <c r="W351" s="2" t="str">
        <f t="shared" si="23"/>
        <v>进阶+8：增强AI1技能（龙帝召唤极寒冰域，对范围内敌人进行2次攻击，造成自身攻击力105%的法伤，每次有23%的概率冰冻目标2秒）</v>
      </c>
      <c r="X351" s="45" t="str">
        <f t="shared" si="21"/>
        <v>[]</v>
      </c>
      <c r="Y351" s="2"/>
      <c r="Z351" s="2"/>
      <c r="AA351" s="2"/>
    </row>
    <row r="352" spans="1:27">
      <c r="A352" s="10">
        <f>E352*100+COUNTIF($E$194:$E352,$E352)</f>
        <v>121309</v>
      </c>
      <c r="B352" s="68" t="s">
        <v>1899</v>
      </c>
      <c r="C352" s="50" t="s">
        <v>2085</v>
      </c>
      <c r="D352" s="10" t="str">
        <f t="shared" si="26"/>
        <v>[]</v>
      </c>
      <c r="E352" s="45">
        <f>INDEX($I:$I,MATCH($E351,$I:$I,0)+IF(COUNTIF($E$194:$E351,$E351)&lt;=VLOOKUP($E351,$I$134:$K$193,3,0)-1,0,1),0)</f>
        <v>1213</v>
      </c>
      <c r="F352" s="45" t="str">
        <f t="shared" si="22"/>
        <v>龙帝</v>
      </c>
      <c r="H352" s="45">
        <f>VLOOKUP($E352,[1]Sheet1!$A:$G,7,0)</f>
        <v>2</v>
      </c>
      <c r="I352" s="45" t="str">
        <f>IF($G352="","",IF(COUNTIF(技能描述!$D:$D,$F352)&gt;0,VLOOKUP($F352&amp;$G352,技能描述!$A:$C,3,0),LEFT(VLOOKUP($E352,[1]Sheet1!$A:$J,10,0),FIND("_",VLOOKUP($E352,[1]Sheet1!$A:$J,10,0))-1)&amp;$G352))</f>
        <v/>
      </c>
      <c r="J352" s="45" t="str">
        <f>IF($I352="","",VLOOKUP($I352,技能描述!$A:$C,3,0))</f>
        <v/>
      </c>
      <c r="K352" s="45" t="str">
        <f>IF($I352="","",INDEX([2]Sheet1!$1:$1048576,MATCH($I352,[2]Sheet1!$A:$A,0),MATCH("description_damage",[2]Sheet1!$2:$2,0)))</f>
        <v/>
      </c>
      <c r="L352" s="80" t="str">
        <f>IF($K352="","",IF(LEN($K352)-LEN(SUBSTITUTE($K352,",",""))=0,VLOOKUP(INT($K352),[3]Sheet1!$A:$C,3,0),VLOOKUP(INT(LEFT($K352,FIND(",",$K352)-1)),[3]Sheet1!$A:$C,3,0)))</f>
        <v/>
      </c>
      <c r="M352" s="80" t="str">
        <f t="shared" si="27"/>
        <v/>
      </c>
      <c r="N352" s="45" t="str">
        <f>IF(LEN($K352)-LEN(SUBSTITUTE($K352,",",""))=1,VLOOKUP(INT(RIGHT($K352,LEN($K352)-FIND(",",$K352))),[3]Sheet1!$A:$C,3,0),"")</f>
        <v/>
      </c>
      <c r="O352" s="45" t="str">
        <f t="shared" si="24"/>
        <v/>
      </c>
      <c r="P352" s="45" t="str">
        <f t="shared" si="20"/>
        <v/>
      </c>
      <c r="Q352" s="45" t="str">
        <f t="shared" si="25"/>
        <v/>
      </c>
      <c r="R352" s="45"/>
      <c r="S352" s="45" t="str">
        <f>IF(ISERROR($Q352),"进阶+"&amp;COUNTIF($E$194:$E352,$E352)&amp;"："&amp;"找ZC配技能","进阶+"&amp;COUNTIF($E$194:$E352,$E352)&amp;"："&amp;VLOOKUP(COUNTIF($E$194:$E352,$E352),$L$184:$R$193,IF(H352=1,4,IF(H352=4,3,2))+IF(INDEX([1]Sheet1!$1:$1048576,MATCH($E352,[1]Sheet1!$A:$A,0),MATCH("zizhi",[1]Sheet1!$2:$2,0))&gt;=13,0,3),0)&amp;IF($Q352="","","（"&amp;$Q352&amp;"）"))</f>
        <v>进阶+9：全队攻击提高15%</v>
      </c>
      <c r="T352" s="1"/>
      <c r="U352" s="1"/>
      <c r="V352" s="2" t="str">
        <f>VLOOKUP(COUNTIF($E$194:$E352,$E352),$L$184:$X$193,IF(H352=1,4,IF(H352=4,3,2))+IF(INDEX([1]Sheet1!$1:$1048576,MATCH($E352,[1]Sheet1!$A:$A,0),MATCH("zizhi",[1]Sheet1!$2:$2,0))&gt;=13,0,3)+6,0)</f>
        <v>58015</v>
      </c>
      <c r="W352" s="2" t="str">
        <f t="shared" si="23"/>
        <v>进阶+9：全队攻击提高15%</v>
      </c>
      <c r="X352" s="45" t="str">
        <f t="shared" si="21"/>
        <v>58015</v>
      </c>
      <c r="Y352" s="2"/>
      <c r="Z352" s="2"/>
      <c r="AA352" s="2"/>
    </row>
    <row r="353" spans="1:27" ht="49.5">
      <c r="A353" s="10">
        <f>E353*100+COUNTIF($E$194:$E353,$E353)</f>
        <v>121310</v>
      </c>
      <c r="B353" s="68" t="s">
        <v>1914</v>
      </c>
      <c r="C353" s="50" t="s">
        <v>2</v>
      </c>
      <c r="D353" s="10">
        <f t="shared" si="26"/>
        <v>1</v>
      </c>
      <c r="E353" s="45">
        <f>INDEX($I:$I,MATCH($E352,$I:$I,0)+IF(COUNTIF($E$194:$E352,$E352)&lt;=VLOOKUP($E352,$I$134:$K$193,3,0)-1,0,1),0)</f>
        <v>1213</v>
      </c>
      <c r="F353" s="45" t="str">
        <f t="shared" si="22"/>
        <v>龙帝</v>
      </c>
      <c r="G353" s="45" t="s">
        <v>220</v>
      </c>
      <c r="H353" s="45">
        <f>VLOOKUP($E353,[1]Sheet1!$A:$G,7,0)</f>
        <v>2</v>
      </c>
      <c r="I353" s="45" t="str">
        <f>IF($G353="","",IF(COUNTIF(技能描述!$D:$D,$F353)&gt;0,VLOOKUP($F353&amp;$G353,技能描述!$A:$C,3,0),LEFT(VLOOKUP($E353,[1]Sheet1!$A:$J,10,0),FIND("_",VLOOKUP($E353,[1]Sheet1!$A:$J,10,0))-1)&amp;$G353))</f>
        <v>longdi_skill041</v>
      </c>
      <c r="J353" s="45" t="str">
        <f>IF($I353="","",VLOOKUP($I353,技能描述!$A:$C,3,0))</f>
        <v>龙帝召唤冰球砸向敌军并爆炸，对范围内敌人进行2次攻击，造成自身攻击力@s的法伤，同时提升自身暴击@s,持续3秒</v>
      </c>
      <c r="K353" s="45" t="str">
        <f>IF($I353="","",INDEX([2]Sheet1!$1:$1048576,MATCH($I353,[2]Sheet1!$A:$A,0),MATCH("description_damage",[2]Sheet1!$2:$2,0)))</f>
        <v>121309,9015</v>
      </c>
      <c r="L353" s="80" t="str">
        <f>IF($K353="","",IF(LEN($K353)-LEN(SUBSTITUTE($K353,",",""))=0,VLOOKUP(INT($K353),[3]Sheet1!$A:$C,3,0),VLOOKUP(INT(LEFT($K353,FIND(",",$K353)-1)),[3]Sheet1!$A:$C,3,0)))</f>
        <v>2|2|0.7|0|0|0</v>
      </c>
      <c r="M353" s="80" t="str">
        <f t="shared" si="27"/>
        <v>70%</v>
      </c>
      <c r="N353" s="45" t="str">
        <f>IF(LEN($K353)-LEN(SUBSTITUTE($K353,",",""))=1,VLOOKUP(INT(RIGHT($K353,LEN($K353)-FIND(",",$K353))),[3]Sheet1!$A:$C,3,0),"")</f>
        <v>4|3|0.15|0|1</v>
      </c>
      <c r="O353" s="45" t="str">
        <f t="shared" si="24"/>
        <v>15%</v>
      </c>
      <c r="P353" s="45" t="str">
        <f t="shared" si="20"/>
        <v>龙帝召唤冰球砸向敌军并爆炸，对范围内敌人进行2次攻击，造成自身攻击力70%的法伤，同时提升自身暴击@s,持续3秒</v>
      </c>
      <c r="Q353" s="45" t="str">
        <f t="shared" si="25"/>
        <v>龙帝召唤冰球砸向敌军并爆炸，对范围内敌人进行2次攻击，造成自身攻击力70%的法伤，同时提升自身暴击15%,持续3秒</v>
      </c>
      <c r="R353" s="45"/>
      <c r="S353" s="45" t="str">
        <f>IF(ISERROR($Q353),"进阶+"&amp;COUNTIF($E$194:$E353,$E353)&amp;"："&amp;"找ZC配技能","进阶+"&amp;COUNTIF($E$194:$E353,$E353)&amp;"："&amp;VLOOKUP(COUNTIF($E$194:$E353,$E353),$L$184:$R$193,IF(H353=1,4,IF(H353=4,3,2))+IF(INDEX([1]Sheet1!$1:$1048576,MATCH($E353,[1]Sheet1!$A:$A,0),MATCH("zizhi",[1]Sheet1!$2:$2,0))&gt;=13,0,3),0)&amp;IF($Q353="","","（"&amp;$Q353&amp;"）"))</f>
        <v>进阶+10：增强AI2技能（龙帝召唤冰球砸向敌军并爆炸，对范围内敌人进行2次攻击，造成自身攻击力70%的法伤，同时提升自身暴击15%,持续3秒）</v>
      </c>
      <c r="T353" s="1"/>
      <c r="U353" s="1"/>
      <c r="V353" s="2" t="str">
        <f>VLOOKUP(COUNTIF($E$194:$E353,$E353),$L$184:$X$193,IF(H353=1,4,IF(H353=4,3,2))+IF(INDEX([1]Sheet1!$1:$1048576,MATCH($E353,[1]Sheet1!$A:$A,0),MATCH("zizhi",[1]Sheet1!$2:$2,0))&gt;=13,0,3)+6,0)</f>
        <v>[]</v>
      </c>
      <c r="W353" s="2" t="str">
        <f t="shared" si="23"/>
        <v>进阶+10：增强AI2技能（龙帝召唤冰球砸向敌军并爆炸，对范围内敌人进行2次攻击，造成自身攻击力70%的法伤，同时提升自身暴击15%,持续3秒）</v>
      </c>
      <c r="X353" s="45" t="str">
        <f t="shared" si="21"/>
        <v>[]</v>
      </c>
      <c r="Y353" s="2"/>
      <c r="Z353" s="2"/>
      <c r="AA353" s="2"/>
    </row>
    <row r="354" spans="1:27">
      <c r="A354" s="10">
        <f>E354*100+COUNTIF($E$194:$E354,$E354)</f>
        <v>121401</v>
      </c>
      <c r="B354" s="68" t="s">
        <v>310</v>
      </c>
      <c r="C354" s="50" t="s">
        <v>127</v>
      </c>
      <c r="D354" s="10" t="str">
        <f t="shared" si="26"/>
        <v>[]</v>
      </c>
      <c r="E354" s="45">
        <f>INDEX($I:$I,MATCH($E353,$I:$I,0)+IF(COUNTIF($E$194:$E353,$E353)&lt;=VLOOKUP($E353,$I$134:$K$193,3,0)-1,0,1),0)</f>
        <v>1214</v>
      </c>
      <c r="F354" s="45" t="str">
        <f t="shared" si="22"/>
        <v>八部天龙</v>
      </c>
      <c r="H354" s="45">
        <f>VLOOKUP($E354,[1]Sheet1!$A:$G,7,0)</f>
        <v>3</v>
      </c>
      <c r="I354" s="45" t="str">
        <f>IF($G354="","",IF(COUNTIF(技能描述!$D:$D,$F354)&gt;0,VLOOKUP($F354&amp;$G354,技能描述!$A:$C,3,0),LEFT(VLOOKUP($E354,[1]Sheet1!$A:$J,10,0),FIND("_",VLOOKUP($E354,[1]Sheet1!$A:$J,10,0))-1)&amp;$G354))</f>
        <v/>
      </c>
      <c r="J354" s="45" t="str">
        <f>IF($I354="","",VLOOKUP($I354,技能描述!$A:$C,3,0))</f>
        <v/>
      </c>
      <c r="K354" s="45" t="str">
        <f>IF($I354="","",INDEX([2]Sheet1!$1:$1048576,MATCH($I354,[2]Sheet1!$A:$A,0),MATCH("description_damage",[2]Sheet1!$2:$2,0)))</f>
        <v/>
      </c>
      <c r="L354" s="80" t="str">
        <f>IF($K354="","",IF(LEN($K354)-LEN(SUBSTITUTE($K354,",",""))=0,VLOOKUP(INT($K354),[3]Sheet1!$A:$C,3,0),VLOOKUP(INT(LEFT($K354,FIND(",",$K354)-1)),[3]Sheet1!$A:$C,3,0)))</f>
        <v/>
      </c>
      <c r="M354" s="80" t="str">
        <f t="shared" si="27"/>
        <v/>
      </c>
      <c r="N354" s="45" t="str">
        <f>IF(LEN($K354)-LEN(SUBSTITUTE($K354,",",""))=1,VLOOKUP(INT(RIGHT($K354,LEN($K354)-FIND(",",$K354))),[3]Sheet1!$A:$C,3,0),"")</f>
        <v/>
      </c>
      <c r="O354" s="45" t="str">
        <f t="shared" si="24"/>
        <v/>
      </c>
      <c r="P354" s="45" t="str">
        <f t="shared" si="20"/>
        <v/>
      </c>
      <c r="Q354" s="45" t="str">
        <f t="shared" si="25"/>
        <v/>
      </c>
      <c r="R354" s="45"/>
      <c r="S354" s="45" t="str">
        <f>IF(ISERROR($Q354),"进阶+"&amp;COUNTIF($E$194:$E354,$E354)&amp;"："&amp;"找ZC配技能","进阶+"&amp;COUNTIF($E$194:$E354,$E354)&amp;"："&amp;VLOOKUP(COUNTIF($E$194:$E354,$E354),$L$184:$R$193,IF(H354=1,4,IF(H354=4,3,2))+IF(INDEX([1]Sheet1!$1:$1048576,MATCH($E354,[1]Sheet1!$A:$A,0),MATCH("zizhi",[1]Sheet1!$2:$2,0))&gt;=13,0,3),0)&amp;IF($Q354="","","（"&amp;$Q354&amp;"）"))</f>
        <v>进阶+1：攻击提高10%</v>
      </c>
      <c r="T354" s="1"/>
      <c r="U354" s="1"/>
      <c r="V354" s="2" t="str">
        <f>VLOOKUP(COUNTIF($E$194:$E354,$E354),$L$184:$X$193,IF(H354=1,4,IF(H354=4,3,2))+IF(INDEX([1]Sheet1!$1:$1048576,MATCH($E354,[1]Sheet1!$A:$A,0),MATCH("zizhi",[1]Sheet1!$2:$2,0))&gt;=13,0,3)+6,0)</f>
        <v>11050</v>
      </c>
      <c r="W354" s="2" t="str">
        <f t="shared" si="23"/>
        <v>进阶+1：攻击提高10%</v>
      </c>
      <c r="X354" s="45" t="str">
        <f t="shared" si="21"/>
        <v>11050</v>
      </c>
      <c r="Y354" s="2"/>
      <c r="Z354" s="2"/>
      <c r="AA354" s="2"/>
    </row>
    <row r="355" spans="1:27">
      <c r="A355" s="10">
        <f>E355*100+COUNTIF($E$194:$E355,$E355)</f>
        <v>121402</v>
      </c>
      <c r="B355" s="68" t="s">
        <v>1970</v>
      </c>
      <c r="C355" s="50" t="s">
        <v>2</v>
      </c>
      <c r="D355" s="10">
        <f t="shared" si="26"/>
        <v>1</v>
      </c>
      <c r="E355" s="45">
        <f>INDEX($I:$I,MATCH($E354,$I:$I,0)+IF(COUNTIF($E$194:$E354,$E354)&lt;=VLOOKUP($E354,$I$134:$K$193,3,0)-1,0,1),0)</f>
        <v>1214</v>
      </c>
      <c r="F355" s="45" t="str">
        <f t="shared" si="22"/>
        <v>八部天龙</v>
      </c>
      <c r="G355" s="45" t="s">
        <v>216</v>
      </c>
      <c r="H355" s="45">
        <f>VLOOKUP($E355,[1]Sheet1!$A:$G,7,0)</f>
        <v>3</v>
      </c>
      <c r="I355" s="45" t="str">
        <f>IF($G355="","",IF(COUNTIF(技能描述!$D:$D,$F355)&gt;0,VLOOKUP($F355&amp;$G355,技能描述!$A:$C,3,0),LEFT(VLOOKUP($E355,[1]Sheet1!$A:$J,10,0),FIND("_",VLOOKUP($E355,[1]Sheet1!$A:$J,10,0))-1)&amp;$G355))</f>
        <v>babutianlong_skill03</v>
      </c>
      <c r="J355" s="45" t="str">
        <f>IF($I355="","",VLOOKUP($I355,技能描述!$A:$C,3,0))</f>
        <v>进入战斗全体增加10%的防御</v>
      </c>
      <c r="K355" s="45" t="str">
        <f>IF($I355="","",INDEX([2]Sheet1!$1:$1048576,MATCH($I355,[2]Sheet1!$A:$A,0),MATCH("description_damage",[2]Sheet1!$2:$2,0)))</f>
        <v>9020</v>
      </c>
      <c r="L355" s="80" t="str">
        <f>IF($K355="","",IF(LEN($K355)-LEN(SUBSTITUTE($K355,",",""))=0,VLOOKUP(INT($K355),[3]Sheet1!$A:$C,3,0),VLOOKUP(INT(LEFT($K355,FIND(",",$K355)-1)),[3]Sheet1!$A:$C,3,0)))</f>
        <v>4|3|0.2|0|1</v>
      </c>
      <c r="M355" s="80" t="str">
        <f t="shared" si="27"/>
        <v>20%</v>
      </c>
      <c r="N355" s="45" t="str">
        <f>IF(LEN($K355)-LEN(SUBSTITUTE($K355,",",""))=1,VLOOKUP(INT(RIGHT($K355,LEN($K355)-FIND(",",$K355))),[3]Sheet1!$A:$C,3,0),"")</f>
        <v/>
      </c>
      <c r="O355" s="45" t="str">
        <f t="shared" si="24"/>
        <v/>
      </c>
      <c r="P355" s="45" t="str">
        <f t="shared" si="20"/>
        <v>进入战斗全体增加10%的防御</v>
      </c>
      <c r="Q355" s="45" t="str">
        <f t="shared" si="25"/>
        <v>进入战斗全体增加10%的防御</v>
      </c>
      <c r="R355" s="45"/>
      <c r="S355" s="45" t="str">
        <f>IF(ISERROR($Q355),"进阶+"&amp;COUNTIF($E$194:$E355,$E355)&amp;"："&amp;"找ZC配技能","进阶+"&amp;COUNTIF($E$194:$E355,$E355)&amp;"："&amp;VLOOKUP(COUNTIF($E$194:$E355,$E355),$L$184:$R$193,IF(H355=1,4,IF(H355=4,3,2))+IF(INDEX([1]Sheet1!$1:$1048576,MATCH($E355,[1]Sheet1!$A:$A,0),MATCH("zizhi",[1]Sheet1!$2:$2,0))&gt;=13,0,3),0)&amp;IF($Q355="","","（"&amp;$Q355&amp;"）"))</f>
        <v>进阶+2：激活被动技能（进入战斗全体增加10%的防御）</v>
      </c>
      <c r="T355" s="1"/>
      <c r="U355" s="1"/>
      <c r="V355" s="2" t="str">
        <f>VLOOKUP(COUNTIF($E$194:$E355,$E355),$L$184:$X$193,IF(H355=1,4,IF(H355=4,3,2))+IF(INDEX([1]Sheet1!$1:$1048576,MATCH($E355,[1]Sheet1!$A:$A,0),MATCH("zizhi",[1]Sheet1!$2:$2,0))&gt;=13,0,3)+6,0)</f>
        <v>[]</v>
      </c>
      <c r="W355" s="2" t="str">
        <f t="shared" si="23"/>
        <v>进阶+2：激活被动技能（进入战斗全体增加10%的防御）</v>
      </c>
      <c r="X355" s="45" t="str">
        <f t="shared" si="21"/>
        <v>[]</v>
      </c>
      <c r="Y355" s="2"/>
      <c r="Z355" s="2"/>
      <c r="AA355" s="2"/>
    </row>
    <row r="356" spans="1:27">
      <c r="A356" s="10">
        <f>E356*100+COUNTIF($E$194:$E356,$E356)</f>
        <v>121403</v>
      </c>
      <c r="B356" s="68" t="s">
        <v>312</v>
      </c>
      <c r="C356" s="50" t="s">
        <v>127</v>
      </c>
      <c r="D356" s="10" t="str">
        <f t="shared" si="26"/>
        <v>[]</v>
      </c>
      <c r="E356" s="45">
        <f>INDEX($I:$I,MATCH($E355,$I:$I,0)+IF(COUNTIF($E$194:$E355,$E355)&lt;=VLOOKUP($E355,$I$134:$K$193,3,0)-1,0,1),0)</f>
        <v>1214</v>
      </c>
      <c r="F356" s="45" t="str">
        <f t="shared" si="22"/>
        <v>八部天龙</v>
      </c>
      <c r="H356" s="45">
        <f>VLOOKUP($E356,[1]Sheet1!$A:$G,7,0)</f>
        <v>3</v>
      </c>
      <c r="I356" s="45" t="str">
        <f>IF($G356="","",IF(COUNTIF(技能描述!$D:$D,$F356)&gt;0,VLOOKUP($F356&amp;$G356,技能描述!$A:$C,3,0),LEFT(VLOOKUP($E356,[1]Sheet1!$A:$J,10,0),FIND("_",VLOOKUP($E356,[1]Sheet1!$A:$J,10,0))-1)&amp;$G356))</f>
        <v/>
      </c>
      <c r="J356" s="45" t="str">
        <f>IF($I356="","",VLOOKUP($I356,技能描述!$A:$C,3,0))</f>
        <v/>
      </c>
      <c r="K356" s="45" t="str">
        <f>IF($I356="","",INDEX([2]Sheet1!$1:$1048576,MATCH($I356,[2]Sheet1!$A:$A,0),MATCH("description_damage",[2]Sheet1!$2:$2,0)))</f>
        <v/>
      </c>
      <c r="L356" s="80" t="str">
        <f>IF($K356="","",IF(LEN($K356)-LEN(SUBSTITUTE($K356,",",""))=0,VLOOKUP(INT($K356),[3]Sheet1!$A:$C,3,0),VLOOKUP(INT(LEFT($K356,FIND(",",$K356)-1)),[3]Sheet1!$A:$C,3,0)))</f>
        <v/>
      </c>
      <c r="M356" s="80" t="str">
        <f t="shared" si="27"/>
        <v/>
      </c>
      <c r="N356" s="45" t="str">
        <f>IF(LEN($K356)-LEN(SUBSTITUTE($K356,",",""))=1,VLOOKUP(INT(RIGHT($K356,LEN($K356)-FIND(",",$K356))),[3]Sheet1!$A:$C,3,0),"")</f>
        <v/>
      </c>
      <c r="O356" s="45" t="str">
        <f t="shared" si="24"/>
        <v/>
      </c>
      <c r="P356" s="45" t="str">
        <f t="shared" si="20"/>
        <v/>
      </c>
      <c r="Q356" s="45" t="str">
        <f t="shared" si="25"/>
        <v/>
      </c>
      <c r="R356" s="45"/>
      <c r="S356" s="45" t="str">
        <f>IF(ISERROR($Q356),"进阶+"&amp;COUNTIF($E$194:$E356,$E356)&amp;"："&amp;"找ZC配技能","进阶+"&amp;COUNTIF($E$194:$E356,$E356)&amp;"："&amp;VLOOKUP(COUNTIF($E$194:$E356,$E356),$L$184:$R$193,IF(H356=1,4,IF(H356=4,3,2))+IF(INDEX([1]Sheet1!$1:$1048576,MATCH($E356,[1]Sheet1!$A:$A,0),MATCH("zizhi",[1]Sheet1!$2:$2,0))&gt;=13,0,3),0)&amp;IF($Q356="","","（"&amp;$Q356&amp;"）"))</f>
        <v>进阶+3：攻击提高10%</v>
      </c>
      <c r="T356" s="1"/>
      <c r="U356" s="1"/>
      <c r="V356" s="2" t="str">
        <f>VLOOKUP(COUNTIF($E$194:$E356,$E356),$L$184:$X$193,IF(H356=1,4,IF(H356=4,3,2))+IF(INDEX([1]Sheet1!$1:$1048576,MATCH($E356,[1]Sheet1!$A:$A,0),MATCH("zizhi",[1]Sheet1!$2:$2,0))&gt;=13,0,3)+6,0)</f>
        <v>11050</v>
      </c>
      <c r="W356" s="2" t="str">
        <f t="shared" si="23"/>
        <v>进阶+3：攻击提高10%</v>
      </c>
      <c r="X356" s="45" t="str">
        <f t="shared" si="21"/>
        <v>11050</v>
      </c>
      <c r="Y356" s="2"/>
      <c r="Z356" s="2"/>
      <c r="AA356" s="2"/>
    </row>
    <row r="357" spans="1:27" ht="33">
      <c r="A357" s="10">
        <f>E357*100+COUNTIF($E$194:$E357,$E357)</f>
        <v>121404</v>
      </c>
      <c r="B357" s="68" t="s">
        <v>2081</v>
      </c>
      <c r="C357" s="50" t="s">
        <v>2</v>
      </c>
      <c r="D357" s="10">
        <f t="shared" si="26"/>
        <v>1</v>
      </c>
      <c r="E357" s="45">
        <f>INDEX($I:$I,MATCH($E356,$I:$I,0)+IF(COUNTIF($E$194:$E356,$E356)&lt;=VLOOKUP($E356,$I$134:$K$193,3,0)-1,0,1),0)</f>
        <v>1214</v>
      </c>
      <c r="F357" s="45" t="str">
        <f t="shared" si="22"/>
        <v>八部天龙</v>
      </c>
      <c r="G357" s="45" t="s">
        <v>217</v>
      </c>
      <c r="H357" s="45">
        <f>VLOOKUP($E357,[1]Sheet1!$A:$G,7,0)</f>
        <v>3</v>
      </c>
      <c r="I357" s="45" t="str">
        <f>IF($G357="","",IF(COUNTIF(技能描述!$D:$D,$F357)&gt;0,VLOOKUP($F357&amp;$G357,技能描述!$A:$C,3,0),LEFT(VLOOKUP($E357,[1]Sheet1!$A:$J,10,0),FIND("_",VLOOKUP($E357,[1]Sheet1!$A:$J,10,0))-1)&amp;$G357))</f>
        <v>babutianlong_skill04</v>
      </c>
      <c r="J357" s="45" t="str">
        <f>IF($I357="","",VLOOKUP($I357,技能描述!$A:$C,3,0))</f>
        <v>八部天龙怒吼并引爆自身灵能，对范围内敌人造成自身攻击力@s的物伤，有20%的概率冰冻目标两秒</v>
      </c>
      <c r="K357" s="45" t="str">
        <f>IF($I357="","",INDEX([2]Sheet1!$1:$1048576,MATCH($I357,[2]Sheet1!$A:$A,0),MATCH("description_damage",[2]Sheet1!$2:$2,0)))</f>
        <v>121406,9010</v>
      </c>
      <c r="L357" s="80" t="str">
        <f>IF($K357="","",IF(LEN($K357)-LEN(SUBSTITUTE($K357,",",""))=0,VLOOKUP(INT($K357),[3]Sheet1!$A:$C,3,0),VLOOKUP(INT(LEFT($K357,FIND(",",$K357)-1)),[3]Sheet1!$A:$C,3,0)))</f>
        <v>2|1|1.5|0|0|0</v>
      </c>
      <c r="M357" s="80" t="str">
        <f t="shared" si="27"/>
        <v>150%</v>
      </c>
      <c r="N357" s="45" t="str">
        <f>IF(LEN($K357)-LEN(SUBSTITUTE($K357,",",""))=1,VLOOKUP(INT(RIGHT($K357,LEN($K357)-FIND(",",$K357))),[3]Sheet1!$A:$C,3,0),"")</f>
        <v>4|3|0.1|0|1</v>
      </c>
      <c r="O357" s="45" t="str">
        <f t="shared" si="24"/>
        <v>10%</v>
      </c>
      <c r="P357" s="45" t="str">
        <f t="shared" si="20"/>
        <v>八部天龙怒吼并引爆自身灵能，对范围内敌人造成自身攻击力150%的物伤，有20%的概率冰冻目标两秒</v>
      </c>
      <c r="Q357" s="45" t="str">
        <f t="shared" si="25"/>
        <v>八部天龙怒吼并引爆自身灵能，对范围内敌人造成自身攻击力150%的物伤，有20%的概率冰冻目标两秒</v>
      </c>
      <c r="R357" s="45"/>
      <c r="S357" s="45" t="str">
        <f>IF(ISERROR($Q357),"进阶+"&amp;COUNTIF($E$194:$E357,$E357)&amp;"："&amp;"找ZC配技能","进阶+"&amp;COUNTIF($E$194:$E357,$E357)&amp;"："&amp;VLOOKUP(COUNTIF($E$194:$E357,$E357),$L$184:$R$193,IF(H357=1,4,IF(H357=4,3,2))+IF(INDEX([1]Sheet1!$1:$1048576,MATCH($E357,[1]Sheet1!$A:$A,0),MATCH("zizhi",[1]Sheet1!$2:$2,0))&gt;=13,0,3),0)&amp;IF($Q357="","","（"&amp;$Q357&amp;"）"))</f>
        <v>进阶+4：激活AI2技能（八部天龙怒吼并引爆自身灵能，对范围内敌人造成自身攻击力150%的物伤，有20%的概率冰冻目标两秒）</v>
      </c>
      <c r="T357" s="1"/>
      <c r="U357" s="1"/>
      <c r="V357" s="2" t="str">
        <f>VLOOKUP(COUNTIF($E$194:$E357,$E357),$L$184:$X$193,IF(H357=1,4,IF(H357=4,3,2))+IF(INDEX([1]Sheet1!$1:$1048576,MATCH($E357,[1]Sheet1!$A:$A,0),MATCH("zizhi",[1]Sheet1!$2:$2,0))&gt;=13,0,3)+6,0)</f>
        <v>[]</v>
      </c>
      <c r="W357" s="2" t="str">
        <f t="shared" si="23"/>
        <v>进阶+4：激活AI2技能（八部天龙怒吼并引爆自身灵能，对范围内敌人造成自身攻击力150%的物伤，有20%的概率冰冻目标两秒）</v>
      </c>
      <c r="X357" s="45" t="str">
        <f t="shared" si="21"/>
        <v>[]</v>
      </c>
      <c r="Y357" s="2"/>
      <c r="Z357" s="2"/>
      <c r="AA357" s="2"/>
    </row>
    <row r="358" spans="1:27">
      <c r="A358" s="10">
        <f>E358*100+COUNTIF($E$194:$E358,$E358)</f>
        <v>121405</v>
      </c>
      <c r="B358" s="68" t="s">
        <v>323</v>
      </c>
      <c r="C358" s="50" t="s">
        <v>140</v>
      </c>
      <c r="D358" s="10" t="str">
        <f t="shared" si="26"/>
        <v>[]</v>
      </c>
      <c r="E358" s="45">
        <f>INDEX($I:$I,MATCH($E357,$I:$I,0)+IF(COUNTIF($E$194:$E357,$E357)&lt;=VLOOKUP($E357,$I$134:$K$193,3,0)-1,0,1),0)</f>
        <v>1214</v>
      </c>
      <c r="F358" s="45" t="str">
        <f t="shared" si="22"/>
        <v>八部天龙</v>
      </c>
      <c r="H358" s="45">
        <f>VLOOKUP($E358,[1]Sheet1!$A:$G,7,0)</f>
        <v>3</v>
      </c>
      <c r="I358" s="45" t="str">
        <f>IF($G358="","",IF(COUNTIF(技能描述!$D:$D,$F358)&gt;0,VLOOKUP($F358&amp;$G358,技能描述!$A:$C,3,0),LEFT(VLOOKUP($E358,[1]Sheet1!$A:$J,10,0),FIND("_",VLOOKUP($E358,[1]Sheet1!$A:$J,10,0))-1)&amp;$G358))</f>
        <v/>
      </c>
      <c r="J358" s="45" t="str">
        <f>IF($I358="","",VLOOKUP($I358,技能描述!$A:$C,3,0))</f>
        <v/>
      </c>
      <c r="K358" s="45" t="str">
        <f>IF($I358="","",INDEX([2]Sheet1!$1:$1048576,MATCH($I358,[2]Sheet1!$A:$A,0),MATCH("description_damage",[2]Sheet1!$2:$2,0)))</f>
        <v/>
      </c>
      <c r="L358" s="80" t="str">
        <f>IF($K358="","",IF(LEN($K358)-LEN(SUBSTITUTE($K358,",",""))=0,VLOOKUP(INT($K358),[3]Sheet1!$A:$C,3,0),VLOOKUP(INT(LEFT($K358,FIND(",",$K358)-1)),[3]Sheet1!$A:$C,3,0)))</f>
        <v/>
      </c>
      <c r="M358" s="80" t="str">
        <f t="shared" si="27"/>
        <v/>
      </c>
      <c r="N358" s="45" t="str">
        <f>IF(LEN($K358)-LEN(SUBSTITUTE($K358,",",""))=1,VLOOKUP(INT(RIGHT($K358,LEN($K358)-FIND(",",$K358))),[3]Sheet1!$A:$C,3,0),"")</f>
        <v/>
      </c>
      <c r="O358" s="45" t="str">
        <f t="shared" si="24"/>
        <v/>
      </c>
      <c r="P358" s="45" t="str">
        <f t="shared" si="20"/>
        <v/>
      </c>
      <c r="Q358" s="45" t="str">
        <f t="shared" si="25"/>
        <v/>
      </c>
      <c r="R358" s="45"/>
      <c r="S358" s="45" t="str">
        <f>IF(ISERROR($Q358),"进阶+"&amp;COUNTIF($E$194:$E358,$E358)&amp;"："&amp;"找ZC配技能","进阶+"&amp;COUNTIF($E$194:$E358,$E358)&amp;"："&amp;VLOOKUP(COUNTIF($E$194:$E358,$E358),$L$184:$R$193,IF(H358=1,4,IF(H358=4,3,2))+IF(INDEX([1]Sheet1!$1:$1048576,MATCH($E358,[1]Sheet1!$A:$A,0),MATCH("zizhi",[1]Sheet1!$2:$2,0))&gt;=13,0,3),0)&amp;IF($Q358="","","（"&amp;$Q358&amp;"）"))</f>
        <v>进阶+5：生命，防御提高10%</v>
      </c>
      <c r="T358" s="1"/>
      <c r="U358" s="1"/>
      <c r="V358" s="2" t="str">
        <f>VLOOKUP(COUNTIF($E$194:$E358,$E358),$L$184:$X$193,IF(H358=1,4,IF(H358=4,3,2))+IF(INDEX([1]Sheet1!$1:$1048576,MATCH($E358,[1]Sheet1!$A:$A,0),MATCH("zizhi",[1]Sheet1!$2:$2,0))&gt;=13,0,3)+6,0)</f>
        <v>11090,6502,6512</v>
      </c>
      <c r="W358" s="2" t="str">
        <f t="shared" si="23"/>
        <v>进阶+5：生命，防御提高10%</v>
      </c>
      <c r="X358" s="45" t="str">
        <f t="shared" si="21"/>
        <v>11090,6502,6512</v>
      </c>
      <c r="Y358" s="2"/>
      <c r="Z358" s="2"/>
      <c r="AA358" s="2"/>
    </row>
    <row r="359" spans="1:27" ht="49.5">
      <c r="A359" s="10">
        <f>E359*100+COUNTIF($E$194:$E359,$E359)</f>
        <v>121406</v>
      </c>
      <c r="B359" s="68" t="s">
        <v>2014</v>
      </c>
      <c r="C359" s="50" t="s">
        <v>2</v>
      </c>
      <c r="D359" s="10">
        <f t="shared" si="26"/>
        <v>1</v>
      </c>
      <c r="E359" s="45">
        <f>INDEX($I:$I,MATCH($E358,$I:$I,0)+IF(COUNTIF($E$194:$E358,$E358)&lt;=VLOOKUP($E358,$I$134:$K$193,3,0)-1,0,1),0)</f>
        <v>1214</v>
      </c>
      <c r="F359" s="45" t="str">
        <f t="shared" si="22"/>
        <v>八部天龙</v>
      </c>
      <c r="G359" s="45" t="s">
        <v>218</v>
      </c>
      <c r="H359" s="45">
        <f>VLOOKUP($E359,[1]Sheet1!$A:$G,7,0)</f>
        <v>3</v>
      </c>
      <c r="I359" s="45" t="str">
        <f>IF($G359="","",IF(COUNTIF(技能描述!$D:$D,$F359)&gt;0,VLOOKUP($F359&amp;$G359,技能描述!$A:$C,3,0),LEFT(VLOOKUP($E359,[1]Sheet1!$A:$J,10,0),FIND("_",VLOOKUP($E359,[1]Sheet1!$A:$J,10,0))-1)&amp;$G359))</f>
        <v>babutianlong_skill011</v>
      </c>
      <c r="J359" s="45" t="str">
        <f>IF($I359="","",VLOOKUP($I359,技能描述!$A:$C,3,0))</f>
        <v>凝聚神龙之力，发动大范围水爆，对范围内敌人进行3次攻击，造成主角攻击力@s的物伤，每次有11%的概率沉默敌方2秒</v>
      </c>
      <c r="K359" s="45" t="str">
        <f>IF($I359="","",INDEX([2]Sheet1!$1:$1048576,MATCH($I359,[2]Sheet1!$A:$A,0),MATCH("description_damage",[2]Sheet1!$2:$2,0)))</f>
        <v>121407</v>
      </c>
      <c r="L359" s="80" t="str">
        <f>IF($K359="","",IF(LEN($K359)-LEN(SUBSTITUTE($K359,",",""))=0,VLOOKUP(INT($K359),[3]Sheet1!$A:$C,3,0),VLOOKUP(INT(LEFT($K359,FIND(",",$K359)-1)),[3]Sheet1!$A:$C,3,0)))</f>
        <v>2|1|2|0|0|0</v>
      </c>
      <c r="M359" s="80" t="str">
        <f t="shared" si="27"/>
        <v>200%</v>
      </c>
      <c r="N359" s="45" t="str">
        <f>IF(LEN($K359)-LEN(SUBSTITUTE($K359,",",""))=1,VLOOKUP(INT(RIGHT($K359,LEN($K359)-FIND(",",$K359))),[3]Sheet1!$A:$C,3,0),"")</f>
        <v/>
      </c>
      <c r="O359" s="45" t="str">
        <f t="shared" si="24"/>
        <v/>
      </c>
      <c r="P359" s="45" t="str">
        <f t="shared" si="20"/>
        <v>凝聚神龙之力，发动大范围水爆，对范围内敌人进行3次攻击，造成主角攻击力200%的物伤，每次有11%的概率沉默敌方2秒</v>
      </c>
      <c r="Q359" s="45" t="str">
        <f t="shared" si="25"/>
        <v>凝聚神龙之力，发动大范围水爆，对范围内敌人进行3次攻击，造成主角攻击力200%的物伤，每次有11%的概率沉默敌方2秒</v>
      </c>
      <c r="R359" s="45"/>
      <c r="S359" s="45" t="str">
        <f>IF(ISERROR($Q359),"进阶+"&amp;COUNTIF($E$194:$E359,$E359)&amp;"："&amp;"找ZC配技能","进阶+"&amp;COUNTIF($E$194:$E359,$E359)&amp;"："&amp;VLOOKUP(COUNTIF($E$194:$E359,$E359),$L$184:$R$193,IF(H359=1,4,IF(H359=4,3,2))+IF(INDEX([1]Sheet1!$1:$1048576,MATCH($E359,[1]Sheet1!$A:$A,0),MATCH("zizhi",[1]Sheet1!$2:$2,0))&gt;=13,0,3),0)&amp;IF($Q359="","","（"&amp;$Q359&amp;"）"))</f>
        <v>进阶+6：增强主角技能（凝聚神龙之力，发动大范围水爆，对范围内敌人进行3次攻击，造成主角攻击力200%的物伤，每次有11%的概率沉默敌方2秒）</v>
      </c>
      <c r="T359" s="1"/>
      <c r="U359" s="1"/>
      <c r="V359" s="2" t="str">
        <f>VLOOKUP(COUNTIF($E$194:$E359,$E359),$L$184:$X$193,IF(H359=1,4,IF(H359=4,3,2))+IF(INDEX([1]Sheet1!$1:$1048576,MATCH($E359,[1]Sheet1!$A:$A,0),MATCH("zizhi",[1]Sheet1!$2:$2,0))&gt;=13,0,3)+6,0)</f>
        <v>[]</v>
      </c>
      <c r="W359" s="2" t="str">
        <f t="shared" si="23"/>
        <v>进阶+6：增强主角技能（凝聚神龙之力，发动大范围水爆，对范围内敌人进行3次攻击，造成主角攻击力200%的物伤，每次有11%的概率沉默敌方2秒）</v>
      </c>
      <c r="X359" s="45" t="str">
        <f t="shared" si="21"/>
        <v>[]</v>
      </c>
      <c r="Y359" s="2"/>
      <c r="Z359" s="2"/>
      <c r="AA359" s="2"/>
    </row>
    <row r="360" spans="1:27">
      <c r="A360" s="10">
        <f>E360*100+COUNTIF($E$194:$E360,$E360)</f>
        <v>121407</v>
      </c>
      <c r="B360" s="68" t="s">
        <v>359</v>
      </c>
      <c r="C360" s="50" t="s">
        <v>353</v>
      </c>
      <c r="D360" s="10" t="str">
        <f t="shared" si="26"/>
        <v>[]</v>
      </c>
      <c r="E360" s="45">
        <f>INDEX($I:$I,MATCH($E359,$I:$I,0)+IF(COUNTIF($E$194:$E359,$E359)&lt;=VLOOKUP($E359,$I$134:$K$193,3,0)-1,0,1),0)</f>
        <v>1214</v>
      </c>
      <c r="F360" s="45" t="str">
        <f t="shared" si="22"/>
        <v>八部天龙</v>
      </c>
      <c r="H360" s="45">
        <f>VLOOKUP($E360,[1]Sheet1!$A:$G,7,0)</f>
        <v>3</v>
      </c>
      <c r="I360" s="45" t="str">
        <f>IF($G360="","",IF(COUNTIF(技能描述!$D:$D,$F360)&gt;0,VLOOKUP($F360&amp;$G360,技能描述!$A:$C,3,0),LEFT(VLOOKUP($E360,[1]Sheet1!$A:$J,10,0),FIND("_",VLOOKUP($E360,[1]Sheet1!$A:$J,10,0))-1)&amp;$G360))</f>
        <v/>
      </c>
      <c r="J360" s="45" t="str">
        <f>IF($I360="","",VLOOKUP($I360,技能描述!$A:$C,3,0))</f>
        <v/>
      </c>
      <c r="K360" s="45" t="str">
        <f>IF($I360="","",INDEX([2]Sheet1!$1:$1048576,MATCH($I360,[2]Sheet1!$A:$A,0),MATCH("description_damage",[2]Sheet1!$2:$2,0)))</f>
        <v/>
      </c>
      <c r="L360" s="80" t="str">
        <f>IF($K360="","",IF(LEN($K360)-LEN(SUBSTITUTE($K360,",",""))=0,VLOOKUP(INT($K360),[3]Sheet1!$A:$C,3,0),VLOOKUP(INT(LEFT($K360,FIND(",",$K360)-1)),[3]Sheet1!$A:$C,3,0)))</f>
        <v/>
      </c>
      <c r="M360" s="80" t="str">
        <f t="shared" si="27"/>
        <v/>
      </c>
      <c r="N360" s="45" t="str">
        <f>IF(LEN($K360)-LEN(SUBSTITUTE($K360,",",""))=1,VLOOKUP(INT(RIGHT($K360,LEN($K360)-FIND(",",$K360))),[3]Sheet1!$A:$C,3,0),"")</f>
        <v/>
      </c>
      <c r="O360" s="45" t="str">
        <f t="shared" si="24"/>
        <v/>
      </c>
      <c r="P360" s="45" t="str">
        <f t="shared" si="20"/>
        <v/>
      </c>
      <c r="Q360" s="45" t="str">
        <f t="shared" si="25"/>
        <v/>
      </c>
      <c r="R360" s="45"/>
      <c r="S360" s="45" t="str">
        <f>IF(ISERROR($Q360),"进阶+"&amp;COUNTIF($E$194:$E360,$E360)&amp;"："&amp;"找ZC配技能","进阶+"&amp;COUNTIF($E$194:$E360,$E360)&amp;"："&amp;VLOOKUP(COUNTIF($E$194:$E360,$E360),$L$184:$R$193,IF(H360=1,4,IF(H360=4,3,2))+IF(INDEX([1]Sheet1!$1:$1048576,MATCH($E360,[1]Sheet1!$A:$A,0),MATCH("zizhi",[1]Sheet1!$2:$2,0))&gt;=13,0,3),0)&amp;IF($Q360="","","（"&amp;$Q360&amp;"）"))</f>
        <v>进阶+7：全队攻击提高10%</v>
      </c>
      <c r="T360" s="1"/>
      <c r="U360" s="1"/>
      <c r="V360" s="2" t="str">
        <f>VLOOKUP(COUNTIF($E$194:$E360,$E360),$L$184:$X$193,IF(H360=1,4,IF(H360=4,3,2))+IF(INDEX([1]Sheet1!$1:$1048576,MATCH($E360,[1]Sheet1!$A:$A,0),MATCH("zizhi",[1]Sheet1!$2:$2,0))&gt;=13,0,3)+6,0)</f>
        <v>58010</v>
      </c>
      <c r="W360" s="2" t="str">
        <f t="shared" si="23"/>
        <v>进阶+7：全队攻击提高10%</v>
      </c>
      <c r="X360" s="45" t="str">
        <f t="shared" si="21"/>
        <v>58010</v>
      </c>
      <c r="Y360" s="2"/>
      <c r="Z360" s="2"/>
      <c r="AA360" s="2"/>
    </row>
    <row r="361" spans="1:27" ht="49.5">
      <c r="A361" s="10">
        <f>E361*100+COUNTIF($E$194:$E361,$E361)</f>
        <v>121408</v>
      </c>
      <c r="B361" s="68" t="s">
        <v>2015</v>
      </c>
      <c r="C361" s="50" t="s">
        <v>2</v>
      </c>
      <c r="D361" s="10">
        <f t="shared" si="26"/>
        <v>1</v>
      </c>
      <c r="E361" s="45">
        <f>INDEX($I:$I,MATCH($E360,$I:$I,0)+IF(COUNTIF($E$194:$E360,$E360)&lt;=VLOOKUP($E360,$I$134:$K$193,3,0)-1,0,1),0)</f>
        <v>1214</v>
      </c>
      <c r="F361" s="45" t="str">
        <f t="shared" si="22"/>
        <v>八部天龙</v>
      </c>
      <c r="G361" s="45" t="s">
        <v>219</v>
      </c>
      <c r="H361" s="45">
        <f>VLOOKUP($E361,[1]Sheet1!$A:$G,7,0)</f>
        <v>3</v>
      </c>
      <c r="I361" s="45" t="str">
        <f>IF($G361="","",IF(COUNTIF(技能描述!$D:$D,$F361)&gt;0,VLOOKUP($F361&amp;$G361,技能描述!$A:$C,3,0),LEFT(VLOOKUP($E361,[1]Sheet1!$A:$J,10,0),FIND("_",VLOOKUP($E361,[1]Sheet1!$A:$J,10,0))-1)&amp;$G361))</f>
        <v>babutianlong_skill021</v>
      </c>
      <c r="J361" s="45" t="str">
        <f>IF($I361="","",VLOOKUP($I361,技能描述!$A:$C,3,0))</f>
        <v>八部天龙凝聚自身灵能并发射，对范围内敌人造成自身攻击力@s的物伤，嘲讽目标同时提升自身20%的防御，持续2秒</v>
      </c>
      <c r="K361" s="45" t="str">
        <f>IF($I361="","",INDEX([2]Sheet1!$1:$1048576,MATCH($I361,[2]Sheet1!$A:$A,0),MATCH("description_damage",[2]Sheet1!$2:$2,0)))</f>
        <v>121408,9015</v>
      </c>
      <c r="L361" s="80" t="str">
        <f>IF($K361="","",IF(LEN($K361)-LEN(SUBSTITUTE($K361,",",""))=0,VLOOKUP(INT($K361),[3]Sheet1!$A:$C,3,0),VLOOKUP(INT(LEFT($K361,FIND(",",$K361)-1)),[3]Sheet1!$A:$C,3,0)))</f>
        <v>2|1|2.1|0|0|0</v>
      </c>
      <c r="M361" s="80" t="str">
        <f t="shared" si="27"/>
        <v>210%</v>
      </c>
      <c r="N361" s="45" t="str">
        <f>IF(LEN($K361)-LEN(SUBSTITUTE($K361,",",""))=1,VLOOKUP(INT(RIGHT($K361,LEN($K361)-FIND(",",$K361))),[3]Sheet1!$A:$C,3,0),"")</f>
        <v>4|3|0.15|0|1</v>
      </c>
      <c r="O361" s="45" t="str">
        <f t="shared" si="24"/>
        <v>15%</v>
      </c>
      <c r="P361" s="45" t="str">
        <f t="shared" si="20"/>
        <v>八部天龙凝聚自身灵能并发射，对范围内敌人造成自身攻击力210%的物伤，嘲讽目标同时提升自身20%的防御，持续2秒</v>
      </c>
      <c r="Q361" s="45" t="str">
        <f t="shared" si="25"/>
        <v>八部天龙凝聚自身灵能并发射，对范围内敌人造成自身攻击力210%的物伤，嘲讽目标同时提升自身20%的防御，持续2秒</v>
      </c>
      <c r="R361" s="45"/>
      <c r="S361" s="45" t="str">
        <f>IF(ISERROR($Q361),"进阶+"&amp;COUNTIF($E$194:$E361,$E361)&amp;"："&amp;"找ZC配技能","进阶+"&amp;COUNTIF($E$194:$E361,$E361)&amp;"："&amp;VLOOKUP(COUNTIF($E$194:$E361,$E361),$L$184:$R$193,IF(H361=1,4,IF(H361=4,3,2))+IF(INDEX([1]Sheet1!$1:$1048576,MATCH($E361,[1]Sheet1!$A:$A,0),MATCH("zizhi",[1]Sheet1!$2:$2,0))&gt;=13,0,3),0)&amp;IF($Q361="","","（"&amp;$Q361&amp;"）"))</f>
        <v>进阶+8：增强AI1技能（八部天龙凝聚自身灵能并发射，对范围内敌人造成自身攻击力210%的物伤，嘲讽目标同时提升自身20%的防御，持续2秒）</v>
      </c>
      <c r="T361" s="1"/>
      <c r="U361" s="1"/>
      <c r="V361" s="2" t="str">
        <f>VLOOKUP(COUNTIF($E$194:$E361,$E361),$L$184:$X$193,IF(H361=1,4,IF(H361=4,3,2))+IF(INDEX([1]Sheet1!$1:$1048576,MATCH($E361,[1]Sheet1!$A:$A,0),MATCH("zizhi",[1]Sheet1!$2:$2,0))&gt;=13,0,3)+6,0)</f>
        <v>[]</v>
      </c>
      <c r="W361" s="2" t="str">
        <f t="shared" si="23"/>
        <v>进阶+8：增强AI1技能（八部天龙凝聚自身灵能并发射，对范围内敌人造成自身攻击力210%的物伤，嘲讽目标同时提升自身20%的防御，持续2秒）</v>
      </c>
      <c r="X361" s="45" t="str">
        <f t="shared" si="21"/>
        <v>[]</v>
      </c>
      <c r="Y361" s="2"/>
      <c r="Z361" s="2"/>
      <c r="AA361" s="2"/>
    </row>
    <row r="362" spans="1:27">
      <c r="A362" s="10">
        <f>E362*100+COUNTIF($E$194:$E362,$E362)</f>
        <v>121409</v>
      </c>
      <c r="B362" s="68" t="s">
        <v>1899</v>
      </c>
      <c r="C362" s="50" t="s">
        <v>2085</v>
      </c>
      <c r="D362" s="10" t="str">
        <f t="shared" si="26"/>
        <v>[]</v>
      </c>
      <c r="E362" s="45">
        <f>INDEX($I:$I,MATCH($E361,$I:$I,0)+IF(COUNTIF($E$194:$E361,$E361)&lt;=VLOOKUP($E361,$I$134:$K$193,3,0)-1,0,1),0)</f>
        <v>1214</v>
      </c>
      <c r="F362" s="45" t="str">
        <f t="shared" si="22"/>
        <v>八部天龙</v>
      </c>
      <c r="H362" s="45">
        <f>VLOOKUP($E362,[1]Sheet1!$A:$G,7,0)</f>
        <v>3</v>
      </c>
      <c r="I362" s="45" t="str">
        <f>IF($G362="","",IF(COUNTIF(技能描述!$D:$D,$F362)&gt;0,VLOOKUP($F362&amp;$G362,技能描述!$A:$C,3,0),LEFT(VLOOKUP($E362,[1]Sheet1!$A:$J,10,0),FIND("_",VLOOKUP($E362,[1]Sheet1!$A:$J,10,0))-1)&amp;$G362))</f>
        <v/>
      </c>
      <c r="J362" s="45" t="str">
        <f>IF($I362="","",VLOOKUP($I362,技能描述!$A:$C,3,0))</f>
        <v/>
      </c>
      <c r="K362" s="45" t="str">
        <f>IF($I362="","",INDEX([2]Sheet1!$1:$1048576,MATCH($I362,[2]Sheet1!$A:$A,0),MATCH("description_damage",[2]Sheet1!$2:$2,0)))</f>
        <v/>
      </c>
      <c r="L362" s="80" t="str">
        <f>IF($K362="","",IF(LEN($K362)-LEN(SUBSTITUTE($K362,",",""))=0,VLOOKUP(INT($K362),[3]Sheet1!$A:$C,3,0),VLOOKUP(INT(LEFT($K362,FIND(",",$K362)-1)),[3]Sheet1!$A:$C,3,0)))</f>
        <v/>
      </c>
      <c r="M362" s="80" t="str">
        <f t="shared" si="27"/>
        <v/>
      </c>
      <c r="N362" s="45" t="str">
        <f>IF(LEN($K362)-LEN(SUBSTITUTE($K362,",",""))=1,VLOOKUP(INT(RIGHT($K362,LEN($K362)-FIND(",",$K362))),[3]Sheet1!$A:$C,3,0),"")</f>
        <v/>
      </c>
      <c r="O362" s="45" t="str">
        <f t="shared" si="24"/>
        <v/>
      </c>
      <c r="P362" s="45" t="str">
        <f t="shared" si="20"/>
        <v/>
      </c>
      <c r="Q362" s="45" t="str">
        <f t="shared" si="25"/>
        <v/>
      </c>
      <c r="R362" s="45"/>
      <c r="S362" s="45" t="str">
        <f>IF(ISERROR($Q362),"进阶+"&amp;COUNTIF($E$194:$E362,$E362)&amp;"："&amp;"找ZC配技能","进阶+"&amp;COUNTIF($E$194:$E362,$E362)&amp;"："&amp;VLOOKUP(COUNTIF($E$194:$E362,$E362),$L$184:$R$193,IF(H362=1,4,IF(H362=4,3,2))+IF(INDEX([1]Sheet1!$1:$1048576,MATCH($E362,[1]Sheet1!$A:$A,0),MATCH("zizhi",[1]Sheet1!$2:$2,0))&gt;=13,0,3),0)&amp;IF($Q362="","","（"&amp;$Q362&amp;"）"))</f>
        <v>进阶+9：全队攻击提高15%</v>
      </c>
      <c r="T362" s="1"/>
      <c r="U362" s="1"/>
      <c r="V362" s="2" t="str">
        <f>VLOOKUP(COUNTIF($E$194:$E362,$E362),$L$184:$X$193,IF(H362=1,4,IF(H362=4,3,2))+IF(INDEX([1]Sheet1!$1:$1048576,MATCH($E362,[1]Sheet1!$A:$A,0),MATCH("zizhi",[1]Sheet1!$2:$2,0))&gt;=13,0,3)+6,0)</f>
        <v>58015</v>
      </c>
      <c r="W362" s="2" t="str">
        <f t="shared" si="23"/>
        <v>进阶+9：全队攻击提高15%</v>
      </c>
      <c r="X362" s="45" t="str">
        <f t="shared" si="21"/>
        <v>58015</v>
      </c>
      <c r="Y362" s="2"/>
      <c r="Z362" s="2"/>
      <c r="AA362" s="2"/>
    </row>
    <row r="363" spans="1:27" ht="33">
      <c r="A363" s="10">
        <f>E363*100+COUNTIF($E$194:$E363,$E363)</f>
        <v>121410</v>
      </c>
      <c r="B363" s="68" t="s">
        <v>2082</v>
      </c>
      <c r="C363" s="50" t="s">
        <v>2</v>
      </c>
      <c r="D363" s="10">
        <f t="shared" si="26"/>
        <v>1</v>
      </c>
      <c r="E363" s="45">
        <f>INDEX($I:$I,MATCH($E362,$I:$I,0)+IF(COUNTIF($E$194:$E362,$E362)&lt;=VLOOKUP($E362,$I$134:$K$193,3,0)-1,0,1),0)</f>
        <v>1214</v>
      </c>
      <c r="F363" s="45" t="str">
        <f t="shared" si="22"/>
        <v>八部天龙</v>
      </c>
      <c r="G363" s="45" t="s">
        <v>220</v>
      </c>
      <c r="H363" s="45">
        <f>VLOOKUP($E363,[1]Sheet1!$A:$G,7,0)</f>
        <v>3</v>
      </c>
      <c r="I363" s="45" t="str">
        <f>IF($G363="","",IF(COUNTIF(技能描述!$D:$D,$F363)&gt;0,VLOOKUP($F363&amp;$G363,技能描述!$A:$C,3,0),LEFT(VLOOKUP($E363,[1]Sheet1!$A:$J,10,0),FIND("_",VLOOKUP($E363,[1]Sheet1!$A:$J,10,0))-1)&amp;$G363))</f>
        <v>babutianlong_skill041</v>
      </c>
      <c r="J363" s="45" t="str">
        <f>IF($I363="","",VLOOKUP($I363,技能描述!$A:$C,3,0))</f>
        <v>八部天龙怒吼并引爆自身灵能，对范围内敌人造成自身攻击力@s的物伤，有40%的概率冰冻目标两秒</v>
      </c>
      <c r="K363" s="45" t="str">
        <f>IF($I363="","",INDEX([2]Sheet1!$1:$1048576,MATCH($I363,[2]Sheet1!$A:$A,0),MATCH("description_damage",[2]Sheet1!$2:$2,0)))</f>
        <v>121409,9015</v>
      </c>
      <c r="L363" s="80" t="str">
        <f>IF($K363="","",IF(LEN($K363)-LEN(SUBSTITUTE($K363,",",""))=0,VLOOKUP(INT($K363),[3]Sheet1!$A:$C,3,0),VLOOKUP(INT(LEFT($K363,FIND(",",$K363)-1)),[3]Sheet1!$A:$C,3,0)))</f>
        <v>2|1|2.1|0|0|0</v>
      </c>
      <c r="M363" s="80" t="str">
        <f t="shared" si="27"/>
        <v>210%</v>
      </c>
      <c r="N363" s="45" t="str">
        <f>IF(LEN($K363)-LEN(SUBSTITUTE($K363,",",""))=1,VLOOKUP(INT(RIGHT($K363,LEN($K363)-FIND(",",$K363))),[3]Sheet1!$A:$C,3,0),"")</f>
        <v>4|3|0.15|0|1</v>
      </c>
      <c r="O363" s="45" t="str">
        <f t="shared" si="24"/>
        <v>15%</v>
      </c>
      <c r="P363" s="45" t="str">
        <f t="shared" si="20"/>
        <v>八部天龙怒吼并引爆自身灵能，对范围内敌人造成自身攻击力210%的物伤，有40%的概率冰冻目标两秒</v>
      </c>
      <c r="Q363" s="45" t="str">
        <f t="shared" si="25"/>
        <v>八部天龙怒吼并引爆自身灵能，对范围内敌人造成自身攻击力210%的物伤，有40%的概率冰冻目标两秒</v>
      </c>
      <c r="R363" s="45"/>
      <c r="S363" s="45" t="str">
        <f>IF(ISERROR($Q363),"进阶+"&amp;COUNTIF($E$194:$E363,$E363)&amp;"："&amp;"找ZC配技能","进阶+"&amp;COUNTIF($E$194:$E363,$E363)&amp;"："&amp;VLOOKUP(COUNTIF($E$194:$E363,$E363),$L$184:$R$193,IF(H363=1,4,IF(H363=4,3,2))+IF(INDEX([1]Sheet1!$1:$1048576,MATCH($E363,[1]Sheet1!$A:$A,0),MATCH("zizhi",[1]Sheet1!$2:$2,0))&gt;=13,0,3),0)&amp;IF($Q363="","","（"&amp;$Q363&amp;"）"))</f>
        <v>进阶+10：增强AI2技能（八部天龙怒吼并引爆自身灵能，对范围内敌人造成自身攻击力210%的物伤，有40%的概率冰冻目标两秒）</v>
      </c>
      <c r="T363" s="1"/>
      <c r="U363" s="1"/>
      <c r="V363" s="2" t="str">
        <f>VLOOKUP(COUNTIF($E$194:$E363,$E363),$L$184:$X$193,IF(H363=1,4,IF(H363=4,3,2))+IF(INDEX([1]Sheet1!$1:$1048576,MATCH($E363,[1]Sheet1!$A:$A,0),MATCH("zizhi",[1]Sheet1!$2:$2,0))&gt;=13,0,3)+6,0)</f>
        <v>[]</v>
      </c>
      <c r="W363" s="2" t="str">
        <f t="shared" si="23"/>
        <v>进阶+10：增强AI2技能（八部天龙怒吼并引爆自身灵能，对范围内敌人造成自身攻击力210%的物伤，有40%的概率冰冻目标两秒）</v>
      </c>
      <c r="X363" s="45" t="str">
        <f t="shared" si="21"/>
        <v>[]</v>
      </c>
      <c r="Y363" s="2"/>
      <c r="Z363" s="2"/>
      <c r="AA363" s="2"/>
    </row>
    <row r="364" spans="1:27">
      <c r="A364" s="10">
        <f>E364*100+COUNTIF($E$194:$E364,$E364)</f>
        <v>110301</v>
      </c>
      <c r="B364" s="68" t="s">
        <v>319</v>
      </c>
      <c r="C364" s="50">
        <v>11090</v>
      </c>
      <c r="D364" s="10" t="str">
        <f t="shared" si="26"/>
        <v>[]</v>
      </c>
      <c r="E364" s="45">
        <f>INDEX($I:$I,MATCH($E363,$I:$I,0)+IF(COUNTIF($E$194:$E363,$E363)&lt;=VLOOKUP($E363,$I$134:$K$193,3,0)-1,0,1),0)</f>
        <v>1103</v>
      </c>
      <c r="F364" s="45" t="str">
        <f t="shared" si="22"/>
        <v>嫦娥</v>
      </c>
      <c r="H364" s="45">
        <f>VLOOKUP($E364,[1]Sheet1!$A:$G,7,0)</f>
        <v>1</v>
      </c>
      <c r="I364" s="45" t="str">
        <f>IF($G364="","",IF(COUNTIF(技能描述!$D:$D,$F364)&gt;0,VLOOKUP($F364&amp;$G364,技能描述!$A:$C,3,0),LEFT(VLOOKUP($E364,[1]Sheet1!$A:$J,10,0),FIND("_",VLOOKUP($E364,[1]Sheet1!$A:$J,10,0))-1)&amp;$G364))</f>
        <v/>
      </c>
      <c r="J364" s="45" t="str">
        <f>IF($I364="","",VLOOKUP($I364,技能描述!$A:$C,3,0))</f>
        <v/>
      </c>
      <c r="K364" s="45" t="str">
        <f>IF($I364="","",INDEX([2]Sheet1!$1:$1048576,MATCH($I364,[2]Sheet1!$A:$A,0),MATCH("description_damage",[2]Sheet1!$2:$2,0)))</f>
        <v/>
      </c>
      <c r="L364" s="80" t="str">
        <f>IF($K364="","",IF(LEN($K364)-LEN(SUBSTITUTE($K364,",",""))=0,VLOOKUP(INT($K364),[3]Sheet1!$A:$C,3,0),VLOOKUP(INT(LEFT($K364,FIND(",",$K364)-1)),[3]Sheet1!$A:$C,3,0)))</f>
        <v/>
      </c>
      <c r="M364" s="80" t="str">
        <f t="shared" si="27"/>
        <v/>
      </c>
      <c r="N364" s="45" t="str">
        <f>IF(LEN($K364)-LEN(SUBSTITUTE($K364,",",""))=1,VLOOKUP(INT(RIGHT($K364,LEN($K364)-FIND(",",$K364))),[3]Sheet1!$A:$C,3,0),"")</f>
        <v/>
      </c>
      <c r="O364" s="45" t="str">
        <f t="shared" si="24"/>
        <v/>
      </c>
      <c r="P364" s="45" t="str">
        <f t="shared" si="20"/>
        <v/>
      </c>
      <c r="Q364" s="45" t="str">
        <f t="shared" si="25"/>
        <v/>
      </c>
      <c r="R364" s="45"/>
      <c r="S364" s="45" t="str">
        <f>IF(ISERROR($Q364),"进阶+"&amp;COUNTIF($E$194:$E364,$E364)&amp;"："&amp;"找ZC配技能","进阶+"&amp;COUNTIF($E$194:$E364,$E364)&amp;"："&amp;VLOOKUP(COUNTIF($E$194:$E364,$E364),$L$184:$R$193,IF(H364=1,4,IF(H364=4,3,2))+IF(INDEX([1]Sheet1!$1:$1048576,MATCH($E364,[1]Sheet1!$A:$A,0),MATCH("zizhi",[1]Sheet1!$2:$2,0))&gt;=13,0,3),0)&amp;IF($Q364="","","（"&amp;$Q364&amp;"）"))</f>
        <v>进阶+1：生命提高10%</v>
      </c>
      <c r="T364" s="1"/>
      <c r="U364" s="1"/>
      <c r="V364" s="2">
        <f>VLOOKUP(COUNTIF($E$194:$E364,$E364),$L$184:$X$193,IF(H364=1,4,IF(H364=4,3,2))+IF(INDEX([1]Sheet1!$1:$1048576,MATCH($E364,[1]Sheet1!$A:$A,0),MATCH("zizhi",[1]Sheet1!$2:$2,0))&gt;=13,0,3)+6,0)</f>
        <v>11090</v>
      </c>
      <c r="W364" s="2" t="str">
        <f t="shared" si="23"/>
        <v>进阶+1：生命提高10%</v>
      </c>
      <c r="X364" s="45">
        <f t="shared" si="21"/>
        <v>11090</v>
      </c>
      <c r="Y364" s="2"/>
      <c r="Z364" s="2"/>
      <c r="AA364" s="2"/>
    </row>
    <row r="365" spans="1:27" ht="33">
      <c r="A365" s="10">
        <f>E365*100+COUNTIF($E$194:$E365,$E365)</f>
        <v>110302</v>
      </c>
      <c r="B365" s="68" t="s">
        <v>336</v>
      </c>
      <c r="C365" s="50" t="s">
        <v>2</v>
      </c>
      <c r="D365" s="10">
        <f t="shared" si="26"/>
        <v>1</v>
      </c>
      <c r="E365" s="45">
        <f>INDEX($I:$I,MATCH($E364,$I:$I,0)+IF(COUNTIF($E$194:$E364,$E364)&lt;=VLOOKUP($E364,$I$134:$K$193,3,0)-1,0,1),0)</f>
        <v>1103</v>
      </c>
      <c r="F365" s="45" t="str">
        <f t="shared" si="22"/>
        <v>嫦娥</v>
      </c>
      <c r="G365" s="45" t="s">
        <v>216</v>
      </c>
      <c r="H365" s="45">
        <f>VLOOKUP($E365,[1]Sheet1!$A:$G,7,0)</f>
        <v>1</v>
      </c>
      <c r="I365" s="45" t="str">
        <f>IF($G365="","",IF(COUNTIF(技能描述!$D:$D,$F365)&gt;0,VLOOKUP($F365&amp;$G365,技能描述!$A:$C,3,0),LEFT(VLOOKUP($E365,[1]Sheet1!$A:$J,10,0),FIND("_",VLOOKUP($E365,[1]Sheet1!$A:$J,10,0))-1)&amp;$G365))</f>
        <v>change_skill03</v>
      </c>
      <c r="J365" s="45" t="str">
        <f>IF($I365="","",VLOOKUP($I365,技能描述!$A:$C,3,0))</f>
        <v>进入战斗场景时，降低全体友军受到的伤害@s</v>
      </c>
      <c r="K365" s="45" t="str">
        <f>IF($I365="","",INDEX([2]Sheet1!$1:$1048576,MATCH($I365,[2]Sheet1!$A:$A,0),MATCH("description_damage",[2]Sheet1!$2:$2,0)))</f>
        <v>9010</v>
      </c>
      <c r="L365" s="80" t="str">
        <f>IF($K365="","",IF(LEN($K365)-LEN(SUBSTITUTE($K365,",",""))=0,VLOOKUP(INT($K365),[3]Sheet1!$A:$C,3,0),VLOOKUP(INT(LEFT($K365,FIND(",",$K365)-1)),[3]Sheet1!$A:$C,3,0)))</f>
        <v>4|3|0.1|0|1</v>
      </c>
      <c r="M365" s="80" t="str">
        <f t="shared" si="27"/>
        <v>10%</v>
      </c>
      <c r="N365" s="45" t="str">
        <f>IF(LEN($K365)-LEN(SUBSTITUTE($K365,",",""))=1,VLOOKUP(INT(RIGHT($K365,LEN($K365)-FIND(",",$K365))),[3]Sheet1!$A:$C,3,0),"")</f>
        <v/>
      </c>
      <c r="O365" s="45" t="str">
        <f t="shared" si="24"/>
        <v/>
      </c>
      <c r="P365" s="45" t="str">
        <f t="shared" si="20"/>
        <v>进入战斗场景时，降低全体友军受到的伤害10%</v>
      </c>
      <c r="Q365" s="45" t="str">
        <f t="shared" si="25"/>
        <v>进入战斗场景时，降低全体友军受到的伤害10%</v>
      </c>
      <c r="R365" s="45"/>
      <c r="S365" s="45" t="str">
        <f>IF(ISERROR($Q365),"进阶+"&amp;COUNTIF($E$194:$E365,$E365)&amp;"："&amp;"找ZC配技能","进阶+"&amp;COUNTIF($E$194:$E365,$E365)&amp;"："&amp;VLOOKUP(COUNTIF($E$194:$E365,$E365),$L$184:$R$193,IF(H365=1,4,IF(H365=4,3,2))+IF(INDEX([1]Sheet1!$1:$1048576,MATCH($E365,[1]Sheet1!$A:$A,0),MATCH("zizhi",[1]Sheet1!$2:$2,0))&gt;=13,0,3),0)&amp;IF($Q365="","","（"&amp;$Q365&amp;"）"))</f>
        <v>进阶+2：激活被动技能（进入战斗场景时，降低全体友军受到的伤害10%）</v>
      </c>
      <c r="T365" s="1"/>
      <c r="U365" s="1"/>
      <c r="V365" s="2" t="str">
        <f>VLOOKUP(COUNTIF($E$194:$E365,$E365),$L$184:$X$193,IF(H365=1,4,IF(H365=4,3,2))+IF(INDEX([1]Sheet1!$1:$1048576,MATCH($E365,[1]Sheet1!$A:$A,0),MATCH("zizhi",[1]Sheet1!$2:$2,0))&gt;=13,0,3)+6,0)</f>
        <v>[]</v>
      </c>
      <c r="W365" s="2" t="str">
        <f t="shared" si="23"/>
        <v>进阶+2：激活被动技能（进入战斗场景时，降低全体友军受到的伤害10%）</v>
      </c>
      <c r="X365" s="45" t="str">
        <f t="shared" si="21"/>
        <v>[]</v>
      </c>
      <c r="Y365" s="2"/>
      <c r="Z365" s="2"/>
      <c r="AA365" s="2"/>
    </row>
    <row r="366" spans="1:27">
      <c r="A366" s="10">
        <f>E366*100+COUNTIF($E$194:$E366,$E366)</f>
        <v>110303</v>
      </c>
      <c r="B366" s="68" t="s">
        <v>312</v>
      </c>
      <c r="C366" s="50" t="s">
        <v>127</v>
      </c>
      <c r="D366" s="10" t="str">
        <f t="shared" si="26"/>
        <v>[]</v>
      </c>
      <c r="E366" s="45">
        <f>INDEX($I:$I,MATCH($E365,$I:$I,0)+IF(COUNTIF($E$194:$E365,$E365)&lt;=VLOOKUP($E365,$I$134:$K$193,3,0)-1,0,1),0)</f>
        <v>1103</v>
      </c>
      <c r="F366" s="45" t="str">
        <f t="shared" si="22"/>
        <v>嫦娥</v>
      </c>
      <c r="H366" s="45">
        <f>VLOOKUP($E366,[1]Sheet1!$A:$G,7,0)</f>
        <v>1</v>
      </c>
      <c r="I366" s="45" t="str">
        <f>IF($G366="","",IF(COUNTIF(技能描述!$D:$D,$F366)&gt;0,VLOOKUP($F366&amp;$G366,技能描述!$A:$C,3,0),LEFT(VLOOKUP($E366,[1]Sheet1!$A:$J,10,0),FIND("_",VLOOKUP($E366,[1]Sheet1!$A:$J,10,0))-1)&amp;$G366))</f>
        <v/>
      </c>
      <c r="J366" s="45" t="str">
        <f>IF($I366="","",VLOOKUP($I366,技能描述!$A:$C,3,0))</f>
        <v/>
      </c>
      <c r="K366" s="45" t="str">
        <f>IF($I366="","",INDEX([2]Sheet1!$1:$1048576,MATCH($I366,[2]Sheet1!$A:$A,0),MATCH("description_damage",[2]Sheet1!$2:$2,0)))</f>
        <v/>
      </c>
      <c r="L366" s="80" t="str">
        <f>IF($K366="","",IF(LEN($K366)-LEN(SUBSTITUTE($K366,",",""))=0,VLOOKUP(INT($K366),[3]Sheet1!$A:$C,3,0),VLOOKUP(INT(LEFT($K366,FIND(",",$K366)-1)),[3]Sheet1!$A:$C,3,0)))</f>
        <v/>
      </c>
      <c r="M366" s="80" t="str">
        <f t="shared" si="27"/>
        <v/>
      </c>
      <c r="N366" s="45" t="str">
        <f>IF(LEN($K366)-LEN(SUBSTITUTE($K366,",",""))=1,VLOOKUP(INT(RIGHT($K366,LEN($K366)-FIND(",",$K366))),[3]Sheet1!$A:$C,3,0),"")</f>
        <v/>
      </c>
      <c r="O366" s="45" t="str">
        <f t="shared" si="24"/>
        <v/>
      </c>
      <c r="P366" s="45" t="str">
        <f t="shared" si="20"/>
        <v/>
      </c>
      <c r="Q366" s="45" t="str">
        <f t="shared" si="25"/>
        <v/>
      </c>
      <c r="R366" s="45"/>
      <c r="S366" s="45" t="str">
        <f>IF(ISERROR($Q366),"进阶+"&amp;COUNTIF($E$194:$E366,$E366)&amp;"："&amp;"找ZC配技能","进阶+"&amp;COUNTIF($E$194:$E366,$E366)&amp;"："&amp;VLOOKUP(COUNTIF($E$194:$E366,$E366),$L$184:$R$193,IF(H366=1,4,IF(H366=4,3,2))+IF(INDEX([1]Sheet1!$1:$1048576,MATCH($E366,[1]Sheet1!$A:$A,0),MATCH("zizhi",[1]Sheet1!$2:$2,0))&gt;=13,0,3),0)&amp;IF($Q366="","","（"&amp;$Q366&amp;"）"))</f>
        <v>进阶+3：攻击提高10%</v>
      </c>
      <c r="T366" s="1"/>
      <c r="U366" s="1"/>
      <c r="V366" s="2" t="str">
        <f>VLOOKUP(COUNTIF($E$194:$E366,$E366),$L$184:$X$193,IF(H366=1,4,IF(H366=4,3,2))+IF(INDEX([1]Sheet1!$1:$1048576,MATCH($E366,[1]Sheet1!$A:$A,0),MATCH("zizhi",[1]Sheet1!$2:$2,0))&gt;=13,0,3)+6,0)</f>
        <v>11050</v>
      </c>
      <c r="W366" s="2" t="str">
        <f t="shared" si="23"/>
        <v>进阶+3：攻击提高10%</v>
      </c>
      <c r="X366" s="45" t="str">
        <f t="shared" si="21"/>
        <v>11050</v>
      </c>
      <c r="Y366" s="2"/>
      <c r="Z366" s="2"/>
      <c r="AA366" s="2"/>
    </row>
    <row r="367" spans="1:27" ht="33">
      <c r="A367" s="10">
        <f>E367*100+COUNTIF($E$194:$E367,$E367)</f>
        <v>110304</v>
      </c>
      <c r="B367" s="68" t="s">
        <v>1867</v>
      </c>
      <c r="C367" s="50" t="s">
        <v>2</v>
      </c>
      <c r="D367" s="10">
        <f t="shared" si="26"/>
        <v>1</v>
      </c>
      <c r="E367" s="45">
        <f>INDEX($I:$I,MATCH($E366,$I:$I,0)+IF(COUNTIF($E$194:$E366,$E366)&lt;=VLOOKUP($E366,$I$134:$K$193,3,0)-1,0,1),0)</f>
        <v>1103</v>
      </c>
      <c r="F367" s="45" t="str">
        <f t="shared" si="22"/>
        <v>嫦娥</v>
      </c>
      <c r="G367" s="45" t="s">
        <v>217</v>
      </c>
      <c r="H367" s="45">
        <f>VLOOKUP($E367,[1]Sheet1!$A:$G,7,0)</f>
        <v>1</v>
      </c>
      <c r="I367" s="45" t="str">
        <f>IF($G367="","",IF(COUNTIF(技能描述!$D:$D,$F367)&gt;0,VLOOKUP($F367&amp;$G367,技能描述!$A:$C,3,0),LEFT(VLOOKUP($E367,[1]Sheet1!$A:$J,10,0),FIND("_",VLOOKUP($E367,[1]Sheet1!$A:$J,10,0))-1)&amp;$G367))</f>
        <v>change_skill04</v>
      </c>
      <c r="J367" s="45" t="str">
        <f>IF($I367="","",VLOOKUP($I367,技能描述!$A:$C,3,0))</f>
        <v>嫦娥跳起月刃之舞释放月光之力，治疗全体友军，每0.5秒恢复自身攻击力@s的生命值，持续3秒</v>
      </c>
      <c r="K367" s="45" t="str">
        <f>IF($I367="","",INDEX([2]Sheet1!$1:$1048576,MATCH($I367,[2]Sheet1!$A:$A,0),MATCH("description_damage",[2]Sheet1!$2:$2,0)))</f>
        <v>9025</v>
      </c>
      <c r="L367" s="80" t="str">
        <f>IF($K367="","",IF(LEN($K367)-LEN(SUBSTITUTE($K367,",",""))=0,VLOOKUP(INT($K367),[3]Sheet1!$A:$C,3,0),VLOOKUP(INT(LEFT($K367,FIND(",",$K367)-1)),[3]Sheet1!$A:$C,3,0)))</f>
        <v>4|3|0.25|0|1</v>
      </c>
      <c r="M367" s="80" t="str">
        <f t="shared" si="27"/>
        <v>25%</v>
      </c>
      <c r="N367" s="45" t="str">
        <f>IF(LEN($K367)-LEN(SUBSTITUTE($K367,",",""))=1,VLOOKUP(INT(RIGHT($K367,LEN($K367)-FIND(",",$K367))),[3]Sheet1!$A:$C,3,0),"")</f>
        <v/>
      </c>
      <c r="O367" s="45" t="str">
        <f t="shared" si="24"/>
        <v/>
      </c>
      <c r="P367" s="45" t="str">
        <f t="shared" si="20"/>
        <v>嫦娥跳起月刃之舞释放月光之力，治疗全体友军，每0.5秒恢复自身攻击力25%的生命值，持续3秒</v>
      </c>
      <c r="Q367" s="45" t="str">
        <f t="shared" si="25"/>
        <v>嫦娥跳起月刃之舞释放月光之力，治疗全体友军，每0.5秒恢复自身攻击力25%的生命值，持续3秒</v>
      </c>
      <c r="R367" s="45"/>
      <c r="S367" s="45" t="str">
        <f>IF(ISERROR($Q367),"进阶+"&amp;COUNTIF($E$194:$E367,$E367)&amp;"："&amp;"找ZC配技能","进阶+"&amp;COUNTIF($E$194:$E367,$E367)&amp;"："&amp;VLOOKUP(COUNTIF($E$194:$E367,$E367),$L$184:$R$193,IF(H367=1,4,IF(H367=4,3,2))+IF(INDEX([1]Sheet1!$1:$1048576,MATCH($E367,[1]Sheet1!$A:$A,0),MATCH("zizhi",[1]Sheet1!$2:$2,0))&gt;=13,0,3),0)&amp;IF($Q367="","","（"&amp;$Q367&amp;"）"))</f>
        <v>进阶+4：激活AI2技能（嫦娥跳起月刃之舞释放月光之力，治疗全体友军，每0.5秒恢复自身攻击力25%的生命值，持续3秒）</v>
      </c>
      <c r="T367" s="1"/>
      <c r="U367" s="1"/>
      <c r="V367" s="2" t="str">
        <f>VLOOKUP(COUNTIF($E$194:$E367,$E367),$L$184:$X$193,IF(H367=1,4,IF(H367=4,3,2))+IF(INDEX([1]Sheet1!$1:$1048576,MATCH($E367,[1]Sheet1!$A:$A,0),MATCH("zizhi",[1]Sheet1!$2:$2,0))&gt;=13,0,3)+6,0)</f>
        <v>[]</v>
      </c>
      <c r="W367" s="2" t="str">
        <f t="shared" si="23"/>
        <v>进阶+4：激活AI2技能（嫦娥跳起月刃之舞释放月光之力，治疗全体友军，每0.5秒恢复自身攻击力25%的生命值，持续3秒）</v>
      </c>
      <c r="X367" s="45" t="str">
        <f t="shared" si="21"/>
        <v>[]</v>
      </c>
      <c r="Y367" s="2"/>
      <c r="Z367" s="2"/>
      <c r="AA367" s="2"/>
    </row>
    <row r="368" spans="1:27">
      <c r="A368" s="10">
        <f>E368*100+COUNTIF($E$194:$E368,$E368)</f>
        <v>110305</v>
      </c>
      <c r="B368" s="68" t="s">
        <v>323</v>
      </c>
      <c r="C368" s="50" t="s">
        <v>140</v>
      </c>
      <c r="D368" s="10" t="str">
        <f t="shared" si="26"/>
        <v>[]</v>
      </c>
      <c r="E368" s="45">
        <f>INDEX($I:$I,MATCH($E367,$I:$I,0)+IF(COUNTIF($E$194:$E367,$E367)&lt;=VLOOKUP($E367,$I$134:$K$193,3,0)-1,0,1),0)</f>
        <v>1103</v>
      </c>
      <c r="F368" s="45" t="str">
        <f t="shared" si="22"/>
        <v>嫦娥</v>
      </c>
      <c r="H368" s="45">
        <f>VLOOKUP($E368,[1]Sheet1!$A:$G,7,0)</f>
        <v>1</v>
      </c>
      <c r="I368" s="45" t="str">
        <f>IF($G368="","",IF(COUNTIF(技能描述!$D:$D,$F368)&gt;0,VLOOKUP($F368&amp;$G368,技能描述!$A:$C,3,0),LEFT(VLOOKUP($E368,[1]Sheet1!$A:$J,10,0),FIND("_",VLOOKUP($E368,[1]Sheet1!$A:$J,10,0))-1)&amp;$G368))</f>
        <v/>
      </c>
      <c r="J368" s="45" t="str">
        <f>IF($I368="","",VLOOKUP($I368,技能描述!$A:$C,3,0))</f>
        <v/>
      </c>
      <c r="K368" s="45" t="str">
        <f>IF($I368="","",INDEX([2]Sheet1!$1:$1048576,MATCH($I368,[2]Sheet1!$A:$A,0),MATCH("description_damage",[2]Sheet1!$2:$2,0)))</f>
        <v/>
      </c>
      <c r="L368" s="80" t="str">
        <f>IF($K368="","",IF(LEN($K368)-LEN(SUBSTITUTE($K368,",",""))=0,VLOOKUP(INT($K368),[3]Sheet1!$A:$C,3,0),VLOOKUP(INT(LEFT($K368,FIND(",",$K368)-1)),[3]Sheet1!$A:$C,3,0)))</f>
        <v/>
      </c>
      <c r="M368" s="80" t="str">
        <f t="shared" si="27"/>
        <v/>
      </c>
      <c r="N368" s="45" t="str">
        <f>IF(LEN($K368)-LEN(SUBSTITUTE($K368,",",""))=1,VLOOKUP(INT(RIGHT($K368,LEN($K368)-FIND(",",$K368))),[3]Sheet1!$A:$C,3,0),"")</f>
        <v/>
      </c>
      <c r="O368" s="45" t="str">
        <f t="shared" si="24"/>
        <v/>
      </c>
      <c r="P368" s="45" t="str">
        <f t="shared" si="20"/>
        <v/>
      </c>
      <c r="Q368" s="45" t="str">
        <f t="shared" si="25"/>
        <v/>
      </c>
      <c r="R368" s="45"/>
      <c r="S368" s="45" t="str">
        <f>IF(ISERROR($Q368),"进阶+"&amp;COUNTIF($E$194:$E368,$E368)&amp;"："&amp;"找ZC配技能","进阶+"&amp;COUNTIF($E$194:$E368,$E368)&amp;"："&amp;VLOOKUP(COUNTIF($E$194:$E368,$E368),$L$184:$R$193,IF(H368=1,4,IF(H368=4,3,2))+IF(INDEX([1]Sheet1!$1:$1048576,MATCH($E368,[1]Sheet1!$A:$A,0),MATCH("zizhi",[1]Sheet1!$2:$2,0))&gt;=13,0,3),0)&amp;IF($Q368="","","（"&amp;$Q368&amp;"）"))</f>
        <v>进阶+5：生命，防御提高10%</v>
      </c>
      <c r="T368" s="1"/>
      <c r="U368" s="1"/>
      <c r="V368" s="2" t="str">
        <f>VLOOKUP(COUNTIF($E$194:$E368,$E368),$L$184:$X$193,IF(H368=1,4,IF(H368=4,3,2))+IF(INDEX([1]Sheet1!$1:$1048576,MATCH($E368,[1]Sheet1!$A:$A,0),MATCH("zizhi",[1]Sheet1!$2:$2,0))&gt;=13,0,3)+6,0)</f>
        <v>11090,6502,6512</v>
      </c>
      <c r="W368" s="2" t="str">
        <f t="shared" si="23"/>
        <v>进阶+5：生命，防御提高10%</v>
      </c>
      <c r="X368" s="45" t="str">
        <f t="shared" si="21"/>
        <v>11090,6502,6512</v>
      </c>
      <c r="Y368" s="2"/>
      <c r="Z368" s="2"/>
      <c r="AA368" s="2"/>
    </row>
    <row r="369" spans="1:27" ht="33">
      <c r="A369" s="10">
        <f>E369*100+COUNTIF($E$194:$E369,$E369)</f>
        <v>110306</v>
      </c>
      <c r="B369" s="68" t="s">
        <v>2016</v>
      </c>
      <c r="C369" s="50" t="s">
        <v>2</v>
      </c>
      <c r="D369" s="10">
        <f t="shared" si="26"/>
        <v>1</v>
      </c>
      <c r="E369" s="45">
        <f>INDEX($I:$I,MATCH($E368,$I:$I,0)+IF(COUNTIF($E$194:$E368,$E368)&lt;=VLOOKUP($E368,$I$134:$K$193,3,0)-1,0,1),0)</f>
        <v>1103</v>
      </c>
      <c r="F369" s="45" t="str">
        <f t="shared" si="22"/>
        <v>嫦娥</v>
      </c>
      <c r="G369" s="45" t="s">
        <v>218</v>
      </c>
      <c r="H369" s="45">
        <f>VLOOKUP($E369,[1]Sheet1!$A:$G,7,0)</f>
        <v>1</v>
      </c>
      <c r="I369" s="45" t="str">
        <f>IF($G369="","",IF(COUNTIF(技能描述!$D:$D,$F369)&gt;0,VLOOKUP($F369&amp;$G369,技能描述!$A:$C,3,0),LEFT(VLOOKUP($E369,[1]Sheet1!$A:$J,10,0),FIND("_",VLOOKUP($E369,[1]Sheet1!$A:$J,10,0))-1)&amp;$G369))</f>
        <v>change_skill011</v>
      </c>
      <c r="J369" s="45" t="str">
        <f>IF($I369="","",VLOOKUP($I369,技能描述!$A:$C,3,0))</f>
        <v>释放辉月之力，治疗全体友军，每0.5秒恢复主角攻击力@s的生命值，持续3秒</v>
      </c>
      <c r="K369" s="45" t="str">
        <f>IF($I369="","",INDEX([2]Sheet1!$1:$1048576,MATCH($I369,[2]Sheet1!$A:$A,0),MATCH("description_damage",[2]Sheet1!$2:$2,0)))</f>
        <v>9050</v>
      </c>
      <c r="L369" s="80" t="str">
        <f>IF($K369="","",IF(LEN($K369)-LEN(SUBSTITUTE($K369,",",""))=0,VLOOKUP(INT($K369),[3]Sheet1!$A:$C,3,0),VLOOKUP(INT(LEFT($K369,FIND(",",$K369)-1)),[3]Sheet1!$A:$C,3,0)))</f>
        <v>4|3|0.5|0|1</v>
      </c>
      <c r="M369" s="80" t="str">
        <f t="shared" si="27"/>
        <v>50%</v>
      </c>
      <c r="N369" s="45" t="str">
        <f>IF(LEN($K369)-LEN(SUBSTITUTE($K369,",",""))=1,VLOOKUP(INT(RIGHT($K369,LEN($K369)-FIND(",",$K369))),[3]Sheet1!$A:$C,3,0),"")</f>
        <v/>
      </c>
      <c r="O369" s="45" t="str">
        <f t="shared" si="24"/>
        <v/>
      </c>
      <c r="P369" s="45" t="str">
        <f t="shared" si="20"/>
        <v>释放辉月之力，治疗全体友军，每0.5秒恢复主角攻击力50%的生命值，持续3秒</v>
      </c>
      <c r="Q369" s="45" t="str">
        <f t="shared" si="25"/>
        <v>释放辉月之力，治疗全体友军，每0.5秒恢复主角攻击力50%的生命值，持续3秒</v>
      </c>
      <c r="R369" s="45"/>
      <c r="S369" s="45" t="str">
        <f>IF(ISERROR($Q369),"进阶+"&amp;COUNTIF($E$194:$E369,$E369)&amp;"："&amp;"找ZC配技能","进阶+"&amp;COUNTIF($E$194:$E369,$E369)&amp;"："&amp;VLOOKUP(COUNTIF($E$194:$E369,$E369),$L$184:$R$193,IF(H369=1,4,IF(H369=4,3,2))+IF(INDEX([1]Sheet1!$1:$1048576,MATCH($E369,[1]Sheet1!$A:$A,0),MATCH("zizhi",[1]Sheet1!$2:$2,0))&gt;=13,0,3),0)&amp;IF($Q369="","","（"&amp;$Q369&amp;"）"))</f>
        <v>进阶+6：增强主角技能（释放辉月之力，治疗全体友军，每0.5秒恢复主角攻击力50%的生命值，持续3秒）</v>
      </c>
      <c r="T369" s="1"/>
      <c r="U369" s="1"/>
      <c r="V369" s="2" t="str">
        <f>VLOOKUP(COUNTIF($E$194:$E369,$E369),$L$184:$X$193,IF(H369=1,4,IF(H369=4,3,2))+IF(INDEX([1]Sheet1!$1:$1048576,MATCH($E369,[1]Sheet1!$A:$A,0),MATCH("zizhi",[1]Sheet1!$2:$2,0))&gt;=13,0,3)+6,0)</f>
        <v>[]</v>
      </c>
      <c r="W369" s="2" t="str">
        <f t="shared" si="23"/>
        <v>进阶+6：增强主角技能（释放辉月之力，治疗全体友军，每0.5秒恢复主角攻击力50%的生命值，持续3秒）</v>
      </c>
      <c r="X369" s="45" t="str">
        <f t="shared" si="21"/>
        <v>[]</v>
      </c>
      <c r="Y369" s="2"/>
      <c r="Z369" s="2"/>
      <c r="AA369" s="2"/>
    </row>
    <row r="370" spans="1:27">
      <c r="A370" s="10">
        <f>E370*100+COUNTIF($E$194:$E370,$E370)</f>
        <v>110307</v>
      </c>
      <c r="B370" s="68" t="s">
        <v>360</v>
      </c>
      <c r="C370" s="50" t="s">
        <v>354</v>
      </c>
      <c r="D370" s="10" t="str">
        <f t="shared" si="26"/>
        <v>[]</v>
      </c>
      <c r="E370" s="45">
        <f>INDEX($I:$I,MATCH($E369,$I:$I,0)+IF(COUNTIF($E$194:$E369,$E369)&lt;=VLOOKUP($E369,$I$134:$K$193,3,0)-1,0,1),0)</f>
        <v>1103</v>
      </c>
      <c r="F370" s="45" t="str">
        <f t="shared" si="22"/>
        <v>嫦娥</v>
      </c>
      <c r="H370" s="45">
        <f>VLOOKUP($E370,[1]Sheet1!$A:$G,7,0)</f>
        <v>1</v>
      </c>
      <c r="I370" s="45" t="str">
        <f>IF($G370="","",IF(COUNTIF(技能描述!$D:$D,$F370)&gt;0,VLOOKUP($F370&amp;$G370,技能描述!$A:$C,3,0),LEFT(VLOOKUP($E370,[1]Sheet1!$A:$J,10,0),FIND("_",VLOOKUP($E370,[1]Sheet1!$A:$J,10,0))-1)&amp;$G370))</f>
        <v/>
      </c>
      <c r="J370" s="45" t="str">
        <f>IF($I370="","",VLOOKUP($I370,技能描述!$A:$C,3,0))</f>
        <v/>
      </c>
      <c r="K370" s="45" t="str">
        <f>IF($I370="","",INDEX([2]Sheet1!$1:$1048576,MATCH($I370,[2]Sheet1!$A:$A,0),MATCH("description_damage",[2]Sheet1!$2:$2,0)))</f>
        <v/>
      </c>
      <c r="L370" s="80" t="str">
        <f>IF($K370="","",IF(LEN($K370)-LEN(SUBSTITUTE($K370,",",""))=0,VLOOKUP(INT($K370),[3]Sheet1!$A:$C,3,0),VLOOKUP(INT(LEFT($K370,FIND(",",$K370)-1)),[3]Sheet1!$A:$C,3,0)))</f>
        <v/>
      </c>
      <c r="M370" s="80" t="str">
        <f t="shared" si="27"/>
        <v/>
      </c>
      <c r="N370" s="45" t="str">
        <f>IF(LEN($K370)-LEN(SUBSTITUTE($K370,",",""))=1,VLOOKUP(INT(RIGHT($K370,LEN($K370)-FIND(",",$K370))),[3]Sheet1!$A:$C,3,0),"")</f>
        <v/>
      </c>
      <c r="O370" s="45" t="str">
        <f t="shared" si="24"/>
        <v/>
      </c>
      <c r="P370" s="45" t="str">
        <f t="shared" si="20"/>
        <v/>
      </c>
      <c r="Q370" s="45" t="str">
        <f t="shared" si="25"/>
        <v/>
      </c>
      <c r="R370" s="45"/>
      <c r="S370" s="45" t="str">
        <f>IF(ISERROR($Q370),"进阶+"&amp;COUNTIF($E$194:$E370,$E370)&amp;"："&amp;"找ZC配技能","进阶+"&amp;COUNTIF($E$194:$E370,$E370)&amp;"："&amp;VLOOKUP(COUNTIF($E$194:$E370,$E370),$L$184:$R$193,IF(H370=1,4,IF(H370=4,3,2))+IF(INDEX([1]Sheet1!$1:$1048576,MATCH($E370,[1]Sheet1!$A:$A,0),MATCH("zizhi",[1]Sheet1!$2:$2,0))&gt;=13,0,3),0)&amp;IF($Q370="","","（"&amp;$Q370&amp;"）"))</f>
        <v>进阶+7：全队生命，防御提高10%</v>
      </c>
      <c r="T370" s="1"/>
      <c r="U370" s="1"/>
      <c r="V370" s="2" t="str">
        <f>VLOOKUP(COUNTIF($E$194:$E370,$E370),$L$184:$X$193,IF(H370=1,4,IF(H370=4,3,2))+IF(INDEX([1]Sheet1!$1:$1048576,MATCH($E370,[1]Sheet1!$A:$A,0),MATCH("zizhi",[1]Sheet1!$2:$2,0))&gt;=13,0,3)+6,0)</f>
        <v>57010,59010,60010</v>
      </c>
      <c r="W370" s="2" t="str">
        <f t="shared" si="23"/>
        <v>进阶+7：全队生命，防御提高10%</v>
      </c>
      <c r="X370" s="45" t="str">
        <f t="shared" si="21"/>
        <v>57010,59010,60010</v>
      </c>
      <c r="Y370" s="2"/>
      <c r="Z370" s="2"/>
      <c r="AA370" s="2"/>
    </row>
    <row r="371" spans="1:27" ht="33">
      <c r="A371" s="10">
        <f>E371*100+COUNTIF($E$194:$E371,$E371)</f>
        <v>110308</v>
      </c>
      <c r="B371" s="68" t="s">
        <v>2017</v>
      </c>
      <c r="C371" s="50" t="s">
        <v>2</v>
      </c>
      <c r="D371" s="10">
        <f t="shared" si="26"/>
        <v>1</v>
      </c>
      <c r="E371" s="45">
        <f>INDEX($I:$I,MATCH($E370,$I:$I,0)+IF(COUNTIF($E$194:$E370,$E370)&lt;=VLOOKUP($E370,$I$134:$K$193,3,0)-1,0,1),0)</f>
        <v>1103</v>
      </c>
      <c r="F371" s="45" t="str">
        <f t="shared" si="22"/>
        <v>嫦娥</v>
      </c>
      <c r="G371" s="45" t="s">
        <v>219</v>
      </c>
      <c r="H371" s="45">
        <f>VLOOKUP($E371,[1]Sheet1!$A:$G,7,0)</f>
        <v>1</v>
      </c>
      <c r="I371" s="45" t="str">
        <f>IF($G371="","",IF(COUNTIF(技能描述!$D:$D,$F371)&gt;0,VLOOKUP($F371&amp;$G371,技能描述!$A:$C,3,0),LEFT(VLOOKUP($E371,[1]Sheet1!$A:$J,10,0),FIND("_",VLOOKUP($E371,[1]Sheet1!$A:$J,10,0))-1)&amp;$G371))</f>
        <v>change_skill021</v>
      </c>
      <c r="J371" s="45" t="str">
        <f>IF($I371="","",VLOOKUP($I371,技能描述!$A:$C,3,0))</f>
        <v>嫦娥为治疗生命值百分比最低的友军施加月光祝福，恢复自身攻击力@s的生命值，并清除全部不利状态</v>
      </c>
      <c r="K371" s="45" t="str">
        <f>IF($I371="","",INDEX([2]Sheet1!$1:$1048576,MATCH($I371,[2]Sheet1!$A:$A,0),MATCH("description_damage",[2]Sheet1!$2:$2,0)))</f>
        <v>110306</v>
      </c>
      <c r="L371" s="80" t="str">
        <f>IF($K371="","",IF(LEN($K371)-LEN(SUBSTITUTE($K371,",",""))=0,VLOOKUP(INT($K371),[3]Sheet1!$A:$C,3,0),VLOOKUP(INT(LEFT($K371,FIND(",",$K371)-1)),[3]Sheet1!$A:$C,3,0)))</f>
        <v>3|1|3.6|0</v>
      </c>
      <c r="M371" s="80" t="str">
        <f t="shared" si="27"/>
        <v>360%</v>
      </c>
      <c r="N371" s="45" t="str">
        <f>IF(LEN($K371)-LEN(SUBSTITUTE($K371,",",""))=1,VLOOKUP(INT(RIGHT($K371,LEN($K371)-FIND(",",$K371))),[3]Sheet1!$A:$C,3,0),"")</f>
        <v/>
      </c>
      <c r="O371" s="45" t="str">
        <f t="shared" si="24"/>
        <v/>
      </c>
      <c r="P371" s="45" t="str">
        <f t="shared" si="20"/>
        <v>嫦娥为治疗生命值百分比最低的友军施加月光祝福，恢复自身攻击力360%的生命值，并清除全部不利状态</v>
      </c>
      <c r="Q371" s="45" t="str">
        <f t="shared" si="25"/>
        <v>嫦娥为治疗生命值百分比最低的友军施加月光祝福，恢复自身攻击力360%的生命值，并清除全部不利状态</v>
      </c>
      <c r="R371" s="45"/>
      <c r="S371" s="45" t="str">
        <f>IF(ISERROR($Q371),"进阶+"&amp;COUNTIF($E$194:$E371,$E371)&amp;"："&amp;"找ZC配技能","进阶+"&amp;COUNTIF($E$194:$E371,$E371)&amp;"："&amp;VLOOKUP(COUNTIF($E$194:$E371,$E371),$L$184:$R$193,IF(H371=1,4,IF(H371=4,3,2))+IF(INDEX([1]Sheet1!$1:$1048576,MATCH($E371,[1]Sheet1!$A:$A,0),MATCH("zizhi",[1]Sheet1!$2:$2,0))&gt;=13,0,3),0)&amp;IF($Q371="","","（"&amp;$Q371&amp;"）"))</f>
        <v>进阶+8：增强AI1技能（嫦娥为治疗生命值百分比最低的友军施加月光祝福，恢复自身攻击力360%的生命值，并清除全部不利状态）</v>
      </c>
      <c r="T371" s="1"/>
      <c r="U371" s="1"/>
      <c r="V371" s="2" t="str">
        <f>VLOOKUP(COUNTIF($E$194:$E371,$E371),$L$184:$X$193,IF(H371=1,4,IF(H371=4,3,2))+IF(INDEX([1]Sheet1!$1:$1048576,MATCH($E371,[1]Sheet1!$A:$A,0),MATCH("zizhi",[1]Sheet1!$2:$2,0))&gt;=13,0,3)+6,0)</f>
        <v>[]</v>
      </c>
      <c r="W371" s="2" t="str">
        <f t="shared" si="23"/>
        <v>进阶+8：增强AI1技能（嫦娥为治疗生命值百分比最低的友军施加月光祝福，恢复自身攻击力360%的生命值，并清除全部不利状态）</v>
      </c>
      <c r="X371" s="45" t="str">
        <f t="shared" si="21"/>
        <v>[]</v>
      </c>
      <c r="Y371" s="2"/>
      <c r="Z371" s="2"/>
      <c r="AA371" s="2"/>
    </row>
    <row r="372" spans="1:27">
      <c r="A372" s="10">
        <f>E372*100+COUNTIF($E$194:$E372,$E372)</f>
        <v>110309</v>
      </c>
      <c r="B372" s="68" t="s">
        <v>1902</v>
      </c>
      <c r="C372" s="50" t="s">
        <v>357</v>
      </c>
      <c r="D372" s="10" t="str">
        <f t="shared" si="26"/>
        <v>[]</v>
      </c>
      <c r="E372" s="45">
        <f>INDEX($I:$I,MATCH($E371,$I:$I,0)+IF(COUNTIF($E$194:$E371,$E371)&lt;=VLOOKUP($E371,$I$134:$K$193,3,0)-1,0,1),0)</f>
        <v>1103</v>
      </c>
      <c r="F372" s="45" t="str">
        <f t="shared" si="22"/>
        <v>嫦娥</v>
      </c>
      <c r="H372" s="45">
        <f>VLOOKUP($E372,[1]Sheet1!$A:$G,7,0)</f>
        <v>1</v>
      </c>
      <c r="I372" s="45" t="str">
        <f>IF($G372="","",IF(COUNTIF(技能描述!$D:$D,$F372)&gt;0,VLOOKUP($F372&amp;$G372,技能描述!$A:$C,3,0),LEFT(VLOOKUP($E372,[1]Sheet1!$A:$J,10,0),FIND("_",VLOOKUP($E372,[1]Sheet1!$A:$J,10,0))-1)&amp;$G372))</f>
        <v/>
      </c>
      <c r="J372" s="45" t="str">
        <f>IF($I372="","",VLOOKUP($I372,技能描述!$A:$C,3,0))</f>
        <v/>
      </c>
      <c r="K372" s="45" t="str">
        <f>IF($I372="","",INDEX([2]Sheet1!$1:$1048576,MATCH($I372,[2]Sheet1!$A:$A,0),MATCH("description_damage",[2]Sheet1!$2:$2,0)))</f>
        <v/>
      </c>
      <c r="L372" s="80" t="str">
        <f>IF($K372="","",IF(LEN($K372)-LEN(SUBSTITUTE($K372,",",""))=0,VLOOKUP(INT($K372),[3]Sheet1!$A:$C,3,0),VLOOKUP(INT(LEFT($K372,FIND(",",$K372)-1)),[3]Sheet1!$A:$C,3,0)))</f>
        <v/>
      </c>
      <c r="M372" s="80" t="str">
        <f t="shared" si="27"/>
        <v/>
      </c>
      <c r="N372" s="45" t="str">
        <f>IF(LEN($K372)-LEN(SUBSTITUTE($K372,",",""))=1,VLOOKUP(INT(RIGHT($K372,LEN($K372)-FIND(",",$K372))),[3]Sheet1!$A:$C,3,0),"")</f>
        <v/>
      </c>
      <c r="O372" s="45" t="str">
        <f t="shared" si="24"/>
        <v/>
      </c>
      <c r="P372" s="45" t="str">
        <f t="shared" si="20"/>
        <v/>
      </c>
      <c r="Q372" s="45" t="str">
        <f t="shared" si="25"/>
        <v/>
      </c>
      <c r="R372" s="45"/>
      <c r="S372" s="45" t="str">
        <f>IF(ISERROR($Q372),"进阶+"&amp;COUNTIF($E$194:$E372,$E372)&amp;"："&amp;"找ZC配技能","进阶+"&amp;COUNTIF($E$194:$E372,$E372)&amp;"："&amp;VLOOKUP(COUNTIF($E$194:$E372,$E372),$L$184:$R$193,IF(H372=1,4,IF(H372=4,3,2))+IF(INDEX([1]Sheet1!$1:$1048576,MATCH($E372,[1]Sheet1!$A:$A,0),MATCH("zizhi",[1]Sheet1!$2:$2,0))&gt;=13,0,3),0)&amp;IF($Q372="","","（"&amp;$Q372&amp;"）"))</f>
        <v>进阶+9：全队生命，防御提高15%</v>
      </c>
      <c r="T372" s="1"/>
      <c r="U372" s="1"/>
      <c r="V372" s="2" t="str">
        <f>VLOOKUP(COUNTIF($E$194:$E372,$E372),$L$184:$X$193,IF(H372=1,4,IF(H372=4,3,2))+IF(INDEX([1]Sheet1!$1:$1048576,MATCH($E372,[1]Sheet1!$A:$A,0),MATCH("zizhi",[1]Sheet1!$2:$2,0))&gt;=13,0,3)+6,0)</f>
        <v>57015,59015,60015</v>
      </c>
      <c r="W372" s="2" t="str">
        <f t="shared" si="23"/>
        <v>进阶+9：全队生命，防御提高15%</v>
      </c>
      <c r="X372" s="45" t="str">
        <f t="shared" si="21"/>
        <v>57015,59015,60015</v>
      </c>
      <c r="Y372" s="2"/>
      <c r="Z372" s="2"/>
      <c r="AA372" s="2"/>
    </row>
    <row r="373" spans="1:27" ht="33">
      <c r="A373" s="10">
        <f>E373*100+COUNTIF($E$194:$E373,$E373)</f>
        <v>110310</v>
      </c>
      <c r="B373" s="68" t="s">
        <v>2018</v>
      </c>
      <c r="C373" s="50" t="s">
        <v>2</v>
      </c>
      <c r="D373" s="10">
        <f t="shared" si="26"/>
        <v>1</v>
      </c>
      <c r="E373" s="45">
        <f>INDEX($I:$I,MATCH($E372,$I:$I,0)+IF(COUNTIF($E$194:$E372,$E372)&lt;=VLOOKUP($E372,$I$134:$K$193,3,0)-1,0,1),0)</f>
        <v>1103</v>
      </c>
      <c r="F373" s="45" t="str">
        <f t="shared" si="22"/>
        <v>嫦娥</v>
      </c>
      <c r="G373" s="45" t="s">
        <v>220</v>
      </c>
      <c r="H373" s="45">
        <f>VLOOKUP($E373,[1]Sheet1!$A:$G,7,0)</f>
        <v>1</v>
      </c>
      <c r="I373" s="45" t="str">
        <f>IF($G373="","",IF(COUNTIF(技能描述!$D:$D,$F373)&gt;0,VLOOKUP($F373&amp;$G373,技能描述!$A:$C,3,0),LEFT(VLOOKUP($E373,[1]Sheet1!$A:$J,10,0),FIND("_",VLOOKUP($E373,[1]Sheet1!$A:$J,10,0))-1)&amp;$G373))</f>
        <v>change_skill041</v>
      </c>
      <c r="J373" s="45" t="str">
        <f>IF($I373="","",VLOOKUP($I373,技能描述!$A:$C,3,0))</f>
        <v>嫦娥跳起月刃之舞释放月光之力，治疗全体友军，每0.5秒恢复自身攻击力@s的生命值，持续3秒</v>
      </c>
      <c r="K373" s="45" t="str">
        <f>IF($I373="","",INDEX([2]Sheet1!$1:$1048576,MATCH($I373,[2]Sheet1!$A:$A,0),MATCH("description_damage",[2]Sheet1!$2:$2,0)))</f>
        <v>9030</v>
      </c>
      <c r="L373" s="80" t="str">
        <f>IF($K373="","",IF(LEN($K373)-LEN(SUBSTITUTE($K373,",",""))=0,VLOOKUP(INT($K373),[3]Sheet1!$A:$C,3,0),VLOOKUP(INT(LEFT($K373,FIND(",",$K373)-1)),[3]Sheet1!$A:$C,3,0)))</f>
        <v>4|3|0.3|0|1</v>
      </c>
      <c r="M373" s="80" t="str">
        <f t="shared" si="27"/>
        <v>30%</v>
      </c>
      <c r="N373" s="45" t="str">
        <f>IF(LEN($K373)-LEN(SUBSTITUTE($K373,",",""))=1,VLOOKUP(INT(RIGHT($K373,LEN($K373)-FIND(",",$K373))),[3]Sheet1!$A:$C,3,0),"")</f>
        <v/>
      </c>
      <c r="O373" s="45" t="str">
        <f t="shared" si="24"/>
        <v/>
      </c>
      <c r="P373" s="45" t="str">
        <f t="shared" si="20"/>
        <v>嫦娥跳起月刃之舞释放月光之力，治疗全体友军，每0.5秒恢复自身攻击力30%的生命值，持续3秒</v>
      </c>
      <c r="Q373" s="45" t="str">
        <f t="shared" si="25"/>
        <v>嫦娥跳起月刃之舞释放月光之力，治疗全体友军，每0.5秒恢复自身攻击力30%的生命值，持续3秒</v>
      </c>
      <c r="R373" s="45"/>
      <c r="S373" s="45" t="str">
        <f>IF(ISERROR($Q373),"进阶+"&amp;COUNTIF($E$194:$E373,$E373)&amp;"："&amp;"找ZC配技能","进阶+"&amp;COUNTIF($E$194:$E373,$E373)&amp;"："&amp;VLOOKUP(COUNTIF($E$194:$E373,$E373),$L$184:$R$193,IF(H373=1,4,IF(H373=4,3,2))+IF(INDEX([1]Sheet1!$1:$1048576,MATCH($E373,[1]Sheet1!$A:$A,0),MATCH("zizhi",[1]Sheet1!$2:$2,0))&gt;=13,0,3),0)&amp;IF($Q373="","","（"&amp;$Q373&amp;"）"))</f>
        <v>进阶+10：增强AI2技能（嫦娥跳起月刃之舞释放月光之力，治疗全体友军，每0.5秒恢复自身攻击力30%的生命值，持续3秒）</v>
      </c>
      <c r="T373" s="1"/>
      <c r="U373" s="1"/>
      <c r="V373" s="2" t="str">
        <f>VLOOKUP(COUNTIF($E$194:$E373,$E373),$L$184:$X$193,IF(H373=1,4,IF(H373=4,3,2))+IF(INDEX([1]Sheet1!$1:$1048576,MATCH($E373,[1]Sheet1!$A:$A,0),MATCH("zizhi",[1]Sheet1!$2:$2,0))&gt;=13,0,3)+6,0)</f>
        <v>[]</v>
      </c>
      <c r="W373" s="2" t="str">
        <f t="shared" si="23"/>
        <v>进阶+10：增强AI2技能（嫦娥跳起月刃之舞释放月光之力，治疗全体友军，每0.5秒恢复自身攻击力30%的生命值，持续3秒）</v>
      </c>
      <c r="X373" s="45" t="str">
        <f t="shared" si="21"/>
        <v>[]</v>
      </c>
      <c r="Y373" s="2"/>
      <c r="Z373" s="2"/>
      <c r="AA373" s="2"/>
    </row>
    <row r="374" spans="1:27">
      <c r="A374" s="10">
        <f>E374*100+COUNTIF($E$194:$E374,$E374)</f>
        <v>110901</v>
      </c>
      <c r="B374" s="68" t="s">
        <v>319</v>
      </c>
      <c r="C374" s="50">
        <v>11090</v>
      </c>
      <c r="D374" s="10" t="str">
        <f t="shared" si="26"/>
        <v>[]</v>
      </c>
      <c r="E374" s="45">
        <f>INDEX($I:$I,MATCH($E373,$I:$I,0)+IF(COUNTIF($E$194:$E373,$E373)&lt;=VLOOKUP($E373,$I$134:$K$193,3,0)-1,0,1),0)</f>
        <v>1109</v>
      </c>
      <c r="F374" s="45" t="str">
        <f t="shared" si="22"/>
        <v>九天玄女</v>
      </c>
      <c r="H374" s="45">
        <f>VLOOKUP($E374,[1]Sheet1!$A:$G,7,0)</f>
        <v>1</v>
      </c>
      <c r="I374" s="45" t="str">
        <f>IF($G374="","",IF(COUNTIF(技能描述!$D:$D,$F374)&gt;0,VLOOKUP($F374&amp;$G374,技能描述!$A:$C,3,0),LEFT(VLOOKUP($E374,[1]Sheet1!$A:$J,10,0),FIND("_",VLOOKUP($E374,[1]Sheet1!$A:$J,10,0))-1)&amp;$G374))</f>
        <v/>
      </c>
      <c r="J374" s="45" t="str">
        <f>IF($I374="","",VLOOKUP($I374,技能描述!$A:$C,3,0))</f>
        <v/>
      </c>
      <c r="K374" s="45" t="str">
        <f>IF($I374="","",INDEX([2]Sheet1!$1:$1048576,MATCH($I374,[2]Sheet1!$A:$A,0),MATCH("description_damage",[2]Sheet1!$2:$2,0)))</f>
        <v/>
      </c>
      <c r="L374" s="80" t="str">
        <f>IF($K374="","",IF(LEN($K374)-LEN(SUBSTITUTE($K374,",",""))=0,VLOOKUP(INT($K374),[3]Sheet1!$A:$C,3,0),VLOOKUP(INT(LEFT($K374,FIND(",",$K374)-1)),[3]Sheet1!$A:$C,3,0)))</f>
        <v/>
      </c>
      <c r="M374" s="80" t="str">
        <f t="shared" si="27"/>
        <v/>
      </c>
      <c r="N374" s="45" t="str">
        <f>IF(LEN($K374)-LEN(SUBSTITUTE($K374,",",""))=1,VLOOKUP(INT(RIGHT($K374,LEN($K374)-FIND(",",$K374))),[3]Sheet1!$A:$C,3,0),"")</f>
        <v/>
      </c>
      <c r="O374" s="45" t="str">
        <f t="shared" si="24"/>
        <v/>
      </c>
      <c r="P374" s="45" t="str">
        <f t="shared" si="20"/>
        <v/>
      </c>
      <c r="Q374" s="45" t="str">
        <f t="shared" si="25"/>
        <v/>
      </c>
      <c r="R374" s="45"/>
      <c r="S374" s="45" t="str">
        <f>IF(ISERROR($Q374),"进阶+"&amp;COUNTIF($E$194:$E374,$E374)&amp;"："&amp;"找ZC配技能","进阶+"&amp;COUNTIF($E$194:$E374,$E374)&amp;"："&amp;VLOOKUP(COUNTIF($E$194:$E374,$E374),$L$184:$R$193,IF(H374=1,4,IF(H374=4,3,2))+IF(INDEX([1]Sheet1!$1:$1048576,MATCH($E374,[1]Sheet1!$A:$A,0),MATCH("zizhi",[1]Sheet1!$2:$2,0))&gt;=13,0,3),0)&amp;IF($Q374="","","（"&amp;$Q374&amp;"）"))</f>
        <v>进阶+1：生命提高10%</v>
      </c>
      <c r="T374" s="1"/>
      <c r="U374" s="1"/>
      <c r="V374" s="2">
        <f>VLOOKUP(COUNTIF($E$194:$E374,$E374),$L$184:$X$193,IF(H374=1,4,IF(H374=4,3,2))+IF(INDEX([1]Sheet1!$1:$1048576,MATCH($E374,[1]Sheet1!$A:$A,0),MATCH("zizhi",[1]Sheet1!$2:$2,0))&gt;=13,0,3)+6,0)</f>
        <v>11090</v>
      </c>
      <c r="W374" s="2" t="str">
        <f t="shared" si="23"/>
        <v>进阶+1：生命提高10%</v>
      </c>
      <c r="X374" s="45">
        <f t="shared" si="21"/>
        <v>11090</v>
      </c>
      <c r="Y374" s="2"/>
      <c r="Z374" s="2"/>
      <c r="AA374" s="2"/>
    </row>
    <row r="375" spans="1:27">
      <c r="A375" s="10">
        <f>E375*100+COUNTIF($E$194:$E375,$E375)</f>
        <v>110902</v>
      </c>
      <c r="B375" s="68" t="s">
        <v>335</v>
      </c>
      <c r="C375" s="50" t="s">
        <v>2</v>
      </c>
      <c r="D375" s="10">
        <f t="shared" si="26"/>
        <v>1</v>
      </c>
      <c r="E375" s="45">
        <f>INDEX($I:$I,MATCH($E374,$I:$I,0)+IF(COUNTIF($E$194:$E374,$E374)&lt;=VLOOKUP($E374,$I$134:$K$193,3,0)-1,0,1),0)</f>
        <v>1109</v>
      </c>
      <c r="F375" s="45" t="str">
        <f t="shared" si="22"/>
        <v>九天玄女</v>
      </c>
      <c r="G375" s="45" t="s">
        <v>216</v>
      </c>
      <c r="H375" s="45">
        <f>VLOOKUP($E375,[1]Sheet1!$A:$G,7,0)</f>
        <v>1</v>
      </c>
      <c r="I375" s="45" t="str">
        <f>IF($G375="","",IF(COUNTIF(技能描述!$D:$D,$F375)&gt;0,VLOOKUP($F375&amp;$G375,技能描述!$A:$C,3,0),LEFT(VLOOKUP($E375,[1]Sheet1!$A:$J,10,0),FIND("_",VLOOKUP($E375,[1]Sheet1!$A:$J,10,0))-1)&amp;$G375))</f>
        <v>jiutianxuannv_skill03</v>
      </c>
      <c r="J375" s="45" t="str">
        <f>IF($I375="","",VLOOKUP($I375,技能描述!$A:$C,3,0))</f>
        <v>进入战斗场景时，提升全体友军闪避率@s</v>
      </c>
      <c r="K375" s="45" t="str">
        <f>IF($I375="","",INDEX([2]Sheet1!$1:$1048576,MATCH($I375,[2]Sheet1!$A:$A,0),MATCH("description_damage",[2]Sheet1!$2:$2,0)))</f>
        <v>9010</v>
      </c>
      <c r="L375" s="80" t="str">
        <f>IF($K375="","",IF(LEN($K375)-LEN(SUBSTITUTE($K375,",",""))=0,VLOOKUP(INT($K375),[3]Sheet1!$A:$C,3,0),VLOOKUP(INT(LEFT($K375,FIND(",",$K375)-1)),[3]Sheet1!$A:$C,3,0)))</f>
        <v>4|3|0.1|0|1</v>
      </c>
      <c r="M375" s="80" t="str">
        <f t="shared" si="27"/>
        <v>10%</v>
      </c>
      <c r="N375" s="45" t="str">
        <f>IF(LEN($K375)-LEN(SUBSTITUTE($K375,",",""))=1,VLOOKUP(INT(RIGHT($K375,LEN($K375)-FIND(",",$K375))),[3]Sheet1!$A:$C,3,0),"")</f>
        <v/>
      </c>
      <c r="O375" s="45" t="str">
        <f t="shared" si="24"/>
        <v/>
      </c>
      <c r="P375" s="45" t="str">
        <f t="shared" si="20"/>
        <v>进入战斗场景时，提升全体友军闪避率10%</v>
      </c>
      <c r="Q375" s="45" t="str">
        <f t="shared" si="25"/>
        <v>进入战斗场景时，提升全体友军闪避率10%</v>
      </c>
      <c r="R375" s="45"/>
      <c r="S375" s="45" t="str">
        <f>IF(ISERROR($Q375),"进阶+"&amp;COUNTIF($E$194:$E375,$E375)&amp;"："&amp;"找ZC配技能","进阶+"&amp;COUNTIF($E$194:$E375,$E375)&amp;"："&amp;VLOOKUP(COUNTIF($E$194:$E375,$E375),$L$184:$R$193,IF(H375=1,4,IF(H375=4,3,2))+IF(INDEX([1]Sheet1!$1:$1048576,MATCH($E375,[1]Sheet1!$A:$A,0),MATCH("zizhi",[1]Sheet1!$2:$2,0))&gt;=13,0,3),0)&amp;IF($Q375="","","（"&amp;$Q375&amp;"）"))</f>
        <v>进阶+2：激活被动技能（进入战斗场景时，提升全体友军闪避率10%）</v>
      </c>
      <c r="T375" s="1"/>
      <c r="U375" s="1"/>
      <c r="V375" s="2" t="str">
        <f>VLOOKUP(COUNTIF($E$194:$E375,$E375),$L$184:$X$193,IF(H375=1,4,IF(H375=4,3,2))+IF(INDEX([1]Sheet1!$1:$1048576,MATCH($E375,[1]Sheet1!$A:$A,0),MATCH("zizhi",[1]Sheet1!$2:$2,0))&gt;=13,0,3)+6,0)</f>
        <v>[]</v>
      </c>
      <c r="W375" s="2" t="str">
        <f t="shared" si="23"/>
        <v>进阶+2：激活被动技能（进入战斗场景时，提升全体友军闪避率10%）</v>
      </c>
      <c r="X375" s="45" t="str">
        <f t="shared" si="21"/>
        <v>[]</v>
      </c>
      <c r="Y375" s="2"/>
      <c r="Z375" s="2"/>
      <c r="AA375" s="2"/>
    </row>
    <row r="376" spans="1:27">
      <c r="A376" s="10">
        <f>E376*100+COUNTIF($E$194:$E376,$E376)</f>
        <v>110903</v>
      </c>
      <c r="B376" s="68" t="s">
        <v>312</v>
      </c>
      <c r="C376" s="50" t="s">
        <v>127</v>
      </c>
      <c r="D376" s="10" t="str">
        <f t="shared" si="26"/>
        <v>[]</v>
      </c>
      <c r="E376" s="45">
        <f>INDEX($I:$I,MATCH($E375,$I:$I,0)+IF(COUNTIF($E$194:$E375,$E375)&lt;=VLOOKUP($E375,$I$134:$K$193,3,0)-1,0,1),0)</f>
        <v>1109</v>
      </c>
      <c r="F376" s="45" t="str">
        <f t="shared" si="22"/>
        <v>九天玄女</v>
      </c>
      <c r="H376" s="45">
        <f>VLOOKUP($E376,[1]Sheet1!$A:$G,7,0)</f>
        <v>1</v>
      </c>
      <c r="I376" s="45" t="str">
        <f>IF($G376="","",IF(COUNTIF(技能描述!$D:$D,$F376)&gt;0,VLOOKUP($F376&amp;$G376,技能描述!$A:$C,3,0),LEFT(VLOOKUP($E376,[1]Sheet1!$A:$J,10,0),FIND("_",VLOOKUP($E376,[1]Sheet1!$A:$J,10,0))-1)&amp;$G376))</f>
        <v/>
      </c>
      <c r="J376" s="45" t="str">
        <f>IF($I376="","",VLOOKUP($I376,技能描述!$A:$C,3,0))</f>
        <v/>
      </c>
      <c r="K376" s="45" t="str">
        <f>IF($I376="","",INDEX([2]Sheet1!$1:$1048576,MATCH($I376,[2]Sheet1!$A:$A,0),MATCH("description_damage",[2]Sheet1!$2:$2,0)))</f>
        <v/>
      </c>
      <c r="L376" s="80" t="str">
        <f>IF($K376="","",IF(LEN($K376)-LEN(SUBSTITUTE($K376,",",""))=0,VLOOKUP(INT($K376),[3]Sheet1!$A:$C,3,0),VLOOKUP(INT(LEFT($K376,FIND(",",$K376)-1)),[3]Sheet1!$A:$C,3,0)))</f>
        <v/>
      </c>
      <c r="M376" s="80" t="str">
        <f t="shared" si="27"/>
        <v/>
      </c>
      <c r="N376" s="45" t="str">
        <f>IF(LEN($K376)-LEN(SUBSTITUTE($K376,",",""))=1,VLOOKUP(INT(RIGHT($K376,LEN($K376)-FIND(",",$K376))),[3]Sheet1!$A:$C,3,0),"")</f>
        <v/>
      </c>
      <c r="O376" s="45" t="str">
        <f t="shared" si="24"/>
        <v/>
      </c>
      <c r="P376" s="45" t="str">
        <f t="shared" si="20"/>
        <v/>
      </c>
      <c r="Q376" s="45" t="str">
        <f t="shared" si="25"/>
        <v/>
      </c>
      <c r="R376" s="45"/>
      <c r="S376" s="45" t="str">
        <f>IF(ISERROR($Q376),"进阶+"&amp;COUNTIF($E$194:$E376,$E376)&amp;"："&amp;"找ZC配技能","进阶+"&amp;COUNTIF($E$194:$E376,$E376)&amp;"："&amp;VLOOKUP(COUNTIF($E$194:$E376,$E376),$L$184:$R$193,IF(H376=1,4,IF(H376=4,3,2))+IF(INDEX([1]Sheet1!$1:$1048576,MATCH($E376,[1]Sheet1!$A:$A,0),MATCH("zizhi",[1]Sheet1!$2:$2,0))&gt;=13,0,3),0)&amp;IF($Q376="","","（"&amp;$Q376&amp;"）"))</f>
        <v>进阶+3：攻击提高10%</v>
      </c>
      <c r="T376" s="1"/>
      <c r="U376" s="1"/>
      <c r="V376" s="2" t="str">
        <f>VLOOKUP(COUNTIF($E$194:$E376,$E376),$L$184:$X$193,IF(H376=1,4,IF(H376=4,3,2))+IF(INDEX([1]Sheet1!$1:$1048576,MATCH($E376,[1]Sheet1!$A:$A,0),MATCH("zizhi",[1]Sheet1!$2:$2,0))&gt;=13,0,3)+6,0)</f>
        <v>11050</v>
      </c>
      <c r="W376" s="2" t="str">
        <f t="shared" si="23"/>
        <v>进阶+3：攻击提高10%</v>
      </c>
      <c r="X376" s="45" t="str">
        <f t="shared" si="21"/>
        <v>11050</v>
      </c>
      <c r="Y376" s="2"/>
      <c r="Z376" s="2"/>
      <c r="AA376" s="2"/>
    </row>
    <row r="377" spans="1:27" ht="33">
      <c r="A377" s="10">
        <f>E377*100+COUNTIF($E$194:$E377,$E377)</f>
        <v>110904</v>
      </c>
      <c r="B377" s="68" t="s">
        <v>1868</v>
      </c>
      <c r="C377" s="50" t="s">
        <v>2</v>
      </c>
      <c r="D377" s="10">
        <f t="shared" si="26"/>
        <v>1</v>
      </c>
      <c r="E377" s="45">
        <f>INDEX($I:$I,MATCH($E376,$I:$I,0)+IF(COUNTIF($E$194:$E376,$E376)&lt;=VLOOKUP($E376,$I$134:$K$193,3,0)-1,0,1),0)</f>
        <v>1109</v>
      </c>
      <c r="F377" s="45" t="str">
        <f t="shared" si="22"/>
        <v>九天玄女</v>
      </c>
      <c r="G377" s="45" t="s">
        <v>217</v>
      </c>
      <c r="H377" s="45">
        <f>VLOOKUP($E377,[1]Sheet1!$A:$G,7,0)</f>
        <v>1</v>
      </c>
      <c r="I377" s="45" t="str">
        <f>IF($G377="","",IF(COUNTIF(技能描述!$D:$D,$F377)&gt;0,VLOOKUP($F377&amp;$G377,技能描述!$A:$C,3,0),LEFT(VLOOKUP($E377,[1]Sheet1!$A:$J,10,0),FIND("_",VLOOKUP($E377,[1]Sheet1!$A:$J,10,0))-1)&amp;$G377))</f>
        <v>jiutianxuannv_skill04</v>
      </c>
      <c r="J377" s="45" t="str">
        <f>IF($I377="","",VLOOKUP($I377,技能描述!$A:$C,3,0))</f>
        <v>九天玄女释放自身神光，对范围内敌人造成2次攻击力@s的法伤，每次攻击清除敌人1个增益状态</v>
      </c>
      <c r="K377" s="45" t="str">
        <f>IF($I377="","",INDEX([2]Sheet1!$1:$1048576,MATCH($I377,[2]Sheet1!$A:$A,0),MATCH("description_damage",[2]Sheet1!$2:$2,0)))</f>
        <v>110904</v>
      </c>
      <c r="L377" s="80" t="str">
        <f>IF($K377="","",IF(LEN($K377)-LEN(SUBSTITUTE($K377,",",""))=0,VLOOKUP(INT($K377),[3]Sheet1!$A:$C,3,0),VLOOKUP(INT(LEFT($K377,FIND(",",$K377)-1)),[3]Sheet1!$A:$C,3,0)))</f>
        <v>2|2|1.43|0|0|0</v>
      </c>
      <c r="M377" s="80" t="str">
        <f t="shared" si="27"/>
        <v>143%</v>
      </c>
      <c r="N377" s="45" t="str">
        <f>IF(LEN($K377)-LEN(SUBSTITUTE($K377,",",""))=1,VLOOKUP(INT(RIGHT($K377,LEN($K377)-FIND(",",$K377))),[3]Sheet1!$A:$C,3,0),"")</f>
        <v/>
      </c>
      <c r="O377" s="45" t="str">
        <f t="shared" si="24"/>
        <v/>
      </c>
      <c r="P377" s="45" t="str">
        <f t="shared" si="20"/>
        <v>九天玄女释放自身神光，对范围内敌人造成2次攻击力143%的法伤，每次攻击清除敌人1个增益状态</v>
      </c>
      <c r="Q377" s="45" t="str">
        <f t="shared" si="25"/>
        <v>九天玄女释放自身神光，对范围内敌人造成2次攻击力143%的法伤，每次攻击清除敌人1个增益状态</v>
      </c>
      <c r="R377" s="45"/>
      <c r="S377" s="45" t="str">
        <f>IF(ISERROR($Q377),"进阶+"&amp;COUNTIF($E$194:$E377,$E377)&amp;"："&amp;"找ZC配技能","进阶+"&amp;COUNTIF($E$194:$E377,$E377)&amp;"："&amp;VLOOKUP(COUNTIF($E$194:$E377,$E377),$L$184:$R$193,IF(H377=1,4,IF(H377=4,3,2))+IF(INDEX([1]Sheet1!$1:$1048576,MATCH($E377,[1]Sheet1!$A:$A,0),MATCH("zizhi",[1]Sheet1!$2:$2,0))&gt;=13,0,3),0)&amp;IF($Q377="","","（"&amp;$Q377&amp;"）"))</f>
        <v>进阶+4：激活AI2技能（九天玄女释放自身神光，对范围内敌人造成2次攻击力143%的法伤，每次攻击清除敌人1个增益状态）</v>
      </c>
      <c r="T377" s="1"/>
      <c r="U377" s="1"/>
      <c r="V377" s="2" t="str">
        <f>VLOOKUP(COUNTIF($E$194:$E377,$E377),$L$184:$X$193,IF(H377=1,4,IF(H377=4,3,2))+IF(INDEX([1]Sheet1!$1:$1048576,MATCH($E377,[1]Sheet1!$A:$A,0),MATCH("zizhi",[1]Sheet1!$2:$2,0))&gt;=13,0,3)+6,0)</f>
        <v>[]</v>
      </c>
      <c r="W377" s="2" t="str">
        <f t="shared" si="23"/>
        <v>进阶+4：激活AI2技能（九天玄女释放自身神光，对范围内敌人造成2次攻击力143%的法伤，每次攻击清除敌人1个增益状态）</v>
      </c>
      <c r="X377" s="45" t="str">
        <f t="shared" si="21"/>
        <v>[]</v>
      </c>
      <c r="Y377" s="2"/>
      <c r="Z377" s="2"/>
      <c r="AA377" s="2"/>
    </row>
    <row r="378" spans="1:27">
      <c r="A378" s="10">
        <f>E378*100+COUNTIF($E$194:$E378,$E378)</f>
        <v>110905</v>
      </c>
      <c r="B378" s="68" t="s">
        <v>323</v>
      </c>
      <c r="C378" s="50" t="s">
        <v>140</v>
      </c>
      <c r="D378" s="10" t="str">
        <f t="shared" si="26"/>
        <v>[]</v>
      </c>
      <c r="E378" s="45">
        <f>INDEX($I:$I,MATCH($E377,$I:$I,0)+IF(COUNTIF($E$194:$E377,$E377)&lt;=VLOOKUP($E377,$I$134:$K$193,3,0)-1,0,1),0)</f>
        <v>1109</v>
      </c>
      <c r="F378" s="45" t="str">
        <f t="shared" si="22"/>
        <v>九天玄女</v>
      </c>
      <c r="H378" s="45">
        <f>VLOOKUP($E378,[1]Sheet1!$A:$G,7,0)</f>
        <v>1</v>
      </c>
      <c r="I378" s="45" t="str">
        <f>IF($G378="","",IF(COUNTIF(技能描述!$D:$D,$F378)&gt;0,VLOOKUP($F378&amp;$G378,技能描述!$A:$C,3,0),LEFT(VLOOKUP($E378,[1]Sheet1!$A:$J,10,0),FIND("_",VLOOKUP($E378,[1]Sheet1!$A:$J,10,0))-1)&amp;$G378))</f>
        <v/>
      </c>
      <c r="J378" s="45" t="str">
        <f>IF($I378="","",VLOOKUP($I378,技能描述!$A:$C,3,0))</f>
        <v/>
      </c>
      <c r="K378" s="45" t="str">
        <f>IF($I378="","",INDEX([2]Sheet1!$1:$1048576,MATCH($I378,[2]Sheet1!$A:$A,0),MATCH("description_damage",[2]Sheet1!$2:$2,0)))</f>
        <v/>
      </c>
      <c r="L378" s="80" t="str">
        <f>IF($K378="","",IF(LEN($K378)-LEN(SUBSTITUTE($K378,",",""))=0,VLOOKUP(INT($K378),[3]Sheet1!$A:$C,3,0),VLOOKUP(INT(LEFT($K378,FIND(",",$K378)-1)),[3]Sheet1!$A:$C,3,0)))</f>
        <v/>
      </c>
      <c r="M378" s="80" t="str">
        <f t="shared" si="27"/>
        <v/>
      </c>
      <c r="N378" s="45" t="str">
        <f>IF(LEN($K378)-LEN(SUBSTITUTE($K378,",",""))=1,VLOOKUP(INT(RIGHT($K378,LEN($K378)-FIND(",",$K378))),[3]Sheet1!$A:$C,3,0),"")</f>
        <v/>
      </c>
      <c r="O378" s="45" t="str">
        <f t="shared" si="24"/>
        <v/>
      </c>
      <c r="P378" s="45" t="str">
        <f t="shared" si="20"/>
        <v/>
      </c>
      <c r="Q378" s="45" t="str">
        <f t="shared" si="25"/>
        <v/>
      </c>
      <c r="R378" s="45"/>
      <c r="S378" s="45" t="str">
        <f>IF(ISERROR($Q378),"进阶+"&amp;COUNTIF($E$194:$E378,$E378)&amp;"："&amp;"找ZC配技能","进阶+"&amp;COUNTIF($E$194:$E378,$E378)&amp;"："&amp;VLOOKUP(COUNTIF($E$194:$E378,$E378),$L$184:$R$193,IF(H378=1,4,IF(H378=4,3,2))+IF(INDEX([1]Sheet1!$1:$1048576,MATCH($E378,[1]Sheet1!$A:$A,0),MATCH("zizhi",[1]Sheet1!$2:$2,0))&gt;=13,0,3),0)&amp;IF($Q378="","","（"&amp;$Q378&amp;"）"))</f>
        <v>进阶+5：生命，防御提高10%</v>
      </c>
      <c r="T378" s="1"/>
      <c r="U378" s="1"/>
      <c r="V378" s="2" t="str">
        <f>VLOOKUP(COUNTIF($E$194:$E378,$E378),$L$184:$X$193,IF(H378=1,4,IF(H378=4,3,2))+IF(INDEX([1]Sheet1!$1:$1048576,MATCH($E378,[1]Sheet1!$A:$A,0),MATCH("zizhi",[1]Sheet1!$2:$2,0))&gt;=13,0,3)+6,0)</f>
        <v>11090,6502,6512</v>
      </c>
      <c r="W378" s="2" t="str">
        <f t="shared" si="23"/>
        <v>进阶+5：生命，防御提高10%</v>
      </c>
      <c r="X378" s="45" t="str">
        <f t="shared" si="21"/>
        <v>11090,6502,6512</v>
      </c>
      <c r="Y378" s="2"/>
      <c r="Z378" s="2"/>
      <c r="AA378" s="2"/>
    </row>
    <row r="379" spans="1:27" ht="33">
      <c r="A379" s="10">
        <f>E379*100+COUNTIF($E$194:$E379,$E379)</f>
        <v>110906</v>
      </c>
      <c r="B379" s="68" t="s">
        <v>2019</v>
      </c>
      <c r="C379" s="50" t="s">
        <v>2</v>
      </c>
      <c r="D379" s="10">
        <f t="shared" si="26"/>
        <v>1</v>
      </c>
      <c r="E379" s="45">
        <f>INDEX($I:$I,MATCH($E378,$I:$I,0)+IF(COUNTIF($E$194:$E378,$E378)&lt;=VLOOKUP($E378,$I$134:$K$193,3,0)-1,0,1),0)</f>
        <v>1109</v>
      </c>
      <c r="F379" s="45" t="str">
        <f t="shared" si="22"/>
        <v>九天玄女</v>
      </c>
      <c r="G379" s="45" t="s">
        <v>218</v>
      </c>
      <c r="H379" s="45">
        <f>VLOOKUP($E379,[1]Sheet1!$A:$G,7,0)</f>
        <v>1</v>
      </c>
      <c r="I379" s="45" t="str">
        <f>IF($G379="","",IF(COUNTIF(技能描述!$D:$D,$F379)&gt;0,VLOOKUP($F379&amp;$G379,技能描述!$A:$C,3,0),LEFT(VLOOKUP($E379,[1]Sheet1!$A:$J,10,0),FIND("_",VLOOKUP($E379,[1]Sheet1!$A:$J,10,0))-1)&amp;$G379))</f>
        <v>jiutianxuannv_skill011</v>
      </c>
      <c r="J379" s="45" t="str">
        <f>IF($I379="","",VLOOKUP($I379,技能描述!$A:$C,3,0))</f>
        <v>释放大范围治疗法术，治疗全体友军，每0.5秒恢复主角攻击力@s的生命值，持续3秒</v>
      </c>
      <c r="K379" s="45" t="str">
        <f>IF($I379="","",INDEX([2]Sheet1!$1:$1048576,MATCH($I379,[2]Sheet1!$A:$A,0),MATCH("description_damage",[2]Sheet1!$2:$2,0)))</f>
        <v>9050</v>
      </c>
      <c r="L379" s="80" t="str">
        <f>IF($K379="","",IF(LEN($K379)-LEN(SUBSTITUTE($K379,",",""))=0,VLOOKUP(INT($K379),[3]Sheet1!$A:$C,3,0),VLOOKUP(INT(LEFT($K379,FIND(",",$K379)-1)),[3]Sheet1!$A:$C,3,0)))</f>
        <v>4|3|0.5|0|1</v>
      </c>
      <c r="M379" s="80" t="str">
        <f t="shared" si="27"/>
        <v>50%</v>
      </c>
      <c r="N379" s="45" t="str">
        <f>IF(LEN($K379)-LEN(SUBSTITUTE($K379,",",""))=1,VLOOKUP(INT(RIGHT($K379,LEN($K379)-FIND(",",$K379))),[3]Sheet1!$A:$C,3,0),"")</f>
        <v/>
      </c>
      <c r="O379" s="45" t="str">
        <f t="shared" si="24"/>
        <v/>
      </c>
      <c r="P379" s="45" t="str">
        <f t="shared" si="20"/>
        <v>释放大范围治疗法术，治疗全体友军，每0.5秒恢复主角攻击力50%的生命值，持续3秒</v>
      </c>
      <c r="Q379" s="45" t="str">
        <f t="shared" si="25"/>
        <v>释放大范围治疗法术，治疗全体友军，每0.5秒恢复主角攻击力50%的生命值，持续3秒</v>
      </c>
      <c r="R379" s="45"/>
      <c r="S379" s="45" t="str">
        <f>IF(ISERROR($Q379),"进阶+"&amp;COUNTIF($E$194:$E379,$E379)&amp;"："&amp;"找ZC配技能","进阶+"&amp;COUNTIF($E$194:$E379,$E379)&amp;"："&amp;VLOOKUP(COUNTIF($E$194:$E379,$E379),$L$184:$R$193,IF(H379=1,4,IF(H379=4,3,2))+IF(INDEX([1]Sheet1!$1:$1048576,MATCH($E379,[1]Sheet1!$A:$A,0),MATCH("zizhi",[1]Sheet1!$2:$2,0))&gt;=13,0,3),0)&amp;IF($Q379="","","（"&amp;$Q379&amp;"）"))</f>
        <v>进阶+6：增强主角技能（释放大范围治疗法术，治疗全体友军，每0.5秒恢复主角攻击力50%的生命值，持续3秒）</v>
      </c>
      <c r="T379" s="1"/>
      <c r="U379" s="1"/>
      <c r="V379" s="2" t="str">
        <f>VLOOKUP(COUNTIF($E$194:$E379,$E379),$L$184:$X$193,IF(H379=1,4,IF(H379=4,3,2))+IF(INDEX([1]Sheet1!$1:$1048576,MATCH($E379,[1]Sheet1!$A:$A,0),MATCH("zizhi",[1]Sheet1!$2:$2,0))&gt;=13,0,3)+6,0)</f>
        <v>[]</v>
      </c>
      <c r="W379" s="2" t="str">
        <f t="shared" si="23"/>
        <v>进阶+6：增强主角技能（释放大范围治疗法术，治疗全体友军，每0.5秒恢复主角攻击力50%的生命值，持续3秒）</v>
      </c>
      <c r="X379" s="45" t="str">
        <f t="shared" si="21"/>
        <v>[]</v>
      </c>
      <c r="Y379" s="2"/>
      <c r="Z379" s="2"/>
      <c r="AA379" s="2"/>
    </row>
    <row r="380" spans="1:27">
      <c r="A380" s="10">
        <f>E380*100+COUNTIF($E$194:$E380,$E380)</f>
        <v>110907</v>
      </c>
      <c r="B380" s="68" t="s">
        <v>360</v>
      </c>
      <c r="C380" s="50" t="s">
        <v>354</v>
      </c>
      <c r="D380" s="10" t="str">
        <f t="shared" si="26"/>
        <v>[]</v>
      </c>
      <c r="E380" s="45">
        <f>INDEX($I:$I,MATCH($E379,$I:$I,0)+IF(COUNTIF($E$194:$E379,$E379)&lt;=VLOOKUP($E379,$I$134:$K$193,3,0)-1,0,1),0)</f>
        <v>1109</v>
      </c>
      <c r="F380" s="45" t="str">
        <f t="shared" si="22"/>
        <v>九天玄女</v>
      </c>
      <c r="H380" s="45">
        <f>VLOOKUP($E380,[1]Sheet1!$A:$G,7,0)</f>
        <v>1</v>
      </c>
      <c r="I380" s="45" t="str">
        <f>IF($G380="","",IF(COUNTIF(技能描述!$D:$D,$F380)&gt;0,VLOOKUP($F380&amp;$G380,技能描述!$A:$C,3,0),LEFT(VLOOKUP($E380,[1]Sheet1!$A:$J,10,0),FIND("_",VLOOKUP($E380,[1]Sheet1!$A:$J,10,0))-1)&amp;$G380))</f>
        <v/>
      </c>
      <c r="J380" s="45" t="str">
        <f>IF($I380="","",VLOOKUP($I380,技能描述!$A:$C,3,0))</f>
        <v/>
      </c>
      <c r="K380" s="45" t="str">
        <f>IF($I380="","",INDEX([2]Sheet1!$1:$1048576,MATCH($I380,[2]Sheet1!$A:$A,0),MATCH("description_damage",[2]Sheet1!$2:$2,0)))</f>
        <v/>
      </c>
      <c r="L380" s="80" t="str">
        <f>IF($K380="","",IF(LEN($K380)-LEN(SUBSTITUTE($K380,",",""))=0,VLOOKUP(INT($K380),[3]Sheet1!$A:$C,3,0),VLOOKUP(INT(LEFT($K380,FIND(",",$K380)-1)),[3]Sheet1!$A:$C,3,0)))</f>
        <v/>
      </c>
      <c r="M380" s="80" t="str">
        <f t="shared" si="27"/>
        <v/>
      </c>
      <c r="N380" s="45" t="str">
        <f>IF(LEN($K380)-LEN(SUBSTITUTE($K380,",",""))=1,VLOOKUP(INT(RIGHT($K380,LEN($K380)-FIND(",",$K380))),[3]Sheet1!$A:$C,3,0),"")</f>
        <v/>
      </c>
      <c r="O380" s="45" t="str">
        <f t="shared" si="24"/>
        <v/>
      </c>
      <c r="P380" s="45" t="str">
        <f t="shared" si="20"/>
        <v/>
      </c>
      <c r="Q380" s="45" t="str">
        <f t="shared" si="25"/>
        <v/>
      </c>
      <c r="R380" s="45"/>
      <c r="S380" s="45" t="str">
        <f>IF(ISERROR($Q380),"进阶+"&amp;COUNTIF($E$194:$E380,$E380)&amp;"："&amp;"找ZC配技能","进阶+"&amp;COUNTIF($E$194:$E380,$E380)&amp;"："&amp;VLOOKUP(COUNTIF($E$194:$E380,$E380),$L$184:$R$193,IF(H380=1,4,IF(H380=4,3,2))+IF(INDEX([1]Sheet1!$1:$1048576,MATCH($E380,[1]Sheet1!$A:$A,0),MATCH("zizhi",[1]Sheet1!$2:$2,0))&gt;=13,0,3),0)&amp;IF($Q380="","","（"&amp;$Q380&amp;"）"))</f>
        <v>进阶+7：全队生命，防御提高10%</v>
      </c>
      <c r="T380" s="1"/>
      <c r="U380" s="1"/>
      <c r="V380" s="2" t="str">
        <f>VLOOKUP(COUNTIF($E$194:$E380,$E380),$L$184:$X$193,IF(H380=1,4,IF(H380=4,3,2))+IF(INDEX([1]Sheet1!$1:$1048576,MATCH($E380,[1]Sheet1!$A:$A,0),MATCH("zizhi",[1]Sheet1!$2:$2,0))&gt;=13,0,3)+6,0)</f>
        <v>57010,59010,60010</v>
      </c>
      <c r="W380" s="2" t="str">
        <f t="shared" si="23"/>
        <v>进阶+7：全队生命，防御提高10%</v>
      </c>
      <c r="X380" s="45" t="str">
        <f t="shared" si="21"/>
        <v>57010,59010,60010</v>
      </c>
      <c r="Y380" s="2"/>
      <c r="Z380" s="2"/>
      <c r="AA380" s="2"/>
    </row>
    <row r="381" spans="1:27" ht="33">
      <c r="A381" s="10">
        <f>E381*100+COUNTIF($E$194:$E381,$E381)</f>
        <v>110908</v>
      </c>
      <c r="B381" s="68" t="s">
        <v>2020</v>
      </c>
      <c r="C381" s="50" t="s">
        <v>2</v>
      </c>
      <c r="D381" s="10">
        <f t="shared" si="26"/>
        <v>1</v>
      </c>
      <c r="E381" s="45">
        <f>INDEX($I:$I,MATCH($E380,$I:$I,0)+IF(COUNTIF($E$194:$E380,$E380)&lt;=VLOOKUP($E380,$I$134:$K$193,3,0)-1,0,1),0)</f>
        <v>1109</v>
      </c>
      <c r="F381" s="45" t="str">
        <f t="shared" si="22"/>
        <v>九天玄女</v>
      </c>
      <c r="G381" s="45" t="s">
        <v>219</v>
      </c>
      <c r="H381" s="45">
        <f>VLOOKUP($E381,[1]Sheet1!$A:$G,7,0)</f>
        <v>1</v>
      </c>
      <c r="I381" s="45" t="str">
        <f>IF($G381="","",IF(COUNTIF(技能描述!$D:$D,$F381)&gt;0,VLOOKUP($F381&amp;$G381,技能描述!$A:$C,3,0),LEFT(VLOOKUP($E381,[1]Sheet1!$A:$J,10,0),FIND("_",VLOOKUP($E381,[1]Sheet1!$A:$J,10,0))-1)&amp;$G381))</f>
        <v>jiutianxuannv_skill021</v>
      </c>
      <c r="J381" s="45" t="str">
        <f>IF($I381="","",VLOOKUP($I381,技能描述!$A:$C,3,0))</f>
        <v>九天玄女用九蕴灵光治疗生命值百分比最低的友军，恢复自身攻击力@s的生命值</v>
      </c>
      <c r="K381" s="45" t="str">
        <f>IF($I381="","",INDEX([2]Sheet1!$1:$1048576,MATCH($I381,[2]Sheet1!$A:$A,0),MATCH("description_damage",[2]Sheet1!$2:$2,0)))</f>
        <v>110906</v>
      </c>
      <c r="L381" s="80" t="str">
        <f>IF($K381="","",IF(LEN($K381)-LEN(SUBSTITUTE($K381,",",""))=0,VLOOKUP(INT($K381),[3]Sheet1!$A:$C,3,0),VLOOKUP(INT(LEFT($K381,FIND(",",$K381)-1)),[3]Sheet1!$A:$C,3,0)))</f>
        <v>3|1|3.42|0</v>
      </c>
      <c r="M381" s="80" t="str">
        <f t="shared" si="27"/>
        <v>342%</v>
      </c>
      <c r="N381" s="45" t="str">
        <f>IF(LEN($K381)-LEN(SUBSTITUTE($K381,",",""))=1,VLOOKUP(INT(RIGHT($K381,LEN($K381)-FIND(",",$K381))),[3]Sheet1!$A:$C,3,0),"")</f>
        <v/>
      </c>
      <c r="O381" s="45" t="str">
        <f t="shared" si="24"/>
        <v/>
      </c>
      <c r="P381" s="45" t="str">
        <f t="shared" si="20"/>
        <v>九天玄女用九蕴灵光治疗生命值百分比最低的友军，恢复自身攻击力342%的生命值</v>
      </c>
      <c r="Q381" s="45" t="str">
        <f t="shared" si="25"/>
        <v>九天玄女用九蕴灵光治疗生命值百分比最低的友军，恢复自身攻击力342%的生命值</v>
      </c>
      <c r="R381" s="45"/>
      <c r="S381" s="45" t="str">
        <f>IF(ISERROR($Q381),"进阶+"&amp;COUNTIF($E$194:$E381,$E381)&amp;"："&amp;"找ZC配技能","进阶+"&amp;COUNTIF($E$194:$E381,$E381)&amp;"："&amp;VLOOKUP(COUNTIF($E$194:$E381,$E381),$L$184:$R$193,IF(H381=1,4,IF(H381=4,3,2))+IF(INDEX([1]Sheet1!$1:$1048576,MATCH($E381,[1]Sheet1!$A:$A,0),MATCH("zizhi",[1]Sheet1!$2:$2,0))&gt;=13,0,3),0)&amp;IF($Q381="","","（"&amp;$Q381&amp;"）"))</f>
        <v>进阶+8：增强AI1技能（九天玄女用九蕴灵光治疗生命值百分比最低的友军，恢复自身攻击力342%的生命值）</v>
      </c>
      <c r="T381" s="1"/>
      <c r="U381" s="1"/>
      <c r="V381" s="2" t="str">
        <f>VLOOKUP(COUNTIF($E$194:$E381,$E381),$L$184:$X$193,IF(H381=1,4,IF(H381=4,3,2))+IF(INDEX([1]Sheet1!$1:$1048576,MATCH($E381,[1]Sheet1!$A:$A,0),MATCH("zizhi",[1]Sheet1!$2:$2,0))&gt;=13,0,3)+6,0)</f>
        <v>[]</v>
      </c>
      <c r="W381" s="2" t="str">
        <f t="shared" si="23"/>
        <v>进阶+8：增强AI1技能（九天玄女用九蕴灵光治疗生命值百分比最低的友军，恢复自身攻击力342%的生命值）</v>
      </c>
      <c r="X381" s="45" t="str">
        <f t="shared" si="21"/>
        <v>[]</v>
      </c>
      <c r="Y381" s="2"/>
      <c r="Z381" s="2"/>
      <c r="AA381" s="2"/>
    </row>
    <row r="382" spans="1:27">
      <c r="A382" s="10">
        <f>E382*100+COUNTIF($E$194:$E382,$E382)</f>
        <v>110909</v>
      </c>
      <c r="B382" s="68" t="s">
        <v>1902</v>
      </c>
      <c r="C382" s="50" t="s">
        <v>357</v>
      </c>
      <c r="D382" s="10" t="str">
        <f t="shared" si="26"/>
        <v>[]</v>
      </c>
      <c r="E382" s="45">
        <f>INDEX($I:$I,MATCH($E381,$I:$I,0)+IF(COUNTIF($E$194:$E381,$E381)&lt;=VLOOKUP($E381,$I$134:$K$193,3,0)-1,0,1),0)</f>
        <v>1109</v>
      </c>
      <c r="F382" s="45" t="str">
        <f t="shared" si="22"/>
        <v>九天玄女</v>
      </c>
      <c r="H382" s="45">
        <f>VLOOKUP($E382,[1]Sheet1!$A:$G,7,0)</f>
        <v>1</v>
      </c>
      <c r="I382" s="45" t="str">
        <f>IF($G382="","",IF(COUNTIF(技能描述!$D:$D,$F382)&gt;0,VLOOKUP($F382&amp;$G382,技能描述!$A:$C,3,0),LEFT(VLOOKUP($E382,[1]Sheet1!$A:$J,10,0),FIND("_",VLOOKUP($E382,[1]Sheet1!$A:$J,10,0))-1)&amp;$G382))</f>
        <v/>
      </c>
      <c r="J382" s="45" t="str">
        <f>IF($I382="","",VLOOKUP($I382,技能描述!$A:$C,3,0))</f>
        <v/>
      </c>
      <c r="K382" s="45" t="str">
        <f>IF($I382="","",INDEX([2]Sheet1!$1:$1048576,MATCH($I382,[2]Sheet1!$A:$A,0),MATCH("description_damage",[2]Sheet1!$2:$2,0)))</f>
        <v/>
      </c>
      <c r="L382" s="80" t="str">
        <f>IF($K382="","",IF(LEN($K382)-LEN(SUBSTITUTE($K382,",",""))=0,VLOOKUP(INT($K382),[3]Sheet1!$A:$C,3,0),VLOOKUP(INT(LEFT($K382,FIND(",",$K382)-1)),[3]Sheet1!$A:$C,3,0)))</f>
        <v/>
      </c>
      <c r="M382" s="80" t="str">
        <f t="shared" si="27"/>
        <v/>
      </c>
      <c r="N382" s="45" t="str">
        <f>IF(LEN($K382)-LEN(SUBSTITUTE($K382,",",""))=1,VLOOKUP(INT(RIGHT($K382,LEN($K382)-FIND(",",$K382))),[3]Sheet1!$A:$C,3,0),"")</f>
        <v/>
      </c>
      <c r="O382" s="45" t="str">
        <f t="shared" si="24"/>
        <v/>
      </c>
      <c r="P382" s="45" t="str">
        <f t="shared" si="20"/>
        <v/>
      </c>
      <c r="Q382" s="45" t="str">
        <f t="shared" si="25"/>
        <v/>
      </c>
      <c r="R382" s="45"/>
      <c r="S382" s="45" t="str">
        <f>IF(ISERROR($Q382),"进阶+"&amp;COUNTIF($E$194:$E382,$E382)&amp;"："&amp;"找ZC配技能","进阶+"&amp;COUNTIF($E$194:$E382,$E382)&amp;"："&amp;VLOOKUP(COUNTIF($E$194:$E382,$E382),$L$184:$R$193,IF(H382=1,4,IF(H382=4,3,2))+IF(INDEX([1]Sheet1!$1:$1048576,MATCH($E382,[1]Sheet1!$A:$A,0),MATCH("zizhi",[1]Sheet1!$2:$2,0))&gt;=13,0,3),0)&amp;IF($Q382="","","（"&amp;$Q382&amp;"）"))</f>
        <v>进阶+9：全队生命，防御提高15%</v>
      </c>
      <c r="T382" s="1"/>
      <c r="U382" s="1"/>
      <c r="V382" s="2" t="str">
        <f>VLOOKUP(COUNTIF($E$194:$E382,$E382),$L$184:$X$193,IF(H382=1,4,IF(H382=4,3,2))+IF(INDEX([1]Sheet1!$1:$1048576,MATCH($E382,[1]Sheet1!$A:$A,0),MATCH("zizhi",[1]Sheet1!$2:$2,0))&gt;=13,0,3)+6,0)</f>
        <v>57015,59015,60015</v>
      </c>
      <c r="W382" s="2" t="str">
        <f t="shared" si="23"/>
        <v>进阶+9：全队生命，防御提高15%</v>
      </c>
      <c r="X382" s="45" t="str">
        <f t="shared" si="21"/>
        <v>57015,59015,60015</v>
      </c>
      <c r="Y382" s="2"/>
      <c r="Z382" s="2"/>
      <c r="AA382" s="2"/>
    </row>
    <row r="383" spans="1:27" ht="33">
      <c r="A383" s="10">
        <f>E383*100+COUNTIF($E$194:$E383,$E383)</f>
        <v>110910</v>
      </c>
      <c r="B383" s="68" t="s">
        <v>1915</v>
      </c>
      <c r="C383" s="50" t="s">
        <v>2</v>
      </c>
      <c r="D383" s="10">
        <f t="shared" si="26"/>
        <v>1</v>
      </c>
      <c r="E383" s="45">
        <f>INDEX($I:$I,MATCH($E382,$I:$I,0)+IF(COUNTIF($E$194:$E382,$E382)&lt;=VLOOKUP($E382,$I$134:$K$193,3,0)-1,0,1),0)</f>
        <v>1109</v>
      </c>
      <c r="F383" s="45" t="str">
        <f t="shared" si="22"/>
        <v>九天玄女</v>
      </c>
      <c r="G383" s="45" t="s">
        <v>220</v>
      </c>
      <c r="H383" s="45">
        <f>VLOOKUP($E383,[1]Sheet1!$A:$G,7,0)</f>
        <v>1</v>
      </c>
      <c r="I383" s="45" t="str">
        <f>IF($G383="","",IF(COUNTIF(技能描述!$D:$D,$F383)&gt;0,VLOOKUP($F383&amp;$G383,技能描述!$A:$C,3,0),LEFT(VLOOKUP($E383,[1]Sheet1!$A:$J,10,0),FIND("_",VLOOKUP($E383,[1]Sheet1!$A:$J,10,0))-1)&amp;$G383))</f>
        <v>jiutianxuannv_skill041</v>
      </c>
      <c r="J383" s="45" t="str">
        <f>IF($I383="","",VLOOKUP($I383,技能描述!$A:$C,3,0))</f>
        <v>九天玄女释放自身神光，对范围内敌人造成2次攻击力@s的法伤，清除敌人所有增益状态</v>
      </c>
      <c r="K383" s="45" t="str">
        <f>IF($I383="","",INDEX([2]Sheet1!$1:$1048576,MATCH($I383,[2]Sheet1!$A:$A,0),MATCH("description_damage",[2]Sheet1!$2:$2,0)))</f>
        <v>110907</v>
      </c>
      <c r="L383" s="80" t="str">
        <f>IF($K383="","",IF(LEN($K383)-LEN(SUBSTITUTE($K383,",",""))=0,VLOOKUP(INT($K383),[3]Sheet1!$A:$C,3,0),VLOOKUP(INT(LEFT($K383,FIND(",",$K383)-1)),[3]Sheet1!$A:$C,3,0)))</f>
        <v>2|2|1.6|0|0|0</v>
      </c>
      <c r="M383" s="80" t="str">
        <f t="shared" si="27"/>
        <v>160%</v>
      </c>
      <c r="N383" s="45" t="str">
        <f>IF(LEN($K383)-LEN(SUBSTITUTE($K383,",",""))=1,VLOOKUP(INT(RIGHT($K383,LEN($K383)-FIND(",",$K383))),[3]Sheet1!$A:$C,3,0),"")</f>
        <v/>
      </c>
      <c r="O383" s="45" t="str">
        <f t="shared" si="24"/>
        <v/>
      </c>
      <c r="P383" s="45" t="str">
        <f t="shared" si="20"/>
        <v>九天玄女释放自身神光，对范围内敌人造成2次攻击力160%的法伤，清除敌人所有增益状态</v>
      </c>
      <c r="Q383" s="45" t="str">
        <f t="shared" si="25"/>
        <v>九天玄女释放自身神光，对范围内敌人造成2次攻击力160%的法伤，清除敌人所有增益状态</v>
      </c>
      <c r="R383" s="45"/>
      <c r="S383" s="45" t="str">
        <f>IF(ISERROR($Q383),"进阶+"&amp;COUNTIF($E$194:$E383,$E383)&amp;"："&amp;"找ZC配技能","进阶+"&amp;COUNTIF($E$194:$E383,$E383)&amp;"："&amp;VLOOKUP(COUNTIF($E$194:$E383,$E383),$L$184:$R$193,IF(H383=1,4,IF(H383=4,3,2))+IF(INDEX([1]Sheet1!$1:$1048576,MATCH($E383,[1]Sheet1!$A:$A,0),MATCH("zizhi",[1]Sheet1!$2:$2,0))&gt;=13,0,3),0)&amp;IF($Q383="","","（"&amp;$Q383&amp;"）"))</f>
        <v>进阶+10：增强AI2技能（九天玄女释放自身神光，对范围内敌人造成2次攻击力160%的法伤，清除敌人所有增益状态）</v>
      </c>
      <c r="T383" s="1"/>
      <c r="U383" s="1"/>
      <c r="V383" s="2" t="str">
        <f>VLOOKUP(COUNTIF($E$194:$E383,$E383),$L$184:$X$193,IF(H383=1,4,IF(H383=4,3,2))+IF(INDEX([1]Sheet1!$1:$1048576,MATCH($E383,[1]Sheet1!$A:$A,0),MATCH("zizhi",[1]Sheet1!$2:$2,0))&gt;=13,0,3)+6,0)</f>
        <v>[]</v>
      </c>
      <c r="W383" s="2" t="str">
        <f t="shared" si="23"/>
        <v>进阶+10：增强AI2技能（九天玄女释放自身神光，对范围内敌人造成2次攻击力160%的法伤，清除敌人所有增益状态）</v>
      </c>
      <c r="X383" s="45" t="str">
        <f t="shared" si="21"/>
        <v>[]</v>
      </c>
      <c r="Y383" s="2"/>
      <c r="Z383" s="2"/>
      <c r="AA383" s="2"/>
    </row>
    <row r="384" spans="1:27">
      <c r="A384" s="10">
        <f>E384*100+COUNTIF($E$194:$E384,$E384)</f>
        <v>111101</v>
      </c>
      <c r="B384" s="68" t="s">
        <v>310</v>
      </c>
      <c r="C384" s="50" t="s">
        <v>127</v>
      </c>
      <c r="D384" s="10" t="str">
        <f t="shared" si="26"/>
        <v>[]</v>
      </c>
      <c r="E384" s="45">
        <f>INDEX($I:$I,MATCH($E383,$I:$I,0)+IF(COUNTIF($E$194:$E383,$E383)&lt;=VLOOKUP($E383,$I$134:$K$193,3,0)-1,0,1),0)</f>
        <v>1111</v>
      </c>
      <c r="F384" s="45" t="str">
        <f t="shared" si="22"/>
        <v>铁扇公主</v>
      </c>
      <c r="H384" s="45">
        <f>VLOOKUP($E384,[1]Sheet1!$A:$G,7,0)</f>
        <v>2</v>
      </c>
      <c r="I384" s="45" t="str">
        <f>IF($G384="","",IF(COUNTIF(技能描述!$D:$D,$F384)&gt;0,VLOOKUP($F384&amp;$G384,技能描述!$A:$C,3,0),LEFT(VLOOKUP($E384,[1]Sheet1!$A:$J,10,0),FIND("_",VLOOKUP($E384,[1]Sheet1!$A:$J,10,0))-1)&amp;$G384))</f>
        <v/>
      </c>
      <c r="J384" s="45" t="str">
        <f>IF($I384="","",VLOOKUP($I384,技能描述!$A:$C,3,0))</f>
        <v/>
      </c>
      <c r="K384" s="45" t="str">
        <f>IF($I384="","",INDEX([2]Sheet1!$1:$1048576,MATCH($I384,[2]Sheet1!$A:$A,0),MATCH("description_damage",[2]Sheet1!$2:$2,0)))</f>
        <v/>
      </c>
      <c r="L384" s="80" t="str">
        <f>IF($K384="","",IF(LEN($K384)-LEN(SUBSTITUTE($K384,",",""))=0,VLOOKUP(INT($K384),[3]Sheet1!$A:$C,3,0),VLOOKUP(INT(LEFT($K384,FIND(",",$K384)-1)),[3]Sheet1!$A:$C,3,0)))</f>
        <v/>
      </c>
      <c r="M384" s="80" t="str">
        <f t="shared" si="27"/>
        <v/>
      </c>
      <c r="N384" s="45" t="str">
        <f>IF(LEN($K384)-LEN(SUBSTITUTE($K384,",",""))=1,VLOOKUP(INT(RIGHT($K384,LEN($K384)-FIND(",",$K384))),[3]Sheet1!$A:$C,3,0),"")</f>
        <v/>
      </c>
      <c r="O384" s="45" t="str">
        <f t="shared" si="24"/>
        <v/>
      </c>
      <c r="P384" s="45" t="str">
        <f t="shared" si="20"/>
        <v/>
      </c>
      <c r="Q384" s="45" t="str">
        <f t="shared" si="25"/>
        <v/>
      </c>
      <c r="R384" s="45"/>
      <c r="S384" s="45" t="str">
        <f>IF(ISERROR($Q384),"进阶+"&amp;COUNTIF($E$194:$E384,$E384)&amp;"："&amp;"找ZC配技能","进阶+"&amp;COUNTIF($E$194:$E384,$E384)&amp;"："&amp;VLOOKUP(COUNTIF($E$194:$E384,$E384),$L$184:$R$193,IF(H384=1,4,IF(H384=4,3,2))+IF(INDEX([1]Sheet1!$1:$1048576,MATCH($E384,[1]Sheet1!$A:$A,0),MATCH("zizhi",[1]Sheet1!$2:$2,0))&gt;=13,0,3),0)&amp;IF($Q384="","","（"&amp;$Q384&amp;"）"))</f>
        <v>进阶+1：攻击提高10%</v>
      </c>
      <c r="T384" s="1"/>
      <c r="U384" s="1"/>
      <c r="V384" s="2" t="str">
        <f>VLOOKUP(COUNTIF($E$194:$E384,$E384),$L$184:$X$193,IF(H384=1,4,IF(H384=4,3,2))+IF(INDEX([1]Sheet1!$1:$1048576,MATCH($E384,[1]Sheet1!$A:$A,0),MATCH("zizhi",[1]Sheet1!$2:$2,0))&gt;=13,0,3)+6,0)</f>
        <v>11050</v>
      </c>
      <c r="W384" s="2" t="str">
        <f t="shared" si="23"/>
        <v>进阶+1：攻击提高10%</v>
      </c>
      <c r="X384" s="45" t="str">
        <f t="shared" si="21"/>
        <v>11050</v>
      </c>
      <c r="Y384" s="2"/>
      <c r="Z384" s="2"/>
      <c r="AA384" s="2"/>
    </row>
    <row r="385" spans="1:27">
      <c r="A385" s="10">
        <f>E385*100+COUNTIF($E$194:$E385,$E385)</f>
        <v>111102</v>
      </c>
      <c r="B385" s="68" t="s">
        <v>334</v>
      </c>
      <c r="C385" s="50" t="s">
        <v>2</v>
      </c>
      <c r="D385" s="10">
        <f t="shared" si="26"/>
        <v>1</v>
      </c>
      <c r="E385" s="45">
        <f>INDEX($I:$I,MATCH($E384,$I:$I,0)+IF(COUNTIF($E$194:$E384,$E384)&lt;=VLOOKUP($E384,$I$134:$K$193,3,0)-1,0,1),0)</f>
        <v>1111</v>
      </c>
      <c r="F385" s="45" t="str">
        <f t="shared" si="22"/>
        <v>铁扇公主</v>
      </c>
      <c r="G385" s="45" t="s">
        <v>216</v>
      </c>
      <c r="H385" s="45">
        <f>VLOOKUP($E385,[1]Sheet1!$A:$G,7,0)</f>
        <v>2</v>
      </c>
      <c r="I385" s="45" t="str">
        <f>IF($G385="","",IF(COUNTIF(技能描述!$D:$D,$F385)&gt;0,VLOOKUP($F385&amp;$G385,技能描述!$A:$C,3,0),LEFT(VLOOKUP($E385,[1]Sheet1!$A:$J,10,0),FIND("_",VLOOKUP($E385,[1]Sheet1!$A:$J,10,0))-1)&amp;$G385))</f>
        <v>tieshangongzhu_skill03</v>
      </c>
      <c r="J385" s="45" t="str">
        <f>IF($I385="","",VLOOKUP($I385,技能描述!$A:$C,3,0))</f>
        <v>进入战斗场景时，提升自身造成的伤害@s</v>
      </c>
      <c r="K385" s="45" t="str">
        <f>IF($I385="","",INDEX([2]Sheet1!$1:$1048576,MATCH($I385,[2]Sheet1!$A:$A,0),MATCH("description_damage",[2]Sheet1!$2:$2,0)))</f>
        <v>9010</v>
      </c>
      <c r="L385" s="80" t="str">
        <f>IF($K385="","",IF(LEN($K385)-LEN(SUBSTITUTE($K385,",",""))=0,VLOOKUP(INT($K385),[3]Sheet1!$A:$C,3,0),VLOOKUP(INT(LEFT($K385,FIND(",",$K385)-1)),[3]Sheet1!$A:$C,3,0)))</f>
        <v>4|3|0.1|0|1</v>
      </c>
      <c r="M385" s="80" t="str">
        <f t="shared" si="27"/>
        <v>10%</v>
      </c>
      <c r="N385" s="45" t="str">
        <f>IF(LEN($K385)-LEN(SUBSTITUTE($K385,",",""))=1,VLOOKUP(INT(RIGHT($K385,LEN($K385)-FIND(",",$K385))),[3]Sheet1!$A:$C,3,0),"")</f>
        <v/>
      </c>
      <c r="O385" s="45" t="str">
        <f t="shared" si="24"/>
        <v/>
      </c>
      <c r="P385" s="45" t="str">
        <f t="shared" si="20"/>
        <v>进入战斗场景时，提升自身造成的伤害10%</v>
      </c>
      <c r="Q385" s="45" t="str">
        <f t="shared" si="25"/>
        <v>进入战斗场景时，提升自身造成的伤害10%</v>
      </c>
      <c r="R385" s="45"/>
      <c r="S385" s="45" t="str">
        <f>IF(ISERROR($Q385),"进阶+"&amp;COUNTIF($E$194:$E385,$E385)&amp;"："&amp;"找ZC配技能","进阶+"&amp;COUNTIF($E$194:$E385,$E385)&amp;"："&amp;VLOOKUP(COUNTIF($E$194:$E385,$E385),$L$184:$R$193,IF(H385=1,4,IF(H385=4,3,2))+IF(INDEX([1]Sheet1!$1:$1048576,MATCH($E385,[1]Sheet1!$A:$A,0),MATCH("zizhi",[1]Sheet1!$2:$2,0))&gt;=13,0,3),0)&amp;IF($Q385="","","（"&amp;$Q385&amp;"）"))</f>
        <v>进阶+2：激活被动技能（进入战斗场景时，提升自身造成的伤害10%）</v>
      </c>
      <c r="T385" s="1"/>
      <c r="U385" s="1"/>
      <c r="V385" s="2" t="str">
        <f>VLOOKUP(COUNTIF($E$194:$E385,$E385),$L$184:$X$193,IF(H385=1,4,IF(H385=4,3,2))+IF(INDEX([1]Sheet1!$1:$1048576,MATCH($E385,[1]Sheet1!$A:$A,0),MATCH("zizhi",[1]Sheet1!$2:$2,0))&gt;=13,0,3)+6,0)</f>
        <v>[]</v>
      </c>
      <c r="W385" s="2" t="str">
        <f t="shared" si="23"/>
        <v>进阶+2：激活被动技能（进入战斗场景时，提升自身造成的伤害10%）</v>
      </c>
      <c r="X385" s="45" t="str">
        <f t="shared" si="21"/>
        <v>[]</v>
      </c>
      <c r="Y385" s="2"/>
      <c r="Z385" s="2"/>
      <c r="AA385" s="2"/>
    </row>
    <row r="386" spans="1:27">
      <c r="A386" s="10">
        <f>E386*100+COUNTIF($E$194:$E386,$E386)</f>
        <v>111103</v>
      </c>
      <c r="B386" s="68" t="s">
        <v>312</v>
      </c>
      <c r="C386" s="50" t="s">
        <v>127</v>
      </c>
      <c r="D386" s="10" t="str">
        <f t="shared" si="26"/>
        <v>[]</v>
      </c>
      <c r="E386" s="45">
        <f>INDEX($I:$I,MATCH($E385,$I:$I,0)+IF(COUNTIF($E$194:$E385,$E385)&lt;=VLOOKUP($E385,$I$134:$K$193,3,0)-1,0,1),0)</f>
        <v>1111</v>
      </c>
      <c r="F386" s="45" t="str">
        <f t="shared" si="22"/>
        <v>铁扇公主</v>
      </c>
      <c r="H386" s="45">
        <f>VLOOKUP($E386,[1]Sheet1!$A:$G,7,0)</f>
        <v>2</v>
      </c>
      <c r="I386" s="45" t="str">
        <f>IF($G386="","",IF(COUNTIF(技能描述!$D:$D,$F386)&gt;0,VLOOKUP($F386&amp;$G386,技能描述!$A:$C,3,0),LEFT(VLOOKUP($E386,[1]Sheet1!$A:$J,10,0),FIND("_",VLOOKUP($E386,[1]Sheet1!$A:$J,10,0))-1)&amp;$G386))</f>
        <v/>
      </c>
      <c r="J386" s="45" t="str">
        <f>IF($I386="","",VLOOKUP($I386,技能描述!$A:$C,3,0))</f>
        <v/>
      </c>
      <c r="K386" s="45" t="str">
        <f>IF($I386="","",INDEX([2]Sheet1!$1:$1048576,MATCH($I386,[2]Sheet1!$A:$A,0),MATCH("description_damage",[2]Sheet1!$2:$2,0)))</f>
        <v/>
      </c>
      <c r="L386" s="80" t="str">
        <f>IF($K386="","",IF(LEN($K386)-LEN(SUBSTITUTE($K386,",",""))=0,VLOOKUP(INT($K386),[3]Sheet1!$A:$C,3,0),VLOOKUP(INT(LEFT($K386,FIND(",",$K386)-1)),[3]Sheet1!$A:$C,3,0)))</f>
        <v/>
      </c>
      <c r="M386" s="80" t="str">
        <f t="shared" si="27"/>
        <v/>
      </c>
      <c r="N386" s="45" t="str">
        <f>IF(LEN($K386)-LEN(SUBSTITUTE($K386,",",""))=1,VLOOKUP(INT(RIGHT($K386,LEN($K386)-FIND(",",$K386))),[3]Sheet1!$A:$C,3,0),"")</f>
        <v/>
      </c>
      <c r="O386" s="45" t="str">
        <f t="shared" si="24"/>
        <v/>
      </c>
      <c r="P386" s="45" t="str">
        <f t="shared" ref="P386:P449" si="28">IF($M386="","",IF(ISERROR(FIND("@s",$J386)),$J386,LEFT(J386,FIND("@s",$J386)-1)&amp;$M386&amp;RIGHT($J386,LEN($J386)-FIND("@s",$J386)-1)))</f>
        <v/>
      </c>
      <c r="Q386" s="45" t="str">
        <f t="shared" si="25"/>
        <v/>
      </c>
      <c r="R386" s="45"/>
      <c r="S386" s="45" t="str">
        <f>IF(ISERROR($Q386),"进阶+"&amp;COUNTIF($E$194:$E386,$E386)&amp;"："&amp;"找ZC配技能","进阶+"&amp;COUNTIF($E$194:$E386,$E386)&amp;"："&amp;VLOOKUP(COUNTIF($E$194:$E386,$E386),$L$184:$R$193,IF(H386=1,4,IF(H386=4,3,2))+IF(INDEX([1]Sheet1!$1:$1048576,MATCH($E386,[1]Sheet1!$A:$A,0),MATCH("zizhi",[1]Sheet1!$2:$2,0))&gt;=13,0,3),0)&amp;IF($Q386="","","（"&amp;$Q386&amp;"）"))</f>
        <v>进阶+3：攻击提高10%</v>
      </c>
      <c r="T386" s="1"/>
      <c r="U386" s="1"/>
      <c r="V386" s="2" t="str">
        <f>VLOOKUP(COUNTIF($E$194:$E386,$E386),$L$184:$X$193,IF(H386=1,4,IF(H386=4,3,2))+IF(INDEX([1]Sheet1!$1:$1048576,MATCH($E386,[1]Sheet1!$A:$A,0),MATCH("zizhi",[1]Sheet1!$2:$2,0))&gt;=13,0,3)+6,0)</f>
        <v>11050</v>
      </c>
      <c r="W386" s="2" t="str">
        <f t="shared" si="23"/>
        <v>进阶+3：攻击提高10%</v>
      </c>
      <c r="X386" s="45" t="str">
        <f t="shared" ref="X386:X449" si="29">IF(ISERROR(FIND("找ZC配技能",$S386)),$V386,$W$184)</f>
        <v>11050</v>
      </c>
      <c r="Y386" s="2"/>
      <c r="Z386" s="2"/>
      <c r="AA386" s="2"/>
    </row>
    <row r="387" spans="1:27" ht="49.5">
      <c r="A387" s="10">
        <f>E387*100+COUNTIF($E$194:$E387,$E387)</f>
        <v>111104</v>
      </c>
      <c r="B387" s="68" t="s">
        <v>2021</v>
      </c>
      <c r="C387" s="50" t="s">
        <v>2</v>
      </c>
      <c r="D387" s="10">
        <f t="shared" si="26"/>
        <v>1</v>
      </c>
      <c r="E387" s="45">
        <f>INDEX($I:$I,MATCH($E386,$I:$I,0)+IF(COUNTIF($E$194:$E386,$E386)&lt;=VLOOKUP($E386,$I$134:$K$193,3,0)-1,0,1),0)</f>
        <v>1111</v>
      </c>
      <c r="F387" s="45" t="str">
        <f t="shared" ref="F387:F450" si="30">VLOOKUP($E387,$I$134:$K$193,2,0)</f>
        <v>铁扇公主</v>
      </c>
      <c r="G387" s="45" t="s">
        <v>217</v>
      </c>
      <c r="H387" s="45">
        <f>VLOOKUP($E387,[1]Sheet1!$A:$G,7,0)</f>
        <v>2</v>
      </c>
      <c r="I387" s="45" t="str">
        <f>IF($G387="","",IF(COUNTIF(技能描述!$D:$D,$F387)&gt;0,VLOOKUP($F387&amp;$G387,技能描述!$A:$C,3,0),LEFT(VLOOKUP($E387,[1]Sheet1!$A:$J,10,0),FIND("_",VLOOKUP($E387,[1]Sheet1!$A:$J,10,0))-1)&amp;$G387))</f>
        <v>tieshangongzhu_skill04</v>
      </c>
      <c r="J387" s="45" t="str">
        <f>IF($I387="","",VLOOKUP($I387,技能描述!$A:$C,3,0))</f>
        <v>铁扇公主召唤龙卷风，对范围内敌人造成自身攻击力@s的法伤，同时提升自身暴击@s,持续3秒,有30%概率吹飞对手</v>
      </c>
      <c r="K387" s="45" t="str">
        <f>IF($I387="","",INDEX([2]Sheet1!$1:$1048576,MATCH($I387,[2]Sheet1!$A:$A,0),MATCH("description_damage",[2]Sheet1!$2:$2,0)))</f>
        <v>111104,9010</v>
      </c>
      <c r="L387" s="80" t="str">
        <f>IF($K387="","",IF(LEN($K387)-LEN(SUBSTITUTE($K387,",",""))=0,VLOOKUP(INT($K387),[3]Sheet1!$A:$C,3,0),VLOOKUP(INT(LEFT($K387,FIND(",",$K387)-1)),[3]Sheet1!$A:$C,3,0)))</f>
        <v>2|2|1.5|0|0|0</v>
      </c>
      <c r="M387" s="80" t="str">
        <f t="shared" si="27"/>
        <v>150%</v>
      </c>
      <c r="N387" s="45" t="str">
        <f>IF(LEN($K387)-LEN(SUBSTITUTE($K387,",",""))=1,VLOOKUP(INT(RIGHT($K387,LEN($K387)-FIND(",",$K387))),[3]Sheet1!$A:$C,3,0),"")</f>
        <v>4|3|0.1|0|1</v>
      </c>
      <c r="O387" s="45" t="str">
        <f t="shared" si="24"/>
        <v>10%</v>
      </c>
      <c r="P387" s="45" t="str">
        <f t="shared" si="28"/>
        <v>铁扇公主召唤龙卷风，对范围内敌人造成自身攻击力150%的法伤，同时提升自身暴击@s,持续3秒,有30%概率吹飞对手</v>
      </c>
      <c r="Q387" s="45" t="str">
        <f t="shared" si="25"/>
        <v>铁扇公主召唤龙卷风，对范围内敌人造成自身攻击力150%的法伤，同时提升自身暴击10%,持续3秒,有30%概率吹飞对手</v>
      </c>
      <c r="R387" s="45"/>
      <c r="S387" s="45" t="str">
        <f>IF(ISERROR($Q387),"进阶+"&amp;COUNTIF($E$194:$E387,$E387)&amp;"："&amp;"找ZC配技能","进阶+"&amp;COUNTIF($E$194:$E387,$E387)&amp;"："&amp;VLOOKUP(COUNTIF($E$194:$E387,$E387),$L$184:$R$193,IF(H387=1,4,IF(H387=4,3,2))+IF(INDEX([1]Sheet1!$1:$1048576,MATCH($E387,[1]Sheet1!$A:$A,0),MATCH("zizhi",[1]Sheet1!$2:$2,0))&gt;=13,0,3),0)&amp;IF($Q387="","","（"&amp;$Q387&amp;"）"))</f>
        <v>进阶+4：激活AI2技能（铁扇公主召唤龙卷风，对范围内敌人造成自身攻击力150%的法伤，同时提升自身暴击10%,持续3秒,有30%概率吹飞对手）</v>
      </c>
      <c r="T387" s="1"/>
      <c r="U387" s="1"/>
      <c r="V387" s="2" t="str">
        <f>VLOOKUP(COUNTIF($E$194:$E387,$E387),$L$184:$X$193,IF(H387=1,4,IF(H387=4,3,2))+IF(INDEX([1]Sheet1!$1:$1048576,MATCH($E387,[1]Sheet1!$A:$A,0),MATCH("zizhi",[1]Sheet1!$2:$2,0))&gt;=13,0,3)+6,0)</f>
        <v>[]</v>
      </c>
      <c r="W387" s="2" t="str">
        <f t="shared" ref="W387:W450" si="31">IF(ISERROR(FIND("找ZC配技能",$S387)),$S387,"进阶+"&amp;INT(RIGHT($A387,2))&amp;":生命提高10%")</f>
        <v>进阶+4：激活AI2技能（铁扇公主召唤龙卷风，对范围内敌人造成自身攻击力150%的法伤，同时提升自身暴击10%,持续3秒,有30%概率吹飞对手）</v>
      </c>
      <c r="X387" s="45" t="str">
        <f t="shared" si="29"/>
        <v>[]</v>
      </c>
      <c r="Y387" s="2"/>
      <c r="Z387" s="2"/>
      <c r="AA387" s="2"/>
    </row>
    <row r="388" spans="1:27">
      <c r="A388" s="10">
        <f>E388*100+COUNTIF($E$194:$E388,$E388)</f>
        <v>111105</v>
      </c>
      <c r="B388" s="68" t="s">
        <v>323</v>
      </c>
      <c r="C388" s="50" t="s">
        <v>140</v>
      </c>
      <c r="D388" s="10" t="str">
        <f t="shared" si="26"/>
        <v>[]</v>
      </c>
      <c r="E388" s="45">
        <f>INDEX($I:$I,MATCH($E387,$I:$I,0)+IF(COUNTIF($E$194:$E387,$E387)&lt;=VLOOKUP($E387,$I$134:$K$193,3,0)-1,0,1),0)</f>
        <v>1111</v>
      </c>
      <c r="F388" s="45" t="str">
        <f t="shared" si="30"/>
        <v>铁扇公主</v>
      </c>
      <c r="H388" s="45">
        <f>VLOOKUP($E388,[1]Sheet1!$A:$G,7,0)</f>
        <v>2</v>
      </c>
      <c r="I388" s="45" t="str">
        <f>IF($G388="","",IF(COUNTIF(技能描述!$D:$D,$F388)&gt;0,VLOOKUP($F388&amp;$G388,技能描述!$A:$C,3,0),LEFT(VLOOKUP($E388,[1]Sheet1!$A:$J,10,0),FIND("_",VLOOKUP($E388,[1]Sheet1!$A:$J,10,0))-1)&amp;$G388))</f>
        <v/>
      </c>
      <c r="J388" s="45" t="str">
        <f>IF($I388="","",VLOOKUP($I388,技能描述!$A:$C,3,0))</f>
        <v/>
      </c>
      <c r="K388" s="45" t="str">
        <f>IF($I388="","",INDEX([2]Sheet1!$1:$1048576,MATCH($I388,[2]Sheet1!$A:$A,0),MATCH("description_damage",[2]Sheet1!$2:$2,0)))</f>
        <v/>
      </c>
      <c r="L388" s="80" t="str">
        <f>IF($K388="","",IF(LEN($K388)-LEN(SUBSTITUTE($K388,",",""))=0,VLOOKUP(INT($K388),[3]Sheet1!$A:$C,3,0),VLOOKUP(INT(LEFT($K388,FIND(",",$K388)-1)),[3]Sheet1!$A:$C,3,0)))</f>
        <v/>
      </c>
      <c r="M388" s="80" t="str">
        <f t="shared" si="27"/>
        <v/>
      </c>
      <c r="N388" s="45" t="str">
        <f>IF(LEN($K388)-LEN(SUBSTITUTE($K388,",",""))=1,VLOOKUP(INT(RIGHT($K388,LEN($K388)-FIND(",",$K388))),[3]Sheet1!$A:$C,3,0),"")</f>
        <v/>
      </c>
      <c r="O388" s="45" t="str">
        <f t="shared" ref="O388:O451" si="32">IF($N388="","",LEFT(RIGHT($N388,LEN($N388)-4),FIND("|",RIGHT($N388,LEN($N388)-4))-1)*100&amp;"%")</f>
        <v/>
      </c>
      <c r="P388" s="45" t="str">
        <f t="shared" si="28"/>
        <v/>
      </c>
      <c r="Q388" s="45" t="str">
        <f t="shared" ref="Q388:Q451" si="33">IF($O388="",$P388,SUBSTITUTE($P388,"@s",$O388))</f>
        <v/>
      </c>
      <c r="R388" s="45"/>
      <c r="S388" s="45" t="str">
        <f>IF(ISERROR($Q388),"进阶+"&amp;COUNTIF($E$194:$E388,$E388)&amp;"："&amp;"找ZC配技能","进阶+"&amp;COUNTIF($E$194:$E388,$E388)&amp;"："&amp;VLOOKUP(COUNTIF($E$194:$E388,$E388),$L$184:$R$193,IF(H388=1,4,IF(H388=4,3,2))+IF(INDEX([1]Sheet1!$1:$1048576,MATCH($E388,[1]Sheet1!$A:$A,0),MATCH("zizhi",[1]Sheet1!$2:$2,0))&gt;=13,0,3),0)&amp;IF($Q388="","","（"&amp;$Q388&amp;"）"))</f>
        <v>进阶+5：生命，防御提高10%</v>
      </c>
      <c r="T388" s="1"/>
      <c r="U388" s="1"/>
      <c r="V388" s="2" t="str">
        <f>VLOOKUP(COUNTIF($E$194:$E388,$E388),$L$184:$X$193,IF(H388=1,4,IF(H388=4,3,2))+IF(INDEX([1]Sheet1!$1:$1048576,MATCH($E388,[1]Sheet1!$A:$A,0),MATCH("zizhi",[1]Sheet1!$2:$2,0))&gt;=13,0,3)+6,0)</f>
        <v>11090,6502,6512</v>
      </c>
      <c r="W388" s="2" t="str">
        <f t="shared" si="31"/>
        <v>进阶+5：生命，防御提高10%</v>
      </c>
      <c r="X388" s="45" t="str">
        <f t="shared" si="29"/>
        <v>11090,6502,6512</v>
      </c>
      <c r="Y388" s="2"/>
      <c r="Z388" s="2"/>
      <c r="AA388" s="2"/>
    </row>
    <row r="389" spans="1:27" ht="33">
      <c r="A389" s="10">
        <f>E389*100+COUNTIF($E$194:$E389,$E389)</f>
        <v>111106</v>
      </c>
      <c r="B389" s="68" t="s">
        <v>2022</v>
      </c>
      <c r="C389" s="50" t="s">
        <v>2</v>
      </c>
      <c r="D389" s="10">
        <f t="shared" ref="D389:D452" si="34">IF(ISERROR(FIND("技能",$B389)),"[]",1)</f>
        <v>1</v>
      </c>
      <c r="E389" s="45">
        <f>INDEX($I:$I,MATCH($E388,$I:$I,0)+IF(COUNTIF($E$194:$E388,$E388)&lt;=VLOOKUP($E388,$I$134:$K$193,3,0)-1,0,1),0)</f>
        <v>1111</v>
      </c>
      <c r="F389" s="45" t="str">
        <f t="shared" si="30"/>
        <v>铁扇公主</v>
      </c>
      <c r="G389" s="45" t="s">
        <v>218</v>
      </c>
      <c r="H389" s="45">
        <f>VLOOKUP($E389,[1]Sheet1!$A:$G,7,0)</f>
        <v>2</v>
      </c>
      <c r="I389" s="45" t="str">
        <f>IF($G389="","",IF(COUNTIF(技能描述!$D:$D,$F389)&gt;0,VLOOKUP($F389&amp;$G389,技能描述!$A:$C,3,0),LEFT(VLOOKUP($E389,[1]Sheet1!$A:$J,10,0),FIND("_",VLOOKUP($E389,[1]Sheet1!$A:$J,10,0))-1)&amp;$G389))</f>
        <v>tieshangongzhu_skill011</v>
      </c>
      <c r="J389" s="45" t="str">
        <f>IF($I389="","",VLOOKUP($I389,技能描述!$A:$C,3,0))</f>
        <v>召唤暴风对范围内敌人进行7次攻击，造成造成主角攻击力@s的法伤，降低目标20%的闪避</v>
      </c>
      <c r="K389" s="45" t="str">
        <f>IF($I389="","",INDEX([2]Sheet1!$1:$1048576,MATCH($I389,[2]Sheet1!$A:$A,0),MATCH("description_damage",[2]Sheet1!$2:$2,0)))</f>
        <v>111105</v>
      </c>
      <c r="L389" s="80" t="str">
        <f>IF($K389="","",IF(LEN($K389)-LEN(SUBSTITUTE($K389,",",""))=0,VLOOKUP(INT($K389),[3]Sheet1!$A:$C,3,0),VLOOKUP(INT(LEFT($K389,FIND(",",$K389)-1)),[3]Sheet1!$A:$C,3,0)))</f>
        <v>2|2|0.86|0|0|0</v>
      </c>
      <c r="M389" s="80" t="str">
        <f t="shared" ref="M389:M452" si="35">IF($L389="","",LEFT(RIGHT($L389,LEN($L389)-4),FIND("|",RIGHT($L389,LEN($L389)-4))-1)*100&amp;"%")</f>
        <v>86%</v>
      </c>
      <c r="N389" s="45" t="str">
        <f>IF(LEN($K389)-LEN(SUBSTITUTE($K389,",",""))=1,VLOOKUP(INT(RIGHT($K389,LEN($K389)-FIND(",",$K389))),[3]Sheet1!$A:$C,3,0),"")</f>
        <v/>
      </c>
      <c r="O389" s="45" t="str">
        <f t="shared" si="32"/>
        <v/>
      </c>
      <c r="P389" s="45" t="str">
        <f t="shared" si="28"/>
        <v>召唤暴风对范围内敌人进行7次攻击，造成造成主角攻击力86%的法伤，降低目标20%的闪避</v>
      </c>
      <c r="Q389" s="45" t="str">
        <f t="shared" si="33"/>
        <v>召唤暴风对范围内敌人进行7次攻击，造成造成主角攻击力86%的法伤，降低目标20%的闪避</v>
      </c>
      <c r="R389" s="45"/>
      <c r="S389" s="45" t="str">
        <f>IF(ISERROR($Q389),"进阶+"&amp;COUNTIF($E$194:$E389,$E389)&amp;"："&amp;"找ZC配技能","进阶+"&amp;COUNTIF($E$194:$E389,$E389)&amp;"："&amp;VLOOKUP(COUNTIF($E$194:$E389,$E389),$L$184:$R$193,IF(H389=1,4,IF(H389=4,3,2))+IF(INDEX([1]Sheet1!$1:$1048576,MATCH($E389,[1]Sheet1!$A:$A,0),MATCH("zizhi",[1]Sheet1!$2:$2,0))&gt;=13,0,3),0)&amp;IF($Q389="","","（"&amp;$Q389&amp;"）"))</f>
        <v>进阶+6：增强主角技能（召唤暴风对范围内敌人进行7次攻击，造成造成主角攻击力86%的法伤，降低目标20%的闪避）</v>
      </c>
      <c r="T389" s="1"/>
      <c r="U389" s="1"/>
      <c r="V389" s="2" t="str">
        <f>VLOOKUP(COUNTIF($E$194:$E389,$E389),$L$184:$X$193,IF(H389=1,4,IF(H389=4,3,2))+IF(INDEX([1]Sheet1!$1:$1048576,MATCH($E389,[1]Sheet1!$A:$A,0),MATCH("zizhi",[1]Sheet1!$2:$2,0))&gt;=13,0,3)+6,0)</f>
        <v>[]</v>
      </c>
      <c r="W389" s="2" t="str">
        <f t="shared" si="31"/>
        <v>进阶+6：增强主角技能（召唤暴风对范围内敌人进行7次攻击，造成造成主角攻击力86%的法伤，降低目标20%的闪避）</v>
      </c>
      <c r="X389" s="45" t="str">
        <f t="shared" si="29"/>
        <v>[]</v>
      </c>
      <c r="Y389" s="2"/>
      <c r="Z389" s="2"/>
      <c r="AA389" s="2"/>
    </row>
    <row r="390" spans="1:27">
      <c r="A390" s="10">
        <f>E390*100+COUNTIF($E$194:$E390,$E390)</f>
        <v>111107</v>
      </c>
      <c r="B390" s="68" t="s">
        <v>359</v>
      </c>
      <c r="C390" s="50" t="s">
        <v>353</v>
      </c>
      <c r="D390" s="10" t="str">
        <f t="shared" si="34"/>
        <v>[]</v>
      </c>
      <c r="E390" s="45">
        <f>INDEX($I:$I,MATCH($E389,$I:$I,0)+IF(COUNTIF($E$194:$E389,$E389)&lt;=VLOOKUP($E389,$I$134:$K$193,3,0)-1,0,1),0)</f>
        <v>1111</v>
      </c>
      <c r="F390" s="45" t="str">
        <f t="shared" si="30"/>
        <v>铁扇公主</v>
      </c>
      <c r="H390" s="45">
        <f>VLOOKUP($E390,[1]Sheet1!$A:$G,7,0)</f>
        <v>2</v>
      </c>
      <c r="I390" s="45" t="str">
        <f>IF($G390="","",IF(COUNTIF(技能描述!$D:$D,$F390)&gt;0,VLOOKUP($F390&amp;$G390,技能描述!$A:$C,3,0),LEFT(VLOOKUP($E390,[1]Sheet1!$A:$J,10,0),FIND("_",VLOOKUP($E390,[1]Sheet1!$A:$J,10,0))-1)&amp;$G390))</f>
        <v/>
      </c>
      <c r="J390" s="45" t="str">
        <f>IF($I390="","",VLOOKUP($I390,技能描述!$A:$C,3,0))</f>
        <v/>
      </c>
      <c r="K390" s="45" t="str">
        <f>IF($I390="","",INDEX([2]Sheet1!$1:$1048576,MATCH($I390,[2]Sheet1!$A:$A,0),MATCH("description_damage",[2]Sheet1!$2:$2,0)))</f>
        <v/>
      </c>
      <c r="L390" s="80" t="str">
        <f>IF($K390="","",IF(LEN($K390)-LEN(SUBSTITUTE($K390,",",""))=0,VLOOKUP(INT($K390),[3]Sheet1!$A:$C,3,0),VLOOKUP(INT(LEFT($K390,FIND(",",$K390)-1)),[3]Sheet1!$A:$C,3,0)))</f>
        <v/>
      </c>
      <c r="M390" s="80" t="str">
        <f t="shared" si="35"/>
        <v/>
      </c>
      <c r="N390" s="45" t="str">
        <f>IF(LEN($K390)-LEN(SUBSTITUTE($K390,",",""))=1,VLOOKUP(INT(RIGHT($K390,LEN($K390)-FIND(",",$K390))),[3]Sheet1!$A:$C,3,0),"")</f>
        <v/>
      </c>
      <c r="O390" s="45" t="str">
        <f t="shared" si="32"/>
        <v/>
      </c>
      <c r="P390" s="45" t="str">
        <f t="shared" si="28"/>
        <v/>
      </c>
      <c r="Q390" s="45" t="str">
        <f t="shared" si="33"/>
        <v/>
      </c>
      <c r="R390" s="45"/>
      <c r="S390" s="45" t="str">
        <f>IF(ISERROR($Q390),"进阶+"&amp;COUNTIF($E$194:$E390,$E390)&amp;"："&amp;"找ZC配技能","进阶+"&amp;COUNTIF($E$194:$E390,$E390)&amp;"："&amp;VLOOKUP(COUNTIF($E$194:$E390,$E390),$L$184:$R$193,IF(H390=1,4,IF(H390=4,3,2))+IF(INDEX([1]Sheet1!$1:$1048576,MATCH($E390,[1]Sheet1!$A:$A,0),MATCH("zizhi",[1]Sheet1!$2:$2,0))&gt;=13,0,3),0)&amp;IF($Q390="","","（"&amp;$Q390&amp;"）"))</f>
        <v>进阶+7：全队攻击提高10%</v>
      </c>
      <c r="T390" s="1"/>
      <c r="U390" s="1"/>
      <c r="V390" s="2" t="str">
        <f>VLOOKUP(COUNTIF($E$194:$E390,$E390),$L$184:$X$193,IF(H390=1,4,IF(H390=4,3,2))+IF(INDEX([1]Sheet1!$1:$1048576,MATCH($E390,[1]Sheet1!$A:$A,0),MATCH("zizhi",[1]Sheet1!$2:$2,0))&gt;=13,0,3)+6,0)</f>
        <v>58010</v>
      </c>
      <c r="W390" s="2" t="str">
        <f t="shared" si="31"/>
        <v>进阶+7：全队攻击提高10%</v>
      </c>
      <c r="X390" s="45" t="str">
        <f t="shared" si="29"/>
        <v>58010</v>
      </c>
      <c r="Y390" s="2"/>
      <c r="Z390" s="2"/>
      <c r="AA390" s="2"/>
    </row>
    <row r="391" spans="1:27" ht="33">
      <c r="A391" s="10">
        <f>E391*100+COUNTIF($E$194:$E391,$E391)</f>
        <v>111108</v>
      </c>
      <c r="B391" s="68" t="s">
        <v>2023</v>
      </c>
      <c r="C391" s="50" t="s">
        <v>2</v>
      </c>
      <c r="D391" s="10">
        <f t="shared" si="34"/>
        <v>1</v>
      </c>
      <c r="E391" s="45">
        <f>INDEX($I:$I,MATCH($E390,$I:$I,0)+IF(COUNTIF($E$194:$E390,$E390)&lt;=VLOOKUP($E390,$I$134:$K$193,3,0)-1,0,1),0)</f>
        <v>1111</v>
      </c>
      <c r="F391" s="45" t="str">
        <f t="shared" si="30"/>
        <v>铁扇公主</v>
      </c>
      <c r="G391" s="45" t="s">
        <v>219</v>
      </c>
      <c r="H391" s="45">
        <f>VLOOKUP($E391,[1]Sheet1!$A:$G,7,0)</f>
        <v>2</v>
      </c>
      <c r="I391" s="45" t="str">
        <f>IF($G391="","",IF(COUNTIF(技能描述!$D:$D,$F391)&gt;0,VLOOKUP($F391&amp;$G391,技能描述!$A:$C,3,0),LEFT(VLOOKUP($E391,[1]Sheet1!$A:$J,10,0),FIND("_",VLOOKUP($E391,[1]Sheet1!$A:$J,10,0))-1)&amp;$G391))</f>
        <v>tieshangongzhu_skill021</v>
      </c>
      <c r="J391" s="45" t="str">
        <f>IF($I391="","",VLOOKUP($I391,技能描述!$A:$C,3,0))</f>
        <v>铁扇公主召唤风雷领域，对范围内敌人进行2次攻击，造成自身攻击力@s的法伤，提升自身暴击@s,持续3秒</v>
      </c>
      <c r="K391" s="45" t="str">
        <f>IF($I391="","",INDEX([2]Sheet1!$1:$1048576,MATCH($I391,[2]Sheet1!$A:$A,0),MATCH("description_damage",[2]Sheet1!$2:$2,0)))</f>
        <v>111106,9015</v>
      </c>
      <c r="L391" s="80" t="str">
        <f>IF($K391="","",IF(LEN($K391)-LEN(SUBSTITUTE($K391,",",""))=0,VLOOKUP(INT($K391),[3]Sheet1!$A:$C,3,0),VLOOKUP(INT(LEFT($K391,FIND(",",$K391)-1)),[3]Sheet1!$A:$C,3,0)))</f>
        <v>2|2|1.05|0|0|0</v>
      </c>
      <c r="M391" s="80" t="str">
        <f t="shared" si="35"/>
        <v>105%</v>
      </c>
      <c r="N391" s="45" t="str">
        <f>IF(LEN($K391)-LEN(SUBSTITUTE($K391,",",""))=1,VLOOKUP(INT(RIGHT($K391,LEN($K391)-FIND(",",$K391))),[3]Sheet1!$A:$C,3,0),"")</f>
        <v>4|3|0.15|0|1</v>
      </c>
      <c r="O391" s="45" t="str">
        <f t="shared" si="32"/>
        <v>15%</v>
      </c>
      <c r="P391" s="45" t="str">
        <f t="shared" si="28"/>
        <v>铁扇公主召唤风雷领域，对范围内敌人进行2次攻击，造成自身攻击力105%的法伤，提升自身暴击@s,持续3秒</v>
      </c>
      <c r="Q391" s="45" t="str">
        <f t="shared" si="33"/>
        <v>铁扇公主召唤风雷领域，对范围内敌人进行2次攻击，造成自身攻击力105%的法伤，提升自身暴击15%,持续3秒</v>
      </c>
      <c r="R391" s="45"/>
      <c r="S391" s="45" t="str">
        <f>IF(ISERROR($Q391),"进阶+"&amp;COUNTIF($E$194:$E391,$E391)&amp;"："&amp;"找ZC配技能","进阶+"&amp;COUNTIF($E$194:$E391,$E391)&amp;"："&amp;VLOOKUP(COUNTIF($E$194:$E391,$E391),$L$184:$R$193,IF(H391=1,4,IF(H391=4,3,2))+IF(INDEX([1]Sheet1!$1:$1048576,MATCH($E391,[1]Sheet1!$A:$A,0),MATCH("zizhi",[1]Sheet1!$2:$2,0))&gt;=13,0,3),0)&amp;IF($Q391="","","（"&amp;$Q391&amp;"）"))</f>
        <v>进阶+8：增强AI1技能（铁扇公主召唤风雷领域，对范围内敌人进行2次攻击，造成自身攻击力105%的法伤，提升自身暴击15%,持续3秒）</v>
      </c>
      <c r="T391" s="1"/>
      <c r="U391" s="1"/>
      <c r="V391" s="2" t="str">
        <f>VLOOKUP(COUNTIF($E$194:$E391,$E391),$L$184:$X$193,IF(H391=1,4,IF(H391=4,3,2))+IF(INDEX([1]Sheet1!$1:$1048576,MATCH($E391,[1]Sheet1!$A:$A,0),MATCH("zizhi",[1]Sheet1!$2:$2,0))&gt;=13,0,3)+6,0)</f>
        <v>[]</v>
      </c>
      <c r="W391" s="2" t="str">
        <f t="shared" si="31"/>
        <v>进阶+8：增强AI1技能（铁扇公主召唤风雷领域，对范围内敌人进行2次攻击，造成自身攻击力105%的法伤，提升自身暴击15%,持续3秒）</v>
      </c>
      <c r="X391" s="45" t="str">
        <f t="shared" si="29"/>
        <v>[]</v>
      </c>
      <c r="Y391" s="2"/>
      <c r="Z391" s="2"/>
      <c r="AA391" s="2"/>
    </row>
    <row r="392" spans="1:27">
      <c r="A392" s="10">
        <f>E392*100+COUNTIF($E$194:$E392,$E392)</f>
        <v>111109</v>
      </c>
      <c r="B392" s="68" t="s">
        <v>1899</v>
      </c>
      <c r="C392" s="50" t="s">
        <v>2085</v>
      </c>
      <c r="D392" s="10" t="str">
        <f t="shared" si="34"/>
        <v>[]</v>
      </c>
      <c r="E392" s="45">
        <f>INDEX($I:$I,MATCH($E391,$I:$I,0)+IF(COUNTIF($E$194:$E391,$E391)&lt;=VLOOKUP($E391,$I$134:$K$193,3,0)-1,0,1),0)</f>
        <v>1111</v>
      </c>
      <c r="F392" s="45" t="str">
        <f t="shared" si="30"/>
        <v>铁扇公主</v>
      </c>
      <c r="H392" s="45">
        <f>VLOOKUP($E392,[1]Sheet1!$A:$G,7,0)</f>
        <v>2</v>
      </c>
      <c r="I392" s="45" t="str">
        <f>IF($G392="","",IF(COUNTIF(技能描述!$D:$D,$F392)&gt;0,VLOOKUP($F392&amp;$G392,技能描述!$A:$C,3,0),LEFT(VLOOKUP($E392,[1]Sheet1!$A:$J,10,0),FIND("_",VLOOKUP($E392,[1]Sheet1!$A:$J,10,0))-1)&amp;$G392))</f>
        <v/>
      </c>
      <c r="J392" s="45" t="str">
        <f>IF($I392="","",VLOOKUP($I392,技能描述!$A:$C,3,0))</f>
        <v/>
      </c>
      <c r="K392" s="45" t="str">
        <f>IF($I392="","",INDEX([2]Sheet1!$1:$1048576,MATCH($I392,[2]Sheet1!$A:$A,0),MATCH("description_damage",[2]Sheet1!$2:$2,0)))</f>
        <v/>
      </c>
      <c r="L392" s="80" t="str">
        <f>IF($K392="","",IF(LEN($K392)-LEN(SUBSTITUTE($K392,",",""))=0,VLOOKUP(INT($K392),[3]Sheet1!$A:$C,3,0),VLOOKUP(INT(LEFT($K392,FIND(",",$K392)-1)),[3]Sheet1!$A:$C,3,0)))</f>
        <v/>
      </c>
      <c r="M392" s="80" t="str">
        <f t="shared" si="35"/>
        <v/>
      </c>
      <c r="N392" s="45" t="str">
        <f>IF(LEN($K392)-LEN(SUBSTITUTE($K392,",",""))=1,VLOOKUP(INT(RIGHT($K392,LEN($K392)-FIND(",",$K392))),[3]Sheet1!$A:$C,3,0),"")</f>
        <v/>
      </c>
      <c r="O392" s="45" t="str">
        <f t="shared" si="32"/>
        <v/>
      </c>
      <c r="P392" s="45" t="str">
        <f t="shared" si="28"/>
        <v/>
      </c>
      <c r="Q392" s="45" t="str">
        <f t="shared" si="33"/>
        <v/>
      </c>
      <c r="R392" s="45"/>
      <c r="S392" s="45" t="str">
        <f>IF(ISERROR($Q392),"进阶+"&amp;COUNTIF($E$194:$E392,$E392)&amp;"："&amp;"找ZC配技能","进阶+"&amp;COUNTIF($E$194:$E392,$E392)&amp;"："&amp;VLOOKUP(COUNTIF($E$194:$E392,$E392),$L$184:$R$193,IF(H392=1,4,IF(H392=4,3,2))+IF(INDEX([1]Sheet1!$1:$1048576,MATCH($E392,[1]Sheet1!$A:$A,0),MATCH("zizhi",[1]Sheet1!$2:$2,0))&gt;=13,0,3),0)&amp;IF($Q392="","","（"&amp;$Q392&amp;"）"))</f>
        <v>进阶+9：全队攻击提高15%</v>
      </c>
      <c r="T392" s="1"/>
      <c r="U392" s="1"/>
      <c r="V392" s="2" t="str">
        <f>VLOOKUP(COUNTIF($E$194:$E392,$E392),$L$184:$X$193,IF(H392=1,4,IF(H392=4,3,2))+IF(INDEX([1]Sheet1!$1:$1048576,MATCH($E392,[1]Sheet1!$A:$A,0),MATCH("zizhi",[1]Sheet1!$2:$2,0))&gt;=13,0,3)+6,0)</f>
        <v>58015</v>
      </c>
      <c r="W392" s="2" t="str">
        <f t="shared" si="31"/>
        <v>进阶+9：全队攻击提高15%</v>
      </c>
      <c r="X392" s="45" t="str">
        <f t="shared" si="29"/>
        <v>58015</v>
      </c>
      <c r="Y392" s="2"/>
      <c r="Z392" s="2"/>
      <c r="AA392" s="2"/>
    </row>
    <row r="393" spans="1:27" ht="49.5">
      <c r="A393" s="10">
        <f>E393*100+COUNTIF($E$194:$E393,$E393)</f>
        <v>111110</v>
      </c>
      <c r="B393" s="68" t="s">
        <v>2024</v>
      </c>
      <c r="C393" s="50" t="s">
        <v>2</v>
      </c>
      <c r="D393" s="10">
        <f t="shared" si="34"/>
        <v>1</v>
      </c>
      <c r="E393" s="45">
        <f>INDEX($I:$I,MATCH($E392,$I:$I,0)+IF(COUNTIF($E$194:$E392,$E392)&lt;=VLOOKUP($E392,$I$134:$K$193,3,0)-1,0,1),0)</f>
        <v>1111</v>
      </c>
      <c r="F393" s="45" t="str">
        <f t="shared" si="30"/>
        <v>铁扇公主</v>
      </c>
      <c r="G393" s="45" t="s">
        <v>220</v>
      </c>
      <c r="H393" s="45">
        <f>VLOOKUP($E393,[1]Sheet1!$A:$G,7,0)</f>
        <v>2</v>
      </c>
      <c r="I393" s="45" t="str">
        <f>IF($G393="","",IF(COUNTIF(技能描述!$D:$D,$F393)&gt;0,VLOOKUP($F393&amp;$G393,技能描述!$A:$C,3,0),LEFT(VLOOKUP($E393,[1]Sheet1!$A:$J,10,0),FIND("_",VLOOKUP($E393,[1]Sheet1!$A:$J,10,0))-1)&amp;$G393))</f>
        <v>tieshangongzhu_skill041</v>
      </c>
      <c r="J393" s="45" t="str">
        <f>IF($I393="","",VLOOKUP($I393,技能描述!$A:$C,3,0))</f>
        <v>铁扇公主召唤龙卷风，对范围内敌人造成自身攻击力@s的法伤，同时提升自身暴击@s,持续3秒,有60%概率吹飞对手</v>
      </c>
      <c r="K393" s="45" t="str">
        <f>IF($I393="","",INDEX([2]Sheet1!$1:$1048576,MATCH($I393,[2]Sheet1!$A:$A,0),MATCH("description_damage",[2]Sheet1!$2:$2,0)))</f>
        <v>111107,9015</v>
      </c>
      <c r="L393" s="80" t="str">
        <f>IF($K393="","",IF(LEN($K393)-LEN(SUBSTITUTE($K393,",",""))=0,VLOOKUP(INT($K393),[3]Sheet1!$A:$C,3,0),VLOOKUP(INT(LEFT($K393,FIND(",",$K393)-1)),[3]Sheet1!$A:$C,3,0)))</f>
        <v>2|2|2.1|0|0|0</v>
      </c>
      <c r="M393" s="80" t="str">
        <f t="shared" si="35"/>
        <v>210%</v>
      </c>
      <c r="N393" s="45" t="str">
        <f>IF(LEN($K393)-LEN(SUBSTITUTE($K393,",",""))=1,VLOOKUP(INT(RIGHT($K393,LEN($K393)-FIND(",",$K393))),[3]Sheet1!$A:$C,3,0),"")</f>
        <v>4|3|0.15|0|1</v>
      </c>
      <c r="O393" s="45" t="str">
        <f t="shared" si="32"/>
        <v>15%</v>
      </c>
      <c r="P393" s="45" t="str">
        <f t="shared" si="28"/>
        <v>铁扇公主召唤龙卷风，对范围内敌人造成自身攻击力210%的法伤，同时提升自身暴击@s,持续3秒,有60%概率吹飞对手</v>
      </c>
      <c r="Q393" s="45" t="str">
        <f t="shared" si="33"/>
        <v>铁扇公主召唤龙卷风，对范围内敌人造成自身攻击力210%的法伤，同时提升自身暴击15%,持续3秒,有60%概率吹飞对手</v>
      </c>
      <c r="R393" s="45"/>
      <c r="S393" s="45" t="str">
        <f>IF(ISERROR($Q393),"进阶+"&amp;COUNTIF($E$194:$E393,$E393)&amp;"："&amp;"找ZC配技能","进阶+"&amp;COUNTIF($E$194:$E393,$E393)&amp;"："&amp;VLOOKUP(COUNTIF($E$194:$E393,$E393),$L$184:$R$193,IF(H393=1,4,IF(H393=4,3,2))+IF(INDEX([1]Sheet1!$1:$1048576,MATCH($E393,[1]Sheet1!$A:$A,0),MATCH("zizhi",[1]Sheet1!$2:$2,0))&gt;=13,0,3),0)&amp;IF($Q393="","","（"&amp;$Q393&amp;"）"))</f>
        <v>进阶+10：增强AI2技能（铁扇公主召唤龙卷风，对范围内敌人造成自身攻击力210%的法伤，同时提升自身暴击15%,持续3秒,有60%概率吹飞对手）</v>
      </c>
      <c r="T393" s="1"/>
      <c r="U393" s="1"/>
      <c r="V393" s="2" t="str">
        <f>VLOOKUP(COUNTIF($E$194:$E393,$E393),$L$184:$X$193,IF(H393=1,4,IF(H393=4,3,2))+IF(INDEX([1]Sheet1!$1:$1048576,MATCH($E393,[1]Sheet1!$A:$A,0),MATCH("zizhi",[1]Sheet1!$2:$2,0))&gt;=13,0,3)+6,0)</f>
        <v>[]</v>
      </c>
      <c r="W393" s="2" t="str">
        <f t="shared" si="31"/>
        <v>进阶+10：增强AI2技能（铁扇公主召唤龙卷风，对范围内敌人造成自身攻击力210%的法伤，同时提升自身暴击15%,持续3秒,有60%概率吹飞对手）</v>
      </c>
      <c r="X393" s="45" t="str">
        <f t="shared" si="29"/>
        <v>[]</v>
      </c>
      <c r="Y393" s="2"/>
      <c r="Z393" s="2"/>
      <c r="AA393" s="2"/>
    </row>
    <row r="394" spans="1:27">
      <c r="A394" s="10">
        <f>E394*100+COUNTIF($E$194:$E394,$E394)</f>
        <v>111601</v>
      </c>
      <c r="B394" s="68" t="s">
        <v>319</v>
      </c>
      <c r="C394" s="50">
        <v>11090</v>
      </c>
      <c r="D394" s="10" t="str">
        <f t="shared" si="34"/>
        <v>[]</v>
      </c>
      <c r="E394" s="45">
        <f>INDEX($I:$I,MATCH($E393,$I:$I,0)+IF(COUNTIF($E$194:$E393,$E393)&lt;=VLOOKUP($E393,$I$134:$K$193,3,0)-1,0,1),0)</f>
        <v>1116</v>
      </c>
      <c r="F394" s="45" t="str">
        <f t="shared" si="30"/>
        <v>白骨夫人</v>
      </c>
      <c r="H394" s="45">
        <f>VLOOKUP($E394,[1]Sheet1!$A:$G,7,0)</f>
        <v>1</v>
      </c>
      <c r="I394" s="45" t="str">
        <f>IF($G394="","",IF(COUNTIF(技能描述!$D:$D,$F394)&gt;0,VLOOKUP($F394&amp;$G394,技能描述!$A:$C,3,0),LEFT(VLOOKUP($E394,[1]Sheet1!$A:$J,10,0),FIND("_",VLOOKUP($E394,[1]Sheet1!$A:$J,10,0))-1)&amp;$G394))</f>
        <v/>
      </c>
      <c r="J394" s="45" t="str">
        <f>IF($I394="","",VLOOKUP($I394,技能描述!$A:$C,3,0))</f>
        <v/>
      </c>
      <c r="K394" s="45" t="str">
        <f>IF($I394="","",INDEX([2]Sheet1!$1:$1048576,MATCH($I394,[2]Sheet1!$A:$A,0),MATCH("description_damage",[2]Sheet1!$2:$2,0)))</f>
        <v/>
      </c>
      <c r="L394" s="80" t="str">
        <f>IF($K394="","",IF(LEN($K394)-LEN(SUBSTITUTE($K394,",",""))=0,VLOOKUP(INT($K394),[3]Sheet1!$A:$C,3,0),VLOOKUP(INT(LEFT($K394,FIND(",",$K394)-1)),[3]Sheet1!$A:$C,3,0)))</f>
        <v/>
      </c>
      <c r="M394" s="80" t="str">
        <f t="shared" si="35"/>
        <v/>
      </c>
      <c r="N394" s="45" t="str">
        <f>IF(LEN($K394)-LEN(SUBSTITUTE($K394,",",""))=1,VLOOKUP(INT(RIGHT($K394,LEN($K394)-FIND(",",$K394))),[3]Sheet1!$A:$C,3,0),"")</f>
        <v/>
      </c>
      <c r="O394" s="45" t="str">
        <f t="shared" si="32"/>
        <v/>
      </c>
      <c r="P394" s="45" t="str">
        <f t="shared" si="28"/>
        <v/>
      </c>
      <c r="Q394" s="45" t="str">
        <f t="shared" si="33"/>
        <v/>
      </c>
      <c r="R394" s="45"/>
      <c r="S394" s="45" t="str">
        <f>IF(ISERROR($Q394),"进阶+"&amp;COUNTIF($E$194:$E394,$E394)&amp;"："&amp;"找ZC配技能","进阶+"&amp;COUNTIF($E$194:$E394,$E394)&amp;"："&amp;VLOOKUP(COUNTIF($E$194:$E394,$E394),$L$184:$R$193,IF(H394=1,4,IF(H394=4,3,2))+IF(INDEX([1]Sheet1!$1:$1048576,MATCH($E394,[1]Sheet1!$A:$A,0),MATCH("zizhi",[1]Sheet1!$2:$2,0))&gt;=13,0,3),0)&amp;IF($Q394="","","（"&amp;$Q394&amp;"）"))</f>
        <v>进阶+1：生命提高10%</v>
      </c>
      <c r="T394" s="1"/>
      <c r="U394" s="1"/>
      <c r="V394" s="2">
        <f>VLOOKUP(COUNTIF($E$194:$E394,$E394),$L$184:$X$193,IF(H394=1,4,IF(H394=4,3,2))+IF(INDEX([1]Sheet1!$1:$1048576,MATCH($E394,[1]Sheet1!$A:$A,0),MATCH("zizhi",[1]Sheet1!$2:$2,0))&gt;=13,0,3)+6,0)</f>
        <v>11090</v>
      </c>
      <c r="W394" s="2" t="str">
        <f t="shared" si="31"/>
        <v>进阶+1：生命提高10%</v>
      </c>
      <c r="X394" s="45">
        <f t="shared" si="29"/>
        <v>11090</v>
      </c>
      <c r="Y394" s="2"/>
      <c r="Z394" s="2"/>
      <c r="AA394" s="2"/>
    </row>
    <row r="395" spans="1:27">
      <c r="A395" s="10">
        <f>E395*100+COUNTIF($E$194:$E395,$E395)</f>
        <v>111602</v>
      </c>
      <c r="B395" s="68" t="s">
        <v>335</v>
      </c>
      <c r="C395" s="50" t="s">
        <v>2</v>
      </c>
      <c r="D395" s="10">
        <f t="shared" si="34"/>
        <v>1</v>
      </c>
      <c r="E395" s="45">
        <f>INDEX($I:$I,MATCH($E394,$I:$I,0)+IF(COUNTIF($E$194:$E394,$E394)&lt;=VLOOKUP($E394,$I$134:$K$193,3,0)-1,0,1),0)</f>
        <v>1116</v>
      </c>
      <c r="F395" s="45" t="str">
        <f t="shared" si="30"/>
        <v>白骨夫人</v>
      </c>
      <c r="G395" s="45" t="s">
        <v>216</v>
      </c>
      <c r="H395" s="45">
        <f>VLOOKUP($E395,[1]Sheet1!$A:$G,7,0)</f>
        <v>1</v>
      </c>
      <c r="I395" s="45" t="str">
        <f>IF($G395="","",IF(COUNTIF(技能描述!$D:$D,$F395)&gt;0,VLOOKUP($F395&amp;$G395,技能描述!$A:$C,3,0),LEFT(VLOOKUP($E395,[1]Sheet1!$A:$J,10,0),FIND("_",VLOOKUP($E395,[1]Sheet1!$A:$J,10,0))-1)&amp;$G395))</f>
        <v>baigufuren_skill03</v>
      </c>
      <c r="J395" s="45" t="str">
        <f>IF($I395="","",VLOOKUP($I395,技能描述!$A:$C,3,0))</f>
        <v>进入战斗场景时，提升全体友军闪避率@s</v>
      </c>
      <c r="K395" s="45" t="str">
        <f>IF($I395="","",INDEX([2]Sheet1!$1:$1048576,MATCH($I395,[2]Sheet1!$A:$A,0),MATCH("description_damage",[2]Sheet1!$2:$2,0)))</f>
        <v>9010</v>
      </c>
      <c r="L395" s="80" t="str">
        <f>IF($K395="","",IF(LEN($K395)-LEN(SUBSTITUTE($K395,",",""))=0,VLOOKUP(INT($K395),[3]Sheet1!$A:$C,3,0),VLOOKUP(INT(LEFT($K395,FIND(",",$K395)-1)),[3]Sheet1!$A:$C,3,0)))</f>
        <v>4|3|0.1|0|1</v>
      </c>
      <c r="M395" s="80" t="str">
        <f t="shared" si="35"/>
        <v>10%</v>
      </c>
      <c r="N395" s="45" t="str">
        <f>IF(LEN($K395)-LEN(SUBSTITUTE($K395,",",""))=1,VLOOKUP(INT(RIGHT($K395,LEN($K395)-FIND(",",$K395))),[3]Sheet1!$A:$C,3,0),"")</f>
        <v/>
      </c>
      <c r="O395" s="45" t="str">
        <f t="shared" si="32"/>
        <v/>
      </c>
      <c r="P395" s="45" t="str">
        <f t="shared" si="28"/>
        <v>进入战斗场景时，提升全体友军闪避率10%</v>
      </c>
      <c r="Q395" s="45" t="str">
        <f t="shared" si="33"/>
        <v>进入战斗场景时，提升全体友军闪避率10%</v>
      </c>
      <c r="R395" s="45"/>
      <c r="S395" s="45" t="str">
        <f>IF(ISERROR($Q395),"进阶+"&amp;COUNTIF($E$194:$E395,$E395)&amp;"："&amp;"找ZC配技能","进阶+"&amp;COUNTIF($E$194:$E395,$E395)&amp;"："&amp;VLOOKUP(COUNTIF($E$194:$E395,$E395),$L$184:$R$193,IF(H395=1,4,IF(H395=4,3,2))+IF(INDEX([1]Sheet1!$1:$1048576,MATCH($E395,[1]Sheet1!$A:$A,0),MATCH("zizhi",[1]Sheet1!$2:$2,0))&gt;=13,0,3),0)&amp;IF($Q395="","","（"&amp;$Q395&amp;"）"))</f>
        <v>进阶+2：激活被动技能（进入战斗场景时，提升全体友军闪避率10%）</v>
      </c>
      <c r="T395" s="1"/>
      <c r="U395" s="1"/>
      <c r="V395" s="2" t="str">
        <f>VLOOKUP(COUNTIF($E$194:$E395,$E395),$L$184:$X$193,IF(H395=1,4,IF(H395=4,3,2))+IF(INDEX([1]Sheet1!$1:$1048576,MATCH($E395,[1]Sheet1!$A:$A,0),MATCH("zizhi",[1]Sheet1!$2:$2,0))&gt;=13,0,3)+6,0)</f>
        <v>[]</v>
      </c>
      <c r="W395" s="2" t="str">
        <f t="shared" si="31"/>
        <v>进阶+2：激活被动技能（进入战斗场景时，提升全体友军闪避率10%）</v>
      </c>
      <c r="X395" s="45" t="str">
        <f t="shared" si="29"/>
        <v>[]</v>
      </c>
      <c r="Y395" s="2"/>
      <c r="Z395" s="2"/>
      <c r="AA395" s="2"/>
    </row>
    <row r="396" spans="1:27">
      <c r="A396" s="10">
        <f>E396*100+COUNTIF($E$194:$E396,$E396)</f>
        <v>111603</v>
      </c>
      <c r="B396" s="68" t="s">
        <v>312</v>
      </c>
      <c r="C396" s="50" t="s">
        <v>127</v>
      </c>
      <c r="D396" s="10" t="str">
        <f t="shared" si="34"/>
        <v>[]</v>
      </c>
      <c r="E396" s="45">
        <f>INDEX($I:$I,MATCH($E395,$I:$I,0)+IF(COUNTIF($E$194:$E395,$E395)&lt;=VLOOKUP($E395,$I$134:$K$193,3,0)-1,0,1),0)</f>
        <v>1116</v>
      </c>
      <c r="F396" s="45" t="str">
        <f t="shared" si="30"/>
        <v>白骨夫人</v>
      </c>
      <c r="H396" s="45">
        <f>VLOOKUP($E396,[1]Sheet1!$A:$G,7,0)</f>
        <v>1</v>
      </c>
      <c r="I396" s="45" t="str">
        <f>IF($G396="","",IF(COUNTIF(技能描述!$D:$D,$F396)&gt;0,VLOOKUP($F396&amp;$G396,技能描述!$A:$C,3,0),LEFT(VLOOKUP($E396,[1]Sheet1!$A:$J,10,0),FIND("_",VLOOKUP($E396,[1]Sheet1!$A:$J,10,0))-1)&amp;$G396))</f>
        <v/>
      </c>
      <c r="J396" s="45" t="str">
        <f>IF($I396="","",VLOOKUP($I396,技能描述!$A:$C,3,0))</f>
        <v/>
      </c>
      <c r="K396" s="45" t="str">
        <f>IF($I396="","",INDEX([2]Sheet1!$1:$1048576,MATCH($I396,[2]Sheet1!$A:$A,0),MATCH("description_damage",[2]Sheet1!$2:$2,0)))</f>
        <v/>
      </c>
      <c r="L396" s="80" t="str">
        <f>IF($K396="","",IF(LEN($K396)-LEN(SUBSTITUTE($K396,",",""))=0,VLOOKUP(INT($K396),[3]Sheet1!$A:$C,3,0),VLOOKUP(INT(LEFT($K396,FIND(",",$K396)-1)),[3]Sheet1!$A:$C,3,0)))</f>
        <v/>
      </c>
      <c r="M396" s="80" t="str">
        <f t="shared" si="35"/>
        <v/>
      </c>
      <c r="N396" s="45" t="str">
        <f>IF(LEN($K396)-LEN(SUBSTITUTE($K396,",",""))=1,VLOOKUP(INT(RIGHT($K396,LEN($K396)-FIND(",",$K396))),[3]Sheet1!$A:$C,3,0),"")</f>
        <v/>
      </c>
      <c r="O396" s="45" t="str">
        <f t="shared" si="32"/>
        <v/>
      </c>
      <c r="P396" s="45" t="str">
        <f t="shared" si="28"/>
        <v/>
      </c>
      <c r="Q396" s="45" t="str">
        <f t="shared" si="33"/>
        <v/>
      </c>
      <c r="R396" s="45"/>
      <c r="S396" s="45" t="str">
        <f>IF(ISERROR($Q396),"进阶+"&amp;COUNTIF($E$194:$E396,$E396)&amp;"："&amp;"找ZC配技能","进阶+"&amp;COUNTIF($E$194:$E396,$E396)&amp;"："&amp;VLOOKUP(COUNTIF($E$194:$E396,$E396),$L$184:$R$193,IF(H396=1,4,IF(H396=4,3,2))+IF(INDEX([1]Sheet1!$1:$1048576,MATCH($E396,[1]Sheet1!$A:$A,0),MATCH("zizhi",[1]Sheet1!$2:$2,0))&gt;=13,0,3),0)&amp;IF($Q396="","","（"&amp;$Q396&amp;"）"))</f>
        <v>进阶+3：攻击提高10%</v>
      </c>
      <c r="T396" s="1"/>
      <c r="U396" s="1"/>
      <c r="V396" s="2" t="str">
        <f>VLOOKUP(COUNTIF($E$194:$E396,$E396),$L$184:$X$193,IF(H396=1,4,IF(H396=4,3,2))+IF(INDEX([1]Sheet1!$1:$1048576,MATCH($E396,[1]Sheet1!$A:$A,0),MATCH("zizhi",[1]Sheet1!$2:$2,0))&gt;=13,0,3)+6,0)</f>
        <v>11050</v>
      </c>
      <c r="W396" s="2" t="str">
        <f t="shared" si="31"/>
        <v>进阶+3：攻击提高10%</v>
      </c>
      <c r="X396" s="45" t="str">
        <f t="shared" si="29"/>
        <v>11050</v>
      </c>
      <c r="Y396" s="2"/>
      <c r="Z396" s="2"/>
      <c r="AA396" s="2"/>
    </row>
    <row r="397" spans="1:27" ht="33">
      <c r="A397" s="10">
        <f>E397*100+COUNTIF($E$194:$E397,$E397)</f>
        <v>111604</v>
      </c>
      <c r="B397" s="68" t="s">
        <v>1869</v>
      </c>
      <c r="C397" s="50" t="s">
        <v>2</v>
      </c>
      <c r="D397" s="10">
        <f t="shared" si="34"/>
        <v>1</v>
      </c>
      <c r="E397" s="45">
        <f>INDEX($I:$I,MATCH($E396,$I:$I,0)+IF(COUNTIF($E$194:$E396,$E396)&lt;=VLOOKUP($E396,$I$134:$K$193,3,0)-1,0,1),0)</f>
        <v>1116</v>
      </c>
      <c r="F397" s="45" t="str">
        <f t="shared" si="30"/>
        <v>白骨夫人</v>
      </c>
      <c r="G397" s="45" t="s">
        <v>217</v>
      </c>
      <c r="H397" s="45">
        <f>VLOOKUP($E397,[1]Sheet1!$A:$G,7,0)</f>
        <v>1</v>
      </c>
      <c r="I397" s="45" t="str">
        <f>IF($G397="","",IF(COUNTIF(技能描述!$D:$D,$F397)&gt;0,VLOOKUP($F397&amp;$G397,技能描述!$A:$C,3,0),LEFT(VLOOKUP($E397,[1]Sheet1!$A:$J,10,0),FIND("_",VLOOKUP($E397,[1]Sheet1!$A:$J,10,0))-1)&amp;$G397))</f>
        <v>baigufuren_skill04</v>
      </c>
      <c r="J397" s="45" t="str">
        <f>IF($I397="","",VLOOKUP($I397,技能描述!$A:$C,3,0))</f>
        <v>白骨夫人将痛苦之灵附身在敌军身上，对范围内的敌人造成4次攻击力@s的法伤，每次攻击清除敌人1个增益状态</v>
      </c>
      <c r="K397" s="45" t="str">
        <f>IF($I397="","",INDEX([2]Sheet1!$1:$1048576,MATCH($I397,[2]Sheet1!$A:$A,0),MATCH("description_damage",[2]Sheet1!$2:$2,0)))</f>
        <v>111604</v>
      </c>
      <c r="L397" s="80" t="str">
        <f>IF($K397="","",IF(LEN($K397)-LEN(SUBSTITUTE($K397,",",""))=0,VLOOKUP(INT($K397),[3]Sheet1!$A:$C,3,0),VLOOKUP(INT(LEFT($K397,FIND(",",$K397)-1)),[3]Sheet1!$A:$C,3,0)))</f>
        <v>2|2|0.71|0|0|0</v>
      </c>
      <c r="M397" s="80" t="str">
        <f t="shared" si="35"/>
        <v>71%</v>
      </c>
      <c r="N397" s="45" t="str">
        <f>IF(LEN($K397)-LEN(SUBSTITUTE($K397,",",""))=1,VLOOKUP(INT(RIGHT($K397,LEN($K397)-FIND(",",$K397))),[3]Sheet1!$A:$C,3,0),"")</f>
        <v/>
      </c>
      <c r="O397" s="45" t="str">
        <f t="shared" si="32"/>
        <v/>
      </c>
      <c r="P397" s="45" t="str">
        <f t="shared" si="28"/>
        <v>白骨夫人将痛苦之灵附身在敌军身上，对范围内的敌人造成4次攻击力71%的法伤，每次攻击清除敌人1个增益状态</v>
      </c>
      <c r="Q397" s="45" t="str">
        <f t="shared" si="33"/>
        <v>白骨夫人将痛苦之灵附身在敌军身上，对范围内的敌人造成4次攻击力71%的法伤，每次攻击清除敌人1个增益状态</v>
      </c>
      <c r="R397" s="45"/>
      <c r="S397" s="45" t="str">
        <f>IF(ISERROR($Q397),"进阶+"&amp;COUNTIF($E$194:$E397,$E397)&amp;"："&amp;"找ZC配技能","进阶+"&amp;COUNTIF($E$194:$E397,$E397)&amp;"："&amp;VLOOKUP(COUNTIF($E$194:$E397,$E397),$L$184:$R$193,IF(H397=1,4,IF(H397=4,3,2))+IF(INDEX([1]Sheet1!$1:$1048576,MATCH($E397,[1]Sheet1!$A:$A,0),MATCH("zizhi",[1]Sheet1!$2:$2,0))&gt;=13,0,3),0)&amp;IF($Q397="","","（"&amp;$Q397&amp;"）"))</f>
        <v>进阶+4：激活AI2技能（白骨夫人将痛苦之灵附身在敌军身上，对范围内的敌人造成4次攻击力71%的法伤，每次攻击清除敌人1个增益状态）</v>
      </c>
      <c r="T397" s="1"/>
      <c r="U397" s="1"/>
      <c r="V397" s="2" t="str">
        <f>VLOOKUP(COUNTIF($E$194:$E397,$E397),$L$184:$X$193,IF(H397=1,4,IF(H397=4,3,2))+IF(INDEX([1]Sheet1!$1:$1048576,MATCH($E397,[1]Sheet1!$A:$A,0),MATCH("zizhi",[1]Sheet1!$2:$2,0))&gt;=13,0,3)+6,0)</f>
        <v>[]</v>
      </c>
      <c r="W397" s="2" t="str">
        <f t="shared" si="31"/>
        <v>进阶+4：激活AI2技能（白骨夫人将痛苦之灵附身在敌军身上，对范围内的敌人造成4次攻击力71%的法伤，每次攻击清除敌人1个增益状态）</v>
      </c>
      <c r="X397" s="45" t="str">
        <f t="shared" si="29"/>
        <v>[]</v>
      </c>
      <c r="Y397" s="2"/>
      <c r="Z397" s="2"/>
      <c r="AA397" s="2"/>
    </row>
    <row r="398" spans="1:27">
      <c r="A398" s="10">
        <f>E398*100+COUNTIF($E$194:$E398,$E398)</f>
        <v>111605</v>
      </c>
      <c r="B398" s="68" t="s">
        <v>323</v>
      </c>
      <c r="C398" s="50" t="s">
        <v>140</v>
      </c>
      <c r="D398" s="10" t="str">
        <f t="shared" si="34"/>
        <v>[]</v>
      </c>
      <c r="E398" s="45">
        <f>INDEX($I:$I,MATCH($E397,$I:$I,0)+IF(COUNTIF($E$194:$E397,$E397)&lt;=VLOOKUP($E397,$I$134:$K$193,3,0)-1,0,1),0)</f>
        <v>1116</v>
      </c>
      <c r="F398" s="45" t="str">
        <f t="shared" si="30"/>
        <v>白骨夫人</v>
      </c>
      <c r="H398" s="45">
        <f>VLOOKUP($E398,[1]Sheet1!$A:$G,7,0)</f>
        <v>1</v>
      </c>
      <c r="I398" s="45" t="str">
        <f>IF($G398="","",IF(COUNTIF(技能描述!$D:$D,$F398)&gt;0,VLOOKUP($F398&amp;$G398,技能描述!$A:$C,3,0),LEFT(VLOOKUP($E398,[1]Sheet1!$A:$J,10,0),FIND("_",VLOOKUP($E398,[1]Sheet1!$A:$J,10,0))-1)&amp;$G398))</f>
        <v/>
      </c>
      <c r="J398" s="45" t="str">
        <f>IF($I398="","",VLOOKUP($I398,技能描述!$A:$C,3,0))</f>
        <v/>
      </c>
      <c r="K398" s="45" t="str">
        <f>IF($I398="","",INDEX([2]Sheet1!$1:$1048576,MATCH($I398,[2]Sheet1!$A:$A,0),MATCH("description_damage",[2]Sheet1!$2:$2,0)))</f>
        <v/>
      </c>
      <c r="L398" s="80" t="str">
        <f>IF($K398="","",IF(LEN($K398)-LEN(SUBSTITUTE($K398,",",""))=0,VLOOKUP(INT($K398),[3]Sheet1!$A:$C,3,0),VLOOKUP(INT(LEFT($K398,FIND(",",$K398)-1)),[3]Sheet1!$A:$C,3,0)))</f>
        <v/>
      </c>
      <c r="M398" s="80" t="str">
        <f t="shared" si="35"/>
        <v/>
      </c>
      <c r="N398" s="45" t="str">
        <f>IF(LEN($K398)-LEN(SUBSTITUTE($K398,",",""))=1,VLOOKUP(INT(RIGHT($K398,LEN($K398)-FIND(",",$K398))),[3]Sheet1!$A:$C,3,0),"")</f>
        <v/>
      </c>
      <c r="O398" s="45" t="str">
        <f t="shared" si="32"/>
        <v/>
      </c>
      <c r="P398" s="45" t="str">
        <f t="shared" si="28"/>
        <v/>
      </c>
      <c r="Q398" s="45" t="str">
        <f t="shared" si="33"/>
        <v/>
      </c>
      <c r="R398" s="45"/>
      <c r="S398" s="45" t="str">
        <f>IF(ISERROR($Q398),"进阶+"&amp;COUNTIF($E$194:$E398,$E398)&amp;"："&amp;"找ZC配技能","进阶+"&amp;COUNTIF($E$194:$E398,$E398)&amp;"："&amp;VLOOKUP(COUNTIF($E$194:$E398,$E398),$L$184:$R$193,IF(H398=1,4,IF(H398=4,3,2))+IF(INDEX([1]Sheet1!$1:$1048576,MATCH($E398,[1]Sheet1!$A:$A,0),MATCH("zizhi",[1]Sheet1!$2:$2,0))&gt;=13,0,3),0)&amp;IF($Q398="","","（"&amp;$Q398&amp;"）"))</f>
        <v>进阶+5：生命，防御提高10%</v>
      </c>
      <c r="T398" s="1"/>
      <c r="U398" s="1"/>
      <c r="V398" s="2" t="str">
        <f>VLOOKUP(COUNTIF($E$194:$E398,$E398),$L$184:$X$193,IF(H398=1,4,IF(H398=4,3,2))+IF(INDEX([1]Sheet1!$1:$1048576,MATCH($E398,[1]Sheet1!$A:$A,0),MATCH("zizhi",[1]Sheet1!$2:$2,0))&gt;=13,0,3)+6,0)</f>
        <v>11090,6502,6512</v>
      </c>
      <c r="W398" s="2" t="str">
        <f t="shared" si="31"/>
        <v>进阶+5：生命，防御提高10%</v>
      </c>
      <c r="X398" s="45" t="str">
        <f t="shared" si="29"/>
        <v>11090,6502,6512</v>
      </c>
      <c r="Y398" s="2"/>
      <c r="Z398" s="2"/>
      <c r="AA398" s="2"/>
    </row>
    <row r="399" spans="1:27" ht="33">
      <c r="A399" s="10">
        <f>E399*100+COUNTIF($E$194:$E399,$E399)</f>
        <v>111606</v>
      </c>
      <c r="B399" s="68" t="s">
        <v>2025</v>
      </c>
      <c r="C399" s="50" t="s">
        <v>2</v>
      </c>
      <c r="D399" s="10">
        <f t="shared" si="34"/>
        <v>1</v>
      </c>
      <c r="E399" s="45">
        <f>INDEX($I:$I,MATCH($E398,$I:$I,0)+IF(COUNTIF($E$194:$E398,$E398)&lt;=VLOOKUP($E398,$I$134:$K$193,3,0)-1,0,1),0)</f>
        <v>1116</v>
      </c>
      <c r="F399" s="45" t="str">
        <f t="shared" si="30"/>
        <v>白骨夫人</v>
      </c>
      <c r="G399" s="45" t="s">
        <v>218</v>
      </c>
      <c r="H399" s="45">
        <f>VLOOKUP($E399,[1]Sheet1!$A:$G,7,0)</f>
        <v>1</v>
      </c>
      <c r="I399" s="45" t="str">
        <f>IF($G399="","",IF(COUNTIF(技能描述!$D:$D,$F399)&gt;0,VLOOKUP($F399&amp;$G399,技能描述!$A:$C,3,0),LEFT(VLOOKUP($E399,[1]Sheet1!$A:$J,10,0),FIND("_",VLOOKUP($E399,[1]Sheet1!$A:$J,10,0))-1)&amp;$G399))</f>
        <v>baigufuren_skill011</v>
      </c>
      <c r="J399" s="45" t="str">
        <f>IF($I399="","",VLOOKUP($I399,技能描述!$A:$C,3,0))</f>
        <v>释放枯骨逢春秘法，治疗全体友军，每0.5秒恢复主角攻击力@s的生命值，持续3秒</v>
      </c>
      <c r="K399" s="45" t="str">
        <f>IF($I399="","",INDEX([2]Sheet1!$1:$1048576,MATCH($I399,[2]Sheet1!$A:$A,0),MATCH("description_damage",[2]Sheet1!$2:$2,0)))</f>
        <v>9050</v>
      </c>
      <c r="L399" s="80" t="str">
        <f>IF($K399="","",IF(LEN($K399)-LEN(SUBSTITUTE($K399,",",""))=0,VLOOKUP(INT($K399),[3]Sheet1!$A:$C,3,0),VLOOKUP(INT(LEFT($K399,FIND(",",$K399)-1)),[3]Sheet1!$A:$C,3,0)))</f>
        <v>4|3|0.5|0|1</v>
      </c>
      <c r="M399" s="80" t="str">
        <f t="shared" si="35"/>
        <v>50%</v>
      </c>
      <c r="N399" s="45" t="str">
        <f>IF(LEN($K399)-LEN(SUBSTITUTE($K399,",",""))=1,VLOOKUP(INT(RIGHT($K399,LEN($K399)-FIND(",",$K399))),[3]Sheet1!$A:$C,3,0),"")</f>
        <v/>
      </c>
      <c r="O399" s="45" t="str">
        <f t="shared" si="32"/>
        <v/>
      </c>
      <c r="P399" s="45" t="str">
        <f t="shared" si="28"/>
        <v>释放枯骨逢春秘法，治疗全体友军，每0.5秒恢复主角攻击力50%的生命值，持续3秒</v>
      </c>
      <c r="Q399" s="45" t="str">
        <f t="shared" si="33"/>
        <v>释放枯骨逢春秘法，治疗全体友军，每0.5秒恢复主角攻击力50%的生命值，持续3秒</v>
      </c>
      <c r="R399" s="45"/>
      <c r="S399" s="45" t="str">
        <f>IF(ISERROR($Q399),"进阶+"&amp;COUNTIF($E$194:$E399,$E399)&amp;"："&amp;"找ZC配技能","进阶+"&amp;COUNTIF($E$194:$E399,$E399)&amp;"："&amp;VLOOKUP(COUNTIF($E$194:$E399,$E399),$L$184:$R$193,IF(H399=1,4,IF(H399=4,3,2))+IF(INDEX([1]Sheet1!$1:$1048576,MATCH($E399,[1]Sheet1!$A:$A,0),MATCH("zizhi",[1]Sheet1!$2:$2,0))&gt;=13,0,3),0)&amp;IF($Q399="","","（"&amp;$Q399&amp;"）"))</f>
        <v>进阶+6：增强主角技能（释放枯骨逢春秘法，治疗全体友军，每0.5秒恢复主角攻击力50%的生命值，持续3秒）</v>
      </c>
      <c r="T399" s="1"/>
      <c r="U399" s="1"/>
      <c r="V399" s="2" t="str">
        <f>VLOOKUP(COUNTIF($E$194:$E399,$E399),$L$184:$X$193,IF(H399=1,4,IF(H399=4,3,2))+IF(INDEX([1]Sheet1!$1:$1048576,MATCH($E399,[1]Sheet1!$A:$A,0),MATCH("zizhi",[1]Sheet1!$2:$2,0))&gt;=13,0,3)+6,0)</f>
        <v>[]</v>
      </c>
      <c r="W399" s="2" t="str">
        <f t="shared" si="31"/>
        <v>进阶+6：增强主角技能（释放枯骨逢春秘法，治疗全体友军，每0.5秒恢复主角攻击力50%的生命值，持续3秒）</v>
      </c>
      <c r="X399" s="45" t="str">
        <f t="shared" si="29"/>
        <v>[]</v>
      </c>
      <c r="Y399" s="2"/>
      <c r="Z399" s="2"/>
      <c r="AA399" s="2"/>
    </row>
    <row r="400" spans="1:27">
      <c r="A400" s="10">
        <f>E400*100+COUNTIF($E$194:$E400,$E400)</f>
        <v>111607</v>
      </c>
      <c r="B400" s="68" t="s">
        <v>360</v>
      </c>
      <c r="C400" s="50" t="s">
        <v>354</v>
      </c>
      <c r="D400" s="10" t="str">
        <f t="shared" si="34"/>
        <v>[]</v>
      </c>
      <c r="E400" s="45">
        <f>INDEX($I:$I,MATCH($E399,$I:$I,0)+IF(COUNTIF($E$194:$E399,$E399)&lt;=VLOOKUP($E399,$I$134:$K$193,3,0)-1,0,1),0)</f>
        <v>1116</v>
      </c>
      <c r="F400" s="45" t="str">
        <f t="shared" si="30"/>
        <v>白骨夫人</v>
      </c>
      <c r="H400" s="45">
        <f>VLOOKUP($E400,[1]Sheet1!$A:$G,7,0)</f>
        <v>1</v>
      </c>
      <c r="I400" s="45" t="str">
        <f>IF($G400="","",IF(COUNTIF(技能描述!$D:$D,$F400)&gt;0,VLOOKUP($F400&amp;$G400,技能描述!$A:$C,3,0),LEFT(VLOOKUP($E400,[1]Sheet1!$A:$J,10,0),FIND("_",VLOOKUP($E400,[1]Sheet1!$A:$J,10,0))-1)&amp;$G400))</f>
        <v/>
      </c>
      <c r="J400" s="45" t="str">
        <f>IF($I400="","",VLOOKUP($I400,技能描述!$A:$C,3,0))</f>
        <v/>
      </c>
      <c r="K400" s="45" t="str">
        <f>IF($I400="","",INDEX([2]Sheet1!$1:$1048576,MATCH($I400,[2]Sheet1!$A:$A,0),MATCH("description_damage",[2]Sheet1!$2:$2,0)))</f>
        <v/>
      </c>
      <c r="L400" s="80" t="str">
        <f>IF($K400="","",IF(LEN($K400)-LEN(SUBSTITUTE($K400,",",""))=0,VLOOKUP(INT($K400),[3]Sheet1!$A:$C,3,0),VLOOKUP(INT(LEFT($K400,FIND(",",$K400)-1)),[3]Sheet1!$A:$C,3,0)))</f>
        <v/>
      </c>
      <c r="M400" s="80" t="str">
        <f t="shared" si="35"/>
        <v/>
      </c>
      <c r="N400" s="45" t="str">
        <f>IF(LEN($K400)-LEN(SUBSTITUTE($K400,",",""))=1,VLOOKUP(INT(RIGHT($K400,LEN($K400)-FIND(",",$K400))),[3]Sheet1!$A:$C,3,0),"")</f>
        <v/>
      </c>
      <c r="O400" s="45" t="str">
        <f t="shared" si="32"/>
        <v/>
      </c>
      <c r="P400" s="45" t="str">
        <f t="shared" si="28"/>
        <v/>
      </c>
      <c r="Q400" s="45" t="str">
        <f t="shared" si="33"/>
        <v/>
      </c>
      <c r="R400" s="45"/>
      <c r="S400" s="45" t="str">
        <f>IF(ISERROR($Q400),"进阶+"&amp;COUNTIF($E$194:$E400,$E400)&amp;"："&amp;"找ZC配技能","进阶+"&amp;COUNTIF($E$194:$E400,$E400)&amp;"："&amp;VLOOKUP(COUNTIF($E$194:$E400,$E400),$L$184:$R$193,IF(H400=1,4,IF(H400=4,3,2))+IF(INDEX([1]Sheet1!$1:$1048576,MATCH($E400,[1]Sheet1!$A:$A,0),MATCH("zizhi",[1]Sheet1!$2:$2,0))&gt;=13,0,3),0)&amp;IF($Q400="","","（"&amp;$Q400&amp;"）"))</f>
        <v>进阶+7：全队生命，防御提高10%</v>
      </c>
      <c r="T400" s="1"/>
      <c r="U400" s="1"/>
      <c r="V400" s="2" t="str">
        <f>VLOOKUP(COUNTIF($E$194:$E400,$E400),$L$184:$X$193,IF(H400=1,4,IF(H400=4,3,2))+IF(INDEX([1]Sheet1!$1:$1048576,MATCH($E400,[1]Sheet1!$A:$A,0),MATCH("zizhi",[1]Sheet1!$2:$2,0))&gt;=13,0,3)+6,0)</f>
        <v>57010,59010,60010</v>
      </c>
      <c r="W400" s="2" t="str">
        <f t="shared" si="31"/>
        <v>进阶+7：全队生命，防御提高10%</v>
      </c>
      <c r="X400" s="45" t="str">
        <f t="shared" si="29"/>
        <v>57010,59010,60010</v>
      </c>
      <c r="Y400" s="2"/>
      <c r="Z400" s="2"/>
      <c r="AA400" s="2"/>
    </row>
    <row r="401" spans="1:27" ht="33">
      <c r="A401" s="10">
        <f>E401*100+COUNTIF($E$194:$E401,$E401)</f>
        <v>111608</v>
      </c>
      <c r="B401" s="68" t="s">
        <v>2026</v>
      </c>
      <c r="C401" s="50" t="s">
        <v>2</v>
      </c>
      <c r="D401" s="10">
        <f t="shared" si="34"/>
        <v>1</v>
      </c>
      <c r="E401" s="45">
        <f>INDEX($I:$I,MATCH($E400,$I:$I,0)+IF(COUNTIF($E$194:$E400,$E400)&lt;=VLOOKUP($E400,$I$134:$K$193,3,0)-1,0,1),0)</f>
        <v>1116</v>
      </c>
      <c r="F401" s="45" t="str">
        <f t="shared" si="30"/>
        <v>白骨夫人</v>
      </c>
      <c r="G401" s="45" t="s">
        <v>219</v>
      </c>
      <c r="H401" s="45">
        <f>VLOOKUP($E401,[1]Sheet1!$A:$G,7,0)</f>
        <v>1</v>
      </c>
      <c r="I401" s="45" t="str">
        <f>IF($G401="","",IF(COUNTIF(技能描述!$D:$D,$F401)&gt;0,VLOOKUP($F401&amp;$G401,技能描述!$A:$C,3,0),LEFT(VLOOKUP($E401,[1]Sheet1!$A:$J,10,0),FIND("_",VLOOKUP($E401,[1]Sheet1!$A:$J,10,0))-1)&amp;$G401))</f>
        <v>baigufuren_skill021</v>
      </c>
      <c r="J401" s="45" t="str">
        <f>IF($I401="","",VLOOKUP($I401,技能描述!$A:$C,3,0))</f>
        <v>白骨夫人治疗生命值百分比最低的友军，恢复自身攻击力@s的生命值</v>
      </c>
      <c r="K401" s="45" t="str">
        <f>IF($I401="","",INDEX([2]Sheet1!$1:$1048576,MATCH($I401,[2]Sheet1!$A:$A,0),MATCH("description_damage",[2]Sheet1!$2:$2,0)))</f>
        <v>111606</v>
      </c>
      <c r="L401" s="80" t="str">
        <f>IF($K401="","",IF(LEN($K401)-LEN(SUBSTITUTE($K401,",",""))=0,VLOOKUP(INT($K401),[3]Sheet1!$A:$C,3,0),VLOOKUP(INT(LEFT($K401,FIND(",",$K401)-1)),[3]Sheet1!$A:$C,3,0)))</f>
        <v>3|1|3.42|0</v>
      </c>
      <c r="M401" s="80" t="str">
        <f t="shared" si="35"/>
        <v>342%</v>
      </c>
      <c r="N401" s="45" t="str">
        <f>IF(LEN($K401)-LEN(SUBSTITUTE($K401,",",""))=1,VLOOKUP(INT(RIGHT($K401,LEN($K401)-FIND(",",$K401))),[3]Sheet1!$A:$C,3,0),"")</f>
        <v/>
      </c>
      <c r="O401" s="45" t="str">
        <f t="shared" si="32"/>
        <v/>
      </c>
      <c r="P401" s="45" t="str">
        <f t="shared" si="28"/>
        <v>白骨夫人治疗生命值百分比最低的友军，恢复自身攻击力342%的生命值</v>
      </c>
      <c r="Q401" s="45" t="str">
        <f t="shared" si="33"/>
        <v>白骨夫人治疗生命值百分比最低的友军，恢复自身攻击力342%的生命值</v>
      </c>
      <c r="R401" s="45"/>
      <c r="S401" s="45" t="str">
        <f>IF(ISERROR($Q401),"进阶+"&amp;COUNTIF($E$194:$E401,$E401)&amp;"："&amp;"找ZC配技能","进阶+"&amp;COUNTIF($E$194:$E401,$E401)&amp;"："&amp;VLOOKUP(COUNTIF($E$194:$E401,$E401),$L$184:$R$193,IF(H401=1,4,IF(H401=4,3,2))+IF(INDEX([1]Sheet1!$1:$1048576,MATCH($E401,[1]Sheet1!$A:$A,0),MATCH("zizhi",[1]Sheet1!$2:$2,0))&gt;=13,0,3),0)&amp;IF($Q401="","","（"&amp;$Q401&amp;"）"))</f>
        <v>进阶+8：增强AI1技能（白骨夫人治疗生命值百分比最低的友军，恢复自身攻击力342%的生命值）</v>
      </c>
      <c r="T401" s="1"/>
      <c r="U401" s="1"/>
      <c r="V401" s="2" t="str">
        <f>VLOOKUP(COUNTIF($E$194:$E401,$E401),$L$184:$X$193,IF(H401=1,4,IF(H401=4,3,2))+IF(INDEX([1]Sheet1!$1:$1048576,MATCH($E401,[1]Sheet1!$A:$A,0),MATCH("zizhi",[1]Sheet1!$2:$2,0))&gt;=13,0,3)+6,0)</f>
        <v>[]</v>
      </c>
      <c r="W401" s="2" t="str">
        <f t="shared" si="31"/>
        <v>进阶+8：增强AI1技能（白骨夫人治疗生命值百分比最低的友军，恢复自身攻击力342%的生命值）</v>
      </c>
      <c r="X401" s="45" t="str">
        <f t="shared" si="29"/>
        <v>[]</v>
      </c>
      <c r="Y401" s="2"/>
      <c r="Z401" s="2"/>
      <c r="AA401" s="2"/>
    </row>
    <row r="402" spans="1:27">
      <c r="A402" s="10">
        <f>E402*100+COUNTIF($E$194:$E402,$E402)</f>
        <v>111609</v>
      </c>
      <c r="B402" s="68" t="s">
        <v>1902</v>
      </c>
      <c r="C402" s="50" t="s">
        <v>357</v>
      </c>
      <c r="D402" s="10" t="str">
        <f t="shared" si="34"/>
        <v>[]</v>
      </c>
      <c r="E402" s="45">
        <f>INDEX($I:$I,MATCH($E401,$I:$I,0)+IF(COUNTIF($E$194:$E401,$E401)&lt;=VLOOKUP($E401,$I$134:$K$193,3,0)-1,0,1),0)</f>
        <v>1116</v>
      </c>
      <c r="F402" s="45" t="str">
        <f t="shared" si="30"/>
        <v>白骨夫人</v>
      </c>
      <c r="H402" s="45">
        <f>VLOOKUP($E402,[1]Sheet1!$A:$G,7,0)</f>
        <v>1</v>
      </c>
      <c r="I402" s="45" t="str">
        <f>IF($G402="","",IF(COUNTIF(技能描述!$D:$D,$F402)&gt;0,VLOOKUP($F402&amp;$G402,技能描述!$A:$C,3,0),LEFT(VLOOKUP($E402,[1]Sheet1!$A:$J,10,0),FIND("_",VLOOKUP($E402,[1]Sheet1!$A:$J,10,0))-1)&amp;$G402))</f>
        <v/>
      </c>
      <c r="J402" s="45" t="str">
        <f>IF($I402="","",VLOOKUP($I402,技能描述!$A:$C,3,0))</f>
        <v/>
      </c>
      <c r="K402" s="45" t="str">
        <f>IF($I402="","",INDEX([2]Sheet1!$1:$1048576,MATCH($I402,[2]Sheet1!$A:$A,0),MATCH("description_damage",[2]Sheet1!$2:$2,0)))</f>
        <v/>
      </c>
      <c r="L402" s="80" t="str">
        <f>IF($K402="","",IF(LEN($K402)-LEN(SUBSTITUTE($K402,",",""))=0,VLOOKUP(INT($K402),[3]Sheet1!$A:$C,3,0),VLOOKUP(INT(LEFT($K402,FIND(",",$K402)-1)),[3]Sheet1!$A:$C,3,0)))</f>
        <v/>
      </c>
      <c r="M402" s="80" t="str">
        <f t="shared" si="35"/>
        <v/>
      </c>
      <c r="N402" s="45" t="str">
        <f>IF(LEN($K402)-LEN(SUBSTITUTE($K402,",",""))=1,VLOOKUP(INT(RIGHT($K402,LEN($K402)-FIND(",",$K402))),[3]Sheet1!$A:$C,3,0),"")</f>
        <v/>
      </c>
      <c r="O402" s="45" t="str">
        <f t="shared" si="32"/>
        <v/>
      </c>
      <c r="P402" s="45" t="str">
        <f t="shared" si="28"/>
        <v/>
      </c>
      <c r="Q402" s="45" t="str">
        <f t="shared" si="33"/>
        <v/>
      </c>
      <c r="R402" s="45"/>
      <c r="S402" s="45" t="str">
        <f>IF(ISERROR($Q402),"进阶+"&amp;COUNTIF($E$194:$E402,$E402)&amp;"："&amp;"找ZC配技能","进阶+"&amp;COUNTIF($E$194:$E402,$E402)&amp;"："&amp;VLOOKUP(COUNTIF($E$194:$E402,$E402),$L$184:$R$193,IF(H402=1,4,IF(H402=4,3,2))+IF(INDEX([1]Sheet1!$1:$1048576,MATCH($E402,[1]Sheet1!$A:$A,0),MATCH("zizhi",[1]Sheet1!$2:$2,0))&gt;=13,0,3),0)&amp;IF($Q402="","","（"&amp;$Q402&amp;"）"))</f>
        <v>进阶+9：全队生命，防御提高15%</v>
      </c>
      <c r="T402" s="1"/>
      <c r="U402" s="1"/>
      <c r="V402" s="2" t="str">
        <f>VLOOKUP(COUNTIF($E$194:$E402,$E402),$L$184:$X$193,IF(H402=1,4,IF(H402=4,3,2))+IF(INDEX([1]Sheet1!$1:$1048576,MATCH($E402,[1]Sheet1!$A:$A,0),MATCH("zizhi",[1]Sheet1!$2:$2,0))&gt;=13,0,3)+6,0)</f>
        <v>57015,59015,60015</v>
      </c>
      <c r="W402" s="2" t="str">
        <f t="shared" si="31"/>
        <v>进阶+9：全队生命，防御提高15%</v>
      </c>
      <c r="X402" s="45" t="str">
        <f t="shared" si="29"/>
        <v>57015,59015,60015</v>
      </c>
      <c r="Y402" s="2"/>
      <c r="Z402" s="2"/>
      <c r="AA402" s="2"/>
    </row>
    <row r="403" spans="1:27" ht="33">
      <c r="A403" s="10">
        <f>E403*100+COUNTIF($E$194:$E403,$E403)</f>
        <v>111610</v>
      </c>
      <c r="B403" s="68" t="s">
        <v>1916</v>
      </c>
      <c r="C403" s="50" t="s">
        <v>2</v>
      </c>
      <c r="D403" s="10">
        <f t="shared" si="34"/>
        <v>1</v>
      </c>
      <c r="E403" s="45">
        <f>INDEX($I:$I,MATCH($E402,$I:$I,0)+IF(COUNTIF($E$194:$E402,$E402)&lt;=VLOOKUP($E402,$I$134:$K$193,3,0)-1,0,1),0)</f>
        <v>1116</v>
      </c>
      <c r="F403" s="45" t="str">
        <f t="shared" si="30"/>
        <v>白骨夫人</v>
      </c>
      <c r="G403" s="45" t="s">
        <v>220</v>
      </c>
      <c r="H403" s="45">
        <f>VLOOKUP($E403,[1]Sheet1!$A:$G,7,0)</f>
        <v>1</v>
      </c>
      <c r="I403" s="45" t="str">
        <f>IF($G403="","",IF(COUNTIF(技能描述!$D:$D,$F403)&gt;0,VLOOKUP($F403&amp;$G403,技能描述!$A:$C,3,0),LEFT(VLOOKUP($E403,[1]Sheet1!$A:$J,10,0),FIND("_",VLOOKUP($E403,[1]Sheet1!$A:$J,10,0))-1)&amp;$G403))</f>
        <v>baigufuren_skill041</v>
      </c>
      <c r="J403" s="45" t="str">
        <f>IF($I403="","",VLOOKUP($I403,技能描述!$A:$C,3,0))</f>
        <v>白骨夫人将痛苦之灵附身在敌军身上，对范围内的敌人造成4次攻击力@s的法伤，清除敌人所有增益状态</v>
      </c>
      <c r="K403" s="45" t="str">
        <f>IF($I403="","",INDEX([2]Sheet1!$1:$1048576,MATCH($I403,[2]Sheet1!$A:$A,0),MATCH("description_damage",[2]Sheet1!$2:$2,0)))</f>
        <v>111607</v>
      </c>
      <c r="L403" s="80" t="str">
        <f>IF($K403="","",IF(LEN($K403)-LEN(SUBSTITUTE($K403,",",""))=0,VLOOKUP(INT($K403),[3]Sheet1!$A:$C,3,0),VLOOKUP(INT(LEFT($K403,FIND(",",$K403)-1)),[3]Sheet1!$A:$C,3,0)))</f>
        <v>2|2|0.8|0|0|0</v>
      </c>
      <c r="M403" s="80" t="str">
        <f t="shared" si="35"/>
        <v>80%</v>
      </c>
      <c r="N403" s="45" t="str">
        <f>IF(LEN($K403)-LEN(SUBSTITUTE($K403,",",""))=1,VLOOKUP(INT(RIGHT($K403,LEN($K403)-FIND(",",$K403))),[3]Sheet1!$A:$C,3,0),"")</f>
        <v/>
      </c>
      <c r="O403" s="45" t="str">
        <f t="shared" si="32"/>
        <v/>
      </c>
      <c r="P403" s="45" t="str">
        <f t="shared" si="28"/>
        <v>白骨夫人将痛苦之灵附身在敌军身上，对范围内的敌人造成4次攻击力80%的法伤，清除敌人所有增益状态</v>
      </c>
      <c r="Q403" s="45" t="str">
        <f t="shared" si="33"/>
        <v>白骨夫人将痛苦之灵附身在敌军身上，对范围内的敌人造成4次攻击力80%的法伤，清除敌人所有增益状态</v>
      </c>
      <c r="R403" s="45"/>
      <c r="S403" s="45" t="str">
        <f>IF(ISERROR($Q403),"进阶+"&amp;COUNTIF($E$194:$E403,$E403)&amp;"："&amp;"找ZC配技能","进阶+"&amp;COUNTIF($E$194:$E403,$E403)&amp;"："&amp;VLOOKUP(COUNTIF($E$194:$E403,$E403),$L$184:$R$193,IF(H403=1,4,IF(H403=4,3,2))+IF(INDEX([1]Sheet1!$1:$1048576,MATCH($E403,[1]Sheet1!$A:$A,0),MATCH("zizhi",[1]Sheet1!$2:$2,0))&gt;=13,0,3),0)&amp;IF($Q403="","","（"&amp;$Q403&amp;"）"))</f>
        <v>进阶+10：增强AI2技能（白骨夫人将痛苦之灵附身在敌军身上，对范围内的敌人造成4次攻击力80%的法伤，清除敌人所有增益状态）</v>
      </c>
      <c r="T403" s="1"/>
      <c r="U403" s="1"/>
      <c r="V403" s="2" t="str">
        <f>VLOOKUP(COUNTIF($E$194:$E403,$E403),$L$184:$X$193,IF(H403=1,4,IF(H403=4,3,2))+IF(INDEX([1]Sheet1!$1:$1048576,MATCH($E403,[1]Sheet1!$A:$A,0),MATCH("zizhi",[1]Sheet1!$2:$2,0))&gt;=13,0,3)+6,0)</f>
        <v>[]</v>
      </c>
      <c r="W403" s="2" t="str">
        <f t="shared" si="31"/>
        <v>进阶+10：增强AI2技能（白骨夫人将痛苦之灵附身在敌军身上，对范围内的敌人造成4次攻击力80%的法伤，清除敌人所有增益状态）</v>
      </c>
      <c r="X403" s="45" t="str">
        <f t="shared" si="29"/>
        <v>[]</v>
      </c>
      <c r="Y403" s="2"/>
      <c r="Z403" s="2"/>
      <c r="AA403" s="2"/>
    </row>
    <row r="404" spans="1:27">
      <c r="A404" s="10">
        <f>E404*100+COUNTIF($E$194:$E404,$E404)</f>
        <v>112101</v>
      </c>
      <c r="B404" s="68" t="s">
        <v>310</v>
      </c>
      <c r="C404" s="50" t="s">
        <v>127</v>
      </c>
      <c r="D404" s="10" t="str">
        <f t="shared" si="34"/>
        <v>[]</v>
      </c>
      <c r="E404" s="45">
        <f>INDEX($I:$I,MATCH($E403,$I:$I,0)+IF(COUNTIF($E$194:$E403,$E403)&lt;=VLOOKUP($E403,$I$134:$K$193,3,0)-1,0,1),0)</f>
        <v>1121</v>
      </c>
      <c r="F404" s="45" t="str">
        <f t="shared" si="30"/>
        <v>紫霞仙子</v>
      </c>
      <c r="H404" s="45">
        <f>VLOOKUP($E404,[1]Sheet1!$A:$G,7,0)</f>
        <v>2</v>
      </c>
      <c r="I404" s="45" t="str">
        <f>IF($G404="","",IF(COUNTIF(技能描述!$D:$D,$F404)&gt;0,VLOOKUP($F404&amp;$G404,技能描述!$A:$C,3,0),LEFT(VLOOKUP($E404,[1]Sheet1!$A:$J,10,0),FIND("_",VLOOKUP($E404,[1]Sheet1!$A:$J,10,0))-1)&amp;$G404))</f>
        <v/>
      </c>
      <c r="J404" s="45" t="str">
        <f>IF($I404="","",VLOOKUP($I404,技能描述!$A:$C,3,0))</f>
        <v/>
      </c>
      <c r="K404" s="45" t="str">
        <f>IF($I404="","",INDEX([2]Sheet1!$1:$1048576,MATCH($I404,[2]Sheet1!$A:$A,0),MATCH("description_damage",[2]Sheet1!$2:$2,0)))</f>
        <v/>
      </c>
      <c r="L404" s="80" t="str">
        <f>IF($K404="","",IF(LEN($K404)-LEN(SUBSTITUTE($K404,",",""))=0,VLOOKUP(INT($K404),[3]Sheet1!$A:$C,3,0),VLOOKUP(INT(LEFT($K404,FIND(",",$K404)-1)),[3]Sheet1!$A:$C,3,0)))</f>
        <v/>
      </c>
      <c r="M404" s="80" t="str">
        <f t="shared" si="35"/>
        <v/>
      </c>
      <c r="N404" s="45" t="str">
        <f>IF(LEN($K404)-LEN(SUBSTITUTE($K404,",",""))=1,VLOOKUP(INT(RIGHT($K404,LEN($K404)-FIND(",",$K404))),[3]Sheet1!$A:$C,3,0),"")</f>
        <v/>
      </c>
      <c r="O404" s="45" t="str">
        <f t="shared" si="32"/>
        <v/>
      </c>
      <c r="P404" s="45" t="str">
        <f t="shared" si="28"/>
        <v/>
      </c>
      <c r="Q404" s="45" t="str">
        <f t="shared" si="33"/>
        <v/>
      </c>
      <c r="R404" s="45"/>
      <c r="S404" s="45" t="str">
        <f>IF(ISERROR($Q404),"进阶+"&amp;COUNTIF($E$194:$E404,$E404)&amp;"："&amp;"找ZC配技能","进阶+"&amp;COUNTIF($E$194:$E404,$E404)&amp;"："&amp;VLOOKUP(COUNTIF($E$194:$E404,$E404),$L$184:$R$193,IF(H404=1,4,IF(H404=4,3,2))+IF(INDEX([1]Sheet1!$1:$1048576,MATCH($E404,[1]Sheet1!$A:$A,0),MATCH("zizhi",[1]Sheet1!$2:$2,0))&gt;=13,0,3),0)&amp;IF($Q404="","","（"&amp;$Q404&amp;"）"))</f>
        <v>进阶+1：攻击提高10%</v>
      </c>
      <c r="T404" s="1"/>
      <c r="U404" s="1"/>
      <c r="V404" s="2" t="str">
        <f>VLOOKUP(COUNTIF($E$194:$E404,$E404),$L$184:$X$193,IF(H404=1,4,IF(H404=4,3,2))+IF(INDEX([1]Sheet1!$1:$1048576,MATCH($E404,[1]Sheet1!$A:$A,0),MATCH("zizhi",[1]Sheet1!$2:$2,0))&gt;=13,0,3)+6,0)</f>
        <v>11050</v>
      </c>
      <c r="W404" s="2" t="str">
        <f t="shared" si="31"/>
        <v>进阶+1：攻击提高10%</v>
      </c>
      <c r="X404" s="45" t="str">
        <f t="shared" si="29"/>
        <v>11050</v>
      </c>
      <c r="Y404" s="2"/>
      <c r="Z404" s="2"/>
      <c r="AA404" s="2"/>
    </row>
    <row r="405" spans="1:27" ht="33">
      <c r="A405" s="10">
        <f>E405*100+COUNTIF($E$194:$E405,$E405)</f>
        <v>112102</v>
      </c>
      <c r="B405" s="68" t="s">
        <v>333</v>
      </c>
      <c r="C405" s="50" t="s">
        <v>2</v>
      </c>
      <c r="D405" s="10">
        <f t="shared" si="34"/>
        <v>1</v>
      </c>
      <c r="E405" s="45">
        <f>INDEX($I:$I,MATCH($E404,$I:$I,0)+IF(COUNTIF($E$194:$E404,$E404)&lt;=VLOOKUP($E404,$I$134:$K$193,3,0)-1,0,1),0)</f>
        <v>1121</v>
      </c>
      <c r="F405" s="45" t="str">
        <f t="shared" si="30"/>
        <v>紫霞仙子</v>
      </c>
      <c r="G405" s="45" t="s">
        <v>216</v>
      </c>
      <c r="H405" s="45">
        <f>VLOOKUP($E405,[1]Sheet1!$A:$G,7,0)</f>
        <v>2</v>
      </c>
      <c r="I405" s="45" t="str">
        <f>IF($G405="","",IF(COUNTIF(技能描述!$D:$D,$F405)&gt;0,VLOOKUP($F405&amp;$G405,技能描述!$A:$C,3,0),LEFT(VLOOKUP($E405,[1]Sheet1!$A:$J,10,0),FIND("_",VLOOKUP($E405,[1]Sheet1!$A:$J,10,0))-1)&amp;$G405))</f>
        <v>zixiaxianzi_skill03</v>
      </c>
      <c r="J405" s="45" t="str">
        <f>IF($I405="","",VLOOKUP($I405,技能描述!$A:$C,3,0))</f>
        <v>进入战斗场景时，提升全体友军造成的伤害@s</v>
      </c>
      <c r="K405" s="45" t="str">
        <f>IF($I405="","",INDEX([2]Sheet1!$1:$1048576,MATCH($I405,[2]Sheet1!$A:$A,0),MATCH("description_damage",[2]Sheet1!$2:$2,0)))</f>
        <v>9010</v>
      </c>
      <c r="L405" s="80" t="str">
        <f>IF($K405="","",IF(LEN($K405)-LEN(SUBSTITUTE($K405,",",""))=0,VLOOKUP(INT($K405),[3]Sheet1!$A:$C,3,0),VLOOKUP(INT(LEFT($K405,FIND(",",$K405)-1)),[3]Sheet1!$A:$C,3,0)))</f>
        <v>4|3|0.1|0|1</v>
      </c>
      <c r="M405" s="80" t="str">
        <f t="shared" si="35"/>
        <v>10%</v>
      </c>
      <c r="N405" s="45" t="str">
        <f>IF(LEN($K405)-LEN(SUBSTITUTE($K405,",",""))=1,VLOOKUP(INT(RIGHT($K405,LEN($K405)-FIND(",",$K405))),[3]Sheet1!$A:$C,3,0),"")</f>
        <v/>
      </c>
      <c r="O405" s="45" t="str">
        <f t="shared" si="32"/>
        <v/>
      </c>
      <c r="P405" s="45" t="str">
        <f t="shared" si="28"/>
        <v>进入战斗场景时，提升全体友军造成的伤害10%</v>
      </c>
      <c r="Q405" s="45" t="str">
        <f t="shared" si="33"/>
        <v>进入战斗场景时，提升全体友军造成的伤害10%</v>
      </c>
      <c r="R405" s="45"/>
      <c r="S405" s="45" t="str">
        <f>IF(ISERROR($Q405),"进阶+"&amp;COUNTIF($E$194:$E405,$E405)&amp;"："&amp;"找ZC配技能","进阶+"&amp;COUNTIF($E$194:$E405,$E405)&amp;"："&amp;VLOOKUP(COUNTIF($E$194:$E405,$E405),$L$184:$R$193,IF(H405=1,4,IF(H405=4,3,2))+IF(INDEX([1]Sheet1!$1:$1048576,MATCH($E405,[1]Sheet1!$A:$A,0),MATCH("zizhi",[1]Sheet1!$2:$2,0))&gt;=13,0,3),0)&amp;IF($Q405="","","（"&amp;$Q405&amp;"）"))</f>
        <v>进阶+2：激活被动技能（进入战斗场景时，提升全体友军造成的伤害10%）</v>
      </c>
      <c r="T405" s="1"/>
      <c r="U405" s="1"/>
      <c r="V405" s="2" t="str">
        <f>VLOOKUP(COUNTIF($E$194:$E405,$E405),$L$184:$X$193,IF(H405=1,4,IF(H405=4,3,2))+IF(INDEX([1]Sheet1!$1:$1048576,MATCH($E405,[1]Sheet1!$A:$A,0),MATCH("zizhi",[1]Sheet1!$2:$2,0))&gt;=13,0,3)+6,0)</f>
        <v>[]</v>
      </c>
      <c r="W405" s="2" t="str">
        <f t="shared" si="31"/>
        <v>进阶+2：激活被动技能（进入战斗场景时，提升全体友军造成的伤害10%）</v>
      </c>
      <c r="X405" s="45" t="str">
        <f t="shared" si="29"/>
        <v>[]</v>
      </c>
      <c r="Y405" s="2"/>
      <c r="Z405" s="2"/>
      <c r="AA405" s="2"/>
    </row>
    <row r="406" spans="1:27">
      <c r="A406" s="10">
        <f>E406*100+COUNTIF($E$194:$E406,$E406)</f>
        <v>112103</v>
      </c>
      <c r="B406" s="68" t="s">
        <v>312</v>
      </c>
      <c r="C406" s="50" t="s">
        <v>127</v>
      </c>
      <c r="D406" s="10" t="str">
        <f t="shared" si="34"/>
        <v>[]</v>
      </c>
      <c r="E406" s="45">
        <f>INDEX($I:$I,MATCH($E405,$I:$I,0)+IF(COUNTIF($E$194:$E405,$E405)&lt;=VLOOKUP($E405,$I$134:$K$193,3,0)-1,0,1),0)</f>
        <v>1121</v>
      </c>
      <c r="F406" s="45" t="str">
        <f t="shared" si="30"/>
        <v>紫霞仙子</v>
      </c>
      <c r="H406" s="45">
        <f>VLOOKUP($E406,[1]Sheet1!$A:$G,7,0)</f>
        <v>2</v>
      </c>
      <c r="I406" s="45" t="str">
        <f>IF($G406="","",IF(COUNTIF(技能描述!$D:$D,$F406)&gt;0,VLOOKUP($F406&amp;$G406,技能描述!$A:$C,3,0),LEFT(VLOOKUP($E406,[1]Sheet1!$A:$J,10,0),FIND("_",VLOOKUP($E406,[1]Sheet1!$A:$J,10,0))-1)&amp;$G406))</f>
        <v/>
      </c>
      <c r="J406" s="45" t="str">
        <f>IF($I406="","",VLOOKUP($I406,技能描述!$A:$C,3,0))</f>
        <v/>
      </c>
      <c r="K406" s="45" t="str">
        <f>IF($I406="","",INDEX([2]Sheet1!$1:$1048576,MATCH($I406,[2]Sheet1!$A:$A,0),MATCH("description_damage",[2]Sheet1!$2:$2,0)))</f>
        <v/>
      </c>
      <c r="L406" s="80" t="str">
        <f>IF($K406="","",IF(LEN($K406)-LEN(SUBSTITUTE($K406,",",""))=0,VLOOKUP(INT($K406),[3]Sheet1!$A:$C,3,0),VLOOKUP(INT(LEFT($K406,FIND(",",$K406)-1)),[3]Sheet1!$A:$C,3,0)))</f>
        <v/>
      </c>
      <c r="M406" s="80" t="str">
        <f t="shared" si="35"/>
        <v/>
      </c>
      <c r="N406" s="45" t="str">
        <f>IF(LEN($K406)-LEN(SUBSTITUTE($K406,",",""))=1,VLOOKUP(INT(RIGHT($K406,LEN($K406)-FIND(",",$K406))),[3]Sheet1!$A:$C,3,0),"")</f>
        <v/>
      </c>
      <c r="O406" s="45" t="str">
        <f t="shared" si="32"/>
        <v/>
      </c>
      <c r="P406" s="45" t="str">
        <f t="shared" si="28"/>
        <v/>
      </c>
      <c r="Q406" s="45" t="str">
        <f t="shared" si="33"/>
        <v/>
      </c>
      <c r="R406" s="45"/>
      <c r="S406" s="45" t="str">
        <f>IF(ISERROR($Q406),"进阶+"&amp;COUNTIF($E$194:$E406,$E406)&amp;"："&amp;"找ZC配技能","进阶+"&amp;COUNTIF($E$194:$E406,$E406)&amp;"："&amp;VLOOKUP(COUNTIF($E$194:$E406,$E406),$L$184:$R$193,IF(H406=1,4,IF(H406=4,3,2))+IF(INDEX([1]Sheet1!$1:$1048576,MATCH($E406,[1]Sheet1!$A:$A,0),MATCH("zizhi",[1]Sheet1!$2:$2,0))&gt;=13,0,3),0)&amp;IF($Q406="","","（"&amp;$Q406&amp;"）"))</f>
        <v>进阶+3：攻击提高10%</v>
      </c>
      <c r="T406" s="1"/>
      <c r="U406" s="1"/>
      <c r="V406" s="2" t="str">
        <f>VLOOKUP(COUNTIF($E$194:$E406,$E406),$L$184:$X$193,IF(H406=1,4,IF(H406=4,3,2))+IF(INDEX([1]Sheet1!$1:$1048576,MATCH($E406,[1]Sheet1!$A:$A,0),MATCH("zizhi",[1]Sheet1!$2:$2,0))&gt;=13,0,3)+6,0)</f>
        <v>11050</v>
      </c>
      <c r="W406" s="2" t="str">
        <f t="shared" si="31"/>
        <v>进阶+3：攻击提高10%</v>
      </c>
      <c r="X406" s="45" t="str">
        <f t="shared" si="29"/>
        <v>11050</v>
      </c>
      <c r="Y406" s="2"/>
      <c r="Z406" s="2"/>
      <c r="AA406" s="2"/>
    </row>
    <row r="407" spans="1:27" ht="33">
      <c r="A407" s="10">
        <f>E407*100+COUNTIF($E$194:$E407,$E407)</f>
        <v>112104</v>
      </c>
      <c r="B407" s="68" t="s">
        <v>2096</v>
      </c>
      <c r="C407" s="50" t="s">
        <v>2</v>
      </c>
      <c r="D407" s="10">
        <f t="shared" si="34"/>
        <v>1</v>
      </c>
      <c r="E407" s="45">
        <f>INDEX($I:$I,MATCH($E406,$I:$I,0)+IF(COUNTIF($E$194:$E406,$E406)&lt;=VLOOKUP($E406,$I$134:$K$193,3,0)-1,0,1),0)</f>
        <v>1121</v>
      </c>
      <c r="F407" s="45" t="str">
        <f t="shared" si="30"/>
        <v>紫霞仙子</v>
      </c>
      <c r="G407" s="45" t="s">
        <v>217</v>
      </c>
      <c r="H407" s="45">
        <f>VLOOKUP($E407,[1]Sheet1!$A:$G,7,0)</f>
        <v>2</v>
      </c>
      <c r="I407" s="45" t="str">
        <f>IF($G407="","",IF(COUNTIF(技能描述!$D:$D,$F407)&gt;0,VLOOKUP($F407&amp;$G407,技能描述!$A:$C,3,0),LEFT(VLOOKUP($E407,[1]Sheet1!$A:$J,10,0),FIND("_",VLOOKUP($E407,[1]Sheet1!$A:$J,10,0))-1)&amp;$G407))</f>
        <v>zixiaxianzi_skill04</v>
      </c>
      <c r="J407" s="45" t="str">
        <f>IF($I407="","",VLOOKUP($I407,技能描述!$A:$C,3,0))</f>
        <v>剑快留痕，对范围内敌人进行5次攻击，造成自身攻击力@s的法伤,并造成流血效果，持续6秒</v>
      </c>
      <c r="K407" s="45" t="str">
        <f>IF($I407="","",INDEX([2]Sheet1!$1:$1048576,MATCH($I407,[2]Sheet1!$A:$A,0),MATCH("description_damage",[2]Sheet1!$2:$2,0)))</f>
        <v>112106</v>
      </c>
      <c r="L407" s="80" t="str">
        <f>IF($K407="","",IF(LEN($K407)-LEN(SUBSTITUTE($K407,",",""))=0,VLOOKUP(INT($K407),[3]Sheet1!$A:$C,3,0),VLOOKUP(INT(LEFT($K407,FIND(",",$K407)-1)),[3]Sheet1!$A:$C,3,0)))</f>
        <v>2|2|0.33|0|0|0</v>
      </c>
      <c r="M407" s="80" t="str">
        <f t="shared" si="35"/>
        <v>33%</v>
      </c>
      <c r="N407" s="45" t="str">
        <f>IF(LEN($K407)-LEN(SUBSTITUTE($K407,",",""))=1,VLOOKUP(INT(RIGHT($K407,LEN($K407)-FIND(",",$K407))),[3]Sheet1!$A:$C,3,0),"")</f>
        <v/>
      </c>
      <c r="O407" s="45" t="str">
        <f t="shared" si="32"/>
        <v/>
      </c>
      <c r="P407" s="45" t="str">
        <f t="shared" si="28"/>
        <v>剑快留痕，对范围内敌人进行5次攻击，造成自身攻击力33%的法伤,并造成流血效果，持续6秒</v>
      </c>
      <c r="Q407" s="45" t="str">
        <f t="shared" si="33"/>
        <v>剑快留痕，对范围内敌人进行5次攻击，造成自身攻击力33%的法伤,并造成流血效果，持续6秒</v>
      </c>
      <c r="R407" s="45"/>
      <c r="S407" s="45" t="str">
        <f>IF(ISERROR($Q407),"进阶+"&amp;COUNTIF($E$194:$E407,$E407)&amp;"："&amp;"找ZC配技能","进阶+"&amp;COUNTIF($E$194:$E407,$E407)&amp;"："&amp;VLOOKUP(COUNTIF($E$194:$E407,$E407),$L$184:$R$193,IF(H407=1,4,IF(H407=4,3,2))+IF(INDEX([1]Sheet1!$1:$1048576,MATCH($E407,[1]Sheet1!$A:$A,0),MATCH("zizhi",[1]Sheet1!$2:$2,0))&gt;=13,0,3),0)&amp;IF($Q407="","","（"&amp;$Q407&amp;"）"))</f>
        <v>进阶+4：激活AI2技能（剑快留痕，对范围内敌人进行5次攻击，造成自身攻击力33%的法伤,并造成流血效果，持续6秒）</v>
      </c>
      <c r="T407" s="1"/>
      <c r="U407" s="1"/>
      <c r="V407" s="2" t="str">
        <f>VLOOKUP(COUNTIF($E$194:$E407,$E407),$L$184:$X$193,IF(H407=1,4,IF(H407=4,3,2))+IF(INDEX([1]Sheet1!$1:$1048576,MATCH($E407,[1]Sheet1!$A:$A,0),MATCH("zizhi",[1]Sheet1!$2:$2,0))&gt;=13,0,3)+6,0)</f>
        <v>[]</v>
      </c>
      <c r="W407" s="2" t="str">
        <f t="shared" si="31"/>
        <v>进阶+4：激活AI2技能（剑快留痕，对范围内敌人进行5次攻击，造成自身攻击力33%的法伤,并造成流血效果，持续6秒）</v>
      </c>
      <c r="X407" s="45" t="str">
        <f t="shared" si="29"/>
        <v>[]</v>
      </c>
      <c r="Y407" s="2"/>
      <c r="Z407" s="2"/>
      <c r="AA407" s="2"/>
    </row>
    <row r="408" spans="1:27">
      <c r="A408" s="10">
        <f>E408*100+COUNTIF($E$194:$E408,$E408)</f>
        <v>112105</v>
      </c>
      <c r="B408" s="68" t="s">
        <v>323</v>
      </c>
      <c r="C408" s="50" t="s">
        <v>140</v>
      </c>
      <c r="D408" s="10" t="str">
        <f t="shared" si="34"/>
        <v>[]</v>
      </c>
      <c r="E408" s="45">
        <f>INDEX($I:$I,MATCH($E407,$I:$I,0)+IF(COUNTIF($E$194:$E407,$E407)&lt;=VLOOKUP($E407,$I$134:$K$193,3,0)-1,0,1),0)</f>
        <v>1121</v>
      </c>
      <c r="F408" s="45" t="str">
        <f t="shared" si="30"/>
        <v>紫霞仙子</v>
      </c>
      <c r="H408" s="45">
        <f>VLOOKUP($E408,[1]Sheet1!$A:$G,7,0)</f>
        <v>2</v>
      </c>
      <c r="I408" s="45" t="str">
        <f>IF($G408="","",IF(COUNTIF(技能描述!$D:$D,$F408)&gt;0,VLOOKUP($F408&amp;$G408,技能描述!$A:$C,3,0),LEFT(VLOOKUP($E408,[1]Sheet1!$A:$J,10,0),FIND("_",VLOOKUP($E408,[1]Sheet1!$A:$J,10,0))-1)&amp;$G408))</f>
        <v/>
      </c>
      <c r="J408" s="45" t="str">
        <f>IF($I408="","",VLOOKUP($I408,技能描述!$A:$C,3,0))</f>
        <v/>
      </c>
      <c r="K408" s="45" t="str">
        <f>IF($I408="","",INDEX([2]Sheet1!$1:$1048576,MATCH($I408,[2]Sheet1!$A:$A,0),MATCH("description_damage",[2]Sheet1!$2:$2,0)))</f>
        <v/>
      </c>
      <c r="L408" s="80" t="str">
        <f>IF($K408="","",IF(LEN($K408)-LEN(SUBSTITUTE($K408,",",""))=0,VLOOKUP(INT($K408),[3]Sheet1!$A:$C,3,0),VLOOKUP(INT(LEFT($K408,FIND(",",$K408)-1)),[3]Sheet1!$A:$C,3,0)))</f>
        <v/>
      </c>
      <c r="M408" s="80" t="str">
        <f t="shared" si="35"/>
        <v/>
      </c>
      <c r="N408" s="45" t="str">
        <f>IF(LEN($K408)-LEN(SUBSTITUTE($K408,",",""))=1,VLOOKUP(INT(RIGHT($K408,LEN($K408)-FIND(",",$K408))),[3]Sheet1!$A:$C,3,0),"")</f>
        <v/>
      </c>
      <c r="O408" s="45" t="str">
        <f t="shared" si="32"/>
        <v/>
      </c>
      <c r="P408" s="45" t="str">
        <f t="shared" si="28"/>
        <v/>
      </c>
      <c r="Q408" s="45" t="str">
        <f t="shared" si="33"/>
        <v/>
      </c>
      <c r="R408" s="45"/>
      <c r="S408" s="45" t="str">
        <f>IF(ISERROR($Q408),"进阶+"&amp;COUNTIF($E$194:$E408,$E408)&amp;"："&amp;"找ZC配技能","进阶+"&amp;COUNTIF($E$194:$E408,$E408)&amp;"："&amp;VLOOKUP(COUNTIF($E$194:$E408,$E408),$L$184:$R$193,IF(H408=1,4,IF(H408=4,3,2))+IF(INDEX([1]Sheet1!$1:$1048576,MATCH($E408,[1]Sheet1!$A:$A,0),MATCH("zizhi",[1]Sheet1!$2:$2,0))&gt;=13,0,3),0)&amp;IF($Q408="","","（"&amp;$Q408&amp;"）"))</f>
        <v>进阶+5：生命，防御提高10%</v>
      </c>
      <c r="T408" s="1"/>
      <c r="U408" s="1"/>
      <c r="V408" s="2" t="str">
        <f>VLOOKUP(COUNTIF($E$194:$E408,$E408),$L$184:$X$193,IF(H408=1,4,IF(H408=4,3,2))+IF(INDEX([1]Sheet1!$1:$1048576,MATCH($E408,[1]Sheet1!$A:$A,0),MATCH("zizhi",[1]Sheet1!$2:$2,0))&gt;=13,0,3)+6,0)</f>
        <v>11090,6502,6512</v>
      </c>
      <c r="W408" s="2" t="str">
        <f t="shared" si="31"/>
        <v>进阶+5：生命，防御提高10%</v>
      </c>
      <c r="X408" s="45" t="str">
        <f t="shared" si="29"/>
        <v>11090,6502,6512</v>
      </c>
      <c r="Y408" s="2"/>
      <c r="Z408" s="2"/>
      <c r="AA408" s="2"/>
    </row>
    <row r="409" spans="1:27" ht="49.5">
      <c r="A409" s="10">
        <f>E409*100+COUNTIF($E$194:$E409,$E409)</f>
        <v>112106</v>
      </c>
      <c r="B409" s="68" t="s">
        <v>2097</v>
      </c>
      <c r="C409" s="50" t="s">
        <v>2</v>
      </c>
      <c r="D409" s="10">
        <f t="shared" si="34"/>
        <v>1</v>
      </c>
      <c r="E409" s="45">
        <f>INDEX($I:$I,MATCH($E408,$I:$I,0)+IF(COUNTIF($E$194:$E408,$E408)&lt;=VLOOKUP($E408,$I$134:$K$193,3,0)-1,0,1),0)</f>
        <v>1121</v>
      </c>
      <c r="F409" s="45" t="str">
        <f t="shared" si="30"/>
        <v>紫霞仙子</v>
      </c>
      <c r="G409" s="45" t="s">
        <v>218</v>
      </c>
      <c r="H409" s="45">
        <f>VLOOKUP($E409,[1]Sheet1!$A:$G,7,0)</f>
        <v>2</v>
      </c>
      <c r="I409" s="45" t="str">
        <f>IF($G409="","",IF(COUNTIF(技能描述!$D:$D,$F409)&gt;0,VLOOKUP($F409&amp;$G409,技能描述!$A:$C,3,0),LEFT(VLOOKUP($E409,[1]Sheet1!$A:$J,10,0),FIND("_",VLOOKUP($E409,[1]Sheet1!$A:$J,10,0))-1)&amp;$G409))</f>
        <v>zixiaxianzi_skill011</v>
      </c>
      <c r="J409" s="45" t="str">
        <f>IF($I409="","",VLOOKUP($I409,技能描述!$A:$C,3,0))</f>
        <v>召唤大圣之前世，对范围内敌人进行7次攻击，造成3次主角攻击力@s的法伤,同时提升自身@s的法伤，持续3秒，对处于灼烧状态的目标增加20%的伤害</v>
      </c>
      <c r="K409" s="45" t="str">
        <f>IF($I409="","",INDEX([2]Sheet1!$1:$1048576,MATCH($I409,[2]Sheet1!$A:$A,0),MATCH("description_damage",[2]Sheet1!$2:$2,0)))</f>
        <v>112107,9020</v>
      </c>
      <c r="L409" s="80" t="str">
        <f>IF($K409="","",IF(LEN($K409)-LEN(SUBSTITUTE($K409,",",""))=0,VLOOKUP(INT($K409),[3]Sheet1!$A:$C,3,0),VLOOKUP(INT(LEFT($K409,FIND(",",$K409)-1)),[3]Sheet1!$A:$C,3,0)))</f>
        <v>2|2|0.57|0|0|0</v>
      </c>
      <c r="M409" s="80" t="str">
        <f t="shared" si="35"/>
        <v>57%</v>
      </c>
      <c r="N409" s="45" t="str">
        <f>IF(LEN($K409)-LEN(SUBSTITUTE($K409,",",""))=1,VLOOKUP(INT(RIGHT($K409,LEN($K409)-FIND(",",$K409))),[3]Sheet1!$A:$C,3,0),"")</f>
        <v>4|3|0.2|0|1</v>
      </c>
      <c r="O409" s="45" t="str">
        <f t="shared" si="32"/>
        <v>20%</v>
      </c>
      <c r="P409" s="45" t="str">
        <f t="shared" si="28"/>
        <v>召唤大圣之前世，对范围内敌人进行7次攻击，造成3次主角攻击力57%的法伤,同时提升自身@s的法伤，持续3秒，对处于灼烧状态的目标增加20%的伤害</v>
      </c>
      <c r="Q409" s="45" t="str">
        <f t="shared" si="33"/>
        <v>召唤大圣之前世，对范围内敌人进行7次攻击，造成3次主角攻击力57%的法伤,同时提升自身20%的法伤，持续3秒，对处于灼烧状态的目标增加20%的伤害</v>
      </c>
      <c r="R409" s="45"/>
      <c r="S409" s="45" t="str">
        <f>IF(ISERROR($Q409),"进阶+"&amp;COUNTIF($E$194:$E409,$E409)&amp;"："&amp;"找ZC配技能","进阶+"&amp;COUNTIF($E$194:$E409,$E409)&amp;"："&amp;VLOOKUP(COUNTIF($E$194:$E409,$E409),$L$184:$R$193,IF(H409=1,4,IF(H409=4,3,2))+IF(INDEX([1]Sheet1!$1:$1048576,MATCH($E409,[1]Sheet1!$A:$A,0),MATCH("zizhi",[1]Sheet1!$2:$2,0))&gt;=13,0,3),0)&amp;IF($Q409="","","（"&amp;$Q409&amp;"）"))</f>
        <v>进阶+6：增强主角技能（召唤大圣之前世，对范围内敌人进行7次攻击，造成3次主角攻击力57%的法伤,同时提升自身20%的法伤，持续3秒，对处于灼烧状态的目标增加20%的伤害）</v>
      </c>
      <c r="T409" s="1"/>
      <c r="U409" s="1"/>
      <c r="V409" s="2" t="str">
        <f>VLOOKUP(COUNTIF($E$194:$E409,$E409),$L$184:$X$193,IF(H409=1,4,IF(H409=4,3,2))+IF(INDEX([1]Sheet1!$1:$1048576,MATCH($E409,[1]Sheet1!$A:$A,0),MATCH("zizhi",[1]Sheet1!$2:$2,0))&gt;=13,0,3)+6,0)</f>
        <v>[]</v>
      </c>
      <c r="W409" s="2" t="str">
        <f t="shared" si="31"/>
        <v>进阶+6：增强主角技能（召唤大圣之前世，对范围内敌人进行7次攻击，造成3次主角攻击力57%的法伤,同时提升自身20%的法伤，持续3秒，对处于灼烧状态的目标增加20%的伤害）</v>
      </c>
      <c r="X409" s="45" t="str">
        <f t="shared" si="29"/>
        <v>[]</v>
      </c>
      <c r="Y409" s="2"/>
      <c r="Z409" s="2"/>
      <c r="AA409" s="2"/>
    </row>
    <row r="410" spans="1:27">
      <c r="A410" s="10">
        <f>E410*100+COUNTIF($E$194:$E410,$E410)</f>
        <v>112107</v>
      </c>
      <c r="B410" s="68" t="s">
        <v>359</v>
      </c>
      <c r="C410" s="50" t="s">
        <v>353</v>
      </c>
      <c r="D410" s="10" t="str">
        <f t="shared" si="34"/>
        <v>[]</v>
      </c>
      <c r="E410" s="45">
        <f>INDEX($I:$I,MATCH($E409,$I:$I,0)+IF(COUNTIF($E$194:$E409,$E409)&lt;=VLOOKUP($E409,$I$134:$K$193,3,0)-1,0,1),0)</f>
        <v>1121</v>
      </c>
      <c r="F410" s="45" t="str">
        <f t="shared" si="30"/>
        <v>紫霞仙子</v>
      </c>
      <c r="H410" s="45">
        <f>VLOOKUP($E410,[1]Sheet1!$A:$G,7,0)</f>
        <v>2</v>
      </c>
      <c r="I410" s="45" t="str">
        <f>IF($G410="","",IF(COUNTIF(技能描述!$D:$D,$F410)&gt;0,VLOOKUP($F410&amp;$G410,技能描述!$A:$C,3,0),LEFT(VLOOKUP($E410,[1]Sheet1!$A:$J,10,0),FIND("_",VLOOKUP($E410,[1]Sheet1!$A:$J,10,0))-1)&amp;$G410))</f>
        <v/>
      </c>
      <c r="J410" s="45" t="str">
        <f>IF($I410="","",VLOOKUP($I410,技能描述!$A:$C,3,0))</f>
        <v/>
      </c>
      <c r="K410" s="45" t="str">
        <f>IF($I410="","",INDEX([2]Sheet1!$1:$1048576,MATCH($I410,[2]Sheet1!$A:$A,0),MATCH("description_damage",[2]Sheet1!$2:$2,0)))</f>
        <v/>
      </c>
      <c r="L410" s="80" t="str">
        <f>IF($K410="","",IF(LEN($K410)-LEN(SUBSTITUTE($K410,",",""))=0,VLOOKUP(INT($K410),[3]Sheet1!$A:$C,3,0),VLOOKUP(INT(LEFT($K410,FIND(",",$K410)-1)),[3]Sheet1!$A:$C,3,0)))</f>
        <v/>
      </c>
      <c r="M410" s="80" t="str">
        <f t="shared" si="35"/>
        <v/>
      </c>
      <c r="N410" s="45" t="str">
        <f>IF(LEN($K410)-LEN(SUBSTITUTE($K410,",",""))=1,VLOOKUP(INT(RIGHT($K410,LEN($K410)-FIND(",",$K410))),[3]Sheet1!$A:$C,3,0),"")</f>
        <v/>
      </c>
      <c r="O410" s="45" t="str">
        <f t="shared" si="32"/>
        <v/>
      </c>
      <c r="P410" s="45" t="str">
        <f t="shared" si="28"/>
        <v/>
      </c>
      <c r="Q410" s="45" t="str">
        <f t="shared" si="33"/>
        <v/>
      </c>
      <c r="R410" s="45"/>
      <c r="S410" s="45" t="str">
        <f>IF(ISERROR($Q410),"进阶+"&amp;COUNTIF($E$194:$E410,$E410)&amp;"："&amp;"找ZC配技能","进阶+"&amp;COUNTIF($E$194:$E410,$E410)&amp;"："&amp;VLOOKUP(COUNTIF($E$194:$E410,$E410),$L$184:$R$193,IF(H410=1,4,IF(H410=4,3,2))+IF(INDEX([1]Sheet1!$1:$1048576,MATCH($E410,[1]Sheet1!$A:$A,0),MATCH("zizhi",[1]Sheet1!$2:$2,0))&gt;=13,0,3),0)&amp;IF($Q410="","","（"&amp;$Q410&amp;"）"))</f>
        <v>进阶+7：全队攻击提高10%</v>
      </c>
      <c r="T410" s="1"/>
      <c r="U410" s="1"/>
      <c r="V410" s="2" t="str">
        <f>VLOOKUP(COUNTIF($E$194:$E410,$E410),$L$184:$X$193,IF(H410=1,4,IF(H410=4,3,2))+IF(INDEX([1]Sheet1!$1:$1048576,MATCH($E410,[1]Sheet1!$A:$A,0),MATCH("zizhi",[1]Sheet1!$2:$2,0))&gt;=13,0,3)+6,0)</f>
        <v>58010</v>
      </c>
      <c r="W410" s="2" t="str">
        <f t="shared" si="31"/>
        <v>进阶+7：全队攻击提高10%</v>
      </c>
      <c r="X410" s="45" t="str">
        <f t="shared" si="29"/>
        <v>58010</v>
      </c>
      <c r="Y410" s="2"/>
      <c r="Z410" s="2"/>
      <c r="AA410" s="2"/>
    </row>
    <row r="411" spans="1:27" ht="33">
      <c r="A411" s="10">
        <f>E411*100+COUNTIF($E$194:$E411,$E411)</f>
        <v>112108</v>
      </c>
      <c r="B411" s="68" t="s">
        <v>2027</v>
      </c>
      <c r="C411" s="50" t="s">
        <v>2</v>
      </c>
      <c r="D411" s="10">
        <f t="shared" si="34"/>
        <v>1</v>
      </c>
      <c r="E411" s="45">
        <f>INDEX($I:$I,MATCH($E410,$I:$I,0)+IF(COUNTIF($E$194:$E410,$E410)&lt;=VLOOKUP($E410,$I$134:$K$193,3,0)-1,0,1),0)</f>
        <v>1121</v>
      </c>
      <c r="F411" s="45" t="str">
        <f t="shared" si="30"/>
        <v>紫霞仙子</v>
      </c>
      <c r="G411" s="45" t="s">
        <v>219</v>
      </c>
      <c r="H411" s="45">
        <f>VLOOKUP($E411,[1]Sheet1!$A:$G,7,0)</f>
        <v>2</v>
      </c>
      <c r="I411" s="45" t="str">
        <f>IF($G411="","",IF(COUNTIF(技能描述!$D:$D,$F411)&gt;0,VLOOKUP($F411&amp;$G411,技能描述!$A:$C,3,0),LEFT(VLOOKUP($E411,[1]Sheet1!$A:$J,10,0),FIND("_",VLOOKUP($E411,[1]Sheet1!$A:$J,10,0))-1)&amp;$G411))</f>
        <v>zixiaxianzi_skill021</v>
      </c>
      <c r="J411" s="45" t="str">
        <f>IF($I411="","",VLOOKUP($I411,技能描述!$A:$C,3,0))</f>
        <v>剑出飞鸾，对范围内敌人进行3次攻击，造成自身攻击力@s的法伤，并增加敌人受到的伤害@s，持续3秒</v>
      </c>
      <c r="K411" s="45" t="str">
        <f>IF($I411="","",INDEX([2]Sheet1!$1:$1048576,MATCH($I411,[2]Sheet1!$A:$A,0),MATCH("description_damage",[2]Sheet1!$2:$2,0)))</f>
        <v>112108,9015</v>
      </c>
      <c r="L411" s="80" t="str">
        <f>IF($K411="","",IF(LEN($K411)-LEN(SUBSTITUTE($K411,",",""))=0,VLOOKUP(INT($K411),[3]Sheet1!$A:$C,3,0),VLOOKUP(INT(LEFT($K411,FIND(",",$K411)-1)),[3]Sheet1!$A:$C,3,0)))</f>
        <v>2|2|0.77|0|0|0</v>
      </c>
      <c r="M411" s="80" t="str">
        <f t="shared" si="35"/>
        <v>77%</v>
      </c>
      <c r="N411" s="45" t="str">
        <f>IF(LEN($K411)-LEN(SUBSTITUTE($K411,",",""))=1,VLOOKUP(INT(RIGHT($K411,LEN($K411)-FIND(",",$K411))),[3]Sheet1!$A:$C,3,0),"")</f>
        <v>4|3|0.15|0|1</v>
      </c>
      <c r="O411" s="45" t="str">
        <f t="shared" si="32"/>
        <v>15%</v>
      </c>
      <c r="P411" s="45" t="str">
        <f t="shared" si="28"/>
        <v>剑出飞鸾，对范围内敌人进行3次攻击，造成自身攻击力77%的法伤，并增加敌人受到的伤害@s，持续3秒</v>
      </c>
      <c r="Q411" s="45" t="str">
        <f t="shared" si="33"/>
        <v>剑出飞鸾，对范围内敌人进行3次攻击，造成自身攻击力77%的法伤，并增加敌人受到的伤害15%，持续3秒</v>
      </c>
      <c r="R411" s="45"/>
      <c r="S411" s="45" t="str">
        <f>IF(ISERROR($Q411),"进阶+"&amp;COUNTIF($E$194:$E411,$E411)&amp;"："&amp;"找ZC配技能","进阶+"&amp;COUNTIF($E$194:$E411,$E411)&amp;"："&amp;VLOOKUP(COUNTIF($E$194:$E411,$E411),$L$184:$R$193,IF(H411=1,4,IF(H411=4,3,2))+IF(INDEX([1]Sheet1!$1:$1048576,MATCH($E411,[1]Sheet1!$A:$A,0),MATCH("zizhi",[1]Sheet1!$2:$2,0))&gt;=13,0,3),0)&amp;IF($Q411="","","（"&amp;$Q411&amp;"）"))</f>
        <v>进阶+8：增强AI1技能（剑出飞鸾，对范围内敌人进行3次攻击，造成自身攻击力77%的法伤，并增加敌人受到的伤害15%，持续3秒）</v>
      </c>
      <c r="T411" s="1"/>
      <c r="U411" s="1"/>
      <c r="V411" s="2" t="str">
        <f>VLOOKUP(COUNTIF($E$194:$E411,$E411),$L$184:$X$193,IF(H411=1,4,IF(H411=4,3,2))+IF(INDEX([1]Sheet1!$1:$1048576,MATCH($E411,[1]Sheet1!$A:$A,0),MATCH("zizhi",[1]Sheet1!$2:$2,0))&gt;=13,0,3)+6,0)</f>
        <v>[]</v>
      </c>
      <c r="W411" s="2" t="str">
        <f t="shared" si="31"/>
        <v>进阶+8：增强AI1技能（剑出飞鸾，对范围内敌人进行3次攻击，造成自身攻击力77%的法伤，并增加敌人受到的伤害15%，持续3秒）</v>
      </c>
      <c r="X411" s="45" t="str">
        <f t="shared" si="29"/>
        <v>[]</v>
      </c>
      <c r="Y411" s="2"/>
      <c r="Z411" s="2"/>
      <c r="AA411" s="2"/>
    </row>
    <row r="412" spans="1:27">
      <c r="A412" s="10">
        <f>E412*100+COUNTIF($E$194:$E412,$E412)</f>
        <v>112109</v>
      </c>
      <c r="B412" s="68" t="s">
        <v>1899</v>
      </c>
      <c r="C412" s="50" t="s">
        <v>2085</v>
      </c>
      <c r="D412" s="10" t="str">
        <f t="shared" si="34"/>
        <v>[]</v>
      </c>
      <c r="E412" s="45">
        <f>INDEX($I:$I,MATCH($E411,$I:$I,0)+IF(COUNTIF($E$194:$E411,$E411)&lt;=VLOOKUP($E411,$I$134:$K$193,3,0)-1,0,1),0)</f>
        <v>1121</v>
      </c>
      <c r="F412" s="45" t="str">
        <f t="shared" si="30"/>
        <v>紫霞仙子</v>
      </c>
      <c r="H412" s="45">
        <f>VLOOKUP($E412,[1]Sheet1!$A:$G,7,0)</f>
        <v>2</v>
      </c>
      <c r="I412" s="45" t="str">
        <f>IF($G412="","",IF(COUNTIF(技能描述!$D:$D,$F412)&gt;0,VLOOKUP($F412&amp;$G412,技能描述!$A:$C,3,0),LEFT(VLOOKUP($E412,[1]Sheet1!$A:$J,10,0),FIND("_",VLOOKUP($E412,[1]Sheet1!$A:$J,10,0))-1)&amp;$G412))</f>
        <v/>
      </c>
      <c r="J412" s="45" t="str">
        <f>IF($I412="","",VLOOKUP($I412,技能描述!$A:$C,3,0))</f>
        <v/>
      </c>
      <c r="K412" s="45" t="str">
        <f>IF($I412="","",INDEX([2]Sheet1!$1:$1048576,MATCH($I412,[2]Sheet1!$A:$A,0),MATCH("description_damage",[2]Sheet1!$2:$2,0)))</f>
        <v/>
      </c>
      <c r="L412" s="80" t="str">
        <f>IF($K412="","",IF(LEN($K412)-LEN(SUBSTITUTE($K412,",",""))=0,VLOOKUP(INT($K412),[3]Sheet1!$A:$C,3,0),VLOOKUP(INT(LEFT($K412,FIND(",",$K412)-1)),[3]Sheet1!$A:$C,3,0)))</f>
        <v/>
      </c>
      <c r="M412" s="80" t="str">
        <f t="shared" si="35"/>
        <v/>
      </c>
      <c r="N412" s="45" t="str">
        <f>IF(LEN($K412)-LEN(SUBSTITUTE($K412,",",""))=1,VLOOKUP(INT(RIGHT($K412,LEN($K412)-FIND(",",$K412))),[3]Sheet1!$A:$C,3,0),"")</f>
        <v/>
      </c>
      <c r="O412" s="45" t="str">
        <f t="shared" si="32"/>
        <v/>
      </c>
      <c r="P412" s="45" t="str">
        <f t="shared" si="28"/>
        <v/>
      </c>
      <c r="Q412" s="45" t="str">
        <f t="shared" si="33"/>
        <v/>
      </c>
      <c r="R412" s="45"/>
      <c r="S412" s="45" t="str">
        <f>IF(ISERROR($Q412),"进阶+"&amp;COUNTIF($E$194:$E412,$E412)&amp;"："&amp;"找ZC配技能","进阶+"&amp;COUNTIF($E$194:$E412,$E412)&amp;"："&amp;VLOOKUP(COUNTIF($E$194:$E412,$E412),$L$184:$R$193,IF(H412=1,4,IF(H412=4,3,2))+IF(INDEX([1]Sheet1!$1:$1048576,MATCH($E412,[1]Sheet1!$A:$A,0),MATCH("zizhi",[1]Sheet1!$2:$2,0))&gt;=13,0,3),0)&amp;IF($Q412="","","（"&amp;$Q412&amp;"）"))</f>
        <v>进阶+9：全队攻击提高15%</v>
      </c>
      <c r="T412" s="1"/>
      <c r="U412" s="1"/>
      <c r="V412" s="2" t="str">
        <f>VLOOKUP(COUNTIF($E$194:$E412,$E412),$L$184:$X$193,IF(H412=1,4,IF(H412=4,3,2))+IF(INDEX([1]Sheet1!$1:$1048576,MATCH($E412,[1]Sheet1!$A:$A,0),MATCH("zizhi",[1]Sheet1!$2:$2,0))&gt;=13,0,3)+6,0)</f>
        <v>58015</v>
      </c>
      <c r="W412" s="2" t="str">
        <f t="shared" si="31"/>
        <v>进阶+9：全队攻击提高15%</v>
      </c>
      <c r="X412" s="45" t="str">
        <f t="shared" si="29"/>
        <v>58015</v>
      </c>
      <c r="Y412" s="2"/>
      <c r="Z412" s="2"/>
      <c r="AA412" s="2"/>
    </row>
    <row r="413" spans="1:27" ht="33">
      <c r="A413" s="10">
        <f>E413*100+COUNTIF($E$194:$E413,$E413)</f>
        <v>112110</v>
      </c>
      <c r="B413" s="68" t="s">
        <v>2098</v>
      </c>
      <c r="C413" s="50" t="s">
        <v>2</v>
      </c>
      <c r="D413" s="10">
        <f t="shared" si="34"/>
        <v>1</v>
      </c>
      <c r="E413" s="45">
        <f>INDEX($I:$I,MATCH($E412,$I:$I,0)+IF(COUNTIF($E$194:$E412,$E412)&lt;=VLOOKUP($E412,$I$134:$K$193,3,0)-1,0,1),0)</f>
        <v>1121</v>
      </c>
      <c r="F413" s="45" t="str">
        <f t="shared" si="30"/>
        <v>紫霞仙子</v>
      </c>
      <c r="G413" s="45" t="s">
        <v>220</v>
      </c>
      <c r="H413" s="45">
        <f>VLOOKUP($E413,[1]Sheet1!$A:$G,7,0)</f>
        <v>2</v>
      </c>
      <c r="I413" s="45" t="str">
        <f>IF($G413="","",IF(COUNTIF(技能描述!$D:$D,$F413)&gt;0,VLOOKUP($F413&amp;$G413,技能描述!$A:$C,3,0),LEFT(VLOOKUP($E413,[1]Sheet1!$A:$J,10,0),FIND("_",VLOOKUP($E413,[1]Sheet1!$A:$J,10,0))-1)&amp;$G413))</f>
        <v>zixiaxianzi_skill041</v>
      </c>
      <c r="J413" s="45" t="str">
        <f>IF($I413="","",VLOOKUP($I413,技能描述!$A:$C,3,0))</f>
        <v>剑快留痕，对范围内敌人进行5次攻击，造成自身攻击力@s的法伤,并造成高级流血效果，持续6秒</v>
      </c>
      <c r="K413" s="45" t="str">
        <f>IF($I413="","",INDEX([2]Sheet1!$1:$1048576,MATCH($I413,[2]Sheet1!$A:$A,0),MATCH("description_damage",[2]Sheet1!$2:$2,0)))</f>
        <v>112109</v>
      </c>
      <c r="L413" s="80" t="str">
        <f>IF($K413="","",IF(LEN($K413)-LEN(SUBSTITUTE($K413,",",""))=0,VLOOKUP(INT($K413),[3]Sheet1!$A:$C,3,0),VLOOKUP(INT(LEFT($K413,FIND(",",$K413)-1)),[3]Sheet1!$A:$C,3,0)))</f>
        <v>2|2|0.46|0|0|0</v>
      </c>
      <c r="M413" s="80" t="str">
        <f t="shared" si="35"/>
        <v>46%</v>
      </c>
      <c r="N413" s="45" t="str">
        <f>IF(LEN($K413)-LEN(SUBSTITUTE($K413,",",""))=1,VLOOKUP(INT(RIGHT($K413,LEN($K413)-FIND(",",$K413))),[3]Sheet1!$A:$C,3,0),"")</f>
        <v/>
      </c>
      <c r="O413" s="45" t="str">
        <f t="shared" si="32"/>
        <v/>
      </c>
      <c r="P413" s="45" t="str">
        <f t="shared" si="28"/>
        <v>剑快留痕，对范围内敌人进行5次攻击，造成自身攻击力46%的法伤,并造成高级流血效果，持续6秒</v>
      </c>
      <c r="Q413" s="45" t="str">
        <f t="shared" si="33"/>
        <v>剑快留痕，对范围内敌人进行5次攻击，造成自身攻击力46%的法伤,并造成高级流血效果，持续6秒</v>
      </c>
      <c r="R413" s="45"/>
      <c r="S413" s="45" t="str">
        <f>IF(ISERROR($Q413),"进阶+"&amp;COUNTIF($E$194:$E413,$E413)&amp;"："&amp;"找ZC配技能","进阶+"&amp;COUNTIF($E$194:$E413,$E413)&amp;"："&amp;VLOOKUP(COUNTIF($E$194:$E413,$E413),$L$184:$R$193,IF(H413=1,4,IF(H413=4,3,2))+IF(INDEX([1]Sheet1!$1:$1048576,MATCH($E413,[1]Sheet1!$A:$A,0),MATCH("zizhi",[1]Sheet1!$2:$2,0))&gt;=13,0,3),0)&amp;IF($Q413="","","（"&amp;$Q413&amp;"）"))</f>
        <v>进阶+10：增强AI2技能（剑快留痕，对范围内敌人进行5次攻击，造成自身攻击力46%的法伤,并造成高级流血效果，持续6秒）</v>
      </c>
      <c r="T413" s="1"/>
      <c r="U413" s="1"/>
      <c r="V413" s="2" t="str">
        <f>VLOOKUP(COUNTIF($E$194:$E413,$E413),$L$184:$X$193,IF(H413=1,4,IF(H413=4,3,2))+IF(INDEX([1]Sheet1!$1:$1048576,MATCH($E413,[1]Sheet1!$A:$A,0),MATCH("zizhi",[1]Sheet1!$2:$2,0))&gt;=13,0,3)+6,0)</f>
        <v>[]</v>
      </c>
      <c r="W413" s="2" t="str">
        <f t="shared" si="31"/>
        <v>进阶+10：增强AI2技能（剑快留痕，对范围内敌人进行5次攻击，造成自身攻击力46%的法伤,并造成高级流血效果，持续6秒）</v>
      </c>
      <c r="X413" s="45" t="str">
        <f t="shared" si="29"/>
        <v>[]</v>
      </c>
      <c r="Y413" s="2"/>
      <c r="Z413" s="2"/>
      <c r="AA413" s="2"/>
    </row>
    <row r="414" spans="1:27">
      <c r="A414" s="10">
        <f>E414*100+COUNTIF($E$194:$E414,$E414)</f>
        <v>121501</v>
      </c>
      <c r="B414" s="68" t="s">
        <v>319</v>
      </c>
      <c r="C414" s="50">
        <v>11090</v>
      </c>
      <c r="D414" s="10" t="str">
        <f t="shared" si="34"/>
        <v>[]</v>
      </c>
      <c r="E414" s="45">
        <f>INDEX($I:$I,MATCH($E413,$I:$I,0)+IF(COUNTIF($E$194:$E413,$E413)&lt;=VLOOKUP($E413,$I$134:$K$193,3,0)-1,0,1),0)</f>
        <v>1215</v>
      </c>
      <c r="F414" s="45" t="str">
        <f t="shared" si="30"/>
        <v>观世音</v>
      </c>
      <c r="H414" s="45">
        <f>VLOOKUP($E414,[1]Sheet1!$A:$G,7,0)</f>
        <v>1</v>
      </c>
      <c r="I414" s="45" t="str">
        <f>IF($G414="","",IF(COUNTIF(技能描述!$D:$D,$F414)&gt;0,VLOOKUP($F414&amp;$G414,技能描述!$A:$C,3,0),LEFT(VLOOKUP($E414,[1]Sheet1!$A:$J,10,0),FIND("_",VLOOKUP($E414,[1]Sheet1!$A:$J,10,0))-1)&amp;$G414))</f>
        <v/>
      </c>
      <c r="J414" s="45" t="str">
        <f>IF($I414="","",VLOOKUP($I414,技能描述!$A:$C,3,0))</f>
        <v/>
      </c>
      <c r="K414" s="45" t="str">
        <f>IF($I414="","",INDEX([2]Sheet1!$1:$1048576,MATCH($I414,[2]Sheet1!$A:$A,0),MATCH("description_damage",[2]Sheet1!$2:$2,0)))</f>
        <v/>
      </c>
      <c r="L414" s="80" t="str">
        <f>IF($K414="","",IF(LEN($K414)-LEN(SUBSTITUTE($K414,",",""))=0,VLOOKUP(INT($K414),[3]Sheet1!$A:$C,3,0),VLOOKUP(INT(LEFT($K414,FIND(",",$K414)-1)),[3]Sheet1!$A:$C,3,0)))</f>
        <v/>
      </c>
      <c r="M414" s="80" t="str">
        <f t="shared" si="35"/>
        <v/>
      </c>
      <c r="N414" s="45" t="str">
        <f>IF(LEN($K414)-LEN(SUBSTITUTE($K414,",",""))=1,VLOOKUP(INT(RIGHT($K414,LEN($K414)-FIND(",",$K414))),[3]Sheet1!$A:$C,3,0),"")</f>
        <v/>
      </c>
      <c r="O414" s="45" t="str">
        <f t="shared" si="32"/>
        <v/>
      </c>
      <c r="P414" s="45" t="str">
        <f t="shared" si="28"/>
        <v/>
      </c>
      <c r="Q414" s="45" t="str">
        <f t="shared" si="33"/>
        <v/>
      </c>
      <c r="R414" s="45"/>
      <c r="S414" s="45" t="str">
        <f>IF(ISERROR($Q414),"进阶+"&amp;COUNTIF($E$194:$E414,$E414)&amp;"："&amp;"找ZC配技能","进阶+"&amp;COUNTIF($E$194:$E414,$E414)&amp;"："&amp;VLOOKUP(COUNTIF($E$194:$E414,$E414),$L$184:$R$193,IF(H414=1,4,IF(H414=4,3,2))+IF(INDEX([1]Sheet1!$1:$1048576,MATCH($E414,[1]Sheet1!$A:$A,0),MATCH("zizhi",[1]Sheet1!$2:$2,0))&gt;=13,0,3),0)&amp;IF($Q414="","","（"&amp;$Q414&amp;"）"))</f>
        <v>进阶+1：生命提高10%</v>
      </c>
      <c r="T414" s="1"/>
      <c r="U414" s="1"/>
      <c r="V414" s="2">
        <f>VLOOKUP(COUNTIF($E$194:$E414,$E414),$L$184:$X$193,IF(H414=1,4,IF(H414=4,3,2))+IF(INDEX([1]Sheet1!$1:$1048576,MATCH($E414,[1]Sheet1!$A:$A,0),MATCH("zizhi",[1]Sheet1!$2:$2,0))&gt;=13,0,3)+6,0)</f>
        <v>11090</v>
      </c>
      <c r="W414" s="2" t="str">
        <f t="shared" si="31"/>
        <v>进阶+1：生命提高10%</v>
      </c>
      <c r="X414" s="45">
        <f t="shared" si="29"/>
        <v>11090</v>
      </c>
      <c r="Y414" s="2"/>
      <c r="Z414" s="2"/>
      <c r="AA414" s="2"/>
    </row>
    <row r="415" spans="1:27" ht="33">
      <c r="A415" s="10">
        <f>E415*100+COUNTIF($E$194:$E415,$E415)</f>
        <v>121502</v>
      </c>
      <c r="B415" s="68" t="s">
        <v>336</v>
      </c>
      <c r="C415" s="50" t="s">
        <v>2</v>
      </c>
      <c r="D415" s="10">
        <f t="shared" si="34"/>
        <v>1</v>
      </c>
      <c r="E415" s="45">
        <f>INDEX($I:$I,MATCH($E414,$I:$I,0)+IF(COUNTIF($E$194:$E414,$E414)&lt;=VLOOKUP($E414,$I$134:$K$193,3,0)-1,0,1),0)</f>
        <v>1215</v>
      </c>
      <c r="F415" s="45" t="str">
        <f t="shared" si="30"/>
        <v>观世音</v>
      </c>
      <c r="G415" s="45" t="s">
        <v>216</v>
      </c>
      <c r="H415" s="45">
        <f>VLOOKUP($E415,[1]Sheet1!$A:$G,7,0)</f>
        <v>1</v>
      </c>
      <c r="I415" s="45" t="str">
        <f>IF($G415="","",IF(COUNTIF(技能描述!$D:$D,$F415)&gt;0,VLOOKUP($F415&amp;$G415,技能描述!$A:$C,3,0),LEFT(VLOOKUP($E415,[1]Sheet1!$A:$J,10,0),FIND("_",VLOOKUP($E415,[1]Sheet1!$A:$J,10,0))-1)&amp;$G415))</f>
        <v>guanshiyin_skill03</v>
      </c>
      <c r="J415" s="45" t="str">
        <f>IF($I415="","",VLOOKUP($I415,技能描述!$A:$C,3,0))</f>
        <v>进入战斗场景时，降低全体友军受到的伤害@s</v>
      </c>
      <c r="K415" s="45" t="str">
        <f>IF($I415="","",INDEX([2]Sheet1!$1:$1048576,MATCH($I415,[2]Sheet1!$A:$A,0),MATCH("description_damage",[2]Sheet1!$2:$2,0)))</f>
        <v>9010</v>
      </c>
      <c r="L415" s="80" t="str">
        <f>IF($K415="","",IF(LEN($K415)-LEN(SUBSTITUTE($K415,",",""))=0,VLOOKUP(INT($K415),[3]Sheet1!$A:$C,3,0),VLOOKUP(INT(LEFT($K415,FIND(",",$K415)-1)),[3]Sheet1!$A:$C,3,0)))</f>
        <v>4|3|0.1|0|1</v>
      </c>
      <c r="M415" s="80" t="str">
        <f t="shared" si="35"/>
        <v>10%</v>
      </c>
      <c r="N415" s="45" t="str">
        <f>IF(LEN($K415)-LEN(SUBSTITUTE($K415,",",""))=1,VLOOKUP(INT(RIGHT($K415,LEN($K415)-FIND(",",$K415))),[3]Sheet1!$A:$C,3,0),"")</f>
        <v/>
      </c>
      <c r="O415" s="45" t="str">
        <f t="shared" si="32"/>
        <v/>
      </c>
      <c r="P415" s="45" t="str">
        <f t="shared" si="28"/>
        <v>进入战斗场景时，降低全体友军受到的伤害10%</v>
      </c>
      <c r="Q415" s="45" t="str">
        <f t="shared" si="33"/>
        <v>进入战斗场景时，降低全体友军受到的伤害10%</v>
      </c>
      <c r="R415" s="45"/>
      <c r="S415" s="45" t="str">
        <f>IF(ISERROR($Q415),"进阶+"&amp;COUNTIF($E$194:$E415,$E415)&amp;"："&amp;"找ZC配技能","进阶+"&amp;COUNTIF($E$194:$E415,$E415)&amp;"："&amp;VLOOKUP(COUNTIF($E$194:$E415,$E415),$L$184:$R$193,IF(H415=1,4,IF(H415=4,3,2))+IF(INDEX([1]Sheet1!$1:$1048576,MATCH($E415,[1]Sheet1!$A:$A,0),MATCH("zizhi",[1]Sheet1!$2:$2,0))&gt;=13,0,3),0)&amp;IF($Q415="","","（"&amp;$Q415&amp;"）"))</f>
        <v>进阶+2：激活被动技能（进入战斗场景时，降低全体友军受到的伤害10%）</v>
      </c>
      <c r="T415" s="1"/>
      <c r="U415" s="1"/>
      <c r="V415" s="2" t="str">
        <f>VLOOKUP(COUNTIF($E$194:$E415,$E415),$L$184:$X$193,IF(H415=1,4,IF(H415=4,3,2))+IF(INDEX([1]Sheet1!$1:$1048576,MATCH($E415,[1]Sheet1!$A:$A,0),MATCH("zizhi",[1]Sheet1!$2:$2,0))&gt;=13,0,3)+6,0)</f>
        <v>[]</v>
      </c>
      <c r="W415" s="2" t="str">
        <f t="shared" si="31"/>
        <v>进阶+2：激活被动技能（进入战斗场景时，降低全体友军受到的伤害10%）</v>
      </c>
      <c r="X415" s="45" t="str">
        <f t="shared" si="29"/>
        <v>[]</v>
      </c>
      <c r="Y415" s="2"/>
      <c r="Z415" s="2"/>
      <c r="AA415" s="2"/>
    </row>
    <row r="416" spans="1:27">
      <c r="A416" s="10">
        <f>E416*100+COUNTIF($E$194:$E416,$E416)</f>
        <v>121503</v>
      </c>
      <c r="B416" s="68" t="s">
        <v>312</v>
      </c>
      <c r="C416" s="50" t="s">
        <v>127</v>
      </c>
      <c r="D416" s="10" t="str">
        <f t="shared" si="34"/>
        <v>[]</v>
      </c>
      <c r="E416" s="45">
        <f>INDEX($I:$I,MATCH($E415,$I:$I,0)+IF(COUNTIF($E$194:$E415,$E415)&lt;=VLOOKUP($E415,$I$134:$K$193,3,0)-1,0,1),0)</f>
        <v>1215</v>
      </c>
      <c r="F416" s="45" t="str">
        <f t="shared" si="30"/>
        <v>观世音</v>
      </c>
      <c r="H416" s="45">
        <f>VLOOKUP($E416,[1]Sheet1!$A:$G,7,0)</f>
        <v>1</v>
      </c>
      <c r="I416" s="45" t="str">
        <f>IF($G416="","",IF(COUNTIF(技能描述!$D:$D,$F416)&gt;0,VLOOKUP($F416&amp;$G416,技能描述!$A:$C,3,0),LEFT(VLOOKUP($E416,[1]Sheet1!$A:$J,10,0),FIND("_",VLOOKUP($E416,[1]Sheet1!$A:$J,10,0))-1)&amp;$G416))</f>
        <v/>
      </c>
      <c r="J416" s="45" t="str">
        <f>IF($I416="","",VLOOKUP($I416,技能描述!$A:$C,3,0))</f>
        <v/>
      </c>
      <c r="K416" s="45" t="str">
        <f>IF($I416="","",INDEX([2]Sheet1!$1:$1048576,MATCH($I416,[2]Sheet1!$A:$A,0),MATCH("description_damage",[2]Sheet1!$2:$2,0)))</f>
        <v/>
      </c>
      <c r="L416" s="80" t="str">
        <f>IF($K416="","",IF(LEN($K416)-LEN(SUBSTITUTE($K416,",",""))=0,VLOOKUP(INT($K416),[3]Sheet1!$A:$C,3,0),VLOOKUP(INT(LEFT($K416,FIND(",",$K416)-1)),[3]Sheet1!$A:$C,3,0)))</f>
        <v/>
      </c>
      <c r="M416" s="80" t="str">
        <f t="shared" si="35"/>
        <v/>
      </c>
      <c r="N416" s="45" t="str">
        <f>IF(LEN($K416)-LEN(SUBSTITUTE($K416,",",""))=1,VLOOKUP(INT(RIGHT($K416,LEN($K416)-FIND(",",$K416))),[3]Sheet1!$A:$C,3,0),"")</f>
        <v/>
      </c>
      <c r="O416" s="45" t="str">
        <f t="shared" si="32"/>
        <v/>
      </c>
      <c r="P416" s="45" t="str">
        <f t="shared" si="28"/>
        <v/>
      </c>
      <c r="Q416" s="45" t="str">
        <f t="shared" si="33"/>
        <v/>
      </c>
      <c r="R416" s="45"/>
      <c r="S416" s="45" t="str">
        <f>IF(ISERROR($Q416),"进阶+"&amp;COUNTIF($E$194:$E416,$E416)&amp;"："&amp;"找ZC配技能","进阶+"&amp;COUNTIF($E$194:$E416,$E416)&amp;"："&amp;VLOOKUP(COUNTIF($E$194:$E416,$E416),$L$184:$R$193,IF(H416=1,4,IF(H416=4,3,2))+IF(INDEX([1]Sheet1!$1:$1048576,MATCH($E416,[1]Sheet1!$A:$A,0),MATCH("zizhi",[1]Sheet1!$2:$2,0))&gt;=13,0,3),0)&amp;IF($Q416="","","（"&amp;$Q416&amp;"）"))</f>
        <v>进阶+3：攻击提高10%</v>
      </c>
      <c r="T416" s="1"/>
      <c r="U416" s="1"/>
      <c r="V416" s="2" t="str">
        <f>VLOOKUP(COUNTIF($E$194:$E416,$E416),$L$184:$X$193,IF(H416=1,4,IF(H416=4,3,2))+IF(INDEX([1]Sheet1!$1:$1048576,MATCH($E416,[1]Sheet1!$A:$A,0),MATCH("zizhi",[1]Sheet1!$2:$2,0))&gt;=13,0,3)+6,0)</f>
        <v>11050</v>
      </c>
      <c r="W416" s="2" t="str">
        <f t="shared" si="31"/>
        <v>进阶+3：攻击提高10%</v>
      </c>
      <c r="X416" s="45" t="str">
        <f t="shared" si="29"/>
        <v>11050</v>
      </c>
      <c r="Y416" s="2"/>
      <c r="Z416" s="2"/>
      <c r="AA416" s="2"/>
    </row>
    <row r="417" spans="1:27" ht="33">
      <c r="A417" s="10">
        <f>E417*100+COUNTIF($E$194:$E417,$E417)</f>
        <v>121504</v>
      </c>
      <c r="B417" s="68" t="s">
        <v>1870</v>
      </c>
      <c r="C417" s="50" t="s">
        <v>2</v>
      </c>
      <c r="D417" s="10">
        <f t="shared" si="34"/>
        <v>1</v>
      </c>
      <c r="E417" s="45">
        <f>INDEX($I:$I,MATCH($E416,$I:$I,0)+IF(COUNTIF($E$194:$E416,$E416)&lt;=VLOOKUP($E416,$I$134:$K$193,3,0)-1,0,1),0)</f>
        <v>1215</v>
      </c>
      <c r="F417" s="45" t="str">
        <f t="shared" si="30"/>
        <v>观世音</v>
      </c>
      <c r="G417" s="45" t="s">
        <v>217</v>
      </c>
      <c r="H417" s="45">
        <f>VLOOKUP($E417,[1]Sheet1!$A:$G,7,0)</f>
        <v>1</v>
      </c>
      <c r="I417" s="45" t="str">
        <f>IF($G417="","",IF(COUNTIF(技能描述!$D:$D,$F417)&gt;0,VLOOKUP($F417&amp;$G417,技能描述!$A:$C,3,0),LEFT(VLOOKUP($E417,[1]Sheet1!$A:$J,10,0),FIND("_",VLOOKUP($E417,[1]Sheet1!$A:$J,10,0))-1)&amp;$G417))</f>
        <v>guanshiyin_skill04</v>
      </c>
      <c r="J417" s="45" t="str">
        <f>IF($I417="","",VLOOKUP($I417,技能描述!$A:$C,3,0))</f>
        <v>观世音普渡全体友军，每0.5秒恢复自身攻击力@s的生命值，持续3秒</v>
      </c>
      <c r="K417" s="45" t="str">
        <f>IF($I417="","",INDEX([2]Sheet1!$1:$1048576,MATCH($I417,[2]Sheet1!$A:$A,0),MATCH("description_damage",[2]Sheet1!$2:$2,0)))</f>
        <v>9025</v>
      </c>
      <c r="L417" s="80" t="str">
        <f>IF($K417="","",IF(LEN($K417)-LEN(SUBSTITUTE($K417,",",""))=0,VLOOKUP(INT($K417),[3]Sheet1!$A:$C,3,0),VLOOKUP(INT(LEFT($K417,FIND(",",$K417)-1)),[3]Sheet1!$A:$C,3,0)))</f>
        <v>4|3|0.25|0|1</v>
      </c>
      <c r="M417" s="80" t="str">
        <f t="shared" si="35"/>
        <v>25%</v>
      </c>
      <c r="N417" s="45" t="str">
        <f>IF(LEN($K417)-LEN(SUBSTITUTE($K417,",",""))=1,VLOOKUP(INT(RIGHT($K417,LEN($K417)-FIND(",",$K417))),[3]Sheet1!$A:$C,3,0),"")</f>
        <v/>
      </c>
      <c r="O417" s="45" t="str">
        <f t="shared" si="32"/>
        <v/>
      </c>
      <c r="P417" s="45" t="str">
        <f t="shared" si="28"/>
        <v>观世音普渡全体友军，每0.5秒恢复自身攻击力25%的生命值，持续3秒</v>
      </c>
      <c r="Q417" s="45" t="str">
        <f t="shared" si="33"/>
        <v>观世音普渡全体友军，每0.5秒恢复自身攻击力25%的生命值，持续3秒</v>
      </c>
      <c r="R417" s="45"/>
      <c r="S417" s="45" t="str">
        <f>IF(ISERROR($Q417),"进阶+"&amp;COUNTIF($E$194:$E417,$E417)&amp;"："&amp;"找ZC配技能","进阶+"&amp;COUNTIF($E$194:$E417,$E417)&amp;"："&amp;VLOOKUP(COUNTIF($E$194:$E417,$E417),$L$184:$R$193,IF(H417=1,4,IF(H417=4,3,2))+IF(INDEX([1]Sheet1!$1:$1048576,MATCH($E417,[1]Sheet1!$A:$A,0),MATCH("zizhi",[1]Sheet1!$2:$2,0))&gt;=13,0,3),0)&amp;IF($Q417="","","（"&amp;$Q417&amp;"）"))</f>
        <v>进阶+4：激活AI2技能（观世音普渡全体友军，每0.5秒恢复自身攻击力25%的生命值，持续3秒）</v>
      </c>
      <c r="T417" s="1"/>
      <c r="U417" s="1"/>
      <c r="V417" s="2" t="str">
        <f>VLOOKUP(COUNTIF($E$194:$E417,$E417),$L$184:$X$193,IF(H417=1,4,IF(H417=4,3,2))+IF(INDEX([1]Sheet1!$1:$1048576,MATCH($E417,[1]Sheet1!$A:$A,0),MATCH("zizhi",[1]Sheet1!$2:$2,0))&gt;=13,0,3)+6,0)</f>
        <v>[]</v>
      </c>
      <c r="W417" s="2" t="str">
        <f t="shared" si="31"/>
        <v>进阶+4：激活AI2技能（观世音普渡全体友军，每0.5秒恢复自身攻击力25%的生命值，持续3秒）</v>
      </c>
      <c r="X417" s="45" t="str">
        <f t="shared" si="29"/>
        <v>[]</v>
      </c>
      <c r="Y417" s="2"/>
      <c r="Z417" s="2"/>
      <c r="AA417" s="2"/>
    </row>
    <row r="418" spans="1:27">
      <c r="A418" s="10">
        <f>E418*100+COUNTIF($E$194:$E418,$E418)</f>
        <v>121505</v>
      </c>
      <c r="B418" s="68" t="s">
        <v>323</v>
      </c>
      <c r="C418" s="50" t="s">
        <v>140</v>
      </c>
      <c r="D418" s="10" t="str">
        <f t="shared" si="34"/>
        <v>[]</v>
      </c>
      <c r="E418" s="45">
        <f>INDEX($I:$I,MATCH($E417,$I:$I,0)+IF(COUNTIF($E$194:$E417,$E417)&lt;=VLOOKUP($E417,$I$134:$K$193,3,0)-1,0,1),0)</f>
        <v>1215</v>
      </c>
      <c r="F418" s="45" t="str">
        <f t="shared" si="30"/>
        <v>观世音</v>
      </c>
      <c r="H418" s="45">
        <f>VLOOKUP($E418,[1]Sheet1!$A:$G,7,0)</f>
        <v>1</v>
      </c>
      <c r="I418" s="45" t="str">
        <f>IF($G418="","",IF(COUNTIF(技能描述!$D:$D,$F418)&gt;0,VLOOKUP($F418&amp;$G418,技能描述!$A:$C,3,0),LEFT(VLOOKUP($E418,[1]Sheet1!$A:$J,10,0),FIND("_",VLOOKUP($E418,[1]Sheet1!$A:$J,10,0))-1)&amp;$G418))</f>
        <v/>
      </c>
      <c r="J418" s="45" t="str">
        <f>IF($I418="","",VLOOKUP($I418,技能描述!$A:$C,3,0))</f>
        <v/>
      </c>
      <c r="K418" s="45" t="str">
        <f>IF($I418="","",INDEX([2]Sheet1!$1:$1048576,MATCH($I418,[2]Sheet1!$A:$A,0),MATCH("description_damage",[2]Sheet1!$2:$2,0)))</f>
        <v/>
      </c>
      <c r="L418" s="80" t="str">
        <f>IF($K418="","",IF(LEN($K418)-LEN(SUBSTITUTE($K418,",",""))=0,VLOOKUP(INT($K418),[3]Sheet1!$A:$C,3,0),VLOOKUP(INT(LEFT($K418,FIND(",",$K418)-1)),[3]Sheet1!$A:$C,3,0)))</f>
        <v/>
      </c>
      <c r="M418" s="80" t="str">
        <f t="shared" si="35"/>
        <v/>
      </c>
      <c r="N418" s="45" t="str">
        <f>IF(LEN($K418)-LEN(SUBSTITUTE($K418,",",""))=1,VLOOKUP(INT(RIGHT($K418,LEN($K418)-FIND(",",$K418))),[3]Sheet1!$A:$C,3,0),"")</f>
        <v/>
      </c>
      <c r="O418" s="45" t="str">
        <f t="shared" si="32"/>
        <v/>
      </c>
      <c r="P418" s="45" t="str">
        <f t="shared" si="28"/>
        <v/>
      </c>
      <c r="Q418" s="45" t="str">
        <f t="shared" si="33"/>
        <v/>
      </c>
      <c r="R418" s="45"/>
      <c r="S418" s="45" t="str">
        <f>IF(ISERROR($Q418),"进阶+"&amp;COUNTIF($E$194:$E418,$E418)&amp;"："&amp;"找ZC配技能","进阶+"&amp;COUNTIF($E$194:$E418,$E418)&amp;"："&amp;VLOOKUP(COUNTIF($E$194:$E418,$E418),$L$184:$R$193,IF(H418=1,4,IF(H418=4,3,2))+IF(INDEX([1]Sheet1!$1:$1048576,MATCH($E418,[1]Sheet1!$A:$A,0),MATCH("zizhi",[1]Sheet1!$2:$2,0))&gt;=13,0,3),0)&amp;IF($Q418="","","（"&amp;$Q418&amp;"）"))</f>
        <v>进阶+5：生命，防御提高10%</v>
      </c>
      <c r="T418" s="1"/>
      <c r="U418" s="1"/>
      <c r="V418" s="2" t="str">
        <f>VLOOKUP(COUNTIF($E$194:$E418,$E418),$L$184:$X$193,IF(H418=1,4,IF(H418=4,3,2))+IF(INDEX([1]Sheet1!$1:$1048576,MATCH($E418,[1]Sheet1!$A:$A,0),MATCH("zizhi",[1]Sheet1!$2:$2,0))&gt;=13,0,3)+6,0)</f>
        <v>11090,6502,6512</v>
      </c>
      <c r="W418" s="2" t="str">
        <f t="shared" si="31"/>
        <v>进阶+5：生命，防御提高10%</v>
      </c>
      <c r="X418" s="45" t="str">
        <f t="shared" si="29"/>
        <v>11090,6502,6512</v>
      </c>
      <c r="Y418" s="2"/>
      <c r="Z418" s="2"/>
      <c r="AA418" s="2"/>
    </row>
    <row r="419" spans="1:27" ht="33">
      <c r="A419" s="10">
        <f>E419*100+COUNTIF($E$194:$E419,$E419)</f>
        <v>121506</v>
      </c>
      <c r="B419" s="68" t="s">
        <v>2028</v>
      </c>
      <c r="C419" s="50" t="s">
        <v>2</v>
      </c>
      <c r="D419" s="10">
        <f t="shared" si="34"/>
        <v>1</v>
      </c>
      <c r="E419" s="45">
        <f>INDEX($I:$I,MATCH($E418,$I:$I,0)+IF(COUNTIF($E$194:$E418,$E418)&lt;=VLOOKUP($E418,$I$134:$K$193,3,0)-1,0,1),0)</f>
        <v>1215</v>
      </c>
      <c r="F419" s="45" t="str">
        <f t="shared" si="30"/>
        <v>观世音</v>
      </c>
      <c r="G419" s="45" t="s">
        <v>218</v>
      </c>
      <c r="H419" s="45">
        <f>VLOOKUP($E419,[1]Sheet1!$A:$G,7,0)</f>
        <v>1</v>
      </c>
      <c r="I419" s="45" t="str">
        <f>IF($G419="","",IF(COUNTIF(技能描述!$D:$D,$F419)&gt;0,VLOOKUP($F419&amp;$G419,技能描述!$A:$C,3,0),LEFT(VLOOKUP($E419,[1]Sheet1!$A:$J,10,0),FIND("_",VLOOKUP($E419,[1]Sheet1!$A:$J,10,0))-1)&amp;$G419))</f>
        <v>guanshiyin_skill011</v>
      </c>
      <c r="J419" s="45" t="str">
        <f>IF($I419="","",VLOOKUP($I419,技能描述!$A:$C,3,0))</f>
        <v>将八门护法之力赋予友军，每0.5秒恢复主角攻击力@s的生命值，持续3秒</v>
      </c>
      <c r="K419" s="45" t="str">
        <f>IF($I419="","",INDEX([2]Sheet1!$1:$1048576,MATCH($I419,[2]Sheet1!$A:$A,0),MATCH("description_damage",[2]Sheet1!$2:$2,0)))</f>
        <v>9050</v>
      </c>
      <c r="L419" s="80" t="str">
        <f>IF($K419="","",IF(LEN($K419)-LEN(SUBSTITUTE($K419,",",""))=0,VLOOKUP(INT($K419),[3]Sheet1!$A:$C,3,0),VLOOKUP(INT(LEFT($K419,FIND(",",$K419)-1)),[3]Sheet1!$A:$C,3,0)))</f>
        <v>4|3|0.5|0|1</v>
      </c>
      <c r="M419" s="80" t="str">
        <f t="shared" si="35"/>
        <v>50%</v>
      </c>
      <c r="N419" s="45" t="str">
        <f>IF(LEN($K419)-LEN(SUBSTITUTE($K419,",",""))=1,VLOOKUP(INT(RIGHT($K419,LEN($K419)-FIND(",",$K419))),[3]Sheet1!$A:$C,3,0),"")</f>
        <v/>
      </c>
      <c r="O419" s="45" t="str">
        <f t="shared" si="32"/>
        <v/>
      </c>
      <c r="P419" s="45" t="str">
        <f t="shared" si="28"/>
        <v>将八门护法之力赋予友军，每0.5秒恢复主角攻击力50%的生命值，持续3秒</v>
      </c>
      <c r="Q419" s="45" t="str">
        <f t="shared" si="33"/>
        <v>将八门护法之力赋予友军，每0.5秒恢复主角攻击力50%的生命值，持续3秒</v>
      </c>
      <c r="R419" s="45"/>
      <c r="S419" s="45" t="str">
        <f>IF(ISERROR($Q419),"进阶+"&amp;COUNTIF($E$194:$E419,$E419)&amp;"："&amp;"找ZC配技能","进阶+"&amp;COUNTIF($E$194:$E419,$E419)&amp;"："&amp;VLOOKUP(COUNTIF($E$194:$E419,$E419),$L$184:$R$193,IF(H419=1,4,IF(H419=4,3,2))+IF(INDEX([1]Sheet1!$1:$1048576,MATCH($E419,[1]Sheet1!$A:$A,0),MATCH("zizhi",[1]Sheet1!$2:$2,0))&gt;=13,0,3),0)&amp;IF($Q419="","","（"&amp;$Q419&amp;"）"))</f>
        <v>进阶+6：增强主角技能（将八门护法之力赋予友军，每0.5秒恢复主角攻击力50%的生命值，持续3秒）</v>
      </c>
      <c r="T419" s="1"/>
      <c r="U419" s="1"/>
      <c r="V419" s="2" t="str">
        <f>VLOOKUP(COUNTIF($E$194:$E419,$E419),$L$184:$X$193,IF(H419=1,4,IF(H419=4,3,2))+IF(INDEX([1]Sheet1!$1:$1048576,MATCH($E419,[1]Sheet1!$A:$A,0),MATCH("zizhi",[1]Sheet1!$2:$2,0))&gt;=13,0,3)+6,0)</f>
        <v>[]</v>
      </c>
      <c r="W419" s="2" t="str">
        <f t="shared" si="31"/>
        <v>进阶+6：增强主角技能（将八门护法之力赋予友军，每0.5秒恢复主角攻击力50%的生命值，持续3秒）</v>
      </c>
      <c r="X419" s="45" t="str">
        <f t="shared" si="29"/>
        <v>[]</v>
      </c>
      <c r="Y419" s="2"/>
      <c r="Z419" s="2"/>
      <c r="AA419" s="2"/>
    </row>
    <row r="420" spans="1:27">
      <c r="A420" s="10">
        <f>E420*100+COUNTIF($E$194:$E420,$E420)</f>
        <v>121507</v>
      </c>
      <c r="B420" s="68" t="s">
        <v>360</v>
      </c>
      <c r="C420" s="50" t="s">
        <v>354</v>
      </c>
      <c r="D420" s="10" t="str">
        <f t="shared" si="34"/>
        <v>[]</v>
      </c>
      <c r="E420" s="45">
        <f>INDEX($I:$I,MATCH($E419,$I:$I,0)+IF(COUNTIF($E$194:$E419,$E419)&lt;=VLOOKUP($E419,$I$134:$K$193,3,0)-1,0,1),0)</f>
        <v>1215</v>
      </c>
      <c r="F420" s="45" t="str">
        <f t="shared" si="30"/>
        <v>观世音</v>
      </c>
      <c r="H420" s="45">
        <f>VLOOKUP($E420,[1]Sheet1!$A:$G,7,0)</f>
        <v>1</v>
      </c>
      <c r="I420" s="45" t="str">
        <f>IF($G420="","",IF(COUNTIF(技能描述!$D:$D,$F420)&gt;0,VLOOKUP($F420&amp;$G420,技能描述!$A:$C,3,0),LEFT(VLOOKUP($E420,[1]Sheet1!$A:$J,10,0),FIND("_",VLOOKUP($E420,[1]Sheet1!$A:$J,10,0))-1)&amp;$G420))</f>
        <v/>
      </c>
      <c r="J420" s="45" t="str">
        <f>IF($I420="","",VLOOKUP($I420,技能描述!$A:$C,3,0))</f>
        <v/>
      </c>
      <c r="K420" s="45" t="str">
        <f>IF($I420="","",INDEX([2]Sheet1!$1:$1048576,MATCH($I420,[2]Sheet1!$A:$A,0),MATCH("description_damage",[2]Sheet1!$2:$2,0)))</f>
        <v/>
      </c>
      <c r="L420" s="80" t="str">
        <f>IF($K420="","",IF(LEN($K420)-LEN(SUBSTITUTE($K420,",",""))=0,VLOOKUP(INT($K420),[3]Sheet1!$A:$C,3,0),VLOOKUP(INT(LEFT($K420,FIND(",",$K420)-1)),[3]Sheet1!$A:$C,3,0)))</f>
        <v/>
      </c>
      <c r="M420" s="80" t="str">
        <f t="shared" si="35"/>
        <v/>
      </c>
      <c r="N420" s="45" t="str">
        <f>IF(LEN($K420)-LEN(SUBSTITUTE($K420,",",""))=1,VLOOKUP(INT(RIGHT($K420,LEN($K420)-FIND(",",$K420))),[3]Sheet1!$A:$C,3,0),"")</f>
        <v/>
      </c>
      <c r="O420" s="45" t="str">
        <f t="shared" si="32"/>
        <v/>
      </c>
      <c r="P420" s="45" t="str">
        <f t="shared" si="28"/>
        <v/>
      </c>
      <c r="Q420" s="45" t="str">
        <f t="shared" si="33"/>
        <v/>
      </c>
      <c r="R420" s="45"/>
      <c r="S420" s="45" t="str">
        <f>IF(ISERROR($Q420),"进阶+"&amp;COUNTIF($E$194:$E420,$E420)&amp;"："&amp;"找ZC配技能","进阶+"&amp;COUNTIF($E$194:$E420,$E420)&amp;"："&amp;VLOOKUP(COUNTIF($E$194:$E420,$E420),$L$184:$R$193,IF(H420=1,4,IF(H420=4,3,2))+IF(INDEX([1]Sheet1!$1:$1048576,MATCH($E420,[1]Sheet1!$A:$A,0),MATCH("zizhi",[1]Sheet1!$2:$2,0))&gt;=13,0,3),0)&amp;IF($Q420="","","（"&amp;$Q420&amp;"）"))</f>
        <v>进阶+7：全队生命，防御提高10%</v>
      </c>
      <c r="T420" s="1"/>
      <c r="U420" s="1"/>
      <c r="V420" s="2" t="str">
        <f>VLOOKUP(COUNTIF($E$194:$E420,$E420),$L$184:$X$193,IF(H420=1,4,IF(H420=4,3,2))+IF(INDEX([1]Sheet1!$1:$1048576,MATCH($E420,[1]Sheet1!$A:$A,0),MATCH("zizhi",[1]Sheet1!$2:$2,0))&gt;=13,0,3)+6,0)</f>
        <v>57010,59010,60010</v>
      </c>
      <c r="W420" s="2" t="str">
        <f t="shared" si="31"/>
        <v>进阶+7：全队生命，防御提高10%</v>
      </c>
      <c r="X420" s="45" t="str">
        <f t="shared" si="29"/>
        <v>57010,59010,60010</v>
      </c>
      <c r="Y420" s="2"/>
      <c r="Z420" s="2"/>
      <c r="AA420" s="2"/>
    </row>
    <row r="421" spans="1:27" ht="33">
      <c r="A421" s="10">
        <f>E421*100+COUNTIF($E$194:$E421,$E421)</f>
        <v>121508</v>
      </c>
      <c r="B421" s="68" t="s">
        <v>2029</v>
      </c>
      <c r="C421" s="50" t="s">
        <v>2</v>
      </c>
      <c r="D421" s="10">
        <f t="shared" si="34"/>
        <v>1</v>
      </c>
      <c r="E421" s="45">
        <f>INDEX($I:$I,MATCH($E420,$I:$I,0)+IF(COUNTIF($E$194:$E420,$E420)&lt;=VLOOKUP($E420,$I$134:$K$193,3,0)-1,0,1),0)</f>
        <v>1215</v>
      </c>
      <c r="F421" s="45" t="str">
        <f t="shared" si="30"/>
        <v>观世音</v>
      </c>
      <c r="G421" s="45" t="s">
        <v>219</v>
      </c>
      <c r="H421" s="45">
        <f>VLOOKUP($E421,[1]Sheet1!$A:$G,7,0)</f>
        <v>1</v>
      </c>
      <c r="I421" s="45" t="str">
        <f>IF($G421="","",IF(COUNTIF(技能描述!$D:$D,$F421)&gt;0,VLOOKUP($F421&amp;$G421,技能描述!$A:$C,3,0),LEFT(VLOOKUP($E421,[1]Sheet1!$A:$J,10,0),FIND("_",VLOOKUP($E421,[1]Sheet1!$A:$J,10,0))-1)&amp;$G421))</f>
        <v>guanshiyin_skill021</v>
      </c>
      <c r="J421" s="45" t="str">
        <f>IF($I421="","",VLOOKUP($I421,技能描述!$A:$C,3,0))</f>
        <v>观世音治疗生命值百分比最低的友军，恢复自身攻击力@s的生命值，并清除所有不利状态</v>
      </c>
      <c r="K421" s="45" t="str">
        <f>IF($I421="","",INDEX([2]Sheet1!$1:$1048576,MATCH($I421,[2]Sheet1!$A:$A,0),MATCH("description_damage",[2]Sheet1!$2:$2,0)))</f>
        <v>121506</v>
      </c>
      <c r="L421" s="80" t="str">
        <f>IF($K421="","",IF(LEN($K421)-LEN(SUBSTITUTE($K421,",",""))=0,VLOOKUP(INT($K421),[3]Sheet1!$A:$C,3,0),VLOOKUP(INT(LEFT($K421,FIND(",",$K421)-1)),[3]Sheet1!$A:$C,3,0)))</f>
        <v>3|1|3.6|0</v>
      </c>
      <c r="M421" s="80" t="str">
        <f t="shared" si="35"/>
        <v>360%</v>
      </c>
      <c r="N421" s="45" t="str">
        <f>IF(LEN($K421)-LEN(SUBSTITUTE($K421,",",""))=1,VLOOKUP(INT(RIGHT($K421,LEN($K421)-FIND(",",$K421))),[3]Sheet1!$A:$C,3,0),"")</f>
        <v/>
      </c>
      <c r="O421" s="45" t="str">
        <f t="shared" si="32"/>
        <v/>
      </c>
      <c r="P421" s="45" t="str">
        <f t="shared" si="28"/>
        <v>观世音治疗生命值百分比最低的友军，恢复自身攻击力360%的生命值，并清除所有不利状态</v>
      </c>
      <c r="Q421" s="45" t="str">
        <f t="shared" si="33"/>
        <v>观世音治疗生命值百分比最低的友军，恢复自身攻击力360%的生命值，并清除所有不利状态</v>
      </c>
      <c r="R421" s="45"/>
      <c r="S421" s="45" t="str">
        <f>IF(ISERROR($Q421),"进阶+"&amp;COUNTIF($E$194:$E421,$E421)&amp;"："&amp;"找ZC配技能","进阶+"&amp;COUNTIF($E$194:$E421,$E421)&amp;"："&amp;VLOOKUP(COUNTIF($E$194:$E421,$E421),$L$184:$R$193,IF(H421=1,4,IF(H421=4,3,2))+IF(INDEX([1]Sheet1!$1:$1048576,MATCH($E421,[1]Sheet1!$A:$A,0),MATCH("zizhi",[1]Sheet1!$2:$2,0))&gt;=13,0,3),0)&amp;IF($Q421="","","（"&amp;$Q421&amp;"）"))</f>
        <v>进阶+8：增强AI1技能（观世音治疗生命值百分比最低的友军，恢复自身攻击力360%的生命值，并清除所有不利状态）</v>
      </c>
      <c r="T421" s="1"/>
      <c r="U421" s="1"/>
      <c r="V421" s="2" t="str">
        <f>VLOOKUP(COUNTIF($E$194:$E421,$E421),$L$184:$X$193,IF(H421=1,4,IF(H421=4,3,2))+IF(INDEX([1]Sheet1!$1:$1048576,MATCH($E421,[1]Sheet1!$A:$A,0),MATCH("zizhi",[1]Sheet1!$2:$2,0))&gt;=13,0,3)+6,0)</f>
        <v>[]</v>
      </c>
      <c r="W421" s="2" t="str">
        <f t="shared" si="31"/>
        <v>进阶+8：增强AI1技能（观世音治疗生命值百分比最低的友军，恢复自身攻击力360%的生命值，并清除所有不利状态）</v>
      </c>
      <c r="X421" s="45" t="str">
        <f t="shared" si="29"/>
        <v>[]</v>
      </c>
      <c r="Y421" s="2"/>
      <c r="Z421" s="2"/>
      <c r="AA421" s="2"/>
    </row>
    <row r="422" spans="1:27">
      <c r="A422" s="10">
        <f>E422*100+COUNTIF($E$194:$E422,$E422)</f>
        <v>121509</v>
      </c>
      <c r="B422" s="68" t="s">
        <v>1902</v>
      </c>
      <c r="C422" s="50" t="s">
        <v>357</v>
      </c>
      <c r="D422" s="10" t="str">
        <f t="shared" si="34"/>
        <v>[]</v>
      </c>
      <c r="E422" s="45">
        <f>INDEX($I:$I,MATCH($E421,$I:$I,0)+IF(COUNTIF($E$194:$E421,$E421)&lt;=VLOOKUP($E421,$I$134:$K$193,3,0)-1,0,1),0)</f>
        <v>1215</v>
      </c>
      <c r="F422" s="45" t="str">
        <f t="shared" si="30"/>
        <v>观世音</v>
      </c>
      <c r="H422" s="45">
        <f>VLOOKUP($E422,[1]Sheet1!$A:$G,7,0)</f>
        <v>1</v>
      </c>
      <c r="I422" s="45" t="str">
        <f>IF($G422="","",IF(COUNTIF(技能描述!$D:$D,$F422)&gt;0,VLOOKUP($F422&amp;$G422,技能描述!$A:$C,3,0),LEFT(VLOOKUP($E422,[1]Sheet1!$A:$J,10,0),FIND("_",VLOOKUP($E422,[1]Sheet1!$A:$J,10,0))-1)&amp;$G422))</f>
        <v/>
      </c>
      <c r="J422" s="45" t="str">
        <f>IF($I422="","",VLOOKUP($I422,技能描述!$A:$C,3,0))</f>
        <v/>
      </c>
      <c r="K422" s="45" t="str">
        <f>IF($I422="","",INDEX([2]Sheet1!$1:$1048576,MATCH($I422,[2]Sheet1!$A:$A,0),MATCH("description_damage",[2]Sheet1!$2:$2,0)))</f>
        <v/>
      </c>
      <c r="L422" s="80" t="str">
        <f>IF($K422="","",IF(LEN($K422)-LEN(SUBSTITUTE($K422,",",""))=0,VLOOKUP(INT($K422),[3]Sheet1!$A:$C,3,0),VLOOKUP(INT(LEFT($K422,FIND(",",$K422)-1)),[3]Sheet1!$A:$C,3,0)))</f>
        <v/>
      </c>
      <c r="M422" s="80" t="str">
        <f t="shared" si="35"/>
        <v/>
      </c>
      <c r="N422" s="45" t="str">
        <f>IF(LEN($K422)-LEN(SUBSTITUTE($K422,",",""))=1,VLOOKUP(INT(RIGHT($K422,LEN($K422)-FIND(",",$K422))),[3]Sheet1!$A:$C,3,0),"")</f>
        <v/>
      </c>
      <c r="O422" s="45" t="str">
        <f t="shared" si="32"/>
        <v/>
      </c>
      <c r="P422" s="45" t="str">
        <f t="shared" si="28"/>
        <v/>
      </c>
      <c r="Q422" s="45" t="str">
        <f t="shared" si="33"/>
        <v/>
      </c>
      <c r="R422" s="45"/>
      <c r="S422" s="45" t="str">
        <f>IF(ISERROR($Q422),"进阶+"&amp;COUNTIF($E$194:$E422,$E422)&amp;"："&amp;"找ZC配技能","进阶+"&amp;COUNTIF($E$194:$E422,$E422)&amp;"："&amp;VLOOKUP(COUNTIF($E$194:$E422,$E422),$L$184:$R$193,IF(H422=1,4,IF(H422=4,3,2))+IF(INDEX([1]Sheet1!$1:$1048576,MATCH($E422,[1]Sheet1!$A:$A,0),MATCH("zizhi",[1]Sheet1!$2:$2,0))&gt;=13,0,3),0)&amp;IF($Q422="","","（"&amp;$Q422&amp;"）"))</f>
        <v>进阶+9：全队生命，防御提高15%</v>
      </c>
      <c r="T422" s="1"/>
      <c r="U422" s="1"/>
      <c r="V422" s="2" t="str">
        <f>VLOOKUP(COUNTIF($E$194:$E422,$E422),$L$184:$X$193,IF(H422=1,4,IF(H422=4,3,2))+IF(INDEX([1]Sheet1!$1:$1048576,MATCH($E422,[1]Sheet1!$A:$A,0),MATCH("zizhi",[1]Sheet1!$2:$2,0))&gt;=13,0,3)+6,0)</f>
        <v>57015,59015,60015</v>
      </c>
      <c r="W422" s="2" t="str">
        <f t="shared" si="31"/>
        <v>进阶+9：全队生命，防御提高15%</v>
      </c>
      <c r="X422" s="45" t="str">
        <f t="shared" si="29"/>
        <v>57015,59015,60015</v>
      </c>
      <c r="Y422" s="2"/>
      <c r="Z422" s="2"/>
      <c r="AA422" s="2"/>
    </row>
    <row r="423" spans="1:27" ht="33">
      <c r="A423" s="10">
        <f>E423*100+COUNTIF($E$194:$E423,$E423)</f>
        <v>121510</v>
      </c>
      <c r="B423" s="68" t="s">
        <v>2030</v>
      </c>
      <c r="C423" s="50" t="s">
        <v>2</v>
      </c>
      <c r="D423" s="10">
        <f t="shared" si="34"/>
        <v>1</v>
      </c>
      <c r="E423" s="45">
        <f>INDEX($I:$I,MATCH($E422,$I:$I,0)+IF(COUNTIF($E$194:$E422,$E422)&lt;=VLOOKUP($E422,$I$134:$K$193,3,0)-1,0,1),0)</f>
        <v>1215</v>
      </c>
      <c r="F423" s="45" t="str">
        <f t="shared" si="30"/>
        <v>观世音</v>
      </c>
      <c r="G423" s="45" t="s">
        <v>220</v>
      </c>
      <c r="H423" s="45">
        <f>VLOOKUP($E423,[1]Sheet1!$A:$G,7,0)</f>
        <v>1</v>
      </c>
      <c r="I423" s="45" t="str">
        <f>IF($G423="","",IF(COUNTIF(技能描述!$D:$D,$F423)&gt;0,VLOOKUP($F423&amp;$G423,技能描述!$A:$C,3,0),LEFT(VLOOKUP($E423,[1]Sheet1!$A:$J,10,0),FIND("_",VLOOKUP($E423,[1]Sheet1!$A:$J,10,0))-1)&amp;$G423))</f>
        <v>guanshiyin_skill041</v>
      </c>
      <c r="J423" s="45" t="str">
        <f>IF($I423="","",VLOOKUP($I423,技能描述!$A:$C,3,0))</f>
        <v>观世音普渡全体友军，每0.5秒恢复自身攻击力@s的生命值，持续3秒</v>
      </c>
      <c r="K423" s="45" t="str">
        <f>IF($I423="","",INDEX([2]Sheet1!$1:$1048576,MATCH($I423,[2]Sheet1!$A:$A,0),MATCH("description_damage",[2]Sheet1!$2:$2,0)))</f>
        <v>9030</v>
      </c>
      <c r="L423" s="80" t="str">
        <f>IF($K423="","",IF(LEN($K423)-LEN(SUBSTITUTE($K423,",",""))=0,VLOOKUP(INT($K423),[3]Sheet1!$A:$C,3,0),VLOOKUP(INT(LEFT($K423,FIND(",",$K423)-1)),[3]Sheet1!$A:$C,3,0)))</f>
        <v>4|3|0.3|0|1</v>
      </c>
      <c r="M423" s="80" t="str">
        <f t="shared" si="35"/>
        <v>30%</v>
      </c>
      <c r="N423" s="45" t="str">
        <f>IF(LEN($K423)-LEN(SUBSTITUTE($K423,",",""))=1,VLOOKUP(INT(RIGHT($K423,LEN($K423)-FIND(",",$K423))),[3]Sheet1!$A:$C,3,0),"")</f>
        <v/>
      </c>
      <c r="O423" s="45" t="str">
        <f t="shared" si="32"/>
        <v/>
      </c>
      <c r="P423" s="45" t="str">
        <f t="shared" si="28"/>
        <v>观世音普渡全体友军，每0.5秒恢复自身攻击力30%的生命值，持续3秒</v>
      </c>
      <c r="Q423" s="45" t="str">
        <f t="shared" si="33"/>
        <v>观世音普渡全体友军，每0.5秒恢复自身攻击力30%的生命值，持续3秒</v>
      </c>
      <c r="R423" s="45"/>
      <c r="S423" s="45" t="str">
        <f>IF(ISERROR($Q423),"进阶+"&amp;COUNTIF($E$194:$E423,$E423)&amp;"："&amp;"找ZC配技能","进阶+"&amp;COUNTIF($E$194:$E423,$E423)&amp;"："&amp;VLOOKUP(COUNTIF($E$194:$E423,$E423),$L$184:$R$193,IF(H423=1,4,IF(H423=4,3,2))+IF(INDEX([1]Sheet1!$1:$1048576,MATCH($E423,[1]Sheet1!$A:$A,0),MATCH("zizhi",[1]Sheet1!$2:$2,0))&gt;=13,0,3),0)&amp;IF($Q423="","","（"&amp;$Q423&amp;"）"))</f>
        <v>进阶+10：增强AI2技能（观世音普渡全体友军，每0.5秒恢复自身攻击力30%的生命值，持续3秒）</v>
      </c>
      <c r="T423" s="1"/>
      <c r="U423" s="1"/>
      <c r="V423" s="2" t="str">
        <f>VLOOKUP(COUNTIF($E$194:$E423,$E423),$L$184:$X$193,IF(H423=1,4,IF(H423=4,3,2))+IF(INDEX([1]Sheet1!$1:$1048576,MATCH($E423,[1]Sheet1!$A:$A,0),MATCH("zizhi",[1]Sheet1!$2:$2,0))&gt;=13,0,3)+6,0)</f>
        <v>[]</v>
      </c>
      <c r="W423" s="2" t="str">
        <f t="shared" si="31"/>
        <v>进阶+10：增强AI2技能（观世音普渡全体友军，每0.5秒恢复自身攻击力30%的生命值，持续3秒）</v>
      </c>
      <c r="X423" s="45" t="str">
        <f t="shared" si="29"/>
        <v>[]</v>
      </c>
      <c r="Y423" s="2"/>
      <c r="Z423" s="2"/>
      <c r="AA423" s="2"/>
    </row>
    <row r="424" spans="1:27">
      <c r="A424" s="10">
        <f>E424*100+COUNTIF($E$194:$E424,$E424)</f>
        <v>111401</v>
      </c>
      <c r="B424" s="68" t="s">
        <v>310</v>
      </c>
      <c r="C424" s="50" t="s">
        <v>127</v>
      </c>
      <c r="D424" s="10" t="str">
        <f t="shared" si="34"/>
        <v>[]</v>
      </c>
      <c r="E424" s="45">
        <f>INDEX($I:$I,MATCH($E423,$I:$I,0)+IF(COUNTIF($E$194:$E423,$E423)&lt;=VLOOKUP($E423,$I$134:$K$193,3,0)-1,0,1),0)</f>
        <v>1114</v>
      </c>
      <c r="F424" s="45" t="str">
        <f t="shared" si="30"/>
        <v>鹿力大仙</v>
      </c>
      <c r="H424" s="45">
        <f>VLOOKUP($E424,[1]Sheet1!$A:$G,7,0)</f>
        <v>3</v>
      </c>
      <c r="I424" s="45" t="str">
        <f>IF($G424="","",IF(COUNTIF(技能描述!$D:$D,$F424)&gt;0,VLOOKUP($F424&amp;$G424,技能描述!$A:$C,3,0),LEFT(VLOOKUP($E424,[1]Sheet1!$A:$J,10,0),FIND("_",VLOOKUP($E424,[1]Sheet1!$A:$J,10,0))-1)&amp;$G424))</f>
        <v/>
      </c>
      <c r="J424" s="45" t="str">
        <f>IF($I424="","",VLOOKUP($I424,技能描述!$A:$C,3,0))</f>
        <v/>
      </c>
      <c r="K424" s="45" t="str">
        <f>IF($I424="","",INDEX([2]Sheet1!$1:$1048576,MATCH($I424,[2]Sheet1!$A:$A,0),MATCH("description_damage",[2]Sheet1!$2:$2,0)))</f>
        <v/>
      </c>
      <c r="L424" s="80" t="str">
        <f>IF($K424="","",IF(LEN($K424)-LEN(SUBSTITUTE($K424,",",""))=0,VLOOKUP(INT($K424),[3]Sheet1!$A:$C,3,0),VLOOKUP(INT(LEFT($K424,FIND(",",$K424)-1)),[3]Sheet1!$A:$C,3,0)))</f>
        <v/>
      </c>
      <c r="M424" s="80" t="str">
        <f t="shared" si="35"/>
        <v/>
      </c>
      <c r="N424" s="45" t="str">
        <f>IF(LEN($K424)-LEN(SUBSTITUTE($K424,",",""))=1,VLOOKUP(INT(RIGHT($K424,LEN($K424)-FIND(",",$K424))),[3]Sheet1!$A:$C,3,0),"")</f>
        <v/>
      </c>
      <c r="O424" s="45" t="str">
        <f t="shared" si="32"/>
        <v/>
      </c>
      <c r="P424" s="45" t="str">
        <f t="shared" si="28"/>
        <v/>
      </c>
      <c r="Q424" s="45" t="str">
        <f t="shared" si="33"/>
        <v/>
      </c>
      <c r="R424" s="45"/>
      <c r="S424" s="45" t="str">
        <f>IF(ISERROR($Q424),"进阶+"&amp;COUNTIF($E$194:$E424,$E424)&amp;"："&amp;"找ZC配技能","进阶+"&amp;COUNTIF($E$194:$E424,$E424)&amp;"："&amp;VLOOKUP(COUNTIF($E$194:$E424,$E424),$L$184:$R$193,IF(H424=1,4,IF(H424=4,3,2))+IF(INDEX([1]Sheet1!$1:$1048576,MATCH($E424,[1]Sheet1!$A:$A,0),MATCH("zizhi",[1]Sheet1!$2:$2,0))&gt;=13,0,3),0)&amp;IF($Q424="","","（"&amp;$Q424&amp;"）"))</f>
        <v>进阶+1：攻击提高10%</v>
      </c>
      <c r="T424" s="1"/>
      <c r="U424" s="1"/>
      <c r="V424" s="2" t="str">
        <f>VLOOKUP(COUNTIF($E$194:$E424,$E424),$L$184:$X$193,IF(H424=1,4,IF(H424=4,3,2))+IF(INDEX([1]Sheet1!$1:$1048576,MATCH($E424,[1]Sheet1!$A:$A,0),MATCH("zizhi",[1]Sheet1!$2:$2,0))&gt;=13,0,3)+6,0)</f>
        <v>11050</v>
      </c>
      <c r="W424" s="2" t="str">
        <f t="shared" si="31"/>
        <v>进阶+1：攻击提高10%</v>
      </c>
      <c r="X424" s="45" t="str">
        <f t="shared" si="29"/>
        <v>11050</v>
      </c>
      <c r="Y424" s="2"/>
      <c r="Z424" s="2"/>
      <c r="AA424" s="2"/>
    </row>
    <row r="425" spans="1:27">
      <c r="A425" s="10">
        <f>E425*100+COUNTIF($E$194:$E425,$E425)</f>
        <v>111402</v>
      </c>
      <c r="B425" s="68" t="s">
        <v>337</v>
      </c>
      <c r="C425" s="50" t="s">
        <v>2</v>
      </c>
      <c r="D425" s="10">
        <f t="shared" si="34"/>
        <v>1</v>
      </c>
      <c r="E425" s="45">
        <f>INDEX($I:$I,MATCH($E424,$I:$I,0)+IF(COUNTIF($E$194:$E424,$E424)&lt;=VLOOKUP($E424,$I$134:$K$193,3,0)-1,0,1),0)</f>
        <v>1114</v>
      </c>
      <c r="F425" s="45" t="str">
        <f t="shared" si="30"/>
        <v>鹿力大仙</v>
      </c>
      <c r="G425" s="45" t="s">
        <v>216</v>
      </c>
      <c r="H425" s="45">
        <f>VLOOKUP($E425,[1]Sheet1!$A:$G,7,0)</f>
        <v>3</v>
      </c>
      <c r="I425" s="45" t="str">
        <f>IF($G425="","",IF(COUNTIF(技能描述!$D:$D,$F425)&gt;0,VLOOKUP($F425&amp;$G425,技能描述!$A:$C,3,0),LEFT(VLOOKUP($E425,[1]Sheet1!$A:$J,10,0),FIND("_",VLOOKUP($E425,[1]Sheet1!$A:$J,10,0))-1)&amp;$G425))</f>
        <v>lulidaxian_skill03</v>
      </c>
      <c r="J425" s="45" t="str">
        <f>IF($I425="","",VLOOKUP($I425,技能描述!$A:$C,3,0))</f>
        <v>进入战斗场景时，提升自身攻速@s</v>
      </c>
      <c r="K425" s="45" t="str">
        <f>IF($I425="","",INDEX([2]Sheet1!$1:$1048576,MATCH($I425,[2]Sheet1!$A:$A,0),MATCH("description_damage",[2]Sheet1!$2:$2,0)))</f>
        <v>9015</v>
      </c>
      <c r="L425" s="80" t="str">
        <f>IF($K425="","",IF(LEN($K425)-LEN(SUBSTITUTE($K425,",",""))=0,VLOOKUP(INT($K425),[3]Sheet1!$A:$C,3,0),VLOOKUP(INT(LEFT($K425,FIND(",",$K425)-1)),[3]Sheet1!$A:$C,3,0)))</f>
        <v>4|3|0.15|0|1</v>
      </c>
      <c r="M425" s="80" t="str">
        <f t="shared" si="35"/>
        <v>15%</v>
      </c>
      <c r="N425" s="45" t="str">
        <f>IF(LEN($K425)-LEN(SUBSTITUTE($K425,",",""))=1,VLOOKUP(INT(RIGHT($K425,LEN($K425)-FIND(",",$K425))),[3]Sheet1!$A:$C,3,0),"")</f>
        <v/>
      </c>
      <c r="O425" s="45" t="str">
        <f t="shared" si="32"/>
        <v/>
      </c>
      <c r="P425" s="45" t="str">
        <f t="shared" si="28"/>
        <v>进入战斗场景时，提升自身攻速15%</v>
      </c>
      <c r="Q425" s="45" t="str">
        <f t="shared" si="33"/>
        <v>进入战斗场景时，提升自身攻速15%</v>
      </c>
      <c r="R425" s="45"/>
      <c r="S425" s="45" t="str">
        <f>IF(ISERROR($Q425),"进阶+"&amp;COUNTIF($E$194:$E425,$E425)&amp;"："&amp;"找ZC配技能","进阶+"&amp;COUNTIF($E$194:$E425,$E425)&amp;"："&amp;VLOOKUP(COUNTIF($E$194:$E425,$E425),$L$184:$R$193,IF(H425=1,4,IF(H425=4,3,2))+IF(INDEX([1]Sheet1!$1:$1048576,MATCH($E425,[1]Sheet1!$A:$A,0),MATCH("zizhi",[1]Sheet1!$2:$2,0))&gt;=13,0,3),0)&amp;IF($Q425="","","（"&amp;$Q425&amp;"）"))</f>
        <v>进阶+2：激活被动技能（进入战斗场景时，提升自身攻速15%）</v>
      </c>
      <c r="T425" s="1"/>
      <c r="U425" s="1"/>
      <c r="V425" s="2" t="str">
        <f>VLOOKUP(COUNTIF($E$194:$E425,$E425),$L$184:$X$193,IF(H425=1,4,IF(H425=4,3,2))+IF(INDEX([1]Sheet1!$1:$1048576,MATCH($E425,[1]Sheet1!$A:$A,0),MATCH("zizhi",[1]Sheet1!$2:$2,0))&gt;=13,0,3)+6,0)</f>
        <v>[]</v>
      </c>
      <c r="W425" s="2" t="str">
        <f t="shared" si="31"/>
        <v>进阶+2：激活被动技能（进入战斗场景时，提升自身攻速15%）</v>
      </c>
      <c r="X425" s="45" t="str">
        <f t="shared" si="29"/>
        <v>[]</v>
      </c>
      <c r="Y425" s="2"/>
      <c r="Z425" s="2"/>
      <c r="AA425" s="2"/>
    </row>
    <row r="426" spans="1:27">
      <c r="A426" s="10">
        <f>E426*100+COUNTIF($E$194:$E426,$E426)</f>
        <v>111403</v>
      </c>
      <c r="B426" s="68" t="s">
        <v>312</v>
      </c>
      <c r="C426" s="50" t="s">
        <v>127</v>
      </c>
      <c r="D426" s="10" t="str">
        <f t="shared" si="34"/>
        <v>[]</v>
      </c>
      <c r="E426" s="45">
        <f>INDEX($I:$I,MATCH($E425,$I:$I,0)+IF(COUNTIF($E$194:$E425,$E425)&lt;=VLOOKUP($E425,$I$134:$K$193,3,0)-1,0,1),0)</f>
        <v>1114</v>
      </c>
      <c r="F426" s="45" t="str">
        <f t="shared" si="30"/>
        <v>鹿力大仙</v>
      </c>
      <c r="H426" s="45">
        <f>VLOOKUP($E426,[1]Sheet1!$A:$G,7,0)</f>
        <v>3</v>
      </c>
      <c r="I426" s="45" t="str">
        <f>IF($G426="","",IF(COUNTIF(技能描述!$D:$D,$F426)&gt;0,VLOOKUP($F426&amp;$G426,技能描述!$A:$C,3,0),LEFT(VLOOKUP($E426,[1]Sheet1!$A:$J,10,0),FIND("_",VLOOKUP($E426,[1]Sheet1!$A:$J,10,0))-1)&amp;$G426))</f>
        <v/>
      </c>
      <c r="J426" s="45" t="str">
        <f>IF($I426="","",VLOOKUP($I426,技能描述!$A:$C,3,0))</f>
        <v/>
      </c>
      <c r="K426" s="45" t="str">
        <f>IF($I426="","",INDEX([2]Sheet1!$1:$1048576,MATCH($I426,[2]Sheet1!$A:$A,0),MATCH("description_damage",[2]Sheet1!$2:$2,0)))</f>
        <v/>
      </c>
      <c r="L426" s="80" t="str">
        <f>IF($K426="","",IF(LEN($K426)-LEN(SUBSTITUTE($K426,",",""))=0,VLOOKUP(INT($K426),[3]Sheet1!$A:$C,3,0),VLOOKUP(INT(LEFT($K426,FIND(",",$K426)-1)),[3]Sheet1!$A:$C,3,0)))</f>
        <v/>
      </c>
      <c r="M426" s="80" t="str">
        <f t="shared" si="35"/>
        <v/>
      </c>
      <c r="N426" s="45" t="str">
        <f>IF(LEN($K426)-LEN(SUBSTITUTE($K426,",",""))=1,VLOOKUP(INT(RIGHT($K426,LEN($K426)-FIND(",",$K426))),[3]Sheet1!$A:$C,3,0),"")</f>
        <v/>
      </c>
      <c r="O426" s="45" t="str">
        <f t="shared" si="32"/>
        <v/>
      </c>
      <c r="P426" s="45" t="str">
        <f t="shared" si="28"/>
        <v/>
      </c>
      <c r="Q426" s="45" t="str">
        <f t="shared" si="33"/>
        <v/>
      </c>
      <c r="R426" s="45"/>
      <c r="S426" s="45" t="str">
        <f>IF(ISERROR($Q426),"进阶+"&amp;COUNTIF($E$194:$E426,$E426)&amp;"："&amp;"找ZC配技能","进阶+"&amp;COUNTIF($E$194:$E426,$E426)&amp;"："&amp;VLOOKUP(COUNTIF($E$194:$E426,$E426),$L$184:$R$193,IF(H426=1,4,IF(H426=4,3,2))+IF(INDEX([1]Sheet1!$1:$1048576,MATCH($E426,[1]Sheet1!$A:$A,0),MATCH("zizhi",[1]Sheet1!$2:$2,0))&gt;=13,0,3),0)&amp;IF($Q426="","","（"&amp;$Q426&amp;"）"))</f>
        <v>进阶+3：攻击提高10%</v>
      </c>
      <c r="T426" s="1"/>
      <c r="U426" s="1"/>
      <c r="V426" s="2" t="str">
        <f>VLOOKUP(COUNTIF($E$194:$E426,$E426),$L$184:$X$193,IF(H426=1,4,IF(H426=4,3,2))+IF(INDEX([1]Sheet1!$1:$1048576,MATCH($E426,[1]Sheet1!$A:$A,0),MATCH("zizhi",[1]Sheet1!$2:$2,0))&gt;=13,0,3)+6,0)</f>
        <v>11050</v>
      </c>
      <c r="W426" s="2" t="str">
        <f t="shared" si="31"/>
        <v>进阶+3：攻击提高10%</v>
      </c>
      <c r="X426" s="45" t="str">
        <f t="shared" si="29"/>
        <v>11050</v>
      </c>
      <c r="Y426" s="2"/>
      <c r="Z426" s="2"/>
      <c r="AA426" s="2"/>
    </row>
    <row r="427" spans="1:27" ht="33">
      <c r="A427" s="10">
        <f>E427*100+COUNTIF($E$194:$E427,$E427)</f>
        <v>111404</v>
      </c>
      <c r="B427" s="68" t="s">
        <v>1871</v>
      </c>
      <c r="C427" s="50" t="s">
        <v>2</v>
      </c>
      <c r="D427" s="10">
        <f t="shared" si="34"/>
        <v>1</v>
      </c>
      <c r="E427" s="45">
        <f>INDEX($I:$I,MATCH($E426,$I:$I,0)+IF(COUNTIF($E$194:$E426,$E426)&lt;=VLOOKUP($E426,$I$134:$K$193,3,0)-1,0,1),0)</f>
        <v>1114</v>
      </c>
      <c r="F427" s="45" t="str">
        <f t="shared" si="30"/>
        <v>鹿力大仙</v>
      </c>
      <c r="G427" s="45" t="s">
        <v>217</v>
      </c>
      <c r="H427" s="45">
        <f>VLOOKUP($E427,[1]Sheet1!$A:$G,7,0)</f>
        <v>3</v>
      </c>
      <c r="I427" s="45" t="str">
        <f>IF($G427="","",IF(COUNTIF(技能描述!$D:$D,$F427)&gt;0,VLOOKUP($F427&amp;$G427,技能描述!$A:$C,3,0),LEFT(VLOOKUP($E427,[1]Sheet1!$A:$J,10,0),FIND("_",VLOOKUP($E427,[1]Sheet1!$A:$J,10,0))-1)&amp;$G427))</f>
        <v>lulidaxian_skill04</v>
      </c>
      <c r="J427" s="45" t="str">
        <f>IF($I427="","",VLOOKUP($I427,技能描述!$A:$C,3,0))</f>
        <v>鹿力大仙快速舞动双环，对范围内敌人进行7次攻击，造成自身攻击力@s的物伤，并提升自身@s攻速，持续3秒</v>
      </c>
      <c r="K427" s="45" t="str">
        <f>IF($I427="","",INDEX([2]Sheet1!$1:$1048576,MATCH($I427,[2]Sheet1!$A:$A,0),MATCH("description_damage",[2]Sheet1!$2:$2,0)))</f>
        <v>111404,9015</v>
      </c>
      <c r="L427" s="80" t="str">
        <f>IF($K427="","",IF(LEN($K427)-LEN(SUBSTITUTE($K427,",",""))=0,VLOOKUP(INT($K427),[3]Sheet1!$A:$C,3,0),VLOOKUP(INT(LEFT($K427,FIND(",",$K427)-1)),[3]Sheet1!$A:$C,3,0)))</f>
        <v>2|1|0.2|0|0|0</v>
      </c>
      <c r="M427" s="80" t="str">
        <f t="shared" si="35"/>
        <v>20%</v>
      </c>
      <c r="N427" s="45" t="str">
        <f>IF(LEN($K427)-LEN(SUBSTITUTE($K427,",",""))=1,VLOOKUP(INT(RIGHT($K427,LEN($K427)-FIND(",",$K427))),[3]Sheet1!$A:$C,3,0),"")</f>
        <v>4|3|0.15|0|1</v>
      </c>
      <c r="O427" s="45" t="str">
        <f t="shared" si="32"/>
        <v>15%</v>
      </c>
      <c r="P427" s="45" t="str">
        <f t="shared" si="28"/>
        <v>鹿力大仙快速舞动双环，对范围内敌人进行7次攻击，造成自身攻击力20%的物伤，并提升自身@s攻速，持续3秒</v>
      </c>
      <c r="Q427" s="45" t="str">
        <f t="shared" si="33"/>
        <v>鹿力大仙快速舞动双环，对范围内敌人进行7次攻击，造成自身攻击力20%的物伤，并提升自身15%攻速，持续3秒</v>
      </c>
      <c r="R427" s="45"/>
      <c r="S427" s="45" t="str">
        <f>IF(ISERROR($Q427),"进阶+"&amp;COUNTIF($E$194:$E427,$E427)&amp;"："&amp;"找ZC配技能","进阶+"&amp;COUNTIF($E$194:$E427,$E427)&amp;"："&amp;VLOOKUP(COUNTIF($E$194:$E427,$E427),$L$184:$R$193,IF(H427=1,4,IF(H427=4,3,2))+IF(INDEX([1]Sheet1!$1:$1048576,MATCH($E427,[1]Sheet1!$A:$A,0),MATCH("zizhi",[1]Sheet1!$2:$2,0))&gt;=13,0,3),0)&amp;IF($Q427="","","（"&amp;$Q427&amp;"）"))</f>
        <v>进阶+4：激活AI2技能（鹿力大仙快速舞动双环，对范围内敌人进行7次攻击，造成自身攻击力20%的物伤，并提升自身15%攻速，持续3秒）</v>
      </c>
      <c r="T427" s="1"/>
      <c r="U427" s="1"/>
      <c r="V427" s="2" t="str">
        <f>VLOOKUP(COUNTIF($E$194:$E427,$E427),$L$184:$X$193,IF(H427=1,4,IF(H427=4,3,2))+IF(INDEX([1]Sheet1!$1:$1048576,MATCH($E427,[1]Sheet1!$A:$A,0),MATCH("zizhi",[1]Sheet1!$2:$2,0))&gt;=13,0,3)+6,0)</f>
        <v>[]</v>
      </c>
      <c r="W427" s="2" t="str">
        <f t="shared" si="31"/>
        <v>进阶+4：激活AI2技能（鹿力大仙快速舞动双环，对范围内敌人进行7次攻击，造成自身攻击力20%的物伤，并提升自身15%攻速，持续3秒）</v>
      </c>
      <c r="X427" s="45" t="str">
        <f t="shared" si="29"/>
        <v>[]</v>
      </c>
      <c r="Y427" s="2"/>
      <c r="Z427" s="2"/>
      <c r="AA427" s="2"/>
    </row>
    <row r="428" spans="1:27">
      <c r="A428" s="10">
        <f>E428*100+COUNTIF($E$194:$E428,$E428)</f>
        <v>111405</v>
      </c>
      <c r="B428" s="68" t="s">
        <v>323</v>
      </c>
      <c r="C428" s="50" t="s">
        <v>140</v>
      </c>
      <c r="D428" s="10" t="str">
        <f t="shared" si="34"/>
        <v>[]</v>
      </c>
      <c r="E428" s="45">
        <f>INDEX($I:$I,MATCH($E427,$I:$I,0)+IF(COUNTIF($E$194:$E427,$E427)&lt;=VLOOKUP($E427,$I$134:$K$193,3,0)-1,0,1),0)</f>
        <v>1114</v>
      </c>
      <c r="F428" s="45" t="str">
        <f t="shared" si="30"/>
        <v>鹿力大仙</v>
      </c>
      <c r="H428" s="45">
        <f>VLOOKUP($E428,[1]Sheet1!$A:$G,7,0)</f>
        <v>3</v>
      </c>
      <c r="I428" s="45" t="str">
        <f>IF($G428="","",IF(COUNTIF(技能描述!$D:$D,$F428)&gt;0,VLOOKUP($F428&amp;$G428,技能描述!$A:$C,3,0),LEFT(VLOOKUP($E428,[1]Sheet1!$A:$J,10,0),FIND("_",VLOOKUP($E428,[1]Sheet1!$A:$J,10,0))-1)&amp;$G428))</f>
        <v/>
      </c>
      <c r="J428" s="45" t="str">
        <f>IF($I428="","",VLOOKUP($I428,技能描述!$A:$C,3,0))</f>
        <v/>
      </c>
      <c r="K428" s="45" t="str">
        <f>IF($I428="","",INDEX([2]Sheet1!$1:$1048576,MATCH($I428,[2]Sheet1!$A:$A,0),MATCH("description_damage",[2]Sheet1!$2:$2,0)))</f>
        <v/>
      </c>
      <c r="L428" s="80" t="str">
        <f>IF($K428="","",IF(LEN($K428)-LEN(SUBSTITUTE($K428,",",""))=0,VLOOKUP(INT($K428),[3]Sheet1!$A:$C,3,0),VLOOKUP(INT(LEFT($K428,FIND(",",$K428)-1)),[3]Sheet1!$A:$C,3,0)))</f>
        <v/>
      </c>
      <c r="M428" s="80" t="str">
        <f t="shared" si="35"/>
        <v/>
      </c>
      <c r="N428" s="45" t="str">
        <f>IF(LEN($K428)-LEN(SUBSTITUTE($K428,",",""))=1,VLOOKUP(INT(RIGHT($K428,LEN($K428)-FIND(",",$K428))),[3]Sheet1!$A:$C,3,0),"")</f>
        <v/>
      </c>
      <c r="O428" s="45" t="str">
        <f t="shared" si="32"/>
        <v/>
      </c>
      <c r="P428" s="45" t="str">
        <f t="shared" si="28"/>
        <v/>
      </c>
      <c r="Q428" s="45" t="str">
        <f t="shared" si="33"/>
        <v/>
      </c>
      <c r="R428" s="45"/>
      <c r="S428" s="45" t="str">
        <f>IF(ISERROR($Q428),"进阶+"&amp;COUNTIF($E$194:$E428,$E428)&amp;"："&amp;"找ZC配技能","进阶+"&amp;COUNTIF($E$194:$E428,$E428)&amp;"："&amp;VLOOKUP(COUNTIF($E$194:$E428,$E428),$L$184:$R$193,IF(H428=1,4,IF(H428=4,3,2))+IF(INDEX([1]Sheet1!$1:$1048576,MATCH($E428,[1]Sheet1!$A:$A,0),MATCH("zizhi",[1]Sheet1!$2:$2,0))&gt;=13,0,3),0)&amp;IF($Q428="","","（"&amp;$Q428&amp;"）"))</f>
        <v>进阶+5：生命，防御提高10%</v>
      </c>
      <c r="T428" s="1"/>
      <c r="U428" s="1"/>
      <c r="V428" s="2" t="str">
        <f>VLOOKUP(COUNTIF($E$194:$E428,$E428),$L$184:$X$193,IF(H428=1,4,IF(H428=4,3,2))+IF(INDEX([1]Sheet1!$1:$1048576,MATCH($E428,[1]Sheet1!$A:$A,0),MATCH("zizhi",[1]Sheet1!$2:$2,0))&gt;=13,0,3)+6,0)</f>
        <v>11090,6502,6512</v>
      </c>
      <c r="W428" s="2" t="str">
        <f t="shared" si="31"/>
        <v>进阶+5：生命，防御提高10%</v>
      </c>
      <c r="X428" s="45" t="str">
        <f t="shared" si="29"/>
        <v>11090,6502,6512</v>
      </c>
      <c r="Y428" s="2"/>
      <c r="Z428" s="2"/>
      <c r="AA428" s="2"/>
    </row>
    <row r="429" spans="1:27" ht="33">
      <c r="A429" s="10">
        <f>E429*100+COUNTIF($E$194:$E429,$E429)</f>
        <v>111406</v>
      </c>
      <c r="B429" s="68" t="s">
        <v>2031</v>
      </c>
      <c r="C429" s="50" t="s">
        <v>2</v>
      </c>
      <c r="D429" s="10">
        <f t="shared" si="34"/>
        <v>1</v>
      </c>
      <c r="E429" s="45">
        <f>INDEX($I:$I,MATCH($E428,$I:$I,0)+IF(COUNTIF($E$194:$E428,$E428)&lt;=VLOOKUP($E428,$I$134:$K$193,3,0)-1,0,1),0)</f>
        <v>1114</v>
      </c>
      <c r="F429" s="45" t="str">
        <f t="shared" si="30"/>
        <v>鹿力大仙</v>
      </c>
      <c r="G429" s="45" t="s">
        <v>218</v>
      </c>
      <c r="H429" s="45">
        <f>VLOOKUP($E429,[1]Sheet1!$A:$G,7,0)</f>
        <v>3</v>
      </c>
      <c r="I429" s="45" t="str">
        <f>IF($G429="","",IF(COUNTIF(技能描述!$D:$D,$F429)&gt;0,VLOOKUP($F429&amp;$G429,技能描述!$A:$C,3,0),LEFT(VLOOKUP($E429,[1]Sheet1!$A:$J,10,0),FIND("_",VLOOKUP($E429,[1]Sheet1!$A:$J,10,0))-1)&amp;$G429))</f>
        <v>lulidaxian_skill011</v>
      </c>
      <c r="J429" s="45" t="str">
        <f>IF($I429="","",VLOOKUP($I429,技能描述!$A:$C,3,0))</f>
        <v>将鹿力大仙灵力赋予全队，提升全体友军@s的攻击速度和@s的命中率，持续3秒</v>
      </c>
      <c r="K429" s="45" t="str">
        <f>IF($I429="","",INDEX([2]Sheet1!$1:$1048576,MATCH($I429,[2]Sheet1!$A:$A,0),MATCH("description_damage",[2]Sheet1!$2:$2,0)))</f>
        <v>9030,9030</v>
      </c>
      <c r="L429" s="80" t="str">
        <f>IF($K429="","",IF(LEN($K429)-LEN(SUBSTITUTE($K429,",",""))=0,VLOOKUP(INT($K429),[3]Sheet1!$A:$C,3,0),VLOOKUP(INT(LEFT($K429,FIND(",",$K429)-1)),[3]Sheet1!$A:$C,3,0)))</f>
        <v>4|3|0.3|0|1</v>
      </c>
      <c r="M429" s="80" t="str">
        <f t="shared" si="35"/>
        <v>30%</v>
      </c>
      <c r="N429" s="45" t="str">
        <f>IF(LEN($K429)-LEN(SUBSTITUTE($K429,",",""))=1,VLOOKUP(INT(RIGHT($K429,LEN($K429)-FIND(",",$K429))),[3]Sheet1!$A:$C,3,0),"")</f>
        <v>4|3|0.3|0|1</v>
      </c>
      <c r="O429" s="45" t="str">
        <f t="shared" si="32"/>
        <v>30%</v>
      </c>
      <c r="P429" s="45" t="str">
        <f t="shared" si="28"/>
        <v>将鹿力大仙灵力赋予全队，提升全体友军30%的攻击速度和@s的命中率，持续3秒</v>
      </c>
      <c r="Q429" s="45" t="str">
        <f t="shared" si="33"/>
        <v>将鹿力大仙灵力赋予全队，提升全体友军30%的攻击速度和30%的命中率，持续3秒</v>
      </c>
      <c r="R429" s="45"/>
      <c r="S429" s="45" t="str">
        <f>IF(ISERROR($Q429),"进阶+"&amp;COUNTIF($E$194:$E429,$E429)&amp;"："&amp;"找ZC配技能","进阶+"&amp;COUNTIF($E$194:$E429,$E429)&amp;"："&amp;VLOOKUP(COUNTIF($E$194:$E429,$E429),$L$184:$R$193,IF(H429=1,4,IF(H429=4,3,2))+IF(INDEX([1]Sheet1!$1:$1048576,MATCH($E429,[1]Sheet1!$A:$A,0),MATCH("zizhi",[1]Sheet1!$2:$2,0))&gt;=13,0,3),0)&amp;IF($Q429="","","（"&amp;$Q429&amp;"）"))</f>
        <v>进阶+6：增强主角技能（将鹿力大仙灵力赋予全队，提升全体友军30%的攻击速度和30%的命中率，持续3秒）</v>
      </c>
      <c r="T429" s="1"/>
      <c r="U429" s="1"/>
      <c r="V429" s="2" t="str">
        <f>VLOOKUP(COUNTIF($E$194:$E429,$E429),$L$184:$X$193,IF(H429=1,4,IF(H429=4,3,2))+IF(INDEX([1]Sheet1!$1:$1048576,MATCH($E429,[1]Sheet1!$A:$A,0),MATCH("zizhi",[1]Sheet1!$2:$2,0))&gt;=13,0,3)+6,0)</f>
        <v>[]</v>
      </c>
      <c r="W429" s="2" t="str">
        <f t="shared" si="31"/>
        <v>进阶+6：增强主角技能（将鹿力大仙灵力赋予全队，提升全体友军30%的攻击速度和30%的命中率，持续3秒）</v>
      </c>
      <c r="X429" s="45" t="str">
        <f t="shared" si="29"/>
        <v>[]</v>
      </c>
      <c r="Y429" s="2"/>
      <c r="Z429" s="2"/>
      <c r="AA429" s="2"/>
    </row>
    <row r="430" spans="1:27">
      <c r="A430" s="10">
        <f>E430*100+COUNTIF($E$194:$E430,$E430)</f>
        <v>111407</v>
      </c>
      <c r="B430" s="68" t="s">
        <v>359</v>
      </c>
      <c r="C430" s="50" t="s">
        <v>353</v>
      </c>
      <c r="D430" s="10" t="str">
        <f t="shared" si="34"/>
        <v>[]</v>
      </c>
      <c r="E430" s="45">
        <f>INDEX($I:$I,MATCH($E429,$I:$I,0)+IF(COUNTIF($E$194:$E429,$E429)&lt;=VLOOKUP($E429,$I$134:$K$193,3,0)-1,0,1),0)</f>
        <v>1114</v>
      </c>
      <c r="F430" s="45" t="str">
        <f t="shared" si="30"/>
        <v>鹿力大仙</v>
      </c>
      <c r="H430" s="45">
        <f>VLOOKUP($E430,[1]Sheet1!$A:$G,7,0)</f>
        <v>3</v>
      </c>
      <c r="I430" s="45" t="str">
        <f>IF($G430="","",IF(COUNTIF(技能描述!$D:$D,$F430)&gt;0,VLOOKUP($F430&amp;$G430,技能描述!$A:$C,3,0),LEFT(VLOOKUP($E430,[1]Sheet1!$A:$J,10,0),FIND("_",VLOOKUP($E430,[1]Sheet1!$A:$J,10,0))-1)&amp;$G430))</f>
        <v/>
      </c>
      <c r="J430" s="45" t="str">
        <f>IF($I430="","",VLOOKUP($I430,技能描述!$A:$C,3,0))</f>
        <v/>
      </c>
      <c r="K430" s="45" t="str">
        <f>IF($I430="","",INDEX([2]Sheet1!$1:$1048576,MATCH($I430,[2]Sheet1!$A:$A,0),MATCH("description_damage",[2]Sheet1!$2:$2,0)))</f>
        <v/>
      </c>
      <c r="L430" s="80" t="str">
        <f>IF($K430="","",IF(LEN($K430)-LEN(SUBSTITUTE($K430,",",""))=0,VLOOKUP(INT($K430),[3]Sheet1!$A:$C,3,0),VLOOKUP(INT(LEFT($K430,FIND(",",$K430)-1)),[3]Sheet1!$A:$C,3,0)))</f>
        <v/>
      </c>
      <c r="M430" s="80" t="str">
        <f t="shared" si="35"/>
        <v/>
      </c>
      <c r="N430" s="45" t="str">
        <f>IF(LEN($K430)-LEN(SUBSTITUTE($K430,",",""))=1,VLOOKUP(INT(RIGHT($K430,LEN($K430)-FIND(",",$K430))),[3]Sheet1!$A:$C,3,0),"")</f>
        <v/>
      </c>
      <c r="O430" s="45" t="str">
        <f t="shared" si="32"/>
        <v/>
      </c>
      <c r="P430" s="45" t="str">
        <f t="shared" si="28"/>
        <v/>
      </c>
      <c r="Q430" s="45" t="str">
        <f t="shared" si="33"/>
        <v/>
      </c>
      <c r="R430" s="45"/>
      <c r="S430" s="45" t="str">
        <f>IF(ISERROR($Q430),"进阶+"&amp;COUNTIF($E$194:$E430,$E430)&amp;"："&amp;"找ZC配技能","进阶+"&amp;COUNTIF($E$194:$E430,$E430)&amp;"："&amp;VLOOKUP(COUNTIF($E$194:$E430,$E430),$L$184:$R$193,IF(H430=1,4,IF(H430=4,3,2))+IF(INDEX([1]Sheet1!$1:$1048576,MATCH($E430,[1]Sheet1!$A:$A,0),MATCH("zizhi",[1]Sheet1!$2:$2,0))&gt;=13,0,3),0)&amp;IF($Q430="","","（"&amp;$Q430&amp;"）"))</f>
        <v>进阶+7：全队攻击提高10%</v>
      </c>
      <c r="T430" s="1"/>
      <c r="U430" s="1"/>
      <c r="V430" s="2" t="str">
        <f>VLOOKUP(COUNTIF($E$194:$E430,$E430),$L$184:$X$193,IF(H430=1,4,IF(H430=4,3,2))+IF(INDEX([1]Sheet1!$1:$1048576,MATCH($E430,[1]Sheet1!$A:$A,0),MATCH("zizhi",[1]Sheet1!$2:$2,0))&gt;=13,0,3)+6,0)</f>
        <v>58010</v>
      </c>
      <c r="W430" s="2" t="str">
        <f t="shared" si="31"/>
        <v>进阶+7：全队攻击提高10%</v>
      </c>
      <c r="X430" s="45" t="str">
        <f t="shared" si="29"/>
        <v>58010</v>
      </c>
      <c r="Y430" s="2"/>
      <c r="Z430" s="2"/>
      <c r="AA430" s="2"/>
    </row>
    <row r="431" spans="1:27" ht="33">
      <c r="A431" s="10">
        <f>E431*100+COUNTIF($E$194:$E431,$E431)</f>
        <v>111408</v>
      </c>
      <c r="B431" s="68" t="s">
        <v>2032</v>
      </c>
      <c r="C431" s="50" t="s">
        <v>2</v>
      </c>
      <c r="D431" s="10">
        <f t="shared" si="34"/>
        <v>1</v>
      </c>
      <c r="E431" s="45">
        <f>INDEX($I:$I,MATCH($E430,$I:$I,0)+IF(COUNTIF($E$194:$E430,$E430)&lt;=VLOOKUP($E430,$I$134:$K$193,3,0)-1,0,1),0)</f>
        <v>1114</v>
      </c>
      <c r="F431" s="45" t="str">
        <f t="shared" si="30"/>
        <v>鹿力大仙</v>
      </c>
      <c r="G431" s="45" t="s">
        <v>219</v>
      </c>
      <c r="H431" s="45">
        <f>VLOOKUP($E431,[1]Sheet1!$A:$G,7,0)</f>
        <v>3</v>
      </c>
      <c r="I431" s="45" t="str">
        <f>IF($G431="","",IF(COUNTIF(技能描述!$D:$D,$F431)&gt;0,VLOOKUP($F431&amp;$G431,技能描述!$A:$C,3,0),LEFT(VLOOKUP($E431,[1]Sheet1!$A:$J,10,0),FIND("_",VLOOKUP($E431,[1]Sheet1!$A:$J,10,0))-1)&amp;$G431))</f>
        <v>lulidaxian_skill021</v>
      </c>
      <c r="J431" s="45" t="str">
        <f>IF($I431="","",VLOOKUP($I431,技能描述!$A:$C,3,0))</f>
        <v>鹿力大仙掷出双环，对范围内敌人造成3次自身攻击力@s的物伤</v>
      </c>
      <c r="K431" s="45" t="str">
        <f>IF($I431="","",INDEX([2]Sheet1!$1:$1048576,MATCH($I431,[2]Sheet1!$A:$A,0),MATCH("description_damage",[2]Sheet1!$2:$2,0)))</f>
        <v>111406</v>
      </c>
      <c r="L431" s="80" t="str">
        <f>IF($K431="","",IF(LEN($K431)-LEN(SUBSTITUTE($K431,",",""))=0,VLOOKUP(INT($K431),[3]Sheet1!$A:$C,3,0),VLOOKUP(INT(LEFT($K431,FIND(",",$K431)-1)),[3]Sheet1!$A:$C,3,0)))</f>
        <v>2|1|1.14|0|0|0</v>
      </c>
      <c r="M431" s="80" t="str">
        <f t="shared" si="35"/>
        <v>114%</v>
      </c>
      <c r="N431" s="45" t="str">
        <f>IF(LEN($K431)-LEN(SUBSTITUTE($K431,",",""))=1,VLOOKUP(INT(RIGHT($K431,LEN($K431)-FIND(",",$K431))),[3]Sheet1!$A:$C,3,0),"")</f>
        <v/>
      </c>
      <c r="O431" s="45" t="str">
        <f t="shared" si="32"/>
        <v/>
      </c>
      <c r="P431" s="45" t="str">
        <f t="shared" si="28"/>
        <v>鹿力大仙掷出双环，对范围内敌人造成3次自身攻击力114%的物伤</v>
      </c>
      <c r="Q431" s="45" t="str">
        <f t="shared" si="33"/>
        <v>鹿力大仙掷出双环，对范围内敌人造成3次自身攻击力114%的物伤</v>
      </c>
      <c r="R431" s="45"/>
      <c r="S431" s="45" t="str">
        <f>IF(ISERROR($Q431),"进阶+"&amp;COUNTIF($E$194:$E431,$E431)&amp;"："&amp;"找ZC配技能","进阶+"&amp;COUNTIF($E$194:$E431,$E431)&amp;"："&amp;VLOOKUP(COUNTIF($E$194:$E431,$E431),$L$184:$R$193,IF(H431=1,4,IF(H431=4,3,2))+IF(INDEX([1]Sheet1!$1:$1048576,MATCH($E431,[1]Sheet1!$A:$A,0),MATCH("zizhi",[1]Sheet1!$2:$2,0))&gt;=13,0,3),0)&amp;IF($Q431="","","（"&amp;$Q431&amp;"）"))</f>
        <v>进阶+8：增强AI1技能（鹿力大仙掷出双环，对范围内敌人造成3次自身攻击力114%的物伤）</v>
      </c>
      <c r="T431" s="1"/>
      <c r="U431" s="1"/>
      <c r="V431" s="2" t="str">
        <f>VLOOKUP(COUNTIF($E$194:$E431,$E431),$L$184:$X$193,IF(H431=1,4,IF(H431=4,3,2))+IF(INDEX([1]Sheet1!$1:$1048576,MATCH($E431,[1]Sheet1!$A:$A,0),MATCH("zizhi",[1]Sheet1!$2:$2,0))&gt;=13,0,3)+6,0)</f>
        <v>[]</v>
      </c>
      <c r="W431" s="2" t="str">
        <f t="shared" si="31"/>
        <v>进阶+8：增强AI1技能（鹿力大仙掷出双环，对范围内敌人造成3次自身攻击力114%的物伤）</v>
      </c>
      <c r="X431" s="45" t="str">
        <f t="shared" si="29"/>
        <v>[]</v>
      </c>
      <c r="Y431" s="2"/>
      <c r="Z431" s="2"/>
      <c r="AA431" s="2"/>
    </row>
    <row r="432" spans="1:27">
      <c r="A432" s="10">
        <f>E432*100+COUNTIF($E$194:$E432,$E432)</f>
        <v>111409</v>
      </c>
      <c r="B432" s="68" t="s">
        <v>1899</v>
      </c>
      <c r="C432" s="50" t="s">
        <v>2085</v>
      </c>
      <c r="D432" s="10" t="str">
        <f t="shared" si="34"/>
        <v>[]</v>
      </c>
      <c r="E432" s="45">
        <f>INDEX($I:$I,MATCH($E431,$I:$I,0)+IF(COUNTIF($E$194:$E431,$E431)&lt;=VLOOKUP($E431,$I$134:$K$193,3,0)-1,0,1),0)</f>
        <v>1114</v>
      </c>
      <c r="F432" s="45" t="str">
        <f t="shared" si="30"/>
        <v>鹿力大仙</v>
      </c>
      <c r="H432" s="45">
        <f>VLOOKUP($E432,[1]Sheet1!$A:$G,7,0)</f>
        <v>3</v>
      </c>
      <c r="I432" s="45" t="str">
        <f>IF($G432="","",IF(COUNTIF(技能描述!$D:$D,$F432)&gt;0,VLOOKUP($F432&amp;$G432,技能描述!$A:$C,3,0),LEFT(VLOOKUP($E432,[1]Sheet1!$A:$J,10,0),FIND("_",VLOOKUP($E432,[1]Sheet1!$A:$J,10,0))-1)&amp;$G432))</f>
        <v/>
      </c>
      <c r="J432" s="45" t="str">
        <f>IF($I432="","",VLOOKUP($I432,技能描述!$A:$C,3,0))</f>
        <v/>
      </c>
      <c r="K432" s="45" t="str">
        <f>IF($I432="","",INDEX([2]Sheet1!$1:$1048576,MATCH($I432,[2]Sheet1!$A:$A,0),MATCH("description_damage",[2]Sheet1!$2:$2,0)))</f>
        <v/>
      </c>
      <c r="L432" s="80" t="str">
        <f>IF($K432="","",IF(LEN($K432)-LEN(SUBSTITUTE($K432,",",""))=0,VLOOKUP(INT($K432),[3]Sheet1!$A:$C,3,0),VLOOKUP(INT(LEFT($K432,FIND(",",$K432)-1)),[3]Sheet1!$A:$C,3,0)))</f>
        <v/>
      </c>
      <c r="M432" s="80" t="str">
        <f t="shared" si="35"/>
        <v/>
      </c>
      <c r="N432" s="45" t="str">
        <f>IF(LEN($K432)-LEN(SUBSTITUTE($K432,",",""))=1,VLOOKUP(INT(RIGHT($K432,LEN($K432)-FIND(",",$K432))),[3]Sheet1!$A:$C,3,0),"")</f>
        <v/>
      </c>
      <c r="O432" s="45" t="str">
        <f t="shared" si="32"/>
        <v/>
      </c>
      <c r="P432" s="45" t="str">
        <f t="shared" si="28"/>
        <v/>
      </c>
      <c r="Q432" s="45" t="str">
        <f t="shared" si="33"/>
        <v/>
      </c>
      <c r="R432" s="45"/>
      <c r="S432" s="45" t="str">
        <f>IF(ISERROR($Q432),"进阶+"&amp;COUNTIF($E$194:$E432,$E432)&amp;"："&amp;"找ZC配技能","进阶+"&amp;COUNTIF($E$194:$E432,$E432)&amp;"："&amp;VLOOKUP(COUNTIF($E$194:$E432,$E432),$L$184:$R$193,IF(H432=1,4,IF(H432=4,3,2))+IF(INDEX([1]Sheet1!$1:$1048576,MATCH($E432,[1]Sheet1!$A:$A,0),MATCH("zizhi",[1]Sheet1!$2:$2,0))&gt;=13,0,3),0)&amp;IF($Q432="","","（"&amp;$Q432&amp;"）"))</f>
        <v>进阶+9：全队攻击提高15%</v>
      </c>
      <c r="T432" s="1"/>
      <c r="U432" s="1"/>
      <c r="V432" s="2" t="str">
        <f>VLOOKUP(COUNTIF($E$194:$E432,$E432),$L$184:$X$193,IF(H432=1,4,IF(H432=4,3,2))+IF(INDEX([1]Sheet1!$1:$1048576,MATCH($E432,[1]Sheet1!$A:$A,0),MATCH("zizhi",[1]Sheet1!$2:$2,0))&gt;=13,0,3)+6,0)</f>
        <v>58015</v>
      </c>
      <c r="W432" s="2" t="str">
        <f t="shared" si="31"/>
        <v>进阶+9：全队攻击提高15%</v>
      </c>
      <c r="X432" s="45" t="str">
        <f t="shared" si="29"/>
        <v>58015</v>
      </c>
      <c r="Y432" s="2"/>
      <c r="Z432" s="2"/>
      <c r="AA432" s="2"/>
    </row>
    <row r="433" spans="1:27" ht="33">
      <c r="A433" s="10">
        <f>E433*100+COUNTIF($E$194:$E433,$E433)</f>
        <v>111410</v>
      </c>
      <c r="B433" s="68" t="s">
        <v>1917</v>
      </c>
      <c r="C433" s="50" t="s">
        <v>2</v>
      </c>
      <c r="D433" s="10">
        <f t="shared" si="34"/>
        <v>1</v>
      </c>
      <c r="E433" s="45">
        <f>INDEX($I:$I,MATCH($E432,$I:$I,0)+IF(COUNTIF($E$194:$E432,$E432)&lt;=VLOOKUP($E432,$I$134:$K$193,3,0)-1,0,1),0)</f>
        <v>1114</v>
      </c>
      <c r="F433" s="45" t="str">
        <f t="shared" si="30"/>
        <v>鹿力大仙</v>
      </c>
      <c r="G433" s="45" t="s">
        <v>220</v>
      </c>
      <c r="H433" s="45">
        <f>VLOOKUP($E433,[1]Sheet1!$A:$G,7,0)</f>
        <v>3</v>
      </c>
      <c r="I433" s="45" t="str">
        <f>IF($G433="","",IF(COUNTIF(技能描述!$D:$D,$F433)&gt;0,VLOOKUP($F433&amp;$G433,技能描述!$A:$C,3,0),LEFT(VLOOKUP($E433,[1]Sheet1!$A:$J,10,0),FIND("_",VLOOKUP($E433,[1]Sheet1!$A:$J,10,0))-1)&amp;$G433))</f>
        <v>lulidaxian_skill041</v>
      </c>
      <c r="J433" s="45" t="str">
        <f>IF($I433="","",VLOOKUP($I433,技能描述!$A:$C,3,0))</f>
        <v>鹿力大仙快速舞动双环，对范围内敌人进行7次攻击，造成自身攻击力@s的物伤，并提升自身@s攻速，持续3秒</v>
      </c>
      <c r="K433" s="45" t="str">
        <f>IF($I433="","",INDEX([2]Sheet1!$1:$1048576,MATCH($I433,[2]Sheet1!$A:$A,0),MATCH("description_damage",[2]Sheet1!$2:$2,0)))</f>
        <v>111407,9015</v>
      </c>
      <c r="L433" s="80" t="str">
        <f>IF($K433="","",IF(LEN($K433)-LEN(SUBSTITUTE($K433,",",""))=0,VLOOKUP(INT($K433),[3]Sheet1!$A:$C,3,0),VLOOKUP(INT(LEFT($K433,FIND(",",$K433)-1)),[3]Sheet1!$A:$C,3,0)))</f>
        <v>2|1|0.29|0|0|0</v>
      </c>
      <c r="M433" s="80" t="str">
        <f t="shared" si="35"/>
        <v>29%</v>
      </c>
      <c r="N433" s="45" t="str">
        <f>IF(LEN($K433)-LEN(SUBSTITUTE($K433,",",""))=1,VLOOKUP(INT(RIGHT($K433,LEN($K433)-FIND(",",$K433))),[3]Sheet1!$A:$C,3,0),"")</f>
        <v>4|3|0.15|0|1</v>
      </c>
      <c r="O433" s="45" t="str">
        <f t="shared" si="32"/>
        <v>15%</v>
      </c>
      <c r="P433" s="45" t="str">
        <f t="shared" si="28"/>
        <v>鹿力大仙快速舞动双环，对范围内敌人进行7次攻击，造成自身攻击力29%的物伤，并提升自身@s攻速，持续3秒</v>
      </c>
      <c r="Q433" s="45" t="str">
        <f t="shared" si="33"/>
        <v>鹿力大仙快速舞动双环，对范围内敌人进行7次攻击，造成自身攻击力29%的物伤，并提升自身15%攻速，持续3秒</v>
      </c>
      <c r="R433" s="45"/>
      <c r="S433" s="45" t="str">
        <f>IF(ISERROR($Q433),"进阶+"&amp;COUNTIF($E$194:$E433,$E433)&amp;"："&amp;"找ZC配技能","进阶+"&amp;COUNTIF($E$194:$E433,$E433)&amp;"："&amp;VLOOKUP(COUNTIF($E$194:$E433,$E433),$L$184:$R$193,IF(H433=1,4,IF(H433=4,3,2))+IF(INDEX([1]Sheet1!$1:$1048576,MATCH($E433,[1]Sheet1!$A:$A,0),MATCH("zizhi",[1]Sheet1!$2:$2,0))&gt;=13,0,3),0)&amp;IF($Q433="","","（"&amp;$Q433&amp;"）"))</f>
        <v>进阶+10：增强AI2技能（鹿力大仙快速舞动双环，对范围内敌人进行7次攻击，造成自身攻击力29%的物伤，并提升自身15%攻速，持续3秒）</v>
      </c>
      <c r="T433" s="1"/>
      <c r="U433" s="1"/>
      <c r="V433" s="2" t="str">
        <f>VLOOKUP(COUNTIF($E$194:$E433,$E433),$L$184:$X$193,IF(H433=1,4,IF(H433=4,3,2))+IF(INDEX([1]Sheet1!$1:$1048576,MATCH($E433,[1]Sheet1!$A:$A,0),MATCH("zizhi",[1]Sheet1!$2:$2,0))&gt;=13,0,3)+6,0)</f>
        <v>[]</v>
      </c>
      <c r="W433" s="2" t="str">
        <f t="shared" si="31"/>
        <v>进阶+10：增强AI2技能（鹿力大仙快速舞动双环，对范围内敌人进行7次攻击，造成自身攻击力29%的物伤，并提升自身15%攻速，持续3秒）</v>
      </c>
      <c r="X433" s="45" t="str">
        <f t="shared" si="29"/>
        <v>[]</v>
      </c>
      <c r="Y433" s="2"/>
      <c r="Z433" s="2"/>
      <c r="AA433" s="2"/>
    </row>
    <row r="434" spans="1:27">
      <c r="A434" s="10">
        <f>E434*100+COUNTIF($E$194:$E434,$E434)</f>
        <v>111001</v>
      </c>
      <c r="B434" s="68" t="s">
        <v>310</v>
      </c>
      <c r="C434" s="50" t="s">
        <v>127</v>
      </c>
      <c r="D434" s="10" t="str">
        <f t="shared" si="34"/>
        <v>[]</v>
      </c>
      <c r="E434" s="45">
        <f>INDEX($I:$I,MATCH($E433,$I:$I,0)+IF(COUNTIF($E$194:$E433,$E433)&lt;=VLOOKUP($E433,$I$134:$K$193,3,0)-1,0,1),0)</f>
        <v>1110</v>
      </c>
      <c r="F434" s="45" t="str">
        <f t="shared" si="30"/>
        <v>红孩儿</v>
      </c>
      <c r="H434" s="45">
        <f>VLOOKUP($E434,[1]Sheet1!$A:$G,7,0)</f>
        <v>3</v>
      </c>
      <c r="I434" s="45" t="str">
        <f>IF($G434="","",IF(COUNTIF(技能描述!$D:$D,$F434)&gt;0,VLOOKUP($F434&amp;$G434,技能描述!$A:$C,3,0),LEFT(VLOOKUP($E434,[1]Sheet1!$A:$J,10,0),FIND("_",VLOOKUP($E434,[1]Sheet1!$A:$J,10,0))-1)&amp;$G434))</f>
        <v/>
      </c>
      <c r="J434" s="45" t="str">
        <f>IF($I434="","",VLOOKUP($I434,技能描述!$A:$C,3,0))</f>
        <v/>
      </c>
      <c r="K434" s="45" t="str">
        <f>IF($I434="","",INDEX([2]Sheet1!$1:$1048576,MATCH($I434,[2]Sheet1!$A:$A,0),MATCH("description_damage",[2]Sheet1!$2:$2,0)))</f>
        <v/>
      </c>
      <c r="L434" s="80" t="str">
        <f>IF($K434="","",IF(LEN($K434)-LEN(SUBSTITUTE($K434,",",""))=0,VLOOKUP(INT($K434),[3]Sheet1!$A:$C,3,0),VLOOKUP(INT(LEFT($K434,FIND(",",$K434)-1)),[3]Sheet1!$A:$C,3,0)))</f>
        <v/>
      </c>
      <c r="M434" s="80" t="str">
        <f t="shared" si="35"/>
        <v/>
      </c>
      <c r="N434" s="45" t="str">
        <f>IF(LEN($K434)-LEN(SUBSTITUTE($K434,",",""))=1,VLOOKUP(INT(RIGHT($K434,LEN($K434)-FIND(",",$K434))),[3]Sheet1!$A:$C,3,0),"")</f>
        <v/>
      </c>
      <c r="O434" s="45" t="str">
        <f t="shared" si="32"/>
        <v/>
      </c>
      <c r="P434" s="45" t="str">
        <f t="shared" si="28"/>
        <v/>
      </c>
      <c r="Q434" s="45" t="str">
        <f t="shared" si="33"/>
        <v/>
      </c>
      <c r="R434" s="45"/>
      <c r="S434" s="45" t="str">
        <f>IF(ISERROR($Q434),"进阶+"&amp;COUNTIF($E$194:$E434,$E434)&amp;"："&amp;"找ZC配技能","进阶+"&amp;COUNTIF($E$194:$E434,$E434)&amp;"："&amp;VLOOKUP(COUNTIF($E$194:$E434,$E434),$L$184:$R$193,IF(H434=1,4,IF(H434=4,3,2))+IF(INDEX([1]Sheet1!$1:$1048576,MATCH($E434,[1]Sheet1!$A:$A,0),MATCH("zizhi",[1]Sheet1!$2:$2,0))&gt;=13,0,3),0)&amp;IF($Q434="","","（"&amp;$Q434&amp;"）"))</f>
        <v>进阶+1：攻击提高10%</v>
      </c>
      <c r="T434" s="1"/>
      <c r="U434" s="1"/>
      <c r="V434" s="2" t="str">
        <f>VLOOKUP(COUNTIF($E$194:$E434,$E434),$L$184:$X$193,IF(H434=1,4,IF(H434=4,3,2))+IF(INDEX([1]Sheet1!$1:$1048576,MATCH($E434,[1]Sheet1!$A:$A,0),MATCH("zizhi",[1]Sheet1!$2:$2,0))&gt;=13,0,3)+6,0)</f>
        <v>11050</v>
      </c>
      <c r="W434" s="2" t="str">
        <f t="shared" si="31"/>
        <v>进阶+1：攻击提高10%</v>
      </c>
      <c r="X434" s="45" t="str">
        <f t="shared" si="29"/>
        <v>11050</v>
      </c>
      <c r="Y434" s="2"/>
      <c r="Z434" s="2"/>
      <c r="AA434" s="2"/>
    </row>
    <row r="435" spans="1:27">
      <c r="A435" s="10">
        <f>E435*100+COUNTIF($E$194:$E435,$E435)</f>
        <v>111002</v>
      </c>
      <c r="B435" s="68" t="s">
        <v>338</v>
      </c>
      <c r="C435" s="50" t="s">
        <v>2</v>
      </c>
      <c r="D435" s="10">
        <f t="shared" si="34"/>
        <v>1</v>
      </c>
      <c r="E435" s="45">
        <f>INDEX($I:$I,MATCH($E434,$I:$I,0)+IF(COUNTIF($E$194:$E434,$E434)&lt;=VLOOKUP($E434,$I$134:$K$193,3,0)-1,0,1),0)</f>
        <v>1110</v>
      </c>
      <c r="F435" s="45" t="str">
        <f t="shared" si="30"/>
        <v>红孩儿</v>
      </c>
      <c r="G435" s="45" t="s">
        <v>216</v>
      </c>
      <c r="H435" s="45">
        <f>VLOOKUP($E435,[1]Sheet1!$A:$G,7,0)</f>
        <v>3</v>
      </c>
      <c r="I435" s="45" t="str">
        <f>IF($G435="","",IF(COUNTIF(技能描述!$D:$D,$F435)&gt;0,VLOOKUP($F435&amp;$G435,技能描述!$A:$C,3,0),LEFT(VLOOKUP($E435,[1]Sheet1!$A:$J,10,0),FIND("_",VLOOKUP($E435,[1]Sheet1!$A:$J,10,0))-1)&amp;$G435))</f>
        <v>honghaier_skill03</v>
      </c>
      <c r="J435" s="45" t="str">
        <f>IF($I435="","",VLOOKUP($I435,技能描述!$A:$C,3,0))</f>
        <v>进入战斗场景时，提升自身暴击率@s</v>
      </c>
      <c r="K435" s="45" t="str">
        <f>IF($I435="","",INDEX([2]Sheet1!$1:$1048576,MATCH($I435,[2]Sheet1!$A:$A,0),MATCH("description_damage",[2]Sheet1!$2:$2,0)))</f>
        <v>9020</v>
      </c>
      <c r="L435" s="80" t="str">
        <f>IF($K435="","",IF(LEN($K435)-LEN(SUBSTITUTE($K435,",",""))=0,VLOOKUP(INT($K435),[3]Sheet1!$A:$C,3,0),VLOOKUP(INT(LEFT($K435,FIND(",",$K435)-1)),[3]Sheet1!$A:$C,3,0)))</f>
        <v>4|3|0.2|0|1</v>
      </c>
      <c r="M435" s="80" t="str">
        <f t="shared" si="35"/>
        <v>20%</v>
      </c>
      <c r="N435" s="45" t="str">
        <f>IF(LEN($K435)-LEN(SUBSTITUTE($K435,",",""))=1,VLOOKUP(INT(RIGHT($K435,LEN($K435)-FIND(",",$K435))),[3]Sheet1!$A:$C,3,0),"")</f>
        <v/>
      </c>
      <c r="O435" s="45" t="str">
        <f t="shared" si="32"/>
        <v/>
      </c>
      <c r="P435" s="45" t="str">
        <f t="shared" si="28"/>
        <v>进入战斗场景时，提升自身暴击率20%</v>
      </c>
      <c r="Q435" s="45" t="str">
        <f t="shared" si="33"/>
        <v>进入战斗场景时，提升自身暴击率20%</v>
      </c>
      <c r="R435" s="45"/>
      <c r="S435" s="45" t="str">
        <f>IF(ISERROR($Q435),"进阶+"&amp;COUNTIF($E$194:$E435,$E435)&amp;"："&amp;"找ZC配技能","进阶+"&amp;COUNTIF($E$194:$E435,$E435)&amp;"："&amp;VLOOKUP(COUNTIF($E$194:$E435,$E435),$L$184:$R$193,IF(H435=1,4,IF(H435=4,3,2))+IF(INDEX([1]Sheet1!$1:$1048576,MATCH($E435,[1]Sheet1!$A:$A,0),MATCH("zizhi",[1]Sheet1!$2:$2,0))&gt;=13,0,3),0)&amp;IF($Q435="","","（"&amp;$Q435&amp;"）"))</f>
        <v>进阶+2：激活被动技能（进入战斗场景时，提升自身暴击率20%）</v>
      </c>
      <c r="T435" s="1"/>
      <c r="U435" s="1"/>
      <c r="V435" s="2" t="str">
        <f>VLOOKUP(COUNTIF($E$194:$E435,$E435),$L$184:$X$193,IF(H435=1,4,IF(H435=4,3,2))+IF(INDEX([1]Sheet1!$1:$1048576,MATCH($E435,[1]Sheet1!$A:$A,0),MATCH("zizhi",[1]Sheet1!$2:$2,0))&gt;=13,0,3)+6,0)</f>
        <v>[]</v>
      </c>
      <c r="W435" s="2" t="str">
        <f t="shared" si="31"/>
        <v>进阶+2：激活被动技能（进入战斗场景时，提升自身暴击率20%）</v>
      </c>
      <c r="X435" s="45" t="str">
        <f t="shared" si="29"/>
        <v>[]</v>
      </c>
      <c r="Y435" s="2"/>
      <c r="Z435" s="2"/>
      <c r="AA435" s="2"/>
    </row>
    <row r="436" spans="1:27">
      <c r="A436" s="10">
        <f>E436*100+COUNTIF($E$194:$E436,$E436)</f>
        <v>111003</v>
      </c>
      <c r="B436" s="68" t="s">
        <v>312</v>
      </c>
      <c r="C436" s="50" t="s">
        <v>127</v>
      </c>
      <c r="D436" s="10" t="str">
        <f t="shared" si="34"/>
        <v>[]</v>
      </c>
      <c r="E436" s="45">
        <f>INDEX($I:$I,MATCH($E435,$I:$I,0)+IF(COUNTIF($E$194:$E435,$E435)&lt;=VLOOKUP($E435,$I$134:$K$193,3,0)-1,0,1),0)</f>
        <v>1110</v>
      </c>
      <c r="F436" s="45" t="str">
        <f t="shared" si="30"/>
        <v>红孩儿</v>
      </c>
      <c r="H436" s="45">
        <f>VLOOKUP($E436,[1]Sheet1!$A:$G,7,0)</f>
        <v>3</v>
      </c>
      <c r="I436" s="45" t="str">
        <f>IF($G436="","",IF(COUNTIF(技能描述!$D:$D,$F436)&gt;0,VLOOKUP($F436&amp;$G436,技能描述!$A:$C,3,0),LEFT(VLOOKUP($E436,[1]Sheet1!$A:$J,10,0),FIND("_",VLOOKUP($E436,[1]Sheet1!$A:$J,10,0))-1)&amp;$G436))</f>
        <v/>
      </c>
      <c r="J436" s="45" t="str">
        <f>IF($I436="","",VLOOKUP($I436,技能描述!$A:$C,3,0))</f>
        <v/>
      </c>
      <c r="K436" s="45" t="str">
        <f>IF($I436="","",INDEX([2]Sheet1!$1:$1048576,MATCH($I436,[2]Sheet1!$A:$A,0),MATCH("description_damage",[2]Sheet1!$2:$2,0)))</f>
        <v/>
      </c>
      <c r="L436" s="80" t="str">
        <f>IF($K436="","",IF(LEN($K436)-LEN(SUBSTITUTE($K436,",",""))=0,VLOOKUP(INT($K436),[3]Sheet1!$A:$C,3,0),VLOOKUP(INT(LEFT($K436,FIND(",",$K436)-1)),[3]Sheet1!$A:$C,3,0)))</f>
        <v/>
      </c>
      <c r="M436" s="80" t="str">
        <f t="shared" si="35"/>
        <v/>
      </c>
      <c r="N436" s="45" t="str">
        <f>IF(LEN($K436)-LEN(SUBSTITUTE($K436,",",""))=1,VLOOKUP(INT(RIGHT($K436,LEN($K436)-FIND(",",$K436))),[3]Sheet1!$A:$C,3,0),"")</f>
        <v/>
      </c>
      <c r="O436" s="45" t="str">
        <f t="shared" si="32"/>
        <v/>
      </c>
      <c r="P436" s="45" t="str">
        <f t="shared" si="28"/>
        <v/>
      </c>
      <c r="Q436" s="45" t="str">
        <f t="shared" si="33"/>
        <v/>
      </c>
      <c r="R436" s="45"/>
      <c r="S436" s="45" t="str">
        <f>IF(ISERROR($Q436),"进阶+"&amp;COUNTIF($E$194:$E436,$E436)&amp;"："&amp;"找ZC配技能","进阶+"&amp;COUNTIF($E$194:$E436,$E436)&amp;"："&amp;VLOOKUP(COUNTIF($E$194:$E436,$E436),$L$184:$R$193,IF(H436=1,4,IF(H436=4,3,2))+IF(INDEX([1]Sheet1!$1:$1048576,MATCH($E436,[1]Sheet1!$A:$A,0),MATCH("zizhi",[1]Sheet1!$2:$2,0))&gt;=13,0,3),0)&amp;IF($Q436="","","（"&amp;$Q436&amp;"）"))</f>
        <v>进阶+3：攻击提高10%</v>
      </c>
      <c r="T436" s="1"/>
      <c r="U436" s="1"/>
      <c r="V436" s="2" t="str">
        <f>VLOOKUP(COUNTIF($E$194:$E436,$E436),$L$184:$X$193,IF(H436=1,4,IF(H436=4,3,2))+IF(INDEX([1]Sheet1!$1:$1048576,MATCH($E436,[1]Sheet1!$A:$A,0),MATCH("zizhi",[1]Sheet1!$2:$2,0))&gt;=13,0,3)+6,0)</f>
        <v>11050</v>
      </c>
      <c r="W436" s="2" t="str">
        <f t="shared" si="31"/>
        <v>进阶+3：攻击提高10%</v>
      </c>
      <c r="X436" s="45" t="str">
        <f t="shared" si="29"/>
        <v>11050</v>
      </c>
      <c r="Y436" s="2"/>
      <c r="Z436" s="2"/>
      <c r="AA436" s="2"/>
    </row>
    <row r="437" spans="1:27" ht="33">
      <c r="A437" s="10">
        <f>E437*100+COUNTIF($E$194:$E437,$E437)</f>
        <v>111004</v>
      </c>
      <c r="B437" s="68" t="s">
        <v>1872</v>
      </c>
      <c r="C437" s="50" t="s">
        <v>2</v>
      </c>
      <c r="D437" s="10">
        <f t="shared" si="34"/>
        <v>1</v>
      </c>
      <c r="E437" s="45">
        <f>INDEX($I:$I,MATCH($E436,$I:$I,0)+IF(COUNTIF($E$194:$E436,$E436)&lt;=VLOOKUP($E436,$I$134:$K$193,3,0)-1,0,1),0)</f>
        <v>1110</v>
      </c>
      <c r="F437" s="45" t="str">
        <f t="shared" si="30"/>
        <v>红孩儿</v>
      </c>
      <c r="G437" s="45" t="s">
        <v>217</v>
      </c>
      <c r="H437" s="45">
        <f>VLOOKUP($E437,[1]Sheet1!$A:$G,7,0)</f>
        <v>3</v>
      </c>
      <c r="I437" s="45" t="str">
        <f>IF($G437="","",IF(COUNTIF(技能描述!$D:$D,$F437)&gt;0,VLOOKUP($F437&amp;$G437,技能描述!$A:$C,3,0),LEFT(VLOOKUP($E437,[1]Sheet1!$A:$J,10,0),FIND("_",VLOOKUP($E437,[1]Sheet1!$A:$J,10,0))-1)&amp;$G437))</f>
        <v>honghaier_skill04</v>
      </c>
      <c r="J437" s="45" t="str">
        <f>IF($I437="","",VLOOKUP($I437,技能描述!$A:$C,3,0))</f>
        <v>红孩儿舞枪对对范围内敌人发动连续9次攻击，造成自身攻击力@s的物伤，对灼烧中的目标提升20%伤害</v>
      </c>
      <c r="K437" s="45" t="str">
        <f>IF($I437="","",INDEX([2]Sheet1!$1:$1048576,MATCH($I437,[2]Sheet1!$A:$A,0),MATCH("description_damage",[2]Sheet1!$2:$2,0)))</f>
        <v>111004</v>
      </c>
      <c r="L437" s="80" t="str">
        <f>IF($K437="","",IF(LEN($K437)-LEN(SUBSTITUTE($K437,",",""))=0,VLOOKUP(INT($K437),[3]Sheet1!$A:$C,3,0),VLOOKUP(INT(LEFT($K437,FIND(",",$K437)-1)),[3]Sheet1!$A:$C,3,0)))</f>
        <v>2|1|0.16|0|0|0</v>
      </c>
      <c r="M437" s="80" t="str">
        <f t="shared" si="35"/>
        <v>16%</v>
      </c>
      <c r="N437" s="45" t="str">
        <f>IF(LEN($K437)-LEN(SUBSTITUTE($K437,",",""))=1,VLOOKUP(INT(RIGHT($K437,LEN($K437)-FIND(",",$K437))),[3]Sheet1!$A:$C,3,0),"")</f>
        <v/>
      </c>
      <c r="O437" s="45" t="str">
        <f t="shared" si="32"/>
        <v/>
      </c>
      <c r="P437" s="45" t="str">
        <f t="shared" si="28"/>
        <v>红孩儿舞枪对对范围内敌人发动连续9次攻击，造成自身攻击力16%的物伤，对灼烧中的目标提升20%伤害</v>
      </c>
      <c r="Q437" s="45" t="str">
        <f t="shared" si="33"/>
        <v>红孩儿舞枪对对范围内敌人发动连续9次攻击，造成自身攻击力16%的物伤，对灼烧中的目标提升20%伤害</v>
      </c>
      <c r="R437" s="45"/>
      <c r="S437" s="45" t="str">
        <f>IF(ISERROR($Q437),"进阶+"&amp;COUNTIF($E$194:$E437,$E437)&amp;"："&amp;"找ZC配技能","进阶+"&amp;COUNTIF($E$194:$E437,$E437)&amp;"："&amp;VLOOKUP(COUNTIF($E$194:$E437,$E437),$L$184:$R$193,IF(H437=1,4,IF(H437=4,3,2))+IF(INDEX([1]Sheet1!$1:$1048576,MATCH($E437,[1]Sheet1!$A:$A,0),MATCH("zizhi",[1]Sheet1!$2:$2,0))&gt;=13,0,3),0)&amp;IF($Q437="","","（"&amp;$Q437&amp;"）"))</f>
        <v>进阶+4：激活AI2技能（红孩儿舞枪对对范围内敌人发动连续9次攻击，造成自身攻击力16%的物伤，对灼烧中的目标提升20%伤害）</v>
      </c>
      <c r="T437" s="1"/>
      <c r="U437" s="1"/>
      <c r="V437" s="2" t="str">
        <f>VLOOKUP(COUNTIF($E$194:$E437,$E437),$L$184:$X$193,IF(H437=1,4,IF(H437=4,3,2))+IF(INDEX([1]Sheet1!$1:$1048576,MATCH($E437,[1]Sheet1!$A:$A,0),MATCH("zizhi",[1]Sheet1!$2:$2,0))&gt;=13,0,3)+6,0)</f>
        <v>[]</v>
      </c>
      <c r="W437" s="2" t="str">
        <f t="shared" si="31"/>
        <v>进阶+4：激活AI2技能（红孩儿舞枪对对范围内敌人发动连续9次攻击，造成自身攻击力16%的物伤，对灼烧中的目标提升20%伤害）</v>
      </c>
      <c r="X437" s="45" t="str">
        <f t="shared" si="29"/>
        <v>[]</v>
      </c>
      <c r="Y437" s="2"/>
      <c r="Z437" s="2"/>
      <c r="AA437" s="2"/>
    </row>
    <row r="438" spans="1:27">
      <c r="A438" s="10">
        <f>E438*100+COUNTIF($E$194:$E438,$E438)</f>
        <v>111005</v>
      </c>
      <c r="B438" s="68" t="s">
        <v>323</v>
      </c>
      <c r="C438" s="50" t="s">
        <v>140</v>
      </c>
      <c r="D438" s="10" t="str">
        <f t="shared" si="34"/>
        <v>[]</v>
      </c>
      <c r="E438" s="45">
        <f>INDEX($I:$I,MATCH($E437,$I:$I,0)+IF(COUNTIF($E$194:$E437,$E437)&lt;=VLOOKUP($E437,$I$134:$K$193,3,0)-1,0,1),0)</f>
        <v>1110</v>
      </c>
      <c r="F438" s="45" t="str">
        <f t="shared" si="30"/>
        <v>红孩儿</v>
      </c>
      <c r="H438" s="45">
        <f>VLOOKUP($E438,[1]Sheet1!$A:$G,7,0)</f>
        <v>3</v>
      </c>
      <c r="I438" s="45" t="str">
        <f>IF($G438="","",IF(COUNTIF(技能描述!$D:$D,$F438)&gt;0,VLOOKUP($F438&amp;$G438,技能描述!$A:$C,3,0),LEFT(VLOOKUP($E438,[1]Sheet1!$A:$J,10,0),FIND("_",VLOOKUP($E438,[1]Sheet1!$A:$J,10,0))-1)&amp;$G438))</f>
        <v/>
      </c>
      <c r="J438" s="45" t="str">
        <f>IF($I438="","",VLOOKUP($I438,技能描述!$A:$C,3,0))</f>
        <v/>
      </c>
      <c r="K438" s="45" t="str">
        <f>IF($I438="","",INDEX([2]Sheet1!$1:$1048576,MATCH($I438,[2]Sheet1!$A:$A,0),MATCH("description_damage",[2]Sheet1!$2:$2,0)))</f>
        <v/>
      </c>
      <c r="L438" s="80" t="str">
        <f>IF($K438="","",IF(LEN($K438)-LEN(SUBSTITUTE($K438,",",""))=0,VLOOKUP(INT($K438),[3]Sheet1!$A:$C,3,0),VLOOKUP(INT(LEFT($K438,FIND(",",$K438)-1)),[3]Sheet1!$A:$C,3,0)))</f>
        <v/>
      </c>
      <c r="M438" s="80" t="str">
        <f t="shared" si="35"/>
        <v/>
      </c>
      <c r="N438" s="45" t="str">
        <f>IF(LEN($K438)-LEN(SUBSTITUTE($K438,",",""))=1,VLOOKUP(INT(RIGHT($K438,LEN($K438)-FIND(",",$K438))),[3]Sheet1!$A:$C,3,0),"")</f>
        <v/>
      </c>
      <c r="O438" s="45" t="str">
        <f t="shared" si="32"/>
        <v/>
      </c>
      <c r="P438" s="45" t="str">
        <f t="shared" si="28"/>
        <v/>
      </c>
      <c r="Q438" s="45" t="str">
        <f t="shared" si="33"/>
        <v/>
      </c>
      <c r="R438" s="45"/>
      <c r="S438" s="45" t="str">
        <f>IF(ISERROR($Q438),"进阶+"&amp;COUNTIF($E$194:$E438,$E438)&amp;"："&amp;"找ZC配技能","进阶+"&amp;COUNTIF($E$194:$E438,$E438)&amp;"："&amp;VLOOKUP(COUNTIF($E$194:$E438,$E438),$L$184:$R$193,IF(H438=1,4,IF(H438=4,3,2))+IF(INDEX([1]Sheet1!$1:$1048576,MATCH($E438,[1]Sheet1!$A:$A,0),MATCH("zizhi",[1]Sheet1!$2:$2,0))&gt;=13,0,3),0)&amp;IF($Q438="","","（"&amp;$Q438&amp;"）"))</f>
        <v>进阶+5：生命，防御提高10%</v>
      </c>
      <c r="T438" s="1"/>
      <c r="U438" s="1"/>
      <c r="V438" s="2" t="str">
        <f>VLOOKUP(COUNTIF($E$194:$E438,$E438),$L$184:$X$193,IF(H438=1,4,IF(H438=4,3,2))+IF(INDEX([1]Sheet1!$1:$1048576,MATCH($E438,[1]Sheet1!$A:$A,0),MATCH("zizhi",[1]Sheet1!$2:$2,0))&gt;=13,0,3)+6,0)</f>
        <v>11090,6502,6512</v>
      </c>
      <c r="W438" s="2" t="str">
        <f t="shared" si="31"/>
        <v>进阶+5：生命，防御提高10%</v>
      </c>
      <c r="X438" s="45" t="str">
        <f t="shared" si="29"/>
        <v>11090,6502,6512</v>
      </c>
      <c r="Y438" s="2"/>
      <c r="Z438" s="2"/>
      <c r="AA438" s="2"/>
    </row>
    <row r="439" spans="1:27" ht="33">
      <c r="A439" s="10">
        <f>E439*100+COUNTIF($E$194:$E439,$E439)</f>
        <v>111006</v>
      </c>
      <c r="B439" s="68" t="s">
        <v>2033</v>
      </c>
      <c r="C439" s="50" t="s">
        <v>2</v>
      </c>
      <c r="D439" s="10">
        <f t="shared" si="34"/>
        <v>1</v>
      </c>
      <c r="E439" s="45">
        <f>INDEX($I:$I,MATCH($E438,$I:$I,0)+IF(COUNTIF($E$194:$E438,$E438)&lt;=VLOOKUP($E438,$I$134:$K$193,3,0)-1,0,1),0)</f>
        <v>1110</v>
      </c>
      <c r="F439" s="45" t="str">
        <f t="shared" si="30"/>
        <v>红孩儿</v>
      </c>
      <c r="G439" s="45" t="s">
        <v>218</v>
      </c>
      <c r="H439" s="45">
        <f>VLOOKUP($E439,[1]Sheet1!$A:$G,7,0)</f>
        <v>3</v>
      </c>
      <c r="I439" s="45" t="str">
        <f>IF($G439="","",IF(COUNTIF(技能描述!$D:$D,$F439)&gt;0,VLOOKUP($F439&amp;$G439,技能描述!$A:$C,3,0),LEFT(VLOOKUP($E439,[1]Sheet1!$A:$J,10,0),FIND("_",VLOOKUP($E439,[1]Sheet1!$A:$J,10,0))-1)&amp;$G439))</f>
        <v>honghaier_skill011</v>
      </c>
      <c r="J439" s="45" t="str">
        <f>IF($I439="","",VLOOKUP($I439,技能描述!$A:$C,3,0))</f>
        <v>召唤巨大的陨石，对范围内敌人造成主角攻击力@s的物伤，被陨石砸中有60%的几率昏迷</v>
      </c>
      <c r="K439" s="45" t="str">
        <f>IF($I439="","",INDEX([2]Sheet1!$1:$1048576,MATCH($I439,[2]Sheet1!$A:$A,0),MATCH("description_damage",[2]Sheet1!$2:$2,0)))</f>
        <v>111005</v>
      </c>
      <c r="L439" s="80" t="str">
        <f>IF($K439="","",IF(LEN($K439)-LEN(SUBSTITUTE($K439,",",""))=0,VLOOKUP(INT($K439),[3]Sheet1!$A:$C,3,0),VLOOKUP(INT(LEFT($K439,FIND(",",$K439)-1)),[3]Sheet1!$A:$C,3,0)))</f>
        <v>2|1|3.42|0|0|0</v>
      </c>
      <c r="M439" s="80" t="str">
        <f t="shared" si="35"/>
        <v>342%</v>
      </c>
      <c r="N439" s="45" t="str">
        <f>IF(LEN($K439)-LEN(SUBSTITUTE($K439,",",""))=1,VLOOKUP(INT(RIGHT($K439,LEN($K439)-FIND(",",$K439))),[3]Sheet1!$A:$C,3,0),"")</f>
        <v/>
      </c>
      <c r="O439" s="45" t="str">
        <f t="shared" si="32"/>
        <v/>
      </c>
      <c r="P439" s="45" t="str">
        <f t="shared" si="28"/>
        <v>召唤巨大的陨石，对范围内敌人造成主角攻击力342%的物伤，被陨石砸中有60%的几率昏迷</v>
      </c>
      <c r="Q439" s="45" t="str">
        <f t="shared" si="33"/>
        <v>召唤巨大的陨石，对范围内敌人造成主角攻击力342%的物伤，被陨石砸中有60%的几率昏迷</v>
      </c>
      <c r="R439" s="45"/>
      <c r="S439" s="45" t="str">
        <f>IF(ISERROR($Q439),"进阶+"&amp;COUNTIF($E$194:$E439,$E439)&amp;"："&amp;"找ZC配技能","进阶+"&amp;COUNTIF($E$194:$E439,$E439)&amp;"："&amp;VLOOKUP(COUNTIF($E$194:$E439,$E439),$L$184:$R$193,IF(H439=1,4,IF(H439=4,3,2))+IF(INDEX([1]Sheet1!$1:$1048576,MATCH($E439,[1]Sheet1!$A:$A,0),MATCH("zizhi",[1]Sheet1!$2:$2,0))&gt;=13,0,3),0)&amp;IF($Q439="","","（"&amp;$Q439&amp;"）"))</f>
        <v>进阶+6：增强主角技能（召唤巨大的陨石，对范围内敌人造成主角攻击力342%的物伤，被陨石砸中有60%的几率昏迷）</v>
      </c>
      <c r="T439" s="1"/>
      <c r="U439" s="1"/>
      <c r="V439" s="2" t="str">
        <f>VLOOKUP(COUNTIF($E$194:$E439,$E439),$L$184:$X$193,IF(H439=1,4,IF(H439=4,3,2))+IF(INDEX([1]Sheet1!$1:$1048576,MATCH($E439,[1]Sheet1!$A:$A,0),MATCH("zizhi",[1]Sheet1!$2:$2,0))&gt;=13,0,3)+6,0)</f>
        <v>[]</v>
      </c>
      <c r="W439" s="2" t="str">
        <f t="shared" si="31"/>
        <v>进阶+6：增强主角技能（召唤巨大的陨石，对范围内敌人造成主角攻击力342%的物伤，被陨石砸中有60%的几率昏迷）</v>
      </c>
      <c r="X439" s="45" t="str">
        <f t="shared" si="29"/>
        <v>[]</v>
      </c>
      <c r="Y439" s="2"/>
      <c r="Z439" s="2"/>
      <c r="AA439" s="2"/>
    </row>
    <row r="440" spans="1:27">
      <c r="A440" s="10">
        <f>E440*100+COUNTIF($E$194:$E440,$E440)</f>
        <v>111007</v>
      </c>
      <c r="B440" s="68" t="s">
        <v>359</v>
      </c>
      <c r="C440" s="50" t="s">
        <v>353</v>
      </c>
      <c r="D440" s="10" t="str">
        <f t="shared" si="34"/>
        <v>[]</v>
      </c>
      <c r="E440" s="45">
        <f>INDEX($I:$I,MATCH($E439,$I:$I,0)+IF(COUNTIF($E$194:$E439,$E439)&lt;=VLOOKUP($E439,$I$134:$K$193,3,0)-1,0,1),0)</f>
        <v>1110</v>
      </c>
      <c r="F440" s="45" t="str">
        <f t="shared" si="30"/>
        <v>红孩儿</v>
      </c>
      <c r="H440" s="45">
        <f>VLOOKUP($E440,[1]Sheet1!$A:$G,7,0)</f>
        <v>3</v>
      </c>
      <c r="I440" s="45" t="str">
        <f>IF($G440="","",IF(COUNTIF(技能描述!$D:$D,$F440)&gt;0,VLOOKUP($F440&amp;$G440,技能描述!$A:$C,3,0),LEFT(VLOOKUP($E440,[1]Sheet1!$A:$J,10,0),FIND("_",VLOOKUP($E440,[1]Sheet1!$A:$J,10,0))-1)&amp;$G440))</f>
        <v/>
      </c>
      <c r="J440" s="45" t="str">
        <f>IF($I440="","",VLOOKUP($I440,技能描述!$A:$C,3,0))</f>
        <v/>
      </c>
      <c r="K440" s="45" t="str">
        <f>IF($I440="","",INDEX([2]Sheet1!$1:$1048576,MATCH($I440,[2]Sheet1!$A:$A,0),MATCH("description_damage",[2]Sheet1!$2:$2,0)))</f>
        <v/>
      </c>
      <c r="L440" s="80" t="str">
        <f>IF($K440="","",IF(LEN($K440)-LEN(SUBSTITUTE($K440,",",""))=0,VLOOKUP(INT($K440),[3]Sheet1!$A:$C,3,0),VLOOKUP(INT(LEFT($K440,FIND(",",$K440)-1)),[3]Sheet1!$A:$C,3,0)))</f>
        <v/>
      </c>
      <c r="M440" s="80" t="str">
        <f t="shared" si="35"/>
        <v/>
      </c>
      <c r="N440" s="45" t="str">
        <f>IF(LEN($K440)-LEN(SUBSTITUTE($K440,",",""))=1,VLOOKUP(INT(RIGHT($K440,LEN($K440)-FIND(",",$K440))),[3]Sheet1!$A:$C,3,0),"")</f>
        <v/>
      </c>
      <c r="O440" s="45" t="str">
        <f t="shared" si="32"/>
        <v/>
      </c>
      <c r="P440" s="45" t="str">
        <f t="shared" si="28"/>
        <v/>
      </c>
      <c r="Q440" s="45" t="str">
        <f t="shared" si="33"/>
        <v/>
      </c>
      <c r="R440" s="45"/>
      <c r="S440" s="45" t="str">
        <f>IF(ISERROR($Q440),"进阶+"&amp;COUNTIF($E$194:$E440,$E440)&amp;"："&amp;"找ZC配技能","进阶+"&amp;COUNTIF($E$194:$E440,$E440)&amp;"："&amp;VLOOKUP(COUNTIF($E$194:$E440,$E440),$L$184:$R$193,IF(H440=1,4,IF(H440=4,3,2))+IF(INDEX([1]Sheet1!$1:$1048576,MATCH($E440,[1]Sheet1!$A:$A,0),MATCH("zizhi",[1]Sheet1!$2:$2,0))&gt;=13,0,3),0)&amp;IF($Q440="","","（"&amp;$Q440&amp;"）"))</f>
        <v>进阶+7：全队攻击提高10%</v>
      </c>
      <c r="T440" s="1"/>
      <c r="U440" s="1"/>
      <c r="V440" s="2" t="str">
        <f>VLOOKUP(COUNTIF($E$194:$E440,$E440),$L$184:$X$193,IF(H440=1,4,IF(H440=4,3,2))+IF(INDEX([1]Sheet1!$1:$1048576,MATCH($E440,[1]Sheet1!$A:$A,0),MATCH("zizhi",[1]Sheet1!$2:$2,0))&gt;=13,0,3)+6,0)</f>
        <v>58010</v>
      </c>
      <c r="W440" s="2" t="str">
        <f t="shared" si="31"/>
        <v>进阶+7：全队攻击提高10%</v>
      </c>
      <c r="X440" s="45" t="str">
        <f t="shared" si="29"/>
        <v>58010</v>
      </c>
      <c r="Y440" s="2"/>
      <c r="Z440" s="2"/>
      <c r="AA440" s="2"/>
    </row>
    <row r="441" spans="1:27" ht="33">
      <c r="A441" s="10">
        <f>E441*100+COUNTIF($E$194:$E441,$E441)</f>
        <v>111008</v>
      </c>
      <c r="B441" s="68" t="s">
        <v>2034</v>
      </c>
      <c r="C441" s="50" t="s">
        <v>2</v>
      </c>
      <c r="D441" s="10">
        <f t="shared" si="34"/>
        <v>1</v>
      </c>
      <c r="E441" s="45">
        <f>INDEX($I:$I,MATCH($E440,$I:$I,0)+IF(COUNTIF($E$194:$E440,$E440)&lt;=VLOOKUP($E440,$I$134:$K$193,3,0)-1,0,1),0)</f>
        <v>1110</v>
      </c>
      <c r="F441" s="45" t="str">
        <f t="shared" si="30"/>
        <v>红孩儿</v>
      </c>
      <c r="G441" s="45" t="s">
        <v>219</v>
      </c>
      <c r="H441" s="45">
        <f>VLOOKUP($E441,[1]Sheet1!$A:$G,7,0)</f>
        <v>3</v>
      </c>
      <c r="I441" s="45" t="str">
        <f>IF($G441="","",IF(COUNTIF(技能描述!$D:$D,$F441)&gt;0,VLOOKUP($F441&amp;$G441,技能描述!$A:$C,3,0),LEFT(VLOOKUP($E441,[1]Sheet1!$A:$J,10,0),FIND("_",VLOOKUP($E441,[1]Sheet1!$A:$J,10,0))-1)&amp;$G441))</f>
        <v>honghaier_skill021</v>
      </c>
      <c r="J441" s="45" t="str">
        <f>IF($I441="","",VLOOKUP($I441,技能描述!$A:$C,3,0))</f>
        <v>红孩儿对前方敌人持续喷射火焰，对敌人造成4次自身攻击力@s的物伤，并造成灼烧效果，持续6秒</v>
      </c>
      <c r="K441" s="45" t="str">
        <f>IF($I441="","",INDEX([2]Sheet1!$1:$1048576,MATCH($I441,[2]Sheet1!$A:$A,0),MATCH("description_damage",[2]Sheet1!$2:$2,0)))</f>
        <v>111006</v>
      </c>
      <c r="L441" s="80" t="str">
        <f>IF($K441="","",IF(LEN($K441)-LEN(SUBSTITUTE($K441,",",""))=0,VLOOKUP(INT($K441),[3]Sheet1!$A:$C,3,0),VLOOKUP(INT(LEFT($K441,FIND(",",$K441)-1)),[3]Sheet1!$A:$C,3,0)))</f>
        <v>2|1|0.5|0|0|0</v>
      </c>
      <c r="M441" s="80" t="str">
        <f t="shared" si="35"/>
        <v>50%</v>
      </c>
      <c r="N441" s="45" t="str">
        <f>IF(LEN($K441)-LEN(SUBSTITUTE($K441,",",""))=1,VLOOKUP(INT(RIGHT($K441,LEN($K441)-FIND(",",$K441))),[3]Sheet1!$A:$C,3,0),"")</f>
        <v/>
      </c>
      <c r="O441" s="45" t="str">
        <f t="shared" si="32"/>
        <v/>
      </c>
      <c r="P441" s="45" t="str">
        <f t="shared" si="28"/>
        <v>红孩儿对前方敌人持续喷射火焰，对敌人造成4次自身攻击力50%的物伤，并造成灼烧效果，持续6秒</v>
      </c>
      <c r="Q441" s="45" t="str">
        <f t="shared" si="33"/>
        <v>红孩儿对前方敌人持续喷射火焰，对敌人造成4次自身攻击力50%的物伤，并造成灼烧效果，持续6秒</v>
      </c>
      <c r="R441" s="45"/>
      <c r="S441" s="45" t="str">
        <f>IF(ISERROR($Q441),"进阶+"&amp;COUNTIF($E$194:$E441,$E441)&amp;"："&amp;"找ZC配技能","进阶+"&amp;COUNTIF($E$194:$E441,$E441)&amp;"："&amp;VLOOKUP(COUNTIF($E$194:$E441,$E441),$L$184:$R$193,IF(H441=1,4,IF(H441=4,3,2))+IF(INDEX([1]Sheet1!$1:$1048576,MATCH($E441,[1]Sheet1!$A:$A,0),MATCH("zizhi",[1]Sheet1!$2:$2,0))&gt;=13,0,3),0)&amp;IF($Q441="","","（"&amp;$Q441&amp;"）"))</f>
        <v>进阶+8：增强AI1技能（红孩儿对前方敌人持续喷射火焰，对敌人造成4次自身攻击力50%的物伤，并造成灼烧效果，持续6秒）</v>
      </c>
      <c r="T441" s="1"/>
      <c r="U441" s="1"/>
      <c r="V441" s="2" t="str">
        <f>VLOOKUP(COUNTIF($E$194:$E441,$E441),$L$184:$X$193,IF(H441=1,4,IF(H441=4,3,2))+IF(INDEX([1]Sheet1!$1:$1048576,MATCH($E441,[1]Sheet1!$A:$A,0),MATCH("zizhi",[1]Sheet1!$2:$2,0))&gt;=13,0,3)+6,0)</f>
        <v>[]</v>
      </c>
      <c r="W441" s="2" t="str">
        <f t="shared" si="31"/>
        <v>进阶+8：增强AI1技能（红孩儿对前方敌人持续喷射火焰，对敌人造成4次自身攻击力50%的物伤，并造成灼烧效果，持续6秒）</v>
      </c>
      <c r="X441" s="45" t="str">
        <f t="shared" si="29"/>
        <v>[]</v>
      </c>
      <c r="Y441" s="2"/>
      <c r="Z441" s="2"/>
      <c r="AA441" s="2"/>
    </row>
    <row r="442" spans="1:27">
      <c r="A442" s="10">
        <f>E442*100+COUNTIF($E$194:$E442,$E442)</f>
        <v>111009</v>
      </c>
      <c r="B442" s="68" t="s">
        <v>1899</v>
      </c>
      <c r="C442" s="50" t="s">
        <v>2085</v>
      </c>
      <c r="D442" s="10" t="str">
        <f t="shared" si="34"/>
        <v>[]</v>
      </c>
      <c r="E442" s="45">
        <f>INDEX($I:$I,MATCH($E441,$I:$I,0)+IF(COUNTIF($E$194:$E441,$E441)&lt;=VLOOKUP($E441,$I$134:$K$193,3,0)-1,0,1),0)</f>
        <v>1110</v>
      </c>
      <c r="F442" s="45" t="str">
        <f t="shared" si="30"/>
        <v>红孩儿</v>
      </c>
      <c r="H442" s="45">
        <f>VLOOKUP($E442,[1]Sheet1!$A:$G,7,0)</f>
        <v>3</v>
      </c>
      <c r="I442" s="45" t="str">
        <f>IF($G442="","",IF(COUNTIF(技能描述!$D:$D,$F442)&gt;0,VLOOKUP($F442&amp;$G442,技能描述!$A:$C,3,0),LEFT(VLOOKUP($E442,[1]Sheet1!$A:$J,10,0),FIND("_",VLOOKUP($E442,[1]Sheet1!$A:$J,10,0))-1)&amp;$G442))</f>
        <v/>
      </c>
      <c r="J442" s="45" t="str">
        <f>IF($I442="","",VLOOKUP($I442,技能描述!$A:$C,3,0))</f>
        <v/>
      </c>
      <c r="K442" s="45" t="str">
        <f>IF($I442="","",INDEX([2]Sheet1!$1:$1048576,MATCH($I442,[2]Sheet1!$A:$A,0),MATCH("description_damage",[2]Sheet1!$2:$2,0)))</f>
        <v/>
      </c>
      <c r="L442" s="80" t="str">
        <f>IF($K442="","",IF(LEN($K442)-LEN(SUBSTITUTE($K442,",",""))=0,VLOOKUP(INT($K442),[3]Sheet1!$A:$C,3,0),VLOOKUP(INT(LEFT($K442,FIND(",",$K442)-1)),[3]Sheet1!$A:$C,3,0)))</f>
        <v/>
      </c>
      <c r="M442" s="80" t="str">
        <f t="shared" si="35"/>
        <v/>
      </c>
      <c r="N442" s="45" t="str">
        <f>IF(LEN($K442)-LEN(SUBSTITUTE($K442,",",""))=1,VLOOKUP(INT(RIGHT($K442,LEN($K442)-FIND(",",$K442))),[3]Sheet1!$A:$C,3,0),"")</f>
        <v/>
      </c>
      <c r="O442" s="45" t="str">
        <f t="shared" si="32"/>
        <v/>
      </c>
      <c r="P442" s="45" t="str">
        <f t="shared" si="28"/>
        <v/>
      </c>
      <c r="Q442" s="45" t="str">
        <f t="shared" si="33"/>
        <v/>
      </c>
      <c r="R442" s="45"/>
      <c r="S442" s="45" t="str">
        <f>IF(ISERROR($Q442),"进阶+"&amp;COUNTIF($E$194:$E442,$E442)&amp;"："&amp;"找ZC配技能","进阶+"&amp;COUNTIF($E$194:$E442,$E442)&amp;"："&amp;VLOOKUP(COUNTIF($E$194:$E442,$E442),$L$184:$R$193,IF(H442=1,4,IF(H442=4,3,2))+IF(INDEX([1]Sheet1!$1:$1048576,MATCH($E442,[1]Sheet1!$A:$A,0),MATCH("zizhi",[1]Sheet1!$2:$2,0))&gt;=13,0,3),0)&amp;IF($Q442="","","（"&amp;$Q442&amp;"）"))</f>
        <v>进阶+9：全队攻击提高15%</v>
      </c>
      <c r="T442" s="1"/>
      <c r="U442" s="1"/>
      <c r="V442" s="2" t="str">
        <f>VLOOKUP(COUNTIF($E$194:$E442,$E442),$L$184:$X$193,IF(H442=1,4,IF(H442=4,3,2))+IF(INDEX([1]Sheet1!$1:$1048576,MATCH($E442,[1]Sheet1!$A:$A,0),MATCH("zizhi",[1]Sheet1!$2:$2,0))&gt;=13,0,3)+6,0)</f>
        <v>58015</v>
      </c>
      <c r="W442" s="2" t="str">
        <f t="shared" si="31"/>
        <v>进阶+9：全队攻击提高15%</v>
      </c>
      <c r="X442" s="45" t="str">
        <f t="shared" si="29"/>
        <v>58015</v>
      </c>
      <c r="Y442" s="2"/>
      <c r="Z442" s="2"/>
      <c r="AA442" s="2"/>
    </row>
    <row r="443" spans="1:27" ht="33">
      <c r="A443" s="10">
        <f>E443*100+COUNTIF($E$194:$E443,$E443)</f>
        <v>111010</v>
      </c>
      <c r="B443" s="68" t="s">
        <v>1918</v>
      </c>
      <c r="C443" s="50" t="s">
        <v>2</v>
      </c>
      <c r="D443" s="10">
        <f t="shared" si="34"/>
        <v>1</v>
      </c>
      <c r="E443" s="45">
        <f>INDEX($I:$I,MATCH($E442,$I:$I,0)+IF(COUNTIF($E$194:$E442,$E442)&lt;=VLOOKUP($E442,$I$134:$K$193,3,0)-1,0,1),0)</f>
        <v>1110</v>
      </c>
      <c r="F443" s="45" t="str">
        <f t="shared" si="30"/>
        <v>红孩儿</v>
      </c>
      <c r="G443" s="45" t="s">
        <v>220</v>
      </c>
      <c r="H443" s="45">
        <f>VLOOKUP($E443,[1]Sheet1!$A:$G,7,0)</f>
        <v>3</v>
      </c>
      <c r="I443" s="45" t="str">
        <f>IF($G443="","",IF(COUNTIF(技能描述!$D:$D,$F443)&gt;0,VLOOKUP($F443&amp;$G443,技能描述!$A:$C,3,0),LEFT(VLOOKUP($E443,[1]Sheet1!$A:$J,10,0),FIND("_",VLOOKUP($E443,[1]Sheet1!$A:$J,10,0))-1)&amp;$G443))</f>
        <v>honghaier_skill041</v>
      </c>
      <c r="J443" s="45" t="str">
        <f>IF($I443="","",VLOOKUP($I443,技能描述!$A:$C,3,0))</f>
        <v>红孩儿舞枪对对范围内敌人发动连续9次攻击，造成自身攻击力@s的物伤，对灼烧中的目标提升30%伤害</v>
      </c>
      <c r="K443" s="45" t="str">
        <f>IF($I443="","",INDEX([2]Sheet1!$1:$1048576,MATCH($I443,[2]Sheet1!$A:$A,0),MATCH("description_damage",[2]Sheet1!$2:$2,0)))</f>
        <v>111007</v>
      </c>
      <c r="L443" s="80" t="str">
        <f>IF($K443="","",IF(LEN($K443)-LEN(SUBSTITUTE($K443,",",""))=0,VLOOKUP(INT($K443),[3]Sheet1!$A:$C,3,0),VLOOKUP(INT(LEFT($K443,FIND(",",$K443)-1)),[3]Sheet1!$A:$C,3,0)))</f>
        <v>2|1|0.22|0|0|0</v>
      </c>
      <c r="M443" s="80" t="str">
        <f t="shared" si="35"/>
        <v>22%</v>
      </c>
      <c r="N443" s="45" t="str">
        <f>IF(LEN($K443)-LEN(SUBSTITUTE($K443,",",""))=1,VLOOKUP(INT(RIGHT($K443,LEN($K443)-FIND(",",$K443))),[3]Sheet1!$A:$C,3,0),"")</f>
        <v/>
      </c>
      <c r="O443" s="45" t="str">
        <f t="shared" si="32"/>
        <v/>
      </c>
      <c r="P443" s="45" t="str">
        <f t="shared" si="28"/>
        <v>红孩儿舞枪对对范围内敌人发动连续9次攻击，造成自身攻击力22%的物伤，对灼烧中的目标提升30%伤害</v>
      </c>
      <c r="Q443" s="45" t="str">
        <f t="shared" si="33"/>
        <v>红孩儿舞枪对对范围内敌人发动连续9次攻击，造成自身攻击力22%的物伤，对灼烧中的目标提升30%伤害</v>
      </c>
      <c r="R443" s="45"/>
      <c r="S443" s="45" t="str">
        <f>IF(ISERROR($Q443),"进阶+"&amp;COUNTIF($E$194:$E443,$E443)&amp;"："&amp;"找ZC配技能","进阶+"&amp;COUNTIF($E$194:$E443,$E443)&amp;"："&amp;VLOOKUP(COUNTIF($E$194:$E443,$E443),$L$184:$R$193,IF(H443=1,4,IF(H443=4,3,2))+IF(INDEX([1]Sheet1!$1:$1048576,MATCH($E443,[1]Sheet1!$A:$A,0),MATCH("zizhi",[1]Sheet1!$2:$2,0))&gt;=13,0,3),0)&amp;IF($Q443="","","（"&amp;$Q443&amp;"）"))</f>
        <v>进阶+10：增强AI2技能（红孩儿舞枪对对范围内敌人发动连续9次攻击，造成自身攻击力22%的物伤，对灼烧中的目标提升30%伤害）</v>
      </c>
      <c r="T443" s="1"/>
      <c r="U443" s="1"/>
      <c r="V443" s="2" t="str">
        <f>VLOOKUP(COUNTIF($E$194:$E443,$E443),$L$184:$X$193,IF(H443=1,4,IF(H443=4,3,2))+IF(INDEX([1]Sheet1!$1:$1048576,MATCH($E443,[1]Sheet1!$A:$A,0),MATCH("zizhi",[1]Sheet1!$2:$2,0))&gt;=13,0,3)+6,0)</f>
        <v>[]</v>
      </c>
      <c r="W443" s="2" t="str">
        <f t="shared" si="31"/>
        <v>进阶+10：增强AI2技能（红孩儿舞枪对对范围内敌人发动连续9次攻击，造成自身攻击力22%的物伤，对灼烧中的目标提升30%伤害）</v>
      </c>
      <c r="X443" s="45" t="str">
        <f t="shared" si="29"/>
        <v>[]</v>
      </c>
      <c r="Y443" s="2"/>
      <c r="Z443" s="2"/>
      <c r="AA443" s="2"/>
    </row>
    <row r="444" spans="1:27">
      <c r="A444" s="10">
        <f>E444*100+COUNTIF($E$194:$E444,$E444)</f>
        <v>110401</v>
      </c>
      <c r="B444" s="68" t="s">
        <v>310</v>
      </c>
      <c r="C444" s="50" t="s">
        <v>127</v>
      </c>
      <c r="D444" s="10" t="str">
        <f t="shared" si="34"/>
        <v>[]</v>
      </c>
      <c r="E444" s="45">
        <f>INDEX($I:$I,MATCH($E443,$I:$I,0)+IF(COUNTIF($E$194:$E443,$E443)&lt;=VLOOKUP($E443,$I$134:$K$193,3,0)-1,0,1),0)</f>
        <v>1104</v>
      </c>
      <c r="F444" s="45" t="str">
        <f t="shared" si="30"/>
        <v>玉皇大帝</v>
      </c>
      <c r="H444" s="45">
        <f>VLOOKUP($E444,[1]Sheet1!$A:$G,7,0)</f>
        <v>3</v>
      </c>
      <c r="I444" s="45" t="str">
        <f>IF($G444="","",IF(COUNTIF(技能描述!$D:$D,$F444)&gt;0,VLOOKUP($F444&amp;$G444,技能描述!$A:$C,3,0),LEFT(VLOOKUP($E444,[1]Sheet1!$A:$J,10,0),FIND("_",VLOOKUP($E444,[1]Sheet1!$A:$J,10,0))-1)&amp;$G444))</f>
        <v/>
      </c>
      <c r="J444" s="45" t="str">
        <f>IF($I444="","",VLOOKUP($I444,技能描述!$A:$C,3,0))</f>
        <v/>
      </c>
      <c r="K444" s="45" t="str">
        <f>IF($I444="","",INDEX([2]Sheet1!$1:$1048576,MATCH($I444,[2]Sheet1!$A:$A,0),MATCH("description_damage",[2]Sheet1!$2:$2,0)))</f>
        <v/>
      </c>
      <c r="L444" s="80" t="str">
        <f>IF($K444="","",IF(LEN($K444)-LEN(SUBSTITUTE($K444,",",""))=0,VLOOKUP(INT($K444),[3]Sheet1!$A:$C,3,0),VLOOKUP(INT(LEFT($K444,FIND(",",$K444)-1)),[3]Sheet1!$A:$C,3,0)))</f>
        <v/>
      </c>
      <c r="M444" s="80" t="str">
        <f t="shared" si="35"/>
        <v/>
      </c>
      <c r="N444" s="45" t="str">
        <f>IF(LEN($K444)-LEN(SUBSTITUTE($K444,",",""))=1,VLOOKUP(INT(RIGHT($K444,LEN($K444)-FIND(",",$K444))),[3]Sheet1!$A:$C,3,0),"")</f>
        <v/>
      </c>
      <c r="O444" s="45" t="str">
        <f t="shared" si="32"/>
        <v/>
      </c>
      <c r="P444" s="45" t="str">
        <f t="shared" si="28"/>
        <v/>
      </c>
      <c r="Q444" s="45" t="str">
        <f t="shared" si="33"/>
        <v/>
      </c>
      <c r="R444" s="45"/>
      <c r="S444" s="45" t="str">
        <f>IF(ISERROR($Q444),"进阶+"&amp;COUNTIF($E$194:$E444,$E444)&amp;"："&amp;"找ZC配技能","进阶+"&amp;COUNTIF($E$194:$E444,$E444)&amp;"："&amp;VLOOKUP(COUNTIF($E$194:$E444,$E444),$L$184:$R$193,IF(H444=1,4,IF(H444=4,3,2))+IF(INDEX([1]Sheet1!$1:$1048576,MATCH($E444,[1]Sheet1!$A:$A,0),MATCH("zizhi",[1]Sheet1!$2:$2,0))&gt;=13,0,3),0)&amp;IF($Q444="","","（"&amp;$Q444&amp;"）"))</f>
        <v>进阶+1：攻击提高10%</v>
      </c>
      <c r="T444" s="1"/>
      <c r="U444" s="1"/>
      <c r="V444" s="2" t="str">
        <f>VLOOKUP(COUNTIF($E$194:$E444,$E444),$L$184:$X$193,IF(H444=1,4,IF(H444=4,3,2))+IF(INDEX([1]Sheet1!$1:$1048576,MATCH($E444,[1]Sheet1!$A:$A,0),MATCH("zizhi",[1]Sheet1!$2:$2,0))&gt;=13,0,3)+6,0)</f>
        <v>11050</v>
      </c>
      <c r="W444" s="2" t="str">
        <f t="shared" si="31"/>
        <v>进阶+1：攻击提高10%</v>
      </c>
      <c r="X444" s="45" t="str">
        <f t="shared" si="29"/>
        <v>11050</v>
      </c>
      <c r="Y444" s="2"/>
      <c r="Z444" s="2"/>
      <c r="AA444" s="2"/>
    </row>
    <row r="445" spans="1:27">
      <c r="A445" s="10">
        <f>E445*100+COUNTIF($E$194:$E445,$E445)</f>
        <v>110402</v>
      </c>
      <c r="B445" s="68" t="s">
        <v>338</v>
      </c>
      <c r="C445" s="50" t="s">
        <v>2</v>
      </c>
      <c r="D445" s="10">
        <f t="shared" si="34"/>
        <v>1</v>
      </c>
      <c r="E445" s="45">
        <f>INDEX($I:$I,MATCH($E444,$I:$I,0)+IF(COUNTIF($E$194:$E444,$E444)&lt;=VLOOKUP($E444,$I$134:$K$193,3,0)-1,0,1),0)</f>
        <v>1104</v>
      </c>
      <c r="F445" s="45" t="str">
        <f t="shared" si="30"/>
        <v>玉皇大帝</v>
      </c>
      <c r="G445" s="45" t="s">
        <v>216</v>
      </c>
      <c r="H445" s="45">
        <f>VLOOKUP($E445,[1]Sheet1!$A:$G,7,0)</f>
        <v>3</v>
      </c>
      <c r="I445" s="45" t="str">
        <f>IF($G445="","",IF(COUNTIF(技能描述!$D:$D,$F445)&gt;0,VLOOKUP($F445&amp;$G445,技能描述!$A:$C,3,0),LEFT(VLOOKUP($E445,[1]Sheet1!$A:$J,10,0),FIND("_",VLOOKUP($E445,[1]Sheet1!$A:$J,10,0))-1)&amp;$G445))</f>
        <v>yuhuangdadi_skill03</v>
      </c>
      <c r="J445" s="45" t="str">
        <f>IF($I445="","",VLOOKUP($I445,技能描述!$A:$C,3,0))</f>
        <v>进入战斗场景时，提升自身暴击率@s</v>
      </c>
      <c r="K445" s="45" t="str">
        <f>IF($I445="","",INDEX([2]Sheet1!$1:$1048576,MATCH($I445,[2]Sheet1!$A:$A,0),MATCH("description_damage",[2]Sheet1!$2:$2,0)))</f>
        <v>9020</v>
      </c>
      <c r="L445" s="80" t="str">
        <f>IF($K445="","",IF(LEN($K445)-LEN(SUBSTITUTE($K445,",",""))=0,VLOOKUP(INT($K445),[3]Sheet1!$A:$C,3,0),VLOOKUP(INT(LEFT($K445,FIND(",",$K445)-1)),[3]Sheet1!$A:$C,3,0)))</f>
        <v>4|3|0.2|0|1</v>
      </c>
      <c r="M445" s="80" t="str">
        <f t="shared" si="35"/>
        <v>20%</v>
      </c>
      <c r="N445" s="45" t="str">
        <f>IF(LEN($K445)-LEN(SUBSTITUTE($K445,",",""))=1,VLOOKUP(INT(RIGHT($K445,LEN($K445)-FIND(",",$K445))),[3]Sheet1!$A:$C,3,0),"")</f>
        <v/>
      </c>
      <c r="O445" s="45" t="str">
        <f t="shared" si="32"/>
        <v/>
      </c>
      <c r="P445" s="45" t="str">
        <f t="shared" si="28"/>
        <v>进入战斗场景时，提升自身暴击率20%</v>
      </c>
      <c r="Q445" s="45" t="str">
        <f t="shared" si="33"/>
        <v>进入战斗场景时，提升自身暴击率20%</v>
      </c>
      <c r="R445" s="45"/>
      <c r="S445" s="45" t="str">
        <f>IF(ISERROR($Q445),"进阶+"&amp;COUNTIF($E$194:$E445,$E445)&amp;"："&amp;"找ZC配技能","进阶+"&amp;COUNTIF($E$194:$E445,$E445)&amp;"："&amp;VLOOKUP(COUNTIF($E$194:$E445,$E445),$L$184:$R$193,IF(H445=1,4,IF(H445=4,3,2))+IF(INDEX([1]Sheet1!$1:$1048576,MATCH($E445,[1]Sheet1!$A:$A,0),MATCH("zizhi",[1]Sheet1!$2:$2,0))&gt;=13,0,3),0)&amp;IF($Q445="","","（"&amp;$Q445&amp;"）"))</f>
        <v>进阶+2：激活被动技能（进入战斗场景时，提升自身暴击率20%）</v>
      </c>
      <c r="T445" s="1"/>
      <c r="U445" s="1"/>
      <c r="V445" s="2" t="str">
        <f>VLOOKUP(COUNTIF($E$194:$E445,$E445),$L$184:$X$193,IF(H445=1,4,IF(H445=4,3,2))+IF(INDEX([1]Sheet1!$1:$1048576,MATCH($E445,[1]Sheet1!$A:$A,0),MATCH("zizhi",[1]Sheet1!$2:$2,0))&gt;=13,0,3)+6,0)</f>
        <v>[]</v>
      </c>
      <c r="W445" s="2" t="str">
        <f t="shared" si="31"/>
        <v>进阶+2：激活被动技能（进入战斗场景时，提升自身暴击率20%）</v>
      </c>
      <c r="X445" s="45" t="str">
        <f t="shared" si="29"/>
        <v>[]</v>
      </c>
      <c r="Y445" s="2"/>
      <c r="Z445" s="2"/>
      <c r="AA445" s="2"/>
    </row>
    <row r="446" spans="1:27">
      <c r="A446" s="10">
        <f>E446*100+COUNTIF($E$194:$E446,$E446)</f>
        <v>110403</v>
      </c>
      <c r="B446" s="68" t="s">
        <v>312</v>
      </c>
      <c r="C446" s="50" t="s">
        <v>127</v>
      </c>
      <c r="D446" s="10" t="str">
        <f t="shared" si="34"/>
        <v>[]</v>
      </c>
      <c r="E446" s="45">
        <f>INDEX($I:$I,MATCH($E445,$I:$I,0)+IF(COUNTIF($E$194:$E445,$E445)&lt;=VLOOKUP($E445,$I$134:$K$193,3,0)-1,0,1),0)</f>
        <v>1104</v>
      </c>
      <c r="F446" s="45" t="str">
        <f t="shared" si="30"/>
        <v>玉皇大帝</v>
      </c>
      <c r="H446" s="45">
        <f>VLOOKUP($E446,[1]Sheet1!$A:$G,7,0)</f>
        <v>3</v>
      </c>
      <c r="I446" s="45" t="str">
        <f>IF($G446="","",IF(COUNTIF(技能描述!$D:$D,$F446)&gt;0,VLOOKUP($F446&amp;$G446,技能描述!$A:$C,3,0),LEFT(VLOOKUP($E446,[1]Sheet1!$A:$J,10,0),FIND("_",VLOOKUP($E446,[1]Sheet1!$A:$J,10,0))-1)&amp;$G446))</f>
        <v/>
      </c>
      <c r="J446" s="45" t="str">
        <f>IF($I446="","",VLOOKUP($I446,技能描述!$A:$C,3,0))</f>
        <v/>
      </c>
      <c r="K446" s="45" t="str">
        <f>IF($I446="","",INDEX([2]Sheet1!$1:$1048576,MATCH($I446,[2]Sheet1!$A:$A,0),MATCH("description_damage",[2]Sheet1!$2:$2,0)))</f>
        <v/>
      </c>
      <c r="L446" s="80" t="str">
        <f>IF($K446="","",IF(LEN($K446)-LEN(SUBSTITUTE($K446,",",""))=0,VLOOKUP(INT($K446),[3]Sheet1!$A:$C,3,0),VLOOKUP(INT(LEFT($K446,FIND(",",$K446)-1)),[3]Sheet1!$A:$C,3,0)))</f>
        <v/>
      </c>
      <c r="M446" s="80" t="str">
        <f t="shared" si="35"/>
        <v/>
      </c>
      <c r="N446" s="45" t="str">
        <f>IF(LEN($K446)-LEN(SUBSTITUTE($K446,",",""))=1,VLOOKUP(INT(RIGHT($K446,LEN($K446)-FIND(",",$K446))),[3]Sheet1!$A:$C,3,0),"")</f>
        <v/>
      </c>
      <c r="O446" s="45" t="str">
        <f t="shared" si="32"/>
        <v/>
      </c>
      <c r="P446" s="45" t="str">
        <f t="shared" si="28"/>
        <v/>
      </c>
      <c r="Q446" s="45" t="str">
        <f t="shared" si="33"/>
        <v/>
      </c>
      <c r="R446" s="45"/>
      <c r="S446" s="45" t="str">
        <f>IF(ISERROR($Q446),"进阶+"&amp;COUNTIF($E$194:$E446,$E446)&amp;"："&amp;"找ZC配技能","进阶+"&amp;COUNTIF($E$194:$E446,$E446)&amp;"："&amp;VLOOKUP(COUNTIF($E$194:$E446,$E446),$L$184:$R$193,IF(H446=1,4,IF(H446=4,3,2))+IF(INDEX([1]Sheet1!$1:$1048576,MATCH($E446,[1]Sheet1!$A:$A,0),MATCH("zizhi",[1]Sheet1!$2:$2,0))&gt;=13,0,3),0)&amp;IF($Q446="","","（"&amp;$Q446&amp;"）"))</f>
        <v>进阶+3：攻击提高10%</v>
      </c>
      <c r="T446" s="1"/>
      <c r="U446" s="1"/>
      <c r="V446" s="2" t="str">
        <f>VLOOKUP(COUNTIF($E$194:$E446,$E446),$L$184:$X$193,IF(H446=1,4,IF(H446=4,3,2))+IF(INDEX([1]Sheet1!$1:$1048576,MATCH($E446,[1]Sheet1!$A:$A,0),MATCH("zizhi",[1]Sheet1!$2:$2,0))&gt;=13,0,3)+6,0)</f>
        <v>11050</v>
      </c>
      <c r="W446" s="2" t="str">
        <f t="shared" si="31"/>
        <v>进阶+3：攻击提高10%</v>
      </c>
      <c r="X446" s="45" t="str">
        <f t="shared" si="29"/>
        <v>11050</v>
      </c>
      <c r="Y446" s="2"/>
      <c r="Z446" s="2"/>
      <c r="AA446" s="2"/>
    </row>
    <row r="447" spans="1:27" ht="33">
      <c r="A447" s="10">
        <f>E447*100+COUNTIF($E$194:$E447,$E447)</f>
        <v>110404</v>
      </c>
      <c r="B447" s="68" t="s">
        <v>1873</v>
      </c>
      <c r="C447" s="50" t="s">
        <v>2</v>
      </c>
      <c r="D447" s="10">
        <f t="shared" si="34"/>
        <v>1</v>
      </c>
      <c r="E447" s="45">
        <f>INDEX($I:$I,MATCH($E446,$I:$I,0)+IF(COUNTIF($E$194:$E446,$E446)&lt;=VLOOKUP($E446,$I$134:$K$193,3,0)-1,0,1),0)</f>
        <v>1104</v>
      </c>
      <c r="F447" s="45" t="str">
        <f t="shared" si="30"/>
        <v>玉皇大帝</v>
      </c>
      <c r="G447" s="45" t="s">
        <v>217</v>
      </c>
      <c r="H447" s="45">
        <f>VLOOKUP($E447,[1]Sheet1!$A:$G,7,0)</f>
        <v>3</v>
      </c>
      <c r="I447" s="45" t="str">
        <f>IF($G447="","",IF(COUNTIF(技能描述!$D:$D,$F447)&gt;0,VLOOKUP($F447&amp;$G447,技能描述!$A:$C,3,0),LEFT(VLOOKUP($E447,[1]Sheet1!$A:$J,10,0),FIND("_",VLOOKUP($E447,[1]Sheet1!$A:$J,10,0))-1)&amp;$G447))</f>
        <v>yuhuangdadi_skill04</v>
      </c>
      <c r="J447" s="45" t="str">
        <f>IF($I447="","",VLOOKUP($I447,技能描述!$A:$C,3,0))</f>
        <v>玉皇大帝召唤圣光领域，对范围内敌人造成自身攻击力@s的物伤，并降低敌人闪避率@s，持续3秒</v>
      </c>
      <c r="K447" s="45" t="str">
        <f>IF($I447="","",INDEX([2]Sheet1!$1:$1048576,MATCH($I447,[2]Sheet1!$A:$A,0),MATCH("description_damage",[2]Sheet1!$2:$2,0)))</f>
        <v>110406,9010</v>
      </c>
      <c r="L447" s="80" t="str">
        <f>IF($K447="","",IF(LEN($K447)-LEN(SUBSTITUTE($K447,",",""))=0,VLOOKUP(INT($K447),[3]Sheet1!$A:$C,3,0),VLOOKUP(INT(LEFT($K447,FIND(",",$K447)-1)),[3]Sheet1!$A:$C,3,0)))</f>
        <v>2|1|1.43|0|0|0</v>
      </c>
      <c r="M447" s="80" t="str">
        <f t="shared" si="35"/>
        <v>143%</v>
      </c>
      <c r="N447" s="45" t="str">
        <f>IF(LEN($K447)-LEN(SUBSTITUTE($K447,",",""))=1,VLOOKUP(INT(RIGHT($K447,LEN($K447)-FIND(",",$K447))),[3]Sheet1!$A:$C,3,0),"")</f>
        <v>4|3|0.1|0|1</v>
      </c>
      <c r="O447" s="45" t="str">
        <f t="shared" si="32"/>
        <v>10%</v>
      </c>
      <c r="P447" s="45" t="str">
        <f t="shared" si="28"/>
        <v>玉皇大帝召唤圣光领域，对范围内敌人造成自身攻击力143%的物伤，并降低敌人闪避率@s，持续3秒</v>
      </c>
      <c r="Q447" s="45" t="str">
        <f t="shared" si="33"/>
        <v>玉皇大帝召唤圣光领域，对范围内敌人造成自身攻击力143%的物伤，并降低敌人闪避率10%，持续3秒</v>
      </c>
      <c r="R447" s="45"/>
      <c r="S447" s="45" t="str">
        <f>IF(ISERROR($Q447),"进阶+"&amp;COUNTIF($E$194:$E447,$E447)&amp;"："&amp;"找ZC配技能","进阶+"&amp;COUNTIF($E$194:$E447,$E447)&amp;"："&amp;VLOOKUP(COUNTIF($E$194:$E447,$E447),$L$184:$R$193,IF(H447=1,4,IF(H447=4,3,2))+IF(INDEX([1]Sheet1!$1:$1048576,MATCH($E447,[1]Sheet1!$A:$A,0),MATCH("zizhi",[1]Sheet1!$2:$2,0))&gt;=13,0,3),0)&amp;IF($Q447="","","（"&amp;$Q447&amp;"）"))</f>
        <v>进阶+4：激活AI2技能（玉皇大帝召唤圣光领域，对范围内敌人造成自身攻击力143%的物伤，并降低敌人闪避率10%，持续3秒）</v>
      </c>
      <c r="T447" s="1"/>
      <c r="U447" s="1"/>
      <c r="V447" s="2" t="str">
        <f>VLOOKUP(COUNTIF($E$194:$E447,$E447),$L$184:$X$193,IF(H447=1,4,IF(H447=4,3,2))+IF(INDEX([1]Sheet1!$1:$1048576,MATCH($E447,[1]Sheet1!$A:$A,0),MATCH("zizhi",[1]Sheet1!$2:$2,0))&gt;=13,0,3)+6,0)</f>
        <v>[]</v>
      </c>
      <c r="W447" s="2" t="str">
        <f t="shared" si="31"/>
        <v>进阶+4：激活AI2技能（玉皇大帝召唤圣光领域，对范围内敌人造成自身攻击力143%的物伤，并降低敌人闪避率10%，持续3秒）</v>
      </c>
      <c r="X447" s="45" t="str">
        <f t="shared" si="29"/>
        <v>[]</v>
      </c>
      <c r="Y447" s="2"/>
      <c r="Z447" s="2"/>
      <c r="AA447" s="2"/>
    </row>
    <row r="448" spans="1:27">
      <c r="A448" s="10">
        <f>E448*100+COUNTIF($E$194:$E448,$E448)</f>
        <v>110405</v>
      </c>
      <c r="B448" s="68" t="s">
        <v>323</v>
      </c>
      <c r="C448" s="50" t="s">
        <v>140</v>
      </c>
      <c r="D448" s="10" t="str">
        <f t="shared" si="34"/>
        <v>[]</v>
      </c>
      <c r="E448" s="45">
        <f>INDEX($I:$I,MATCH($E447,$I:$I,0)+IF(COUNTIF($E$194:$E447,$E447)&lt;=VLOOKUP($E447,$I$134:$K$193,3,0)-1,0,1),0)</f>
        <v>1104</v>
      </c>
      <c r="F448" s="45" t="str">
        <f t="shared" si="30"/>
        <v>玉皇大帝</v>
      </c>
      <c r="H448" s="45">
        <f>VLOOKUP($E448,[1]Sheet1!$A:$G,7,0)</f>
        <v>3</v>
      </c>
      <c r="I448" s="45" t="str">
        <f>IF($G448="","",IF(COUNTIF(技能描述!$D:$D,$F448)&gt;0,VLOOKUP($F448&amp;$G448,技能描述!$A:$C,3,0),LEFT(VLOOKUP($E448,[1]Sheet1!$A:$J,10,0),FIND("_",VLOOKUP($E448,[1]Sheet1!$A:$J,10,0))-1)&amp;$G448))</f>
        <v/>
      </c>
      <c r="J448" s="45" t="str">
        <f>IF($I448="","",VLOOKUP($I448,技能描述!$A:$C,3,0))</f>
        <v/>
      </c>
      <c r="K448" s="45" t="str">
        <f>IF($I448="","",INDEX([2]Sheet1!$1:$1048576,MATCH($I448,[2]Sheet1!$A:$A,0),MATCH("description_damage",[2]Sheet1!$2:$2,0)))</f>
        <v/>
      </c>
      <c r="L448" s="80" t="str">
        <f>IF($K448="","",IF(LEN($K448)-LEN(SUBSTITUTE($K448,",",""))=0,VLOOKUP(INT($K448),[3]Sheet1!$A:$C,3,0),VLOOKUP(INT(LEFT($K448,FIND(",",$K448)-1)),[3]Sheet1!$A:$C,3,0)))</f>
        <v/>
      </c>
      <c r="M448" s="80" t="str">
        <f t="shared" si="35"/>
        <v/>
      </c>
      <c r="N448" s="45" t="str">
        <f>IF(LEN($K448)-LEN(SUBSTITUTE($K448,",",""))=1,VLOOKUP(INT(RIGHT($K448,LEN($K448)-FIND(",",$K448))),[3]Sheet1!$A:$C,3,0),"")</f>
        <v/>
      </c>
      <c r="O448" s="45" t="str">
        <f t="shared" si="32"/>
        <v/>
      </c>
      <c r="P448" s="45" t="str">
        <f t="shared" si="28"/>
        <v/>
      </c>
      <c r="Q448" s="45" t="str">
        <f t="shared" si="33"/>
        <v/>
      </c>
      <c r="R448" s="45"/>
      <c r="S448" s="45" t="str">
        <f>IF(ISERROR($Q448),"进阶+"&amp;COUNTIF($E$194:$E448,$E448)&amp;"："&amp;"找ZC配技能","进阶+"&amp;COUNTIF($E$194:$E448,$E448)&amp;"："&amp;VLOOKUP(COUNTIF($E$194:$E448,$E448),$L$184:$R$193,IF(H448=1,4,IF(H448=4,3,2))+IF(INDEX([1]Sheet1!$1:$1048576,MATCH($E448,[1]Sheet1!$A:$A,0),MATCH("zizhi",[1]Sheet1!$2:$2,0))&gt;=13,0,3),0)&amp;IF($Q448="","","（"&amp;$Q448&amp;"）"))</f>
        <v>进阶+5：生命，防御提高10%</v>
      </c>
      <c r="T448" s="1"/>
      <c r="U448" s="1"/>
      <c r="V448" s="2" t="str">
        <f>VLOOKUP(COUNTIF($E$194:$E448,$E448),$L$184:$X$193,IF(H448=1,4,IF(H448=4,3,2))+IF(INDEX([1]Sheet1!$1:$1048576,MATCH($E448,[1]Sheet1!$A:$A,0),MATCH("zizhi",[1]Sheet1!$2:$2,0))&gt;=13,0,3)+6,0)</f>
        <v>11090,6502,6512</v>
      </c>
      <c r="W448" s="2" t="str">
        <f t="shared" si="31"/>
        <v>进阶+5：生命，防御提高10%</v>
      </c>
      <c r="X448" s="45" t="str">
        <f t="shared" si="29"/>
        <v>11090,6502,6512</v>
      </c>
      <c r="Y448" s="2"/>
      <c r="Z448" s="2"/>
      <c r="AA448" s="2"/>
    </row>
    <row r="449" spans="1:27" ht="33">
      <c r="A449" s="10">
        <f>E449*100+COUNTIF($E$194:$E449,$E449)</f>
        <v>110406</v>
      </c>
      <c r="B449" s="68" t="s">
        <v>2035</v>
      </c>
      <c r="C449" s="50" t="s">
        <v>2</v>
      </c>
      <c r="D449" s="10">
        <f t="shared" si="34"/>
        <v>1</v>
      </c>
      <c r="E449" s="45">
        <f>INDEX($I:$I,MATCH($E448,$I:$I,0)+IF(COUNTIF($E$194:$E448,$E448)&lt;=VLOOKUP($E448,$I$134:$K$193,3,0)-1,0,1),0)</f>
        <v>1104</v>
      </c>
      <c r="F449" s="45" t="str">
        <f t="shared" si="30"/>
        <v>玉皇大帝</v>
      </c>
      <c r="G449" s="45" t="s">
        <v>218</v>
      </c>
      <c r="H449" s="45">
        <f>VLOOKUP($E449,[1]Sheet1!$A:$G,7,0)</f>
        <v>3</v>
      </c>
      <c r="I449" s="45" t="str">
        <f>IF($G449="","",IF(COUNTIF(技能描述!$D:$D,$F449)&gt;0,VLOOKUP($F449&amp;$G449,技能描述!$A:$C,3,0),LEFT(VLOOKUP($E449,[1]Sheet1!$A:$J,10,0),FIND("_",VLOOKUP($E449,[1]Sheet1!$A:$J,10,0))-1)&amp;$G449))</f>
        <v>yuhuangdadi_skill011</v>
      </c>
      <c r="J449" s="45" t="str">
        <f>IF($I449="","",VLOOKUP($I449,技能描述!$A:$C,3,0))</f>
        <v>召唤五道神光，对全屏范围内敌人进行3次攻击，造成主角攻击力@s的物伤，每次有11%的概率沉默敌方2秒</v>
      </c>
      <c r="K449" s="45" t="str">
        <f>IF($I449="","",INDEX([2]Sheet1!$1:$1048576,MATCH($I449,[2]Sheet1!$A:$A,0),MATCH("description_damage",[2]Sheet1!$2:$2,0)))</f>
        <v>110407</v>
      </c>
      <c r="L449" s="80" t="str">
        <f>IF($K449="","",IF(LEN($K449)-LEN(SUBSTITUTE($K449,",",""))=0,VLOOKUP(INT($K449),[3]Sheet1!$A:$C,3,0),VLOOKUP(INT(LEFT($K449,FIND(",",$K449)-1)),[3]Sheet1!$A:$C,3,0)))</f>
        <v>2|1|1.9|0|0|0</v>
      </c>
      <c r="M449" s="80" t="str">
        <f t="shared" si="35"/>
        <v>190%</v>
      </c>
      <c r="N449" s="45" t="str">
        <f>IF(LEN($K449)-LEN(SUBSTITUTE($K449,",",""))=1,VLOOKUP(INT(RIGHT($K449,LEN($K449)-FIND(",",$K449))),[3]Sheet1!$A:$C,3,0),"")</f>
        <v/>
      </c>
      <c r="O449" s="45" t="str">
        <f t="shared" si="32"/>
        <v/>
      </c>
      <c r="P449" s="45" t="str">
        <f t="shared" si="28"/>
        <v>召唤五道神光，对全屏范围内敌人进行3次攻击，造成主角攻击力190%的物伤，每次有11%的概率沉默敌方2秒</v>
      </c>
      <c r="Q449" s="45" t="str">
        <f t="shared" si="33"/>
        <v>召唤五道神光，对全屏范围内敌人进行3次攻击，造成主角攻击力190%的物伤，每次有11%的概率沉默敌方2秒</v>
      </c>
      <c r="R449" s="45"/>
      <c r="S449" s="45" t="str">
        <f>IF(ISERROR($Q449),"进阶+"&amp;COUNTIF($E$194:$E449,$E449)&amp;"："&amp;"找ZC配技能","进阶+"&amp;COUNTIF($E$194:$E449,$E449)&amp;"："&amp;VLOOKUP(COUNTIF($E$194:$E449,$E449),$L$184:$R$193,IF(H449=1,4,IF(H449=4,3,2))+IF(INDEX([1]Sheet1!$1:$1048576,MATCH($E449,[1]Sheet1!$A:$A,0),MATCH("zizhi",[1]Sheet1!$2:$2,0))&gt;=13,0,3),0)&amp;IF($Q449="","","（"&amp;$Q449&amp;"）"))</f>
        <v>进阶+6：增强主角技能（召唤五道神光，对全屏范围内敌人进行3次攻击，造成主角攻击力190%的物伤，每次有11%的概率沉默敌方2秒）</v>
      </c>
      <c r="T449" s="1"/>
      <c r="U449" s="1"/>
      <c r="V449" s="2" t="str">
        <f>VLOOKUP(COUNTIF($E$194:$E449,$E449),$L$184:$X$193,IF(H449=1,4,IF(H449=4,3,2))+IF(INDEX([1]Sheet1!$1:$1048576,MATCH($E449,[1]Sheet1!$A:$A,0),MATCH("zizhi",[1]Sheet1!$2:$2,0))&gt;=13,0,3)+6,0)</f>
        <v>[]</v>
      </c>
      <c r="W449" s="2" t="str">
        <f t="shared" si="31"/>
        <v>进阶+6：增强主角技能（召唤五道神光，对全屏范围内敌人进行3次攻击，造成主角攻击力190%的物伤，每次有11%的概率沉默敌方2秒）</v>
      </c>
      <c r="X449" s="45" t="str">
        <f t="shared" si="29"/>
        <v>[]</v>
      </c>
      <c r="Y449" s="2"/>
      <c r="Z449" s="2"/>
      <c r="AA449" s="2"/>
    </row>
    <row r="450" spans="1:27">
      <c r="A450" s="10">
        <f>E450*100+COUNTIF($E$194:$E450,$E450)</f>
        <v>110407</v>
      </c>
      <c r="B450" s="68" t="s">
        <v>359</v>
      </c>
      <c r="C450" s="50" t="s">
        <v>353</v>
      </c>
      <c r="D450" s="10" t="str">
        <f t="shared" si="34"/>
        <v>[]</v>
      </c>
      <c r="E450" s="45">
        <f>INDEX($I:$I,MATCH($E449,$I:$I,0)+IF(COUNTIF($E$194:$E449,$E449)&lt;=VLOOKUP($E449,$I$134:$K$193,3,0)-1,0,1),0)</f>
        <v>1104</v>
      </c>
      <c r="F450" s="45" t="str">
        <f t="shared" si="30"/>
        <v>玉皇大帝</v>
      </c>
      <c r="H450" s="45">
        <f>VLOOKUP($E450,[1]Sheet1!$A:$G,7,0)</f>
        <v>3</v>
      </c>
      <c r="I450" s="45" t="str">
        <f>IF($G450="","",IF(COUNTIF(技能描述!$D:$D,$F450)&gt;0,VLOOKUP($F450&amp;$G450,技能描述!$A:$C,3,0),LEFT(VLOOKUP($E450,[1]Sheet1!$A:$J,10,0),FIND("_",VLOOKUP($E450,[1]Sheet1!$A:$J,10,0))-1)&amp;$G450))</f>
        <v/>
      </c>
      <c r="J450" s="45" t="str">
        <f>IF($I450="","",VLOOKUP($I450,技能描述!$A:$C,3,0))</f>
        <v/>
      </c>
      <c r="K450" s="45" t="str">
        <f>IF($I450="","",INDEX([2]Sheet1!$1:$1048576,MATCH($I450,[2]Sheet1!$A:$A,0),MATCH("description_damage",[2]Sheet1!$2:$2,0)))</f>
        <v/>
      </c>
      <c r="L450" s="80" t="str">
        <f>IF($K450="","",IF(LEN($K450)-LEN(SUBSTITUTE($K450,",",""))=0,VLOOKUP(INT($K450),[3]Sheet1!$A:$C,3,0),VLOOKUP(INT(LEFT($K450,FIND(",",$K450)-1)),[3]Sheet1!$A:$C,3,0)))</f>
        <v/>
      </c>
      <c r="M450" s="80" t="str">
        <f t="shared" si="35"/>
        <v/>
      </c>
      <c r="N450" s="45" t="str">
        <f>IF(LEN($K450)-LEN(SUBSTITUTE($K450,",",""))=1,VLOOKUP(INT(RIGHT($K450,LEN($K450)-FIND(",",$K450))),[3]Sheet1!$A:$C,3,0),"")</f>
        <v/>
      </c>
      <c r="O450" s="45" t="str">
        <f t="shared" si="32"/>
        <v/>
      </c>
      <c r="P450" s="45" t="str">
        <f t="shared" ref="P450:P513" si="36">IF($M450="","",IF(ISERROR(FIND("@s",$J450)),$J450,LEFT(J450,FIND("@s",$J450)-1)&amp;$M450&amp;RIGHT($J450,LEN($J450)-FIND("@s",$J450)-1)))</f>
        <v/>
      </c>
      <c r="Q450" s="45" t="str">
        <f t="shared" si="33"/>
        <v/>
      </c>
      <c r="R450" s="45"/>
      <c r="S450" s="45" t="str">
        <f>IF(ISERROR($Q450),"进阶+"&amp;COUNTIF($E$194:$E450,$E450)&amp;"："&amp;"找ZC配技能","进阶+"&amp;COUNTIF($E$194:$E450,$E450)&amp;"："&amp;VLOOKUP(COUNTIF($E$194:$E450,$E450),$L$184:$R$193,IF(H450=1,4,IF(H450=4,3,2))+IF(INDEX([1]Sheet1!$1:$1048576,MATCH($E450,[1]Sheet1!$A:$A,0),MATCH("zizhi",[1]Sheet1!$2:$2,0))&gt;=13,0,3),0)&amp;IF($Q450="","","（"&amp;$Q450&amp;"）"))</f>
        <v>进阶+7：全队攻击提高10%</v>
      </c>
      <c r="T450" s="1"/>
      <c r="U450" s="1"/>
      <c r="V450" s="2" t="str">
        <f>VLOOKUP(COUNTIF($E$194:$E450,$E450),$L$184:$X$193,IF(H450=1,4,IF(H450=4,3,2))+IF(INDEX([1]Sheet1!$1:$1048576,MATCH($E450,[1]Sheet1!$A:$A,0),MATCH("zizhi",[1]Sheet1!$2:$2,0))&gt;=13,0,3)+6,0)</f>
        <v>58010</v>
      </c>
      <c r="W450" s="2" t="str">
        <f t="shared" si="31"/>
        <v>进阶+7：全队攻击提高10%</v>
      </c>
      <c r="X450" s="45" t="str">
        <f t="shared" ref="X450:X513" si="37">IF(ISERROR(FIND("找ZC配技能",$S450)),$V450,$W$184)</f>
        <v>58010</v>
      </c>
      <c r="Y450" s="2"/>
      <c r="Z450" s="2"/>
      <c r="AA450" s="2"/>
    </row>
    <row r="451" spans="1:27" ht="33">
      <c r="A451" s="10">
        <f>E451*100+COUNTIF($E$194:$E451,$E451)</f>
        <v>110408</v>
      </c>
      <c r="B451" s="68" t="s">
        <v>2036</v>
      </c>
      <c r="C451" s="50" t="s">
        <v>2</v>
      </c>
      <c r="D451" s="10">
        <f t="shared" si="34"/>
        <v>1</v>
      </c>
      <c r="E451" s="45">
        <f>INDEX($I:$I,MATCH($E450,$I:$I,0)+IF(COUNTIF($E$194:$E450,$E450)&lt;=VLOOKUP($E450,$I$134:$K$193,3,0)-1,0,1),0)</f>
        <v>1104</v>
      </c>
      <c r="F451" s="45" t="str">
        <f t="shared" ref="F451:F514" si="38">VLOOKUP($E451,$I$134:$K$193,2,0)</f>
        <v>玉皇大帝</v>
      </c>
      <c r="G451" s="45" t="s">
        <v>219</v>
      </c>
      <c r="H451" s="45">
        <f>VLOOKUP($E451,[1]Sheet1!$A:$G,7,0)</f>
        <v>3</v>
      </c>
      <c r="I451" s="45" t="str">
        <f>IF($G451="","",IF(COUNTIF(技能描述!$D:$D,$F451)&gt;0,VLOOKUP($F451&amp;$G451,技能描述!$A:$C,3,0),LEFT(VLOOKUP($E451,[1]Sheet1!$A:$J,10,0),FIND("_",VLOOKUP($E451,[1]Sheet1!$A:$J,10,0))-1)&amp;$G451))</f>
        <v>yuhuangdadi_skill021</v>
      </c>
      <c r="J451" s="45" t="str">
        <f>IF($I451="","",VLOOKUP($I451,技能描述!$A:$C,3,0))</f>
        <v>玉皇大帝将仙力注入大地，对范围内的敌人造成自身攻击力@s的物伤</v>
      </c>
      <c r="K451" s="45" t="str">
        <f>IF($I451="","",INDEX([2]Sheet1!$1:$1048576,MATCH($I451,[2]Sheet1!$A:$A,0),MATCH("description_damage",[2]Sheet1!$2:$2,0)))</f>
        <v>110408</v>
      </c>
      <c r="L451" s="80" t="str">
        <f>IF($K451="","",IF(LEN($K451)-LEN(SUBSTITUTE($K451,",",""))=0,VLOOKUP(INT($K451),[3]Sheet1!$A:$C,3,0),VLOOKUP(INT(LEFT($K451,FIND(",",$K451)-1)),[3]Sheet1!$A:$C,3,0)))</f>
        <v>2|1|2|0|0|0</v>
      </c>
      <c r="M451" s="80" t="str">
        <f t="shared" si="35"/>
        <v>200%</v>
      </c>
      <c r="N451" s="45" t="str">
        <f>IF(LEN($K451)-LEN(SUBSTITUTE($K451,",",""))=1,VLOOKUP(INT(RIGHT($K451,LEN($K451)-FIND(",",$K451))),[3]Sheet1!$A:$C,3,0),"")</f>
        <v/>
      </c>
      <c r="O451" s="45" t="str">
        <f t="shared" si="32"/>
        <v/>
      </c>
      <c r="P451" s="45" t="str">
        <f t="shared" si="36"/>
        <v>玉皇大帝将仙力注入大地，对范围内的敌人造成自身攻击力200%的物伤</v>
      </c>
      <c r="Q451" s="45" t="str">
        <f t="shared" si="33"/>
        <v>玉皇大帝将仙力注入大地，对范围内的敌人造成自身攻击力200%的物伤</v>
      </c>
      <c r="R451" s="45"/>
      <c r="S451" s="45" t="str">
        <f>IF(ISERROR($Q451),"进阶+"&amp;COUNTIF($E$194:$E451,$E451)&amp;"："&amp;"找ZC配技能","进阶+"&amp;COUNTIF($E$194:$E451,$E451)&amp;"："&amp;VLOOKUP(COUNTIF($E$194:$E451,$E451),$L$184:$R$193,IF(H451=1,4,IF(H451=4,3,2))+IF(INDEX([1]Sheet1!$1:$1048576,MATCH($E451,[1]Sheet1!$A:$A,0),MATCH("zizhi",[1]Sheet1!$2:$2,0))&gt;=13,0,3),0)&amp;IF($Q451="","","（"&amp;$Q451&amp;"）"))</f>
        <v>进阶+8：增强AI1技能（玉皇大帝将仙力注入大地，对范围内的敌人造成自身攻击力200%的物伤）</v>
      </c>
      <c r="T451" s="1"/>
      <c r="U451" s="1"/>
      <c r="V451" s="2" t="str">
        <f>VLOOKUP(COUNTIF($E$194:$E451,$E451),$L$184:$X$193,IF(H451=1,4,IF(H451=4,3,2))+IF(INDEX([1]Sheet1!$1:$1048576,MATCH($E451,[1]Sheet1!$A:$A,0),MATCH("zizhi",[1]Sheet1!$2:$2,0))&gt;=13,0,3)+6,0)</f>
        <v>[]</v>
      </c>
      <c r="W451" s="2" t="str">
        <f t="shared" ref="W451:W514" si="39">IF(ISERROR(FIND("找ZC配技能",$S451)),$S451,"进阶+"&amp;INT(RIGHT($A451,2))&amp;":生命提高10%")</f>
        <v>进阶+8：增强AI1技能（玉皇大帝将仙力注入大地，对范围内的敌人造成自身攻击力200%的物伤）</v>
      </c>
      <c r="X451" s="45" t="str">
        <f t="shared" si="37"/>
        <v>[]</v>
      </c>
      <c r="Y451" s="2"/>
      <c r="Z451" s="2"/>
      <c r="AA451" s="2"/>
    </row>
    <row r="452" spans="1:27">
      <c r="A452" s="10">
        <f>E452*100+COUNTIF($E$194:$E452,$E452)</f>
        <v>110409</v>
      </c>
      <c r="B452" s="68" t="s">
        <v>1899</v>
      </c>
      <c r="C452" s="50" t="s">
        <v>2085</v>
      </c>
      <c r="D452" s="10" t="str">
        <f t="shared" si="34"/>
        <v>[]</v>
      </c>
      <c r="E452" s="45">
        <f>INDEX($I:$I,MATCH($E451,$I:$I,0)+IF(COUNTIF($E$194:$E451,$E451)&lt;=VLOOKUP($E451,$I$134:$K$193,3,0)-1,0,1),0)</f>
        <v>1104</v>
      </c>
      <c r="F452" s="45" t="str">
        <f t="shared" si="38"/>
        <v>玉皇大帝</v>
      </c>
      <c r="H452" s="45">
        <f>VLOOKUP($E452,[1]Sheet1!$A:$G,7,0)</f>
        <v>3</v>
      </c>
      <c r="I452" s="45" t="str">
        <f>IF($G452="","",IF(COUNTIF(技能描述!$D:$D,$F452)&gt;0,VLOOKUP($F452&amp;$G452,技能描述!$A:$C,3,0),LEFT(VLOOKUP($E452,[1]Sheet1!$A:$J,10,0),FIND("_",VLOOKUP($E452,[1]Sheet1!$A:$J,10,0))-1)&amp;$G452))</f>
        <v/>
      </c>
      <c r="J452" s="45" t="str">
        <f>IF($I452="","",VLOOKUP($I452,技能描述!$A:$C,3,0))</f>
        <v/>
      </c>
      <c r="K452" s="45" t="str">
        <f>IF($I452="","",INDEX([2]Sheet1!$1:$1048576,MATCH($I452,[2]Sheet1!$A:$A,0),MATCH("description_damage",[2]Sheet1!$2:$2,0)))</f>
        <v/>
      </c>
      <c r="L452" s="80" t="str">
        <f>IF($K452="","",IF(LEN($K452)-LEN(SUBSTITUTE($K452,",",""))=0,VLOOKUP(INT($K452),[3]Sheet1!$A:$C,3,0),VLOOKUP(INT(LEFT($K452,FIND(",",$K452)-1)),[3]Sheet1!$A:$C,3,0)))</f>
        <v/>
      </c>
      <c r="M452" s="80" t="str">
        <f t="shared" si="35"/>
        <v/>
      </c>
      <c r="N452" s="45" t="str">
        <f>IF(LEN($K452)-LEN(SUBSTITUTE($K452,",",""))=1,VLOOKUP(INT(RIGHT($K452,LEN($K452)-FIND(",",$K452))),[3]Sheet1!$A:$C,3,0),"")</f>
        <v/>
      </c>
      <c r="O452" s="45" t="str">
        <f t="shared" ref="O452:O515" si="40">IF($N452="","",LEFT(RIGHT($N452,LEN($N452)-4),FIND("|",RIGHT($N452,LEN($N452)-4))-1)*100&amp;"%")</f>
        <v/>
      </c>
      <c r="P452" s="45" t="str">
        <f t="shared" si="36"/>
        <v/>
      </c>
      <c r="Q452" s="45" t="str">
        <f t="shared" ref="Q452:Q515" si="41">IF($O452="",$P452,SUBSTITUTE($P452,"@s",$O452))</f>
        <v/>
      </c>
      <c r="R452" s="45"/>
      <c r="S452" s="45" t="str">
        <f>IF(ISERROR($Q452),"进阶+"&amp;COUNTIF($E$194:$E452,$E452)&amp;"："&amp;"找ZC配技能","进阶+"&amp;COUNTIF($E$194:$E452,$E452)&amp;"："&amp;VLOOKUP(COUNTIF($E$194:$E452,$E452),$L$184:$R$193,IF(H452=1,4,IF(H452=4,3,2))+IF(INDEX([1]Sheet1!$1:$1048576,MATCH($E452,[1]Sheet1!$A:$A,0),MATCH("zizhi",[1]Sheet1!$2:$2,0))&gt;=13,0,3),0)&amp;IF($Q452="","","（"&amp;$Q452&amp;"）"))</f>
        <v>进阶+9：全队攻击提高15%</v>
      </c>
      <c r="T452" s="1"/>
      <c r="U452" s="1"/>
      <c r="V452" s="2" t="str">
        <f>VLOOKUP(COUNTIF($E$194:$E452,$E452),$L$184:$X$193,IF(H452=1,4,IF(H452=4,3,2))+IF(INDEX([1]Sheet1!$1:$1048576,MATCH($E452,[1]Sheet1!$A:$A,0),MATCH("zizhi",[1]Sheet1!$2:$2,0))&gt;=13,0,3)+6,0)</f>
        <v>58015</v>
      </c>
      <c r="W452" s="2" t="str">
        <f t="shared" si="39"/>
        <v>进阶+9：全队攻击提高15%</v>
      </c>
      <c r="X452" s="45" t="str">
        <f t="shared" si="37"/>
        <v>58015</v>
      </c>
      <c r="Y452" s="2"/>
      <c r="Z452" s="2"/>
      <c r="AA452" s="2"/>
    </row>
    <row r="453" spans="1:27" ht="33">
      <c r="A453" s="10">
        <f>E453*100+COUNTIF($E$194:$E453,$E453)</f>
        <v>110410</v>
      </c>
      <c r="B453" s="68" t="s">
        <v>1919</v>
      </c>
      <c r="C453" s="50" t="s">
        <v>2</v>
      </c>
      <c r="D453" s="10">
        <f t="shared" ref="D453:D516" si="42">IF(ISERROR(FIND("技能",$B453)),"[]",1)</f>
        <v>1</v>
      </c>
      <c r="E453" s="45">
        <f>INDEX($I:$I,MATCH($E452,$I:$I,0)+IF(COUNTIF($E$194:$E452,$E452)&lt;=VLOOKUP($E452,$I$134:$K$193,3,0)-1,0,1),0)</f>
        <v>1104</v>
      </c>
      <c r="F453" s="45" t="str">
        <f t="shared" si="38"/>
        <v>玉皇大帝</v>
      </c>
      <c r="G453" s="45" t="s">
        <v>220</v>
      </c>
      <c r="H453" s="45">
        <f>VLOOKUP($E453,[1]Sheet1!$A:$G,7,0)</f>
        <v>3</v>
      </c>
      <c r="I453" s="45" t="str">
        <f>IF($G453="","",IF(COUNTIF(技能描述!$D:$D,$F453)&gt;0,VLOOKUP($F453&amp;$G453,技能描述!$A:$C,3,0),LEFT(VLOOKUP($E453,[1]Sheet1!$A:$J,10,0),FIND("_",VLOOKUP($E453,[1]Sheet1!$A:$J,10,0))-1)&amp;$G453))</f>
        <v>yuhuangdadi_skill041</v>
      </c>
      <c r="J453" s="45" t="str">
        <f>IF($I453="","",VLOOKUP($I453,技能描述!$A:$C,3,0))</f>
        <v>玉皇大帝召唤圣光领域，对范围内敌人造成自身攻击力@s的物伤，并降低敌人闪避率@s，持续3秒</v>
      </c>
      <c r="K453" s="45" t="str">
        <f>IF($I453="","",INDEX([2]Sheet1!$1:$1048576,MATCH($I453,[2]Sheet1!$A:$A,0),MATCH("description_damage",[2]Sheet1!$2:$2,0)))</f>
        <v>110409,9020</v>
      </c>
      <c r="L453" s="80" t="str">
        <f>IF($K453="","",IF(LEN($K453)-LEN(SUBSTITUTE($K453,",",""))=0,VLOOKUP(INT($K453),[3]Sheet1!$A:$C,3,0),VLOOKUP(INT(LEFT($K453,FIND(",",$K453)-1)),[3]Sheet1!$A:$C,3,0)))</f>
        <v>2|1|2|0|0|0</v>
      </c>
      <c r="M453" s="80" t="str">
        <f t="shared" ref="M453:M516" si="43">IF($L453="","",LEFT(RIGHT($L453,LEN($L453)-4),FIND("|",RIGHT($L453,LEN($L453)-4))-1)*100&amp;"%")</f>
        <v>200%</v>
      </c>
      <c r="N453" s="45" t="str">
        <f>IF(LEN($K453)-LEN(SUBSTITUTE($K453,",",""))=1,VLOOKUP(INT(RIGHT($K453,LEN($K453)-FIND(",",$K453))),[3]Sheet1!$A:$C,3,0),"")</f>
        <v>4|3|0.2|0|1</v>
      </c>
      <c r="O453" s="45" t="str">
        <f t="shared" si="40"/>
        <v>20%</v>
      </c>
      <c r="P453" s="45" t="str">
        <f t="shared" si="36"/>
        <v>玉皇大帝召唤圣光领域，对范围内敌人造成自身攻击力200%的物伤，并降低敌人闪避率@s，持续3秒</v>
      </c>
      <c r="Q453" s="45" t="str">
        <f t="shared" si="41"/>
        <v>玉皇大帝召唤圣光领域，对范围内敌人造成自身攻击力200%的物伤，并降低敌人闪避率20%，持续3秒</v>
      </c>
      <c r="R453" s="45"/>
      <c r="S453" s="45" t="str">
        <f>IF(ISERROR($Q453),"进阶+"&amp;COUNTIF($E$194:$E453,$E453)&amp;"："&amp;"找ZC配技能","进阶+"&amp;COUNTIF($E$194:$E453,$E453)&amp;"："&amp;VLOOKUP(COUNTIF($E$194:$E453,$E453),$L$184:$R$193,IF(H453=1,4,IF(H453=4,3,2))+IF(INDEX([1]Sheet1!$1:$1048576,MATCH($E453,[1]Sheet1!$A:$A,0),MATCH("zizhi",[1]Sheet1!$2:$2,0))&gt;=13,0,3),0)&amp;IF($Q453="","","（"&amp;$Q453&amp;"）"))</f>
        <v>进阶+10：增强AI2技能（玉皇大帝召唤圣光领域，对范围内敌人造成自身攻击力200%的物伤，并降低敌人闪避率20%，持续3秒）</v>
      </c>
      <c r="T453" s="1"/>
      <c r="U453" s="1"/>
      <c r="V453" s="2" t="str">
        <f>VLOOKUP(COUNTIF($E$194:$E453,$E453),$L$184:$X$193,IF(H453=1,4,IF(H453=4,3,2))+IF(INDEX([1]Sheet1!$1:$1048576,MATCH($E453,[1]Sheet1!$A:$A,0),MATCH("zizhi",[1]Sheet1!$2:$2,0))&gt;=13,0,3)+6,0)</f>
        <v>[]</v>
      </c>
      <c r="W453" s="2" t="str">
        <f t="shared" si="39"/>
        <v>进阶+10：增强AI2技能（玉皇大帝召唤圣光领域，对范围内敌人造成自身攻击力200%的物伤，并降低敌人闪避率20%，持续3秒）</v>
      </c>
      <c r="X453" s="45" t="str">
        <f t="shared" si="37"/>
        <v>[]</v>
      </c>
      <c r="Y453" s="2"/>
      <c r="Z453" s="2"/>
      <c r="AA453" s="2"/>
    </row>
    <row r="454" spans="1:27">
      <c r="A454" s="10">
        <f>E454*100+COUNTIF($E$194:$E454,$E454)</f>
        <v>113501</v>
      </c>
      <c r="B454" s="68" t="s">
        <v>319</v>
      </c>
      <c r="C454" s="50" t="s">
        <v>2086</v>
      </c>
      <c r="D454" s="10" t="str">
        <f t="shared" si="42"/>
        <v>[]</v>
      </c>
      <c r="E454" s="45">
        <f>INDEX($I:$I,MATCH($E453,$I:$I,0)+IF(COUNTIF($E$194:$E453,$E453)&lt;=VLOOKUP($E453,$I$134:$K$193,3,0)-1,0,1),0)</f>
        <v>1135</v>
      </c>
      <c r="F454" s="45" t="str">
        <f t="shared" si="38"/>
        <v>东海龙王</v>
      </c>
      <c r="H454" s="45">
        <f>VLOOKUP($E454,[1]Sheet1!$A:$G,7,0)</f>
        <v>4</v>
      </c>
      <c r="I454" s="45" t="str">
        <f>IF($G454="","",IF(COUNTIF(技能描述!$D:$D,$F454)&gt;0,VLOOKUP($F454&amp;$G454,技能描述!$A:$C,3,0),LEFT(VLOOKUP($E454,[1]Sheet1!$A:$J,10,0),FIND("_",VLOOKUP($E454,[1]Sheet1!$A:$J,10,0))-1)&amp;$G454))</f>
        <v/>
      </c>
      <c r="J454" s="45" t="str">
        <f>IF($I454="","",VLOOKUP($I454,技能描述!$A:$C,3,0))</f>
        <v/>
      </c>
      <c r="K454" s="45" t="str">
        <f>IF($I454="","",INDEX([2]Sheet1!$1:$1048576,MATCH($I454,[2]Sheet1!$A:$A,0),MATCH("description_damage",[2]Sheet1!$2:$2,0)))</f>
        <v/>
      </c>
      <c r="L454" s="80" t="str">
        <f>IF($K454="","",IF(LEN($K454)-LEN(SUBSTITUTE($K454,",",""))=0,VLOOKUP(INT($K454),[3]Sheet1!$A:$C,3,0),VLOOKUP(INT(LEFT($K454,FIND(",",$K454)-1)),[3]Sheet1!$A:$C,3,0)))</f>
        <v/>
      </c>
      <c r="M454" s="80" t="str">
        <f t="shared" si="43"/>
        <v/>
      </c>
      <c r="N454" s="45" t="str">
        <f>IF(LEN($K454)-LEN(SUBSTITUTE($K454,",",""))=1,VLOOKUP(INT(RIGHT($K454,LEN($K454)-FIND(",",$K454))),[3]Sheet1!$A:$C,3,0),"")</f>
        <v/>
      </c>
      <c r="O454" s="45" t="str">
        <f t="shared" si="40"/>
        <v/>
      </c>
      <c r="P454" s="45" t="str">
        <f t="shared" si="36"/>
        <v/>
      </c>
      <c r="Q454" s="45" t="str">
        <f t="shared" si="41"/>
        <v/>
      </c>
      <c r="R454" s="45"/>
      <c r="S454" s="45" t="str">
        <f>IF(ISERROR($Q454),"进阶+"&amp;COUNTIF($E$194:$E454,$E454)&amp;"："&amp;"找ZC配技能","进阶+"&amp;COUNTIF($E$194:$E454,$E454)&amp;"："&amp;VLOOKUP(COUNTIF($E$194:$E454,$E454),$L$184:$R$193,IF(H454=1,4,IF(H454=4,3,2))+IF(INDEX([1]Sheet1!$1:$1048576,MATCH($E454,[1]Sheet1!$A:$A,0),MATCH("zizhi",[1]Sheet1!$2:$2,0))&gt;=13,0,3),0)&amp;IF($Q454="","","（"&amp;$Q454&amp;"）"))</f>
        <v>进阶+1：生命提高10%</v>
      </c>
      <c r="T454" s="1"/>
      <c r="U454" s="1"/>
      <c r="V454" s="2" t="str">
        <f>VLOOKUP(COUNTIF($E$194:$E454,$E454),$L$184:$X$193,IF(H454=1,4,IF(H454=4,3,2))+IF(INDEX([1]Sheet1!$1:$1048576,MATCH($E454,[1]Sheet1!$A:$A,0),MATCH("zizhi",[1]Sheet1!$2:$2,0))&gt;=13,0,3)+6,0)</f>
        <v>11090</v>
      </c>
      <c r="W454" s="2" t="str">
        <f t="shared" si="39"/>
        <v>进阶+1：生命提高10%</v>
      </c>
      <c r="X454" s="45" t="str">
        <f t="shared" si="37"/>
        <v>11090</v>
      </c>
      <c r="Y454" s="2"/>
      <c r="Z454" s="2"/>
      <c r="AA454" s="2"/>
    </row>
    <row r="455" spans="1:27">
      <c r="A455" s="10">
        <f>E455*100+COUNTIF($E$194:$E455,$E455)</f>
        <v>113502</v>
      </c>
      <c r="B455" s="68" t="s">
        <v>339</v>
      </c>
      <c r="C455" s="50" t="s">
        <v>2</v>
      </c>
      <c r="D455" s="10">
        <f t="shared" si="42"/>
        <v>1</v>
      </c>
      <c r="E455" s="45">
        <f>INDEX($I:$I,MATCH($E454,$I:$I,0)+IF(COUNTIF($E$194:$E454,$E454)&lt;=VLOOKUP($E454,$I$134:$K$193,3,0)-1,0,1),0)</f>
        <v>1135</v>
      </c>
      <c r="F455" s="45" t="str">
        <f t="shared" si="38"/>
        <v>东海龙王</v>
      </c>
      <c r="G455" s="45" t="s">
        <v>216</v>
      </c>
      <c r="H455" s="45">
        <f>VLOOKUP($E455,[1]Sheet1!$A:$G,7,0)</f>
        <v>4</v>
      </c>
      <c r="I455" s="45" t="str">
        <f>IF($G455="","",IF(COUNTIF(技能描述!$D:$D,$F455)&gt;0,VLOOKUP($F455&amp;$G455,技能描述!$A:$C,3,0),LEFT(VLOOKUP($E455,[1]Sheet1!$A:$J,10,0),FIND("_",VLOOKUP($E455,[1]Sheet1!$A:$J,10,0))-1)&amp;$G455))</f>
        <v>donghailongwang_skill03</v>
      </c>
      <c r="J455" s="45" t="str">
        <f>IF($I455="","",VLOOKUP($I455,技能描述!$A:$C,3,0))</f>
        <v>进入战斗场景时，降低自身受到的伤害@s</v>
      </c>
      <c r="K455" s="45" t="str">
        <f>IF($I455="","",INDEX([2]Sheet1!$1:$1048576,MATCH($I455,[2]Sheet1!$A:$A,0),MATCH("description_damage",[2]Sheet1!$2:$2,0)))</f>
        <v>9015</v>
      </c>
      <c r="L455" s="80" t="str">
        <f>IF($K455="","",IF(LEN($K455)-LEN(SUBSTITUTE($K455,",",""))=0,VLOOKUP(INT($K455),[3]Sheet1!$A:$C,3,0),VLOOKUP(INT(LEFT($K455,FIND(",",$K455)-1)),[3]Sheet1!$A:$C,3,0)))</f>
        <v>4|3|0.15|0|1</v>
      </c>
      <c r="M455" s="80" t="str">
        <f t="shared" si="43"/>
        <v>15%</v>
      </c>
      <c r="N455" s="45" t="str">
        <f>IF(LEN($K455)-LEN(SUBSTITUTE($K455,",",""))=1,VLOOKUP(INT(RIGHT($K455,LEN($K455)-FIND(",",$K455))),[3]Sheet1!$A:$C,3,0),"")</f>
        <v/>
      </c>
      <c r="O455" s="45" t="str">
        <f t="shared" si="40"/>
        <v/>
      </c>
      <c r="P455" s="45" t="str">
        <f t="shared" si="36"/>
        <v>进入战斗场景时，降低自身受到的伤害15%</v>
      </c>
      <c r="Q455" s="45" t="str">
        <f t="shared" si="41"/>
        <v>进入战斗场景时，降低自身受到的伤害15%</v>
      </c>
      <c r="R455" s="45"/>
      <c r="S455" s="45" t="str">
        <f>IF(ISERROR($Q455),"进阶+"&amp;COUNTIF($E$194:$E455,$E455)&amp;"："&amp;"找ZC配技能","进阶+"&amp;COUNTIF($E$194:$E455,$E455)&amp;"："&amp;VLOOKUP(COUNTIF($E$194:$E455,$E455),$L$184:$R$193,IF(H455=1,4,IF(H455=4,3,2))+IF(INDEX([1]Sheet1!$1:$1048576,MATCH($E455,[1]Sheet1!$A:$A,0),MATCH("zizhi",[1]Sheet1!$2:$2,0))&gt;=13,0,3),0)&amp;IF($Q455="","","（"&amp;$Q455&amp;"）"))</f>
        <v>进阶+2：激活被动技能（进入战斗场景时，降低自身受到的伤害15%）</v>
      </c>
      <c r="T455" s="1"/>
      <c r="U455" s="1"/>
      <c r="V455" s="2" t="str">
        <f>VLOOKUP(COUNTIF($E$194:$E455,$E455),$L$184:$X$193,IF(H455=1,4,IF(H455=4,3,2))+IF(INDEX([1]Sheet1!$1:$1048576,MATCH($E455,[1]Sheet1!$A:$A,0),MATCH("zizhi",[1]Sheet1!$2:$2,0))&gt;=13,0,3)+6,0)</f>
        <v>[]</v>
      </c>
      <c r="W455" s="2" t="str">
        <f t="shared" si="39"/>
        <v>进阶+2：激活被动技能（进入战斗场景时，降低自身受到的伤害15%）</v>
      </c>
      <c r="X455" s="45" t="str">
        <f t="shared" si="37"/>
        <v>[]</v>
      </c>
      <c r="Y455" s="2"/>
      <c r="Z455" s="2"/>
      <c r="AA455" s="2"/>
    </row>
    <row r="456" spans="1:27">
      <c r="A456" s="10">
        <f>E456*100+COUNTIF($E$194:$E456,$E456)</f>
        <v>113503</v>
      </c>
      <c r="B456" s="68" t="s">
        <v>324</v>
      </c>
      <c r="C456" s="50" t="s">
        <v>140</v>
      </c>
      <c r="D456" s="10" t="str">
        <f t="shared" si="42"/>
        <v>[]</v>
      </c>
      <c r="E456" s="45">
        <f>INDEX($I:$I,MATCH($E455,$I:$I,0)+IF(COUNTIF($E$194:$E455,$E455)&lt;=VLOOKUP($E455,$I$134:$K$193,3,0)-1,0,1),0)</f>
        <v>1135</v>
      </c>
      <c r="F456" s="45" t="str">
        <f t="shared" si="38"/>
        <v>东海龙王</v>
      </c>
      <c r="H456" s="45">
        <f>VLOOKUP($E456,[1]Sheet1!$A:$G,7,0)</f>
        <v>4</v>
      </c>
      <c r="I456" s="45" t="str">
        <f>IF($G456="","",IF(COUNTIF(技能描述!$D:$D,$F456)&gt;0,VLOOKUP($F456&amp;$G456,技能描述!$A:$C,3,0),LEFT(VLOOKUP($E456,[1]Sheet1!$A:$J,10,0),FIND("_",VLOOKUP($E456,[1]Sheet1!$A:$J,10,0))-1)&amp;$G456))</f>
        <v/>
      </c>
      <c r="J456" s="45" t="str">
        <f>IF($I456="","",VLOOKUP($I456,技能描述!$A:$C,3,0))</f>
        <v/>
      </c>
      <c r="K456" s="45" t="str">
        <f>IF($I456="","",INDEX([2]Sheet1!$1:$1048576,MATCH($I456,[2]Sheet1!$A:$A,0),MATCH("description_damage",[2]Sheet1!$2:$2,0)))</f>
        <v/>
      </c>
      <c r="L456" s="80" t="str">
        <f>IF($K456="","",IF(LEN($K456)-LEN(SUBSTITUTE($K456,",",""))=0,VLOOKUP(INT($K456),[3]Sheet1!$A:$C,3,0),VLOOKUP(INT(LEFT($K456,FIND(",",$K456)-1)),[3]Sheet1!$A:$C,3,0)))</f>
        <v/>
      </c>
      <c r="M456" s="80" t="str">
        <f t="shared" si="43"/>
        <v/>
      </c>
      <c r="N456" s="45" t="str">
        <f>IF(LEN($K456)-LEN(SUBSTITUTE($K456,",",""))=1,VLOOKUP(INT(RIGHT($K456,LEN($K456)-FIND(",",$K456))),[3]Sheet1!$A:$C,3,0),"")</f>
        <v/>
      </c>
      <c r="O456" s="45" t="str">
        <f t="shared" si="40"/>
        <v/>
      </c>
      <c r="P456" s="45" t="str">
        <f t="shared" si="36"/>
        <v/>
      </c>
      <c r="Q456" s="45" t="str">
        <f t="shared" si="41"/>
        <v/>
      </c>
      <c r="R456" s="45"/>
      <c r="S456" s="45" t="str">
        <f>IF(ISERROR($Q456),"进阶+"&amp;COUNTIF($E$194:$E456,$E456)&amp;"："&amp;"找ZC配技能","进阶+"&amp;COUNTIF($E$194:$E456,$E456)&amp;"："&amp;VLOOKUP(COUNTIF($E$194:$E456,$E456),$L$184:$R$193,IF(H456=1,4,IF(H456=4,3,2))+IF(INDEX([1]Sheet1!$1:$1048576,MATCH($E456,[1]Sheet1!$A:$A,0),MATCH("zizhi",[1]Sheet1!$2:$2,0))&gt;=13,0,3),0)&amp;IF($Q456="","","（"&amp;$Q456&amp;"）"))</f>
        <v>进阶+3：生命，防御提高10%</v>
      </c>
      <c r="T456" s="1"/>
      <c r="U456" s="1"/>
      <c r="V456" s="2" t="str">
        <f>VLOOKUP(COUNTIF($E$194:$E456,$E456),$L$184:$X$193,IF(H456=1,4,IF(H456=4,3,2))+IF(INDEX([1]Sheet1!$1:$1048576,MATCH($E456,[1]Sheet1!$A:$A,0),MATCH("zizhi",[1]Sheet1!$2:$2,0))&gt;=13,0,3)+6,0)</f>
        <v>11090,6502,6512</v>
      </c>
      <c r="W456" s="2" t="str">
        <f t="shared" si="39"/>
        <v>进阶+3：生命，防御提高10%</v>
      </c>
      <c r="X456" s="45" t="str">
        <f t="shared" si="37"/>
        <v>11090,6502,6512</v>
      </c>
      <c r="Y456" s="2"/>
      <c r="Z456" s="2"/>
      <c r="AA456" s="2"/>
    </row>
    <row r="457" spans="1:27" ht="33">
      <c r="A457" s="10">
        <f>E457*100+COUNTIF($E$194:$E457,$E457)</f>
        <v>113504</v>
      </c>
      <c r="B457" s="68" t="s">
        <v>1874</v>
      </c>
      <c r="C457" s="50" t="s">
        <v>2</v>
      </c>
      <c r="D457" s="10">
        <f t="shared" si="42"/>
        <v>1</v>
      </c>
      <c r="E457" s="45">
        <f>INDEX($I:$I,MATCH($E456,$I:$I,0)+IF(COUNTIF($E$194:$E456,$E456)&lt;=VLOOKUP($E456,$I$134:$K$193,3,0)-1,0,1),0)</f>
        <v>1135</v>
      </c>
      <c r="F457" s="45" t="str">
        <f t="shared" si="38"/>
        <v>东海龙王</v>
      </c>
      <c r="G457" s="45" t="s">
        <v>217</v>
      </c>
      <c r="H457" s="45">
        <f>VLOOKUP($E457,[1]Sheet1!$A:$G,7,0)</f>
        <v>4</v>
      </c>
      <c r="I457" s="45" t="str">
        <f>IF($G457="","",IF(COUNTIF(技能描述!$D:$D,$F457)&gt;0,VLOOKUP($F457&amp;$G457,技能描述!$A:$C,3,0),LEFT(VLOOKUP($E457,[1]Sheet1!$A:$J,10,0),FIND("_",VLOOKUP($E457,[1]Sheet1!$A:$J,10,0))-1)&amp;$G457))</f>
        <v>donghailongwang_skill04</v>
      </c>
      <c r="J457" s="45" t="str">
        <f>IF($I457="","",VLOOKUP($I457,技能描述!$A:$C,3,0))</f>
        <v>东海龙王操控海水，对范围内敌人造成自身攻击力@s的物伤</v>
      </c>
      <c r="K457" s="45" t="str">
        <f>IF($I457="","",INDEX([2]Sheet1!$1:$1048576,MATCH($I457,[2]Sheet1!$A:$A,0),MATCH("description_damage",[2]Sheet1!$2:$2,0)))</f>
        <v>113504</v>
      </c>
      <c r="L457" s="80" t="str">
        <f>IF($K457="","",IF(LEN($K457)-LEN(SUBSTITUTE($K457,",",""))=0,VLOOKUP(INT($K457),[3]Sheet1!$A:$C,3,0),VLOOKUP(INT(LEFT($K457,FIND(",",$K457)-1)),[3]Sheet1!$A:$C,3,0)))</f>
        <v>2|1|1.43|0|0|0</v>
      </c>
      <c r="M457" s="80" t="str">
        <f t="shared" si="43"/>
        <v>143%</v>
      </c>
      <c r="N457" s="45" t="str">
        <f>IF(LEN($K457)-LEN(SUBSTITUTE($K457,",",""))=1,VLOOKUP(INT(RIGHT($K457,LEN($K457)-FIND(",",$K457))),[3]Sheet1!$A:$C,3,0),"")</f>
        <v/>
      </c>
      <c r="O457" s="45" t="str">
        <f t="shared" si="40"/>
        <v/>
      </c>
      <c r="P457" s="45" t="str">
        <f t="shared" si="36"/>
        <v>东海龙王操控海水，对范围内敌人造成自身攻击力143%的物伤</v>
      </c>
      <c r="Q457" s="45" t="str">
        <f t="shared" si="41"/>
        <v>东海龙王操控海水，对范围内敌人造成自身攻击力143%的物伤</v>
      </c>
      <c r="R457" s="45"/>
      <c r="S457" s="45" t="str">
        <f>IF(ISERROR($Q457),"进阶+"&amp;COUNTIF($E$194:$E457,$E457)&amp;"："&amp;"找ZC配技能","进阶+"&amp;COUNTIF($E$194:$E457,$E457)&amp;"："&amp;VLOOKUP(COUNTIF($E$194:$E457,$E457),$L$184:$R$193,IF(H457=1,4,IF(H457=4,3,2))+IF(INDEX([1]Sheet1!$1:$1048576,MATCH($E457,[1]Sheet1!$A:$A,0),MATCH("zizhi",[1]Sheet1!$2:$2,0))&gt;=13,0,3),0)&amp;IF($Q457="","","（"&amp;$Q457&amp;"）"))</f>
        <v>进阶+4：激活AI2技能（东海龙王操控海水，对范围内敌人造成自身攻击力143%的物伤）</v>
      </c>
      <c r="T457" s="1"/>
      <c r="U457" s="1"/>
      <c r="V457" s="2" t="str">
        <f>VLOOKUP(COUNTIF($E$194:$E457,$E457),$L$184:$X$193,IF(H457=1,4,IF(H457=4,3,2))+IF(INDEX([1]Sheet1!$1:$1048576,MATCH($E457,[1]Sheet1!$A:$A,0),MATCH("zizhi",[1]Sheet1!$2:$2,0))&gt;=13,0,3)+6,0)</f>
        <v>[]</v>
      </c>
      <c r="W457" s="2" t="str">
        <f t="shared" si="39"/>
        <v>进阶+4：激活AI2技能（东海龙王操控海水，对范围内敌人造成自身攻击力143%的物伤）</v>
      </c>
      <c r="X457" s="45" t="str">
        <f t="shared" si="37"/>
        <v>[]</v>
      </c>
      <c r="Y457" s="2"/>
      <c r="Z457" s="2"/>
      <c r="AA457" s="2"/>
    </row>
    <row r="458" spans="1:27">
      <c r="A458" s="10">
        <f>E458*100+COUNTIF($E$194:$E458,$E458)</f>
        <v>113505</v>
      </c>
      <c r="B458" s="68" t="s">
        <v>320</v>
      </c>
      <c r="C458" s="50" t="s">
        <v>239</v>
      </c>
      <c r="D458" s="10" t="str">
        <f t="shared" si="42"/>
        <v>[]</v>
      </c>
      <c r="E458" s="45">
        <f>INDEX($I:$I,MATCH($E457,$I:$I,0)+IF(COUNTIF($E$194:$E457,$E457)&lt;=VLOOKUP($E457,$I$134:$K$193,3,0)-1,0,1),0)</f>
        <v>1135</v>
      </c>
      <c r="F458" s="45" t="str">
        <f t="shared" si="38"/>
        <v>东海龙王</v>
      </c>
      <c r="H458" s="45">
        <f>VLOOKUP($E458,[1]Sheet1!$A:$G,7,0)</f>
        <v>4</v>
      </c>
      <c r="I458" s="45" t="str">
        <f>IF($G458="","",IF(COUNTIF(技能描述!$D:$D,$F458)&gt;0,VLOOKUP($F458&amp;$G458,技能描述!$A:$C,3,0),LEFT(VLOOKUP($E458,[1]Sheet1!$A:$J,10,0),FIND("_",VLOOKUP($E458,[1]Sheet1!$A:$J,10,0))-1)&amp;$G458))</f>
        <v/>
      </c>
      <c r="J458" s="45" t="str">
        <f>IF($I458="","",VLOOKUP($I458,技能描述!$A:$C,3,0))</f>
        <v/>
      </c>
      <c r="K458" s="45" t="str">
        <f>IF($I458="","",INDEX([2]Sheet1!$1:$1048576,MATCH($I458,[2]Sheet1!$A:$A,0),MATCH("description_damage",[2]Sheet1!$2:$2,0)))</f>
        <v/>
      </c>
      <c r="L458" s="80" t="str">
        <f>IF($K458="","",IF(LEN($K458)-LEN(SUBSTITUTE($K458,",",""))=0,VLOOKUP(INT($K458),[3]Sheet1!$A:$C,3,0),VLOOKUP(INT(LEFT($K458,FIND(",",$K458)-1)),[3]Sheet1!$A:$C,3,0)))</f>
        <v/>
      </c>
      <c r="M458" s="80" t="str">
        <f t="shared" si="43"/>
        <v/>
      </c>
      <c r="N458" s="45" t="str">
        <f>IF(LEN($K458)-LEN(SUBSTITUTE($K458,",",""))=1,VLOOKUP(INT(RIGHT($K458,LEN($K458)-FIND(",",$K458))),[3]Sheet1!$A:$C,3,0),"")</f>
        <v/>
      </c>
      <c r="O458" s="45" t="str">
        <f t="shared" si="40"/>
        <v/>
      </c>
      <c r="P458" s="45" t="str">
        <f t="shared" si="36"/>
        <v/>
      </c>
      <c r="Q458" s="45" t="str">
        <f t="shared" si="41"/>
        <v/>
      </c>
      <c r="R458" s="45"/>
      <c r="S458" s="45" t="str">
        <f>IF(ISERROR($Q458),"进阶+"&amp;COUNTIF($E$194:$E458,$E458)&amp;"："&amp;"找ZC配技能","进阶+"&amp;COUNTIF($E$194:$E458,$E458)&amp;"："&amp;VLOOKUP(COUNTIF($E$194:$E458,$E458),$L$184:$R$193,IF(H458=1,4,IF(H458=4,3,2))+IF(INDEX([1]Sheet1!$1:$1048576,MATCH($E458,[1]Sheet1!$A:$A,0),MATCH("zizhi",[1]Sheet1!$2:$2,0))&gt;=13,0,3),0)&amp;IF($Q458="","","（"&amp;$Q458&amp;"）"))</f>
        <v>进阶+5：攻击提高15%</v>
      </c>
      <c r="T458" s="1"/>
      <c r="U458" s="1"/>
      <c r="V458" s="2" t="str">
        <f>VLOOKUP(COUNTIF($E$194:$E458,$E458),$L$184:$X$193,IF(H458=1,4,IF(H458=4,3,2))+IF(INDEX([1]Sheet1!$1:$1048576,MATCH($E458,[1]Sheet1!$A:$A,0),MATCH("zizhi",[1]Sheet1!$2:$2,0))&gt;=13,0,3)+6,0)</f>
        <v>11055</v>
      </c>
      <c r="W458" s="2" t="str">
        <f t="shared" si="39"/>
        <v>进阶+5：攻击提高15%</v>
      </c>
      <c r="X458" s="45" t="str">
        <f t="shared" si="37"/>
        <v>11055</v>
      </c>
      <c r="Y458" s="2"/>
      <c r="Z458" s="2"/>
      <c r="AA458" s="2"/>
    </row>
    <row r="459" spans="1:27" ht="33">
      <c r="A459" s="10">
        <f>E459*100+COUNTIF($E$194:$E459,$E459)</f>
        <v>113506</v>
      </c>
      <c r="B459" s="68" t="s">
        <v>2037</v>
      </c>
      <c r="C459" s="50" t="s">
        <v>2</v>
      </c>
      <c r="D459" s="10">
        <f t="shared" si="42"/>
        <v>1</v>
      </c>
      <c r="E459" s="45">
        <f>INDEX($I:$I,MATCH($E458,$I:$I,0)+IF(COUNTIF($E$194:$E458,$E458)&lt;=VLOOKUP($E458,$I$134:$K$193,3,0)-1,0,1),0)</f>
        <v>1135</v>
      </c>
      <c r="F459" s="45" t="str">
        <f t="shared" si="38"/>
        <v>东海龙王</v>
      </c>
      <c r="G459" s="45" t="s">
        <v>218</v>
      </c>
      <c r="H459" s="45">
        <f>VLOOKUP($E459,[1]Sheet1!$A:$G,7,0)</f>
        <v>4</v>
      </c>
      <c r="I459" s="45" t="str">
        <f>IF($G459="","",IF(COUNTIF(技能描述!$D:$D,$F459)&gt;0,VLOOKUP($F459&amp;$G459,技能描述!$A:$C,3,0),LEFT(VLOOKUP($E459,[1]Sheet1!$A:$J,10,0),FIND("_",VLOOKUP($E459,[1]Sheet1!$A:$J,10,0))-1)&amp;$G459))</f>
        <v>donghailongwang_skill011</v>
      </c>
      <c r="J459" s="45" t="str">
        <f>IF($I459="","",VLOOKUP($I459,技能描述!$A:$C,3,0))</f>
        <v>召唤龙王千年龙鳞护体，降低全体友军受到的伤害@s，并进入霸体状态，持续3秒</v>
      </c>
      <c r="K459" s="45" t="str">
        <f>IF($I459="","",INDEX([2]Sheet1!$1:$1048576,MATCH($I459,[2]Sheet1!$A:$A,0),MATCH("description_damage",[2]Sheet1!$2:$2,0)))</f>
        <v>9030</v>
      </c>
      <c r="L459" s="80" t="str">
        <f>IF($K459="","",IF(LEN($K459)-LEN(SUBSTITUTE($K459,",",""))=0,VLOOKUP(INT($K459),[3]Sheet1!$A:$C,3,0),VLOOKUP(INT(LEFT($K459,FIND(",",$K459)-1)),[3]Sheet1!$A:$C,3,0)))</f>
        <v>4|3|0.3|0|1</v>
      </c>
      <c r="M459" s="80" t="str">
        <f t="shared" si="43"/>
        <v>30%</v>
      </c>
      <c r="N459" s="45" t="str">
        <f>IF(LEN($K459)-LEN(SUBSTITUTE($K459,",",""))=1,VLOOKUP(INT(RIGHT($K459,LEN($K459)-FIND(",",$K459))),[3]Sheet1!$A:$C,3,0),"")</f>
        <v/>
      </c>
      <c r="O459" s="45" t="str">
        <f t="shared" si="40"/>
        <v/>
      </c>
      <c r="P459" s="45" t="str">
        <f t="shared" si="36"/>
        <v>召唤龙王千年龙鳞护体，降低全体友军受到的伤害30%，并进入霸体状态，持续3秒</v>
      </c>
      <c r="Q459" s="45" t="str">
        <f t="shared" si="41"/>
        <v>召唤龙王千年龙鳞护体，降低全体友军受到的伤害30%，并进入霸体状态，持续3秒</v>
      </c>
      <c r="R459" s="45"/>
      <c r="S459" s="45" t="str">
        <f>IF(ISERROR($Q459),"进阶+"&amp;COUNTIF($E$194:$E459,$E459)&amp;"："&amp;"找ZC配技能","进阶+"&amp;COUNTIF($E$194:$E459,$E459)&amp;"："&amp;VLOOKUP(COUNTIF($E$194:$E459,$E459),$L$184:$R$193,IF(H459=1,4,IF(H459=4,3,2))+IF(INDEX([1]Sheet1!$1:$1048576,MATCH($E459,[1]Sheet1!$A:$A,0),MATCH("zizhi",[1]Sheet1!$2:$2,0))&gt;=13,0,3),0)&amp;IF($Q459="","","（"&amp;$Q459&amp;"）"))</f>
        <v>进阶+6：增强主角技能（召唤龙王千年龙鳞护体，降低全体友军受到的伤害30%，并进入霸体状态，持续3秒）</v>
      </c>
      <c r="T459" s="1"/>
      <c r="U459" s="1"/>
      <c r="V459" s="2" t="str">
        <f>VLOOKUP(COUNTIF($E$194:$E459,$E459),$L$184:$X$193,IF(H459=1,4,IF(H459=4,3,2))+IF(INDEX([1]Sheet1!$1:$1048576,MATCH($E459,[1]Sheet1!$A:$A,0),MATCH("zizhi",[1]Sheet1!$2:$2,0))&gt;=13,0,3)+6,0)</f>
        <v>[]</v>
      </c>
      <c r="W459" s="2" t="str">
        <f t="shared" si="39"/>
        <v>进阶+6：增强主角技能（召唤龙王千年龙鳞护体，降低全体友军受到的伤害30%，并进入霸体状态，持续3秒）</v>
      </c>
      <c r="X459" s="45" t="str">
        <f t="shared" si="37"/>
        <v>[]</v>
      </c>
      <c r="Y459" s="2"/>
      <c r="Z459" s="2"/>
      <c r="AA459" s="2"/>
    </row>
    <row r="460" spans="1:27">
      <c r="A460" s="10">
        <f>E460*100+COUNTIF($E$194:$E460,$E460)</f>
        <v>113507</v>
      </c>
      <c r="B460" s="68" t="s">
        <v>360</v>
      </c>
      <c r="C460" s="50" t="s">
        <v>354</v>
      </c>
      <c r="D460" s="10" t="str">
        <f t="shared" si="42"/>
        <v>[]</v>
      </c>
      <c r="E460" s="45">
        <f>INDEX($I:$I,MATCH($E459,$I:$I,0)+IF(COUNTIF($E$194:$E459,$E459)&lt;=VLOOKUP($E459,$I$134:$K$193,3,0)-1,0,1),0)</f>
        <v>1135</v>
      </c>
      <c r="F460" s="45" t="str">
        <f t="shared" si="38"/>
        <v>东海龙王</v>
      </c>
      <c r="H460" s="45">
        <f>VLOOKUP($E460,[1]Sheet1!$A:$G,7,0)</f>
        <v>4</v>
      </c>
      <c r="I460" s="45" t="str">
        <f>IF($G460="","",IF(COUNTIF(技能描述!$D:$D,$F460)&gt;0,VLOOKUP($F460&amp;$G460,技能描述!$A:$C,3,0),LEFT(VLOOKUP($E460,[1]Sheet1!$A:$J,10,0),FIND("_",VLOOKUP($E460,[1]Sheet1!$A:$J,10,0))-1)&amp;$G460))</f>
        <v/>
      </c>
      <c r="J460" s="45" t="str">
        <f>IF($I460="","",VLOOKUP($I460,技能描述!$A:$C,3,0))</f>
        <v/>
      </c>
      <c r="K460" s="45" t="str">
        <f>IF($I460="","",INDEX([2]Sheet1!$1:$1048576,MATCH($I460,[2]Sheet1!$A:$A,0),MATCH("description_damage",[2]Sheet1!$2:$2,0)))</f>
        <v/>
      </c>
      <c r="L460" s="80" t="str">
        <f>IF($K460="","",IF(LEN($K460)-LEN(SUBSTITUTE($K460,",",""))=0,VLOOKUP(INT($K460),[3]Sheet1!$A:$C,3,0),VLOOKUP(INT(LEFT($K460,FIND(",",$K460)-1)),[3]Sheet1!$A:$C,3,0)))</f>
        <v/>
      </c>
      <c r="M460" s="80" t="str">
        <f t="shared" si="43"/>
        <v/>
      </c>
      <c r="N460" s="45" t="str">
        <f>IF(LEN($K460)-LEN(SUBSTITUTE($K460,",",""))=1,VLOOKUP(INT(RIGHT($K460,LEN($K460)-FIND(",",$K460))),[3]Sheet1!$A:$C,3,0),"")</f>
        <v/>
      </c>
      <c r="O460" s="45" t="str">
        <f t="shared" si="40"/>
        <v/>
      </c>
      <c r="P460" s="45" t="str">
        <f t="shared" si="36"/>
        <v/>
      </c>
      <c r="Q460" s="45" t="str">
        <f t="shared" si="41"/>
        <v/>
      </c>
      <c r="R460" s="45"/>
      <c r="S460" s="45" t="str">
        <f>IF(ISERROR($Q460),"进阶+"&amp;COUNTIF($E$194:$E460,$E460)&amp;"："&amp;"找ZC配技能","进阶+"&amp;COUNTIF($E$194:$E460,$E460)&amp;"："&amp;VLOOKUP(COUNTIF($E$194:$E460,$E460),$L$184:$R$193,IF(H460=1,4,IF(H460=4,3,2))+IF(INDEX([1]Sheet1!$1:$1048576,MATCH($E460,[1]Sheet1!$A:$A,0),MATCH("zizhi",[1]Sheet1!$2:$2,0))&gt;=13,0,3),0)&amp;IF($Q460="","","（"&amp;$Q460&amp;"）"))</f>
        <v>进阶+7：全队生命，防御提高10%</v>
      </c>
      <c r="T460" s="1"/>
      <c r="U460" s="1"/>
      <c r="V460" s="2" t="str">
        <f>VLOOKUP(COUNTIF($E$194:$E460,$E460),$L$184:$X$193,IF(H460=1,4,IF(H460=4,3,2))+IF(INDEX([1]Sheet1!$1:$1048576,MATCH($E460,[1]Sheet1!$A:$A,0),MATCH("zizhi",[1]Sheet1!$2:$2,0))&gt;=13,0,3)+6,0)</f>
        <v>57010,59010,60010</v>
      </c>
      <c r="W460" s="2" t="str">
        <f t="shared" si="39"/>
        <v>进阶+7：全队生命，防御提高10%</v>
      </c>
      <c r="X460" s="45" t="str">
        <f t="shared" si="37"/>
        <v>57010,59010,60010</v>
      </c>
      <c r="Y460" s="2"/>
      <c r="Z460" s="2"/>
      <c r="AA460" s="2"/>
    </row>
    <row r="461" spans="1:27" ht="33">
      <c r="A461" s="10">
        <f>E461*100+COUNTIF($E$194:$E461,$E461)</f>
        <v>113508</v>
      </c>
      <c r="B461" s="68" t="s">
        <v>2038</v>
      </c>
      <c r="C461" s="50" t="s">
        <v>2</v>
      </c>
      <c r="D461" s="10">
        <f t="shared" si="42"/>
        <v>1</v>
      </c>
      <c r="E461" s="45">
        <f>INDEX($I:$I,MATCH($E460,$I:$I,0)+IF(COUNTIF($E$194:$E460,$E460)&lt;=VLOOKUP($E460,$I$134:$K$193,3,0)-1,0,1),0)</f>
        <v>1135</v>
      </c>
      <c r="F461" s="45" t="str">
        <f t="shared" si="38"/>
        <v>东海龙王</v>
      </c>
      <c r="G461" s="45" t="s">
        <v>219</v>
      </c>
      <c r="H461" s="45">
        <f>VLOOKUP($E461,[1]Sheet1!$A:$G,7,0)</f>
        <v>4</v>
      </c>
      <c r="I461" s="45" t="str">
        <f>IF($G461="","",IF(COUNTIF(技能描述!$D:$D,$F461)&gt;0,VLOOKUP($F461&amp;$G461,技能描述!$A:$C,3,0),LEFT(VLOOKUP($E461,[1]Sheet1!$A:$J,10,0),FIND("_",VLOOKUP($E461,[1]Sheet1!$A:$J,10,0))-1)&amp;$G461))</f>
        <v>donghailongwang_skill021</v>
      </c>
      <c r="J461" s="45" t="str">
        <f>IF($I461="","",VLOOKUP($I461,技能描述!$A:$C,3,0))</f>
        <v>东海龙王向前方发射水炮，对范围内敌人造成自身攻击力@s的物伤，40%几率冰冻目标2秒</v>
      </c>
      <c r="K461" s="45" t="str">
        <f>IF($I461="","",INDEX([2]Sheet1!$1:$1048576,MATCH($I461,[2]Sheet1!$A:$A,0),MATCH("description_damage",[2]Sheet1!$2:$2,0)))</f>
        <v>113506</v>
      </c>
      <c r="L461" s="80" t="str">
        <f>IF($K461="","",IF(LEN($K461)-LEN(SUBSTITUTE($K461,",",""))=0,VLOOKUP(INT($K461),[3]Sheet1!$A:$C,3,0),VLOOKUP(INT(LEFT($K461,FIND(",",$K461)-1)),[3]Sheet1!$A:$C,3,0)))</f>
        <v>2|1|3.42|0|0|0</v>
      </c>
      <c r="M461" s="80" t="str">
        <f t="shared" si="43"/>
        <v>342%</v>
      </c>
      <c r="N461" s="45" t="str">
        <f>IF(LEN($K461)-LEN(SUBSTITUTE($K461,",",""))=1,VLOOKUP(INT(RIGHT($K461,LEN($K461)-FIND(",",$K461))),[3]Sheet1!$A:$C,3,0),"")</f>
        <v/>
      </c>
      <c r="O461" s="45" t="str">
        <f t="shared" si="40"/>
        <v/>
      </c>
      <c r="P461" s="45" t="str">
        <f t="shared" si="36"/>
        <v>东海龙王向前方发射水炮，对范围内敌人造成自身攻击力342%的物伤，40%几率冰冻目标2秒</v>
      </c>
      <c r="Q461" s="45" t="str">
        <f t="shared" si="41"/>
        <v>东海龙王向前方发射水炮，对范围内敌人造成自身攻击力342%的物伤，40%几率冰冻目标2秒</v>
      </c>
      <c r="R461" s="45"/>
      <c r="S461" s="45" t="str">
        <f>IF(ISERROR($Q461),"进阶+"&amp;COUNTIF($E$194:$E461,$E461)&amp;"："&amp;"找ZC配技能","进阶+"&amp;COUNTIF($E$194:$E461,$E461)&amp;"："&amp;VLOOKUP(COUNTIF($E$194:$E461,$E461),$L$184:$R$193,IF(H461=1,4,IF(H461=4,3,2))+IF(INDEX([1]Sheet1!$1:$1048576,MATCH($E461,[1]Sheet1!$A:$A,0),MATCH("zizhi",[1]Sheet1!$2:$2,0))&gt;=13,0,3),0)&amp;IF($Q461="","","（"&amp;$Q461&amp;"）"))</f>
        <v>进阶+8：增强AI1技能（东海龙王向前方发射水炮，对范围内敌人造成自身攻击力342%的物伤，40%几率冰冻目标2秒）</v>
      </c>
      <c r="T461" s="1"/>
      <c r="U461" s="1"/>
      <c r="V461" s="2" t="str">
        <f>VLOOKUP(COUNTIF($E$194:$E461,$E461),$L$184:$X$193,IF(H461=1,4,IF(H461=4,3,2))+IF(INDEX([1]Sheet1!$1:$1048576,MATCH($E461,[1]Sheet1!$A:$A,0),MATCH("zizhi",[1]Sheet1!$2:$2,0))&gt;=13,0,3)+6,0)</f>
        <v>[]</v>
      </c>
      <c r="W461" s="2" t="str">
        <f t="shared" si="39"/>
        <v>进阶+8：增强AI1技能（东海龙王向前方发射水炮，对范围内敌人造成自身攻击力342%的物伤，40%几率冰冻目标2秒）</v>
      </c>
      <c r="X461" s="45" t="str">
        <f t="shared" si="37"/>
        <v>[]</v>
      </c>
      <c r="Y461" s="2"/>
      <c r="Z461" s="2"/>
      <c r="AA461" s="2"/>
    </row>
    <row r="462" spans="1:27">
      <c r="A462" s="10">
        <f>E462*100+COUNTIF($E$194:$E462,$E462)</f>
        <v>113509</v>
      </c>
      <c r="B462" s="68" t="s">
        <v>1902</v>
      </c>
      <c r="C462" s="50" t="s">
        <v>357</v>
      </c>
      <c r="D462" s="10" t="str">
        <f t="shared" si="42"/>
        <v>[]</v>
      </c>
      <c r="E462" s="45">
        <f>INDEX($I:$I,MATCH($E461,$I:$I,0)+IF(COUNTIF($E$194:$E461,$E461)&lt;=VLOOKUP($E461,$I$134:$K$193,3,0)-1,0,1),0)</f>
        <v>1135</v>
      </c>
      <c r="F462" s="45" t="str">
        <f t="shared" si="38"/>
        <v>东海龙王</v>
      </c>
      <c r="H462" s="45">
        <f>VLOOKUP($E462,[1]Sheet1!$A:$G,7,0)</f>
        <v>4</v>
      </c>
      <c r="I462" s="45" t="str">
        <f>IF($G462="","",IF(COUNTIF(技能描述!$D:$D,$F462)&gt;0,VLOOKUP($F462&amp;$G462,技能描述!$A:$C,3,0),LEFT(VLOOKUP($E462,[1]Sheet1!$A:$J,10,0),FIND("_",VLOOKUP($E462,[1]Sheet1!$A:$J,10,0))-1)&amp;$G462))</f>
        <v/>
      </c>
      <c r="J462" s="45" t="str">
        <f>IF($I462="","",VLOOKUP($I462,技能描述!$A:$C,3,0))</f>
        <v/>
      </c>
      <c r="K462" s="45" t="str">
        <f>IF($I462="","",INDEX([2]Sheet1!$1:$1048576,MATCH($I462,[2]Sheet1!$A:$A,0),MATCH("description_damage",[2]Sheet1!$2:$2,0)))</f>
        <v/>
      </c>
      <c r="L462" s="80" t="str">
        <f>IF($K462="","",IF(LEN($K462)-LEN(SUBSTITUTE($K462,",",""))=0,VLOOKUP(INT($K462),[3]Sheet1!$A:$C,3,0),VLOOKUP(INT(LEFT($K462,FIND(",",$K462)-1)),[3]Sheet1!$A:$C,3,0)))</f>
        <v/>
      </c>
      <c r="M462" s="80" t="str">
        <f t="shared" si="43"/>
        <v/>
      </c>
      <c r="N462" s="45" t="str">
        <f>IF(LEN($K462)-LEN(SUBSTITUTE($K462,",",""))=1,VLOOKUP(INT(RIGHT($K462,LEN($K462)-FIND(",",$K462))),[3]Sheet1!$A:$C,3,0),"")</f>
        <v/>
      </c>
      <c r="O462" s="45" t="str">
        <f t="shared" si="40"/>
        <v/>
      </c>
      <c r="P462" s="45" t="str">
        <f t="shared" si="36"/>
        <v/>
      </c>
      <c r="Q462" s="45" t="str">
        <f t="shared" si="41"/>
        <v/>
      </c>
      <c r="R462" s="45"/>
      <c r="S462" s="45" t="str">
        <f>IF(ISERROR($Q462),"进阶+"&amp;COUNTIF($E$194:$E462,$E462)&amp;"："&amp;"找ZC配技能","进阶+"&amp;COUNTIF($E$194:$E462,$E462)&amp;"："&amp;VLOOKUP(COUNTIF($E$194:$E462,$E462),$L$184:$R$193,IF(H462=1,4,IF(H462=4,3,2))+IF(INDEX([1]Sheet1!$1:$1048576,MATCH($E462,[1]Sheet1!$A:$A,0),MATCH("zizhi",[1]Sheet1!$2:$2,0))&gt;=13,0,3),0)&amp;IF($Q462="","","（"&amp;$Q462&amp;"）"))</f>
        <v>进阶+9：全队生命，防御提高15%</v>
      </c>
      <c r="T462" s="1"/>
      <c r="U462" s="1"/>
      <c r="V462" s="2" t="str">
        <f>VLOOKUP(COUNTIF($E$194:$E462,$E462),$L$184:$X$193,IF(H462=1,4,IF(H462=4,3,2))+IF(INDEX([1]Sheet1!$1:$1048576,MATCH($E462,[1]Sheet1!$A:$A,0),MATCH("zizhi",[1]Sheet1!$2:$2,0))&gt;=13,0,3)+6,0)</f>
        <v>57015,59015,60015</v>
      </c>
      <c r="W462" s="2" t="str">
        <f t="shared" si="39"/>
        <v>进阶+9：全队生命，防御提高15%</v>
      </c>
      <c r="X462" s="45" t="str">
        <f t="shared" si="37"/>
        <v>57015,59015,60015</v>
      </c>
      <c r="Y462" s="2"/>
      <c r="Z462" s="2"/>
      <c r="AA462" s="2"/>
    </row>
    <row r="463" spans="1:27" ht="33">
      <c r="A463" s="10">
        <f>E463*100+COUNTIF($E$194:$E463,$E463)</f>
        <v>113510</v>
      </c>
      <c r="B463" s="68" t="s">
        <v>1920</v>
      </c>
      <c r="C463" s="50" t="s">
        <v>2</v>
      </c>
      <c r="D463" s="10">
        <f t="shared" si="42"/>
        <v>1</v>
      </c>
      <c r="E463" s="45">
        <f>INDEX($I:$I,MATCH($E462,$I:$I,0)+IF(COUNTIF($E$194:$E462,$E462)&lt;=VLOOKUP($E462,$I$134:$K$193,3,0)-1,0,1),0)</f>
        <v>1135</v>
      </c>
      <c r="F463" s="45" t="str">
        <f t="shared" si="38"/>
        <v>东海龙王</v>
      </c>
      <c r="G463" s="45" t="s">
        <v>220</v>
      </c>
      <c r="H463" s="45">
        <f>VLOOKUP($E463,[1]Sheet1!$A:$G,7,0)</f>
        <v>4</v>
      </c>
      <c r="I463" s="45" t="str">
        <f>IF($G463="","",IF(COUNTIF(技能描述!$D:$D,$F463)&gt;0,VLOOKUP($F463&amp;$G463,技能描述!$A:$C,3,0),LEFT(VLOOKUP($E463,[1]Sheet1!$A:$J,10,0),FIND("_",VLOOKUP($E463,[1]Sheet1!$A:$J,10,0))-1)&amp;$G463))</f>
        <v>donghailongwang_skill041</v>
      </c>
      <c r="J463" s="45" t="str">
        <f>IF($I463="","",VLOOKUP($I463,技能描述!$A:$C,3,0))</f>
        <v>东海龙王操控海水，对范围内敌人造成自身攻击力@s的物伤</v>
      </c>
      <c r="K463" s="45" t="str">
        <f>IF($I463="","",INDEX([2]Sheet1!$1:$1048576,MATCH($I463,[2]Sheet1!$A:$A,0),MATCH("description_damage",[2]Sheet1!$2:$2,0)))</f>
        <v>113507</v>
      </c>
      <c r="L463" s="80" t="str">
        <f>IF($K463="","",IF(LEN($K463)-LEN(SUBSTITUTE($K463,",",""))=0,VLOOKUP(INT($K463),[3]Sheet1!$A:$C,3,0),VLOOKUP(INT(LEFT($K463,FIND(",",$K463)-1)),[3]Sheet1!$A:$C,3,0)))</f>
        <v>2|1|2|0|0|0</v>
      </c>
      <c r="M463" s="80" t="str">
        <f t="shared" si="43"/>
        <v>200%</v>
      </c>
      <c r="N463" s="45" t="str">
        <f>IF(LEN($K463)-LEN(SUBSTITUTE($K463,",",""))=1,VLOOKUP(INT(RIGHT($K463,LEN($K463)-FIND(",",$K463))),[3]Sheet1!$A:$C,3,0),"")</f>
        <v/>
      </c>
      <c r="O463" s="45" t="str">
        <f t="shared" si="40"/>
        <v/>
      </c>
      <c r="P463" s="45" t="str">
        <f t="shared" si="36"/>
        <v>东海龙王操控海水，对范围内敌人造成自身攻击力200%的物伤</v>
      </c>
      <c r="Q463" s="45" t="str">
        <f t="shared" si="41"/>
        <v>东海龙王操控海水，对范围内敌人造成自身攻击力200%的物伤</v>
      </c>
      <c r="R463" s="45"/>
      <c r="S463" s="45" t="str">
        <f>IF(ISERROR($Q463),"进阶+"&amp;COUNTIF($E$194:$E463,$E463)&amp;"："&amp;"找ZC配技能","进阶+"&amp;COUNTIF($E$194:$E463,$E463)&amp;"："&amp;VLOOKUP(COUNTIF($E$194:$E463,$E463),$L$184:$R$193,IF(H463=1,4,IF(H463=4,3,2))+IF(INDEX([1]Sheet1!$1:$1048576,MATCH($E463,[1]Sheet1!$A:$A,0),MATCH("zizhi",[1]Sheet1!$2:$2,0))&gt;=13,0,3),0)&amp;IF($Q463="","","（"&amp;$Q463&amp;"）"))</f>
        <v>进阶+10：增强AI2技能（东海龙王操控海水，对范围内敌人造成自身攻击力200%的物伤）</v>
      </c>
      <c r="T463" s="1"/>
      <c r="U463" s="1"/>
      <c r="V463" s="2" t="str">
        <f>VLOOKUP(COUNTIF($E$194:$E463,$E463),$L$184:$X$193,IF(H463=1,4,IF(H463=4,3,2))+IF(INDEX([1]Sheet1!$1:$1048576,MATCH($E463,[1]Sheet1!$A:$A,0),MATCH("zizhi",[1]Sheet1!$2:$2,0))&gt;=13,0,3)+6,0)</f>
        <v>[]</v>
      </c>
      <c r="W463" s="2" t="str">
        <f t="shared" si="39"/>
        <v>进阶+10：增强AI2技能（东海龙王操控海水，对范围内敌人造成自身攻击力200%的物伤）</v>
      </c>
      <c r="X463" s="45" t="str">
        <f t="shared" si="37"/>
        <v>[]</v>
      </c>
      <c r="Y463" s="2"/>
      <c r="Z463" s="2"/>
      <c r="AA463" s="2"/>
    </row>
    <row r="464" spans="1:27">
      <c r="A464" s="10">
        <f>E464*100+COUNTIF($E$194:$E464,$E464)</f>
        <v>113201</v>
      </c>
      <c r="B464" s="68" t="s">
        <v>319</v>
      </c>
      <c r="C464" s="50" t="s">
        <v>2086</v>
      </c>
      <c r="D464" s="10" t="str">
        <f t="shared" si="42"/>
        <v>[]</v>
      </c>
      <c r="E464" s="45">
        <f>INDEX($I:$I,MATCH($E463,$I:$I,0)+IF(COUNTIF($E$194:$E463,$E463)&lt;=VLOOKUP($E463,$I$134:$K$193,3,0)-1,0,1),0)</f>
        <v>1132</v>
      </c>
      <c r="F464" s="45" t="str">
        <f t="shared" si="38"/>
        <v>混世魔王</v>
      </c>
      <c r="H464" s="45">
        <f>VLOOKUP($E464,[1]Sheet1!$A:$G,7,0)</f>
        <v>4</v>
      </c>
      <c r="I464" s="45" t="str">
        <f>IF($G464="","",IF(COUNTIF(技能描述!$D:$D,$F464)&gt;0,VLOOKUP($F464&amp;$G464,技能描述!$A:$C,3,0),LEFT(VLOOKUP($E464,[1]Sheet1!$A:$J,10,0),FIND("_",VLOOKUP($E464,[1]Sheet1!$A:$J,10,0))-1)&amp;$G464))</f>
        <v/>
      </c>
      <c r="J464" s="45" t="str">
        <f>IF($I464="","",VLOOKUP($I464,技能描述!$A:$C,3,0))</f>
        <v/>
      </c>
      <c r="K464" s="45" t="str">
        <f>IF($I464="","",INDEX([2]Sheet1!$1:$1048576,MATCH($I464,[2]Sheet1!$A:$A,0),MATCH("description_damage",[2]Sheet1!$2:$2,0)))</f>
        <v/>
      </c>
      <c r="L464" s="80" t="str">
        <f>IF($K464="","",IF(LEN($K464)-LEN(SUBSTITUTE($K464,",",""))=0,VLOOKUP(INT($K464),[3]Sheet1!$A:$C,3,0),VLOOKUP(INT(LEFT($K464,FIND(",",$K464)-1)),[3]Sheet1!$A:$C,3,0)))</f>
        <v/>
      </c>
      <c r="M464" s="80" t="str">
        <f t="shared" si="43"/>
        <v/>
      </c>
      <c r="N464" s="45" t="str">
        <f>IF(LEN($K464)-LEN(SUBSTITUTE($K464,",",""))=1,VLOOKUP(INT(RIGHT($K464,LEN($K464)-FIND(",",$K464))),[3]Sheet1!$A:$C,3,0),"")</f>
        <v/>
      </c>
      <c r="O464" s="45" t="str">
        <f t="shared" si="40"/>
        <v/>
      </c>
      <c r="P464" s="45" t="str">
        <f t="shared" si="36"/>
        <v/>
      </c>
      <c r="Q464" s="45" t="str">
        <f t="shared" si="41"/>
        <v/>
      </c>
      <c r="R464" s="45"/>
      <c r="S464" s="45" t="str">
        <f>IF(ISERROR($Q464),"进阶+"&amp;COUNTIF($E$194:$E464,$E464)&amp;"："&amp;"找ZC配技能","进阶+"&amp;COUNTIF($E$194:$E464,$E464)&amp;"："&amp;VLOOKUP(COUNTIF($E$194:$E464,$E464),$L$184:$R$193,IF(H464=1,4,IF(H464=4,3,2))+IF(INDEX([1]Sheet1!$1:$1048576,MATCH($E464,[1]Sheet1!$A:$A,0),MATCH("zizhi",[1]Sheet1!$2:$2,0))&gt;=13,0,3),0)&amp;IF($Q464="","","（"&amp;$Q464&amp;"）"))</f>
        <v>进阶+1：生命提高10%</v>
      </c>
      <c r="T464" s="1"/>
      <c r="U464" s="1"/>
      <c r="V464" s="2" t="str">
        <f>VLOOKUP(COUNTIF($E$194:$E464,$E464),$L$184:$X$193,IF(H464=1,4,IF(H464=4,3,2))+IF(INDEX([1]Sheet1!$1:$1048576,MATCH($E464,[1]Sheet1!$A:$A,0),MATCH("zizhi",[1]Sheet1!$2:$2,0))&gt;=13,0,3)+6,0)</f>
        <v>11090</v>
      </c>
      <c r="W464" s="2" t="str">
        <f t="shared" si="39"/>
        <v>进阶+1：生命提高10%</v>
      </c>
      <c r="X464" s="45" t="str">
        <f t="shared" si="37"/>
        <v>11090</v>
      </c>
      <c r="Y464" s="2"/>
      <c r="Z464" s="2"/>
      <c r="AA464" s="2"/>
    </row>
    <row r="465" spans="1:27">
      <c r="A465" s="10">
        <f>E465*100+COUNTIF($E$194:$E465,$E465)</f>
        <v>113202</v>
      </c>
      <c r="B465" s="68" t="s">
        <v>340</v>
      </c>
      <c r="C465" s="50" t="s">
        <v>2</v>
      </c>
      <c r="D465" s="10">
        <f t="shared" si="42"/>
        <v>1</v>
      </c>
      <c r="E465" s="45">
        <f>INDEX($I:$I,MATCH($E464,$I:$I,0)+IF(COUNTIF($E$194:$E464,$E464)&lt;=VLOOKUP($E464,$I$134:$K$193,3,0)-1,0,1),0)</f>
        <v>1132</v>
      </c>
      <c r="F465" s="45" t="str">
        <f t="shared" si="38"/>
        <v>混世魔王</v>
      </c>
      <c r="G465" s="45" t="s">
        <v>216</v>
      </c>
      <c r="H465" s="45">
        <f>VLOOKUP($E465,[1]Sheet1!$A:$G,7,0)</f>
        <v>4</v>
      </c>
      <c r="I465" s="45" t="str">
        <f>IF($G465="","",IF(COUNTIF(技能描述!$D:$D,$F465)&gt;0,VLOOKUP($F465&amp;$G465,技能描述!$A:$C,3,0),LEFT(VLOOKUP($E465,[1]Sheet1!$A:$J,10,0),FIND("_",VLOOKUP($E465,[1]Sheet1!$A:$J,10,0))-1)&amp;$G465))</f>
        <v>hunshimowang_skill03</v>
      </c>
      <c r="J465" s="45" t="str">
        <f>IF($I465="","",VLOOKUP($I465,技能描述!$A:$C,3,0))</f>
        <v>进入战斗场景后，降低自身受到伤害@s</v>
      </c>
      <c r="K465" s="45" t="str">
        <f>IF($I465="","",INDEX([2]Sheet1!$1:$1048576,MATCH($I465,[2]Sheet1!$A:$A,0),MATCH("description_damage",[2]Sheet1!$2:$2,0)))</f>
        <v>9020</v>
      </c>
      <c r="L465" s="80" t="str">
        <f>IF($K465="","",IF(LEN($K465)-LEN(SUBSTITUTE($K465,",",""))=0,VLOOKUP(INT($K465),[3]Sheet1!$A:$C,3,0),VLOOKUP(INT(LEFT($K465,FIND(",",$K465)-1)),[3]Sheet1!$A:$C,3,0)))</f>
        <v>4|3|0.2|0|1</v>
      </c>
      <c r="M465" s="80" t="str">
        <f t="shared" si="43"/>
        <v>20%</v>
      </c>
      <c r="N465" s="45" t="str">
        <f>IF(LEN($K465)-LEN(SUBSTITUTE($K465,",",""))=1,VLOOKUP(INT(RIGHT($K465,LEN($K465)-FIND(",",$K465))),[3]Sheet1!$A:$C,3,0),"")</f>
        <v/>
      </c>
      <c r="O465" s="45" t="str">
        <f t="shared" si="40"/>
        <v/>
      </c>
      <c r="P465" s="45" t="str">
        <f t="shared" si="36"/>
        <v>进入战斗场景后，降低自身受到伤害20%</v>
      </c>
      <c r="Q465" s="45" t="str">
        <f t="shared" si="41"/>
        <v>进入战斗场景后，降低自身受到伤害20%</v>
      </c>
      <c r="R465" s="45"/>
      <c r="S465" s="45" t="str">
        <f>IF(ISERROR($Q465),"进阶+"&amp;COUNTIF($E$194:$E465,$E465)&amp;"："&amp;"找ZC配技能","进阶+"&amp;COUNTIF($E$194:$E465,$E465)&amp;"："&amp;VLOOKUP(COUNTIF($E$194:$E465,$E465),$L$184:$R$193,IF(H465=1,4,IF(H465=4,3,2))+IF(INDEX([1]Sheet1!$1:$1048576,MATCH($E465,[1]Sheet1!$A:$A,0),MATCH("zizhi",[1]Sheet1!$2:$2,0))&gt;=13,0,3),0)&amp;IF($Q465="","","（"&amp;$Q465&amp;"）"))</f>
        <v>进阶+2：激活被动技能（进入战斗场景后，降低自身受到伤害20%）</v>
      </c>
      <c r="T465" s="1"/>
      <c r="U465" s="1"/>
      <c r="V465" s="2" t="str">
        <f>VLOOKUP(COUNTIF($E$194:$E465,$E465),$L$184:$X$193,IF(H465=1,4,IF(H465=4,3,2))+IF(INDEX([1]Sheet1!$1:$1048576,MATCH($E465,[1]Sheet1!$A:$A,0),MATCH("zizhi",[1]Sheet1!$2:$2,0))&gt;=13,0,3)+6,0)</f>
        <v>[]</v>
      </c>
      <c r="W465" s="2" t="str">
        <f t="shared" si="39"/>
        <v>进阶+2：激活被动技能（进入战斗场景后，降低自身受到伤害20%）</v>
      </c>
      <c r="X465" s="45" t="str">
        <f t="shared" si="37"/>
        <v>[]</v>
      </c>
      <c r="Y465" s="2"/>
      <c r="Z465" s="2"/>
      <c r="AA465" s="2"/>
    </row>
    <row r="466" spans="1:27">
      <c r="A466" s="10">
        <f>E466*100+COUNTIF($E$194:$E466,$E466)</f>
        <v>113203</v>
      </c>
      <c r="B466" s="68" t="s">
        <v>324</v>
      </c>
      <c r="C466" s="50" t="s">
        <v>140</v>
      </c>
      <c r="D466" s="10" t="str">
        <f t="shared" si="42"/>
        <v>[]</v>
      </c>
      <c r="E466" s="45">
        <f>INDEX($I:$I,MATCH($E465,$I:$I,0)+IF(COUNTIF($E$194:$E465,$E465)&lt;=VLOOKUP($E465,$I$134:$K$193,3,0)-1,0,1),0)</f>
        <v>1132</v>
      </c>
      <c r="F466" s="45" t="str">
        <f t="shared" si="38"/>
        <v>混世魔王</v>
      </c>
      <c r="H466" s="45">
        <f>VLOOKUP($E466,[1]Sheet1!$A:$G,7,0)</f>
        <v>4</v>
      </c>
      <c r="I466" s="45" t="str">
        <f>IF($G466="","",IF(COUNTIF(技能描述!$D:$D,$F466)&gt;0,VLOOKUP($F466&amp;$G466,技能描述!$A:$C,3,0),LEFT(VLOOKUP($E466,[1]Sheet1!$A:$J,10,0),FIND("_",VLOOKUP($E466,[1]Sheet1!$A:$J,10,0))-1)&amp;$G466))</f>
        <v/>
      </c>
      <c r="J466" s="45" t="str">
        <f>IF($I466="","",VLOOKUP($I466,技能描述!$A:$C,3,0))</f>
        <v/>
      </c>
      <c r="K466" s="45" t="str">
        <f>IF($I466="","",INDEX([2]Sheet1!$1:$1048576,MATCH($I466,[2]Sheet1!$A:$A,0),MATCH("description_damage",[2]Sheet1!$2:$2,0)))</f>
        <v/>
      </c>
      <c r="L466" s="80" t="str">
        <f>IF($K466="","",IF(LEN($K466)-LEN(SUBSTITUTE($K466,",",""))=0,VLOOKUP(INT($K466),[3]Sheet1!$A:$C,3,0),VLOOKUP(INT(LEFT($K466,FIND(",",$K466)-1)),[3]Sheet1!$A:$C,3,0)))</f>
        <v/>
      </c>
      <c r="M466" s="80" t="str">
        <f t="shared" si="43"/>
        <v/>
      </c>
      <c r="N466" s="45" t="str">
        <f>IF(LEN($K466)-LEN(SUBSTITUTE($K466,",",""))=1,VLOOKUP(INT(RIGHT($K466,LEN($K466)-FIND(",",$K466))),[3]Sheet1!$A:$C,3,0),"")</f>
        <v/>
      </c>
      <c r="O466" s="45" t="str">
        <f t="shared" si="40"/>
        <v/>
      </c>
      <c r="P466" s="45" t="str">
        <f t="shared" si="36"/>
        <v/>
      </c>
      <c r="Q466" s="45" t="str">
        <f t="shared" si="41"/>
        <v/>
      </c>
      <c r="R466" s="45"/>
      <c r="S466" s="45" t="str">
        <f>IF(ISERROR($Q466),"进阶+"&amp;COUNTIF($E$194:$E466,$E466)&amp;"："&amp;"找ZC配技能","进阶+"&amp;COUNTIF($E$194:$E466,$E466)&amp;"："&amp;VLOOKUP(COUNTIF($E$194:$E466,$E466),$L$184:$R$193,IF(H466=1,4,IF(H466=4,3,2))+IF(INDEX([1]Sheet1!$1:$1048576,MATCH($E466,[1]Sheet1!$A:$A,0),MATCH("zizhi",[1]Sheet1!$2:$2,0))&gt;=13,0,3),0)&amp;IF($Q466="","","（"&amp;$Q466&amp;"）"))</f>
        <v>进阶+3：生命，防御提高10%</v>
      </c>
      <c r="T466" s="1"/>
      <c r="U466" s="1"/>
      <c r="V466" s="2" t="str">
        <f>VLOOKUP(COUNTIF($E$194:$E466,$E466),$L$184:$X$193,IF(H466=1,4,IF(H466=4,3,2))+IF(INDEX([1]Sheet1!$1:$1048576,MATCH($E466,[1]Sheet1!$A:$A,0),MATCH("zizhi",[1]Sheet1!$2:$2,0))&gt;=13,0,3)+6,0)</f>
        <v>11090,6502,6512</v>
      </c>
      <c r="W466" s="2" t="str">
        <f t="shared" si="39"/>
        <v>进阶+3：生命，防御提高10%</v>
      </c>
      <c r="X466" s="45" t="str">
        <f t="shared" si="37"/>
        <v>11090,6502,6512</v>
      </c>
      <c r="Y466" s="2"/>
      <c r="Z466" s="2"/>
      <c r="AA466" s="2"/>
    </row>
    <row r="467" spans="1:27" ht="33">
      <c r="A467" s="10">
        <f>E467*100+COUNTIF($E$194:$E467,$E467)</f>
        <v>113204</v>
      </c>
      <c r="B467" s="68" t="s">
        <v>1971</v>
      </c>
      <c r="C467" s="50" t="s">
        <v>2</v>
      </c>
      <c r="D467" s="10">
        <f t="shared" si="42"/>
        <v>1</v>
      </c>
      <c r="E467" s="45">
        <f>INDEX($I:$I,MATCH($E466,$I:$I,0)+IF(COUNTIF($E$194:$E466,$E466)&lt;=VLOOKUP($E466,$I$134:$K$193,3,0)-1,0,1),0)</f>
        <v>1132</v>
      </c>
      <c r="F467" s="45" t="str">
        <f t="shared" si="38"/>
        <v>混世魔王</v>
      </c>
      <c r="G467" s="45" t="s">
        <v>217</v>
      </c>
      <c r="H467" s="45">
        <f>VLOOKUP($E467,[1]Sheet1!$A:$G,7,0)</f>
        <v>4</v>
      </c>
      <c r="I467" s="45" t="str">
        <f>IF($G467="","",IF(COUNTIF(技能描述!$D:$D,$F467)&gt;0,VLOOKUP($F467&amp;$G467,技能描述!$A:$C,3,0),LEFT(VLOOKUP($E467,[1]Sheet1!$A:$J,10,0),FIND("_",VLOOKUP($E467,[1]Sheet1!$A:$J,10,0))-1)&amp;$G467))</f>
        <v>hunshimowang_skill04</v>
      </c>
      <c r="J467" s="45" t="str">
        <f>IF($I467="","",VLOOKUP($I467,技能描述!$A:$C,3,0))</f>
        <v>混世魔王发动短距离重逢，对范围内敌人造成自身攻击力@s的物伤，40%的概率撞晕对手</v>
      </c>
      <c r="K467" s="45" t="str">
        <f>IF($I467="","",INDEX([2]Sheet1!$1:$1048576,MATCH($I467,[2]Sheet1!$A:$A,0),MATCH("description_damage",[2]Sheet1!$2:$2,0)))</f>
        <v>113204</v>
      </c>
      <c r="L467" s="80" t="str">
        <f>IF($K467="","",IF(LEN($K467)-LEN(SUBSTITUTE($K467,",",""))=0,VLOOKUP(INT($K467),[3]Sheet1!$A:$C,3,0),VLOOKUP(INT(LEFT($K467,FIND(",",$K467)-1)),[3]Sheet1!$A:$C,3,0)))</f>
        <v>2|1|2.85|0|0|0</v>
      </c>
      <c r="M467" s="80" t="str">
        <f t="shared" si="43"/>
        <v>285%</v>
      </c>
      <c r="N467" s="45" t="str">
        <f>IF(LEN($K467)-LEN(SUBSTITUTE($K467,",",""))=1,VLOOKUP(INT(RIGHT($K467,LEN($K467)-FIND(",",$K467))),[3]Sheet1!$A:$C,3,0),"")</f>
        <v/>
      </c>
      <c r="O467" s="45" t="str">
        <f t="shared" si="40"/>
        <v/>
      </c>
      <c r="P467" s="45" t="str">
        <f t="shared" si="36"/>
        <v>混世魔王发动短距离重逢，对范围内敌人造成自身攻击力285%的物伤，40%的概率撞晕对手</v>
      </c>
      <c r="Q467" s="45" t="str">
        <f t="shared" si="41"/>
        <v>混世魔王发动短距离重逢，对范围内敌人造成自身攻击力285%的物伤，40%的概率撞晕对手</v>
      </c>
      <c r="R467" s="45"/>
      <c r="S467" s="45" t="str">
        <f>IF(ISERROR($Q467),"进阶+"&amp;COUNTIF($E$194:$E467,$E467)&amp;"："&amp;"找ZC配技能","进阶+"&amp;COUNTIF($E$194:$E467,$E467)&amp;"："&amp;VLOOKUP(COUNTIF($E$194:$E467,$E467),$L$184:$R$193,IF(H467=1,4,IF(H467=4,3,2))+IF(INDEX([1]Sheet1!$1:$1048576,MATCH($E467,[1]Sheet1!$A:$A,0),MATCH("zizhi",[1]Sheet1!$2:$2,0))&gt;=13,0,3),0)&amp;IF($Q467="","","（"&amp;$Q467&amp;"）"))</f>
        <v>进阶+4：激活AI2技能（混世魔王发动短距离重逢，对范围内敌人造成自身攻击力285%的物伤，40%的概率撞晕对手）</v>
      </c>
      <c r="T467" s="1"/>
      <c r="U467" s="1"/>
      <c r="V467" s="2" t="str">
        <f>VLOOKUP(COUNTIF($E$194:$E467,$E467),$L$184:$X$193,IF(H467=1,4,IF(H467=4,3,2))+IF(INDEX([1]Sheet1!$1:$1048576,MATCH($E467,[1]Sheet1!$A:$A,0),MATCH("zizhi",[1]Sheet1!$2:$2,0))&gt;=13,0,3)+6,0)</f>
        <v>[]</v>
      </c>
      <c r="W467" s="2" t="str">
        <f t="shared" si="39"/>
        <v>进阶+4：激活AI2技能（混世魔王发动短距离重逢，对范围内敌人造成自身攻击力285%的物伤，40%的概率撞晕对手）</v>
      </c>
      <c r="X467" s="45" t="str">
        <f t="shared" si="37"/>
        <v>[]</v>
      </c>
      <c r="Y467" s="2"/>
      <c r="Z467" s="2"/>
      <c r="AA467" s="2"/>
    </row>
    <row r="468" spans="1:27">
      <c r="A468" s="10">
        <f>E468*100+COUNTIF($E$194:$E468,$E468)</f>
        <v>113205</v>
      </c>
      <c r="B468" s="68" t="s">
        <v>320</v>
      </c>
      <c r="C468" s="50" t="s">
        <v>239</v>
      </c>
      <c r="D468" s="10" t="str">
        <f t="shared" si="42"/>
        <v>[]</v>
      </c>
      <c r="E468" s="45">
        <f>INDEX($I:$I,MATCH($E467,$I:$I,0)+IF(COUNTIF($E$194:$E467,$E467)&lt;=VLOOKUP($E467,$I$134:$K$193,3,0)-1,0,1),0)</f>
        <v>1132</v>
      </c>
      <c r="F468" s="45" t="str">
        <f t="shared" si="38"/>
        <v>混世魔王</v>
      </c>
      <c r="H468" s="45">
        <f>VLOOKUP($E468,[1]Sheet1!$A:$G,7,0)</f>
        <v>4</v>
      </c>
      <c r="I468" s="45" t="str">
        <f>IF($G468="","",IF(COUNTIF(技能描述!$D:$D,$F468)&gt;0,VLOOKUP($F468&amp;$G468,技能描述!$A:$C,3,0),LEFT(VLOOKUP($E468,[1]Sheet1!$A:$J,10,0),FIND("_",VLOOKUP($E468,[1]Sheet1!$A:$J,10,0))-1)&amp;$G468))</f>
        <v/>
      </c>
      <c r="J468" s="45" t="str">
        <f>IF($I468="","",VLOOKUP($I468,技能描述!$A:$C,3,0))</f>
        <v/>
      </c>
      <c r="K468" s="45" t="str">
        <f>IF($I468="","",INDEX([2]Sheet1!$1:$1048576,MATCH($I468,[2]Sheet1!$A:$A,0),MATCH("description_damage",[2]Sheet1!$2:$2,0)))</f>
        <v/>
      </c>
      <c r="L468" s="80" t="str">
        <f>IF($K468="","",IF(LEN($K468)-LEN(SUBSTITUTE($K468,",",""))=0,VLOOKUP(INT($K468),[3]Sheet1!$A:$C,3,0),VLOOKUP(INT(LEFT($K468,FIND(",",$K468)-1)),[3]Sheet1!$A:$C,3,0)))</f>
        <v/>
      </c>
      <c r="M468" s="80" t="str">
        <f t="shared" si="43"/>
        <v/>
      </c>
      <c r="N468" s="45" t="str">
        <f>IF(LEN($K468)-LEN(SUBSTITUTE($K468,",",""))=1,VLOOKUP(INT(RIGHT($K468,LEN($K468)-FIND(",",$K468))),[3]Sheet1!$A:$C,3,0),"")</f>
        <v/>
      </c>
      <c r="O468" s="45" t="str">
        <f t="shared" si="40"/>
        <v/>
      </c>
      <c r="P468" s="45" t="str">
        <f t="shared" si="36"/>
        <v/>
      </c>
      <c r="Q468" s="45" t="str">
        <f t="shared" si="41"/>
        <v/>
      </c>
      <c r="R468" s="45"/>
      <c r="S468" s="45" t="str">
        <f>IF(ISERROR($Q468),"进阶+"&amp;COUNTIF($E$194:$E468,$E468)&amp;"："&amp;"找ZC配技能","进阶+"&amp;COUNTIF($E$194:$E468,$E468)&amp;"："&amp;VLOOKUP(COUNTIF($E$194:$E468,$E468),$L$184:$R$193,IF(H468=1,4,IF(H468=4,3,2))+IF(INDEX([1]Sheet1!$1:$1048576,MATCH($E468,[1]Sheet1!$A:$A,0),MATCH("zizhi",[1]Sheet1!$2:$2,0))&gt;=13,0,3),0)&amp;IF($Q468="","","（"&amp;$Q468&amp;"）"))</f>
        <v>进阶+5：攻击提高15%</v>
      </c>
      <c r="T468" s="1"/>
      <c r="U468" s="1"/>
      <c r="V468" s="2" t="str">
        <f>VLOOKUP(COUNTIF($E$194:$E468,$E468),$L$184:$X$193,IF(H468=1,4,IF(H468=4,3,2))+IF(INDEX([1]Sheet1!$1:$1048576,MATCH($E468,[1]Sheet1!$A:$A,0),MATCH("zizhi",[1]Sheet1!$2:$2,0))&gt;=13,0,3)+6,0)</f>
        <v>11055</v>
      </c>
      <c r="W468" s="2" t="str">
        <f t="shared" si="39"/>
        <v>进阶+5：攻击提高15%</v>
      </c>
      <c r="X468" s="45" t="str">
        <f t="shared" si="37"/>
        <v>11055</v>
      </c>
      <c r="Y468" s="2"/>
      <c r="Z468" s="2"/>
      <c r="AA468" s="2"/>
    </row>
    <row r="469" spans="1:27" ht="33">
      <c r="A469" s="10">
        <f>E469*100+COUNTIF($E$194:$E469,$E469)</f>
        <v>113206</v>
      </c>
      <c r="B469" s="68" t="s">
        <v>2039</v>
      </c>
      <c r="C469" s="50" t="s">
        <v>2</v>
      </c>
      <c r="D469" s="10">
        <f t="shared" si="42"/>
        <v>1</v>
      </c>
      <c r="E469" s="45">
        <f>INDEX($I:$I,MATCH($E468,$I:$I,0)+IF(COUNTIF($E$194:$E468,$E468)&lt;=VLOOKUP($E468,$I$134:$K$193,3,0)-1,0,1),0)</f>
        <v>1132</v>
      </c>
      <c r="F469" s="45" t="str">
        <f t="shared" si="38"/>
        <v>混世魔王</v>
      </c>
      <c r="G469" s="45" t="s">
        <v>218</v>
      </c>
      <c r="H469" s="45">
        <f>VLOOKUP($E469,[1]Sheet1!$A:$G,7,0)</f>
        <v>4</v>
      </c>
      <c r="I469" s="45" t="str">
        <f>IF($G469="","",IF(COUNTIF(技能描述!$D:$D,$F469)&gt;0,VLOOKUP($F469&amp;$G469,技能描述!$A:$C,3,0),LEFT(VLOOKUP($E469,[1]Sheet1!$A:$J,10,0),FIND("_",VLOOKUP($E469,[1]Sheet1!$A:$J,10,0))-1)&amp;$G469))</f>
        <v>hunshimowang_skill011</v>
      </c>
      <c r="J469" s="45" t="str">
        <f>IF($I469="","",VLOOKUP($I469,技能描述!$A:$C,3,0))</f>
        <v>召唤沙石漩涡，对范围内敌人造成主角攻击力@s的物伤，并降低敌人@s命中率，持续3秒</v>
      </c>
      <c r="K469" s="45" t="str">
        <f>IF($I469="","",INDEX([2]Sheet1!$1:$1048576,MATCH($I469,[2]Sheet1!$A:$A,0),MATCH("description_damage",[2]Sheet1!$2:$2,0)))</f>
        <v>113205,9020</v>
      </c>
      <c r="L469" s="80" t="str">
        <f>IF($K469="","",IF(LEN($K469)-LEN(SUBSTITUTE($K469,",",""))=0,VLOOKUP(INT($K469),[3]Sheet1!$A:$C,3,0),VLOOKUP(INT(LEFT($K469,FIND(",",$K469)-1)),[3]Sheet1!$A:$C,3,0)))</f>
        <v>2|1|3.42|0|0|0</v>
      </c>
      <c r="M469" s="80" t="str">
        <f t="shared" si="43"/>
        <v>342%</v>
      </c>
      <c r="N469" s="45" t="str">
        <f>IF(LEN($K469)-LEN(SUBSTITUTE($K469,",",""))=1,VLOOKUP(INT(RIGHT($K469,LEN($K469)-FIND(",",$K469))),[3]Sheet1!$A:$C,3,0),"")</f>
        <v>4|3|0.2|0|1</v>
      </c>
      <c r="O469" s="45" t="str">
        <f t="shared" si="40"/>
        <v>20%</v>
      </c>
      <c r="P469" s="45" t="str">
        <f t="shared" si="36"/>
        <v>召唤沙石漩涡，对范围内敌人造成主角攻击力342%的物伤，并降低敌人@s命中率，持续3秒</v>
      </c>
      <c r="Q469" s="45" t="str">
        <f t="shared" si="41"/>
        <v>召唤沙石漩涡，对范围内敌人造成主角攻击力342%的物伤，并降低敌人20%命中率，持续3秒</v>
      </c>
      <c r="R469" s="45"/>
      <c r="S469" s="45" t="str">
        <f>IF(ISERROR($Q469),"进阶+"&amp;COUNTIF($E$194:$E469,$E469)&amp;"："&amp;"找ZC配技能","进阶+"&amp;COUNTIF($E$194:$E469,$E469)&amp;"："&amp;VLOOKUP(COUNTIF($E$194:$E469,$E469),$L$184:$R$193,IF(H469=1,4,IF(H469=4,3,2))+IF(INDEX([1]Sheet1!$1:$1048576,MATCH($E469,[1]Sheet1!$A:$A,0),MATCH("zizhi",[1]Sheet1!$2:$2,0))&gt;=13,0,3),0)&amp;IF($Q469="","","（"&amp;$Q469&amp;"）"))</f>
        <v>进阶+6：增强主角技能（召唤沙石漩涡，对范围内敌人造成主角攻击力342%的物伤，并降低敌人20%命中率，持续3秒）</v>
      </c>
      <c r="T469" s="1"/>
      <c r="U469" s="1"/>
      <c r="V469" s="2" t="str">
        <f>VLOOKUP(COUNTIF($E$194:$E469,$E469),$L$184:$X$193,IF(H469=1,4,IF(H469=4,3,2))+IF(INDEX([1]Sheet1!$1:$1048576,MATCH($E469,[1]Sheet1!$A:$A,0),MATCH("zizhi",[1]Sheet1!$2:$2,0))&gt;=13,0,3)+6,0)</f>
        <v>[]</v>
      </c>
      <c r="W469" s="2" t="str">
        <f t="shared" si="39"/>
        <v>进阶+6：增强主角技能（召唤沙石漩涡，对范围内敌人造成主角攻击力342%的物伤，并降低敌人20%命中率，持续3秒）</v>
      </c>
      <c r="X469" s="45" t="str">
        <f t="shared" si="37"/>
        <v>[]</v>
      </c>
      <c r="Y469" s="2"/>
      <c r="Z469" s="2"/>
      <c r="AA469" s="2"/>
    </row>
    <row r="470" spans="1:27">
      <c r="A470" s="10">
        <f>E470*100+COUNTIF($E$194:$E470,$E470)</f>
        <v>113207</v>
      </c>
      <c r="B470" s="68" t="s">
        <v>360</v>
      </c>
      <c r="C470" s="50" t="s">
        <v>354</v>
      </c>
      <c r="D470" s="10" t="str">
        <f t="shared" si="42"/>
        <v>[]</v>
      </c>
      <c r="E470" s="45">
        <f>INDEX($I:$I,MATCH($E469,$I:$I,0)+IF(COUNTIF($E$194:$E469,$E469)&lt;=VLOOKUP($E469,$I$134:$K$193,3,0)-1,0,1),0)</f>
        <v>1132</v>
      </c>
      <c r="F470" s="45" t="str">
        <f t="shared" si="38"/>
        <v>混世魔王</v>
      </c>
      <c r="H470" s="45">
        <f>VLOOKUP($E470,[1]Sheet1!$A:$G,7,0)</f>
        <v>4</v>
      </c>
      <c r="I470" s="45" t="str">
        <f>IF($G470="","",IF(COUNTIF(技能描述!$D:$D,$F470)&gt;0,VLOOKUP($F470&amp;$G470,技能描述!$A:$C,3,0),LEFT(VLOOKUP($E470,[1]Sheet1!$A:$J,10,0),FIND("_",VLOOKUP($E470,[1]Sheet1!$A:$J,10,0))-1)&amp;$G470))</f>
        <v/>
      </c>
      <c r="J470" s="45" t="str">
        <f>IF($I470="","",VLOOKUP($I470,技能描述!$A:$C,3,0))</f>
        <v/>
      </c>
      <c r="K470" s="45" t="str">
        <f>IF($I470="","",INDEX([2]Sheet1!$1:$1048576,MATCH($I470,[2]Sheet1!$A:$A,0),MATCH("description_damage",[2]Sheet1!$2:$2,0)))</f>
        <v/>
      </c>
      <c r="L470" s="80" t="str">
        <f>IF($K470="","",IF(LEN($K470)-LEN(SUBSTITUTE($K470,",",""))=0,VLOOKUP(INT($K470),[3]Sheet1!$A:$C,3,0),VLOOKUP(INT(LEFT($K470,FIND(",",$K470)-1)),[3]Sheet1!$A:$C,3,0)))</f>
        <v/>
      </c>
      <c r="M470" s="80" t="str">
        <f t="shared" si="43"/>
        <v/>
      </c>
      <c r="N470" s="45" t="str">
        <f>IF(LEN($K470)-LEN(SUBSTITUTE($K470,",",""))=1,VLOOKUP(INT(RIGHT($K470,LEN($K470)-FIND(",",$K470))),[3]Sheet1!$A:$C,3,0),"")</f>
        <v/>
      </c>
      <c r="O470" s="45" t="str">
        <f t="shared" si="40"/>
        <v/>
      </c>
      <c r="P470" s="45" t="str">
        <f t="shared" si="36"/>
        <v/>
      </c>
      <c r="Q470" s="45" t="str">
        <f t="shared" si="41"/>
        <v/>
      </c>
      <c r="R470" s="45"/>
      <c r="S470" s="45" t="str">
        <f>IF(ISERROR($Q470),"进阶+"&amp;COUNTIF($E$194:$E470,$E470)&amp;"："&amp;"找ZC配技能","进阶+"&amp;COUNTIF($E$194:$E470,$E470)&amp;"："&amp;VLOOKUP(COUNTIF($E$194:$E470,$E470),$L$184:$R$193,IF(H470=1,4,IF(H470=4,3,2))+IF(INDEX([1]Sheet1!$1:$1048576,MATCH($E470,[1]Sheet1!$A:$A,0),MATCH("zizhi",[1]Sheet1!$2:$2,0))&gt;=13,0,3),0)&amp;IF($Q470="","","（"&amp;$Q470&amp;"）"))</f>
        <v>进阶+7：全队生命，防御提高10%</v>
      </c>
      <c r="T470" s="1"/>
      <c r="U470" s="1"/>
      <c r="V470" s="2" t="str">
        <f>VLOOKUP(COUNTIF($E$194:$E470,$E470),$L$184:$X$193,IF(H470=1,4,IF(H470=4,3,2))+IF(INDEX([1]Sheet1!$1:$1048576,MATCH($E470,[1]Sheet1!$A:$A,0),MATCH("zizhi",[1]Sheet1!$2:$2,0))&gt;=13,0,3)+6,0)</f>
        <v>57010,59010,60010</v>
      </c>
      <c r="W470" s="2" t="str">
        <f t="shared" si="39"/>
        <v>进阶+7：全队生命，防御提高10%</v>
      </c>
      <c r="X470" s="45" t="str">
        <f t="shared" si="37"/>
        <v>57010,59010,60010</v>
      </c>
      <c r="Y470" s="2"/>
      <c r="Z470" s="2"/>
      <c r="AA470" s="2"/>
    </row>
    <row r="471" spans="1:27" ht="33">
      <c r="A471" s="10">
        <f>E471*100+COUNTIF($E$194:$E471,$E471)</f>
        <v>113208</v>
      </c>
      <c r="B471" s="68" t="s">
        <v>2040</v>
      </c>
      <c r="C471" s="50" t="s">
        <v>2</v>
      </c>
      <c r="D471" s="10">
        <f t="shared" si="42"/>
        <v>1</v>
      </c>
      <c r="E471" s="45">
        <f>INDEX($I:$I,MATCH($E470,$I:$I,0)+IF(COUNTIF($E$194:$E470,$E470)&lt;=VLOOKUP($E470,$I$134:$K$193,3,0)-1,0,1),0)</f>
        <v>1132</v>
      </c>
      <c r="F471" s="45" t="str">
        <f t="shared" si="38"/>
        <v>混世魔王</v>
      </c>
      <c r="G471" s="45" t="s">
        <v>219</v>
      </c>
      <c r="H471" s="45">
        <f>VLOOKUP($E471,[1]Sheet1!$A:$G,7,0)</f>
        <v>4</v>
      </c>
      <c r="I471" s="45" t="str">
        <f>IF($G471="","",IF(COUNTIF(技能描述!$D:$D,$F471)&gt;0,VLOOKUP($F471&amp;$G471,技能描述!$A:$C,3,0),LEFT(VLOOKUP($E471,[1]Sheet1!$A:$J,10,0),FIND("_",VLOOKUP($E471,[1]Sheet1!$A:$J,10,0))-1)&amp;$G471))</f>
        <v>hunshimowang_skill021</v>
      </c>
      <c r="J471" s="45" t="str">
        <f>IF($I471="","",VLOOKUP($I471,技能描述!$A:$C,3,0))</f>
        <v>混世魔王挥舞狼牙棒对单体敌人造成自身攻击力@s的物伤</v>
      </c>
      <c r="K471" s="45" t="str">
        <f>IF($I471="","",INDEX([2]Sheet1!$1:$1048576,MATCH($I471,[2]Sheet1!$A:$A,0),MATCH("description_damage",[2]Sheet1!$2:$2,0)))</f>
        <v>113206</v>
      </c>
      <c r="L471" s="80" t="str">
        <f>IF($K471="","",IF(LEN($K471)-LEN(SUBSTITUTE($K471,",",""))=0,VLOOKUP(INT($K471),[3]Sheet1!$A:$C,3,0),VLOOKUP(INT(LEFT($K471,FIND(",",$K471)-1)),[3]Sheet1!$A:$C,3,0)))</f>
        <v>2|1|2|0|0|0</v>
      </c>
      <c r="M471" s="80" t="str">
        <f t="shared" si="43"/>
        <v>200%</v>
      </c>
      <c r="N471" s="45" t="str">
        <f>IF(LEN($K471)-LEN(SUBSTITUTE($K471,",",""))=1,VLOOKUP(INT(RIGHT($K471,LEN($K471)-FIND(",",$K471))),[3]Sheet1!$A:$C,3,0),"")</f>
        <v/>
      </c>
      <c r="O471" s="45" t="str">
        <f t="shared" si="40"/>
        <v/>
      </c>
      <c r="P471" s="45" t="str">
        <f t="shared" si="36"/>
        <v>混世魔王挥舞狼牙棒对单体敌人造成自身攻击力200%的物伤</v>
      </c>
      <c r="Q471" s="45" t="str">
        <f t="shared" si="41"/>
        <v>混世魔王挥舞狼牙棒对单体敌人造成自身攻击力200%的物伤</v>
      </c>
      <c r="R471" s="45"/>
      <c r="S471" s="45" t="str">
        <f>IF(ISERROR($Q471),"进阶+"&amp;COUNTIF($E$194:$E471,$E471)&amp;"："&amp;"找ZC配技能","进阶+"&amp;COUNTIF($E$194:$E471,$E471)&amp;"："&amp;VLOOKUP(COUNTIF($E$194:$E471,$E471),$L$184:$R$193,IF(H471=1,4,IF(H471=4,3,2))+IF(INDEX([1]Sheet1!$1:$1048576,MATCH($E471,[1]Sheet1!$A:$A,0),MATCH("zizhi",[1]Sheet1!$2:$2,0))&gt;=13,0,3),0)&amp;IF($Q471="","","（"&amp;$Q471&amp;"）"))</f>
        <v>进阶+8：增强AI1技能（混世魔王挥舞狼牙棒对单体敌人造成自身攻击力200%的物伤）</v>
      </c>
      <c r="T471" s="1"/>
      <c r="U471" s="1"/>
      <c r="V471" s="2" t="str">
        <f>VLOOKUP(COUNTIF($E$194:$E471,$E471),$L$184:$X$193,IF(H471=1,4,IF(H471=4,3,2))+IF(INDEX([1]Sheet1!$1:$1048576,MATCH($E471,[1]Sheet1!$A:$A,0),MATCH("zizhi",[1]Sheet1!$2:$2,0))&gt;=13,0,3)+6,0)</f>
        <v>[]</v>
      </c>
      <c r="W471" s="2" t="str">
        <f t="shared" si="39"/>
        <v>进阶+8：增强AI1技能（混世魔王挥舞狼牙棒对单体敌人造成自身攻击力200%的物伤）</v>
      </c>
      <c r="X471" s="45" t="str">
        <f t="shared" si="37"/>
        <v>[]</v>
      </c>
      <c r="Y471" s="2"/>
      <c r="Z471" s="2"/>
      <c r="AA471" s="2"/>
    </row>
    <row r="472" spans="1:27">
      <c r="A472" s="10">
        <f>E472*100+COUNTIF($E$194:$E472,$E472)</f>
        <v>113209</v>
      </c>
      <c r="B472" s="68" t="s">
        <v>1902</v>
      </c>
      <c r="C472" s="50" t="s">
        <v>357</v>
      </c>
      <c r="D472" s="10" t="str">
        <f t="shared" si="42"/>
        <v>[]</v>
      </c>
      <c r="E472" s="45">
        <f>INDEX($I:$I,MATCH($E471,$I:$I,0)+IF(COUNTIF($E$194:$E471,$E471)&lt;=VLOOKUP($E471,$I$134:$K$193,3,0)-1,0,1),0)</f>
        <v>1132</v>
      </c>
      <c r="F472" s="45" t="str">
        <f t="shared" si="38"/>
        <v>混世魔王</v>
      </c>
      <c r="H472" s="45">
        <f>VLOOKUP($E472,[1]Sheet1!$A:$G,7,0)</f>
        <v>4</v>
      </c>
      <c r="I472" s="45" t="str">
        <f>IF($G472="","",IF(COUNTIF(技能描述!$D:$D,$F472)&gt;0,VLOOKUP($F472&amp;$G472,技能描述!$A:$C,3,0),LEFT(VLOOKUP($E472,[1]Sheet1!$A:$J,10,0),FIND("_",VLOOKUP($E472,[1]Sheet1!$A:$J,10,0))-1)&amp;$G472))</f>
        <v/>
      </c>
      <c r="J472" s="45" t="str">
        <f>IF($I472="","",VLOOKUP($I472,技能描述!$A:$C,3,0))</f>
        <v/>
      </c>
      <c r="K472" s="45" t="str">
        <f>IF($I472="","",INDEX([2]Sheet1!$1:$1048576,MATCH($I472,[2]Sheet1!$A:$A,0),MATCH("description_damage",[2]Sheet1!$2:$2,0)))</f>
        <v/>
      </c>
      <c r="L472" s="80" t="str">
        <f>IF($K472="","",IF(LEN($K472)-LEN(SUBSTITUTE($K472,",",""))=0,VLOOKUP(INT($K472),[3]Sheet1!$A:$C,3,0),VLOOKUP(INT(LEFT($K472,FIND(",",$K472)-1)),[3]Sheet1!$A:$C,3,0)))</f>
        <v/>
      </c>
      <c r="M472" s="80" t="str">
        <f t="shared" si="43"/>
        <v/>
      </c>
      <c r="N472" s="45" t="str">
        <f>IF(LEN($K472)-LEN(SUBSTITUTE($K472,",",""))=1,VLOOKUP(INT(RIGHT($K472,LEN($K472)-FIND(",",$K472))),[3]Sheet1!$A:$C,3,0),"")</f>
        <v/>
      </c>
      <c r="O472" s="45" t="str">
        <f t="shared" si="40"/>
        <v/>
      </c>
      <c r="P472" s="45" t="str">
        <f t="shared" si="36"/>
        <v/>
      </c>
      <c r="Q472" s="45" t="str">
        <f t="shared" si="41"/>
        <v/>
      </c>
      <c r="R472" s="45"/>
      <c r="S472" s="45" t="str">
        <f>IF(ISERROR($Q472),"进阶+"&amp;COUNTIF($E$194:$E472,$E472)&amp;"："&amp;"找ZC配技能","进阶+"&amp;COUNTIF($E$194:$E472,$E472)&amp;"："&amp;VLOOKUP(COUNTIF($E$194:$E472,$E472),$L$184:$R$193,IF(H472=1,4,IF(H472=4,3,2))+IF(INDEX([1]Sheet1!$1:$1048576,MATCH($E472,[1]Sheet1!$A:$A,0),MATCH("zizhi",[1]Sheet1!$2:$2,0))&gt;=13,0,3),0)&amp;IF($Q472="","","（"&amp;$Q472&amp;"）"))</f>
        <v>进阶+9：全队生命，防御提高15%</v>
      </c>
      <c r="T472" s="1"/>
      <c r="U472" s="1"/>
      <c r="V472" s="2" t="str">
        <f>VLOOKUP(COUNTIF($E$194:$E472,$E472),$L$184:$X$193,IF(H472=1,4,IF(H472=4,3,2))+IF(INDEX([1]Sheet1!$1:$1048576,MATCH($E472,[1]Sheet1!$A:$A,0),MATCH("zizhi",[1]Sheet1!$2:$2,0))&gt;=13,0,3)+6,0)</f>
        <v>57015,59015,60015</v>
      </c>
      <c r="W472" s="2" t="str">
        <f t="shared" si="39"/>
        <v>进阶+9：全队生命，防御提高15%</v>
      </c>
      <c r="X472" s="45" t="str">
        <f t="shared" si="37"/>
        <v>57015,59015,60015</v>
      </c>
      <c r="Y472" s="2"/>
      <c r="Z472" s="2"/>
      <c r="AA472" s="2"/>
    </row>
    <row r="473" spans="1:27" ht="33">
      <c r="A473" s="10">
        <f>E473*100+COUNTIF($E$194:$E473,$E473)</f>
        <v>113210</v>
      </c>
      <c r="B473" s="68" t="s">
        <v>1972</v>
      </c>
      <c r="C473" s="50" t="s">
        <v>2</v>
      </c>
      <c r="D473" s="10">
        <f t="shared" si="42"/>
        <v>1</v>
      </c>
      <c r="E473" s="45">
        <f>INDEX($I:$I,MATCH($E472,$I:$I,0)+IF(COUNTIF($E$194:$E472,$E472)&lt;=VLOOKUP($E472,$I$134:$K$193,3,0)-1,0,1),0)</f>
        <v>1132</v>
      </c>
      <c r="F473" s="45" t="str">
        <f t="shared" si="38"/>
        <v>混世魔王</v>
      </c>
      <c r="G473" s="45" t="s">
        <v>220</v>
      </c>
      <c r="H473" s="45">
        <f>VLOOKUP($E473,[1]Sheet1!$A:$G,7,0)</f>
        <v>4</v>
      </c>
      <c r="I473" s="45" t="str">
        <f>IF($G473="","",IF(COUNTIF(技能描述!$D:$D,$F473)&gt;0,VLOOKUP($F473&amp;$G473,技能描述!$A:$C,3,0),LEFT(VLOOKUP($E473,[1]Sheet1!$A:$J,10,0),FIND("_",VLOOKUP($E473,[1]Sheet1!$A:$J,10,0))-1)&amp;$G473))</f>
        <v>hunshimowang_skill041</v>
      </c>
      <c r="J473" s="45" t="str">
        <f>IF($I473="","",VLOOKUP($I473,技能描述!$A:$C,3,0))</f>
        <v>混世魔王发动短距离重逢，对范围内敌人造成自身攻击力@s的物伤，60%的概率撞晕对手</v>
      </c>
      <c r="K473" s="45" t="str">
        <f>IF($I473="","",INDEX([2]Sheet1!$1:$1048576,MATCH($I473,[2]Sheet1!$A:$A,0),MATCH("description_damage",[2]Sheet1!$2:$2,0)))</f>
        <v>113207</v>
      </c>
      <c r="L473" s="80" t="str">
        <f>IF($K473="","",IF(LEN($K473)-LEN(SUBSTITUTE($K473,",",""))=0,VLOOKUP(INT($K473),[3]Sheet1!$A:$C,3,0),VLOOKUP(INT(LEFT($K473,FIND(",",$K473)-1)),[3]Sheet1!$A:$C,3,0)))</f>
        <v>2|1|3.42|0|0|0</v>
      </c>
      <c r="M473" s="80" t="str">
        <f t="shared" si="43"/>
        <v>342%</v>
      </c>
      <c r="N473" s="45" t="str">
        <f>IF(LEN($K473)-LEN(SUBSTITUTE($K473,",",""))=1,VLOOKUP(INT(RIGHT($K473,LEN($K473)-FIND(",",$K473))),[3]Sheet1!$A:$C,3,0),"")</f>
        <v/>
      </c>
      <c r="O473" s="45" t="str">
        <f t="shared" si="40"/>
        <v/>
      </c>
      <c r="P473" s="45" t="str">
        <f t="shared" si="36"/>
        <v>混世魔王发动短距离重逢，对范围内敌人造成自身攻击力342%的物伤，60%的概率撞晕对手</v>
      </c>
      <c r="Q473" s="45" t="str">
        <f t="shared" si="41"/>
        <v>混世魔王发动短距离重逢，对范围内敌人造成自身攻击力342%的物伤，60%的概率撞晕对手</v>
      </c>
      <c r="R473" s="45"/>
      <c r="S473" s="45" t="str">
        <f>IF(ISERROR($Q473),"进阶+"&amp;COUNTIF($E$194:$E473,$E473)&amp;"："&amp;"找ZC配技能","进阶+"&amp;COUNTIF($E$194:$E473,$E473)&amp;"："&amp;VLOOKUP(COUNTIF($E$194:$E473,$E473),$L$184:$R$193,IF(H473=1,4,IF(H473=4,3,2))+IF(INDEX([1]Sheet1!$1:$1048576,MATCH($E473,[1]Sheet1!$A:$A,0),MATCH("zizhi",[1]Sheet1!$2:$2,0))&gt;=13,0,3),0)&amp;IF($Q473="","","（"&amp;$Q473&amp;"）"))</f>
        <v>进阶+10：增强AI2技能（混世魔王发动短距离重逢，对范围内敌人造成自身攻击力342%的物伤，60%的概率撞晕对手）</v>
      </c>
      <c r="T473" s="1"/>
      <c r="U473" s="1"/>
      <c r="V473" s="2" t="str">
        <f>VLOOKUP(COUNTIF($E$194:$E473,$E473),$L$184:$X$193,IF(H473=1,4,IF(H473=4,3,2))+IF(INDEX([1]Sheet1!$1:$1048576,MATCH($E473,[1]Sheet1!$A:$A,0),MATCH("zizhi",[1]Sheet1!$2:$2,0))&gt;=13,0,3)+6,0)</f>
        <v>[]</v>
      </c>
      <c r="W473" s="2" t="str">
        <f t="shared" si="39"/>
        <v>进阶+10：增强AI2技能（混世魔王发动短距离重逢，对范围内敌人造成自身攻击力342%的物伤，60%的概率撞晕对手）</v>
      </c>
      <c r="X473" s="45" t="str">
        <f t="shared" si="37"/>
        <v>[]</v>
      </c>
      <c r="Y473" s="2"/>
      <c r="Z473" s="2"/>
      <c r="AA473" s="2"/>
    </row>
    <row r="474" spans="1:27">
      <c r="A474" s="10">
        <f>E474*100+COUNTIF($E$194:$E474,$E474)</f>
        <v>112501</v>
      </c>
      <c r="B474" s="68" t="s">
        <v>319</v>
      </c>
      <c r="C474" s="50" t="s">
        <v>2086</v>
      </c>
      <c r="D474" s="10" t="str">
        <f t="shared" si="42"/>
        <v>[]</v>
      </c>
      <c r="E474" s="45">
        <f>INDEX($I:$I,MATCH($E473,$I:$I,0)+IF(COUNTIF($E$194:$E473,$E473)&lt;=VLOOKUP($E473,$I$134:$K$193,3,0)-1,0,1),0)</f>
        <v>1125</v>
      </c>
      <c r="F474" s="45" t="str">
        <f t="shared" si="38"/>
        <v>迦叶</v>
      </c>
      <c r="H474" s="45">
        <f>VLOOKUP($E474,[1]Sheet1!$A:$G,7,0)</f>
        <v>4</v>
      </c>
      <c r="I474" s="45" t="str">
        <f>IF($G474="","",IF(COUNTIF(技能描述!$D:$D,$F474)&gt;0,VLOOKUP($F474&amp;$G474,技能描述!$A:$C,3,0),LEFT(VLOOKUP($E474,[1]Sheet1!$A:$J,10,0),FIND("_",VLOOKUP($E474,[1]Sheet1!$A:$J,10,0))-1)&amp;$G474))</f>
        <v/>
      </c>
      <c r="J474" s="45" t="str">
        <f>IF($I474="","",VLOOKUP($I474,技能描述!$A:$C,3,0))</f>
        <v/>
      </c>
      <c r="K474" s="45" t="str">
        <f>IF($I474="","",INDEX([2]Sheet1!$1:$1048576,MATCH($I474,[2]Sheet1!$A:$A,0),MATCH("description_damage",[2]Sheet1!$2:$2,0)))</f>
        <v/>
      </c>
      <c r="L474" s="80" t="str">
        <f>IF($K474="","",IF(LEN($K474)-LEN(SUBSTITUTE($K474,",",""))=0,VLOOKUP(INT($K474),[3]Sheet1!$A:$C,3,0),VLOOKUP(INT(LEFT($K474,FIND(",",$K474)-1)),[3]Sheet1!$A:$C,3,0)))</f>
        <v/>
      </c>
      <c r="M474" s="80" t="str">
        <f t="shared" si="43"/>
        <v/>
      </c>
      <c r="N474" s="45" t="str">
        <f>IF(LEN($K474)-LEN(SUBSTITUTE($K474,",",""))=1,VLOOKUP(INT(RIGHT($K474,LEN($K474)-FIND(",",$K474))),[3]Sheet1!$A:$C,3,0),"")</f>
        <v/>
      </c>
      <c r="O474" s="45" t="str">
        <f t="shared" si="40"/>
        <v/>
      </c>
      <c r="P474" s="45" t="str">
        <f t="shared" si="36"/>
        <v/>
      </c>
      <c r="Q474" s="45" t="str">
        <f t="shared" si="41"/>
        <v/>
      </c>
      <c r="R474" s="45"/>
      <c r="S474" s="45" t="str">
        <f>IF(ISERROR($Q474),"进阶+"&amp;COUNTIF($E$194:$E474,$E474)&amp;"："&amp;"找ZC配技能","进阶+"&amp;COUNTIF($E$194:$E474,$E474)&amp;"："&amp;VLOOKUP(COUNTIF($E$194:$E474,$E474),$L$184:$R$193,IF(H474=1,4,IF(H474=4,3,2))+IF(INDEX([1]Sheet1!$1:$1048576,MATCH($E474,[1]Sheet1!$A:$A,0),MATCH("zizhi",[1]Sheet1!$2:$2,0))&gt;=13,0,3),0)&amp;IF($Q474="","","（"&amp;$Q474&amp;"）"))</f>
        <v>进阶+1：生命提高10%</v>
      </c>
      <c r="T474" s="1"/>
      <c r="U474" s="1"/>
      <c r="V474" s="2" t="str">
        <f>VLOOKUP(COUNTIF($E$194:$E474,$E474),$L$184:$X$193,IF(H474=1,4,IF(H474=4,3,2))+IF(INDEX([1]Sheet1!$1:$1048576,MATCH($E474,[1]Sheet1!$A:$A,0),MATCH("zizhi",[1]Sheet1!$2:$2,0))&gt;=13,0,3)+6,0)</f>
        <v>11090</v>
      </c>
      <c r="W474" s="2" t="str">
        <f t="shared" si="39"/>
        <v>进阶+1：生命提高10%</v>
      </c>
      <c r="X474" s="45" t="str">
        <f t="shared" si="37"/>
        <v>11090</v>
      </c>
      <c r="Y474" s="2"/>
      <c r="Z474" s="2"/>
      <c r="AA474" s="2"/>
    </row>
    <row r="475" spans="1:27">
      <c r="A475" s="10">
        <f>E475*100+COUNTIF($E$194:$E475,$E475)</f>
        <v>112502</v>
      </c>
      <c r="B475" s="68" t="s">
        <v>331</v>
      </c>
      <c r="C475" s="50" t="s">
        <v>2</v>
      </c>
      <c r="D475" s="10">
        <f t="shared" si="42"/>
        <v>1</v>
      </c>
      <c r="E475" s="45">
        <f>INDEX($I:$I,MATCH($E474,$I:$I,0)+IF(COUNTIF($E$194:$E474,$E474)&lt;=VLOOKUP($E474,$I$134:$K$193,3,0)-1,0,1),0)</f>
        <v>1125</v>
      </c>
      <c r="F475" s="45" t="str">
        <f t="shared" si="38"/>
        <v>迦叶</v>
      </c>
      <c r="G475" s="45" t="s">
        <v>216</v>
      </c>
      <c r="H475" s="45">
        <f>VLOOKUP($E475,[1]Sheet1!$A:$G,7,0)</f>
        <v>4</v>
      </c>
      <c r="I475" s="45" t="str">
        <f>IF($G475="","",IF(COUNTIF(技能描述!$D:$D,$F475)&gt;0,VLOOKUP($F475&amp;$G475,技能描述!$A:$C,3,0),LEFT(VLOOKUP($E475,[1]Sheet1!$A:$J,10,0),FIND("_",VLOOKUP($E475,[1]Sheet1!$A:$J,10,0))-1)&amp;$G475))</f>
        <v>jiaye_skill03</v>
      </c>
      <c r="J475" s="45" t="str">
        <f>IF($I475="","",VLOOKUP($I475,技能描述!$A:$C,3,0))</f>
        <v>进入战斗场景时，提升自身生命值上限@s</v>
      </c>
      <c r="K475" s="45" t="str">
        <f>IF($I475="","",INDEX([2]Sheet1!$1:$1048576,MATCH($I475,[2]Sheet1!$A:$A,0),MATCH("description_damage",[2]Sheet1!$2:$2,0)))</f>
        <v>9020</v>
      </c>
      <c r="L475" s="80" t="str">
        <f>IF($K475="","",IF(LEN($K475)-LEN(SUBSTITUTE($K475,",",""))=0,VLOOKUP(INT($K475),[3]Sheet1!$A:$C,3,0),VLOOKUP(INT(LEFT($K475,FIND(",",$K475)-1)),[3]Sheet1!$A:$C,3,0)))</f>
        <v>4|3|0.2|0|1</v>
      </c>
      <c r="M475" s="80" t="str">
        <f t="shared" si="43"/>
        <v>20%</v>
      </c>
      <c r="N475" s="45" t="str">
        <f>IF(LEN($K475)-LEN(SUBSTITUTE($K475,",",""))=1,VLOOKUP(INT(RIGHT($K475,LEN($K475)-FIND(",",$K475))),[3]Sheet1!$A:$C,3,0),"")</f>
        <v/>
      </c>
      <c r="O475" s="45" t="str">
        <f t="shared" si="40"/>
        <v/>
      </c>
      <c r="P475" s="45" t="str">
        <f t="shared" si="36"/>
        <v>进入战斗场景时，提升自身生命值上限20%</v>
      </c>
      <c r="Q475" s="45" t="str">
        <f t="shared" si="41"/>
        <v>进入战斗场景时，提升自身生命值上限20%</v>
      </c>
      <c r="R475" s="45"/>
      <c r="S475" s="45" t="str">
        <f>IF(ISERROR($Q475),"进阶+"&amp;COUNTIF($E$194:$E475,$E475)&amp;"："&amp;"找ZC配技能","进阶+"&amp;COUNTIF($E$194:$E475,$E475)&amp;"："&amp;VLOOKUP(COUNTIF($E$194:$E475,$E475),$L$184:$R$193,IF(H475=1,4,IF(H475=4,3,2))+IF(INDEX([1]Sheet1!$1:$1048576,MATCH($E475,[1]Sheet1!$A:$A,0),MATCH("zizhi",[1]Sheet1!$2:$2,0))&gt;=13,0,3),0)&amp;IF($Q475="","","（"&amp;$Q475&amp;"）"))</f>
        <v>进阶+2：激活被动技能（进入战斗场景时，提升自身生命值上限20%）</v>
      </c>
      <c r="T475" s="1"/>
      <c r="U475" s="1"/>
      <c r="V475" s="2" t="str">
        <f>VLOOKUP(COUNTIF($E$194:$E475,$E475),$L$184:$X$193,IF(H475=1,4,IF(H475=4,3,2))+IF(INDEX([1]Sheet1!$1:$1048576,MATCH($E475,[1]Sheet1!$A:$A,0),MATCH("zizhi",[1]Sheet1!$2:$2,0))&gt;=13,0,3)+6,0)</f>
        <v>[]</v>
      </c>
      <c r="W475" s="2" t="str">
        <f t="shared" si="39"/>
        <v>进阶+2：激活被动技能（进入战斗场景时，提升自身生命值上限20%）</v>
      </c>
      <c r="X475" s="45" t="str">
        <f t="shared" si="37"/>
        <v>[]</v>
      </c>
      <c r="Y475" s="2"/>
      <c r="Z475" s="2"/>
      <c r="AA475" s="2"/>
    </row>
    <row r="476" spans="1:27">
      <c r="A476" s="10">
        <f>E476*100+COUNTIF($E$194:$E476,$E476)</f>
        <v>112503</v>
      </c>
      <c r="B476" s="68" t="s">
        <v>324</v>
      </c>
      <c r="C476" s="50" t="s">
        <v>140</v>
      </c>
      <c r="D476" s="10" t="str">
        <f t="shared" si="42"/>
        <v>[]</v>
      </c>
      <c r="E476" s="45">
        <f>INDEX($I:$I,MATCH($E475,$I:$I,0)+IF(COUNTIF($E$194:$E475,$E475)&lt;=VLOOKUP($E475,$I$134:$K$193,3,0)-1,0,1),0)</f>
        <v>1125</v>
      </c>
      <c r="F476" s="45" t="str">
        <f t="shared" si="38"/>
        <v>迦叶</v>
      </c>
      <c r="H476" s="45">
        <f>VLOOKUP($E476,[1]Sheet1!$A:$G,7,0)</f>
        <v>4</v>
      </c>
      <c r="I476" s="45" t="str">
        <f>IF($G476="","",IF(COUNTIF(技能描述!$D:$D,$F476)&gt;0,VLOOKUP($F476&amp;$G476,技能描述!$A:$C,3,0),LEFT(VLOOKUP($E476,[1]Sheet1!$A:$J,10,0),FIND("_",VLOOKUP($E476,[1]Sheet1!$A:$J,10,0))-1)&amp;$G476))</f>
        <v/>
      </c>
      <c r="J476" s="45" t="str">
        <f>IF($I476="","",VLOOKUP($I476,技能描述!$A:$C,3,0))</f>
        <v/>
      </c>
      <c r="K476" s="45" t="str">
        <f>IF($I476="","",INDEX([2]Sheet1!$1:$1048576,MATCH($I476,[2]Sheet1!$A:$A,0),MATCH("description_damage",[2]Sheet1!$2:$2,0)))</f>
        <v/>
      </c>
      <c r="L476" s="80" t="str">
        <f>IF($K476="","",IF(LEN($K476)-LEN(SUBSTITUTE($K476,",",""))=0,VLOOKUP(INT($K476),[3]Sheet1!$A:$C,3,0),VLOOKUP(INT(LEFT($K476,FIND(",",$K476)-1)),[3]Sheet1!$A:$C,3,0)))</f>
        <v/>
      </c>
      <c r="M476" s="80" t="str">
        <f t="shared" si="43"/>
        <v/>
      </c>
      <c r="N476" s="45" t="str">
        <f>IF(LEN($K476)-LEN(SUBSTITUTE($K476,",",""))=1,VLOOKUP(INT(RIGHT($K476,LEN($K476)-FIND(",",$K476))),[3]Sheet1!$A:$C,3,0),"")</f>
        <v/>
      </c>
      <c r="O476" s="45" t="str">
        <f t="shared" si="40"/>
        <v/>
      </c>
      <c r="P476" s="45" t="str">
        <f t="shared" si="36"/>
        <v/>
      </c>
      <c r="Q476" s="45" t="str">
        <f t="shared" si="41"/>
        <v/>
      </c>
      <c r="R476" s="45"/>
      <c r="S476" s="45" t="str">
        <f>IF(ISERROR($Q476),"进阶+"&amp;COUNTIF($E$194:$E476,$E476)&amp;"："&amp;"找ZC配技能","进阶+"&amp;COUNTIF($E$194:$E476,$E476)&amp;"："&amp;VLOOKUP(COUNTIF($E$194:$E476,$E476),$L$184:$R$193,IF(H476=1,4,IF(H476=4,3,2))+IF(INDEX([1]Sheet1!$1:$1048576,MATCH($E476,[1]Sheet1!$A:$A,0),MATCH("zizhi",[1]Sheet1!$2:$2,0))&gt;=13,0,3),0)&amp;IF($Q476="","","（"&amp;$Q476&amp;"）"))</f>
        <v>进阶+3：生命，防御提高10%</v>
      </c>
      <c r="T476" s="1"/>
      <c r="U476" s="1"/>
      <c r="V476" s="2" t="str">
        <f>VLOOKUP(COUNTIF($E$194:$E476,$E476),$L$184:$X$193,IF(H476=1,4,IF(H476=4,3,2))+IF(INDEX([1]Sheet1!$1:$1048576,MATCH($E476,[1]Sheet1!$A:$A,0),MATCH("zizhi",[1]Sheet1!$2:$2,0))&gt;=13,0,3)+6,0)</f>
        <v>11090,6502,6512</v>
      </c>
      <c r="W476" s="2" t="str">
        <f t="shared" si="39"/>
        <v>进阶+3：生命，防御提高10%</v>
      </c>
      <c r="X476" s="45" t="str">
        <f t="shared" si="37"/>
        <v>11090,6502,6512</v>
      </c>
      <c r="Y476" s="2"/>
      <c r="Z476" s="2"/>
      <c r="AA476" s="2"/>
    </row>
    <row r="477" spans="1:27" ht="33">
      <c r="A477" s="10">
        <f>E477*100+COUNTIF($E$194:$E477,$E477)</f>
        <v>112504</v>
      </c>
      <c r="B477" s="68" t="s">
        <v>1929</v>
      </c>
      <c r="C477" s="50" t="s">
        <v>2</v>
      </c>
      <c r="D477" s="10">
        <f t="shared" si="42"/>
        <v>1</v>
      </c>
      <c r="E477" s="45">
        <f>INDEX($I:$I,MATCH($E476,$I:$I,0)+IF(COUNTIF($E$194:$E476,$E476)&lt;=VLOOKUP($E476,$I$134:$K$193,3,0)-1,0,1),0)</f>
        <v>1125</v>
      </c>
      <c r="F477" s="45" t="str">
        <f t="shared" si="38"/>
        <v>迦叶</v>
      </c>
      <c r="G477" s="45" t="s">
        <v>217</v>
      </c>
      <c r="H477" s="45">
        <f>VLOOKUP($E477,[1]Sheet1!$A:$G,7,0)</f>
        <v>4</v>
      </c>
      <c r="I477" s="45" t="str">
        <f>IF($G477="","",IF(COUNTIF(技能描述!$D:$D,$F477)&gt;0,VLOOKUP($F477&amp;$G477,技能描述!$A:$C,3,0),LEFT(VLOOKUP($E477,[1]Sheet1!$A:$J,10,0),FIND("_",VLOOKUP($E477,[1]Sheet1!$A:$J,10,0))-1)&amp;$G477))</f>
        <v>jiaye_skill04</v>
      </c>
      <c r="J477" s="45" t="str">
        <f>IF($I477="","",VLOOKUP($I477,技能描述!$A:$C,3,0))</f>
        <v>迦叶用佛光治疗自身，每0.5秒恢复自身生命值上限2%的生命值，持续2秒</v>
      </c>
      <c r="K477" s="45" t="str">
        <f>IF($I477="","",INDEX([2]Sheet1!$1:$1048576,MATCH($I477,[2]Sheet1!$A:$A,0),MATCH("description_damage",[2]Sheet1!$2:$2,0)))</f>
        <v>9002</v>
      </c>
      <c r="L477" s="80" t="str">
        <f>IF($K477="","",IF(LEN($K477)-LEN(SUBSTITUTE($K477,",",""))=0,VLOOKUP(INT($K477),[3]Sheet1!$A:$C,3,0),VLOOKUP(INT(LEFT($K477,FIND(",",$K477)-1)),[3]Sheet1!$A:$C,3,0)))</f>
        <v>4|3|0.02|0|1</v>
      </c>
      <c r="M477" s="80" t="str">
        <f t="shared" si="43"/>
        <v>2%</v>
      </c>
      <c r="N477" s="45" t="str">
        <f>IF(LEN($K477)-LEN(SUBSTITUTE($K477,",",""))=1,VLOOKUP(INT(RIGHT($K477,LEN($K477)-FIND(",",$K477))),[3]Sheet1!$A:$C,3,0),"")</f>
        <v/>
      </c>
      <c r="O477" s="45" t="str">
        <f t="shared" si="40"/>
        <v/>
      </c>
      <c r="P477" s="45" t="str">
        <f t="shared" si="36"/>
        <v>迦叶用佛光治疗自身，每0.5秒恢复自身生命值上限2%的生命值，持续2秒</v>
      </c>
      <c r="Q477" s="45" t="str">
        <f t="shared" si="41"/>
        <v>迦叶用佛光治疗自身，每0.5秒恢复自身生命值上限2%的生命值，持续2秒</v>
      </c>
      <c r="R477" s="45"/>
      <c r="S477" s="45" t="str">
        <f>IF(ISERROR($Q477),"进阶+"&amp;COUNTIF($E$194:$E477,$E477)&amp;"："&amp;"找ZC配技能","进阶+"&amp;COUNTIF($E$194:$E477,$E477)&amp;"："&amp;VLOOKUP(COUNTIF($E$194:$E477,$E477),$L$184:$R$193,IF(H477=1,4,IF(H477=4,3,2))+IF(INDEX([1]Sheet1!$1:$1048576,MATCH($E477,[1]Sheet1!$A:$A,0),MATCH("zizhi",[1]Sheet1!$2:$2,0))&gt;=13,0,3),0)&amp;IF($Q477="","","（"&amp;$Q477&amp;"）"))</f>
        <v>进阶+4：激活AI2技能（迦叶用佛光治疗自身，每0.5秒恢复自身生命值上限2%的生命值，持续2秒）</v>
      </c>
      <c r="T477" s="1"/>
      <c r="U477" s="1"/>
      <c r="V477" s="2" t="str">
        <f>VLOOKUP(COUNTIF($E$194:$E477,$E477),$L$184:$X$193,IF(H477=1,4,IF(H477=4,3,2))+IF(INDEX([1]Sheet1!$1:$1048576,MATCH($E477,[1]Sheet1!$A:$A,0),MATCH("zizhi",[1]Sheet1!$2:$2,0))&gt;=13,0,3)+6,0)</f>
        <v>[]</v>
      </c>
      <c r="W477" s="2" t="str">
        <f t="shared" si="39"/>
        <v>进阶+4：激活AI2技能（迦叶用佛光治疗自身，每0.5秒恢复自身生命值上限2%的生命值，持续2秒）</v>
      </c>
      <c r="X477" s="45" t="str">
        <f t="shared" si="37"/>
        <v>[]</v>
      </c>
      <c r="Y477" s="2"/>
      <c r="Z477" s="2"/>
      <c r="AA477" s="2"/>
    </row>
    <row r="478" spans="1:27">
      <c r="A478" s="10">
        <f>E478*100+COUNTIF($E$194:$E478,$E478)</f>
        <v>112505</v>
      </c>
      <c r="B478" s="68" t="s">
        <v>320</v>
      </c>
      <c r="C478" s="50" t="s">
        <v>239</v>
      </c>
      <c r="D478" s="10" t="str">
        <f t="shared" si="42"/>
        <v>[]</v>
      </c>
      <c r="E478" s="45">
        <f>INDEX($I:$I,MATCH($E477,$I:$I,0)+IF(COUNTIF($E$194:$E477,$E477)&lt;=VLOOKUP($E477,$I$134:$K$193,3,0)-1,0,1),0)</f>
        <v>1125</v>
      </c>
      <c r="F478" s="45" t="str">
        <f t="shared" si="38"/>
        <v>迦叶</v>
      </c>
      <c r="H478" s="45">
        <f>VLOOKUP($E478,[1]Sheet1!$A:$G,7,0)</f>
        <v>4</v>
      </c>
      <c r="I478" s="45" t="str">
        <f>IF($G478="","",IF(COUNTIF(技能描述!$D:$D,$F478)&gt;0,VLOOKUP($F478&amp;$G478,技能描述!$A:$C,3,0),LEFT(VLOOKUP($E478,[1]Sheet1!$A:$J,10,0),FIND("_",VLOOKUP($E478,[1]Sheet1!$A:$J,10,0))-1)&amp;$G478))</f>
        <v/>
      </c>
      <c r="J478" s="45" t="str">
        <f>IF($I478="","",VLOOKUP($I478,技能描述!$A:$C,3,0))</f>
        <v/>
      </c>
      <c r="K478" s="45" t="str">
        <f>IF($I478="","",INDEX([2]Sheet1!$1:$1048576,MATCH($I478,[2]Sheet1!$A:$A,0),MATCH("description_damage",[2]Sheet1!$2:$2,0)))</f>
        <v/>
      </c>
      <c r="L478" s="80" t="str">
        <f>IF($K478="","",IF(LEN($K478)-LEN(SUBSTITUTE($K478,",",""))=0,VLOOKUP(INT($K478),[3]Sheet1!$A:$C,3,0),VLOOKUP(INT(LEFT($K478,FIND(",",$K478)-1)),[3]Sheet1!$A:$C,3,0)))</f>
        <v/>
      </c>
      <c r="M478" s="80" t="str">
        <f t="shared" si="43"/>
        <v/>
      </c>
      <c r="N478" s="45" t="str">
        <f>IF(LEN($K478)-LEN(SUBSTITUTE($K478,",",""))=1,VLOOKUP(INT(RIGHT($K478,LEN($K478)-FIND(",",$K478))),[3]Sheet1!$A:$C,3,0),"")</f>
        <v/>
      </c>
      <c r="O478" s="45" t="str">
        <f t="shared" si="40"/>
        <v/>
      </c>
      <c r="P478" s="45" t="str">
        <f t="shared" si="36"/>
        <v/>
      </c>
      <c r="Q478" s="45" t="str">
        <f t="shared" si="41"/>
        <v/>
      </c>
      <c r="R478" s="45"/>
      <c r="S478" s="45" t="str">
        <f>IF(ISERROR($Q478),"进阶+"&amp;COUNTIF($E$194:$E478,$E478)&amp;"："&amp;"找ZC配技能","进阶+"&amp;COUNTIF($E$194:$E478,$E478)&amp;"："&amp;VLOOKUP(COUNTIF($E$194:$E478,$E478),$L$184:$R$193,IF(H478=1,4,IF(H478=4,3,2))+IF(INDEX([1]Sheet1!$1:$1048576,MATCH($E478,[1]Sheet1!$A:$A,0),MATCH("zizhi",[1]Sheet1!$2:$2,0))&gt;=13,0,3),0)&amp;IF($Q478="","","（"&amp;$Q478&amp;"）"))</f>
        <v>进阶+5：攻击提高15%</v>
      </c>
      <c r="T478" s="1"/>
      <c r="U478" s="1"/>
      <c r="V478" s="2" t="str">
        <f>VLOOKUP(COUNTIF($E$194:$E478,$E478),$L$184:$X$193,IF(H478=1,4,IF(H478=4,3,2))+IF(INDEX([1]Sheet1!$1:$1048576,MATCH($E478,[1]Sheet1!$A:$A,0),MATCH("zizhi",[1]Sheet1!$2:$2,0))&gt;=13,0,3)+6,0)</f>
        <v>11055</v>
      </c>
      <c r="W478" s="2" t="str">
        <f t="shared" si="39"/>
        <v>进阶+5：攻击提高15%</v>
      </c>
      <c r="X478" s="45" t="str">
        <f t="shared" si="37"/>
        <v>11055</v>
      </c>
      <c r="Y478" s="2"/>
      <c r="Z478" s="2"/>
      <c r="AA478" s="2"/>
    </row>
    <row r="479" spans="1:27" ht="33">
      <c r="A479" s="10">
        <f>E479*100+COUNTIF($E$194:$E479,$E479)</f>
        <v>112506</v>
      </c>
      <c r="B479" s="68" t="s">
        <v>2041</v>
      </c>
      <c r="C479" s="50" t="s">
        <v>2</v>
      </c>
      <c r="D479" s="10">
        <f t="shared" si="42"/>
        <v>1</v>
      </c>
      <c r="E479" s="45">
        <f>INDEX($I:$I,MATCH($E478,$I:$I,0)+IF(COUNTIF($E$194:$E478,$E478)&lt;=VLOOKUP($E478,$I$134:$K$193,3,0)-1,0,1),0)</f>
        <v>1125</v>
      </c>
      <c r="F479" s="45" t="str">
        <f t="shared" si="38"/>
        <v>迦叶</v>
      </c>
      <c r="G479" s="45" t="s">
        <v>218</v>
      </c>
      <c r="H479" s="45">
        <f>VLOOKUP($E479,[1]Sheet1!$A:$G,7,0)</f>
        <v>4</v>
      </c>
      <c r="I479" s="45" t="str">
        <f>IF($G479="","",IF(COUNTIF(技能描述!$D:$D,$F479)&gt;0,VLOOKUP($F479&amp;$G479,技能描述!$A:$C,3,0),LEFT(VLOOKUP($E479,[1]Sheet1!$A:$J,10,0),FIND("_",VLOOKUP($E479,[1]Sheet1!$A:$J,10,0))-1)&amp;$G479))</f>
        <v>jiaye_skill011</v>
      </c>
      <c r="J479" s="45" t="str">
        <f>IF($I479="","",VLOOKUP($I479,技能描述!$A:$C,3,0))</f>
        <v>释放天罡正气护盾，降低全体友军受到的伤害@s，持续6秒</v>
      </c>
      <c r="K479" s="45" t="str">
        <f>IF($I479="","",INDEX([2]Sheet1!$1:$1048576,MATCH($I479,[2]Sheet1!$A:$A,0),MATCH("description_damage",[2]Sheet1!$2:$2,0)))</f>
        <v>9020</v>
      </c>
      <c r="L479" s="80" t="str">
        <f>IF($K479="","",IF(LEN($K479)-LEN(SUBSTITUTE($K479,",",""))=0,VLOOKUP(INT($K479),[3]Sheet1!$A:$C,3,0),VLOOKUP(INT(LEFT($K479,FIND(",",$K479)-1)),[3]Sheet1!$A:$C,3,0)))</f>
        <v>4|3|0.2|0|1</v>
      </c>
      <c r="M479" s="80" t="str">
        <f t="shared" si="43"/>
        <v>20%</v>
      </c>
      <c r="N479" s="45" t="str">
        <f>IF(LEN($K479)-LEN(SUBSTITUTE($K479,",",""))=1,VLOOKUP(INT(RIGHT($K479,LEN($K479)-FIND(",",$K479))),[3]Sheet1!$A:$C,3,0),"")</f>
        <v/>
      </c>
      <c r="O479" s="45" t="str">
        <f t="shared" si="40"/>
        <v/>
      </c>
      <c r="P479" s="45" t="str">
        <f t="shared" si="36"/>
        <v>释放天罡正气护盾，降低全体友军受到的伤害20%，持续6秒</v>
      </c>
      <c r="Q479" s="45" t="str">
        <f t="shared" si="41"/>
        <v>释放天罡正气护盾，降低全体友军受到的伤害20%，持续6秒</v>
      </c>
      <c r="R479" s="45"/>
      <c r="S479" s="45" t="str">
        <f>IF(ISERROR($Q479),"进阶+"&amp;COUNTIF($E$194:$E479,$E479)&amp;"："&amp;"找ZC配技能","进阶+"&amp;COUNTIF($E$194:$E479,$E479)&amp;"："&amp;VLOOKUP(COUNTIF($E$194:$E479,$E479),$L$184:$R$193,IF(H479=1,4,IF(H479=4,3,2))+IF(INDEX([1]Sheet1!$1:$1048576,MATCH($E479,[1]Sheet1!$A:$A,0),MATCH("zizhi",[1]Sheet1!$2:$2,0))&gt;=13,0,3),0)&amp;IF($Q479="","","（"&amp;$Q479&amp;"）"))</f>
        <v>进阶+6：增强主角技能（释放天罡正气护盾，降低全体友军受到的伤害20%，持续6秒）</v>
      </c>
      <c r="T479" s="1"/>
      <c r="U479" s="1"/>
      <c r="V479" s="2" t="str">
        <f>VLOOKUP(COUNTIF($E$194:$E479,$E479),$L$184:$X$193,IF(H479=1,4,IF(H479=4,3,2))+IF(INDEX([1]Sheet1!$1:$1048576,MATCH($E479,[1]Sheet1!$A:$A,0),MATCH("zizhi",[1]Sheet1!$2:$2,0))&gt;=13,0,3)+6,0)</f>
        <v>[]</v>
      </c>
      <c r="W479" s="2" t="str">
        <f t="shared" si="39"/>
        <v>进阶+6：增强主角技能（释放天罡正气护盾，降低全体友军受到的伤害20%，持续6秒）</v>
      </c>
      <c r="X479" s="45" t="str">
        <f t="shared" si="37"/>
        <v>[]</v>
      </c>
      <c r="Y479" s="2"/>
      <c r="Z479" s="2"/>
      <c r="AA479" s="2"/>
    </row>
    <row r="480" spans="1:27">
      <c r="A480" s="10">
        <f>E480*100+COUNTIF($E$194:$E480,$E480)</f>
        <v>112507</v>
      </c>
      <c r="B480" s="68" t="s">
        <v>360</v>
      </c>
      <c r="C480" s="50" t="s">
        <v>354</v>
      </c>
      <c r="D480" s="10" t="str">
        <f t="shared" si="42"/>
        <v>[]</v>
      </c>
      <c r="E480" s="45">
        <f>INDEX($I:$I,MATCH($E479,$I:$I,0)+IF(COUNTIF($E$194:$E479,$E479)&lt;=VLOOKUP($E479,$I$134:$K$193,3,0)-1,0,1),0)</f>
        <v>1125</v>
      </c>
      <c r="F480" s="45" t="str">
        <f t="shared" si="38"/>
        <v>迦叶</v>
      </c>
      <c r="H480" s="45">
        <f>VLOOKUP($E480,[1]Sheet1!$A:$G,7,0)</f>
        <v>4</v>
      </c>
      <c r="I480" s="45" t="str">
        <f>IF($G480="","",IF(COUNTIF(技能描述!$D:$D,$F480)&gt;0,VLOOKUP($F480&amp;$G480,技能描述!$A:$C,3,0),LEFT(VLOOKUP($E480,[1]Sheet1!$A:$J,10,0),FIND("_",VLOOKUP($E480,[1]Sheet1!$A:$J,10,0))-1)&amp;$G480))</f>
        <v/>
      </c>
      <c r="J480" s="45" t="str">
        <f>IF($I480="","",VLOOKUP($I480,技能描述!$A:$C,3,0))</f>
        <v/>
      </c>
      <c r="K480" s="45" t="str">
        <f>IF($I480="","",INDEX([2]Sheet1!$1:$1048576,MATCH($I480,[2]Sheet1!$A:$A,0),MATCH("description_damage",[2]Sheet1!$2:$2,0)))</f>
        <v/>
      </c>
      <c r="L480" s="80" t="str">
        <f>IF($K480="","",IF(LEN($K480)-LEN(SUBSTITUTE($K480,",",""))=0,VLOOKUP(INT($K480),[3]Sheet1!$A:$C,3,0),VLOOKUP(INT(LEFT($K480,FIND(",",$K480)-1)),[3]Sheet1!$A:$C,3,0)))</f>
        <v/>
      </c>
      <c r="M480" s="80" t="str">
        <f t="shared" si="43"/>
        <v/>
      </c>
      <c r="N480" s="45" t="str">
        <f>IF(LEN($K480)-LEN(SUBSTITUTE($K480,",",""))=1,VLOOKUP(INT(RIGHT($K480,LEN($K480)-FIND(",",$K480))),[3]Sheet1!$A:$C,3,0),"")</f>
        <v/>
      </c>
      <c r="O480" s="45" t="str">
        <f t="shared" si="40"/>
        <v/>
      </c>
      <c r="P480" s="45" t="str">
        <f t="shared" si="36"/>
        <v/>
      </c>
      <c r="Q480" s="45" t="str">
        <f t="shared" si="41"/>
        <v/>
      </c>
      <c r="R480" s="45"/>
      <c r="S480" s="45" t="str">
        <f>IF(ISERROR($Q480),"进阶+"&amp;COUNTIF($E$194:$E480,$E480)&amp;"："&amp;"找ZC配技能","进阶+"&amp;COUNTIF($E$194:$E480,$E480)&amp;"："&amp;VLOOKUP(COUNTIF($E$194:$E480,$E480),$L$184:$R$193,IF(H480=1,4,IF(H480=4,3,2))+IF(INDEX([1]Sheet1!$1:$1048576,MATCH($E480,[1]Sheet1!$A:$A,0),MATCH("zizhi",[1]Sheet1!$2:$2,0))&gt;=13,0,3),0)&amp;IF($Q480="","","（"&amp;$Q480&amp;"）"))</f>
        <v>进阶+7：全队生命，防御提高10%</v>
      </c>
      <c r="T480" s="1"/>
      <c r="U480" s="1"/>
      <c r="V480" s="2" t="str">
        <f>VLOOKUP(COUNTIF($E$194:$E480,$E480),$L$184:$X$193,IF(H480=1,4,IF(H480=4,3,2))+IF(INDEX([1]Sheet1!$1:$1048576,MATCH($E480,[1]Sheet1!$A:$A,0),MATCH("zizhi",[1]Sheet1!$2:$2,0))&gt;=13,0,3)+6,0)</f>
        <v>57010,59010,60010</v>
      </c>
      <c r="W480" s="2" t="str">
        <f t="shared" si="39"/>
        <v>进阶+7：全队生命，防御提高10%</v>
      </c>
      <c r="X480" s="45" t="str">
        <f t="shared" si="37"/>
        <v>57010,59010,60010</v>
      </c>
      <c r="Y480" s="2"/>
      <c r="Z480" s="2"/>
      <c r="AA480" s="2"/>
    </row>
    <row r="481" spans="1:27" ht="33">
      <c r="A481" s="10">
        <f>E481*100+COUNTIF($E$194:$E481,$E481)</f>
        <v>112508</v>
      </c>
      <c r="B481" s="68" t="s">
        <v>2042</v>
      </c>
      <c r="C481" s="50" t="s">
        <v>2</v>
      </c>
      <c r="D481" s="10">
        <f t="shared" si="42"/>
        <v>1</v>
      </c>
      <c r="E481" s="45">
        <f>INDEX($I:$I,MATCH($E480,$I:$I,0)+IF(COUNTIF($E$194:$E480,$E480)&lt;=VLOOKUP($E480,$I$134:$K$193,3,0)-1,0,1),0)</f>
        <v>1125</v>
      </c>
      <c r="F481" s="45" t="str">
        <f t="shared" si="38"/>
        <v>迦叶</v>
      </c>
      <c r="G481" s="45" t="s">
        <v>219</v>
      </c>
      <c r="H481" s="45">
        <f>VLOOKUP($E481,[1]Sheet1!$A:$G,7,0)</f>
        <v>4</v>
      </c>
      <c r="I481" s="45" t="str">
        <f>IF($G481="","",IF(COUNTIF(技能描述!$D:$D,$F481)&gt;0,VLOOKUP($F481&amp;$G481,技能描述!$A:$C,3,0),LEFT(VLOOKUP($E481,[1]Sheet1!$A:$J,10,0),FIND("_",VLOOKUP($E481,[1]Sheet1!$A:$J,10,0))-1)&amp;$G481))</f>
        <v>jiaye_skill021</v>
      </c>
      <c r="J481" s="45" t="str">
        <f>IF($I481="","",VLOOKUP($I481,技能描述!$A:$C,3,0))</f>
        <v>迦叶蓄力挥拳，对范围内敌人进行3次攻击，造成自身攻击力@s的物伤，每次有27%的概率击晕对手</v>
      </c>
      <c r="K481" s="45" t="str">
        <f>IF($I481="","",INDEX([2]Sheet1!$1:$1048576,MATCH($I481,[2]Sheet1!$A:$A,0),MATCH("description_damage",[2]Sheet1!$2:$2,0)))</f>
        <v>112506</v>
      </c>
      <c r="L481" s="80" t="str">
        <f>IF($K481="","",IF(LEN($K481)-LEN(SUBSTITUTE($K481,",",""))=0,VLOOKUP(INT($K481),[3]Sheet1!$A:$C,3,0),VLOOKUP(INT(LEFT($K481,FIND(",",$K481)-1)),[3]Sheet1!$A:$C,3,0)))</f>
        <v>2|1|1.14|0|0|0</v>
      </c>
      <c r="M481" s="80" t="str">
        <f t="shared" si="43"/>
        <v>114%</v>
      </c>
      <c r="N481" s="45" t="str">
        <f>IF(LEN($K481)-LEN(SUBSTITUTE($K481,",",""))=1,VLOOKUP(INT(RIGHT($K481,LEN($K481)-FIND(",",$K481))),[3]Sheet1!$A:$C,3,0),"")</f>
        <v/>
      </c>
      <c r="O481" s="45" t="str">
        <f t="shared" si="40"/>
        <v/>
      </c>
      <c r="P481" s="45" t="str">
        <f t="shared" si="36"/>
        <v>迦叶蓄力挥拳，对范围内敌人进行3次攻击，造成自身攻击力114%的物伤，每次有27%的概率击晕对手</v>
      </c>
      <c r="Q481" s="45" t="str">
        <f t="shared" si="41"/>
        <v>迦叶蓄力挥拳，对范围内敌人进行3次攻击，造成自身攻击力114%的物伤，每次有27%的概率击晕对手</v>
      </c>
      <c r="R481" s="45"/>
      <c r="S481" s="45" t="str">
        <f>IF(ISERROR($Q481),"进阶+"&amp;COUNTIF($E$194:$E481,$E481)&amp;"："&amp;"找ZC配技能","进阶+"&amp;COUNTIF($E$194:$E481,$E481)&amp;"："&amp;VLOOKUP(COUNTIF($E$194:$E481,$E481),$L$184:$R$193,IF(H481=1,4,IF(H481=4,3,2))+IF(INDEX([1]Sheet1!$1:$1048576,MATCH($E481,[1]Sheet1!$A:$A,0),MATCH("zizhi",[1]Sheet1!$2:$2,0))&gt;=13,0,3),0)&amp;IF($Q481="","","（"&amp;$Q481&amp;"）"))</f>
        <v>进阶+8：增强AI1技能（迦叶蓄力挥拳，对范围内敌人进行3次攻击，造成自身攻击力114%的物伤，每次有27%的概率击晕对手）</v>
      </c>
      <c r="T481" s="1"/>
      <c r="U481" s="1"/>
      <c r="V481" s="2" t="str">
        <f>VLOOKUP(COUNTIF($E$194:$E481,$E481),$L$184:$X$193,IF(H481=1,4,IF(H481=4,3,2))+IF(INDEX([1]Sheet1!$1:$1048576,MATCH($E481,[1]Sheet1!$A:$A,0),MATCH("zizhi",[1]Sheet1!$2:$2,0))&gt;=13,0,3)+6,0)</f>
        <v>[]</v>
      </c>
      <c r="W481" s="2" t="str">
        <f t="shared" si="39"/>
        <v>进阶+8：增强AI1技能（迦叶蓄力挥拳，对范围内敌人进行3次攻击，造成自身攻击力114%的物伤，每次有27%的概率击晕对手）</v>
      </c>
      <c r="X481" s="45" t="str">
        <f t="shared" si="37"/>
        <v>[]</v>
      </c>
      <c r="Y481" s="2"/>
      <c r="Z481" s="2"/>
      <c r="AA481" s="2"/>
    </row>
    <row r="482" spans="1:27">
      <c r="A482" s="10">
        <f>E482*100+COUNTIF($E$194:$E482,$E482)</f>
        <v>112509</v>
      </c>
      <c r="B482" s="68" t="s">
        <v>1902</v>
      </c>
      <c r="C482" s="50" t="s">
        <v>357</v>
      </c>
      <c r="D482" s="10" t="str">
        <f t="shared" si="42"/>
        <v>[]</v>
      </c>
      <c r="E482" s="45">
        <f>INDEX($I:$I,MATCH($E481,$I:$I,0)+IF(COUNTIF($E$194:$E481,$E481)&lt;=VLOOKUP($E481,$I$134:$K$193,3,0)-1,0,1),0)</f>
        <v>1125</v>
      </c>
      <c r="F482" s="45" t="str">
        <f t="shared" si="38"/>
        <v>迦叶</v>
      </c>
      <c r="H482" s="45">
        <f>VLOOKUP($E482,[1]Sheet1!$A:$G,7,0)</f>
        <v>4</v>
      </c>
      <c r="I482" s="45" t="str">
        <f>IF($G482="","",IF(COUNTIF(技能描述!$D:$D,$F482)&gt;0,VLOOKUP($F482&amp;$G482,技能描述!$A:$C,3,0),LEFT(VLOOKUP($E482,[1]Sheet1!$A:$J,10,0),FIND("_",VLOOKUP($E482,[1]Sheet1!$A:$J,10,0))-1)&amp;$G482))</f>
        <v/>
      </c>
      <c r="J482" s="45" t="str">
        <f>IF($I482="","",VLOOKUP($I482,技能描述!$A:$C,3,0))</f>
        <v/>
      </c>
      <c r="K482" s="45" t="str">
        <f>IF($I482="","",INDEX([2]Sheet1!$1:$1048576,MATCH($I482,[2]Sheet1!$A:$A,0),MATCH("description_damage",[2]Sheet1!$2:$2,0)))</f>
        <v/>
      </c>
      <c r="L482" s="80" t="str">
        <f>IF($K482="","",IF(LEN($K482)-LEN(SUBSTITUTE($K482,",",""))=0,VLOOKUP(INT($K482),[3]Sheet1!$A:$C,3,0),VLOOKUP(INT(LEFT($K482,FIND(",",$K482)-1)),[3]Sheet1!$A:$C,3,0)))</f>
        <v/>
      </c>
      <c r="M482" s="80" t="str">
        <f t="shared" si="43"/>
        <v/>
      </c>
      <c r="N482" s="45" t="str">
        <f>IF(LEN($K482)-LEN(SUBSTITUTE($K482,",",""))=1,VLOOKUP(INT(RIGHT($K482,LEN($K482)-FIND(",",$K482))),[3]Sheet1!$A:$C,3,0),"")</f>
        <v/>
      </c>
      <c r="O482" s="45" t="str">
        <f t="shared" si="40"/>
        <v/>
      </c>
      <c r="P482" s="45" t="str">
        <f t="shared" si="36"/>
        <v/>
      </c>
      <c r="Q482" s="45" t="str">
        <f t="shared" si="41"/>
        <v/>
      </c>
      <c r="R482" s="45"/>
      <c r="S482" s="45" t="str">
        <f>IF(ISERROR($Q482),"进阶+"&amp;COUNTIF($E$194:$E482,$E482)&amp;"："&amp;"找ZC配技能","进阶+"&amp;COUNTIF($E$194:$E482,$E482)&amp;"："&amp;VLOOKUP(COUNTIF($E$194:$E482,$E482),$L$184:$R$193,IF(H482=1,4,IF(H482=4,3,2))+IF(INDEX([1]Sheet1!$1:$1048576,MATCH($E482,[1]Sheet1!$A:$A,0),MATCH("zizhi",[1]Sheet1!$2:$2,0))&gt;=13,0,3),0)&amp;IF($Q482="","","（"&amp;$Q482&amp;"）"))</f>
        <v>进阶+9：全队生命，防御提高15%</v>
      </c>
      <c r="T482" s="1"/>
      <c r="U482" s="1"/>
      <c r="V482" s="2" t="str">
        <f>VLOOKUP(COUNTIF($E$194:$E482,$E482),$L$184:$X$193,IF(H482=1,4,IF(H482=4,3,2))+IF(INDEX([1]Sheet1!$1:$1048576,MATCH($E482,[1]Sheet1!$A:$A,0),MATCH("zizhi",[1]Sheet1!$2:$2,0))&gt;=13,0,3)+6,0)</f>
        <v>57015,59015,60015</v>
      </c>
      <c r="W482" s="2" t="str">
        <f t="shared" si="39"/>
        <v>进阶+9：全队生命，防御提高15%</v>
      </c>
      <c r="X482" s="45" t="str">
        <f t="shared" si="37"/>
        <v>57015,59015,60015</v>
      </c>
      <c r="Y482" s="2"/>
      <c r="Z482" s="2"/>
      <c r="AA482" s="2"/>
    </row>
    <row r="483" spans="1:27" ht="33">
      <c r="A483" s="10">
        <f>E483*100+COUNTIF($E$194:$E483,$E483)</f>
        <v>112510</v>
      </c>
      <c r="B483" s="68" t="s">
        <v>1930</v>
      </c>
      <c r="C483" s="50" t="s">
        <v>2</v>
      </c>
      <c r="D483" s="10">
        <f t="shared" si="42"/>
        <v>1</v>
      </c>
      <c r="E483" s="45">
        <f>INDEX($I:$I,MATCH($E482,$I:$I,0)+IF(COUNTIF($E$194:$E482,$E482)&lt;=VLOOKUP($E482,$I$134:$K$193,3,0)-1,0,1),0)</f>
        <v>1125</v>
      </c>
      <c r="F483" s="45" t="str">
        <f t="shared" si="38"/>
        <v>迦叶</v>
      </c>
      <c r="G483" s="45" t="s">
        <v>220</v>
      </c>
      <c r="H483" s="45">
        <f>VLOOKUP($E483,[1]Sheet1!$A:$G,7,0)</f>
        <v>4</v>
      </c>
      <c r="I483" s="45" t="str">
        <f>IF($G483="","",IF(COUNTIF(技能描述!$D:$D,$F483)&gt;0,VLOOKUP($F483&amp;$G483,技能描述!$A:$C,3,0),LEFT(VLOOKUP($E483,[1]Sheet1!$A:$J,10,0),FIND("_",VLOOKUP($E483,[1]Sheet1!$A:$J,10,0))-1)&amp;$G483))</f>
        <v>jiaye_skill041</v>
      </c>
      <c r="J483" s="45" t="str">
        <f>IF($I483="","",VLOOKUP($I483,技能描述!$A:$C,3,0))</f>
        <v>迦叶用佛光治疗自身，每0.5秒恢复自身生命值上限2%的生命值，持续2秒</v>
      </c>
      <c r="K483" s="45" t="str">
        <f>IF($I483="","",INDEX([2]Sheet1!$1:$1048576,MATCH($I483,[2]Sheet1!$A:$A,0),MATCH("description_damage",[2]Sheet1!$2:$2,0)))</f>
        <v>9003</v>
      </c>
      <c r="L483" s="80" t="str">
        <f>IF($K483="","",IF(LEN($K483)-LEN(SUBSTITUTE($K483,",",""))=0,VLOOKUP(INT($K483),[3]Sheet1!$A:$C,3,0),VLOOKUP(INT(LEFT($K483,FIND(",",$K483)-1)),[3]Sheet1!$A:$C,3,0)))</f>
        <v>4|3|0.03|0|1</v>
      </c>
      <c r="M483" s="80" t="str">
        <f t="shared" si="43"/>
        <v>3%</v>
      </c>
      <c r="N483" s="45" t="str">
        <f>IF(LEN($K483)-LEN(SUBSTITUTE($K483,",",""))=1,VLOOKUP(INT(RIGHT($K483,LEN($K483)-FIND(",",$K483))),[3]Sheet1!$A:$C,3,0),"")</f>
        <v/>
      </c>
      <c r="O483" s="45" t="str">
        <f t="shared" si="40"/>
        <v/>
      </c>
      <c r="P483" s="45" t="str">
        <f t="shared" si="36"/>
        <v>迦叶用佛光治疗自身，每0.5秒恢复自身生命值上限2%的生命值，持续2秒</v>
      </c>
      <c r="Q483" s="45" t="str">
        <f t="shared" si="41"/>
        <v>迦叶用佛光治疗自身，每0.5秒恢复自身生命值上限2%的生命值，持续2秒</v>
      </c>
      <c r="R483" s="45"/>
      <c r="S483" s="45" t="str">
        <f>IF(ISERROR($Q483),"进阶+"&amp;COUNTIF($E$194:$E483,$E483)&amp;"："&amp;"找ZC配技能","进阶+"&amp;COUNTIF($E$194:$E483,$E483)&amp;"："&amp;VLOOKUP(COUNTIF($E$194:$E483,$E483),$L$184:$R$193,IF(H483=1,4,IF(H483=4,3,2))+IF(INDEX([1]Sheet1!$1:$1048576,MATCH($E483,[1]Sheet1!$A:$A,0),MATCH("zizhi",[1]Sheet1!$2:$2,0))&gt;=13,0,3),0)&amp;IF($Q483="","","（"&amp;$Q483&amp;"）"))</f>
        <v>进阶+10：增强AI2技能（迦叶用佛光治疗自身，每0.5秒恢复自身生命值上限2%的生命值，持续2秒）</v>
      </c>
      <c r="T483" s="1"/>
      <c r="U483" s="1"/>
      <c r="V483" s="2" t="str">
        <f>VLOOKUP(COUNTIF($E$194:$E483,$E483),$L$184:$X$193,IF(H483=1,4,IF(H483=4,3,2))+IF(INDEX([1]Sheet1!$1:$1048576,MATCH($E483,[1]Sheet1!$A:$A,0),MATCH("zizhi",[1]Sheet1!$2:$2,0))&gt;=13,0,3)+6,0)</f>
        <v>[]</v>
      </c>
      <c r="W483" s="2" t="str">
        <f t="shared" si="39"/>
        <v>进阶+10：增强AI2技能（迦叶用佛光治疗自身，每0.5秒恢复自身生命值上限2%的生命值，持续2秒）</v>
      </c>
      <c r="X483" s="45" t="str">
        <f t="shared" si="37"/>
        <v>[]</v>
      </c>
      <c r="Y483" s="2"/>
      <c r="Z483" s="2"/>
      <c r="AA483" s="2"/>
    </row>
    <row r="484" spans="1:27">
      <c r="A484" s="10">
        <f>E484*100+COUNTIF($E$194:$E484,$E484)</f>
        <v>120201</v>
      </c>
      <c r="B484" s="68" t="s">
        <v>310</v>
      </c>
      <c r="C484" s="50" t="s">
        <v>127</v>
      </c>
      <c r="D484" s="10" t="str">
        <f t="shared" si="42"/>
        <v>[]</v>
      </c>
      <c r="E484" s="45">
        <f>INDEX($I:$I,MATCH($E483,$I:$I,0)+IF(COUNTIF($E$194:$E483,$E483)&lt;=VLOOKUP($E483,$I$134:$K$193,3,0)-1,0,1),0)</f>
        <v>1202</v>
      </c>
      <c r="F484" s="45" t="str">
        <f t="shared" si="38"/>
        <v>人参娃</v>
      </c>
      <c r="H484" s="45">
        <f>VLOOKUP($E484,[1]Sheet1!$A:$G,7,0)</f>
        <v>3</v>
      </c>
      <c r="I484" s="45" t="str">
        <f>IF($G484="","",IF(COUNTIF(技能描述!$D:$D,$F484)&gt;0,VLOOKUP($F484&amp;$G484,技能描述!$A:$C,3,0),LEFT(VLOOKUP($E484,[1]Sheet1!$A:$J,10,0),FIND("_",VLOOKUP($E484,[1]Sheet1!$A:$J,10,0))-1)&amp;$G484))</f>
        <v/>
      </c>
      <c r="J484" s="45" t="str">
        <f>IF($I484="","",VLOOKUP($I484,技能描述!$A:$C,3,0))</f>
        <v/>
      </c>
      <c r="K484" s="45" t="str">
        <f>IF($I484="","",INDEX([2]Sheet1!$1:$1048576,MATCH($I484,[2]Sheet1!$A:$A,0),MATCH("description_damage",[2]Sheet1!$2:$2,0)))</f>
        <v/>
      </c>
      <c r="L484" s="80" t="str">
        <f>IF($K484="","",IF(LEN($K484)-LEN(SUBSTITUTE($K484,",",""))=0,VLOOKUP(INT($K484),[3]Sheet1!$A:$C,3,0),VLOOKUP(INT(LEFT($K484,FIND(",",$K484)-1)),[3]Sheet1!$A:$C,3,0)))</f>
        <v/>
      </c>
      <c r="M484" s="80" t="str">
        <f t="shared" si="43"/>
        <v/>
      </c>
      <c r="N484" s="45" t="str">
        <f>IF(LEN($K484)-LEN(SUBSTITUTE($K484,",",""))=1,VLOOKUP(INT(RIGHT($K484,LEN($K484)-FIND(",",$K484))),[3]Sheet1!$A:$C,3,0),"")</f>
        <v/>
      </c>
      <c r="O484" s="45" t="str">
        <f t="shared" si="40"/>
        <v/>
      </c>
      <c r="P484" s="45" t="str">
        <f t="shared" si="36"/>
        <v/>
      </c>
      <c r="Q484" s="45" t="str">
        <f t="shared" si="41"/>
        <v/>
      </c>
      <c r="R484" s="45"/>
      <c r="S484" s="45" t="str">
        <f>IF(ISERROR($Q484),"进阶+"&amp;COUNTIF($E$194:$E484,$E484)&amp;"："&amp;"找ZC配技能","进阶+"&amp;COUNTIF($E$194:$E484,$E484)&amp;"："&amp;VLOOKUP(COUNTIF($E$194:$E484,$E484),$L$184:$R$193,IF(H484=1,4,IF(H484=4,3,2))+IF(INDEX([1]Sheet1!$1:$1048576,MATCH($E484,[1]Sheet1!$A:$A,0),MATCH("zizhi",[1]Sheet1!$2:$2,0))&gt;=13,0,3),0)&amp;IF($Q484="","","（"&amp;$Q484&amp;"）"))</f>
        <v>进阶+1：攻击提高10%</v>
      </c>
      <c r="T484" s="1"/>
      <c r="U484" s="1"/>
      <c r="V484" s="2" t="str">
        <f>VLOOKUP(COUNTIF($E$194:$E484,$E484),$L$184:$X$193,IF(H484=1,4,IF(H484=4,3,2))+IF(INDEX([1]Sheet1!$1:$1048576,MATCH($E484,[1]Sheet1!$A:$A,0),MATCH("zizhi",[1]Sheet1!$2:$2,0))&gt;=13,0,3)+6,0)</f>
        <v>11050</v>
      </c>
      <c r="W484" s="2" t="str">
        <f t="shared" si="39"/>
        <v>进阶+1：攻击提高10%</v>
      </c>
      <c r="X484" s="45" t="str">
        <f t="shared" si="37"/>
        <v>11050</v>
      </c>
      <c r="Y484" s="2"/>
      <c r="Z484" s="2"/>
      <c r="AA484" s="2"/>
    </row>
    <row r="485" spans="1:27">
      <c r="A485" s="10">
        <f>E485*100+COUNTIF($E$194:$E485,$E485)</f>
        <v>120202</v>
      </c>
      <c r="B485" s="68" t="s">
        <v>341</v>
      </c>
      <c r="C485" s="50" t="s">
        <v>2</v>
      </c>
      <c r="D485" s="10">
        <f t="shared" si="42"/>
        <v>1</v>
      </c>
      <c r="E485" s="45">
        <f>INDEX($I:$I,MATCH($E484,$I:$I,0)+IF(COUNTIF($E$194:$E484,$E484)&lt;=VLOOKUP($E484,$I$134:$K$193,3,0)-1,0,1),0)</f>
        <v>1202</v>
      </c>
      <c r="F485" s="45" t="str">
        <f t="shared" si="38"/>
        <v>人参娃</v>
      </c>
      <c r="G485" s="45" t="s">
        <v>216</v>
      </c>
      <c r="H485" s="45">
        <f>VLOOKUP($E485,[1]Sheet1!$A:$G,7,0)</f>
        <v>3</v>
      </c>
      <c r="I485" s="45" t="str">
        <f>IF($G485="","",IF(COUNTIF(技能描述!$D:$D,$F485)&gt;0,VLOOKUP($F485&amp;$G485,技能描述!$A:$C,3,0),LEFT(VLOOKUP($E485,[1]Sheet1!$A:$J,10,0),FIND("_",VLOOKUP($E485,[1]Sheet1!$A:$J,10,0))-1)&amp;$G485))</f>
        <v>renshenwa_skill03</v>
      </c>
      <c r="J485" s="45" t="str">
        <f>IF($I485="","",VLOOKUP($I485,技能描述!$A:$C,3,0))</f>
        <v>进入战斗场景时，提高自身闪避@s</v>
      </c>
      <c r="K485" s="45" t="str">
        <f>IF($I485="","",INDEX([2]Sheet1!$1:$1048576,MATCH($I485,[2]Sheet1!$A:$A,0),MATCH("description_damage",[2]Sheet1!$2:$2,0)))</f>
        <v>9020</v>
      </c>
      <c r="L485" s="80" t="str">
        <f>IF($K485="","",IF(LEN($K485)-LEN(SUBSTITUTE($K485,",",""))=0,VLOOKUP(INT($K485),[3]Sheet1!$A:$C,3,0),VLOOKUP(INT(LEFT($K485,FIND(",",$K485)-1)),[3]Sheet1!$A:$C,3,0)))</f>
        <v>4|3|0.2|0|1</v>
      </c>
      <c r="M485" s="80" t="str">
        <f t="shared" si="43"/>
        <v>20%</v>
      </c>
      <c r="N485" s="45" t="str">
        <f>IF(LEN($K485)-LEN(SUBSTITUTE($K485,",",""))=1,VLOOKUP(INT(RIGHT($K485,LEN($K485)-FIND(",",$K485))),[3]Sheet1!$A:$C,3,0),"")</f>
        <v/>
      </c>
      <c r="O485" s="45" t="str">
        <f t="shared" si="40"/>
        <v/>
      </c>
      <c r="P485" s="45" t="str">
        <f t="shared" si="36"/>
        <v>进入战斗场景时，提高自身闪避20%</v>
      </c>
      <c r="Q485" s="45" t="str">
        <f t="shared" si="41"/>
        <v>进入战斗场景时，提高自身闪避20%</v>
      </c>
      <c r="R485" s="45"/>
      <c r="S485" s="45" t="str">
        <f>IF(ISERROR($Q485),"进阶+"&amp;COUNTIF($E$194:$E485,$E485)&amp;"："&amp;"找ZC配技能","进阶+"&amp;COUNTIF($E$194:$E485,$E485)&amp;"："&amp;VLOOKUP(COUNTIF($E$194:$E485,$E485),$L$184:$R$193,IF(H485=1,4,IF(H485=4,3,2))+IF(INDEX([1]Sheet1!$1:$1048576,MATCH($E485,[1]Sheet1!$A:$A,0),MATCH("zizhi",[1]Sheet1!$2:$2,0))&gt;=13,0,3),0)&amp;IF($Q485="","","（"&amp;$Q485&amp;"）"))</f>
        <v>进阶+2：激活被动技能（进入战斗场景时，提高自身闪避20%）</v>
      </c>
      <c r="T485" s="1"/>
      <c r="U485" s="1"/>
      <c r="V485" s="2" t="str">
        <f>VLOOKUP(COUNTIF($E$194:$E485,$E485),$L$184:$X$193,IF(H485=1,4,IF(H485=4,3,2))+IF(INDEX([1]Sheet1!$1:$1048576,MATCH($E485,[1]Sheet1!$A:$A,0),MATCH("zizhi",[1]Sheet1!$2:$2,0))&gt;=13,0,3)+6,0)</f>
        <v>[]</v>
      </c>
      <c r="W485" s="2" t="str">
        <f t="shared" si="39"/>
        <v>进阶+2：激活被动技能（进入战斗场景时，提高自身闪避20%）</v>
      </c>
      <c r="X485" s="45" t="str">
        <f t="shared" si="37"/>
        <v>[]</v>
      </c>
      <c r="Y485" s="2"/>
      <c r="Z485" s="2"/>
      <c r="AA485" s="2"/>
    </row>
    <row r="486" spans="1:27">
      <c r="A486" s="10">
        <f>E486*100+COUNTIF($E$194:$E486,$E486)</f>
        <v>120203</v>
      </c>
      <c r="B486" s="68" t="s">
        <v>312</v>
      </c>
      <c r="C486" s="50" t="s">
        <v>127</v>
      </c>
      <c r="D486" s="10" t="str">
        <f t="shared" si="42"/>
        <v>[]</v>
      </c>
      <c r="E486" s="45">
        <f>INDEX($I:$I,MATCH($E485,$I:$I,0)+IF(COUNTIF($E$194:$E485,$E485)&lt;=VLOOKUP($E485,$I$134:$K$193,3,0)-1,0,1),0)</f>
        <v>1202</v>
      </c>
      <c r="F486" s="45" t="str">
        <f t="shared" si="38"/>
        <v>人参娃</v>
      </c>
      <c r="H486" s="45">
        <f>VLOOKUP($E486,[1]Sheet1!$A:$G,7,0)</f>
        <v>3</v>
      </c>
      <c r="I486" s="45" t="str">
        <f>IF($G486="","",IF(COUNTIF(技能描述!$D:$D,$F486)&gt;0,VLOOKUP($F486&amp;$G486,技能描述!$A:$C,3,0),LEFT(VLOOKUP($E486,[1]Sheet1!$A:$J,10,0),FIND("_",VLOOKUP($E486,[1]Sheet1!$A:$J,10,0))-1)&amp;$G486))</f>
        <v/>
      </c>
      <c r="J486" s="45" t="str">
        <f>IF($I486="","",VLOOKUP($I486,技能描述!$A:$C,3,0))</f>
        <v/>
      </c>
      <c r="K486" s="45" t="str">
        <f>IF($I486="","",INDEX([2]Sheet1!$1:$1048576,MATCH($I486,[2]Sheet1!$A:$A,0),MATCH("description_damage",[2]Sheet1!$2:$2,0)))</f>
        <v/>
      </c>
      <c r="L486" s="80" t="str">
        <f>IF($K486="","",IF(LEN($K486)-LEN(SUBSTITUTE($K486,",",""))=0,VLOOKUP(INT($K486),[3]Sheet1!$A:$C,3,0),VLOOKUP(INT(LEFT($K486,FIND(",",$K486)-1)),[3]Sheet1!$A:$C,3,0)))</f>
        <v/>
      </c>
      <c r="M486" s="80" t="str">
        <f t="shared" si="43"/>
        <v/>
      </c>
      <c r="N486" s="45" t="str">
        <f>IF(LEN($K486)-LEN(SUBSTITUTE($K486,",",""))=1,VLOOKUP(INT(RIGHT($K486,LEN($K486)-FIND(",",$K486))),[3]Sheet1!$A:$C,3,0),"")</f>
        <v/>
      </c>
      <c r="O486" s="45" t="str">
        <f t="shared" si="40"/>
        <v/>
      </c>
      <c r="P486" s="45" t="str">
        <f t="shared" si="36"/>
        <v/>
      </c>
      <c r="Q486" s="45" t="str">
        <f t="shared" si="41"/>
        <v/>
      </c>
      <c r="R486" s="45"/>
      <c r="S486" s="45" t="str">
        <f>IF(ISERROR($Q486),"进阶+"&amp;COUNTIF($E$194:$E486,$E486)&amp;"："&amp;"找ZC配技能","进阶+"&amp;COUNTIF($E$194:$E486,$E486)&amp;"："&amp;VLOOKUP(COUNTIF($E$194:$E486,$E486),$L$184:$R$193,IF(H486=1,4,IF(H486=4,3,2))+IF(INDEX([1]Sheet1!$1:$1048576,MATCH($E486,[1]Sheet1!$A:$A,0),MATCH("zizhi",[1]Sheet1!$2:$2,0))&gt;=13,0,3),0)&amp;IF($Q486="","","（"&amp;$Q486&amp;"）"))</f>
        <v>进阶+3：攻击提高10%</v>
      </c>
      <c r="T486" s="1"/>
      <c r="U486" s="1"/>
      <c r="V486" s="2" t="str">
        <f>VLOOKUP(COUNTIF($E$194:$E486,$E486),$L$184:$X$193,IF(H486=1,4,IF(H486=4,3,2))+IF(INDEX([1]Sheet1!$1:$1048576,MATCH($E486,[1]Sheet1!$A:$A,0),MATCH("zizhi",[1]Sheet1!$2:$2,0))&gt;=13,0,3)+6,0)</f>
        <v>11050</v>
      </c>
      <c r="W486" s="2" t="str">
        <f t="shared" si="39"/>
        <v>进阶+3：攻击提高10%</v>
      </c>
      <c r="X486" s="45" t="str">
        <f t="shared" si="37"/>
        <v>11050</v>
      </c>
      <c r="Y486" s="2"/>
      <c r="Z486" s="2"/>
      <c r="AA486" s="2"/>
    </row>
    <row r="487" spans="1:27" ht="33">
      <c r="A487" s="10">
        <f>E487*100+COUNTIF($E$194:$E487,$E487)</f>
        <v>120204</v>
      </c>
      <c r="B487" s="68" t="s">
        <v>1875</v>
      </c>
      <c r="C487" s="50" t="s">
        <v>2</v>
      </c>
      <c r="D487" s="10">
        <f t="shared" si="42"/>
        <v>1</v>
      </c>
      <c r="E487" s="45">
        <f>INDEX($I:$I,MATCH($E486,$I:$I,0)+IF(COUNTIF($E$194:$E486,$E486)&lt;=VLOOKUP($E486,$I$134:$K$193,3,0)-1,0,1),0)</f>
        <v>1202</v>
      </c>
      <c r="F487" s="45" t="str">
        <f t="shared" si="38"/>
        <v>人参娃</v>
      </c>
      <c r="G487" s="45" t="s">
        <v>217</v>
      </c>
      <c r="H487" s="45">
        <f>VLOOKUP($E487,[1]Sheet1!$A:$G,7,0)</f>
        <v>3</v>
      </c>
      <c r="I487" s="45" t="str">
        <f>IF($G487="","",IF(COUNTIF(技能描述!$D:$D,$F487)&gt;0,VLOOKUP($F487&amp;$G487,技能描述!$A:$C,3,0),LEFT(VLOOKUP($E487,[1]Sheet1!$A:$J,10,0),FIND("_",VLOOKUP($E487,[1]Sheet1!$A:$J,10,0))-1)&amp;$G487))</f>
        <v>renshenwa_skill04</v>
      </c>
      <c r="J487" s="45" t="str">
        <f>IF($I487="","",VLOOKUP($I487,技能描述!$A:$C,3,0))</f>
        <v>人参娃举起拨浪鼓狠狠敲击敌军，对范围内敌人造成自身攻击力@s的物伤，胡来的重锤有40%的概率敲晕目标</v>
      </c>
      <c r="K487" s="45" t="str">
        <f>IF($I487="","",INDEX([2]Sheet1!$1:$1048576,MATCH($I487,[2]Sheet1!$A:$A,0),MATCH("description_damage",[2]Sheet1!$2:$2,0)))</f>
        <v>120204</v>
      </c>
      <c r="L487" s="80" t="str">
        <f>IF($K487="","",IF(LEN($K487)-LEN(SUBSTITUTE($K487,",",""))=0,VLOOKUP(INT($K487),[3]Sheet1!$A:$C,3,0),VLOOKUP(INT(LEFT($K487,FIND(",",$K487)-1)),[3]Sheet1!$A:$C,3,0)))</f>
        <v>2|1|2.85|0|0|0</v>
      </c>
      <c r="M487" s="80" t="str">
        <f t="shared" si="43"/>
        <v>285%</v>
      </c>
      <c r="N487" s="45" t="str">
        <f>IF(LEN($K487)-LEN(SUBSTITUTE($K487,",",""))=1,VLOOKUP(INT(RIGHT($K487,LEN($K487)-FIND(",",$K487))),[3]Sheet1!$A:$C,3,0),"")</f>
        <v/>
      </c>
      <c r="O487" s="45" t="str">
        <f t="shared" si="40"/>
        <v/>
      </c>
      <c r="P487" s="45" t="str">
        <f t="shared" si="36"/>
        <v>人参娃举起拨浪鼓狠狠敲击敌军，对范围内敌人造成自身攻击力285%的物伤，胡来的重锤有40%的概率敲晕目标</v>
      </c>
      <c r="Q487" s="45" t="str">
        <f t="shared" si="41"/>
        <v>人参娃举起拨浪鼓狠狠敲击敌军，对范围内敌人造成自身攻击力285%的物伤，胡来的重锤有40%的概率敲晕目标</v>
      </c>
      <c r="R487" s="45"/>
      <c r="S487" s="45" t="str">
        <f>IF(ISERROR($Q487),"进阶+"&amp;COUNTIF($E$194:$E487,$E487)&amp;"："&amp;"找ZC配技能","进阶+"&amp;COUNTIF($E$194:$E487,$E487)&amp;"："&amp;VLOOKUP(COUNTIF($E$194:$E487,$E487),$L$184:$R$193,IF(H487=1,4,IF(H487=4,3,2))+IF(INDEX([1]Sheet1!$1:$1048576,MATCH($E487,[1]Sheet1!$A:$A,0),MATCH("zizhi",[1]Sheet1!$2:$2,0))&gt;=13,0,3),0)&amp;IF($Q487="","","（"&amp;$Q487&amp;"）"))</f>
        <v>进阶+4：激活AI2技能（人参娃举起拨浪鼓狠狠敲击敌军，对范围内敌人造成自身攻击力285%的物伤，胡来的重锤有40%的概率敲晕目标）</v>
      </c>
      <c r="T487" s="1"/>
      <c r="U487" s="1"/>
      <c r="V487" s="2" t="str">
        <f>VLOOKUP(COUNTIF($E$194:$E487,$E487),$L$184:$X$193,IF(H487=1,4,IF(H487=4,3,2))+IF(INDEX([1]Sheet1!$1:$1048576,MATCH($E487,[1]Sheet1!$A:$A,0),MATCH("zizhi",[1]Sheet1!$2:$2,0))&gt;=13,0,3)+6,0)</f>
        <v>[]</v>
      </c>
      <c r="W487" s="2" t="str">
        <f t="shared" si="39"/>
        <v>进阶+4：激活AI2技能（人参娃举起拨浪鼓狠狠敲击敌军，对范围内敌人造成自身攻击力285%的物伤，胡来的重锤有40%的概率敲晕目标）</v>
      </c>
      <c r="X487" s="45" t="str">
        <f t="shared" si="37"/>
        <v>[]</v>
      </c>
      <c r="Y487" s="2"/>
      <c r="Z487" s="2"/>
      <c r="AA487" s="2"/>
    </row>
    <row r="488" spans="1:27">
      <c r="A488" s="10">
        <f>E488*100+COUNTIF($E$194:$E488,$E488)</f>
        <v>120205</v>
      </c>
      <c r="B488" s="68" t="s">
        <v>323</v>
      </c>
      <c r="C488" s="50" t="s">
        <v>140</v>
      </c>
      <c r="D488" s="10" t="str">
        <f t="shared" si="42"/>
        <v>[]</v>
      </c>
      <c r="E488" s="45">
        <f>INDEX($I:$I,MATCH($E487,$I:$I,0)+IF(COUNTIF($E$194:$E487,$E487)&lt;=VLOOKUP($E487,$I$134:$K$193,3,0)-1,0,1),0)</f>
        <v>1202</v>
      </c>
      <c r="F488" s="45" t="str">
        <f t="shared" si="38"/>
        <v>人参娃</v>
      </c>
      <c r="H488" s="45">
        <f>VLOOKUP($E488,[1]Sheet1!$A:$G,7,0)</f>
        <v>3</v>
      </c>
      <c r="I488" s="45" t="str">
        <f>IF($G488="","",IF(COUNTIF(技能描述!$D:$D,$F488)&gt;0,VLOOKUP($F488&amp;$G488,技能描述!$A:$C,3,0),LEFT(VLOOKUP($E488,[1]Sheet1!$A:$J,10,0),FIND("_",VLOOKUP($E488,[1]Sheet1!$A:$J,10,0))-1)&amp;$G488))</f>
        <v/>
      </c>
      <c r="J488" s="45" t="str">
        <f>IF($I488="","",VLOOKUP($I488,技能描述!$A:$C,3,0))</f>
        <v/>
      </c>
      <c r="K488" s="45" t="str">
        <f>IF($I488="","",INDEX([2]Sheet1!$1:$1048576,MATCH($I488,[2]Sheet1!$A:$A,0),MATCH("description_damage",[2]Sheet1!$2:$2,0)))</f>
        <v/>
      </c>
      <c r="L488" s="80" t="str">
        <f>IF($K488="","",IF(LEN($K488)-LEN(SUBSTITUTE($K488,",",""))=0,VLOOKUP(INT($K488),[3]Sheet1!$A:$C,3,0),VLOOKUP(INT(LEFT($K488,FIND(",",$K488)-1)),[3]Sheet1!$A:$C,3,0)))</f>
        <v/>
      </c>
      <c r="M488" s="80" t="str">
        <f t="shared" si="43"/>
        <v/>
      </c>
      <c r="N488" s="45" t="str">
        <f>IF(LEN($K488)-LEN(SUBSTITUTE($K488,",",""))=1,VLOOKUP(INT(RIGHT($K488,LEN($K488)-FIND(",",$K488))),[3]Sheet1!$A:$C,3,0),"")</f>
        <v/>
      </c>
      <c r="O488" s="45" t="str">
        <f t="shared" si="40"/>
        <v/>
      </c>
      <c r="P488" s="45" t="str">
        <f t="shared" si="36"/>
        <v/>
      </c>
      <c r="Q488" s="45" t="str">
        <f t="shared" si="41"/>
        <v/>
      </c>
      <c r="R488" s="45"/>
      <c r="S488" s="45" t="str">
        <f>IF(ISERROR($Q488),"进阶+"&amp;COUNTIF($E$194:$E488,$E488)&amp;"："&amp;"找ZC配技能","进阶+"&amp;COUNTIF($E$194:$E488,$E488)&amp;"："&amp;VLOOKUP(COUNTIF($E$194:$E488,$E488),$L$184:$R$193,IF(H488=1,4,IF(H488=4,3,2))+IF(INDEX([1]Sheet1!$1:$1048576,MATCH($E488,[1]Sheet1!$A:$A,0),MATCH("zizhi",[1]Sheet1!$2:$2,0))&gt;=13,0,3),0)&amp;IF($Q488="","","（"&amp;$Q488&amp;"）"))</f>
        <v>进阶+5：生命，防御提高10%</v>
      </c>
      <c r="T488" s="1"/>
      <c r="U488" s="1"/>
      <c r="V488" s="2" t="str">
        <f>VLOOKUP(COUNTIF($E$194:$E488,$E488),$L$184:$X$193,IF(H488=1,4,IF(H488=4,3,2))+IF(INDEX([1]Sheet1!$1:$1048576,MATCH($E488,[1]Sheet1!$A:$A,0),MATCH("zizhi",[1]Sheet1!$2:$2,0))&gt;=13,0,3)+6,0)</f>
        <v>11090,6502,6512</v>
      </c>
      <c r="W488" s="2" t="str">
        <f t="shared" si="39"/>
        <v>进阶+5：生命，防御提高10%</v>
      </c>
      <c r="X488" s="45" t="str">
        <f t="shared" si="37"/>
        <v>11090,6502,6512</v>
      </c>
      <c r="Y488" s="2"/>
      <c r="Z488" s="2"/>
      <c r="AA488" s="2"/>
    </row>
    <row r="489" spans="1:27" ht="33">
      <c r="A489" s="10">
        <f>E489*100+COUNTIF($E$194:$E489,$E489)</f>
        <v>120206</v>
      </c>
      <c r="B489" s="68" t="s">
        <v>2043</v>
      </c>
      <c r="C489" s="50" t="s">
        <v>2</v>
      </c>
      <c r="D489" s="10">
        <f t="shared" si="42"/>
        <v>1</v>
      </c>
      <c r="E489" s="45">
        <f>INDEX($I:$I,MATCH($E488,$I:$I,0)+IF(COUNTIF($E$194:$E488,$E488)&lt;=VLOOKUP($E488,$I$134:$K$193,3,0)-1,0,1),0)</f>
        <v>1202</v>
      </c>
      <c r="F489" s="45" t="str">
        <f t="shared" si="38"/>
        <v>人参娃</v>
      </c>
      <c r="G489" s="45" t="s">
        <v>218</v>
      </c>
      <c r="H489" s="45">
        <f>VLOOKUP($E489,[1]Sheet1!$A:$G,7,0)</f>
        <v>3</v>
      </c>
      <c r="I489" s="45" t="str">
        <f>IF($G489="","",IF(COUNTIF(技能描述!$D:$D,$F489)&gt;0,VLOOKUP($F489&amp;$G489,技能描述!$A:$C,3,0),LEFT(VLOOKUP($E489,[1]Sheet1!$A:$J,10,0),FIND("_",VLOOKUP($E489,[1]Sheet1!$A:$J,10,0))-1)&amp;$G489))</f>
        <v>renshenwa_skill011</v>
      </c>
      <c r="J489" s="45" t="str">
        <f>IF($I489="","",VLOOKUP($I489,技能描述!$A:$C,3,0))</f>
        <v>召唤巨大的人生果砸向敌军，对范围内敌人造成主角攻击力@s的物伤，，使目标进入高级中毒状态</v>
      </c>
      <c r="K489" s="45" t="str">
        <f>IF($I489="","",INDEX([2]Sheet1!$1:$1048576,MATCH($I489,[2]Sheet1!$A:$A,0),MATCH("description_damage",[2]Sheet1!$2:$2,0)))</f>
        <v>120205</v>
      </c>
      <c r="L489" s="80" t="str">
        <f>IF($K489="","",IF(LEN($K489)-LEN(SUBSTITUTE($K489,",",""))=0,VLOOKUP(INT($K489),[3]Sheet1!$A:$C,3,0),VLOOKUP(INT(LEFT($K489,FIND(",",$K489)-1)),[3]Sheet1!$A:$C,3,0)))</f>
        <v>2|1|5.7|0|0|0</v>
      </c>
      <c r="M489" s="80" t="str">
        <f t="shared" si="43"/>
        <v>570%</v>
      </c>
      <c r="N489" s="45" t="str">
        <f>IF(LEN($K489)-LEN(SUBSTITUTE($K489,",",""))=1,VLOOKUP(INT(RIGHT($K489,LEN($K489)-FIND(",",$K489))),[3]Sheet1!$A:$C,3,0),"")</f>
        <v/>
      </c>
      <c r="O489" s="45" t="str">
        <f t="shared" si="40"/>
        <v/>
      </c>
      <c r="P489" s="45" t="str">
        <f t="shared" si="36"/>
        <v>召唤巨大的人生果砸向敌军，对范围内敌人造成主角攻击力570%的物伤，，使目标进入高级中毒状态</v>
      </c>
      <c r="Q489" s="45" t="str">
        <f t="shared" si="41"/>
        <v>召唤巨大的人生果砸向敌军，对范围内敌人造成主角攻击力570%的物伤，，使目标进入高级中毒状态</v>
      </c>
      <c r="R489" s="45"/>
      <c r="S489" s="45" t="str">
        <f>IF(ISERROR($Q489),"进阶+"&amp;COUNTIF($E$194:$E489,$E489)&amp;"："&amp;"找ZC配技能","进阶+"&amp;COUNTIF($E$194:$E489,$E489)&amp;"："&amp;VLOOKUP(COUNTIF($E$194:$E489,$E489),$L$184:$R$193,IF(H489=1,4,IF(H489=4,3,2))+IF(INDEX([1]Sheet1!$1:$1048576,MATCH($E489,[1]Sheet1!$A:$A,0),MATCH("zizhi",[1]Sheet1!$2:$2,0))&gt;=13,0,3),0)&amp;IF($Q489="","","（"&amp;$Q489&amp;"）"))</f>
        <v>进阶+6：增强主角技能（召唤巨大的人生果砸向敌军，对范围内敌人造成主角攻击力570%的物伤，，使目标进入高级中毒状态）</v>
      </c>
      <c r="T489" s="1"/>
      <c r="U489" s="1"/>
      <c r="V489" s="2" t="str">
        <f>VLOOKUP(COUNTIF($E$194:$E489,$E489),$L$184:$X$193,IF(H489=1,4,IF(H489=4,3,2))+IF(INDEX([1]Sheet1!$1:$1048576,MATCH($E489,[1]Sheet1!$A:$A,0),MATCH("zizhi",[1]Sheet1!$2:$2,0))&gt;=13,0,3)+6,0)</f>
        <v>[]</v>
      </c>
      <c r="W489" s="2" t="str">
        <f t="shared" si="39"/>
        <v>进阶+6：增强主角技能（召唤巨大的人生果砸向敌军，对范围内敌人造成主角攻击力570%的物伤，，使目标进入高级中毒状态）</v>
      </c>
      <c r="X489" s="45" t="str">
        <f t="shared" si="37"/>
        <v>[]</v>
      </c>
      <c r="Y489" s="2"/>
      <c r="Z489" s="2"/>
      <c r="AA489" s="2"/>
    </row>
    <row r="490" spans="1:27">
      <c r="A490" s="10">
        <f>E490*100+COUNTIF($E$194:$E490,$E490)</f>
        <v>120207</v>
      </c>
      <c r="B490" s="68" t="s">
        <v>359</v>
      </c>
      <c r="C490" s="50" t="s">
        <v>353</v>
      </c>
      <c r="D490" s="10" t="str">
        <f t="shared" si="42"/>
        <v>[]</v>
      </c>
      <c r="E490" s="45">
        <f>INDEX($I:$I,MATCH($E489,$I:$I,0)+IF(COUNTIF($E$194:$E489,$E489)&lt;=VLOOKUP($E489,$I$134:$K$193,3,0)-1,0,1),0)</f>
        <v>1202</v>
      </c>
      <c r="F490" s="45" t="str">
        <f t="shared" si="38"/>
        <v>人参娃</v>
      </c>
      <c r="H490" s="45">
        <f>VLOOKUP($E490,[1]Sheet1!$A:$G,7,0)</f>
        <v>3</v>
      </c>
      <c r="I490" s="45" t="str">
        <f>IF($G490="","",IF(COUNTIF(技能描述!$D:$D,$F490)&gt;0,VLOOKUP($F490&amp;$G490,技能描述!$A:$C,3,0),LEFT(VLOOKUP($E490,[1]Sheet1!$A:$J,10,0),FIND("_",VLOOKUP($E490,[1]Sheet1!$A:$J,10,0))-1)&amp;$G490))</f>
        <v/>
      </c>
      <c r="J490" s="45" t="str">
        <f>IF($I490="","",VLOOKUP($I490,技能描述!$A:$C,3,0))</f>
        <v/>
      </c>
      <c r="K490" s="45" t="str">
        <f>IF($I490="","",INDEX([2]Sheet1!$1:$1048576,MATCH($I490,[2]Sheet1!$A:$A,0),MATCH("description_damage",[2]Sheet1!$2:$2,0)))</f>
        <v/>
      </c>
      <c r="L490" s="80" t="str">
        <f>IF($K490="","",IF(LEN($K490)-LEN(SUBSTITUTE($K490,",",""))=0,VLOOKUP(INT($K490),[3]Sheet1!$A:$C,3,0),VLOOKUP(INT(LEFT($K490,FIND(",",$K490)-1)),[3]Sheet1!$A:$C,3,0)))</f>
        <v/>
      </c>
      <c r="M490" s="80" t="str">
        <f t="shared" si="43"/>
        <v/>
      </c>
      <c r="N490" s="45" t="str">
        <f>IF(LEN($K490)-LEN(SUBSTITUTE($K490,",",""))=1,VLOOKUP(INT(RIGHT($K490,LEN($K490)-FIND(",",$K490))),[3]Sheet1!$A:$C,3,0),"")</f>
        <v/>
      </c>
      <c r="O490" s="45" t="str">
        <f t="shared" si="40"/>
        <v/>
      </c>
      <c r="P490" s="45" t="str">
        <f t="shared" si="36"/>
        <v/>
      </c>
      <c r="Q490" s="45" t="str">
        <f t="shared" si="41"/>
        <v/>
      </c>
      <c r="R490" s="45"/>
      <c r="S490" s="45" t="str">
        <f>IF(ISERROR($Q490),"进阶+"&amp;COUNTIF($E$194:$E490,$E490)&amp;"："&amp;"找ZC配技能","进阶+"&amp;COUNTIF($E$194:$E490,$E490)&amp;"："&amp;VLOOKUP(COUNTIF($E$194:$E490,$E490),$L$184:$R$193,IF(H490=1,4,IF(H490=4,3,2))+IF(INDEX([1]Sheet1!$1:$1048576,MATCH($E490,[1]Sheet1!$A:$A,0),MATCH("zizhi",[1]Sheet1!$2:$2,0))&gt;=13,0,3),0)&amp;IF($Q490="","","（"&amp;$Q490&amp;"）"))</f>
        <v>进阶+7：全队攻击提高10%</v>
      </c>
      <c r="T490" s="1"/>
      <c r="U490" s="1"/>
      <c r="V490" s="2" t="str">
        <f>VLOOKUP(COUNTIF($E$194:$E490,$E490),$L$184:$X$193,IF(H490=1,4,IF(H490=4,3,2))+IF(INDEX([1]Sheet1!$1:$1048576,MATCH($E490,[1]Sheet1!$A:$A,0),MATCH("zizhi",[1]Sheet1!$2:$2,0))&gt;=13,0,3)+6,0)</f>
        <v>58010</v>
      </c>
      <c r="W490" s="2" t="str">
        <f t="shared" si="39"/>
        <v>进阶+7：全队攻击提高10%</v>
      </c>
      <c r="X490" s="45" t="str">
        <f t="shared" si="37"/>
        <v>58010</v>
      </c>
      <c r="Y490" s="2"/>
      <c r="Z490" s="2"/>
      <c r="AA490" s="2"/>
    </row>
    <row r="491" spans="1:27" ht="33">
      <c r="A491" s="10">
        <f>E491*100+COUNTIF($E$194:$E491,$E491)</f>
        <v>120208</v>
      </c>
      <c r="B491" s="68" t="s">
        <v>2044</v>
      </c>
      <c r="C491" s="50" t="s">
        <v>2</v>
      </c>
      <c r="D491" s="10">
        <f t="shared" si="42"/>
        <v>1</v>
      </c>
      <c r="E491" s="45">
        <f>INDEX($I:$I,MATCH($E490,$I:$I,0)+IF(COUNTIF($E$194:$E490,$E490)&lt;=VLOOKUP($E490,$I$134:$K$193,3,0)-1,0,1),0)</f>
        <v>1202</v>
      </c>
      <c r="F491" s="45" t="str">
        <f t="shared" si="38"/>
        <v>人参娃</v>
      </c>
      <c r="G491" s="45" t="s">
        <v>219</v>
      </c>
      <c r="H491" s="45">
        <f>VLOOKUP($E491,[1]Sheet1!$A:$G,7,0)</f>
        <v>3</v>
      </c>
      <c r="I491" s="45" t="str">
        <f>IF($G491="","",IF(COUNTIF(技能描述!$D:$D,$F491)&gt;0,VLOOKUP($F491&amp;$G491,技能描述!$A:$C,3,0),LEFT(VLOOKUP($E491,[1]Sheet1!$A:$J,10,0),FIND("_",VLOOKUP($E491,[1]Sheet1!$A:$J,10,0))-1)&amp;$G491))</f>
        <v>renshenwa_skill021</v>
      </c>
      <c r="J491" s="45" t="str">
        <f>IF($I491="","",VLOOKUP($I491,技能描述!$A:$C,3,0))</f>
        <v>人参娃摇动拨浪鼓，对范围内敌人造成自身攻击力@s的物伤</v>
      </c>
      <c r="K491" s="45" t="str">
        <f>IF($I491="","",INDEX([2]Sheet1!$1:$1048576,MATCH($I491,[2]Sheet1!$A:$A,0),MATCH("description_damage",[2]Sheet1!$2:$2,0)))</f>
        <v>120206</v>
      </c>
      <c r="L491" s="80" t="str">
        <f>IF($K491="","",IF(LEN($K491)-LEN(SUBSTITUTE($K491,",",""))=0,VLOOKUP(INT($K491),[3]Sheet1!$A:$C,3,0),VLOOKUP(INT(LEFT($K491,FIND(",",$K491)-1)),[3]Sheet1!$A:$C,3,0)))</f>
        <v>2|1|1.14|0|0|0</v>
      </c>
      <c r="M491" s="80" t="str">
        <f t="shared" si="43"/>
        <v>114%</v>
      </c>
      <c r="N491" s="45" t="str">
        <f>IF(LEN($K491)-LEN(SUBSTITUTE($K491,",",""))=1,VLOOKUP(INT(RIGHT($K491,LEN($K491)-FIND(",",$K491))),[3]Sheet1!$A:$C,3,0),"")</f>
        <v/>
      </c>
      <c r="O491" s="45" t="str">
        <f t="shared" si="40"/>
        <v/>
      </c>
      <c r="P491" s="45" t="str">
        <f t="shared" si="36"/>
        <v>人参娃摇动拨浪鼓，对范围内敌人造成自身攻击力114%的物伤</v>
      </c>
      <c r="Q491" s="45" t="str">
        <f t="shared" si="41"/>
        <v>人参娃摇动拨浪鼓，对范围内敌人造成自身攻击力114%的物伤</v>
      </c>
      <c r="R491" s="45"/>
      <c r="S491" s="45" t="str">
        <f>IF(ISERROR($Q491),"进阶+"&amp;COUNTIF($E$194:$E491,$E491)&amp;"："&amp;"找ZC配技能","进阶+"&amp;COUNTIF($E$194:$E491,$E491)&amp;"："&amp;VLOOKUP(COUNTIF($E$194:$E491,$E491),$L$184:$R$193,IF(H491=1,4,IF(H491=4,3,2))+IF(INDEX([1]Sheet1!$1:$1048576,MATCH($E491,[1]Sheet1!$A:$A,0),MATCH("zizhi",[1]Sheet1!$2:$2,0))&gt;=13,0,3),0)&amp;IF($Q491="","","（"&amp;$Q491&amp;"）"))</f>
        <v>进阶+8：增强AI1技能（人参娃摇动拨浪鼓，对范围内敌人造成自身攻击力114%的物伤）</v>
      </c>
      <c r="T491" s="1"/>
      <c r="U491" s="1"/>
      <c r="V491" s="2" t="str">
        <f>VLOOKUP(COUNTIF($E$194:$E491,$E491),$L$184:$X$193,IF(H491=1,4,IF(H491=4,3,2))+IF(INDEX([1]Sheet1!$1:$1048576,MATCH($E491,[1]Sheet1!$A:$A,0),MATCH("zizhi",[1]Sheet1!$2:$2,0))&gt;=13,0,3)+6,0)</f>
        <v>[]</v>
      </c>
      <c r="W491" s="2" t="str">
        <f t="shared" si="39"/>
        <v>进阶+8：增强AI1技能（人参娃摇动拨浪鼓，对范围内敌人造成自身攻击力114%的物伤）</v>
      </c>
      <c r="X491" s="45" t="str">
        <f t="shared" si="37"/>
        <v>[]</v>
      </c>
      <c r="Y491" s="2"/>
      <c r="Z491" s="2"/>
      <c r="AA491" s="2"/>
    </row>
    <row r="492" spans="1:27">
      <c r="A492" s="10">
        <f>E492*100+COUNTIF($E$194:$E492,$E492)</f>
        <v>120209</v>
      </c>
      <c r="B492" s="68" t="s">
        <v>1899</v>
      </c>
      <c r="C492" s="50" t="s">
        <v>2085</v>
      </c>
      <c r="D492" s="10" t="str">
        <f t="shared" si="42"/>
        <v>[]</v>
      </c>
      <c r="E492" s="45">
        <f>INDEX($I:$I,MATCH($E491,$I:$I,0)+IF(COUNTIF($E$194:$E491,$E491)&lt;=VLOOKUP($E491,$I$134:$K$193,3,0)-1,0,1),0)</f>
        <v>1202</v>
      </c>
      <c r="F492" s="45" t="str">
        <f t="shared" si="38"/>
        <v>人参娃</v>
      </c>
      <c r="H492" s="45">
        <f>VLOOKUP($E492,[1]Sheet1!$A:$G,7,0)</f>
        <v>3</v>
      </c>
      <c r="I492" s="45" t="str">
        <f>IF($G492="","",IF(COUNTIF(技能描述!$D:$D,$F492)&gt;0,VLOOKUP($F492&amp;$G492,技能描述!$A:$C,3,0),LEFT(VLOOKUP($E492,[1]Sheet1!$A:$J,10,0),FIND("_",VLOOKUP($E492,[1]Sheet1!$A:$J,10,0))-1)&amp;$G492))</f>
        <v/>
      </c>
      <c r="J492" s="45" t="str">
        <f>IF($I492="","",VLOOKUP($I492,技能描述!$A:$C,3,0))</f>
        <v/>
      </c>
      <c r="K492" s="45" t="str">
        <f>IF($I492="","",INDEX([2]Sheet1!$1:$1048576,MATCH($I492,[2]Sheet1!$A:$A,0),MATCH("description_damage",[2]Sheet1!$2:$2,0)))</f>
        <v/>
      </c>
      <c r="L492" s="80" t="str">
        <f>IF($K492="","",IF(LEN($K492)-LEN(SUBSTITUTE($K492,",",""))=0,VLOOKUP(INT($K492),[3]Sheet1!$A:$C,3,0),VLOOKUP(INT(LEFT($K492,FIND(",",$K492)-1)),[3]Sheet1!$A:$C,3,0)))</f>
        <v/>
      </c>
      <c r="M492" s="80" t="str">
        <f t="shared" si="43"/>
        <v/>
      </c>
      <c r="N492" s="45" t="str">
        <f>IF(LEN($K492)-LEN(SUBSTITUTE($K492,",",""))=1,VLOOKUP(INT(RIGHT($K492,LEN($K492)-FIND(",",$K492))),[3]Sheet1!$A:$C,3,0),"")</f>
        <v/>
      </c>
      <c r="O492" s="45" t="str">
        <f t="shared" si="40"/>
        <v/>
      </c>
      <c r="P492" s="45" t="str">
        <f t="shared" si="36"/>
        <v/>
      </c>
      <c r="Q492" s="45" t="str">
        <f t="shared" si="41"/>
        <v/>
      </c>
      <c r="R492" s="45"/>
      <c r="S492" s="45" t="str">
        <f>IF(ISERROR($Q492),"进阶+"&amp;COUNTIF($E$194:$E492,$E492)&amp;"："&amp;"找ZC配技能","进阶+"&amp;COUNTIF($E$194:$E492,$E492)&amp;"："&amp;VLOOKUP(COUNTIF($E$194:$E492,$E492),$L$184:$R$193,IF(H492=1,4,IF(H492=4,3,2))+IF(INDEX([1]Sheet1!$1:$1048576,MATCH($E492,[1]Sheet1!$A:$A,0),MATCH("zizhi",[1]Sheet1!$2:$2,0))&gt;=13,0,3),0)&amp;IF($Q492="","","（"&amp;$Q492&amp;"）"))</f>
        <v>进阶+9：全队攻击提高15%</v>
      </c>
      <c r="T492" s="1"/>
      <c r="U492" s="1"/>
      <c r="V492" s="2" t="str">
        <f>VLOOKUP(COUNTIF($E$194:$E492,$E492),$L$184:$X$193,IF(H492=1,4,IF(H492=4,3,2))+IF(INDEX([1]Sheet1!$1:$1048576,MATCH($E492,[1]Sheet1!$A:$A,0),MATCH("zizhi",[1]Sheet1!$2:$2,0))&gt;=13,0,3)+6,0)</f>
        <v>58015</v>
      </c>
      <c r="W492" s="2" t="str">
        <f t="shared" si="39"/>
        <v>进阶+9：全队攻击提高15%</v>
      </c>
      <c r="X492" s="45" t="str">
        <f t="shared" si="37"/>
        <v>58015</v>
      </c>
      <c r="Y492" s="2"/>
      <c r="Z492" s="2"/>
      <c r="AA492" s="2"/>
    </row>
    <row r="493" spans="1:27" ht="33">
      <c r="A493" s="10">
        <f>E493*100+COUNTIF($E$194:$E493,$E493)</f>
        <v>120210</v>
      </c>
      <c r="B493" s="68" t="s">
        <v>1921</v>
      </c>
      <c r="C493" s="50" t="s">
        <v>2</v>
      </c>
      <c r="D493" s="10">
        <f t="shared" si="42"/>
        <v>1</v>
      </c>
      <c r="E493" s="45">
        <f>INDEX($I:$I,MATCH($E492,$I:$I,0)+IF(COUNTIF($E$194:$E492,$E492)&lt;=VLOOKUP($E492,$I$134:$K$193,3,0)-1,0,1),0)</f>
        <v>1202</v>
      </c>
      <c r="F493" s="45" t="str">
        <f t="shared" si="38"/>
        <v>人参娃</v>
      </c>
      <c r="G493" s="45" t="s">
        <v>220</v>
      </c>
      <c r="H493" s="45">
        <f>VLOOKUP($E493,[1]Sheet1!$A:$G,7,0)</f>
        <v>3</v>
      </c>
      <c r="I493" s="45" t="str">
        <f>IF($G493="","",IF(COUNTIF(技能描述!$D:$D,$F493)&gt;0,VLOOKUP($F493&amp;$G493,技能描述!$A:$C,3,0),LEFT(VLOOKUP($E493,[1]Sheet1!$A:$J,10,0),FIND("_",VLOOKUP($E493,[1]Sheet1!$A:$J,10,0))-1)&amp;$G493))</f>
        <v>renshenwa_skill041</v>
      </c>
      <c r="J493" s="45" t="str">
        <f>IF($I493="","",VLOOKUP($I493,技能描述!$A:$C,3,0))</f>
        <v>人参娃举起拨浪鼓狠狠敲击敌军，对范围内敌人造成自身攻击力@s的物伤，胡来的重锤有60%的概率敲晕目标</v>
      </c>
      <c r="K493" s="45" t="str">
        <f>IF($I493="","",INDEX([2]Sheet1!$1:$1048576,MATCH($I493,[2]Sheet1!$A:$A,0),MATCH("description_damage",[2]Sheet1!$2:$2,0)))</f>
        <v>120207</v>
      </c>
      <c r="L493" s="80" t="str">
        <f>IF($K493="","",IF(LEN($K493)-LEN(SUBSTITUTE($K493,",",""))=0,VLOOKUP(INT($K493),[3]Sheet1!$A:$C,3,0),VLOOKUP(INT(LEFT($K493,FIND(",",$K493)-1)),[3]Sheet1!$A:$C,3,0)))</f>
        <v>2|1|3.42|0|0|0</v>
      </c>
      <c r="M493" s="80" t="str">
        <f t="shared" si="43"/>
        <v>342%</v>
      </c>
      <c r="N493" s="45" t="str">
        <f>IF(LEN($K493)-LEN(SUBSTITUTE($K493,",",""))=1,VLOOKUP(INT(RIGHT($K493,LEN($K493)-FIND(",",$K493))),[3]Sheet1!$A:$C,3,0),"")</f>
        <v/>
      </c>
      <c r="O493" s="45" t="str">
        <f t="shared" si="40"/>
        <v/>
      </c>
      <c r="P493" s="45" t="str">
        <f t="shared" si="36"/>
        <v>人参娃举起拨浪鼓狠狠敲击敌军，对范围内敌人造成自身攻击力342%的物伤，胡来的重锤有60%的概率敲晕目标</v>
      </c>
      <c r="Q493" s="45" t="str">
        <f t="shared" si="41"/>
        <v>人参娃举起拨浪鼓狠狠敲击敌军，对范围内敌人造成自身攻击力342%的物伤，胡来的重锤有60%的概率敲晕目标</v>
      </c>
      <c r="R493" s="45"/>
      <c r="S493" s="45" t="str">
        <f>IF(ISERROR($Q493),"进阶+"&amp;COUNTIF($E$194:$E493,$E493)&amp;"："&amp;"找ZC配技能","进阶+"&amp;COUNTIF($E$194:$E493,$E493)&amp;"："&amp;VLOOKUP(COUNTIF($E$194:$E493,$E493),$L$184:$R$193,IF(H493=1,4,IF(H493=4,3,2))+IF(INDEX([1]Sheet1!$1:$1048576,MATCH($E493,[1]Sheet1!$A:$A,0),MATCH("zizhi",[1]Sheet1!$2:$2,0))&gt;=13,0,3),0)&amp;IF($Q493="","","（"&amp;$Q493&amp;"）"))</f>
        <v>进阶+10：增强AI2技能（人参娃举起拨浪鼓狠狠敲击敌军，对范围内敌人造成自身攻击力342%的物伤，胡来的重锤有60%的概率敲晕目标）</v>
      </c>
      <c r="T493" s="1"/>
      <c r="U493" s="1"/>
      <c r="V493" s="2" t="str">
        <f>VLOOKUP(COUNTIF($E$194:$E493,$E493),$L$184:$X$193,IF(H493=1,4,IF(H493=4,3,2))+IF(INDEX([1]Sheet1!$1:$1048576,MATCH($E493,[1]Sheet1!$A:$A,0),MATCH("zizhi",[1]Sheet1!$2:$2,0))&gt;=13,0,3)+6,0)</f>
        <v>[]</v>
      </c>
      <c r="W493" s="2" t="str">
        <f t="shared" si="39"/>
        <v>进阶+10：增强AI2技能（人参娃举起拨浪鼓狠狠敲击敌军，对范围内敌人造成自身攻击力342%的物伤，胡来的重锤有60%的概率敲晕目标）</v>
      </c>
      <c r="X493" s="45" t="str">
        <f t="shared" si="37"/>
        <v>[]</v>
      </c>
      <c r="Y493" s="2"/>
      <c r="Z493" s="2"/>
      <c r="AA493" s="2"/>
    </row>
    <row r="494" spans="1:27">
      <c r="A494" s="10">
        <f>E494*100+COUNTIF($E$194:$E494,$E494)</f>
        <v>112301</v>
      </c>
      <c r="B494" s="68" t="s">
        <v>310</v>
      </c>
      <c r="C494" s="50" t="s">
        <v>127</v>
      </c>
      <c r="D494" s="10" t="str">
        <f t="shared" si="42"/>
        <v>[]</v>
      </c>
      <c r="E494" s="45">
        <f>INDEX($I:$I,MATCH($E493,$I:$I,0)+IF(COUNTIF($E$194:$E493,$E493)&lt;=VLOOKUP($E493,$I$134:$K$193,3,0)-1,0,1),0)</f>
        <v>1123</v>
      </c>
      <c r="F494" s="45" t="str">
        <f t="shared" si="38"/>
        <v>小白龙</v>
      </c>
      <c r="H494" s="45">
        <f>VLOOKUP($E494,[1]Sheet1!$A:$G,7,0)</f>
        <v>3</v>
      </c>
      <c r="I494" s="45" t="str">
        <f>IF($G494="","",IF(COUNTIF(技能描述!$D:$D,$F494)&gt;0,VLOOKUP($F494&amp;$G494,技能描述!$A:$C,3,0),LEFT(VLOOKUP($E494,[1]Sheet1!$A:$J,10,0),FIND("_",VLOOKUP($E494,[1]Sheet1!$A:$J,10,0))-1)&amp;$G494))</f>
        <v/>
      </c>
      <c r="J494" s="45" t="str">
        <f>IF($I494="","",VLOOKUP($I494,技能描述!$A:$C,3,0))</f>
        <v/>
      </c>
      <c r="K494" s="45" t="str">
        <f>IF($I494="","",INDEX([2]Sheet1!$1:$1048576,MATCH($I494,[2]Sheet1!$A:$A,0),MATCH("description_damage",[2]Sheet1!$2:$2,0)))</f>
        <v/>
      </c>
      <c r="L494" s="80" t="str">
        <f>IF($K494="","",IF(LEN($K494)-LEN(SUBSTITUTE($K494,",",""))=0,VLOOKUP(INT($K494),[3]Sheet1!$A:$C,3,0),VLOOKUP(INT(LEFT($K494,FIND(",",$K494)-1)),[3]Sheet1!$A:$C,3,0)))</f>
        <v/>
      </c>
      <c r="M494" s="80" t="str">
        <f t="shared" si="43"/>
        <v/>
      </c>
      <c r="N494" s="45" t="str">
        <f>IF(LEN($K494)-LEN(SUBSTITUTE($K494,",",""))=1,VLOOKUP(INT(RIGHT($K494,LEN($K494)-FIND(",",$K494))),[3]Sheet1!$A:$C,3,0),"")</f>
        <v/>
      </c>
      <c r="O494" s="45" t="str">
        <f t="shared" si="40"/>
        <v/>
      </c>
      <c r="P494" s="45" t="str">
        <f t="shared" si="36"/>
        <v/>
      </c>
      <c r="Q494" s="45" t="str">
        <f t="shared" si="41"/>
        <v/>
      </c>
      <c r="R494" s="45"/>
      <c r="S494" s="45" t="str">
        <f>IF(ISERROR($Q494),"进阶+"&amp;COUNTIF($E$194:$E494,$E494)&amp;"："&amp;"找ZC配技能","进阶+"&amp;COUNTIF($E$194:$E494,$E494)&amp;"："&amp;VLOOKUP(COUNTIF($E$194:$E494,$E494),$L$184:$R$193,IF(H494=1,4,IF(H494=4,3,2))+IF(INDEX([1]Sheet1!$1:$1048576,MATCH($E494,[1]Sheet1!$A:$A,0),MATCH("zizhi",[1]Sheet1!$2:$2,0))&gt;=13,0,3),0)&amp;IF($Q494="","","（"&amp;$Q494&amp;"）"))</f>
        <v>进阶+1：攻击提高10%</v>
      </c>
      <c r="T494" s="1"/>
      <c r="U494" s="1"/>
      <c r="V494" s="2" t="str">
        <f>VLOOKUP(COUNTIF($E$194:$E494,$E494),$L$184:$X$193,IF(H494=1,4,IF(H494=4,3,2))+IF(INDEX([1]Sheet1!$1:$1048576,MATCH($E494,[1]Sheet1!$A:$A,0),MATCH("zizhi",[1]Sheet1!$2:$2,0))&gt;=13,0,3)+6,0)</f>
        <v>11050</v>
      </c>
      <c r="W494" s="2" t="str">
        <f t="shared" si="39"/>
        <v>进阶+1：攻击提高10%</v>
      </c>
      <c r="X494" s="45" t="str">
        <f t="shared" si="37"/>
        <v>11050</v>
      </c>
      <c r="Y494" s="2"/>
      <c r="Z494" s="2"/>
      <c r="AA494" s="2"/>
    </row>
    <row r="495" spans="1:27">
      <c r="A495" s="10">
        <f>E495*100+COUNTIF($E$194:$E495,$E495)</f>
        <v>112302</v>
      </c>
      <c r="B495" s="68" t="s">
        <v>341</v>
      </c>
      <c r="C495" s="50" t="s">
        <v>2</v>
      </c>
      <c r="D495" s="10">
        <f t="shared" si="42"/>
        <v>1</v>
      </c>
      <c r="E495" s="45">
        <f>INDEX($I:$I,MATCH($E494,$I:$I,0)+IF(COUNTIF($E$194:$E494,$E494)&lt;=VLOOKUP($E494,$I$134:$K$193,3,0)-1,0,1),0)</f>
        <v>1123</v>
      </c>
      <c r="F495" s="45" t="str">
        <f t="shared" si="38"/>
        <v>小白龙</v>
      </c>
      <c r="G495" s="45" t="s">
        <v>216</v>
      </c>
      <c r="H495" s="45">
        <f>VLOOKUP($E495,[1]Sheet1!$A:$G,7,0)</f>
        <v>3</v>
      </c>
      <c r="I495" s="45" t="str">
        <f>IF($G495="","",IF(COUNTIF(技能描述!$D:$D,$F495)&gt;0,VLOOKUP($F495&amp;$G495,技能描述!$A:$C,3,0),LEFT(VLOOKUP($E495,[1]Sheet1!$A:$J,10,0),FIND("_",VLOOKUP($E495,[1]Sheet1!$A:$J,10,0))-1)&amp;$G495))</f>
        <v>xiaobailong_skill03</v>
      </c>
      <c r="J495" s="45" t="str">
        <f>IF($I495="","",VLOOKUP($I495,技能描述!$A:$C,3,0))</f>
        <v>进入战斗场景时，提高自身闪避@s</v>
      </c>
      <c r="K495" s="45" t="str">
        <f>IF($I495="","",INDEX([2]Sheet1!$1:$1048576,MATCH($I495,[2]Sheet1!$A:$A,0),MATCH("description_damage",[2]Sheet1!$2:$2,0)))</f>
        <v>9020</v>
      </c>
      <c r="L495" s="80" t="str">
        <f>IF($K495="","",IF(LEN($K495)-LEN(SUBSTITUTE($K495,",",""))=0,VLOOKUP(INT($K495),[3]Sheet1!$A:$C,3,0),VLOOKUP(INT(LEFT($K495,FIND(",",$K495)-1)),[3]Sheet1!$A:$C,3,0)))</f>
        <v>4|3|0.2|0|1</v>
      </c>
      <c r="M495" s="80" t="str">
        <f t="shared" si="43"/>
        <v>20%</v>
      </c>
      <c r="N495" s="45" t="str">
        <f>IF(LEN($K495)-LEN(SUBSTITUTE($K495,",",""))=1,VLOOKUP(INT(RIGHT($K495,LEN($K495)-FIND(",",$K495))),[3]Sheet1!$A:$C,3,0),"")</f>
        <v/>
      </c>
      <c r="O495" s="45" t="str">
        <f t="shared" si="40"/>
        <v/>
      </c>
      <c r="P495" s="45" t="str">
        <f t="shared" si="36"/>
        <v>进入战斗场景时，提高自身闪避20%</v>
      </c>
      <c r="Q495" s="45" t="str">
        <f t="shared" si="41"/>
        <v>进入战斗场景时，提高自身闪避20%</v>
      </c>
      <c r="R495" s="45"/>
      <c r="S495" s="45" t="str">
        <f>IF(ISERROR($Q495),"进阶+"&amp;COUNTIF($E$194:$E495,$E495)&amp;"："&amp;"找ZC配技能","进阶+"&amp;COUNTIF($E$194:$E495,$E495)&amp;"："&amp;VLOOKUP(COUNTIF($E$194:$E495,$E495),$L$184:$R$193,IF(H495=1,4,IF(H495=4,3,2))+IF(INDEX([1]Sheet1!$1:$1048576,MATCH($E495,[1]Sheet1!$A:$A,0),MATCH("zizhi",[1]Sheet1!$2:$2,0))&gt;=13,0,3),0)&amp;IF($Q495="","","（"&amp;$Q495&amp;"）"))</f>
        <v>进阶+2：激活被动技能（进入战斗场景时，提高自身闪避20%）</v>
      </c>
      <c r="T495" s="1"/>
      <c r="U495" s="1"/>
      <c r="V495" s="2" t="str">
        <f>VLOOKUP(COUNTIF($E$194:$E495,$E495),$L$184:$X$193,IF(H495=1,4,IF(H495=4,3,2))+IF(INDEX([1]Sheet1!$1:$1048576,MATCH($E495,[1]Sheet1!$A:$A,0),MATCH("zizhi",[1]Sheet1!$2:$2,0))&gt;=13,0,3)+6,0)</f>
        <v>[]</v>
      </c>
      <c r="W495" s="2" t="str">
        <f t="shared" si="39"/>
        <v>进阶+2：激活被动技能（进入战斗场景时，提高自身闪避20%）</v>
      </c>
      <c r="X495" s="45" t="str">
        <f t="shared" si="37"/>
        <v>[]</v>
      </c>
      <c r="Y495" s="2"/>
      <c r="Z495" s="2"/>
      <c r="AA495" s="2"/>
    </row>
    <row r="496" spans="1:27">
      <c r="A496" s="10">
        <f>E496*100+COUNTIF($E$194:$E496,$E496)</f>
        <v>112303</v>
      </c>
      <c r="B496" s="68" t="s">
        <v>312</v>
      </c>
      <c r="C496" s="50" t="s">
        <v>127</v>
      </c>
      <c r="D496" s="10" t="str">
        <f t="shared" si="42"/>
        <v>[]</v>
      </c>
      <c r="E496" s="45">
        <f>INDEX($I:$I,MATCH($E495,$I:$I,0)+IF(COUNTIF($E$194:$E495,$E495)&lt;=VLOOKUP($E495,$I$134:$K$193,3,0)-1,0,1),0)</f>
        <v>1123</v>
      </c>
      <c r="F496" s="45" t="str">
        <f t="shared" si="38"/>
        <v>小白龙</v>
      </c>
      <c r="H496" s="45">
        <f>VLOOKUP($E496,[1]Sheet1!$A:$G,7,0)</f>
        <v>3</v>
      </c>
      <c r="I496" s="45" t="str">
        <f>IF($G496="","",IF(COUNTIF(技能描述!$D:$D,$F496)&gt;0,VLOOKUP($F496&amp;$G496,技能描述!$A:$C,3,0),LEFT(VLOOKUP($E496,[1]Sheet1!$A:$J,10,0),FIND("_",VLOOKUP($E496,[1]Sheet1!$A:$J,10,0))-1)&amp;$G496))</f>
        <v/>
      </c>
      <c r="J496" s="45" t="str">
        <f>IF($I496="","",VLOOKUP($I496,技能描述!$A:$C,3,0))</f>
        <v/>
      </c>
      <c r="K496" s="45" t="str">
        <f>IF($I496="","",INDEX([2]Sheet1!$1:$1048576,MATCH($I496,[2]Sheet1!$A:$A,0),MATCH("description_damage",[2]Sheet1!$2:$2,0)))</f>
        <v/>
      </c>
      <c r="L496" s="80" t="str">
        <f>IF($K496="","",IF(LEN($K496)-LEN(SUBSTITUTE($K496,",",""))=0,VLOOKUP(INT($K496),[3]Sheet1!$A:$C,3,0),VLOOKUP(INT(LEFT($K496,FIND(",",$K496)-1)),[3]Sheet1!$A:$C,3,0)))</f>
        <v/>
      </c>
      <c r="M496" s="80" t="str">
        <f t="shared" si="43"/>
        <v/>
      </c>
      <c r="N496" s="45" t="str">
        <f>IF(LEN($K496)-LEN(SUBSTITUTE($K496,",",""))=1,VLOOKUP(INT(RIGHT($K496,LEN($K496)-FIND(",",$K496))),[3]Sheet1!$A:$C,3,0),"")</f>
        <v/>
      </c>
      <c r="O496" s="45" t="str">
        <f t="shared" si="40"/>
        <v/>
      </c>
      <c r="P496" s="45" t="str">
        <f t="shared" si="36"/>
        <v/>
      </c>
      <c r="Q496" s="45" t="str">
        <f t="shared" si="41"/>
        <v/>
      </c>
      <c r="R496" s="45"/>
      <c r="S496" s="45" t="str">
        <f>IF(ISERROR($Q496),"进阶+"&amp;COUNTIF($E$194:$E496,$E496)&amp;"："&amp;"找ZC配技能","进阶+"&amp;COUNTIF($E$194:$E496,$E496)&amp;"："&amp;VLOOKUP(COUNTIF($E$194:$E496,$E496),$L$184:$R$193,IF(H496=1,4,IF(H496=4,3,2))+IF(INDEX([1]Sheet1!$1:$1048576,MATCH($E496,[1]Sheet1!$A:$A,0),MATCH("zizhi",[1]Sheet1!$2:$2,0))&gt;=13,0,3),0)&amp;IF($Q496="","","（"&amp;$Q496&amp;"）"))</f>
        <v>进阶+3：攻击提高10%</v>
      </c>
      <c r="T496" s="1"/>
      <c r="U496" s="1"/>
      <c r="V496" s="2" t="str">
        <f>VLOOKUP(COUNTIF($E$194:$E496,$E496),$L$184:$X$193,IF(H496=1,4,IF(H496=4,3,2))+IF(INDEX([1]Sheet1!$1:$1048576,MATCH($E496,[1]Sheet1!$A:$A,0),MATCH("zizhi",[1]Sheet1!$2:$2,0))&gt;=13,0,3)+6,0)</f>
        <v>11050</v>
      </c>
      <c r="W496" s="2" t="str">
        <f t="shared" si="39"/>
        <v>进阶+3：攻击提高10%</v>
      </c>
      <c r="X496" s="45" t="str">
        <f t="shared" si="37"/>
        <v>11050</v>
      </c>
      <c r="Y496" s="2"/>
      <c r="Z496" s="2"/>
      <c r="AA496" s="2"/>
    </row>
    <row r="497" spans="1:27" ht="33">
      <c r="A497" s="10">
        <f>E497*100+COUNTIF($E$194:$E497,$E497)</f>
        <v>112304</v>
      </c>
      <c r="B497" s="68" t="s">
        <v>2045</v>
      </c>
      <c r="C497" s="50" t="s">
        <v>2</v>
      </c>
      <c r="D497" s="10">
        <f t="shared" si="42"/>
        <v>1</v>
      </c>
      <c r="E497" s="45">
        <f>INDEX($I:$I,MATCH($E496,$I:$I,0)+IF(COUNTIF($E$194:$E496,$E496)&lt;=VLOOKUP($E496,$I$134:$K$193,3,0)-1,0,1),0)</f>
        <v>1123</v>
      </c>
      <c r="F497" s="45" t="str">
        <f t="shared" si="38"/>
        <v>小白龙</v>
      </c>
      <c r="G497" s="45" t="s">
        <v>217</v>
      </c>
      <c r="H497" s="45">
        <f>VLOOKUP($E497,[1]Sheet1!$A:$G,7,0)</f>
        <v>3</v>
      </c>
      <c r="I497" s="45" t="str">
        <f>IF($G497="","",IF(COUNTIF(技能描述!$D:$D,$F497)&gt;0,VLOOKUP($F497&amp;$G497,技能描述!$A:$C,3,0),LEFT(VLOOKUP($E497,[1]Sheet1!$A:$J,10,0),FIND("_",VLOOKUP($E497,[1]Sheet1!$A:$J,10,0))-1)&amp;$G497))</f>
        <v>xiaobailong_skill04</v>
      </c>
      <c r="J497" s="45" t="str">
        <f>IF($I497="","",VLOOKUP($I497,技能描述!$A:$C,3,0))</f>
        <v>小白龙舞枪直刺，对范围内敌人造成自身攻击力@s的物伤，同时提升自身暴击@s，持续3秒</v>
      </c>
      <c r="K497" s="45" t="str">
        <f>IF($I497="","",INDEX([2]Sheet1!$1:$1048576,MATCH($I497,[2]Sheet1!$A:$A,0),MATCH("description_damage",[2]Sheet1!$2:$2,0)))</f>
        <v>112306,9030</v>
      </c>
      <c r="L497" s="80" t="str">
        <f>IF($K497="","",IF(LEN($K497)-LEN(SUBSTITUTE($K497,",",""))=0,VLOOKUP(INT($K497),[3]Sheet1!$A:$C,3,0),VLOOKUP(INT(LEFT($K497,FIND(",",$K497)-1)),[3]Sheet1!$A:$C,3,0)))</f>
        <v>2|1|1.43|0|0|0</v>
      </c>
      <c r="M497" s="80" t="str">
        <f t="shared" si="43"/>
        <v>143%</v>
      </c>
      <c r="N497" s="45" t="str">
        <f>IF(LEN($K497)-LEN(SUBSTITUTE($K497,",",""))=1,VLOOKUP(INT(RIGHT($K497,LEN($K497)-FIND(",",$K497))),[3]Sheet1!$A:$C,3,0),"")</f>
        <v>4|3|0.3|0|1</v>
      </c>
      <c r="O497" s="45" t="str">
        <f t="shared" si="40"/>
        <v>30%</v>
      </c>
      <c r="P497" s="45" t="str">
        <f t="shared" si="36"/>
        <v>小白龙舞枪直刺，对范围内敌人造成自身攻击力143%的物伤，同时提升自身暴击@s，持续3秒</v>
      </c>
      <c r="Q497" s="45" t="str">
        <f t="shared" si="41"/>
        <v>小白龙舞枪直刺，对范围内敌人造成自身攻击力143%的物伤，同时提升自身暴击30%，持续3秒</v>
      </c>
      <c r="R497" s="45"/>
      <c r="S497" s="45" t="str">
        <f>IF(ISERROR($Q497),"进阶+"&amp;COUNTIF($E$194:$E497,$E497)&amp;"："&amp;"找ZC配技能","进阶+"&amp;COUNTIF($E$194:$E497,$E497)&amp;"："&amp;VLOOKUP(COUNTIF($E$194:$E497,$E497),$L$184:$R$193,IF(H497=1,4,IF(H497=4,3,2))+IF(INDEX([1]Sheet1!$1:$1048576,MATCH($E497,[1]Sheet1!$A:$A,0),MATCH("zizhi",[1]Sheet1!$2:$2,0))&gt;=13,0,3),0)&amp;IF($Q497="","","（"&amp;$Q497&amp;"）"))</f>
        <v>进阶+4：激活AI2技能（小白龙舞枪直刺，对范围内敌人造成自身攻击力143%的物伤，同时提升自身暴击30%，持续3秒）</v>
      </c>
      <c r="T497" s="1"/>
      <c r="U497" s="1"/>
      <c r="V497" s="2" t="str">
        <f>VLOOKUP(COUNTIF($E$194:$E497,$E497),$L$184:$X$193,IF(H497=1,4,IF(H497=4,3,2))+IF(INDEX([1]Sheet1!$1:$1048576,MATCH($E497,[1]Sheet1!$A:$A,0),MATCH("zizhi",[1]Sheet1!$2:$2,0))&gt;=13,0,3)+6,0)</f>
        <v>[]</v>
      </c>
      <c r="W497" s="2" t="str">
        <f t="shared" si="39"/>
        <v>进阶+4：激活AI2技能（小白龙舞枪直刺，对范围内敌人造成自身攻击力143%的物伤，同时提升自身暴击30%，持续3秒）</v>
      </c>
      <c r="X497" s="45" t="str">
        <f t="shared" si="37"/>
        <v>[]</v>
      </c>
      <c r="Y497" s="2"/>
      <c r="Z497" s="2"/>
      <c r="AA497" s="2"/>
    </row>
    <row r="498" spans="1:27">
      <c r="A498" s="10">
        <f>E498*100+COUNTIF($E$194:$E498,$E498)</f>
        <v>112305</v>
      </c>
      <c r="B498" s="68" t="s">
        <v>323</v>
      </c>
      <c r="C498" s="50" t="s">
        <v>140</v>
      </c>
      <c r="D498" s="10" t="str">
        <f t="shared" si="42"/>
        <v>[]</v>
      </c>
      <c r="E498" s="45">
        <f>INDEX($I:$I,MATCH($E497,$I:$I,0)+IF(COUNTIF($E$194:$E497,$E497)&lt;=VLOOKUP($E497,$I$134:$K$193,3,0)-1,0,1),0)</f>
        <v>1123</v>
      </c>
      <c r="F498" s="45" t="str">
        <f t="shared" si="38"/>
        <v>小白龙</v>
      </c>
      <c r="H498" s="45">
        <f>VLOOKUP($E498,[1]Sheet1!$A:$G,7,0)</f>
        <v>3</v>
      </c>
      <c r="I498" s="45" t="str">
        <f>IF($G498="","",IF(COUNTIF(技能描述!$D:$D,$F498)&gt;0,VLOOKUP($F498&amp;$G498,技能描述!$A:$C,3,0),LEFT(VLOOKUP($E498,[1]Sheet1!$A:$J,10,0),FIND("_",VLOOKUP($E498,[1]Sheet1!$A:$J,10,0))-1)&amp;$G498))</f>
        <v/>
      </c>
      <c r="J498" s="45" t="str">
        <f>IF($I498="","",VLOOKUP($I498,技能描述!$A:$C,3,0))</f>
        <v/>
      </c>
      <c r="K498" s="45" t="str">
        <f>IF($I498="","",INDEX([2]Sheet1!$1:$1048576,MATCH($I498,[2]Sheet1!$A:$A,0),MATCH("description_damage",[2]Sheet1!$2:$2,0)))</f>
        <v/>
      </c>
      <c r="L498" s="80" t="str">
        <f>IF($K498="","",IF(LEN($K498)-LEN(SUBSTITUTE($K498,",",""))=0,VLOOKUP(INT($K498),[3]Sheet1!$A:$C,3,0),VLOOKUP(INT(LEFT($K498,FIND(",",$K498)-1)),[3]Sheet1!$A:$C,3,0)))</f>
        <v/>
      </c>
      <c r="M498" s="80" t="str">
        <f t="shared" si="43"/>
        <v/>
      </c>
      <c r="N498" s="45" t="str">
        <f>IF(LEN($K498)-LEN(SUBSTITUTE($K498,",",""))=1,VLOOKUP(INT(RIGHT($K498,LEN($K498)-FIND(",",$K498))),[3]Sheet1!$A:$C,3,0),"")</f>
        <v/>
      </c>
      <c r="O498" s="45" t="str">
        <f t="shared" si="40"/>
        <v/>
      </c>
      <c r="P498" s="45" t="str">
        <f t="shared" si="36"/>
        <v/>
      </c>
      <c r="Q498" s="45" t="str">
        <f t="shared" si="41"/>
        <v/>
      </c>
      <c r="R498" s="45"/>
      <c r="S498" s="45" t="str">
        <f>IF(ISERROR($Q498),"进阶+"&amp;COUNTIF($E$194:$E498,$E498)&amp;"："&amp;"找ZC配技能","进阶+"&amp;COUNTIF($E$194:$E498,$E498)&amp;"："&amp;VLOOKUP(COUNTIF($E$194:$E498,$E498),$L$184:$R$193,IF(H498=1,4,IF(H498=4,3,2))+IF(INDEX([1]Sheet1!$1:$1048576,MATCH($E498,[1]Sheet1!$A:$A,0),MATCH("zizhi",[1]Sheet1!$2:$2,0))&gt;=13,0,3),0)&amp;IF($Q498="","","（"&amp;$Q498&amp;"）"))</f>
        <v>进阶+5：生命，防御提高10%</v>
      </c>
      <c r="T498" s="1"/>
      <c r="U498" s="1"/>
      <c r="V498" s="2" t="str">
        <f>VLOOKUP(COUNTIF($E$194:$E498,$E498),$L$184:$X$193,IF(H498=1,4,IF(H498=4,3,2))+IF(INDEX([1]Sheet1!$1:$1048576,MATCH($E498,[1]Sheet1!$A:$A,0),MATCH("zizhi",[1]Sheet1!$2:$2,0))&gt;=13,0,3)+6,0)</f>
        <v>11090,6502,6512</v>
      </c>
      <c r="W498" s="2" t="str">
        <f t="shared" si="39"/>
        <v>进阶+5：生命，防御提高10%</v>
      </c>
      <c r="X498" s="45" t="str">
        <f t="shared" si="37"/>
        <v>11090,6502,6512</v>
      </c>
      <c r="Y498" s="2"/>
      <c r="Z498" s="2"/>
      <c r="AA498" s="2"/>
    </row>
    <row r="499" spans="1:27" ht="33">
      <c r="A499" s="10">
        <f>E499*100+COUNTIF($E$194:$E499,$E499)</f>
        <v>112306</v>
      </c>
      <c r="B499" s="68" t="s">
        <v>2046</v>
      </c>
      <c r="C499" s="50" t="s">
        <v>2</v>
      </c>
      <c r="D499" s="10">
        <f t="shared" si="42"/>
        <v>1</v>
      </c>
      <c r="E499" s="45">
        <f>INDEX($I:$I,MATCH($E498,$I:$I,0)+IF(COUNTIF($E$194:$E498,$E498)&lt;=VLOOKUP($E498,$I$134:$K$193,3,0)-1,0,1),0)</f>
        <v>1123</v>
      </c>
      <c r="F499" s="45" t="str">
        <f t="shared" si="38"/>
        <v>小白龙</v>
      </c>
      <c r="G499" s="45" t="s">
        <v>218</v>
      </c>
      <c r="H499" s="45">
        <f>VLOOKUP($E499,[1]Sheet1!$A:$G,7,0)</f>
        <v>3</v>
      </c>
      <c r="I499" s="45" t="str">
        <f>IF($G499="","",IF(COUNTIF(技能描述!$D:$D,$F499)&gt;0,VLOOKUP($F499&amp;$G499,技能描述!$A:$C,3,0),LEFT(VLOOKUP($E499,[1]Sheet1!$A:$J,10,0),FIND("_",VLOOKUP($E499,[1]Sheet1!$A:$J,10,0))-1)&amp;$G499))</f>
        <v>xiaobailong_skill011</v>
      </c>
      <c r="J499" s="45" t="str">
        <f>IF($I499="","",VLOOKUP($I499,技能描述!$A:$C,3,0))</f>
        <v>召唤大型水龙卷，对范围内敌人进行3次攻击，造成主角攻击力@s的物伤</v>
      </c>
      <c r="K499" s="45" t="str">
        <f>IF($I499="","",INDEX([2]Sheet1!$1:$1048576,MATCH($I499,[2]Sheet1!$A:$A,0),MATCH("description_damage",[2]Sheet1!$2:$2,0)))</f>
        <v>112307</v>
      </c>
      <c r="L499" s="80" t="str">
        <f>IF($K499="","",IF(LEN($K499)-LEN(SUBSTITUTE($K499,",",""))=0,VLOOKUP(INT($K499),[3]Sheet1!$A:$C,3,0),VLOOKUP(INT(LEFT($K499,FIND(",",$K499)-1)),[3]Sheet1!$A:$C,3,0)))</f>
        <v>2|1|1.9|0|0|0</v>
      </c>
      <c r="M499" s="80" t="str">
        <f t="shared" si="43"/>
        <v>190%</v>
      </c>
      <c r="N499" s="45" t="str">
        <f>IF(LEN($K499)-LEN(SUBSTITUTE($K499,",",""))=1,VLOOKUP(INT(RIGHT($K499,LEN($K499)-FIND(",",$K499))),[3]Sheet1!$A:$C,3,0),"")</f>
        <v/>
      </c>
      <c r="O499" s="45" t="str">
        <f t="shared" si="40"/>
        <v/>
      </c>
      <c r="P499" s="45" t="str">
        <f t="shared" si="36"/>
        <v>召唤大型水龙卷，对范围内敌人进行3次攻击，造成主角攻击力190%的物伤</v>
      </c>
      <c r="Q499" s="45" t="str">
        <f t="shared" si="41"/>
        <v>召唤大型水龙卷，对范围内敌人进行3次攻击，造成主角攻击力190%的物伤</v>
      </c>
      <c r="R499" s="45"/>
      <c r="S499" s="45" t="str">
        <f>IF(ISERROR($Q499),"进阶+"&amp;COUNTIF($E$194:$E499,$E499)&amp;"："&amp;"找ZC配技能","进阶+"&amp;COUNTIF($E$194:$E499,$E499)&amp;"："&amp;VLOOKUP(COUNTIF($E$194:$E499,$E499),$L$184:$R$193,IF(H499=1,4,IF(H499=4,3,2))+IF(INDEX([1]Sheet1!$1:$1048576,MATCH($E499,[1]Sheet1!$A:$A,0),MATCH("zizhi",[1]Sheet1!$2:$2,0))&gt;=13,0,3),0)&amp;IF($Q499="","","（"&amp;$Q499&amp;"）"))</f>
        <v>进阶+6：增强主角技能（召唤大型水龙卷，对范围内敌人进行3次攻击，造成主角攻击力190%的物伤）</v>
      </c>
      <c r="T499" s="1"/>
      <c r="U499" s="1"/>
      <c r="V499" s="2" t="str">
        <f>VLOOKUP(COUNTIF($E$194:$E499,$E499),$L$184:$X$193,IF(H499=1,4,IF(H499=4,3,2))+IF(INDEX([1]Sheet1!$1:$1048576,MATCH($E499,[1]Sheet1!$A:$A,0),MATCH("zizhi",[1]Sheet1!$2:$2,0))&gt;=13,0,3)+6,0)</f>
        <v>[]</v>
      </c>
      <c r="W499" s="2" t="str">
        <f t="shared" si="39"/>
        <v>进阶+6：增强主角技能（召唤大型水龙卷，对范围内敌人进行3次攻击，造成主角攻击力190%的物伤）</v>
      </c>
      <c r="X499" s="45" t="str">
        <f t="shared" si="37"/>
        <v>[]</v>
      </c>
      <c r="Y499" s="2"/>
      <c r="Z499" s="2"/>
      <c r="AA499" s="2"/>
    </row>
    <row r="500" spans="1:27">
      <c r="A500" s="10">
        <f>E500*100+COUNTIF($E$194:$E500,$E500)</f>
        <v>112307</v>
      </c>
      <c r="B500" s="68" t="s">
        <v>359</v>
      </c>
      <c r="C500" s="50" t="s">
        <v>353</v>
      </c>
      <c r="D500" s="10" t="str">
        <f t="shared" si="42"/>
        <v>[]</v>
      </c>
      <c r="E500" s="45">
        <f>INDEX($I:$I,MATCH($E499,$I:$I,0)+IF(COUNTIF($E$194:$E499,$E499)&lt;=VLOOKUP($E499,$I$134:$K$193,3,0)-1,0,1),0)</f>
        <v>1123</v>
      </c>
      <c r="F500" s="45" t="str">
        <f t="shared" si="38"/>
        <v>小白龙</v>
      </c>
      <c r="H500" s="45">
        <f>VLOOKUP($E500,[1]Sheet1!$A:$G,7,0)</f>
        <v>3</v>
      </c>
      <c r="I500" s="45" t="str">
        <f>IF($G500="","",IF(COUNTIF(技能描述!$D:$D,$F500)&gt;0,VLOOKUP($F500&amp;$G500,技能描述!$A:$C,3,0),LEFT(VLOOKUP($E500,[1]Sheet1!$A:$J,10,0),FIND("_",VLOOKUP($E500,[1]Sheet1!$A:$J,10,0))-1)&amp;$G500))</f>
        <v/>
      </c>
      <c r="J500" s="45" t="str">
        <f>IF($I500="","",VLOOKUP($I500,技能描述!$A:$C,3,0))</f>
        <v/>
      </c>
      <c r="K500" s="45" t="str">
        <f>IF($I500="","",INDEX([2]Sheet1!$1:$1048576,MATCH($I500,[2]Sheet1!$A:$A,0),MATCH("description_damage",[2]Sheet1!$2:$2,0)))</f>
        <v/>
      </c>
      <c r="L500" s="80" t="str">
        <f>IF($K500="","",IF(LEN($K500)-LEN(SUBSTITUTE($K500,",",""))=0,VLOOKUP(INT($K500),[3]Sheet1!$A:$C,3,0),VLOOKUP(INT(LEFT($K500,FIND(",",$K500)-1)),[3]Sheet1!$A:$C,3,0)))</f>
        <v/>
      </c>
      <c r="M500" s="80" t="str">
        <f t="shared" si="43"/>
        <v/>
      </c>
      <c r="N500" s="45" t="str">
        <f>IF(LEN($K500)-LEN(SUBSTITUTE($K500,",",""))=1,VLOOKUP(INT(RIGHT($K500,LEN($K500)-FIND(",",$K500))),[3]Sheet1!$A:$C,3,0),"")</f>
        <v/>
      </c>
      <c r="O500" s="45" t="str">
        <f t="shared" si="40"/>
        <v/>
      </c>
      <c r="P500" s="45" t="str">
        <f t="shared" si="36"/>
        <v/>
      </c>
      <c r="Q500" s="45" t="str">
        <f t="shared" si="41"/>
        <v/>
      </c>
      <c r="R500" s="45"/>
      <c r="S500" s="45" t="str">
        <f>IF(ISERROR($Q500),"进阶+"&amp;COUNTIF($E$194:$E500,$E500)&amp;"："&amp;"找ZC配技能","进阶+"&amp;COUNTIF($E$194:$E500,$E500)&amp;"："&amp;VLOOKUP(COUNTIF($E$194:$E500,$E500),$L$184:$R$193,IF(H500=1,4,IF(H500=4,3,2))+IF(INDEX([1]Sheet1!$1:$1048576,MATCH($E500,[1]Sheet1!$A:$A,0),MATCH("zizhi",[1]Sheet1!$2:$2,0))&gt;=13,0,3),0)&amp;IF($Q500="","","（"&amp;$Q500&amp;"）"))</f>
        <v>进阶+7：全队攻击提高10%</v>
      </c>
      <c r="T500" s="1"/>
      <c r="U500" s="1"/>
      <c r="V500" s="2" t="str">
        <f>VLOOKUP(COUNTIF($E$194:$E500,$E500),$L$184:$X$193,IF(H500=1,4,IF(H500=4,3,2))+IF(INDEX([1]Sheet1!$1:$1048576,MATCH($E500,[1]Sheet1!$A:$A,0),MATCH("zizhi",[1]Sheet1!$2:$2,0))&gt;=13,0,3)+6,0)</f>
        <v>58010</v>
      </c>
      <c r="W500" s="2" t="str">
        <f t="shared" si="39"/>
        <v>进阶+7：全队攻击提高10%</v>
      </c>
      <c r="X500" s="45" t="str">
        <f t="shared" si="37"/>
        <v>58010</v>
      </c>
      <c r="Y500" s="2"/>
      <c r="Z500" s="2"/>
      <c r="AA500" s="2"/>
    </row>
    <row r="501" spans="1:27" ht="33">
      <c r="A501" s="10">
        <f>E501*100+COUNTIF($E$194:$E501,$E501)</f>
        <v>112308</v>
      </c>
      <c r="B501" s="68" t="s">
        <v>2047</v>
      </c>
      <c r="C501" s="50" t="s">
        <v>2</v>
      </c>
      <c r="D501" s="10">
        <f t="shared" si="42"/>
        <v>1</v>
      </c>
      <c r="E501" s="45">
        <f>INDEX($I:$I,MATCH($E500,$I:$I,0)+IF(COUNTIF($E$194:$E500,$E500)&lt;=VLOOKUP($E500,$I$134:$K$193,3,0)-1,0,1),0)</f>
        <v>1123</v>
      </c>
      <c r="F501" s="45" t="str">
        <f t="shared" si="38"/>
        <v>小白龙</v>
      </c>
      <c r="G501" s="45" t="s">
        <v>219</v>
      </c>
      <c r="H501" s="45">
        <f>VLOOKUP($E501,[1]Sheet1!$A:$G,7,0)</f>
        <v>3</v>
      </c>
      <c r="I501" s="45" t="str">
        <f>IF($G501="","",IF(COUNTIF(技能描述!$D:$D,$F501)&gt;0,VLOOKUP($F501&amp;$G501,技能描述!$A:$C,3,0),LEFT(VLOOKUP($E501,[1]Sheet1!$A:$J,10,0),FIND("_",VLOOKUP($E501,[1]Sheet1!$A:$J,10,0))-1)&amp;$G501))</f>
        <v>xiaobailong_skill021</v>
      </c>
      <c r="J501" s="45" t="str">
        <f>IF($I501="","",VLOOKUP($I501,技能描述!$A:$C,3,0))</f>
        <v>小白龙舞枪对范围内敌人进行2次攻击，造成自身攻击力@s的物伤，每次有23%的概率震晕目标</v>
      </c>
      <c r="K501" s="45" t="str">
        <f>IF($I501="","",INDEX([2]Sheet1!$1:$1048576,MATCH($I501,[2]Sheet1!$A:$A,0),MATCH("description_damage",[2]Sheet1!$2:$2,0)))</f>
        <v>112308</v>
      </c>
      <c r="L501" s="80" t="str">
        <f>IF($K501="","",IF(LEN($K501)-LEN(SUBSTITUTE($K501,",",""))=0,VLOOKUP(INT($K501),[3]Sheet1!$A:$C,3,0),VLOOKUP(INT(LEFT($K501,FIND(",",$K501)-1)),[3]Sheet1!$A:$C,3,0)))</f>
        <v>2|1|1|0|0|0</v>
      </c>
      <c r="M501" s="80" t="str">
        <f t="shared" si="43"/>
        <v>100%</v>
      </c>
      <c r="N501" s="45" t="str">
        <f>IF(LEN($K501)-LEN(SUBSTITUTE($K501,",",""))=1,VLOOKUP(INT(RIGHT($K501,LEN($K501)-FIND(",",$K501))),[3]Sheet1!$A:$C,3,0),"")</f>
        <v/>
      </c>
      <c r="O501" s="45" t="str">
        <f t="shared" si="40"/>
        <v/>
      </c>
      <c r="P501" s="45" t="str">
        <f t="shared" si="36"/>
        <v>小白龙舞枪对范围内敌人进行2次攻击，造成自身攻击力100%的物伤，每次有23%的概率震晕目标</v>
      </c>
      <c r="Q501" s="45" t="str">
        <f t="shared" si="41"/>
        <v>小白龙舞枪对范围内敌人进行2次攻击，造成自身攻击力100%的物伤，每次有23%的概率震晕目标</v>
      </c>
      <c r="R501" s="45"/>
      <c r="S501" s="45" t="str">
        <f>IF(ISERROR($Q501),"进阶+"&amp;COUNTIF($E$194:$E501,$E501)&amp;"："&amp;"找ZC配技能","进阶+"&amp;COUNTIF($E$194:$E501,$E501)&amp;"："&amp;VLOOKUP(COUNTIF($E$194:$E501,$E501),$L$184:$R$193,IF(H501=1,4,IF(H501=4,3,2))+IF(INDEX([1]Sheet1!$1:$1048576,MATCH($E501,[1]Sheet1!$A:$A,0),MATCH("zizhi",[1]Sheet1!$2:$2,0))&gt;=13,0,3),0)&amp;IF($Q501="","","（"&amp;$Q501&amp;"）"))</f>
        <v>进阶+8：增强AI1技能（小白龙舞枪对范围内敌人进行2次攻击，造成自身攻击力100%的物伤，每次有23%的概率震晕目标）</v>
      </c>
      <c r="T501" s="1"/>
      <c r="U501" s="1"/>
      <c r="V501" s="2" t="str">
        <f>VLOOKUP(COUNTIF($E$194:$E501,$E501),$L$184:$X$193,IF(H501=1,4,IF(H501=4,3,2))+IF(INDEX([1]Sheet1!$1:$1048576,MATCH($E501,[1]Sheet1!$A:$A,0),MATCH("zizhi",[1]Sheet1!$2:$2,0))&gt;=13,0,3)+6,0)</f>
        <v>[]</v>
      </c>
      <c r="W501" s="2" t="str">
        <f t="shared" si="39"/>
        <v>进阶+8：增强AI1技能（小白龙舞枪对范围内敌人进行2次攻击，造成自身攻击力100%的物伤，每次有23%的概率震晕目标）</v>
      </c>
      <c r="X501" s="45" t="str">
        <f t="shared" si="37"/>
        <v>[]</v>
      </c>
      <c r="Y501" s="2"/>
      <c r="Z501" s="2"/>
      <c r="AA501" s="2"/>
    </row>
    <row r="502" spans="1:27">
      <c r="A502" s="10">
        <f>E502*100+COUNTIF($E$194:$E502,$E502)</f>
        <v>112309</v>
      </c>
      <c r="B502" s="68" t="s">
        <v>1899</v>
      </c>
      <c r="C502" s="50" t="s">
        <v>2085</v>
      </c>
      <c r="D502" s="10" t="str">
        <f t="shared" si="42"/>
        <v>[]</v>
      </c>
      <c r="E502" s="45">
        <f>INDEX($I:$I,MATCH($E501,$I:$I,0)+IF(COUNTIF($E$194:$E501,$E501)&lt;=VLOOKUP($E501,$I$134:$K$193,3,0)-1,0,1),0)</f>
        <v>1123</v>
      </c>
      <c r="F502" s="45" t="str">
        <f t="shared" si="38"/>
        <v>小白龙</v>
      </c>
      <c r="H502" s="45">
        <f>VLOOKUP($E502,[1]Sheet1!$A:$G,7,0)</f>
        <v>3</v>
      </c>
      <c r="I502" s="45" t="str">
        <f>IF($G502="","",IF(COUNTIF(技能描述!$D:$D,$F502)&gt;0,VLOOKUP($F502&amp;$G502,技能描述!$A:$C,3,0),LEFT(VLOOKUP($E502,[1]Sheet1!$A:$J,10,0),FIND("_",VLOOKUP($E502,[1]Sheet1!$A:$J,10,0))-1)&amp;$G502))</f>
        <v/>
      </c>
      <c r="J502" s="45" t="str">
        <f>IF($I502="","",VLOOKUP($I502,技能描述!$A:$C,3,0))</f>
        <v/>
      </c>
      <c r="K502" s="45" t="str">
        <f>IF($I502="","",INDEX([2]Sheet1!$1:$1048576,MATCH($I502,[2]Sheet1!$A:$A,0),MATCH("description_damage",[2]Sheet1!$2:$2,0)))</f>
        <v/>
      </c>
      <c r="L502" s="80" t="str">
        <f>IF($K502="","",IF(LEN($K502)-LEN(SUBSTITUTE($K502,",",""))=0,VLOOKUP(INT($K502),[3]Sheet1!$A:$C,3,0),VLOOKUP(INT(LEFT($K502,FIND(",",$K502)-1)),[3]Sheet1!$A:$C,3,0)))</f>
        <v/>
      </c>
      <c r="M502" s="80" t="str">
        <f t="shared" si="43"/>
        <v/>
      </c>
      <c r="N502" s="45" t="str">
        <f>IF(LEN($K502)-LEN(SUBSTITUTE($K502,",",""))=1,VLOOKUP(INT(RIGHT($K502,LEN($K502)-FIND(",",$K502))),[3]Sheet1!$A:$C,3,0),"")</f>
        <v/>
      </c>
      <c r="O502" s="45" t="str">
        <f t="shared" si="40"/>
        <v/>
      </c>
      <c r="P502" s="45" t="str">
        <f t="shared" si="36"/>
        <v/>
      </c>
      <c r="Q502" s="45" t="str">
        <f t="shared" si="41"/>
        <v/>
      </c>
      <c r="R502" s="45"/>
      <c r="S502" s="45" t="str">
        <f>IF(ISERROR($Q502),"进阶+"&amp;COUNTIF($E$194:$E502,$E502)&amp;"："&amp;"找ZC配技能","进阶+"&amp;COUNTIF($E$194:$E502,$E502)&amp;"："&amp;VLOOKUP(COUNTIF($E$194:$E502,$E502),$L$184:$R$193,IF(H502=1,4,IF(H502=4,3,2))+IF(INDEX([1]Sheet1!$1:$1048576,MATCH($E502,[1]Sheet1!$A:$A,0),MATCH("zizhi",[1]Sheet1!$2:$2,0))&gt;=13,0,3),0)&amp;IF($Q502="","","（"&amp;$Q502&amp;"）"))</f>
        <v>进阶+9：全队攻击提高15%</v>
      </c>
      <c r="T502" s="1"/>
      <c r="U502" s="1"/>
      <c r="V502" s="2" t="str">
        <f>VLOOKUP(COUNTIF($E$194:$E502,$E502),$L$184:$X$193,IF(H502=1,4,IF(H502=4,3,2))+IF(INDEX([1]Sheet1!$1:$1048576,MATCH($E502,[1]Sheet1!$A:$A,0),MATCH("zizhi",[1]Sheet1!$2:$2,0))&gt;=13,0,3)+6,0)</f>
        <v>58015</v>
      </c>
      <c r="W502" s="2" t="str">
        <f t="shared" si="39"/>
        <v>进阶+9：全队攻击提高15%</v>
      </c>
      <c r="X502" s="45" t="str">
        <f t="shared" si="37"/>
        <v>58015</v>
      </c>
      <c r="Y502" s="2"/>
      <c r="Z502" s="2"/>
      <c r="AA502" s="2"/>
    </row>
    <row r="503" spans="1:27" ht="33">
      <c r="A503" s="10">
        <f>E503*100+COUNTIF($E$194:$E503,$E503)</f>
        <v>112310</v>
      </c>
      <c r="B503" s="68" t="s">
        <v>2048</v>
      </c>
      <c r="C503" s="50" t="s">
        <v>2</v>
      </c>
      <c r="D503" s="10">
        <f t="shared" si="42"/>
        <v>1</v>
      </c>
      <c r="E503" s="45">
        <f>INDEX($I:$I,MATCH($E502,$I:$I,0)+IF(COUNTIF($E$194:$E502,$E502)&lt;=VLOOKUP($E502,$I$134:$K$193,3,0)-1,0,1),0)</f>
        <v>1123</v>
      </c>
      <c r="F503" s="45" t="str">
        <f t="shared" si="38"/>
        <v>小白龙</v>
      </c>
      <c r="G503" s="45" t="s">
        <v>220</v>
      </c>
      <c r="H503" s="45">
        <f>VLOOKUP($E503,[1]Sheet1!$A:$G,7,0)</f>
        <v>3</v>
      </c>
      <c r="I503" s="45" t="str">
        <f>IF($G503="","",IF(COUNTIF(技能描述!$D:$D,$F503)&gt;0,VLOOKUP($F503&amp;$G503,技能描述!$A:$C,3,0),LEFT(VLOOKUP($E503,[1]Sheet1!$A:$J,10,0),FIND("_",VLOOKUP($E503,[1]Sheet1!$A:$J,10,0))-1)&amp;$G503))</f>
        <v>xiaobailong_skill041</v>
      </c>
      <c r="J503" s="45" t="str">
        <f>IF($I503="","",VLOOKUP($I503,技能描述!$A:$C,3,0))</f>
        <v>小白龙舞枪直刺，对范围内敌人造成自身攻击力@s的物伤，同时提升自身暴击@s，持续3秒</v>
      </c>
      <c r="K503" s="45" t="str">
        <f>IF($I503="","",INDEX([2]Sheet1!$1:$1048576,MATCH($I503,[2]Sheet1!$A:$A,0),MATCH("description_damage",[2]Sheet1!$2:$2,0)))</f>
        <v>112309,9030</v>
      </c>
      <c r="L503" s="80" t="str">
        <f>IF($K503="","",IF(LEN($K503)-LEN(SUBSTITUTE($K503,",",""))=0,VLOOKUP(INT($K503),[3]Sheet1!$A:$C,3,0),VLOOKUP(INT(LEFT($K503,FIND(",",$K503)-1)),[3]Sheet1!$A:$C,3,0)))</f>
        <v>2|1|2|0|0|0</v>
      </c>
      <c r="M503" s="80" t="str">
        <f t="shared" si="43"/>
        <v>200%</v>
      </c>
      <c r="N503" s="45" t="str">
        <f>IF(LEN($K503)-LEN(SUBSTITUTE($K503,",",""))=1,VLOOKUP(INT(RIGHT($K503,LEN($K503)-FIND(",",$K503))),[3]Sheet1!$A:$C,3,0),"")</f>
        <v>4|3|0.3|0|1</v>
      </c>
      <c r="O503" s="45" t="str">
        <f t="shared" si="40"/>
        <v>30%</v>
      </c>
      <c r="P503" s="45" t="str">
        <f t="shared" si="36"/>
        <v>小白龙舞枪直刺，对范围内敌人造成自身攻击力200%的物伤，同时提升自身暴击@s，持续3秒</v>
      </c>
      <c r="Q503" s="45" t="str">
        <f t="shared" si="41"/>
        <v>小白龙舞枪直刺，对范围内敌人造成自身攻击力200%的物伤，同时提升自身暴击30%，持续3秒</v>
      </c>
      <c r="R503" s="45"/>
      <c r="S503" s="45" t="str">
        <f>IF(ISERROR($Q503),"进阶+"&amp;COUNTIF($E$194:$E503,$E503)&amp;"："&amp;"找ZC配技能","进阶+"&amp;COUNTIF($E$194:$E503,$E503)&amp;"："&amp;VLOOKUP(COUNTIF($E$194:$E503,$E503),$L$184:$R$193,IF(H503=1,4,IF(H503=4,3,2))+IF(INDEX([1]Sheet1!$1:$1048576,MATCH($E503,[1]Sheet1!$A:$A,0),MATCH("zizhi",[1]Sheet1!$2:$2,0))&gt;=13,0,3),0)&amp;IF($Q503="","","（"&amp;$Q503&amp;"）"))</f>
        <v>进阶+10：增强AI2技能（小白龙舞枪直刺，对范围内敌人造成自身攻击力200%的物伤，同时提升自身暴击30%，持续3秒）</v>
      </c>
      <c r="T503" s="1"/>
      <c r="U503" s="1"/>
      <c r="V503" s="2" t="str">
        <f>VLOOKUP(COUNTIF($E$194:$E503,$E503),$L$184:$X$193,IF(H503=1,4,IF(H503=4,3,2))+IF(INDEX([1]Sheet1!$1:$1048576,MATCH($E503,[1]Sheet1!$A:$A,0),MATCH("zizhi",[1]Sheet1!$2:$2,0))&gt;=13,0,3)+6,0)</f>
        <v>[]</v>
      </c>
      <c r="W503" s="2" t="str">
        <f t="shared" si="39"/>
        <v>进阶+10：增强AI2技能（小白龙舞枪直刺，对范围内敌人造成自身攻击力200%的物伤，同时提升自身暴击30%，持续3秒）</v>
      </c>
      <c r="X503" s="45" t="str">
        <f t="shared" si="37"/>
        <v>[]</v>
      </c>
      <c r="Y503" s="2"/>
      <c r="Z503" s="2"/>
      <c r="AA503" s="2"/>
    </row>
    <row r="504" spans="1:27">
      <c r="A504" s="10">
        <f>E504*100+COUNTIF($E$194:$E504,$E504)</f>
        <v>111701</v>
      </c>
      <c r="B504" s="68" t="s">
        <v>319</v>
      </c>
      <c r="C504" s="50" t="s">
        <v>2086</v>
      </c>
      <c r="D504" s="10" t="str">
        <f t="shared" si="42"/>
        <v>[]</v>
      </c>
      <c r="E504" s="45">
        <f>INDEX($I:$I,MATCH($E503,$I:$I,0)+IF(COUNTIF($E$194:$E503,$E503)&lt;=VLOOKUP($E503,$I$134:$K$193,3,0)-1,0,1),0)</f>
        <v>1117</v>
      </c>
      <c r="F504" s="45" t="str">
        <f t="shared" si="38"/>
        <v>六耳猕猴</v>
      </c>
      <c r="H504" s="45">
        <f>VLOOKUP($E504,[1]Sheet1!$A:$G,7,0)</f>
        <v>4</v>
      </c>
      <c r="I504" s="45" t="str">
        <f>IF($G504="","",IF(COUNTIF(技能描述!$D:$D,$F504)&gt;0,VLOOKUP($F504&amp;$G504,技能描述!$A:$C,3,0),LEFT(VLOOKUP($E504,[1]Sheet1!$A:$J,10,0),FIND("_",VLOOKUP($E504,[1]Sheet1!$A:$J,10,0))-1)&amp;$G504))</f>
        <v/>
      </c>
      <c r="J504" s="45" t="str">
        <f>IF($I504="","",VLOOKUP($I504,技能描述!$A:$C,3,0))</f>
        <v/>
      </c>
      <c r="K504" s="45" t="str">
        <f>IF($I504="","",INDEX([2]Sheet1!$1:$1048576,MATCH($I504,[2]Sheet1!$A:$A,0),MATCH("description_damage",[2]Sheet1!$2:$2,0)))</f>
        <v/>
      </c>
      <c r="L504" s="80" t="str">
        <f>IF($K504="","",IF(LEN($K504)-LEN(SUBSTITUTE($K504,",",""))=0,VLOOKUP(INT($K504),[3]Sheet1!$A:$C,3,0),VLOOKUP(INT(LEFT($K504,FIND(",",$K504)-1)),[3]Sheet1!$A:$C,3,0)))</f>
        <v/>
      </c>
      <c r="M504" s="80" t="str">
        <f t="shared" si="43"/>
        <v/>
      </c>
      <c r="N504" s="45" t="str">
        <f>IF(LEN($K504)-LEN(SUBSTITUTE($K504,",",""))=1,VLOOKUP(INT(RIGHT($K504,LEN($K504)-FIND(",",$K504))),[3]Sheet1!$A:$C,3,0),"")</f>
        <v/>
      </c>
      <c r="O504" s="45" t="str">
        <f t="shared" si="40"/>
        <v/>
      </c>
      <c r="P504" s="45" t="str">
        <f t="shared" si="36"/>
        <v/>
      </c>
      <c r="Q504" s="45" t="str">
        <f t="shared" si="41"/>
        <v/>
      </c>
      <c r="R504" s="45"/>
      <c r="S504" s="45" t="str">
        <f>IF(ISERROR($Q504),"进阶+"&amp;COUNTIF($E$194:$E504,$E504)&amp;"："&amp;"找ZC配技能","进阶+"&amp;COUNTIF($E$194:$E504,$E504)&amp;"："&amp;VLOOKUP(COUNTIF($E$194:$E504,$E504),$L$184:$R$193,IF(H504=1,4,IF(H504=4,3,2))+IF(INDEX([1]Sheet1!$1:$1048576,MATCH($E504,[1]Sheet1!$A:$A,0),MATCH("zizhi",[1]Sheet1!$2:$2,0))&gt;=13,0,3),0)&amp;IF($Q504="","","（"&amp;$Q504&amp;"）"))</f>
        <v>进阶+1：生命提高10%</v>
      </c>
      <c r="T504" s="1"/>
      <c r="U504" s="1"/>
      <c r="V504" s="2" t="str">
        <f>VLOOKUP(COUNTIF($E$194:$E504,$E504),$L$184:$X$193,IF(H504=1,4,IF(H504=4,3,2))+IF(INDEX([1]Sheet1!$1:$1048576,MATCH($E504,[1]Sheet1!$A:$A,0),MATCH("zizhi",[1]Sheet1!$2:$2,0))&gt;=13,0,3)+6,0)</f>
        <v>11090</v>
      </c>
      <c r="W504" s="2" t="str">
        <f t="shared" si="39"/>
        <v>进阶+1：生命提高10%</v>
      </c>
      <c r="X504" s="45" t="str">
        <f t="shared" si="37"/>
        <v>11090</v>
      </c>
      <c r="Y504" s="2"/>
      <c r="Z504" s="2"/>
      <c r="AA504" s="2"/>
    </row>
    <row r="505" spans="1:27">
      <c r="A505" s="10">
        <f>E505*100+COUNTIF($E$194:$E505,$E505)</f>
        <v>111702</v>
      </c>
      <c r="B505" s="68" t="s">
        <v>342</v>
      </c>
      <c r="C505" s="50" t="s">
        <v>2</v>
      </c>
      <c r="D505" s="10">
        <f t="shared" si="42"/>
        <v>1</v>
      </c>
      <c r="E505" s="45">
        <f>INDEX($I:$I,MATCH($E504,$I:$I,0)+IF(COUNTIF($E$194:$E504,$E504)&lt;=VLOOKUP($E504,$I$134:$K$193,3,0)-1,0,1),0)</f>
        <v>1117</v>
      </c>
      <c r="F505" s="45" t="str">
        <f t="shared" si="38"/>
        <v>六耳猕猴</v>
      </c>
      <c r="G505" s="45" t="s">
        <v>216</v>
      </c>
      <c r="H505" s="45">
        <f>VLOOKUP($E505,[1]Sheet1!$A:$G,7,0)</f>
        <v>4</v>
      </c>
      <c r="I505" s="45" t="str">
        <f>IF($G505="","",IF(COUNTIF(技能描述!$D:$D,$F505)&gt;0,VLOOKUP($F505&amp;$G505,技能描述!$A:$C,3,0),LEFT(VLOOKUP($E505,[1]Sheet1!$A:$J,10,0),FIND("_",VLOOKUP($E505,[1]Sheet1!$A:$J,10,0))-1)&amp;$G505))</f>
        <v>liuermihou_skill03</v>
      </c>
      <c r="J505" s="45" t="str">
        <f>IF($I505="","",VLOOKUP($I505,技能描述!$A:$C,3,0))</f>
        <v>进入战斗场景时，提升自身闪避率@s</v>
      </c>
      <c r="K505" s="45" t="str">
        <f>IF($I505="","",INDEX([2]Sheet1!$1:$1048576,MATCH($I505,[2]Sheet1!$A:$A,0),MATCH("description_damage",[2]Sheet1!$2:$2,0)))</f>
        <v>9020</v>
      </c>
      <c r="L505" s="80" t="str">
        <f>IF($K505="","",IF(LEN($K505)-LEN(SUBSTITUTE($K505,",",""))=0,VLOOKUP(INT($K505),[3]Sheet1!$A:$C,3,0),VLOOKUP(INT(LEFT($K505,FIND(",",$K505)-1)),[3]Sheet1!$A:$C,3,0)))</f>
        <v>4|3|0.2|0|1</v>
      </c>
      <c r="M505" s="80" t="str">
        <f t="shared" si="43"/>
        <v>20%</v>
      </c>
      <c r="N505" s="45" t="str">
        <f>IF(LEN($K505)-LEN(SUBSTITUTE($K505,",",""))=1,VLOOKUP(INT(RIGHT($K505,LEN($K505)-FIND(",",$K505))),[3]Sheet1!$A:$C,3,0),"")</f>
        <v/>
      </c>
      <c r="O505" s="45" t="str">
        <f t="shared" si="40"/>
        <v/>
      </c>
      <c r="P505" s="45" t="str">
        <f t="shared" si="36"/>
        <v>进入战斗场景时，提升自身闪避率20%</v>
      </c>
      <c r="Q505" s="45" t="str">
        <f t="shared" si="41"/>
        <v>进入战斗场景时，提升自身闪避率20%</v>
      </c>
      <c r="R505" s="45"/>
      <c r="S505" s="45" t="str">
        <f>IF(ISERROR($Q505),"进阶+"&amp;COUNTIF($E$194:$E505,$E505)&amp;"："&amp;"找ZC配技能","进阶+"&amp;COUNTIF($E$194:$E505,$E505)&amp;"："&amp;VLOOKUP(COUNTIF($E$194:$E505,$E505),$L$184:$R$193,IF(H505=1,4,IF(H505=4,3,2))+IF(INDEX([1]Sheet1!$1:$1048576,MATCH($E505,[1]Sheet1!$A:$A,0),MATCH("zizhi",[1]Sheet1!$2:$2,0))&gt;=13,0,3),0)&amp;IF($Q505="","","（"&amp;$Q505&amp;"）"))</f>
        <v>进阶+2：激活被动技能（进入战斗场景时，提升自身闪避率20%）</v>
      </c>
      <c r="T505" s="1"/>
      <c r="U505" s="1"/>
      <c r="V505" s="2" t="str">
        <f>VLOOKUP(COUNTIF($E$194:$E505,$E505),$L$184:$X$193,IF(H505=1,4,IF(H505=4,3,2))+IF(INDEX([1]Sheet1!$1:$1048576,MATCH($E505,[1]Sheet1!$A:$A,0),MATCH("zizhi",[1]Sheet1!$2:$2,0))&gt;=13,0,3)+6,0)</f>
        <v>[]</v>
      </c>
      <c r="W505" s="2" t="str">
        <f t="shared" si="39"/>
        <v>进阶+2：激活被动技能（进入战斗场景时，提升自身闪避率20%）</v>
      </c>
      <c r="X505" s="45" t="str">
        <f t="shared" si="37"/>
        <v>[]</v>
      </c>
      <c r="Y505" s="2"/>
      <c r="Z505" s="2"/>
      <c r="AA505" s="2"/>
    </row>
    <row r="506" spans="1:27">
      <c r="A506" s="10">
        <f>E506*100+COUNTIF($E$194:$E506,$E506)</f>
        <v>111703</v>
      </c>
      <c r="B506" s="68" t="s">
        <v>324</v>
      </c>
      <c r="C506" s="50" t="s">
        <v>140</v>
      </c>
      <c r="D506" s="10" t="str">
        <f t="shared" si="42"/>
        <v>[]</v>
      </c>
      <c r="E506" s="45">
        <f>INDEX($I:$I,MATCH($E505,$I:$I,0)+IF(COUNTIF($E$194:$E505,$E505)&lt;=VLOOKUP($E505,$I$134:$K$193,3,0)-1,0,1),0)</f>
        <v>1117</v>
      </c>
      <c r="F506" s="45" t="str">
        <f t="shared" si="38"/>
        <v>六耳猕猴</v>
      </c>
      <c r="H506" s="45">
        <f>VLOOKUP($E506,[1]Sheet1!$A:$G,7,0)</f>
        <v>4</v>
      </c>
      <c r="I506" s="45" t="str">
        <f>IF($G506="","",IF(COUNTIF(技能描述!$D:$D,$F506)&gt;0,VLOOKUP($F506&amp;$G506,技能描述!$A:$C,3,0),LEFT(VLOOKUP($E506,[1]Sheet1!$A:$J,10,0),FIND("_",VLOOKUP($E506,[1]Sheet1!$A:$J,10,0))-1)&amp;$G506))</f>
        <v/>
      </c>
      <c r="J506" s="45" t="str">
        <f>IF($I506="","",VLOOKUP($I506,技能描述!$A:$C,3,0))</f>
        <v/>
      </c>
      <c r="K506" s="45" t="str">
        <f>IF($I506="","",INDEX([2]Sheet1!$1:$1048576,MATCH($I506,[2]Sheet1!$A:$A,0),MATCH("description_damage",[2]Sheet1!$2:$2,0)))</f>
        <v/>
      </c>
      <c r="L506" s="80" t="str">
        <f>IF($K506="","",IF(LEN($K506)-LEN(SUBSTITUTE($K506,",",""))=0,VLOOKUP(INT($K506),[3]Sheet1!$A:$C,3,0),VLOOKUP(INT(LEFT($K506,FIND(",",$K506)-1)),[3]Sheet1!$A:$C,3,0)))</f>
        <v/>
      </c>
      <c r="M506" s="80" t="str">
        <f t="shared" si="43"/>
        <v/>
      </c>
      <c r="N506" s="45" t="str">
        <f>IF(LEN($K506)-LEN(SUBSTITUTE($K506,",",""))=1,VLOOKUP(INT(RIGHT($K506,LEN($K506)-FIND(",",$K506))),[3]Sheet1!$A:$C,3,0),"")</f>
        <v/>
      </c>
      <c r="O506" s="45" t="str">
        <f t="shared" si="40"/>
        <v/>
      </c>
      <c r="P506" s="45" t="str">
        <f t="shared" si="36"/>
        <v/>
      </c>
      <c r="Q506" s="45" t="str">
        <f t="shared" si="41"/>
        <v/>
      </c>
      <c r="R506" s="45"/>
      <c r="S506" s="45" t="str">
        <f>IF(ISERROR($Q506),"进阶+"&amp;COUNTIF($E$194:$E506,$E506)&amp;"："&amp;"找ZC配技能","进阶+"&amp;COUNTIF($E$194:$E506,$E506)&amp;"："&amp;VLOOKUP(COUNTIF($E$194:$E506,$E506),$L$184:$R$193,IF(H506=1,4,IF(H506=4,3,2))+IF(INDEX([1]Sheet1!$1:$1048576,MATCH($E506,[1]Sheet1!$A:$A,0),MATCH("zizhi",[1]Sheet1!$2:$2,0))&gt;=13,0,3),0)&amp;IF($Q506="","","（"&amp;$Q506&amp;"）"))</f>
        <v>进阶+3：生命，防御提高10%</v>
      </c>
      <c r="T506" s="1"/>
      <c r="U506" s="1"/>
      <c r="V506" s="2" t="str">
        <f>VLOOKUP(COUNTIF($E$194:$E506,$E506),$L$184:$X$193,IF(H506=1,4,IF(H506=4,3,2))+IF(INDEX([1]Sheet1!$1:$1048576,MATCH($E506,[1]Sheet1!$A:$A,0),MATCH("zizhi",[1]Sheet1!$2:$2,0))&gt;=13,0,3)+6,0)</f>
        <v>11090,6502,6512</v>
      </c>
      <c r="W506" s="2" t="str">
        <f t="shared" si="39"/>
        <v>进阶+3：生命，防御提高10%</v>
      </c>
      <c r="X506" s="45" t="str">
        <f t="shared" si="37"/>
        <v>11090,6502,6512</v>
      </c>
      <c r="Y506" s="2"/>
      <c r="Z506" s="2"/>
      <c r="AA506" s="2"/>
    </row>
    <row r="507" spans="1:27" ht="33">
      <c r="A507" s="10">
        <f>E507*100+COUNTIF($E$194:$E507,$E507)</f>
        <v>111704</v>
      </c>
      <c r="B507" s="68" t="s">
        <v>1876</v>
      </c>
      <c r="C507" s="50" t="s">
        <v>2</v>
      </c>
      <c r="D507" s="10">
        <f t="shared" si="42"/>
        <v>1</v>
      </c>
      <c r="E507" s="45">
        <f>INDEX($I:$I,MATCH($E506,$I:$I,0)+IF(COUNTIF($E$194:$E506,$E506)&lt;=VLOOKUP($E506,$I$134:$K$193,3,0)-1,0,1),0)</f>
        <v>1117</v>
      </c>
      <c r="F507" s="45" t="str">
        <f t="shared" si="38"/>
        <v>六耳猕猴</v>
      </c>
      <c r="G507" s="45" t="s">
        <v>217</v>
      </c>
      <c r="H507" s="45">
        <f>VLOOKUP($E507,[1]Sheet1!$A:$G,7,0)</f>
        <v>4</v>
      </c>
      <c r="I507" s="45" t="str">
        <f>IF($G507="","",IF(COUNTIF(技能描述!$D:$D,$F507)&gt;0,VLOOKUP($F507&amp;$G507,技能描述!$A:$C,3,0),LEFT(VLOOKUP($E507,[1]Sheet1!$A:$J,10,0),FIND("_",VLOOKUP($E507,[1]Sheet1!$A:$J,10,0))-1)&amp;$G507))</f>
        <v>liuermihou_skill04</v>
      </c>
      <c r="J507" s="45" t="str">
        <f>IF($I507="","",VLOOKUP($I507,技能描述!$A:$C,3,0))</f>
        <v>六耳猕猴轮舞巨剑形成龙卷风，对范围内敌人进行6次攻击，造成自身攻击力@s的法伤</v>
      </c>
      <c r="K507" s="45" t="str">
        <f>IF($I507="","",INDEX([2]Sheet1!$1:$1048576,MATCH($I507,[2]Sheet1!$A:$A,0),MATCH("description_damage",[2]Sheet1!$2:$2,0)))</f>
        <v>111704</v>
      </c>
      <c r="L507" s="80" t="str">
        <f>IF($K507="","",IF(LEN($K507)-LEN(SUBSTITUTE($K507,",",""))=0,VLOOKUP(INT($K507),[3]Sheet1!$A:$C,3,0),VLOOKUP(INT(LEFT($K507,FIND(",",$K507)-1)),[3]Sheet1!$A:$C,3,0)))</f>
        <v>2|2|0.48|0|0|0</v>
      </c>
      <c r="M507" s="80" t="str">
        <f t="shared" si="43"/>
        <v>48%</v>
      </c>
      <c r="N507" s="45" t="str">
        <f>IF(LEN($K507)-LEN(SUBSTITUTE($K507,",",""))=1,VLOOKUP(INT(RIGHT($K507,LEN($K507)-FIND(",",$K507))),[3]Sheet1!$A:$C,3,0),"")</f>
        <v/>
      </c>
      <c r="O507" s="45" t="str">
        <f t="shared" si="40"/>
        <v/>
      </c>
      <c r="P507" s="45" t="str">
        <f t="shared" si="36"/>
        <v>六耳猕猴轮舞巨剑形成龙卷风，对范围内敌人进行6次攻击，造成自身攻击力48%的法伤</v>
      </c>
      <c r="Q507" s="45" t="str">
        <f t="shared" si="41"/>
        <v>六耳猕猴轮舞巨剑形成龙卷风，对范围内敌人进行6次攻击，造成自身攻击力48%的法伤</v>
      </c>
      <c r="R507" s="45"/>
      <c r="S507" s="45" t="str">
        <f>IF(ISERROR($Q507),"进阶+"&amp;COUNTIF($E$194:$E507,$E507)&amp;"："&amp;"找ZC配技能","进阶+"&amp;COUNTIF($E$194:$E507,$E507)&amp;"："&amp;VLOOKUP(COUNTIF($E$194:$E507,$E507),$L$184:$R$193,IF(H507=1,4,IF(H507=4,3,2))+IF(INDEX([1]Sheet1!$1:$1048576,MATCH($E507,[1]Sheet1!$A:$A,0),MATCH("zizhi",[1]Sheet1!$2:$2,0))&gt;=13,0,3),0)&amp;IF($Q507="","","（"&amp;$Q507&amp;"）"))</f>
        <v>进阶+4：激活AI2技能（六耳猕猴轮舞巨剑形成龙卷风，对范围内敌人进行6次攻击，造成自身攻击力48%的法伤）</v>
      </c>
      <c r="T507" s="1"/>
      <c r="U507" s="1"/>
      <c r="V507" s="2" t="str">
        <f>VLOOKUP(COUNTIF($E$194:$E507,$E507),$L$184:$X$193,IF(H507=1,4,IF(H507=4,3,2))+IF(INDEX([1]Sheet1!$1:$1048576,MATCH($E507,[1]Sheet1!$A:$A,0),MATCH("zizhi",[1]Sheet1!$2:$2,0))&gt;=13,0,3)+6,0)</f>
        <v>[]</v>
      </c>
      <c r="W507" s="2" t="str">
        <f t="shared" si="39"/>
        <v>进阶+4：激活AI2技能（六耳猕猴轮舞巨剑形成龙卷风，对范围内敌人进行6次攻击，造成自身攻击力48%的法伤）</v>
      </c>
      <c r="X507" s="45" t="str">
        <f t="shared" si="37"/>
        <v>[]</v>
      </c>
      <c r="Y507" s="2"/>
      <c r="Z507" s="2"/>
      <c r="AA507" s="2"/>
    </row>
    <row r="508" spans="1:27">
      <c r="A508" s="10">
        <f>E508*100+COUNTIF($E$194:$E508,$E508)</f>
        <v>111705</v>
      </c>
      <c r="B508" s="68" t="s">
        <v>320</v>
      </c>
      <c r="C508" s="50" t="s">
        <v>239</v>
      </c>
      <c r="D508" s="10" t="str">
        <f t="shared" si="42"/>
        <v>[]</v>
      </c>
      <c r="E508" s="45">
        <f>INDEX($I:$I,MATCH($E507,$I:$I,0)+IF(COUNTIF($E$194:$E507,$E507)&lt;=VLOOKUP($E507,$I$134:$K$193,3,0)-1,0,1),0)</f>
        <v>1117</v>
      </c>
      <c r="F508" s="45" t="str">
        <f t="shared" si="38"/>
        <v>六耳猕猴</v>
      </c>
      <c r="H508" s="45">
        <f>VLOOKUP($E508,[1]Sheet1!$A:$G,7,0)</f>
        <v>4</v>
      </c>
      <c r="I508" s="45" t="str">
        <f>IF($G508="","",IF(COUNTIF(技能描述!$D:$D,$F508)&gt;0,VLOOKUP($F508&amp;$G508,技能描述!$A:$C,3,0),LEFT(VLOOKUP($E508,[1]Sheet1!$A:$J,10,0),FIND("_",VLOOKUP($E508,[1]Sheet1!$A:$J,10,0))-1)&amp;$G508))</f>
        <v/>
      </c>
      <c r="J508" s="45" t="str">
        <f>IF($I508="","",VLOOKUP($I508,技能描述!$A:$C,3,0))</f>
        <v/>
      </c>
      <c r="K508" s="45" t="str">
        <f>IF($I508="","",INDEX([2]Sheet1!$1:$1048576,MATCH($I508,[2]Sheet1!$A:$A,0),MATCH("description_damage",[2]Sheet1!$2:$2,0)))</f>
        <v/>
      </c>
      <c r="L508" s="80" t="str">
        <f>IF($K508="","",IF(LEN($K508)-LEN(SUBSTITUTE($K508,",",""))=0,VLOOKUP(INT($K508),[3]Sheet1!$A:$C,3,0),VLOOKUP(INT(LEFT($K508,FIND(",",$K508)-1)),[3]Sheet1!$A:$C,3,0)))</f>
        <v/>
      </c>
      <c r="M508" s="80" t="str">
        <f t="shared" si="43"/>
        <v/>
      </c>
      <c r="N508" s="45" t="str">
        <f>IF(LEN($K508)-LEN(SUBSTITUTE($K508,",",""))=1,VLOOKUP(INT(RIGHT($K508,LEN($K508)-FIND(",",$K508))),[3]Sheet1!$A:$C,3,0),"")</f>
        <v/>
      </c>
      <c r="O508" s="45" t="str">
        <f t="shared" si="40"/>
        <v/>
      </c>
      <c r="P508" s="45" t="str">
        <f t="shared" si="36"/>
        <v/>
      </c>
      <c r="Q508" s="45" t="str">
        <f t="shared" si="41"/>
        <v/>
      </c>
      <c r="R508" s="45"/>
      <c r="S508" s="45" t="str">
        <f>IF(ISERROR($Q508),"进阶+"&amp;COUNTIF($E$194:$E508,$E508)&amp;"："&amp;"找ZC配技能","进阶+"&amp;COUNTIF($E$194:$E508,$E508)&amp;"："&amp;VLOOKUP(COUNTIF($E$194:$E508,$E508),$L$184:$R$193,IF(H508=1,4,IF(H508=4,3,2))+IF(INDEX([1]Sheet1!$1:$1048576,MATCH($E508,[1]Sheet1!$A:$A,0),MATCH("zizhi",[1]Sheet1!$2:$2,0))&gt;=13,0,3),0)&amp;IF($Q508="","","（"&amp;$Q508&amp;"）"))</f>
        <v>进阶+5：攻击提高15%</v>
      </c>
      <c r="T508" s="1"/>
      <c r="U508" s="1"/>
      <c r="V508" s="2" t="str">
        <f>VLOOKUP(COUNTIF($E$194:$E508,$E508),$L$184:$X$193,IF(H508=1,4,IF(H508=4,3,2))+IF(INDEX([1]Sheet1!$1:$1048576,MATCH($E508,[1]Sheet1!$A:$A,0),MATCH("zizhi",[1]Sheet1!$2:$2,0))&gt;=13,0,3)+6,0)</f>
        <v>11055</v>
      </c>
      <c r="W508" s="2" t="str">
        <f t="shared" si="39"/>
        <v>进阶+5：攻击提高15%</v>
      </c>
      <c r="X508" s="45" t="str">
        <f t="shared" si="37"/>
        <v>11055</v>
      </c>
      <c r="Y508" s="2"/>
      <c r="Z508" s="2"/>
      <c r="AA508" s="2"/>
    </row>
    <row r="509" spans="1:27" ht="33">
      <c r="A509" s="10">
        <f>E509*100+COUNTIF($E$194:$E509,$E509)</f>
        <v>111706</v>
      </c>
      <c r="B509" s="68" t="s">
        <v>2049</v>
      </c>
      <c r="C509" s="50" t="s">
        <v>2</v>
      </c>
      <c r="D509" s="10">
        <f t="shared" si="42"/>
        <v>1</v>
      </c>
      <c r="E509" s="45">
        <f>INDEX($I:$I,MATCH($E508,$I:$I,0)+IF(COUNTIF($E$194:$E508,$E508)&lt;=VLOOKUP($E508,$I$134:$K$193,3,0)-1,0,1),0)</f>
        <v>1117</v>
      </c>
      <c r="F509" s="45" t="str">
        <f t="shared" si="38"/>
        <v>六耳猕猴</v>
      </c>
      <c r="G509" s="45" t="s">
        <v>218</v>
      </c>
      <c r="H509" s="45">
        <f>VLOOKUP($E509,[1]Sheet1!$A:$G,7,0)</f>
        <v>4</v>
      </c>
      <c r="I509" s="45" t="str">
        <f>IF($G509="","",IF(COUNTIF(技能描述!$D:$D,$F509)&gt;0,VLOOKUP($F509&amp;$G509,技能描述!$A:$C,3,0),LEFT(VLOOKUP($E509,[1]Sheet1!$A:$J,10,0),FIND("_",VLOOKUP($E509,[1]Sheet1!$A:$J,10,0))-1)&amp;$G509))</f>
        <v>liuermihou_skill011</v>
      </c>
      <c r="J509" s="45" t="str">
        <f>IF($I509="","",VLOOKUP($I509,技能描述!$A:$C,3,0))</f>
        <v>召唤玄光伏魔阵，对范围内敌人进行5次攻击，造成主角攻击力@s的法伤，并降低敌人命中率@s，持续3秒</v>
      </c>
      <c r="K509" s="45" t="str">
        <f>IF($I509="","",INDEX([2]Sheet1!$1:$1048576,MATCH($I509,[2]Sheet1!$A:$A,0),MATCH("description_damage",[2]Sheet1!$2:$2,0)))</f>
        <v>111705,9010</v>
      </c>
      <c r="L509" s="80" t="str">
        <f>IF($K509="","",IF(LEN($K509)-LEN(SUBSTITUTE($K509,",",""))=0,VLOOKUP(INT($K509),[3]Sheet1!$A:$C,3,0),VLOOKUP(INT(LEFT($K509,FIND(",",$K509)-1)),[3]Sheet1!$A:$C,3,0)))</f>
        <v>2|2|0.68|0|0|0</v>
      </c>
      <c r="M509" s="80" t="str">
        <f t="shared" si="43"/>
        <v>68%</v>
      </c>
      <c r="N509" s="45" t="str">
        <f>IF(LEN($K509)-LEN(SUBSTITUTE($K509,",",""))=1,VLOOKUP(INT(RIGHT($K509,LEN($K509)-FIND(",",$K509))),[3]Sheet1!$A:$C,3,0),"")</f>
        <v>4|3|0.1|0|1</v>
      </c>
      <c r="O509" s="45" t="str">
        <f t="shared" si="40"/>
        <v>10%</v>
      </c>
      <c r="P509" s="45" t="str">
        <f t="shared" si="36"/>
        <v>召唤玄光伏魔阵，对范围内敌人进行5次攻击，造成主角攻击力68%的法伤，并降低敌人命中率@s，持续3秒</v>
      </c>
      <c r="Q509" s="45" t="str">
        <f t="shared" si="41"/>
        <v>召唤玄光伏魔阵，对范围内敌人进行5次攻击，造成主角攻击力68%的法伤，并降低敌人命中率10%，持续3秒</v>
      </c>
      <c r="R509" s="45"/>
      <c r="S509" s="45" t="str">
        <f>IF(ISERROR($Q509),"进阶+"&amp;COUNTIF($E$194:$E509,$E509)&amp;"："&amp;"找ZC配技能","进阶+"&amp;COUNTIF($E$194:$E509,$E509)&amp;"："&amp;VLOOKUP(COUNTIF($E$194:$E509,$E509),$L$184:$R$193,IF(H509=1,4,IF(H509=4,3,2))+IF(INDEX([1]Sheet1!$1:$1048576,MATCH($E509,[1]Sheet1!$A:$A,0),MATCH("zizhi",[1]Sheet1!$2:$2,0))&gt;=13,0,3),0)&amp;IF($Q509="","","（"&amp;$Q509&amp;"）"))</f>
        <v>进阶+6：增强主角技能（召唤玄光伏魔阵，对范围内敌人进行5次攻击，造成主角攻击力68%的法伤，并降低敌人命中率10%，持续3秒）</v>
      </c>
      <c r="T509" s="1"/>
      <c r="U509" s="1"/>
      <c r="V509" s="2" t="str">
        <f>VLOOKUP(COUNTIF($E$194:$E509,$E509),$L$184:$X$193,IF(H509=1,4,IF(H509=4,3,2))+IF(INDEX([1]Sheet1!$1:$1048576,MATCH($E509,[1]Sheet1!$A:$A,0),MATCH("zizhi",[1]Sheet1!$2:$2,0))&gt;=13,0,3)+6,0)</f>
        <v>[]</v>
      </c>
      <c r="W509" s="2" t="str">
        <f t="shared" si="39"/>
        <v>进阶+6：增强主角技能（召唤玄光伏魔阵，对范围内敌人进行5次攻击，造成主角攻击力68%的法伤，并降低敌人命中率10%，持续3秒）</v>
      </c>
      <c r="X509" s="45" t="str">
        <f t="shared" si="37"/>
        <v>[]</v>
      </c>
      <c r="Y509" s="2"/>
      <c r="Z509" s="2"/>
      <c r="AA509" s="2"/>
    </row>
    <row r="510" spans="1:27">
      <c r="A510" s="10">
        <f>E510*100+COUNTIF($E$194:$E510,$E510)</f>
        <v>111707</v>
      </c>
      <c r="B510" s="68" t="s">
        <v>360</v>
      </c>
      <c r="C510" s="50" t="s">
        <v>354</v>
      </c>
      <c r="D510" s="10" t="str">
        <f t="shared" si="42"/>
        <v>[]</v>
      </c>
      <c r="E510" s="45">
        <f>INDEX($I:$I,MATCH($E509,$I:$I,0)+IF(COUNTIF($E$194:$E509,$E509)&lt;=VLOOKUP($E509,$I$134:$K$193,3,0)-1,0,1),0)</f>
        <v>1117</v>
      </c>
      <c r="F510" s="45" t="str">
        <f t="shared" si="38"/>
        <v>六耳猕猴</v>
      </c>
      <c r="H510" s="45">
        <f>VLOOKUP($E510,[1]Sheet1!$A:$G,7,0)</f>
        <v>4</v>
      </c>
      <c r="I510" s="45" t="str">
        <f>IF($G510="","",IF(COUNTIF(技能描述!$D:$D,$F510)&gt;0,VLOOKUP($F510&amp;$G510,技能描述!$A:$C,3,0),LEFT(VLOOKUP($E510,[1]Sheet1!$A:$J,10,0),FIND("_",VLOOKUP($E510,[1]Sheet1!$A:$J,10,0))-1)&amp;$G510))</f>
        <v/>
      </c>
      <c r="J510" s="45" t="str">
        <f>IF($I510="","",VLOOKUP($I510,技能描述!$A:$C,3,0))</f>
        <v/>
      </c>
      <c r="K510" s="45" t="str">
        <f>IF($I510="","",INDEX([2]Sheet1!$1:$1048576,MATCH($I510,[2]Sheet1!$A:$A,0),MATCH("description_damage",[2]Sheet1!$2:$2,0)))</f>
        <v/>
      </c>
      <c r="L510" s="80" t="str">
        <f>IF($K510="","",IF(LEN($K510)-LEN(SUBSTITUTE($K510,",",""))=0,VLOOKUP(INT($K510),[3]Sheet1!$A:$C,3,0),VLOOKUP(INT(LEFT($K510,FIND(",",$K510)-1)),[3]Sheet1!$A:$C,3,0)))</f>
        <v/>
      </c>
      <c r="M510" s="80" t="str">
        <f t="shared" si="43"/>
        <v/>
      </c>
      <c r="N510" s="45" t="str">
        <f>IF(LEN($K510)-LEN(SUBSTITUTE($K510,",",""))=1,VLOOKUP(INT(RIGHT($K510,LEN($K510)-FIND(",",$K510))),[3]Sheet1!$A:$C,3,0),"")</f>
        <v/>
      </c>
      <c r="O510" s="45" t="str">
        <f t="shared" si="40"/>
        <v/>
      </c>
      <c r="P510" s="45" t="str">
        <f t="shared" si="36"/>
        <v/>
      </c>
      <c r="Q510" s="45" t="str">
        <f t="shared" si="41"/>
        <v/>
      </c>
      <c r="R510" s="45"/>
      <c r="S510" s="45" t="str">
        <f>IF(ISERROR($Q510),"进阶+"&amp;COUNTIF($E$194:$E510,$E510)&amp;"："&amp;"找ZC配技能","进阶+"&amp;COUNTIF($E$194:$E510,$E510)&amp;"："&amp;VLOOKUP(COUNTIF($E$194:$E510,$E510),$L$184:$R$193,IF(H510=1,4,IF(H510=4,3,2))+IF(INDEX([1]Sheet1!$1:$1048576,MATCH($E510,[1]Sheet1!$A:$A,0),MATCH("zizhi",[1]Sheet1!$2:$2,0))&gt;=13,0,3),0)&amp;IF($Q510="","","（"&amp;$Q510&amp;"）"))</f>
        <v>进阶+7：全队生命，防御提高10%</v>
      </c>
      <c r="T510" s="1"/>
      <c r="U510" s="1"/>
      <c r="V510" s="2" t="str">
        <f>VLOOKUP(COUNTIF($E$194:$E510,$E510),$L$184:$X$193,IF(H510=1,4,IF(H510=4,3,2))+IF(INDEX([1]Sheet1!$1:$1048576,MATCH($E510,[1]Sheet1!$A:$A,0),MATCH("zizhi",[1]Sheet1!$2:$2,0))&gt;=13,0,3)+6,0)</f>
        <v>57010,59010,60010</v>
      </c>
      <c r="W510" s="2" t="str">
        <f t="shared" si="39"/>
        <v>进阶+7：全队生命，防御提高10%</v>
      </c>
      <c r="X510" s="45" t="str">
        <f t="shared" si="37"/>
        <v>57010,59010,60010</v>
      </c>
      <c r="Y510" s="2"/>
      <c r="Z510" s="2"/>
      <c r="AA510" s="2"/>
    </row>
    <row r="511" spans="1:27" ht="33">
      <c r="A511" s="10">
        <f>E511*100+COUNTIF($E$194:$E511,$E511)</f>
        <v>111708</v>
      </c>
      <c r="B511" s="68" t="s">
        <v>2050</v>
      </c>
      <c r="C511" s="50" t="s">
        <v>2</v>
      </c>
      <c r="D511" s="10">
        <f t="shared" si="42"/>
        <v>1</v>
      </c>
      <c r="E511" s="45">
        <f>INDEX($I:$I,MATCH($E510,$I:$I,0)+IF(COUNTIF($E$194:$E510,$E510)&lt;=VLOOKUP($E510,$I$134:$K$193,3,0)-1,0,1),0)</f>
        <v>1117</v>
      </c>
      <c r="F511" s="45" t="str">
        <f t="shared" si="38"/>
        <v>六耳猕猴</v>
      </c>
      <c r="G511" s="45" t="s">
        <v>219</v>
      </c>
      <c r="H511" s="45">
        <f>VLOOKUP($E511,[1]Sheet1!$A:$G,7,0)</f>
        <v>4</v>
      </c>
      <c r="I511" s="45" t="str">
        <f>IF($G511="","",IF(COUNTIF(技能描述!$D:$D,$F511)&gt;0,VLOOKUP($F511&amp;$G511,技能描述!$A:$C,3,0),LEFT(VLOOKUP($E511,[1]Sheet1!$A:$J,10,0),FIND("_",VLOOKUP($E511,[1]Sheet1!$A:$J,10,0))-1)&amp;$G511))</f>
        <v>liuermihou_skill021</v>
      </c>
      <c r="J511" s="45" t="str">
        <f>IF($I511="","",VLOOKUP($I511,技能描述!$A:$C,3,0))</f>
        <v>六耳猕猴舞剑对范围内敌人造成自身攻击力@s的法伤，同时提升自身@s闪避率，持续3秒</v>
      </c>
      <c r="K511" s="45" t="str">
        <f>IF($I511="","",INDEX([2]Sheet1!$1:$1048576,MATCH($I511,[2]Sheet1!$A:$A,0),MATCH("description_damage",[2]Sheet1!$2:$2,0)))</f>
        <v>111706,9030</v>
      </c>
      <c r="L511" s="80" t="str">
        <f>IF($K511="","",IF(LEN($K511)-LEN(SUBSTITUTE($K511,",",""))=0,VLOOKUP(INT($K511),[3]Sheet1!$A:$C,3,0),VLOOKUP(INT(LEFT($K511,FIND(",",$K511)-1)),[3]Sheet1!$A:$C,3,0)))</f>
        <v>2|2|2|0|0|0</v>
      </c>
      <c r="M511" s="80" t="str">
        <f t="shared" si="43"/>
        <v>200%</v>
      </c>
      <c r="N511" s="45" t="str">
        <f>IF(LEN($K511)-LEN(SUBSTITUTE($K511,",",""))=1,VLOOKUP(INT(RIGHT($K511,LEN($K511)-FIND(",",$K511))),[3]Sheet1!$A:$C,3,0),"")</f>
        <v>4|3|0.3|0|1</v>
      </c>
      <c r="O511" s="45" t="str">
        <f t="shared" si="40"/>
        <v>30%</v>
      </c>
      <c r="P511" s="45" t="str">
        <f t="shared" si="36"/>
        <v>六耳猕猴舞剑对范围内敌人造成自身攻击力200%的法伤，同时提升自身@s闪避率，持续3秒</v>
      </c>
      <c r="Q511" s="45" t="str">
        <f t="shared" si="41"/>
        <v>六耳猕猴舞剑对范围内敌人造成自身攻击力200%的法伤，同时提升自身30%闪避率，持续3秒</v>
      </c>
      <c r="R511" s="45"/>
      <c r="S511" s="45" t="str">
        <f>IF(ISERROR($Q511),"进阶+"&amp;COUNTIF($E$194:$E511,$E511)&amp;"："&amp;"找ZC配技能","进阶+"&amp;COUNTIF($E$194:$E511,$E511)&amp;"："&amp;VLOOKUP(COUNTIF($E$194:$E511,$E511),$L$184:$R$193,IF(H511=1,4,IF(H511=4,3,2))+IF(INDEX([1]Sheet1!$1:$1048576,MATCH($E511,[1]Sheet1!$A:$A,0),MATCH("zizhi",[1]Sheet1!$2:$2,0))&gt;=13,0,3),0)&amp;IF($Q511="","","（"&amp;$Q511&amp;"）"))</f>
        <v>进阶+8：增强AI1技能（六耳猕猴舞剑对范围内敌人造成自身攻击力200%的法伤，同时提升自身30%闪避率，持续3秒）</v>
      </c>
      <c r="T511" s="1"/>
      <c r="U511" s="1"/>
      <c r="V511" s="2" t="str">
        <f>VLOOKUP(COUNTIF($E$194:$E511,$E511),$L$184:$X$193,IF(H511=1,4,IF(H511=4,3,2))+IF(INDEX([1]Sheet1!$1:$1048576,MATCH($E511,[1]Sheet1!$A:$A,0),MATCH("zizhi",[1]Sheet1!$2:$2,0))&gt;=13,0,3)+6,0)</f>
        <v>[]</v>
      </c>
      <c r="W511" s="2" t="str">
        <f t="shared" si="39"/>
        <v>进阶+8：增强AI1技能（六耳猕猴舞剑对范围内敌人造成自身攻击力200%的法伤，同时提升自身30%闪避率，持续3秒）</v>
      </c>
      <c r="X511" s="45" t="str">
        <f t="shared" si="37"/>
        <v>[]</v>
      </c>
      <c r="Y511" s="2"/>
      <c r="Z511" s="2"/>
      <c r="AA511" s="2"/>
    </row>
    <row r="512" spans="1:27">
      <c r="A512" s="10">
        <f>E512*100+COUNTIF($E$194:$E512,$E512)</f>
        <v>111709</v>
      </c>
      <c r="B512" s="68" t="s">
        <v>1902</v>
      </c>
      <c r="C512" s="50" t="s">
        <v>357</v>
      </c>
      <c r="D512" s="10" t="str">
        <f t="shared" si="42"/>
        <v>[]</v>
      </c>
      <c r="E512" s="45">
        <f>INDEX($I:$I,MATCH($E511,$I:$I,0)+IF(COUNTIF($E$194:$E511,$E511)&lt;=VLOOKUP($E511,$I$134:$K$193,3,0)-1,0,1),0)</f>
        <v>1117</v>
      </c>
      <c r="F512" s="45" t="str">
        <f t="shared" si="38"/>
        <v>六耳猕猴</v>
      </c>
      <c r="H512" s="45">
        <f>VLOOKUP($E512,[1]Sheet1!$A:$G,7,0)</f>
        <v>4</v>
      </c>
      <c r="I512" s="45" t="str">
        <f>IF($G512="","",IF(COUNTIF(技能描述!$D:$D,$F512)&gt;0,VLOOKUP($F512&amp;$G512,技能描述!$A:$C,3,0),LEFT(VLOOKUP($E512,[1]Sheet1!$A:$J,10,0),FIND("_",VLOOKUP($E512,[1]Sheet1!$A:$J,10,0))-1)&amp;$G512))</f>
        <v/>
      </c>
      <c r="J512" s="45" t="str">
        <f>IF($I512="","",VLOOKUP($I512,技能描述!$A:$C,3,0))</f>
        <v/>
      </c>
      <c r="K512" s="45" t="str">
        <f>IF($I512="","",INDEX([2]Sheet1!$1:$1048576,MATCH($I512,[2]Sheet1!$A:$A,0),MATCH("description_damage",[2]Sheet1!$2:$2,0)))</f>
        <v/>
      </c>
      <c r="L512" s="80" t="str">
        <f>IF($K512="","",IF(LEN($K512)-LEN(SUBSTITUTE($K512,",",""))=0,VLOOKUP(INT($K512),[3]Sheet1!$A:$C,3,0),VLOOKUP(INT(LEFT($K512,FIND(",",$K512)-1)),[3]Sheet1!$A:$C,3,0)))</f>
        <v/>
      </c>
      <c r="M512" s="80" t="str">
        <f t="shared" si="43"/>
        <v/>
      </c>
      <c r="N512" s="45" t="str">
        <f>IF(LEN($K512)-LEN(SUBSTITUTE($K512,",",""))=1,VLOOKUP(INT(RIGHT($K512,LEN($K512)-FIND(",",$K512))),[3]Sheet1!$A:$C,3,0),"")</f>
        <v/>
      </c>
      <c r="O512" s="45" t="str">
        <f t="shared" si="40"/>
        <v/>
      </c>
      <c r="P512" s="45" t="str">
        <f t="shared" si="36"/>
        <v/>
      </c>
      <c r="Q512" s="45" t="str">
        <f t="shared" si="41"/>
        <v/>
      </c>
      <c r="R512" s="45"/>
      <c r="S512" s="45" t="str">
        <f>IF(ISERROR($Q512),"进阶+"&amp;COUNTIF($E$194:$E512,$E512)&amp;"："&amp;"找ZC配技能","进阶+"&amp;COUNTIF($E$194:$E512,$E512)&amp;"："&amp;VLOOKUP(COUNTIF($E$194:$E512,$E512),$L$184:$R$193,IF(H512=1,4,IF(H512=4,3,2))+IF(INDEX([1]Sheet1!$1:$1048576,MATCH($E512,[1]Sheet1!$A:$A,0),MATCH("zizhi",[1]Sheet1!$2:$2,0))&gt;=13,0,3),0)&amp;IF($Q512="","","（"&amp;$Q512&amp;"）"))</f>
        <v>进阶+9：全队生命，防御提高15%</v>
      </c>
      <c r="T512" s="1"/>
      <c r="U512" s="1"/>
      <c r="V512" s="2" t="str">
        <f>VLOOKUP(COUNTIF($E$194:$E512,$E512),$L$184:$X$193,IF(H512=1,4,IF(H512=4,3,2))+IF(INDEX([1]Sheet1!$1:$1048576,MATCH($E512,[1]Sheet1!$A:$A,0),MATCH("zizhi",[1]Sheet1!$2:$2,0))&gt;=13,0,3)+6,0)</f>
        <v>57015,59015,60015</v>
      </c>
      <c r="W512" s="2" t="str">
        <f t="shared" si="39"/>
        <v>进阶+9：全队生命，防御提高15%</v>
      </c>
      <c r="X512" s="45" t="str">
        <f t="shared" si="37"/>
        <v>57015,59015,60015</v>
      </c>
      <c r="Y512" s="2"/>
      <c r="Z512" s="2"/>
      <c r="AA512" s="2"/>
    </row>
    <row r="513" spans="1:27" ht="33">
      <c r="A513" s="10">
        <f>E513*100+COUNTIF($E$194:$E513,$E513)</f>
        <v>111710</v>
      </c>
      <c r="B513" s="68" t="s">
        <v>1922</v>
      </c>
      <c r="C513" s="50" t="s">
        <v>2</v>
      </c>
      <c r="D513" s="10">
        <f t="shared" si="42"/>
        <v>1</v>
      </c>
      <c r="E513" s="45">
        <f>INDEX($I:$I,MATCH($E512,$I:$I,0)+IF(COUNTIF($E$194:$E512,$E512)&lt;=VLOOKUP($E512,$I$134:$K$193,3,0)-1,0,1),0)</f>
        <v>1117</v>
      </c>
      <c r="F513" s="45" t="str">
        <f t="shared" si="38"/>
        <v>六耳猕猴</v>
      </c>
      <c r="G513" s="45" t="s">
        <v>220</v>
      </c>
      <c r="H513" s="45">
        <f>VLOOKUP($E513,[1]Sheet1!$A:$G,7,0)</f>
        <v>4</v>
      </c>
      <c r="I513" s="45" t="str">
        <f>IF($G513="","",IF(COUNTIF(技能描述!$D:$D,$F513)&gt;0,VLOOKUP($F513&amp;$G513,技能描述!$A:$C,3,0),LEFT(VLOOKUP($E513,[1]Sheet1!$A:$J,10,0),FIND("_",VLOOKUP($E513,[1]Sheet1!$A:$J,10,0))-1)&amp;$G513))</f>
        <v>liuermihou_skill041</v>
      </c>
      <c r="J513" s="45" t="str">
        <f>IF($I513="","",VLOOKUP($I513,技能描述!$A:$C,3,0))</f>
        <v>六耳猕猴轮舞巨剑形成龙卷风，对范围内敌人进行6次攻击，造成自身攻击力@s的法伤</v>
      </c>
      <c r="K513" s="45" t="str">
        <f>IF($I513="","",INDEX([2]Sheet1!$1:$1048576,MATCH($I513,[2]Sheet1!$A:$A,0),MATCH("description_damage",[2]Sheet1!$2:$2,0)))</f>
        <v>111707</v>
      </c>
      <c r="L513" s="80" t="str">
        <f>IF($K513="","",IF(LEN($K513)-LEN(SUBSTITUTE($K513,",",""))=0,VLOOKUP(INT($K513),[3]Sheet1!$A:$C,3,0),VLOOKUP(INT(LEFT($K513,FIND(",",$K513)-1)),[3]Sheet1!$A:$C,3,0)))</f>
        <v>2|2|0.57|0|0|0</v>
      </c>
      <c r="M513" s="80" t="str">
        <f t="shared" si="43"/>
        <v>57%</v>
      </c>
      <c r="N513" s="45" t="str">
        <f>IF(LEN($K513)-LEN(SUBSTITUTE($K513,",",""))=1,VLOOKUP(INT(RIGHT($K513,LEN($K513)-FIND(",",$K513))),[3]Sheet1!$A:$C,3,0),"")</f>
        <v/>
      </c>
      <c r="O513" s="45" t="str">
        <f t="shared" si="40"/>
        <v/>
      </c>
      <c r="P513" s="45" t="str">
        <f t="shared" si="36"/>
        <v>六耳猕猴轮舞巨剑形成龙卷风，对范围内敌人进行6次攻击，造成自身攻击力57%的法伤</v>
      </c>
      <c r="Q513" s="45" t="str">
        <f t="shared" si="41"/>
        <v>六耳猕猴轮舞巨剑形成龙卷风，对范围内敌人进行6次攻击，造成自身攻击力57%的法伤</v>
      </c>
      <c r="R513" s="45"/>
      <c r="S513" s="45" t="str">
        <f>IF(ISERROR($Q513),"进阶+"&amp;COUNTIF($E$194:$E513,$E513)&amp;"："&amp;"找ZC配技能","进阶+"&amp;COUNTIF($E$194:$E513,$E513)&amp;"："&amp;VLOOKUP(COUNTIF($E$194:$E513,$E513),$L$184:$R$193,IF(H513=1,4,IF(H513=4,3,2))+IF(INDEX([1]Sheet1!$1:$1048576,MATCH($E513,[1]Sheet1!$A:$A,0),MATCH("zizhi",[1]Sheet1!$2:$2,0))&gt;=13,0,3),0)&amp;IF($Q513="","","（"&amp;$Q513&amp;"）"))</f>
        <v>进阶+10：增强AI2技能（六耳猕猴轮舞巨剑形成龙卷风，对范围内敌人进行6次攻击，造成自身攻击力57%的法伤）</v>
      </c>
      <c r="T513" s="1"/>
      <c r="U513" s="1"/>
      <c r="V513" s="2" t="str">
        <f>VLOOKUP(COUNTIF($E$194:$E513,$E513),$L$184:$X$193,IF(H513=1,4,IF(H513=4,3,2))+IF(INDEX([1]Sheet1!$1:$1048576,MATCH($E513,[1]Sheet1!$A:$A,0),MATCH("zizhi",[1]Sheet1!$2:$2,0))&gt;=13,0,3)+6,0)</f>
        <v>[]</v>
      </c>
      <c r="W513" s="2" t="str">
        <f t="shared" si="39"/>
        <v>进阶+10：增强AI2技能（六耳猕猴轮舞巨剑形成龙卷风，对范围内敌人进行6次攻击，造成自身攻击力57%的法伤）</v>
      </c>
      <c r="X513" s="45" t="str">
        <f t="shared" si="37"/>
        <v>[]</v>
      </c>
      <c r="Y513" s="2"/>
      <c r="Z513" s="2"/>
      <c r="AA513" s="2"/>
    </row>
    <row r="514" spans="1:27">
      <c r="A514" s="10">
        <f>E514*100+COUNTIF($E$194:$E514,$E514)</f>
        <v>120101</v>
      </c>
      <c r="B514" s="68" t="s">
        <v>310</v>
      </c>
      <c r="C514" s="50" t="s">
        <v>127</v>
      </c>
      <c r="D514" s="10" t="str">
        <f t="shared" si="42"/>
        <v>[]</v>
      </c>
      <c r="E514" s="45">
        <f>INDEX($I:$I,MATCH($E513,$I:$I,0)+IF(COUNTIF($E$194:$E513,$E513)&lt;=VLOOKUP($E513,$I$134:$K$193,3,0)-1,0,1),0)</f>
        <v>1201</v>
      </c>
      <c r="F514" s="45" t="str">
        <f t="shared" si="38"/>
        <v>阎罗王</v>
      </c>
      <c r="H514" s="45">
        <f>VLOOKUP($E514,[1]Sheet1!$A:$G,7,0)</f>
        <v>2</v>
      </c>
      <c r="I514" s="45" t="str">
        <f>IF($G514="","",IF(COUNTIF(技能描述!$D:$D,$F514)&gt;0,VLOOKUP($F514&amp;$G514,技能描述!$A:$C,3,0),LEFT(VLOOKUP($E514,[1]Sheet1!$A:$J,10,0),FIND("_",VLOOKUP($E514,[1]Sheet1!$A:$J,10,0))-1)&amp;$G514))</f>
        <v/>
      </c>
      <c r="J514" s="45" t="str">
        <f>IF($I514="","",VLOOKUP($I514,技能描述!$A:$C,3,0))</f>
        <v/>
      </c>
      <c r="K514" s="45" t="str">
        <f>IF($I514="","",INDEX([2]Sheet1!$1:$1048576,MATCH($I514,[2]Sheet1!$A:$A,0),MATCH("description_damage",[2]Sheet1!$2:$2,0)))</f>
        <v/>
      </c>
      <c r="L514" s="80" t="str">
        <f>IF($K514="","",IF(LEN($K514)-LEN(SUBSTITUTE($K514,",",""))=0,VLOOKUP(INT($K514),[3]Sheet1!$A:$C,3,0),VLOOKUP(INT(LEFT($K514,FIND(",",$K514)-1)),[3]Sheet1!$A:$C,3,0)))</f>
        <v/>
      </c>
      <c r="M514" s="80" t="str">
        <f t="shared" si="43"/>
        <v/>
      </c>
      <c r="N514" s="45" t="str">
        <f>IF(LEN($K514)-LEN(SUBSTITUTE($K514,",",""))=1,VLOOKUP(INT(RIGHT($K514,LEN($K514)-FIND(",",$K514))),[3]Sheet1!$A:$C,3,0),"")</f>
        <v/>
      </c>
      <c r="O514" s="45" t="str">
        <f t="shared" si="40"/>
        <v/>
      </c>
      <c r="P514" s="45" t="str">
        <f t="shared" ref="P514:P577" si="44">IF($M514="","",IF(ISERROR(FIND("@s",$J514)),$J514,LEFT(J514,FIND("@s",$J514)-1)&amp;$M514&amp;RIGHT($J514,LEN($J514)-FIND("@s",$J514)-1)))</f>
        <v/>
      </c>
      <c r="Q514" s="45" t="str">
        <f t="shared" si="41"/>
        <v/>
      </c>
      <c r="R514" s="45"/>
      <c r="S514" s="45" t="str">
        <f>IF(ISERROR($Q514),"进阶+"&amp;COUNTIF($E$194:$E514,$E514)&amp;"："&amp;"找ZC配技能","进阶+"&amp;COUNTIF($E$194:$E514,$E514)&amp;"："&amp;VLOOKUP(COUNTIF($E$194:$E514,$E514),$L$184:$R$193,IF(H514=1,4,IF(H514=4,3,2))+IF(INDEX([1]Sheet1!$1:$1048576,MATCH($E514,[1]Sheet1!$A:$A,0),MATCH("zizhi",[1]Sheet1!$2:$2,0))&gt;=13,0,3),0)&amp;IF($Q514="","","（"&amp;$Q514&amp;"）"))</f>
        <v>进阶+1：攻击提高10%</v>
      </c>
      <c r="T514" s="1"/>
      <c r="U514" s="1"/>
      <c r="V514" s="2" t="str">
        <f>VLOOKUP(COUNTIF($E$194:$E514,$E514),$L$184:$X$193,IF(H514=1,4,IF(H514=4,3,2))+IF(INDEX([1]Sheet1!$1:$1048576,MATCH($E514,[1]Sheet1!$A:$A,0),MATCH("zizhi",[1]Sheet1!$2:$2,0))&gt;=13,0,3)+6,0)</f>
        <v>11050</v>
      </c>
      <c r="W514" s="2" t="str">
        <f t="shared" si="39"/>
        <v>进阶+1：攻击提高10%</v>
      </c>
      <c r="X514" s="45" t="str">
        <f t="shared" ref="X514:X577" si="45">IF(ISERROR(FIND("找ZC配技能",$S514)),$V514,$W$184)</f>
        <v>11050</v>
      </c>
      <c r="Y514" s="2"/>
      <c r="Z514" s="2"/>
      <c r="AA514" s="2"/>
    </row>
    <row r="515" spans="1:27">
      <c r="A515" s="10">
        <f>E515*100+COUNTIF($E$194:$E515,$E515)</f>
        <v>120102</v>
      </c>
      <c r="B515" s="68" t="s">
        <v>343</v>
      </c>
      <c r="C515" s="50" t="s">
        <v>2</v>
      </c>
      <c r="D515" s="10">
        <f t="shared" si="42"/>
        <v>1</v>
      </c>
      <c r="E515" s="45">
        <f>INDEX($I:$I,MATCH($E514,$I:$I,0)+IF(COUNTIF($E$194:$E514,$E514)&lt;=VLOOKUP($E514,$I$134:$K$193,3,0)-1,0,1),0)</f>
        <v>1201</v>
      </c>
      <c r="F515" s="45" t="str">
        <f t="shared" ref="F515:F578" si="46">VLOOKUP($E515,$I$134:$K$193,2,0)</f>
        <v>阎罗王</v>
      </c>
      <c r="G515" s="45" t="s">
        <v>216</v>
      </c>
      <c r="H515" s="45">
        <f>VLOOKUP($E515,[1]Sheet1!$A:$G,7,0)</f>
        <v>2</v>
      </c>
      <c r="I515" s="45" t="str">
        <f>IF($G515="","",IF(COUNTIF(技能描述!$D:$D,$F515)&gt;0,VLOOKUP($F515&amp;$G515,技能描述!$A:$C,3,0),LEFT(VLOOKUP($E515,[1]Sheet1!$A:$J,10,0),FIND("_",VLOOKUP($E515,[1]Sheet1!$A:$J,10,0))-1)&amp;$G515))</f>
        <v>yanluowang_skill03</v>
      </c>
      <c r="J515" s="45" t="str">
        <f>IF($I515="","",VLOOKUP($I515,技能描述!$A:$C,3,0))</f>
        <v>进入战斗场景时，提升自身暴击率@s</v>
      </c>
      <c r="K515" s="45" t="str">
        <f>IF($I515="","",INDEX([2]Sheet1!$1:$1048576,MATCH($I515,[2]Sheet1!$A:$A,0),MATCH("description_damage",[2]Sheet1!$2:$2,0)))</f>
        <v>9015</v>
      </c>
      <c r="L515" s="80" t="str">
        <f>IF($K515="","",IF(LEN($K515)-LEN(SUBSTITUTE($K515,",",""))=0,VLOOKUP(INT($K515),[3]Sheet1!$A:$C,3,0),VLOOKUP(INT(LEFT($K515,FIND(",",$K515)-1)),[3]Sheet1!$A:$C,3,0)))</f>
        <v>4|3|0.15|0|1</v>
      </c>
      <c r="M515" s="80" t="str">
        <f t="shared" si="43"/>
        <v>15%</v>
      </c>
      <c r="N515" s="45" t="str">
        <f>IF(LEN($K515)-LEN(SUBSTITUTE($K515,",",""))=1,VLOOKUP(INT(RIGHT($K515,LEN($K515)-FIND(",",$K515))),[3]Sheet1!$A:$C,3,0),"")</f>
        <v/>
      </c>
      <c r="O515" s="45" t="str">
        <f t="shared" si="40"/>
        <v/>
      </c>
      <c r="P515" s="45" t="str">
        <f t="shared" si="44"/>
        <v>进入战斗场景时，提升自身暴击率15%</v>
      </c>
      <c r="Q515" s="45" t="str">
        <f t="shared" si="41"/>
        <v>进入战斗场景时，提升自身暴击率15%</v>
      </c>
      <c r="R515" s="45"/>
      <c r="S515" s="45" t="str">
        <f>IF(ISERROR($Q515),"进阶+"&amp;COUNTIF($E$194:$E515,$E515)&amp;"："&amp;"找ZC配技能","进阶+"&amp;COUNTIF($E$194:$E515,$E515)&amp;"："&amp;VLOOKUP(COUNTIF($E$194:$E515,$E515),$L$184:$R$193,IF(H515=1,4,IF(H515=4,3,2))+IF(INDEX([1]Sheet1!$1:$1048576,MATCH($E515,[1]Sheet1!$A:$A,0),MATCH("zizhi",[1]Sheet1!$2:$2,0))&gt;=13,0,3),0)&amp;IF($Q515="","","（"&amp;$Q515&amp;"）"))</f>
        <v>进阶+2：激活被动技能（进入战斗场景时，提升自身暴击率15%）</v>
      </c>
      <c r="T515" s="1"/>
      <c r="U515" s="1"/>
      <c r="V515" s="2" t="str">
        <f>VLOOKUP(COUNTIF($E$194:$E515,$E515),$L$184:$X$193,IF(H515=1,4,IF(H515=4,3,2))+IF(INDEX([1]Sheet1!$1:$1048576,MATCH($E515,[1]Sheet1!$A:$A,0),MATCH("zizhi",[1]Sheet1!$2:$2,0))&gt;=13,0,3)+6,0)</f>
        <v>[]</v>
      </c>
      <c r="W515" s="2" t="str">
        <f t="shared" ref="W515:W578" si="47">IF(ISERROR(FIND("找ZC配技能",$S515)),$S515,"进阶+"&amp;INT(RIGHT($A515,2))&amp;":生命提高10%")</f>
        <v>进阶+2：激活被动技能（进入战斗场景时，提升自身暴击率15%）</v>
      </c>
      <c r="X515" s="45" t="str">
        <f t="shared" si="45"/>
        <v>[]</v>
      </c>
      <c r="Y515" s="2"/>
      <c r="Z515" s="2"/>
      <c r="AA515" s="2"/>
    </row>
    <row r="516" spans="1:27">
      <c r="A516" s="10">
        <f>E516*100+COUNTIF($E$194:$E516,$E516)</f>
        <v>120103</v>
      </c>
      <c r="B516" s="68" t="s">
        <v>312</v>
      </c>
      <c r="C516" s="50" t="s">
        <v>127</v>
      </c>
      <c r="D516" s="10" t="str">
        <f t="shared" si="42"/>
        <v>[]</v>
      </c>
      <c r="E516" s="45">
        <f>INDEX($I:$I,MATCH($E515,$I:$I,0)+IF(COUNTIF($E$194:$E515,$E515)&lt;=VLOOKUP($E515,$I$134:$K$193,3,0)-1,0,1),0)</f>
        <v>1201</v>
      </c>
      <c r="F516" s="45" t="str">
        <f t="shared" si="46"/>
        <v>阎罗王</v>
      </c>
      <c r="H516" s="45">
        <f>VLOOKUP($E516,[1]Sheet1!$A:$G,7,0)</f>
        <v>2</v>
      </c>
      <c r="I516" s="45" t="str">
        <f>IF($G516="","",IF(COUNTIF(技能描述!$D:$D,$F516)&gt;0,VLOOKUP($F516&amp;$G516,技能描述!$A:$C,3,0),LEFT(VLOOKUP($E516,[1]Sheet1!$A:$J,10,0),FIND("_",VLOOKUP($E516,[1]Sheet1!$A:$J,10,0))-1)&amp;$G516))</f>
        <v/>
      </c>
      <c r="J516" s="45" t="str">
        <f>IF($I516="","",VLOOKUP($I516,技能描述!$A:$C,3,0))</f>
        <v/>
      </c>
      <c r="K516" s="45" t="str">
        <f>IF($I516="","",INDEX([2]Sheet1!$1:$1048576,MATCH($I516,[2]Sheet1!$A:$A,0),MATCH("description_damage",[2]Sheet1!$2:$2,0)))</f>
        <v/>
      </c>
      <c r="L516" s="80" t="str">
        <f>IF($K516="","",IF(LEN($K516)-LEN(SUBSTITUTE($K516,",",""))=0,VLOOKUP(INT($K516),[3]Sheet1!$A:$C,3,0),VLOOKUP(INT(LEFT($K516,FIND(",",$K516)-1)),[3]Sheet1!$A:$C,3,0)))</f>
        <v/>
      </c>
      <c r="M516" s="80" t="str">
        <f t="shared" si="43"/>
        <v/>
      </c>
      <c r="N516" s="45" t="str">
        <f>IF(LEN($K516)-LEN(SUBSTITUTE($K516,",",""))=1,VLOOKUP(INT(RIGHT($K516,LEN($K516)-FIND(",",$K516))),[3]Sheet1!$A:$C,3,0),"")</f>
        <v/>
      </c>
      <c r="O516" s="45" t="str">
        <f t="shared" ref="O516:O579" si="48">IF($N516="","",LEFT(RIGHT($N516,LEN($N516)-4),FIND("|",RIGHT($N516,LEN($N516)-4))-1)*100&amp;"%")</f>
        <v/>
      </c>
      <c r="P516" s="45" t="str">
        <f t="shared" si="44"/>
        <v/>
      </c>
      <c r="Q516" s="45" t="str">
        <f t="shared" ref="Q516:Q579" si="49">IF($O516="",$P516,SUBSTITUTE($P516,"@s",$O516))</f>
        <v/>
      </c>
      <c r="R516" s="45"/>
      <c r="S516" s="45" t="str">
        <f>IF(ISERROR($Q516),"进阶+"&amp;COUNTIF($E$194:$E516,$E516)&amp;"："&amp;"找ZC配技能","进阶+"&amp;COUNTIF($E$194:$E516,$E516)&amp;"："&amp;VLOOKUP(COUNTIF($E$194:$E516,$E516),$L$184:$R$193,IF(H516=1,4,IF(H516=4,3,2))+IF(INDEX([1]Sheet1!$1:$1048576,MATCH($E516,[1]Sheet1!$A:$A,0),MATCH("zizhi",[1]Sheet1!$2:$2,0))&gt;=13,0,3),0)&amp;IF($Q516="","","（"&amp;$Q516&amp;"）"))</f>
        <v>进阶+3：攻击提高10%</v>
      </c>
      <c r="T516" s="1"/>
      <c r="U516" s="1"/>
      <c r="V516" s="2" t="str">
        <f>VLOOKUP(COUNTIF($E$194:$E516,$E516),$L$184:$X$193,IF(H516=1,4,IF(H516=4,3,2))+IF(INDEX([1]Sheet1!$1:$1048576,MATCH($E516,[1]Sheet1!$A:$A,0),MATCH("zizhi",[1]Sheet1!$2:$2,0))&gt;=13,0,3)+6,0)</f>
        <v>11050</v>
      </c>
      <c r="W516" s="2" t="str">
        <f t="shared" si="47"/>
        <v>进阶+3：攻击提高10%</v>
      </c>
      <c r="X516" s="45" t="str">
        <f t="shared" si="45"/>
        <v>11050</v>
      </c>
      <c r="Y516" s="2"/>
      <c r="Z516" s="2"/>
      <c r="AA516" s="2"/>
    </row>
    <row r="517" spans="1:27" ht="33">
      <c r="A517" s="10">
        <f>E517*100+COUNTIF($E$194:$E517,$E517)</f>
        <v>120104</v>
      </c>
      <c r="B517" s="68" t="s">
        <v>1877</v>
      </c>
      <c r="C517" s="50" t="s">
        <v>2</v>
      </c>
      <c r="D517" s="10">
        <f t="shared" ref="D517:D580" si="50">IF(ISERROR(FIND("技能",$B517)),"[]",1)</f>
        <v>1</v>
      </c>
      <c r="E517" s="45">
        <f>INDEX($I:$I,MATCH($E516,$I:$I,0)+IF(COUNTIF($E$194:$E516,$E516)&lt;=VLOOKUP($E516,$I$134:$K$193,3,0)-1,0,1),0)</f>
        <v>1201</v>
      </c>
      <c r="F517" s="45" t="str">
        <f t="shared" si="46"/>
        <v>阎罗王</v>
      </c>
      <c r="G517" s="45" t="s">
        <v>217</v>
      </c>
      <c r="H517" s="45">
        <f>VLOOKUP($E517,[1]Sheet1!$A:$G,7,0)</f>
        <v>2</v>
      </c>
      <c r="I517" s="45" t="str">
        <f>IF($G517="","",IF(COUNTIF(技能描述!$D:$D,$F517)&gt;0,VLOOKUP($F517&amp;$G517,技能描述!$A:$C,3,0),LEFT(VLOOKUP($E517,[1]Sheet1!$A:$J,10,0),FIND("_",VLOOKUP($E517,[1]Sheet1!$A:$J,10,0))-1)&amp;$G517))</f>
        <v>yanluowang_skill04</v>
      </c>
      <c r="J517" s="45" t="str">
        <f>IF($I517="","",VLOOKUP($I517,技能描述!$A:$C,3,0))</f>
        <v>阎罗王用生死令召唤地狱火，对范围内敌人造成自身攻击力@s的法伤，并使敌人所受伤害提升@s，持续3秒</v>
      </c>
      <c r="K517" s="45" t="str">
        <f>IF($I517="","",INDEX([2]Sheet1!$1:$1048576,MATCH($I517,[2]Sheet1!$A:$A,0),MATCH("description_damage",[2]Sheet1!$2:$2,0)))</f>
        <v>120104,9010</v>
      </c>
      <c r="L517" s="80" t="str">
        <f>IF($K517="","",IF(LEN($K517)-LEN(SUBSTITUTE($K517,",",""))=0,VLOOKUP(INT($K517),[3]Sheet1!$A:$C,3,0),VLOOKUP(INT(LEFT($K517,FIND(",",$K517)-1)),[3]Sheet1!$A:$C,3,0)))</f>
        <v>2|2|1.43|0|0|0</v>
      </c>
      <c r="M517" s="80" t="str">
        <f t="shared" ref="M517:M580" si="51">IF($L517="","",LEFT(RIGHT($L517,LEN($L517)-4),FIND("|",RIGHT($L517,LEN($L517)-4))-1)*100&amp;"%")</f>
        <v>143%</v>
      </c>
      <c r="N517" s="45" t="str">
        <f>IF(LEN($K517)-LEN(SUBSTITUTE($K517,",",""))=1,VLOOKUP(INT(RIGHT($K517,LEN($K517)-FIND(",",$K517))),[3]Sheet1!$A:$C,3,0),"")</f>
        <v>4|3|0.1|0|1</v>
      </c>
      <c r="O517" s="45" t="str">
        <f t="shared" si="48"/>
        <v>10%</v>
      </c>
      <c r="P517" s="45" t="str">
        <f t="shared" si="44"/>
        <v>阎罗王用生死令召唤地狱火，对范围内敌人造成自身攻击力143%的法伤，并使敌人所受伤害提升@s，持续3秒</v>
      </c>
      <c r="Q517" s="45" t="str">
        <f t="shared" si="49"/>
        <v>阎罗王用生死令召唤地狱火，对范围内敌人造成自身攻击力143%的法伤，并使敌人所受伤害提升10%，持续3秒</v>
      </c>
      <c r="R517" s="45"/>
      <c r="S517" s="45" t="str">
        <f>IF(ISERROR($Q517),"进阶+"&amp;COUNTIF($E$194:$E517,$E517)&amp;"："&amp;"找ZC配技能","进阶+"&amp;COUNTIF($E$194:$E517,$E517)&amp;"："&amp;VLOOKUP(COUNTIF($E$194:$E517,$E517),$L$184:$R$193,IF(H517=1,4,IF(H517=4,3,2))+IF(INDEX([1]Sheet1!$1:$1048576,MATCH($E517,[1]Sheet1!$A:$A,0),MATCH("zizhi",[1]Sheet1!$2:$2,0))&gt;=13,0,3),0)&amp;IF($Q517="","","（"&amp;$Q517&amp;"）"))</f>
        <v>进阶+4：激活AI2技能（阎罗王用生死令召唤地狱火，对范围内敌人造成自身攻击力143%的法伤，并使敌人所受伤害提升10%，持续3秒）</v>
      </c>
      <c r="T517" s="1"/>
      <c r="U517" s="1"/>
      <c r="V517" s="2" t="str">
        <f>VLOOKUP(COUNTIF($E$194:$E517,$E517),$L$184:$X$193,IF(H517=1,4,IF(H517=4,3,2))+IF(INDEX([1]Sheet1!$1:$1048576,MATCH($E517,[1]Sheet1!$A:$A,0),MATCH("zizhi",[1]Sheet1!$2:$2,0))&gt;=13,0,3)+6,0)</f>
        <v>[]</v>
      </c>
      <c r="W517" s="2" t="str">
        <f t="shared" si="47"/>
        <v>进阶+4：激活AI2技能（阎罗王用生死令召唤地狱火，对范围内敌人造成自身攻击力143%的法伤，并使敌人所受伤害提升10%，持续3秒）</v>
      </c>
      <c r="X517" s="45" t="str">
        <f t="shared" si="45"/>
        <v>[]</v>
      </c>
      <c r="Y517" s="2"/>
      <c r="Z517" s="2"/>
      <c r="AA517" s="2"/>
    </row>
    <row r="518" spans="1:27">
      <c r="A518" s="10">
        <f>E518*100+COUNTIF($E$194:$E518,$E518)</f>
        <v>120105</v>
      </c>
      <c r="B518" s="68" t="s">
        <v>323</v>
      </c>
      <c r="C518" s="50" t="s">
        <v>140</v>
      </c>
      <c r="D518" s="10" t="str">
        <f t="shared" si="50"/>
        <v>[]</v>
      </c>
      <c r="E518" s="45">
        <f>INDEX($I:$I,MATCH($E517,$I:$I,0)+IF(COUNTIF($E$194:$E517,$E517)&lt;=VLOOKUP($E517,$I$134:$K$193,3,0)-1,0,1),0)</f>
        <v>1201</v>
      </c>
      <c r="F518" s="45" t="str">
        <f t="shared" si="46"/>
        <v>阎罗王</v>
      </c>
      <c r="H518" s="45">
        <f>VLOOKUP($E518,[1]Sheet1!$A:$G,7,0)</f>
        <v>2</v>
      </c>
      <c r="I518" s="45" t="str">
        <f>IF($G518="","",IF(COUNTIF(技能描述!$D:$D,$F518)&gt;0,VLOOKUP($F518&amp;$G518,技能描述!$A:$C,3,0),LEFT(VLOOKUP($E518,[1]Sheet1!$A:$J,10,0),FIND("_",VLOOKUP($E518,[1]Sheet1!$A:$J,10,0))-1)&amp;$G518))</f>
        <v/>
      </c>
      <c r="J518" s="45" t="str">
        <f>IF($I518="","",VLOOKUP($I518,技能描述!$A:$C,3,0))</f>
        <v/>
      </c>
      <c r="K518" s="45" t="str">
        <f>IF($I518="","",INDEX([2]Sheet1!$1:$1048576,MATCH($I518,[2]Sheet1!$A:$A,0),MATCH("description_damage",[2]Sheet1!$2:$2,0)))</f>
        <v/>
      </c>
      <c r="L518" s="80" t="str">
        <f>IF($K518="","",IF(LEN($K518)-LEN(SUBSTITUTE($K518,",",""))=0,VLOOKUP(INT($K518),[3]Sheet1!$A:$C,3,0),VLOOKUP(INT(LEFT($K518,FIND(",",$K518)-1)),[3]Sheet1!$A:$C,3,0)))</f>
        <v/>
      </c>
      <c r="M518" s="80" t="str">
        <f t="shared" si="51"/>
        <v/>
      </c>
      <c r="N518" s="45" t="str">
        <f>IF(LEN($K518)-LEN(SUBSTITUTE($K518,",",""))=1,VLOOKUP(INT(RIGHT($K518,LEN($K518)-FIND(",",$K518))),[3]Sheet1!$A:$C,3,0),"")</f>
        <v/>
      </c>
      <c r="O518" s="45" t="str">
        <f t="shared" si="48"/>
        <v/>
      </c>
      <c r="P518" s="45" t="str">
        <f t="shared" si="44"/>
        <v/>
      </c>
      <c r="Q518" s="45" t="str">
        <f t="shared" si="49"/>
        <v/>
      </c>
      <c r="R518" s="45"/>
      <c r="S518" s="45" t="str">
        <f>IF(ISERROR($Q518),"进阶+"&amp;COUNTIF($E$194:$E518,$E518)&amp;"："&amp;"找ZC配技能","进阶+"&amp;COUNTIF($E$194:$E518,$E518)&amp;"："&amp;VLOOKUP(COUNTIF($E$194:$E518,$E518),$L$184:$R$193,IF(H518=1,4,IF(H518=4,3,2))+IF(INDEX([1]Sheet1!$1:$1048576,MATCH($E518,[1]Sheet1!$A:$A,0),MATCH("zizhi",[1]Sheet1!$2:$2,0))&gt;=13,0,3),0)&amp;IF($Q518="","","（"&amp;$Q518&amp;"）"))</f>
        <v>进阶+5：生命，防御提高10%</v>
      </c>
      <c r="T518" s="1"/>
      <c r="U518" s="1"/>
      <c r="V518" s="2" t="str">
        <f>VLOOKUP(COUNTIF($E$194:$E518,$E518),$L$184:$X$193,IF(H518=1,4,IF(H518=4,3,2))+IF(INDEX([1]Sheet1!$1:$1048576,MATCH($E518,[1]Sheet1!$A:$A,0),MATCH("zizhi",[1]Sheet1!$2:$2,0))&gt;=13,0,3)+6,0)</f>
        <v>11090,6502,6512</v>
      </c>
      <c r="W518" s="2" t="str">
        <f t="shared" si="47"/>
        <v>进阶+5：生命，防御提高10%</v>
      </c>
      <c r="X518" s="45" t="str">
        <f t="shared" si="45"/>
        <v>11090,6502,6512</v>
      </c>
      <c r="Y518" s="2"/>
      <c r="Z518" s="2"/>
      <c r="AA518" s="2"/>
    </row>
    <row r="519" spans="1:27" ht="33">
      <c r="A519" s="10">
        <f>E519*100+COUNTIF($E$194:$E519,$E519)</f>
        <v>120106</v>
      </c>
      <c r="B519" s="68" t="s">
        <v>2051</v>
      </c>
      <c r="C519" s="50" t="s">
        <v>2</v>
      </c>
      <c r="D519" s="10">
        <f t="shared" si="50"/>
        <v>1</v>
      </c>
      <c r="E519" s="45">
        <f>INDEX($I:$I,MATCH($E518,$I:$I,0)+IF(COUNTIF($E$194:$E518,$E518)&lt;=VLOOKUP($E518,$I$134:$K$193,3,0)-1,0,1),0)</f>
        <v>1201</v>
      </c>
      <c r="F519" s="45" t="str">
        <f t="shared" si="46"/>
        <v>阎罗王</v>
      </c>
      <c r="G519" s="45" t="s">
        <v>218</v>
      </c>
      <c r="H519" s="45">
        <f>VLOOKUP($E519,[1]Sheet1!$A:$G,7,0)</f>
        <v>2</v>
      </c>
      <c r="I519" s="45" t="str">
        <f>IF($G519="","",IF(COUNTIF(技能描述!$D:$D,$F519)&gt;0,VLOOKUP($F519&amp;$G519,技能描述!$A:$C,3,0),LEFT(VLOOKUP($E519,[1]Sheet1!$A:$J,10,0),FIND("_",VLOOKUP($E519,[1]Sheet1!$A:$J,10,0))-1)&amp;$G519))</f>
        <v>yanluowang_skill011</v>
      </c>
      <c r="J519" s="45" t="str">
        <f>IF($I519="","",VLOOKUP($I519,技能描述!$A:$C,3,0))</f>
        <v>召唤冥域鬼火灼烧敌军，对范围内敌人造成主角攻击力@s的法伤，并造成灼烧效果，持续6秒</v>
      </c>
      <c r="K519" s="45" t="str">
        <f>IF($I519="","",INDEX([2]Sheet1!$1:$1048576,MATCH($I519,[2]Sheet1!$A:$A,0),MATCH("description_damage",[2]Sheet1!$2:$2,0)))</f>
        <v>120105</v>
      </c>
      <c r="L519" s="80" t="str">
        <f>IF($K519="","",IF(LEN($K519)-LEN(SUBSTITUTE($K519,",",""))=0,VLOOKUP(INT($K519),[3]Sheet1!$A:$C,3,0),VLOOKUP(INT(LEFT($K519,FIND(",",$K519)-1)),[3]Sheet1!$A:$C,3,0)))</f>
        <v>2|2|3.42|0|0|0</v>
      </c>
      <c r="M519" s="80" t="str">
        <f t="shared" si="51"/>
        <v>342%</v>
      </c>
      <c r="N519" s="45" t="str">
        <f>IF(LEN($K519)-LEN(SUBSTITUTE($K519,",",""))=1,VLOOKUP(INT(RIGHT($K519,LEN($K519)-FIND(",",$K519))),[3]Sheet1!$A:$C,3,0),"")</f>
        <v/>
      </c>
      <c r="O519" s="45" t="str">
        <f t="shared" si="48"/>
        <v/>
      </c>
      <c r="P519" s="45" t="str">
        <f t="shared" si="44"/>
        <v>召唤冥域鬼火灼烧敌军，对范围内敌人造成主角攻击力342%的法伤，并造成灼烧效果，持续6秒</v>
      </c>
      <c r="Q519" s="45" t="str">
        <f t="shared" si="49"/>
        <v>召唤冥域鬼火灼烧敌军，对范围内敌人造成主角攻击力342%的法伤，并造成灼烧效果，持续6秒</v>
      </c>
      <c r="R519" s="45"/>
      <c r="S519" s="45" t="str">
        <f>IF(ISERROR($Q519),"进阶+"&amp;COUNTIF($E$194:$E519,$E519)&amp;"："&amp;"找ZC配技能","进阶+"&amp;COUNTIF($E$194:$E519,$E519)&amp;"："&amp;VLOOKUP(COUNTIF($E$194:$E519,$E519),$L$184:$R$193,IF(H519=1,4,IF(H519=4,3,2))+IF(INDEX([1]Sheet1!$1:$1048576,MATCH($E519,[1]Sheet1!$A:$A,0),MATCH("zizhi",[1]Sheet1!$2:$2,0))&gt;=13,0,3),0)&amp;IF($Q519="","","（"&amp;$Q519&amp;"）"))</f>
        <v>进阶+6：增强主角技能（召唤冥域鬼火灼烧敌军，对范围内敌人造成主角攻击力342%的法伤，并造成灼烧效果，持续6秒）</v>
      </c>
      <c r="T519" s="1"/>
      <c r="U519" s="1"/>
      <c r="V519" s="2" t="str">
        <f>VLOOKUP(COUNTIF($E$194:$E519,$E519),$L$184:$X$193,IF(H519=1,4,IF(H519=4,3,2))+IF(INDEX([1]Sheet1!$1:$1048576,MATCH($E519,[1]Sheet1!$A:$A,0),MATCH("zizhi",[1]Sheet1!$2:$2,0))&gt;=13,0,3)+6,0)</f>
        <v>[]</v>
      </c>
      <c r="W519" s="2" t="str">
        <f t="shared" si="47"/>
        <v>进阶+6：增强主角技能（召唤冥域鬼火灼烧敌军，对范围内敌人造成主角攻击力342%的法伤，并造成灼烧效果，持续6秒）</v>
      </c>
      <c r="X519" s="45" t="str">
        <f t="shared" si="45"/>
        <v>[]</v>
      </c>
      <c r="Y519" s="2"/>
      <c r="Z519" s="2"/>
      <c r="AA519" s="2"/>
    </row>
    <row r="520" spans="1:27">
      <c r="A520" s="10">
        <f>E520*100+COUNTIF($E$194:$E520,$E520)</f>
        <v>120107</v>
      </c>
      <c r="B520" s="68" t="s">
        <v>359</v>
      </c>
      <c r="C520" s="50" t="s">
        <v>353</v>
      </c>
      <c r="D520" s="10" t="str">
        <f t="shared" si="50"/>
        <v>[]</v>
      </c>
      <c r="E520" s="45">
        <f>INDEX($I:$I,MATCH($E519,$I:$I,0)+IF(COUNTIF($E$194:$E519,$E519)&lt;=VLOOKUP($E519,$I$134:$K$193,3,0)-1,0,1),0)</f>
        <v>1201</v>
      </c>
      <c r="F520" s="45" t="str">
        <f t="shared" si="46"/>
        <v>阎罗王</v>
      </c>
      <c r="H520" s="45">
        <f>VLOOKUP($E520,[1]Sheet1!$A:$G,7,0)</f>
        <v>2</v>
      </c>
      <c r="I520" s="45" t="str">
        <f>IF($G520="","",IF(COUNTIF(技能描述!$D:$D,$F520)&gt;0,VLOOKUP($F520&amp;$G520,技能描述!$A:$C,3,0),LEFT(VLOOKUP($E520,[1]Sheet1!$A:$J,10,0),FIND("_",VLOOKUP($E520,[1]Sheet1!$A:$J,10,0))-1)&amp;$G520))</f>
        <v/>
      </c>
      <c r="J520" s="45" t="str">
        <f>IF($I520="","",VLOOKUP($I520,技能描述!$A:$C,3,0))</f>
        <v/>
      </c>
      <c r="K520" s="45" t="str">
        <f>IF($I520="","",INDEX([2]Sheet1!$1:$1048576,MATCH($I520,[2]Sheet1!$A:$A,0),MATCH("description_damage",[2]Sheet1!$2:$2,0)))</f>
        <v/>
      </c>
      <c r="L520" s="80" t="str">
        <f>IF($K520="","",IF(LEN($K520)-LEN(SUBSTITUTE($K520,",",""))=0,VLOOKUP(INT($K520),[3]Sheet1!$A:$C,3,0),VLOOKUP(INT(LEFT($K520,FIND(",",$K520)-1)),[3]Sheet1!$A:$C,3,0)))</f>
        <v/>
      </c>
      <c r="M520" s="80" t="str">
        <f t="shared" si="51"/>
        <v/>
      </c>
      <c r="N520" s="45" t="str">
        <f>IF(LEN($K520)-LEN(SUBSTITUTE($K520,",",""))=1,VLOOKUP(INT(RIGHT($K520,LEN($K520)-FIND(",",$K520))),[3]Sheet1!$A:$C,3,0),"")</f>
        <v/>
      </c>
      <c r="O520" s="45" t="str">
        <f t="shared" si="48"/>
        <v/>
      </c>
      <c r="P520" s="45" t="str">
        <f t="shared" si="44"/>
        <v/>
      </c>
      <c r="Q520" s="45" t="str">
        <f t="shared" si="49"/>
        <v/>
      </c>
      <c r="R520" s="45"/>
      <c r="S520" s="45" t="str">
        <f>IF(ISERROR($Q520),"进阶+"&amp;COUNTIF($E$194:$E520,$E520)&amp;"："&amp;"找ZC配技能","进阶+"&amp;COUNTIF($E$194:$E520,$E520)&amp;"："&amp;VLOOKUP(COUNTIF($E$194:$E520,$E520),$L$184:$R$193,IF(H520=1,4,IF(H520=4,3,2))+IF(INDEX([1]Sheet1!$1:$1048576,MATCH($E520,[1]Sheet1!$A:$A,0),MATCH("zizhi",[1]Sheet1!$2:$2,0))&gt;=13,0,3),0)&amp;IF($Q520="","","（"&amp;$Q520&amp;"）"))</f>
        <v>进阶+7：全队攻击提高10%</v>
      </c>
      <c r="T520" s="1"/>
      <c r="U520" s="1"/>
      <c r="V520" s="2" t="str">
        <f>VLOOKUP(COUNTIF($E$194:$E520,$E520),$L$184:$X$193,IF(H520=1,4,IF(H520=4,3,2))+IF(INDEX([1]Sheet1!$1:$1048576,MATCH($E520,[1]Sheet1!$A:$A,0),MATCH("zizhi",[1]Sheet1!$2:$2,0))&gt;=13,0,3)+6,0)</f>
        <v>58010</v>
      </c>
      <c r="W520" s="2" t="str">
        <f t="shared" si="47"/>
        <v>进阶+7：全队攻击提高10%</v>
      </c>
      <c r="X520" s="45" t="str">
        <f t="shared" si="45"/>
        <v>58010</v>
      </c>
      <c r="Y520" s="2"/>
      <c r="Z520" s="2"/>
      <c r="AA520" s="2"/>
    </row>
    <row r="521" spans="1:27" ht="33">
      <c r="A521" s="10">
        <f>E521*100+COUNTIF($E$194:$E521,$E521)</f>
        <v>120108</v>
      </c>
      <c r="B521" s="68" t="s">
        <v>2052</v>
      </c>
      <c r="C521" s="50" t="s">
        <v>2</v>
      </c>
      <c r="D521" s="10">
        <f t="shared" si="50"/>
        <v>1</v>
      </c>
      <c r="E521" s="45">
        <f>INDEX($I:$I,MATCH($E520,$I:$I,0)+IF(COUNTIF($E$194:$E520,$E520)&lt;=VLOOKUP($E520,$I$134:$K$193,3,0)-1,0,1),0)</f>
        <v>1201</v>
      </c>
      <c r="F521" s="45" t="str">
        <f t="shared" si="46"/>
        <v>阎罗王</v>
      </c>
      <c r="G521" s="45" t="s">
        <v>219</v>
      </c>
      <c r="H521" s="45">
        <f>VLOOKUP($E521,[1]Sheet1!$A:$G,7,0)</f>
        <v>2</v>
      </c>
      <c r="I521" s="45" t="str">
        <f>IF($G521="","",IF(COUNTIF(技能描述!$D:$D,$F521)&gt;0,VLOOKUP($F521&amp;$G521,技能描述!$A:$C,3,0),LEFT(VLOOKUP($E521,[1]Sheet1!$A:$J,10,0),FIND("_",VLOOKUP($E521,[1]Sheet1!$A:$J,10,0))-1)&amp;$G521))</f>
        <v>yanluowang_skill021</v>
      </c>
      <c r="J521" s="45" t="str">
        <f>IF($I521="","",VLOOKUP($I521,技能描述!$A:$C,3,0))</f>
        <v>阎罗王用判官笔为敌军写下死亡宣告，对范围内敌人造成攻击力@s的法伤</v>
      </c>
      <c r="K521" s="45" t="str">
        <f>IF($I521="","",INDEX([2]Sheet1!$1:$1048576,MATCH($I521,[2]Sheet1!$A:$A,0),MATCH("description_damage",[2]Sheet1!$2:$2,0)))</f>
        <v>120106</v>
      </c>
      <c r="L521" s="80" t="str">
        <f>IF($K521="","",IF(LEN($K521)-LEN(SUBSTITUTE($K521,",",""))=0,VLOOKUP(INT($K521),[3]Sheet1!$A:$C,3,0),VLOOKUP(INT(LEFT($K521,FIND(",",$K521)-1)),[3]Sheet1!$A:$C,3,0)))</f>
        <v>2|2|2|0|0|0</v>
      </c>
      <c r="M521" s="80" t="str">
        <f t="shared" si="51"/>
        <v>200%</v>
      </c>
      <c r="N521" s="45" t="str">
        <f>IF(LEN($K521)-LEN(SUBSTITUTE($K521,",",""))=1,VLOOKUP(INT(RIGHT($K521,LEN($K521)-FIND(",",$K521))),[3]Sheet1!$A:$C,3,0),"")</f>
        <v/>
      </c>
      <c r="O521" s="45" t="str">
        <f t="shared" si="48"/>
        <v/>
      </c>
      <c r="P521" s="45" t="str">
        <f t="shared" si="44"/>
        <v>阎罗王用判官笔为敌军写下死亡宣告，对范围内敌人造成攻击力200%的法伤</v>
      </c>
      <c r="Q521" s="45" t="str">
        <f t="shared" si="49"/>
        <v>阎罗王用判官笔为敌军写下死亡宣告，对范围内敌人造成攻击力200%的法伤</v>
      </c>
      <c r="R521" s="45"/>
      <c r="S521" s="45" t="str">
        <f>IF(ISERROR($Q521),"进阶+"&amp;COUNTIF($E$194:$E521,$E521)&amp;"："&amp;"找ZC配技能","进阶+"&amp;COUNTIF($E$194:$E521,$E521)&amp;"："&amp;VLOOKUP(COUNTIF($E$194:$E521,$E521),$L$184:$R$193,IF(H521=1,4,IF(H521=4,3,2))+IF(INDEX([1]Sheet1!$1:$1048576,MATCH($E521,[1]Sheet1!$A:$A,0),MATCH("zizhi",[1]Sheet1!$2:$2,0))&gt;=13,0,3),0)&amp;IF($Q521="","","（"&amp;$Q521&amp;"）"))</f>
        <v>进阶+8：增强AI1技能（阎罗王用判官笔为敌军写下死亡宣告，对范围内敌人造成攻击力200%的法伤）</v>
      </c>
      <c r="T521" s="1"/>
      <c r="U521" s="1"/>
      <c r="V521" s="2" t="str">
        <f>VLOOKUP(COUNTIF($E$194:$E521,$E521),$L$184:$X$193,IF(H521=1,4,IF(H521=4,3,2))+IF(INDEX([1]Sheet1!$1:$1048576,MATCH($E521,[1]Sheet1!$A:$A,0),MATCH("zizhi",[1]Sheet1!$2:$2,0))&gt;=13,0,3)+6,0)</f>
        <v>[]</v>
      </c>
      <c r="W521" s="2" t="str">
        <f t="shared" si="47"/>
        <v>进阶+8：增强AI1技能（阎罗王用判官笔为敌军写下死亡宣告，对范围内敌人造成攻击力200%的法伤）</v>
      </c>
      <c r="X521" s="45" t="str">
        <f t="shared" si="45"/>
        <v>[]</v>
      </c>
      <c r="Y521" s="2"/>
      <c r="Z521" s="2"/>
      <c r="AA521" s="2"/>
    </row>
    <row r="522" spans="1:27">
      <c r="A522" s="10">
        <f>E522*100+COUNTIF($E$194:$E522,$E522)</f>
        <v>120109</v>
      </c>
      <c r="B522" s="68" t="s">
        <v>1899</v>
      </c>
      <c r="C522" s="50" t="s">
        <v>2085</v>
      </c>
      <c r="D522" s="10" t="str">
        <f t="shared" si="50"/>
        <v>[]</v>
      </c>
      <c r="E522" s="45">
        <f>INDEX($I:$I,MATCH($E521,$I:$I,0)+IF(COUNTIF($E$194:$E521,$E521)&lt;=VLOOKUP($E521,$I$134:$K$193,3,0)-1,0,1),0)</f>
        <v>1201</v>
      </c>
      <c r="F522" s="45" t="str">
        <f t="shared" si="46"/>
        <v>阎罗王</v>
      </c>
      <c r="H522" s="45">
        <f>VLOOKUP($E522,[1]Sheet1!$A:$G,7,0)</f>
        <v>2</v>
      </c>
      <c r="I522" s="45" t="str">
        <f>IF($G522="","",IF(COUNTIF(技能描述!$D:$D,$F522)&gt;0,VLOOKUP($F522&amp;$G522,技能描述!$A:$C,3,0),LEFT(VLOOKUP($E522,[1]Sheet1!$A:$J,10,0),FIND("_",VLOOKUP($E522,[1]Sheet1!$A:$J,10,0))-1)&amp;$G522))</f>
        <v/>
      </c>
      <c r="J522" s="45" t="str">
        <f>IF($I522="","",VLOOKUP($I522,技能描述!$A:$C,3,0))</f>
        <v/>
      </c>
      <c r="K522" s="45" t="str">
        <f>IF($I522="","",INDEX([2]Sheet1!$1:$1048576,MATCH($I522,[2]Sheet1!$A:$A,0),MATCH("description_damage",[2]Sheet1!$2:$2,0)))</f>
        <v/>
      </c>
      <c r="L522" s="80" t="str">
        <f>IF($K522="","",IF(LEN($K522)-LEN(SUBSTITUTE($K522,",",""))=0,VLOOKUP(INT($K522),[3]Sheet1!$A:$C,3,0),VLOOKUP(INT(LEFT($K522,FIND(",",$K522)-1)),[3]Sheet1!$A:$C,3,0)))</f>
        <v/>
      </c>
      <c r="M522" s="80" t="str">
        <f t="shared" si="51"/>
        <v/>
      </c>
      <c r="N522" s="45" t="str">
        <f>IF(LEN($K522)-LEN(SUBSTITUTE($K522,",",""))=1,VLOOKUP(INT(RIGHT($K522,LEN($K522)-FIND(",",$K522))),[3]Sheet1!$A:$C,3,0),"")</f>
        <v/>
      </c>
      <c r="O522" s="45" t="str">
        <f t="shared" si="48"/>
        <v/>
      </c>
      <c r="P522" s="45" t="str">
        <f t="shared" si="44"/>
        <v/>
      </c>
      <c r="Q522" s="45" t="str">
        <f t="shared" si="49"/>
        <v/>
      </c>
      <c r="R522" s="45"/>
      <c r="S522" s="45" t="str">
        <f>IF(ISERROR($Q522),"进阶+"&amp;COUNTIF($E$194:$E522,$E522)&amp;"："&amp;"找ZC配技能","进阶+"&amp;COUNTIF($E$194:$E522,$E522)&amp;"："&amp;VLOOKUP(COUNTIF($E$194:$E522,$E522),$L$184:$R$193,IF(H522=1,4,IF(H522=4,3,2))+IF(INDEX([1]Sheet1!$1:$1048576,MATCH($E522,[1]Sheet1!$A:$A,0),MATCH("zizhi",[1]Sheet1!$2:$2,0))&gt;=13,0,3),0)&amp;IF($Q522="","","（"&amp;$Q522&amp;"）"))</f>
        <v>进阶+9：全队攻击提高15%</v>
      </c>
      <c r="T522" s="1"/>
      <c r="U522" s="1"/>
      <c r="V522" s="2" t="str">
        <f>VLOOKUP(COUNTIF($E$194:$E522,$E522),$L$184:$X$193,IF(H522=1,4,IF(H522=4,3,2))+IF(INDEX([1]Sheet1!$1:$1048576,MATCH($E522,[1]Sheet1!$A:$A,0),MATCH("zizhi",[1]Sheet1!$2:$2,0))&gt;=13,0,3)+6,0)</f>
        <v>58015</v>
      </c>
      <c r="W522" s="2" t="str">
        <f t="shared" si="47"/>
        <v>进阶+9：全队攻击提高15%</v>
      </c>
      <c r="X522" s="45" t="str">
        <f t="shared" si="45"/>
        <v>58015</v>
      </c>
      <c r="Y522" s="2"/>
      <c r="Z522" s="2"/>
      <c r="AA522" s="2"/>
    </row>
    <row r="523" spans="1:27" ht="33">
      <c r="A523" s="10">
        <f>E523*100+COUNTIF($E$194:$E523,$E523)</f>
        <v>120110</v>
      </c>
      <c r="B523" s="68" t="s">
        <v>1923</v>
      </c>
      <c r="C523" s="50" t="s">
        <v>2</v>
      </c>
      <c r="D523" s="10">
        <f t="shared" si="50"/>
        <v>1</v>
      </c>
      <c r="E523" s="45">
        <f>INDEX($I:$I,MATCH($E522,$I:$I,0)+IF(COUNTIF($E$194:$E522,$E522)&lt;=VLOOKUP($E522,$I$134:$K$193,3,0)-1,0,1),0)</f>
        <v>1201</v>
      </c>
      <c r="F523" s="45" t="str">
        <f t="shared" si="46"/>
        <v>阎罗王</v>
      </c>
      <c r="G523" s="45" t="s">
        <v>220</v>
      </c>
      <c r="H523" s="45">
        <f>VLOOKUP($E523,[1]Sheet1!$A:$G,7,0)</f>
        <v>2</v>
      </c>
      <c r="I523" s="45" t="str">
        <f>IF($G523="","",IF(COUNTIF(技能描述!$D:$D,$F523)&gt;0,VLOOKUP($F523&amp;$G523,技能描述!$A:$C,3,0),LEFT(VLOOKUP($E523,[1]Sheet1!$A:$J,10,0),FIND("_",VLOOKUP($E523,[1]Sheet1!$A:$J,10,0))-1)&amp;$G523))</f>
        <v>yanluowang_skill041</v>
      </c>
      <c r="J523" s="45" t="str">
        <f>IF($I523="","",VLOOKUP($I523,技能描述!$A:$C,3,0))</f>
        <v>阎罗王用生死令召唤地狱火，对范围内敌人造成自身攻击力@s的法伤，并使敌人所受伤害提升@s，持续3秒</v>
      </c>
      <c r="K523" s="45" t="str">
        <f>IF($I523="","",INDEX([2]Sheet1!$1:$1048576,MATCH($I523,[2]Sheet1!$A:$A,0),MATCH("description_damage",[2]Sheet1!$2:$2,0)))</f>
        <v>120107,9015</v>
      </c>
      <c r="L523" s="80" t="str">
        <f>IF($K523="","",IF(LEN($K523)-LEN(SUBSTITUTE($K523,",",""))=0,VLOOKUP(INT($K523),[3]Sheet1!$A:$C,3,0),VLOOKUP(INT(LEFT($K523,FIND(",",$K523)-1)),[3]Sheet1!$A:$C,3,0)))</f>
        <v>2|2|2|0|0|0</v>
      </c>
      <c r="M523" s="80" t="str">
        <f t="shared" si="51"/>
        <v>200%</v>
      </c>
      <c r="N523" s="45" t="str">
        <f>IF(LEN($K523)-LEN(SUBSTITUTE($K523,",",""))=1,VLOOKUP(INT(RIGHT($K523,LEN($K523)-FIND(",",$K523))),[3]Sheet1!$A:$C,3,0),"")</f>
        <v>4|3|0.15|0|1</v>
      </c>
      <c r="O523" s="45" t="str">
        <f t="shared" si="48"/>
        <v>15%</v>
      </c>
      <c r="P523" s="45" t="str">
        <f t="shared" si="44"/>
        <v>阎罗王用生死令召唤地狱火，对范围内敌人造成自身攻击力200%的法伤，并使敌人所受伤害提升@s，持续3秒</v>
      </c>
      <c r="Q523" s="45" t="str">
        <f t="shared" si="49"/>
        <v>阎罗王用生死令召唤地狱火，对范围内敌人造成自身攻击力200%的法伤，并使敌人所受伤害提升15%，持续3秒</v>
      </c>
      <c r="R523" s="45"/>
      <c r="S523" s="45" t="str">
        <f>IF(ISERROR($Q523),"进阶+"&amp;COUNTIF($E$194:$E523,$E523)&amp;"："&amp;"找ZC配技能","进阶+"&amp;COUNTIF($E$194:$E523,$E523)&amp;"："&amp;VLOOKUP(COUNTIF($E$194:$E523,$E523),$L$184:$R$193,IF(H523=1,4,IF(H523=4,3,2))+IF(INDEX([1]Sheet1!$1:$1048576,MATCH($E523,[1]Sheet1!$A:$A,0),MATCH("zizhi",[1]Sheet1!$2:$2,0))&gt;=13,0,3),0)&amp;IF($Q523="","","（"&amp;$Q523&amp;"）"))</f>
        <v>进阶+10：增强AI2技能（阎罗王用生死令召唤地狱火，对范围内敌人造成自身攻击力200%的法伤，并使敌人所受伤害提升15%，持续3秒）</v>
      </c>
      <c r="T523" s="1"/>
      <c r="U523" s="1"/>
      <c r="V523" s="2" t="str">
        <f>VLOOKUP(COUNTIF($E$194:$E523,$E523),$L$184:$X$193,IF(H523=1,4,IF(H523=4,3,2))+IF(INDEX([1]Sheet1!$1:$1048576,MATCH($E523,[1]Sheet1!$A:$A,0),MATCH("zizhi",[1]Sheet1!$2:$2,0))&gt;=13,0,3)+6,0)</f>
        <v>[]</v>
      </c>
      <c r="W523" s="2" t="str">
        <f t="shared" si="47"/>
        <v>进阶+10：增强AI2技能（阎罗王用生死令召唤地狱火，对范围内敌人造成自身攻击力200%的法伤，并使敌人所受伤害提升15%，持续3秒）</v>
      </c>
      <c r="X523" s="45" t="str">
        <f t="shared" si="45"/>
        <v>[]</v>
      </c>
      <c r="Y523" s="2"/>
      <c r="Z523" s="2"/>
      <c r="AA523" s="2"/>
    </row>
    <row r="524" spans="1:27">
      <c r="A524" s="10">
        <f>E524*100+COUNTIF($E$194:$E524,$E524)</f>
        <v>113101</v>
      </c>
      <c r="B524" s="68" t="s">
        <v>310</v>
      </c>
      <c r="C524" s="50" t="s">
        <v>127</v>
      </c>
      <c r="D524" s="10" t="str">
        <f t="shared" si="50"/>
        <v>[]</v>
      </c>
      <c r="E524" s="45">
        <f>INDEX($I:$I,MATCH($E523,$I:$I,0)+IF(COUNTIF($E$194:$E523,$E523)&lt;=VLOOKUP($E523,$I$134:$K$193,3,0)-1,0,1),0)</f>
        <v>1131</v>
      </c>
      <c r="F524" s="45" t="str">
        <f t="shared" si="46"/>
        <v>蝎子精</v>
      </c>
      <c r="H524" s="45">
        <f>VLOOKUP($E524,[1]Sheet1!$A:$G,7,0)</f>
        <v>2</v>
      </c>
      <c r="I524" s="45" t="str">
        <f>IF($G524="","",IF(COUNTIF(技能描述!$D:$D,$F524)&gt;0,VLOOKUP($F524&amp;$G524,技能描述!$A:$C,3,0),LEFT(VLOOKUP($E524,[1]Sheet1!$A:$J,10,0),FIND("_",VLOOKUP($E524,[1]Sheet1!$A:$J,10,0))-1)&amp;$G524))</f>
        <v/>
      </c>
      <c r="J524" s="45" t="str">
        <f>IF($I524="","",VLOOKUP($I524,技能描述!$A:$C,3,0))</f>
        <v/>
      </c>
      <c r="K524" s="45" t="str">
        <f>IF($I524="","",INDEX([2]Sheet1!$1:$1048576,MATCH($I524,[2]Sheet1!$A:$A,0),MATCH("description_damage",[2]Sheet1!$2:$2,0)))</f>
        <v/>
      </c>
      <c r="L524" s="80" t="str">
        <f>IF($K524="","",IF(LEN($K524)-LEN(SUBSTITUTE($K524,",",""))=0,VLOOKUP(INT($K524),[3]Sheet1!$A:$C,3,0),VLOOKUP(INT(LEFT($K524,FIND(",",$K524)-1)),[3]Sheet1!$A:$C,3,0)))</f>
        <v/>
      </c>
      <c r="M524" s="80" t="str">
        <f t="shared" si="51"/>
        <v/>
      </c>
      <c r="N524" s="45" t="str">
        <f>IF(LEN($K524)-LEN(SUBSTITUTE($K524,",",""))=1,VLOOKUP(INT(RIGHT($K524,LEN($K524)-FIND(",",$K524))),[3]Sheet1!$A:$C,3,0),"")</f>
        <v/>
      </c>
      <c r="O524" s="45" t="str">
        <f t="shared" si="48"/>
        <v/>
      </c>
      <c r="P524" s="45" t="str">
        <f t="shared" si="44"/>
        <v/>
      </c>
      <c r="Q524" s="45" t="str">
        <f t="shared" si="49"/>
        <v/>
      </c>
      <c r="R524" s="45"/>
      <c r="S524" s="45" t="str">
        <f>IF(ISERROR($Q524),"进阶+"&amp;COUNTIF($E$194:$E524,$E524)&amp;"："&amp;"找ZC配技能","进阶+"&amp;COUNTIF($E$194:$E524,$E524)&amp;"："&amp;VLOOKUP(COUNTIF($E$194:$E524,$E524),$L$184:$R$193,IF(H524=1,4,IF(H524=4,3,2))+IF(INDEX([1]Sheet1!$1:$1048576,MATCH($E524,[1]Sheet1!$A:$A,0),MATCH("zizhi",[1]Sheet1!$2:$2,0))&gt;=13,0,3),0)&amp;IF($Q524="","","（"&amp;$Q524&amp;"）"))</f>
        <v>进阶+1：攻击提高10%</v>
      </c>
      <c r="T524" s="1"/>
      <c r="U524" s="1"/>
      <c r="V524" s="2" t="str">
        <f>VLOOKUP(COUNTIF($E$194:$E524,$E524),$L$184:$X$193,IF(H524=1,4,IF(H524=4,3,2))+IF(INDEX([1]Sheet1!$1:$1048576,MATCH($E524,[1]Sheet1!$A:$A,0),MATCH("zizhi",[1]Sheet1!$2:$2,0))&gt;=13,0,3)+6,0)</f>
        <v>11050</v>
      </c>
      <c r="W524" s="2" t="str">
        <f t="shared" si="47"/>
        <v>进阶+1：攻击提高10%</v>
      </c>
      <c r="X524" s="45" t="str">
        <f t="shared" si="45"/>
        <v>11050</v>
      </c>
      <c r="Y524" s="2"/>
      <c r="Z524" s="2"/>
      <c r="AA524" s="2"/>
    </row>
    <row r="525" spans="1:27">
      <c r="A525" s="10">
        <f>E525*100+COUNTIF($E$194:$E525,$E525)</f>
        <v>113102</v>
      </c>
      <c r="B525" s="68" t="s">
        <v>343</v>
      </c>
      <c r="C525" s="50" t="s">
        <v>2</v>
      </c>
      <c r="D525" s="10">
        <f t="shared" si="50"/>
        <v>1</v>
      </c>
      <c r="E525" s="45">
        <f>INDEX($I:$I,MATCH($E524,$I:$I,0)+IF(COUNTIF($E$194:$E524,$E524)&lt;=VLOOKUP($E524,$I$134:$K$193,3,0)-1,0,1),0)</f>
        <v>1131</v>
      </c>
      <c r="F525" s="45" t="str">
        <f t="shared" si="46"/>
        <v>蝎子精</v>
      </c>
      <c r="G525" s="45" t="s">
        <v>216</v>
      </c>
      <c r="H525" s="45">
        <f>VLOOKUP($E525,[1]Sheet1!$A:$G,7,0)</f>
        <v>2</v>
      </c>
      <c r="I525" s="45" t="str">
        <f>IF($G525="","",IF(COUNTIF(技能描述!$D:$D,$F525)&gt;0,VLOOKUP($F525&amp;$G525,技能描述!$A:$C,3,0),LEFT(VLOOKUP($E525,[1]Sheet1!$A:$J,10,0),FIND("_",VLOOKUP($E525,[1]Sheet1!$A:$J,10,0))-1)&amp;$G525))</f>
        <v>xiezijing_skill03</v>
      </c>
      <c r="J525" s="45" t="str">
        <f>IF($I525="","",VLOOKUP($I525,技能描述!$A:$C,3,0))</f>
        <v>进入战斗场景时，提升自身暴击率@s</v>
      </c>
      <c r="K525" s="45" t="str">
        <f>IF($I525="","",INDEX([2]Sheet1!$1:$1048576,MATCH($I525,[2]Sheet1!$A:$A,0),MATCH("description_damage",[2]Sheet1!$2:$2,0)))</f>
        <v>9015</v>
      </c>
      <c r="L525" s="80" t="str">
        <f>IF($K525="","",IF(LEN($K525)-LEN(SUBSTITUTE($K525,",",""))=0,VLOOKUP(INT($K525),[3]Sheet1!$A:$C,3,0),VLOOKUP(INT(LEFT($K525,FIND(",",$K525)-1)),[3]Sheet1!$A:$C,3,0)))</f>
        <v>4|3|0.15|0|1</v>
      </c>
      <c r="M525" s="80" t="str">
        <f t="shared" si="51"/>
        <v>15%</v>
      </c>
      <c r="N525" s="45" t="str">
        <f>IF(LEN($K525)-LEN(SUBSTITUTE($K525,",",""))=1,VLOOKUP(INT(RIGHT($K525,LEN($K525)-FIND(",",$K525))),[3]Sheet1!$A:$C,3,0),"")</f>
        <v/>
      </c>
      <c r="O525" s="45" t="str">
        <f t="shared" si="48"/>
        <v/>
      </c>
      <c r="P525" s="45" t="str">
        <f t="shared" si="44"/>
        <v>进入战斗场景时，提升自身暴击率15%</v>
      </c>
      <c r="Q525" s="45" t="str">
        <f t="shared" si="49"/>
        <v>进入战斗场景时，提升自身暴击率15%</v>
      </c>
      <c r="R525" s="45"/>
      <c r="S525" s="45" t="str">
        <f>IF(ISERROR($Q525),"进阶+"&amp;COUNTIF($E$194:$E525,$E525)&amp;"："&amp;"找ZC配技能","进阶+"&amp;COUNTIF($E$194:$E525,$E525)&amp;"："&amp;VLOOKUP(COUNTIF($E$194:$E525,$E525),$L$184:$R$193,IF(H525=1,4,IF(H525=4,3,2))+IF(INDEX([1]Sheet1!$1:$1048576,MATCH($E525,[1]Sheet1!$A:$A,0),MATCH("zizhi",[1]Sheet1!$2:$2,0))&gt;=13,0,3),0)&amp;IF($Q525="","","（"&amp;$Q525&amp;"）"))</f>
        <v>进阶+2：激活被动技能（进入战斗场景时，提升自身暴击率15%）</v>
      </c>
      <c r="T525" s="1"/>
      <c r="U525" s="1"/>
      <c r="V525" s="2" t="str">
        <f>VLOOKUP(COUNTIF($E$194:$E525,$E525),$L$184:$X$193,IF(H525=1,4,IF(H525=4,3,2))+IF(INDEX([1]Sheet1!$1:$1048576,MATCH($E525,[1]Sheet1!$A:$A,0),MATCH("zizhi",[1]Sheet1!$2:$2,0))&gt;=13,0,3)+6,0)</f>
        <v>[]</v>
      </c>
      <c r="W525" s="2" t="str">
        <f t="shared" si="47"/>
        <v>进阶+2：激活被动技能（进入战斗场景时，提升自身暴击率15%）</v>
      </c>
      <c r="X525" s="45" t="str">
        <f t="shared" si="45"/>
        <v>[]</v>
      </c>
      <c r="Y525" s="2"/>
      <c r="Z525" s="2"/>
      <c r="AA525" s="2"/>
    </row>
    <row r="526" spans="1:27">
      <c r="A526" s="10">
        <f>E526*100+COUNTIF($E$194:$E526,$E526)</f>
        <v>113103</v>
      </c>
      <c r="B526" s="68" t="s">
        <v>312</v>
      </c>
      <c r="C526" s="50" t="s">
        <v>127</v>
      </c>
      <c r="D526" s="10" t="str">
        <f t="shared" si="50"/>
        <v>[]</v>
      </c>
      <c r="E526" s="45">
        <f>INDEX($I:$I,MATCH($E525,$I:$I,0)+IF(COUNTIF($E$194:$E525,$E525)&lt;=VLOOKUP($E525,$I$134:$K$193,3,0)-1,0,1),0)</f>
        <v>1131</v>
      </c>
      <c r="F526" s="45" t="str">
        <f t="shared" si="46"/>
        <v>蝎子精</v>
      </c>
      <c r="H526" s="45">
        <f>VLOOKUP($E526,[1]Sheet1!$A:$G,7,0)</f>
        <v>2</v>
      </c>
      <c r="I526" s="45" t="str">
        <f>IF($G526="","",IF(COUNTIF(技能描述!$D:$D,$F526)&gt;0,VLOOKUP($F526&amp;$G526,技能描述!$A:$C,3,0),LEFT(VLOOKUP($E526,[1]Sheet1!$A:$J,10,0),FIND("_",VLOOKUP($E526,[1]Sheet1!$A:$J,10,0))-1)&amp;$G526))</f>
        <v/>
      </c>
      <c r="J526" s="45" t="str">
        <f>IF($I526="","",VLOOKUP($I526,技能描述!$A:$C,3,0))</f>
        <v/>
      </c>
      <c r="K526" s="45" t="str">
        <f>IF($I526="","",INDEX([2]Sheet1!$1:$1048576,MATCH($I526,[2]Sheet1!$A:$A,0),MATCH("description_damage",[2]Sheet1!$2:$2,0)))</f>
        <v/>
      </c>
      <c r="L526" s="80" t="str">
        <f>IF($K526="","",IF(LEN($K526)-LEN(SUBSTITUTE($K526,",",""))=0,VLOOKUP(INT($K526),[3]Sheet1!$A:$C,3,0),VLOOKUP(INT(LEFT($K526,FIND(",",$K526)-1)),[3]Sheet1!$A:$C,3,0)))</f>
        <v/>
      </c>
      <c r="M526" s="80" t="str">
        <f t="shared" si="51"/>
        <v/>
      </c>
      <c r="N526" s="45" t="str">
        <f>IF(LEN($K526)-LEN(SUBSTITUTE($K526,",",""))=1,VLOOKUP(INT(RIGHT($K526,LEN($K526)-FIND(",",$K526))),[3]Sheet1!$A:$C,3,0),"")</f>
        <v/>
      </c>
      <c r="O526" s="45" t="str">
        <f t="shared" si="48"/>
        <v/>
      </c>
      <c r="P526" s="45" t="str">
        <f t="shared" si="44"/>
        <v/>
      </c>
      <c r="Q526" s="45" t="str">
        <f t="shared" si="49"/>
        <v/>
      </c>
      <c r="R526" s="45"/>
      <c r="S526" s="45" t="str">
        <f>IF(ISERROR($Q526),"进阶+"&amp;COUNTIF($E$194:$E526,$E526)&amp;"："&amp;"找ZC配技能","进阶+"&amp;COUNTIF($E$194:$E526,$E526)&amp;"："&amp;VLOOKUP(COUNTIF($E$194:$E526,$E526),$L$184:$R$193,IF(H526=1,4,IF(H526=4,3,2))+IF(INDEX([1]Sheet1!$1:$1048576,MATCH($E526,[1]Sheet1!$A:$A,0),MATCH("zizhi",[1]Sheet1!$2:$2,0))&gt;=13,0,3),0)&amp;IF($Q526="","","（"&amp;$Q526&amp;"）"))</f>
        <v>进阶+3：攻击提高10%</v>
      </c>
      <c r="T526" s="1"/>
      <c r="U526" s="1"/>
      <c r="V526" s="2" t="str">
        <f>VLOOKUP(COUNTIF($E$194:$E526,$E526),$L$184:$X$193,IF(H526=1,4,IF(H526=4,3,2))+IF(INDEX([1]Sheet1!$1:$1048576,MATCH($E526,[1]Sheet1!$A:$A,0),MATCH("zizhi",[1]Sheet1!$2:$2,0))&gt;=13,0,3)+6,0)</f>
        <v>11050</v>
      </c>
      <c r="W526" s="2" t="str">
        <f t="shared" si="47"/>
        <v>进阶+3：攻击提高10%</v>
      </c>
      <c r="X526" s="45" t="str">
        <f t="shared" si="45"/>
        <v>11050</v>
      </c>
      <c r="Y526" s="2"/>
      <c r="Z526" s="2"/>
      <c r="AA526" s="2"/>
    </row>
    <row r="527" spans="1:27" ht="33">
      <c r="A527" s="10">
        <f>E527*100+COUNTIF($E$194:$E527,$E527)</f>
        <v>113104</v>
      </c>
      <c r="B527" s="68" t="s">
        <v>1878</v>
      </c>
      <c r="C527" s="50" t="s">
        <v>2</v>
      </c>
      <c r="D527" s="10">
        <f t="shared" si="50"/>
        <v>1</v>
      </c>
      <c r="E527" s="45">
        <f>INDEX($I:$I,MATCH($E526,$I:$I,0)+IF(COUNTIF($E$194:$E526,$E526)&lt;=VLOOKUP($E526,$I$134:$K$193,3,0)-1,0,1),0)</f>
        <v>1131</v>
      </c>
      <c r="F527" s="45" t="str">
        <f t="shared" si="46"/>
        <v>蝎子精</v>
      </c>
      <c r="G527" s="45" t="s">
        <v>217</v>
      </c>
      <c r="H527" s="45">
        <f>VLOOKUP($E527,[1]Sheet1!$A:$G,7,0)</f>
        <v>2</v>
      </c>
      <c r="I527" s="45" t="str">
        <f>IF($G527="","",IF(COUNTIF(技能描述!$D:$D,$F527)&gt;0,VLOOKUP($F527&amp;$G527,技能描述!$A:$C,3,0),LEFT(VLOOKUP($E527,[1]Sheet1!$A:$J,10,0),FIND("_",VLOOKUP($E527,[1]Sheet1!$A:$J,10,0))-1)&amp;$G527))</f>
        <v>xiezijing_skill04</v>
      </c>
      <c r="J527" s="45" t="str">
        <f>IF($I527="","",VLOOKUP($I527,技能描述!$A:$C,3,0))</f>
        <v>蝎子精发射自身毒刺，对范围内敌人造成自身攻击力@s的法伤，并使敌人中毒，持续6秒</v>
      </c>
      <c r="K527" s="45" t="str">
        <f>IF($I527="","",INDEX([2]Sheet1!$1:$1048576,MATCH($I527,[2]Sheet1!$A:$A,0),MATCH("description_damage",[2]Sheet1!$2:$2,0)))</f>
        <v>113104</v>
      </c>
      <c r="L527" s="80" t="str">
        <f>IF($K527="","",IF(LEN($K527)-LEN(SUBSTITUTE($K527,",",""))=0,VLOOKUP(INT($K527),[3]Sheet1!$A:$C,3,0),VLOOKUP(INT(LEFT($K527,FIND(",",$K527)-1)),[3]Sheet1!$A:$C,3,0)))</f>
        <v>2|2|1.43|0|0|0</v>
      </c>
      <c r="M527" s="80" t="str">
        <f t="shared" si="51"/>
        <v>143%</v>
      </c>
      <c r="N527" s="45" t="str">
        <f>IF(LEN($K527)-LEN(SUBSTITUTE($K527,",",""))=1,VLOOKUP(INT(RIGHT($K527,LEN($K527)-FIND(",",$K527))),[3]Sheet1!$A:$C,3,0),"")</f>
        <v/>
      </c>
      <c r="O527" s="45" t="str">
        <f t="shared" si="48"/>
        <v/>
      </c>
      <c r="P527" s="45" t="str">
        <f t="shared" si="44"/>
        <v>蝎子精发射自身毒刺，对范围内敌人造成自身攻击力143%的法伤，并使敌人中毒，持续6秒</v>
      </c>
      <c r="Q527" s="45" t="str">
        <f t="shared" si="49"/>
        <v>蝎子精发射自身毒刺，对范围内敌人造成自身攻击力143%的法伤，并使敌人中毒，持续6秒</v>
      </c>
      <c r="R527" s="45"/>
      <c r="S527" s="45" t="str">
        <f>IF(ISERROR($Q527),"进阶+"&amp;COUNTIF($E$194:$E527,$E527)&amp;"："&amp;"找ZC配技能","进阶+"&amp;COUNTIF($E$194:$E527,$E527)&amp;"："&amp;VLOOKUP(COUNTIF($E$194:$E527,$E527),$L$184:$R$193,IF(H527=1,4,IF(H527=4,3,2))+IF(INDEX([1]Sheet1!$1:$1048576,MATCH($E527,[1]Sheet1!$A:$A,0),MATCH("zizhi",[1]Sheet1!$2:$2,0))&gt;=13,0,3),0)&amp;IF($Q527="","","（"&amp;$Q527&amp;"）"))</f>
        <v>进阶+4：激活AI2技能（蝎子精发射自身毒刺，对范围内敌人造成自身攻击力143%的法伤，并使敌人中毒，持续6秒）</v>
      </c>
      <c r="T527" s="1"/>
      <c r="U527" s="1"/>
      <c r="V527" s="2" t="str">
        <f>VLOOKUP(COUNTIF($E$194:$E527,$E527),$L$184:$X$193,IF(H527=1,4,IF(H527=4,3,2))+IF(INDEX([1]Sheet1!$1:$1048576,MATCH($E527,[1]Sheet1!$A:$A,0),MATCH("zizhi",[1]Sheet1!$2:$2,0))&gt;=13,0,3)+6,0)</f>
        <v>[]</v>
      </c>
      <c r="W527" s="2" t="str">
        <f t="shared" si="47"/>
        <v>进阶+4：激活AI2技能（蝎子精发射自身毒刺，对范围内敌人造成自身攻击力143%的法伤，并使敌人中毒，持续6秒）</v>
      </c>
      <c r="X527" s="45" t="str">
        <f t="shared" si="45"/>
        <v>[]</v>
      </c>
      <c r="Y527" s="2"/>
      <c r="Z527" s="2"/>
      <c r="AA527" s="2"/>
    </row>
    <row r="528" spans="1:27">
      <c r="A528" s="10">
        <f>E528*100+COUNTIF($E$194:$E528,$E528)</f>
        <v>113105</v>
      </c>
      <c r="B528" s="68" t="s">
        <v>323</v>
      </c>
      <c r="C528" s="50" t="s">
        <v>140</v>
      </c>
      <c r="D528" s="10" t="str">
        <f t="shared" si="50"/>
        <v>[]</v>
      </c>
      <c r="E528" s="45">
        <f>INDEX($I:$I,MATCH($E527,$I:$I,0)+IF(COUNTIF($E$194:$E527,$E527)&lt;=VLOOKUP($E527,$I$134:$K$193,3,0)-1,0,1),0)</f>
        <v>1131</v>
      </c>
      <c r="F528" s="45" t="str">
        <f t="shared" si="46"/>
        <v>蝎子精</v>
      </c>
      <c r="H528" s="45">
        <f>VLOOKUP($E528,[1]Sheet1!$A:$G,7,0)</f>
        <v>2</v>
      </c>
      <c r="I528" s="45" t="str">
        <f>IF($G528="","",IF(COUNTIF(技能描述!$D:$D,$F528)&gt;0,VLOOKUP($F528&amp;$G528,技能描述!$A:$C,3,0),LEFT(VLOOKUP($E528,[1]Sheet1!$A:$J,10,0),FIND("_",VLOOKUP($E528,[1]Sheet1!$A:$J,10,0))-1)&amp;$G528))</f>
        <v/>
      </c>
      <c r="J528" s="45" t="str">
        <f>IF($I528="","",VLOOKUP($I528,技能描述!$A:$C,3,0))</f>
        <v/>
      </c>
      <c r="K528" s="45" t="str">
        <f>IF($I528="","",INDEX([2]Sheet1!$1:$1048576,MATCH($I528,[2]Sheet1!$A:$A,0),MATCH("description_damage",[2]Sheet1!$2:$2,0)))</f>
        <v/>
      </c>
      <c r="L528" s="80" t="str">
        <f>IF($K528="","",IF(LEN($K528)-LEN(SUBSTITUTE($K528,",",""))=0,VLOOKUP(INT($K528),[3]Sheet1!$A:$C,3,0),VLOOKUP(INT(LEFT($K528,FIND(",",$K528)-1)),[3]Sheet1!$A:$C,3,0)))</f>
        <v/>
      </c>
      <c r="M528" s="80" t="str">
        <f t="shared" si="51"/>
        <v/>
      </c>
      <c r="N528" s="45" t="str">
        <f>IF(LEN($K528)-LEN(SUBSTITUTE($K528,",",""))=1,VLOOKUP(INT(RIGHT($K528,LEN($K528)-FIND(",",$K528))),[3]Sheet1!$A:$C,3,0),"")</f>
        <v/>
      </c>
      <c r="O528" s="45" t="str">
        <f t="shared" si="48"/>
        <v/>
      </c>
      <c r="P528" s="45" t="str">
        <f t="shared" si="44"/>
        <v/>
      </c>
      <c r="Q528" s="45" t="str">
        <f t="shared" si="49"/>
        <v/>
      </c>
      <c r="R528" s="45"/>
      <c r="S528" s="45" t="str">
        <f>IF(ISERROR($Q528),"进阶+"&amp;COUNTIF($E$194:$E528,$E528)&amp;"："&amp;"找ZC配技能","进阶+"&amp;COUNTIF($E$194:$E528,$E528)&amp;"："&amp;VLOOKUP(COUNTIF($E$194:$E528,$E528),$L$184:$R$193,IF(H528=1,4,IF(H528=4,3,2))+IF(INDEX([1]Sheet1!$1:$1048576,MATCH($E528,[1]Sheet1!$A:$A,0),MATCH("zizhi",[1]Sheet1!$2:$2,0))&gt;=13,0,3),0)&amp;IF($Q528="","","（"&amp;$Q528&amp;"）"))</f>
        <v>进阶+5：生命，防御提高10%</v>
      </c>
      <c r="T528" s="1"/>
      <c r="U528" s="1"/>
      <c r="V528" s="2" t="str">
        <f>VLOOKUP(COUNTIF($E$194:$E528,$E528),$L$184:$X$193,IF(H528=1,4,IF(H528=4,3,2))+IF(INDEX([1]Sheet1!$1:$1048576,MATCH($E528,[1]Sheet1!$A:$A,0),MATCH("zizhi",[1]Sheet1!$2:$2,0))&gt;=13,0,3)+6,0)</f>
        <v>11090,6502,6512</v>
      </c>
      <c r="W528" s="2" t="str">
        <f t="shared" si="47"/>
        <v>进阶+5：生命，防御提高10%</v>
      </c>
      <c r="X528" s="45" t="str">
        <f t="shared" si="45"/>
        <v>11090,6502,6512</v>
      </c>
      <c r="Y528" s="2"/>
      <c r="Z528" s="2"/>
      <c r="AA528" s="2"/>
    </row>
    <row r="529" spans="1:27" ht="33">
      <c r="A529" s="10">
        <f>E529*100+COUNTIF($E$194:$E529,$E529)</f>
        <v>113106</v>
      </c>
      <c r="B529" s="68" t="s">
        <v>2053</v>
      </c>
      <c r="C529" s="50" t="s">
        <v>2</v>
      </c>
      <c r="D529" s="10">
        <f t="shared" si="50"/>
        <v>1</v>
      </c>
      <c r="E529" s="45">
        <f>INDEX($I:$I,MATCH($E528,$I:$I,0)+IF(COUNTIF($E$194:$E528,$E528)&lt;=VLOOKUP($E528,$I$134:$K$193,3,0)-1,0,1),0)</f>
        <v>1131</v>
      </c>
      <c r="F529" s="45" t="str">
        <f t="shared" si="46"/>
        <v>蝎子精</v>
      </c>
      <c r="G529" s="45" t="s">
        <v>218</v>
      </c>
      <c r="H529" s="45">
        <f>VLOOKUP($E529,[1]Sheet1!$A:$G,7,0)</f>
        <v>2</v>
      </c>
      <c r="I529" s="45" t="str">
        <f>IF($G529="","",IF(COUNTIF(技能描述!$D:$D,$F529)&gt;0,VLOOKUP($F529&amp;$G529,技能描述!$A:$C,3,0),LEFT(VLOOKUP($E529,[1]Sheet1!$A:$J,10,0),FIND("_",VLOOKUP($E529,[1]Sheet1!$A:$J,10,0))-1)&amp;$G529))</f>
        <v>xiezijing_skill011</v>
      </c>
      <c r="J529" s="45" t="str">
        <f>IF($I529="","",VLOOKUP($I529,技能描述!$A:$C,3,0))</f>
        <v>释放蝎子精弹奏的魔音，对全体敌人造成主角攻击力@s的法伤</v>
      </c>
      <c r="K529" s="45" t="str">
        <f>IF($I529="","",INDEX([2]Sheet1!$1:$1048576,MATCH($I529,[2]Sheet1!$A:$A,0),MATCH("description_damage",[2]Sheet1!$2:$2,0)))</f>
        <v>113105</v>
      </c>
      <c r="L529" s="80" t="str">
        <f>IF($K529="","",IF(LEN($K529)-LEN(SUBSTITUTE($K529,",",""))=0,VLOOKUP(INT($K529),[3]Sheet1!$A:$C,3,0),VLOOKUP(INT(LEFT($K529,FIND(",",$K529)-1)),[3]Sheet1!$A:$C,3,0)))</f>
        <v>2|2|5.7|0|0|0</v>
      </c>
      <c r="M529" s="80" t="str">
        <f t="shared" si="51"/>
        <v>570%</v>
      </c>
      <c r="N529" s="45" t="str">
        <f>IF(LEN($K529)-LEN(SUBSTITUTE($K529,",",""))=1,VLOOKUP(INT(RIGHT($K529,LEN($K529)-FIND(",",$K529))),[3]Sheet1!$A:$C,3,0),"")</f>
        <v/>
      </c>
      <c r="O529" s="45" t="str">
        <f t="shared" si="48"/>
        <v/>
      </c>
      <c r="P529" s="45" t="str">
        <f t="shared" si="44"/>
        <v>释放蝎子精弹奏的魔音，对全体敌人造成主角攻击力570%的法伤</v>
      </c>
      <c r="Q529" s="45" t="str">
        <f t="shared" si="49"/>
        <v>释放蝎子精弹奏的魔音，对全体敌人造成主角攻击力570%的法伤</v>
      </c>
      <c r="R529" s="45"/>
      <c r="S529" s="45" t="str">
        <f>IF(ISERROR($Q529),"进阶+"&amp;COUNTIF($E$194:$E529,$E529)&amp;"："&amp;"找ZC配技能","进阶+"&amp;COUNTIF($E$194:$E529,$E529)&amp;"："&amp;VLOOKUP(COUNTIF($E$194:$E529,$E529),$L$184:$R$193,IF(H529=1,4,IF(H529=4,3,2))+IF(INDEX([1]Sheet1!$1:$1048576,MATCH($E529,[1]Sheet1!$A:$A,0),MATCH("zizhi",[1]Sheet1!$2:$2,0))&gt;=13,0,3),0)&amp;IF($Q529="","","（"&amp;$Q529&amp;"）"))</f>
        <v>进阶+6：增强主角技能（释放蝎子精弹奏的魔音，对全体敌人造成主角攻击力570%的法伤）</v>
      </c>
      <c r="T529" s="1"/>
      <c r="U529" s="1"/>
      <c r="V529" s="2" t="str">
        <f>VLOOKUP(COUNTIF($E$194:$E529,$E529),$L$184:$X$193,IF(H529=1,4,IF(H529=4,3,2))+IF(INDEX([1]Sheet1!$1:$1048576,MATCH($E529,[1]Sheet1!$A:$A,0),MATCH("zizhi",[1]Sheet1!$2:$2,0))&gt;=13,0,3)+6,0)</f>
        <v>[]</v>
      </c>
      <c r="W529" s="2" t="str">
        <f t="shared" si="47"/>
        <v>进阶+6：增强主角技能（释放蝎子精弹奏的魔音，对全体敌人造成主角攻击力570%的法伤）</v>
      </c>
      <c r="X529" s="45" t="str">
        <f t="shared" si="45"/>
        <v>[]</v>
      </c>
      <c r="Y529" s="2"/>
      <c r="Z529" s="2"/>
      <c r="AA529" s="2"/>
    </row>
    <row r="530" spans="1:27">
      <c r="A530" s="10">
        <f>E530*100+COUNTIF($E$194:$E530,$E530)</f>
        <v>113107</v>
      </c>
      <c r="B530" s="68" t="s">
        <v>359</v>
      </c>
      <c r="C530" s="50" t="s">
        <v>353</v>
      </c>
      <c r="D530" s="10" t="str">
        <f t="shared" si="50"/>
        <v>[]</v>
      </c>
      <c r="E530" s="45">
        <f>INDEX($I:$I,MATCH($E529,$I:$I,0)+IF(COUNTIF($E$194:$E529,$E529)&lt;=VLOOKUP($E529,$I$134:$K$193,3,0)-1,0,1),0)</f>
        <v>1131</v>
      </c>
      <c r="F530" s="45" t="str">
        <f t="shared" si="46"/>
        <v>蝎子精</v>
      </c>
      <c r="H530" s="45">
        <f>VLOOKUP($E530,[1]Sheet1!$A:$G,7,0)</f>
        <v>2</v>
      </c>
      <c r="I530" s="45" t="str">
        <f>IF($G530="","",IF(COUNTIF(技能描述!$D:$D,$F530)&gt;0,VLOOKUP($F530&amp;$G530,技能描述!$A:$C,3,0),LEFT(VLOOKUP($E530,[1]Sheet1!$A:$J,10,0),FIND("_",VLOOKUP($E530,[1]Sheet1!$A:$J,10,0))-1)&amp;$G530))</f>
        <v/>
      </c>
      <c r="J530" s="45" t="str">
        <f>IF($I530="","",VLOOKUP($I530,技能描述!$A:$C,3,0))</f>
        <v/>
      </c>
      <c r="K530" s="45" t="str">
        <f>IF($I530="","",INDEX([2]Sheet1!$1:$1048576,MATCH($I530,[2]Sheet1!$A:$A,0),MATCH("description_damage",[2]Sheet1!$2:$2,0)))</f>
        <v/>
      </c>
      <c r="L530" s="80" t="str">
        <f>IF($K530="","",IF(LEN($K530)-LEN(SUBSTITUTE($K530,",",""))=0,VLOOKUP(INT($K530),[3]Sheet1!$A:$C,3,0),VLOOKUP(INT(LEFT($K530,FIND(",",$K530)-1)),[3]Sheet1!$A:$C,3,0)))</f>
        <v/>
      </c>
      <c r="M530" s="80" t="str">
        <f t="shared" si="51"/>
        <v/>
      </c>
      <c r="N530" s="45" t="str">
        <f>IF(LEN($K530)-LEN(SUBSTITUTE($K530,",",""))=1,VLOOKUP(INT(RIGHT($K530,LEN($K530)-FIND(",",$K530))),[3]Sheet1!$A:$C,3,0),"")</f>
        <v/>
      </c>
      <c r="O530" s="45" t="str">
        <f t="shared" si="48"/>
        <v/>
      </c>
      <c r="P530" s="45" t="str">
        <f t="shared" si="44"/>
        <v/>
      </c>
      <c r="Q530" s="45" t="str">
        <f t="shared" si="49"/>
        <v/>
      </c>
      <c r="R530" s="45"/>
      <c r="S530" s="45" t="str">
        <f>IF(ISERROR($Q530),"进阶+"&amp;COUNTIF($E$194:$E530,$E530)&amp;"："&amp;"找ZC配技能","进阶+"&amp;COUNTIF($E$194:$E530,$E530)&amp;"："&amp;VLOOKUP(COUNTIF($E$194:$E530,$E530),$L$184:$R$193,IF(H530=1,4,IF(H530=4,3,2))+IF(INDEX([1]Sheet1!$1:$1048576,MATCH($E530,[1]Sheet1!$A:$A,0),MATCH("zizhi",[1]Sheet1!$2:$2,0))&gt;=13,0,3),0)&amp;IF($Q530="","","（"&amp;$Q530&amp;"）"))</f>
        <v>进阶+7：全队攻击提高10%</v>
      </c>
      <c r="T530" s="1"/>
      <c r="U530" s="1"/>
      <c r="V530" s="2" t="str">
        <f>VLOOKUP(COUNTIF($E$194:$E530,$E530),$L$184:$X$193,IF(H530=1,4,IF(H530=4,3,2))+IF(INDEX([1]Sheet1!$1:$1048576,MATCH($E530,[1]Sheet1!$A:$A,0),MATCH("zizhi",[1]Sheet1!$2:$2,0))&gt;=13,0,3)+6,0)</f>
        <v>58010</v>
      </c>
      <c r="W530" s="2" t="str">
        <f t="shared" si="47"/>
        <v>进阶+7：全队攻击提高10%</v>
      </c>
      <c r="X530" s="45" t="str">
        <f t="shared" si="45"/>
        <v>58010</v>
      </c>
      <c r="Y530" s="2"/>
      <c r="Z530" s="2"/>
      <c r="AA530" s="2"/>
    </row>
    <row r="531" spans="1:27" ht="33">
      <c r="A531" s="10">
        <f>E531*100+COUNTIF($E$194:$E531,$E531)</f>
        <v>113108</v>
      </c>
      <c r="B531" s="68" t="s">
        <v>2054</v>
      </c>
      <c r="C531" s="50" t="s">
        <v>2</v>
      </c>
      <c r="D531" s="10">
        <f t="shared" si="50"/>
        <v>1</v>
      </c>
      <c r="E531" s="45">
        <f>INDEX($I:$I,MATCH($E530,$I:$I,0)+IF(COUNTIF($E$194:$E530,$E530)&lt;=VLOOKUP($E530,$I$134:$K$193,3,0)-1,0,1),0)</f>
        <v>1131</v>
      </c>
      <c r="F531" s="45" t="str">
        <f t="shared" si="46"/>
        <v>蝎子精</v>
      </c>
      <c r="G531" s="45" t="s">
        <v>219</v>
      </c>
      <c r="H531" s="45">
        <f>VLOOKUP($E531,[1]Sheet1!$A:$G,7,0)</f>
        <v>2</v>
      </c>
      <c r="I531" s="45" t="str">
        <f>IF($G531="","",IF(COUNTIF(技能描述!$D:$D,$F531)&gt;0,VLOOKUP($F531&amp;$G531,技能描述!$A:$C,3,0),LEFT(VLOOKUP($E531,[1]Sheet1!$A:$J,10,0),FIND("_",VLOOKUP($E531,[1]Sheet1!$A:$J,10,0))-1)&amp;$G531))</f>
        <v>xiezijing_skill021</v>
      </c>
      <c r="J531" s="45" t="str">
        <f>IF($I531="","",VLOOKUP($I531,技能描述!$A:$C,3,0))</f>
        <v>蝎子精拨弦产生一道旋风，对范围内敌人造成自身攻击力@s的法伤，40%的概率魅惑目标2秒</v>
      </c>
      <c r="K531" s="45" t="str">
        <f>IF($I531="","",INDEX([2]Sheet1!$1:$1048576,MATCH($I531,[2]Sheet1!$A:$A,0),MATCH("description_damage",[2]Sheet1!$2:$2,0)))</f>
        <v>113106</v>
      </c>
      <c r="L531" s="80" t="str">
        <f>IF($K531="","",IF(LEN($K531)-LEN(SUBSTITUTE($K531,",",""))=0,VLOOKUP(INT($K531),[3]Sheet1!$A:$C,3,0),VLOOKUP(INT(LEFT($K531,FIND(",",$K531)-1)),[3]Sheet1!$A:$C,3,0)))</f>
        <v>2|2|3.42|0|0|0</v>
      </c>
      <c r="M531" s="80" t="str">
        <f t="shared" si="51"/>
        <v>342%</v>
      </c>
      <c r="N531" s="45" t="str">
        <f>IF(LEN($K531)-LEN(SUBSTITUTE($K531,",",""))=1,VLOOKUP(INT(RIGHT($K531,LEN($K531)-FIND(",",$K531))),[3]Sheet1!$A:$C,3,0),"")</f>
        <v/>
      </c>
      <c r="O531" s="45" t="str">
        <f t="shared" si="48"/>
        <v/>
      </c>
      <c r="P531" s="45" t="str">
        <f t="shared" si="44"/>
        <v>蝎子精拨弦产生一道旋风，对范围内敌人造成自身攻击力342%的法伤，40%的概率魅惑目标2秒</v>
      </c>
      <c r="Q531" s="45" t="str">
        <f t="shared" si="49"/>
        <v>蝎子精拨弦产生一道旋风，对范围内敌人造成自身攻击力342%的法伤，40%的概率魅惑目标2秒</v>
      </c>
      <c r="R531" s="45"/>
      <c r="S531" s="45" t="str">
        <f>IF(ISERROR($Q531),"进阶+"&amp;COUNTIF($E$194:$E531,$E531)&amp;"："&amp;"找ZC配技能","进阶+"&amp;COUNTIF($E$194:$E531,$E531)&amp;"："&amp;VLOOKUP(COUNTIF($E$194:$E531,$E531),$L$184:$R$193,IF(H531=1,4,IF(H531=4,3,2))+IF(INDEX([1]Sheet1!$1:$1048576,MATCH($E531,[1]Sheet1!$A:$A,0),MATCH("zizhi",[1]Sheet1!$2:$2,0))&gt;=13,0,3),0)&amp;IF($Q531="","","（"&amp;$Q531&amp;"）"))</f>
        <v>进阶+8：增强AI1技能（蝎子精拨弦产生一道旋风，对范围内敌人造成自身攻击力342%的法伤，40%的概率魅惑目标2秒）</v>
      </c>
      <c r="T531" s="1"/>
      <c r="U531" s="1"/>
      <c r="V531" s="2" t="str">
        <f>VLOOKUP(COUNTIF($E$194:$E531,$E531),$L$184:$X$193,IF(H531=1,4,IF(H531=4,3,2))+IF(INDEX([1]Sheet1!$1:$1048576,MATCH($E531,[1]Sheet1!$A:$A,0),MATCH("zizhi",[1]Sheet1!$2:$2,0))&gt;=13,0,3)+6,0)</f>
        <v>[]</v>
      </c>
      <c r="W531" s="2" t="str">
        <f t="shared" si="47"/>
        <v>进阶+8：增强AI1技能（蝎子精拨弦产生一道旋风，对范围内敌人造成自身攻击力342%的法伤，40%的概率魅惑目标2秒）</v>
      </c>
      <c r="X531" s="45" t="str">
        <f t="shared" si="45"/>
        <v>[]</v>
      </c>
      <c r="Y531" s="2"/>
      <c r="Z531" s="2"/>
      <c r="AA531" s="2"/>
    </row>
    <row r="532" spans="1:27">
      <c r="A532" s="10">
        <f>E532*100+COUNTIF($E$194:$E532,$E532)</f>
        <v>113109</v>
      </c>
      <c r="B532" s="68" t="s">
        <v>1899</v>
      </c>
      <c r="C532" s="50" t="s">
        <v>2085</v>
      </c>
      <c r="D532" s="10" t="str">
        <f t="shared" si="50"/>
        <v>[]</v>
      </c>
      <c r="E532" s="45">
        <f>INDEX($I:$I,MATCH($E531,$I:$I,0)+IF(COUNTIF($E$194:$E531,$E531)&lt;=VLOOKUP($E531,$I$134:$K$193,3,0)-1,0,1),0)</f>
        <v>1131</v>
      </c>
      <c r="F532" s="45" t="str">
        <f t="shared" si="46"/>
        <v>蝎子精</v>
      </c>
      <c r="H532" s="45">
        <f>VLOOKUP($E532,[1]Sheet1!$A:$G,7,0)</f>
        <v>2</v>
      </c>
      <c r="I532" s="45" t="str">
        <f>IF($G532="","",IF(COUNTIF(技能描述!$D:$D,$F532)&gt;0,VLOOKUP($F532&amp;$G532,技能描述!$A:$C,3,0),LEFT(VLOOKUP($E532,[1]Sheet1!$A:$J,10,0),FIND("_",VLOOKUP($E532,[1]Sheet1!$A:$J,10,0))-1)&amp;$G532))</f>
        <v/>
      </c>
      <c r="J532" s="45" t="str">
        <f>IF($I532="","",VLOOKUP($I532,技能描述!$A:$C,3,0))</f>
        <v/>
      </c>
      <c r="K532" s="45" t="str">
        <f>IF($I532="","",INDEX([2]Sheet1!$1:$1048576,MATCH($I532,[2]Sheet1!$A:$A,0),MATCH("description_damage",[2]Sheet1!$2:$2,0)))</f>
        <v/>
      </c>
      <c r="L532" s="80" t="str">
        <f>IF($K532="","",IF(LEN($K532)-LEN(SUBSTITUTE($K532,",",""))=0,VLOOKUP(INT($K532),[3]Sheet1!$A:$C,3,0),VLOOKUP(INT(LEFT($K532,FIND(",",$K532)-1)),[3]Sheet1!$A:$C,3,0)))</f>
        <v/>
      </c>
      <c r="M532" s="80" t="str">
        <f t="shared" si="51"/>
        <v/>
      </c>
      <c r="N532" s="45" t="str">
        <f>IF(LEN($K532)-LEN(SUBSTITUTE($K532,",",""))=1,VLOOKUP(INT(RIGHT($K532,LEN($K532)-FIND(",",$K532))),[3]Sheet1!$A:$C,3,0),"")</f>
        <v/>
      </c>
      <c r="O532" s="45" t="str">
        <f t="shared" si="48"/>
        <v/>
      </c>
      <c r="P532" s="45" t="str">
        <f t="shared" si="44"/>
        <v/>
      </c>
      <c r="Q532" s="45" t="str">
        <f t="shared" si="49"/>
        <v/>
      </c>
      <c r="R532" s="45"/>
      <c r="S532" s="45" t="str">
        <f>IF(ISERROR($Q532),"进阶+"&amp;COUNTIF($E$194:$E532,$E532)&amp;"："&amp;"找ZC配技能","进阶+"&amp;COUNTIF($E$194:$E532,$E532)&amp;"："&amp;VLOOKUP(COUNTIF($E$194:$E532,$E532),$L$184:$R$193,IF(H532=1,4,IF(H532=4,3,2))+IF(INDEX([1]Sheet1!$1:$1048576,MATCH($E532,[1]Sheet1!$A:$A,0),MATCH("zizhi",[1]Sheet1!$2:$2,0))&gt;=13,0,3),0)&amp;IF($Q532="","","（"&amp;$Q532&amp;"）"))</f>
        <v>进阶+9：全队攻击提高15%</v>
      </c>
      <c r="T532" s="1"/>
      <c r="U532" s="1"/>
      <c r="V532" s="2" t="str">
        <f>VLOOKUP(COUNTIF($E$194:$E532,$E532),$L$184:$X$193,IF(H532=1,4,IF(H532=4,3,2))+IF(INDEX([1]Sheet1!$1:$1048576,MATCH($E532,[1]Sheet1!$A:$A,0),MATCH("zizhi",[1]Sheet1!$2:$2,0))&gt;=13,0,3)+6,0)</f>
        <v>58015</v>
      </c>
      <c r="W532" s="2" t="str">
        <f t="shared" si="47"/>
        <v>进阶+9：全队攻击提高15%</v>
      </c>
      <c r="X532" s="45" t="str">
        <f t="shared" si="45"/>
        <v>58015</v>
      </c>
      <c r="Y532" s="2"/>
      <c r="Z532" s="2"/>
      <c r="AA532" s="2"/>
    </row>
    <row r="533" spans="1:27" ht="33">
      <c r="A533" s="10">
        <f>E533*100+COUNTIF($E$194:$E533,$E533)</f>
        <v>113110</v>
      </c>
      <c r="B533" s="68" t="s">
        <v>1924</v>
      </c>
      <c r="C533" s="50" t="s">
        <v>2</v>
      </c>
      <c r="D533" s="10">
        <f t="shared" si="50"/>
        <v>1</v>
      </c>
      <c r="E533" s="45">
        <f>INDEX($I:$I,MATCH($E532,$I:$I,0)+IF(COUNTIF($E$194:$E532,$E532)&lt;=VLOOKUP($E532,$I$134:$K$193,3,0)-1,0,1),0)</f>
        <v>1131</v>
      </c>
      <c r="F533" s="45" t="str">
        <f t="shared" si="46"/>
        <v>蝎子精</v>
      </c>
      <c r="G533" s="45" t="s">
        <v>220</v>
      </c>
      <c r="H533" s="45">
        <f>VLOOKUP($E533,[1]Sheet1!$A:$G,7,0)</f>
        <v>2</v>
      </c>
      <c r="I533" s="45" t="str">
        <f>IF($G533="","",IF(COUNTIF(技能描述!$D:$D,$F533)&gt;0,VLOOKUP($F533&amp;$G533,技能描述!$A:$C,3,0),LEFT(VLOOKUP($E533,[1]Sheet1!$A:$J,10,0),FIND("_",VLOOKUP($E533,[1]Sheet1!$A:$J,10,0))-1)&amp;$G533))</f>
        <v>xiezijing_skill041</v>
      </c>
      <c r="J533" s="45" t="str">
        <f>IF($I533="","",VLOOKUP($I533,技能描述!$A:$C,3,0))</f>
        <v>蝎子精发射自身毒刺，对范围内敌人造成自身攻击力@s的法伤，并使敌人中毒，持续6秒</v>
      </c>
      <c r="K533" s="45" t="str">
        <f>IF($I533="","",INDEX([2]Sheet1!$1:$1048576,MATCH($I533,[2]Sheet1!$A:$A,0),MATCH("description_damage",[2]Sheet1!$2:$2,0)))</f>
        <v>113107</v>
      </c>
      <c r="L533" s="80" t="str">
        <f>IF($K533="","",IF(LEN($K533)-LEN(SUBSTITUTE($K533,",",""))=0,VLOOKUP(INT($K533),[3]Sheet1!$A:$C,3,0),VLOOKUP(INT(LEFT($K533,FIND(",",$K533)-1)),[3]Sheet1!$A:$C,3,0)))</f>
        <v>2|2|2|0|0|0</v>
      </c>
      <c r="M533" s="80" t="str">
        <f t="shared" si="51"/>
        <v>200%</v>
      </c>
      <c r="N533" s="45" t="str">
        <f>IF(LEN($K533)-LEN(SUBSTITUTE($K533,",",""))=1,VLOOKUP(INT(RIGHT($K533,LEN($K533)-FIND(",",$K533))),[3]Sheet1!$A:$C,3,0),"")</f>
        <v/>
      </c>
      <c r="O533" s="45" t="str">
        <f t="shared" si="48"/>
        <v/>
      </c>
      <c r="P533" s="45" t="str">
        <f t="shared" si="44"/>
        <v>蝎子精发射自身毒刺，对范围内敌人造成自身攻击力200%的法伤，并使敌人中毒，持续6秒</v>
      </c>
      <c r="Q533" s="45" t="str">
        <f t="shared" si="49"/>
        <v>蝎子精发射自身毒刺，对范围内敌人造成自身攻击力200%的法伤，并使敌人中毒，持续6秒</v>
      </c>
      <c r="R533" s="45"/>
      <c r="S533" s="45" t="str">
        <f>IF(ISERROR($Q533),"进阶+"&amp;COUNTIF($E$194:$E533,$E533)&amp;"："&amp;"找ZC配技能","进阶+"&amp;COUNTIF($E$194:$E533,$E533)&amp;"："&amp;VLOOKUP(COUNTIF($E$194:$E533,$E533),$L$184:$R$193,IF(H533=1,4,IF(H533=4,3,2))+IF(INDEX([1]Sheet1!$1:$1048576,MATCH($E533,[1]Sheet1!$A:$A,0),MATCH("zizhi",[1]Sheet1!$2:$2,0))&gt;=13,0,3),0)&amp;IF($Q533="","","（"&amp;$Q533&amp;"）"))</f>
        <v>进阶+10：增强AI2技能（蝎子精发射自身毒刺，对范围内敌人造成自身攻击力200%的法伤，并使敌人中毒，持续6秒）</v>
      </c>
      <c r="T533" s="1"/>
      <c r="U533" s="1"/>
      <c r="V533" s="2" t="str">
        <f>VLOOKUP(COUNTIF($E$194:$E533,$E533),$L$184:$X$193,IF(H533=1,4,IF(H533=4,3,2))+IF(INDEX([1]Sheet1!$1:$1048576,MATCH($E533,[1]Sheet1!$A:$A,0),MATCH("zizhi",[1]Sheet1!$2:$2,0))&gt;=13,0,3)+6,0)</f>
        <v>[]</v>
      </c>
      <c r="W533" s="2" t="str">
        <f t="shared" si="47"/>
        <v>进阶+10：增强AI2技能（蝎子精发射自身毒刺，对范围内敌人造成自身攻击力200%的法伤，并使敌人中毒，持续6秒）</v>
      </c>
      <c r="X533" s="45" t="str">
        <f t="shared" si="45"/>
        <v>[]</v>
      </c>
      <c r="Y533" s="2"/>
      <c r="Z533" s="2"/>
      <c r="AA533" s="2"/>
    </row>
    <row r="534" spans="1:27">
      <c r="A534" s="10">
        <f>E534*100+COUNTIF($E$194:$E534,$E534)</f>
        <v>113701</v>
      </c>
      <c r="B534" s="68" t="s">
        <v>310</v>
      </c>
      <c r="C534" s="50" t="s">
        <v>127</v>
      </c>
      <c r="D534" s="10" t="str">
        <f t="shared" si="50"/>
        <v>[]</v>
      </c>
      <c r="E534" s="45">
        <f>INDEX($I:$I,MATCH($E533,$I:$I,0)+IF(COUNTIF($E$194:$E533,$E533)&lt;=VLOOKUP($E533,$I$134:$K$193,3,0)-1,0,1),0)</f>
        <v>1137</v>
      </c>
      <c r="F534" s="45" t="str">
        <f t="shared" si="46"/>
        <v>蜘蛛精</v>
      </c>
      <c r="H534" s="45">
        <f>VLOOKUP($E534,[1]Sheet1!$A:$G,7,0)</f>
        <v>3</v>
      </c>
      <c r="I534" s="45" t="str">
        <f>IF($G534="","",IF(COUNTIF(技能描述!$D:$D,$F534)&gt;0,VLOOKUP($F534&amp;$G534,技能描述!$A:$C,3,0),LEFT(VLOOKUP($E534,[1]Sheet1!$A:$J,10,0),FIND("_",VLOOKUP($E534,[1]Sheet1!$A:$J,10,0))-1)&amp;$G534))</f>
        <v/>
      </c>
      <c r="J534" s="45" t="str">
        <f>IF($I534="","",VLOOKUP($I534,技能描述!$A:$C,3,0))</f>
        <v/>
      </c>
      <c r="K534" s="45" t="str">
        <f>IF($I534="","",INDEX([2]Sheet1!$1:$1048576,MATCH($I534,[2]Sheet1!$A:$A,0),MATCH("description_damage",[2]Sheet1!$2:$2,0)))</f>
        <v/>
      </c>
      <c r="L534" s="80" t="str">
        <f>IF($K534="","",IF(LEN($K534)-LEN(SUBSTITUTE($K534,",",""))=0,VLOOKUP(INT($K534),[3]Sheet1!$A:$C,3,0),VLOOKUP(INT(LEFT($K534,FIND(",",$K534)-1)),[3]Sheet1!$A:$C,3,0)))</f>
        <v/>
      </c>
      <c r="M534" s="80" t="str">
        <f t="shared" si="51"/>
        <v/>
      </c>
      <c r="N534" s="45" t="str">
        <f>IF(LEN($K534)-LEN(SUBSTITUTE($K534,",",""))=1,VLOOKUP(INT(RIGHT($K534,LEN($K534)-FIND(",",$K534))),[3]Sheet1!$A:$C,3,0),"")</f>
        <v/>
      </c>
      <c r="O534" s="45" t="str">
        <f t="shared" si="48"/>
        <v/>
      </c>
      <c r="P534" s="45" t="str">
        <f t="shared" si="44"/>
        <v/>
      </c>
      <c r="Q534" s="45" t="str">
        <f t="shared" si="49"/>
        <v/>
      </c>
      <c r="R534" s="45"/>
      <c r="S534" s="45" t="str">
        <f>IF(ISERROR($Q534),"进阶+"&amp;COUNTIF($E$194:$E534,$E534)&amp;"："&amp;"找ZC配技能","进阶+"&amp;COUNTIF($E$194:$E534,$E534)&amp;"："&amp;VLOOKUP(COUNTIF($E$194:$E534,$E534),$L$184:$R$193,IF(H534=1,4,IF(H534=4,3,2))+IF(INDEX([1]Sheet1!$1:$1048576,MATCH($E534,[1]Sheet1!$A:$A,0),MATCH("zizhi",[1]Sheet1!$2:$2,0))&gt;=13,0,3),0)&amp;IF($Q534="","","（"&amp;$Q534&amp;"）"))</f>
        <v>进阶+1：攻击提高10%</v>
      </c>
      <c r="T534" s="1"/>
      <c r="U534" s="1"/>
      <c r="V534" s="2" t="str">
        <f>VLOOKUP(COUNTIF($E$194:$E534,$E534),$L$184:$X$193,IF(H534=1,4,IF(H534=4,3,2))+IF(INDEX([1]Sheet1!$1:$1048576,MATCH($E534,[1]Sheet1!$A:$A,0),MATCH("zizhi",[1]Sheet1!$2:$2,0))&gt;=13,0,3)+6,0)</f>
        <v>11050</v>
      </c>
      <c r="W534" s="2" t="str">
        <f t="shared" si="47"/>
        <v>进阶+1：攻击提高10%</v>
      </c>
      <c r="X534" s="45" t="str">
        <f t="shared" si="45"/>
        <v>11050</v>
      </c>
      <c r="Y534" s="2"/>
      <c r="Z534" s="2"/>
      <c r="AA534" s="2"/>
    </row>
    <row r="535" spans="1:27">
      <c r="A535" s="10">
        <f>E535*100+COUNTIF($E$194:$E535,$E535)</f>
        <v>113702</v>
      </c>
      <c r="B535" s="68" t="s">
        <v>341</v>
      </c>
      <c r="C535" s="50" t="s">
        <v>2</v>
      </c>
      <c r="D535" s="10">
        <f t="shared" si="50"/>
        <v>1</v>
      </c>
      <c r="E535" s="45">
        <f>INDEX($I:$I,MATCH($E534,$I:$I,0)+IF(COUNTIF($E$194:$E534,$E534)&lt;=VLOOKUP($E534,$I$134:$K$193,3,0)-1,0,1),0)</f>
        <v>1137</v>
      </c>
      <c r="F535" s="45" t="str">
        <f t="shared" si="46"/>
        <v>蜘蛛精</v>
      </c>
      <c r="G535" s="45" t="s">
        <v>216</v>
      </c>
      <c r="H535" s="45">
        <f>VLOOKUP($E535,[1]Sheet1!$A:$G,7,0)</f>
        <v>3</v>
      </c>
      <c r="I535" s="45" t="str">
        <f>IF($G535="","",IF(COUNTIF(技能描述!$D:$D,$F535)&gt;0,VLOOKUP($F535&amp;$G535,技能描述!$A:$C,3,0),LEFT(VLOOKUP($E535,[1]Sheet1!$A:$J,10,0),FIND("_",VLOOKUP($E535,[1]Sheet1!$A:$J,10,0))-1)&amp;$G535))</f>
        <v>zhizhujing_skill03</v>
      </c>
      <c r="J535" s="45" t="str">
        <f>IF($I535="","",VLOOKUP($I535,技能描述!$A:$C,3,0))</f>
        <v>进入战斗场景时，提高自身闪避@s</v>
      </c>
      <c r="K535" s="45" t="str">
        <f>IF($I535="","",INDEX([2]Sheet1!$1:$1048576,MATCH($I535,[2]Sheet1!$A:$A,0),MATCH("description_damage",[2]Sheet1!$2:$2,0)))</f>
        <v>9020</v>
      </c>
      <c r="L535" s="80" t="str">
        <f>IF($K535="","",IF(LEN($K535)-LEN(SUBSTITUTE($K535,",",""))=0,VLOOKUP(INT($K535),[3]Sheet1!$A:$C,3,0),VLOOKUP(INT(LEFT($K535,FIND(",",$K535)-1)),[3]Sheet1!$A:$C,3,0)))</f>
        <v>4|3|0.2|0|1</v>
      </c>
      <c r="M535" s="80" t="str">
        <f t="shared" si="51"/>
        <v>20%</v>
      </c>
      <c r="N535" s="45" t="str">
        <f>IF(LEN($K535)-LEN(SUBSTITUTE($K535,",",""))=1,VLOOKUP(INT(RIGHT($K535,LEN($K535)-FIND(",",$K535))),[3]Sheet1!$A:$C,3,0),"")</f>
        <v/>
      </c>
      <c r="O535" s="45" t="str">
        <f t="shared" si="48"/>
        <v/>
      </c>
      <c r="P535" s="45" t="str">
        <f t="shared" si="44"/>
        <v>进入战斗场景时，提高自身闪避20%</v>
      </c>
      <c r="Q535" s="45" t="str">
        <f t="shared" si="49"/>
        <v>进入战斗场景时，提高自身闪避20%</v>
      </c>
      <c r="R535" s="45"/>
      <c r="S535" s="45" t="str">
        <f>IF(ISERROR($Q535),"进阶+"&amp;COUNTIF($E$194:$E535,$E535)&amp;"："&amp;"找ZC配技能","进阶+"&amp;COUNTIF($E$194:$E535,$E535)&amp;"："&amp;VLOOKUP(COUNTIF($E$194:$E535,$E535),$L$184:$R$193,IF(H535=1,4,IF(H535=4,3,2))+IF(INDEX([1]Sheet1!$1:$1048576,MATCH($E535,[1]Sheet1!$A:$A,0),MATCH("zizhi",[1]Sheet1!$2:$2,0))&gt;=13,0,3),0)&amp;IF($Q535="","","（"&amp;$Q535&amp;"）"))</f>
        <v>进阶+2：激活被动技能（进入战斗场景时，提高自身闪避20%）</v>
      </c>
      <c r="T535" s="1"/>
      <c r="U535" s="1"/>
      <c r="V535" s="2" t="str">
        <f>VLOOKUP(COUNTIF($E$194:$E535,$E535),$L$184:$X$193,IF(H535=1,4,IF(H535=4,3,2))+IF(INDEX([1]Sheet1!$1:$1048576,MATCH($E535,[1]Sheet1!$A:$A,0),MATCH("zizhi",[1]Sheet1!$2:$2,0))&gt;=13,0,3)+6,0)</f>
        <v>[]</v>
      </c>
      <c r="W535" s="2" t="str">
        <f t="shared" si="47"/>
        <v>进阶+2：激活被动技能（进入战斗场景时，提高自身闪避20%）</v>
      </c>
      <c r="X535" s="45" t="str">
        <f t="shared" si="45"/>
        <v>[]</v>
      </c>
      <c r="Y535" s="2"/>
      <c r="Z535" s="2"/>
      <c r="AA535" s="2"/>
    </row>
    <row r="536" spans="1:27">
      <c r="A536" s="10">
        <f>E536*100+COUNTIF($E$194:$E536,$E536)</f>
        <v>113703</v>
      </c>
      <c r="B536" s="68" t="s">
        <v>312</v>
      </c>
      <c r="C536" s="50" t="s">
        <v>127</v>
      </c>
      <c r="D536" s="10" t="str">
        <f t="shared" si="50"/>
        <v>[]</v>
      </c>
      <c r="E536" s="45">
        <f>INDEX($I:$I,MATCH($E535,$I:$I,0)+IF(COUNTIF($E$194:$E535,$E535)&lt;=VLOOKUP($E535,$I$134:$K$193,3,0)-1,0,1),0)</f>
        <v>1137</v>
      </c>
      <c r="F536" s="45" t="str">
        <f t="shared" si="46"/>
        <v>蜘蛛精</v>
      </c>
      <c r="H536" s="45">
        <f>VLOOKUP($E536,[1]Sheet1!$A:$G,7,0)</f>
        <v>3</v>
      </c>
      <c r="I536" s="45" t="str">
        <f>IF($G536="","",IF(COUNTIF(技能描述!$D:$D,$F536)&gt;0,VLOOKUP($F536&amp;$G536,技能描述!$A:$C,3,0),LEFT(VLOOKUP($E536,[1]Sheet1!$A:$J,10,0),FIND("_",VLOOKUP($E536,[1]Sheet1!$A:$J,10,0))-1)&amp;$G536))</f>
        <v/>
      </c>
      <c r="J536" s="45" t="str">
        <f>IF($I536="","",VLOOKUP($I536,技能描述!$A:$C,3,0))</f>
        <v/>
      </c>
      <c r="K536" s="45" t="str">
        <f>IF($I536="","",INDEX([2]Sheet1!$1:$1048576,MATCH($I536,[2]Sheet1!$A:$A,0),MATCH("description_damage",[2]Sheet1!$2:$2,0)))</f>
        <v/>
      </c>
      <c r="L536" s="80" t="str">
        <f>IF($K536="","",IF(LEN($K536)-LEN(SUBSTITUTE($K536,",",""))=0,VLOOKUP(INT($K536),[3]Sheet1!$A:$C,3,0),VLOOKUP(INT(LEFT($K536,FIND(",",$K536)-1)),[3]Sheet1!$A:$C,3,0)))</f>
        <v/>
      </c>
      <c r="M536" s="80" t="str">
        <f t="shared" si="51"/>
        <v/>
      </c>
      <c r="N536" s="45" t="str">
        <f>IF(LEN($K536)-LEN(SUBSTITUTE($K536,",",""))=1,VLOOKUP(INT(RIGHT($K536,LEN($K536)-FIND(",",$K536))),[3]Sheet1!$A:$C,3,0),"")</f>
        <v/>
      </c>
      <c r="O536" s="45" t="str">
        <f t="shared" si="48"/>
        <v/>
      </c>
      <c r="P536" s="45" t="str">
        <f t="shared" si="44"/>
        <v/>
      </c>
      <c r="Q536" s="45" t="str">
        <f t="shared" si="49"/>
        <v/>
      </c>
      <c r="R536" s="45"/>
      <c r="S536" s="45" t="str">
        <f>IF(ISERROR($Q536),"进阶+"&amp;COUNTIF($E$194:$E536,$E536)&amp;"："&amp;"找ZC配技能","进阶+"&amp;COUNTIF($E$194:$E536,$E536)&amp;"："&amp;VLOOKUP(COUNTIF($E$194:$E536,$E536),$L$184:$R$193,IF(H536=1,4,IF(H536=4,3,2))+IF(INDEX([1]Sheet1!$1:$1048576,MATCH($E536,[1]Sheet1!$A:$A,0),MATCH("zizhi",[1]Sheet1!$2:$2,0))&gt;=13,0,3),0)&amp;IF($Q536="","","（"&amp;$Q536&amp;"）"))</f>
        <v>进阶+3：攻击提高10%</v>
      </c>
      <c r="T536" s="1"/>
      <c r="U536" s="1"/>
      <c r="V536" s="2" t="str">
        <f>VLOOKUP(COUNTIF($E$194:$E536,$E536),$L$184:$X$193,IF(H536=1,4,IF(H536=4,3,2))+IF(INDEX([1]Sheet1!$1:$1048576,MATCH($E536,[1]Sheet1!$A:$A,0),MATCH("zizhi",[1]Sheet1!$2:$2,0))&gt;=13,0,3)+6,0)</f>
        <v>11050</v>
      </c>
      <c r="W536" s="2" t="str">
        <f t="shared" si="47"/>
        <v>进阶+3：攻击提高10%</v>
      </c>
      <c r="X536" s="45" t="str">
        <f t="shared" si="45"/>
        <v>11050</v>
      </c>
      <c r="Y536" s="2"/>
      <c r="Z536" s="2"/>
      <c r="AA536" s="2"/>
    </row>
    <row r="537" spans="1:27" ht="33">
      <c r="A537" s="10">
        <f>E537*100+COUNTIF($E$194:$E537,$E537)</f>
        <v>113704</v>
      </c>
      <c r="B537" s="68" t="s">
        <v>1879</v>
      </c>
      <c r="C537" s="50" t="s">
        <v>2</v>
      </c>
      <c r="D537" s="10">
        <f t="shared" si="50"/>
        <v>1</v>
      </c>
      <c r="E537" s="45">
        <f>INDEX($I:$I,MATCH($E536,$I:$I,0)+IF(COUNTIF($E$194:$E536,$E536)&lt;=VLOOKUP($E536,$I$134:$K$193,3,0)-1,0,1),0)</f>
        <v>1137</v>
      </c>
      <c r="F537" s="45" t="str">
        <f t="shared" si="46"/>
        <v>蜘蛛精</v>
      </c>
      <c r="G537" s="45" t="s">
        <v>217</v>
      </c>
      <c r="H537" s="45">
        <f>VLOOKUP($E537,[1]Sheet1!$A:$G,7,0)</f>
        <v>3</v>
      </c>
      <c r="I537" s="45" t="str">
        <f>IF($G537="","",IF(COUNTIF(技能描述!$D:$D,$F537)&gt;0,VLOOKUP($F537&amp;$G537,技能描述!$A:$C,3,0),LEFT(VLOOKUP($E537,[1]Sheet1!$A:$J,10,0),FIND("_",VLOOKUP($E537,[1]Sheet1!$A:$J,10,0))-1)&amp;$G537))</f>
        <v>zhizhujing_skill04</v>
      </c>
      <c r="J537" s="45" t="str">
        <f>IF($I537="","",VLOOKUP($I537,技能描述!$A:$C,3,0))</f>
        <v>蜘蛛精用自身剧毒对范围内敌人造成自身攻击力@s的物伤，并使敌人中毒，持续6秒</v>
      </c>
      <c r="K537" s="45" t="str">
        <f>IF($I537="","",INDEX([2]Sheet1!$1:$1048576,MATCH($I537,[2]Sheet1!$A:$A,0),MATCH("description_damage",[2]Sheet1!$2:$2,0)))</f>
        <v>113704</v>
      </c>
      <c r="L537" s="80" t="str">
        <f>IF($K537="","",IF(LEN($K537)-LEN(SUBSTITUTE($K537,",",""))=0,VLOOKUP(INT($K537),[3]Sheet1!$A:$C,3,0),VLOOKUP(INT(LEFT($K537,FIND(",",$K537)-1)),[3]Sheet1!$A:$C,3,0)))</f>
        <v>2|1|1.43|0|0|0</v>
      </c>
      <c r="M537" s="80" t="str">
        <f t="shared" si="51"/>
        <v>143%</v>
      </c>
      <c r="N537" s="45" t="str">
        <f>IF(LEN($K537)-LEN(SUBSTITUTE($K537,",",""))=1,VLOOKUP(INT(RIGHT($K537,LEN($K537)-FIND(",",$K537))),[3]Sheet1!$A:$C,3,0),"")</f>
        <v/>
      </c>
      <c r="O537" s="45" t="str">
        <f t="shared" si="48"/>
        <v/>
      </c>
      <c r="P537" s="45" t="str">
        <f t="shared" si="44"/>
        <v>蜘蛛精用自身剧毒对范围内敌人造成自身攻击力143%的物伤，并使敌人中毒，持续6秒</v>
      </c>
      <c r="Q537" s="45" t="str">
        <f t="shared" si="49"/>
        <v>蜘蛛精用自身剧毒对范围内敌人造成自身攻击力143%的物伤，并使敌人中毒，持续6秒</v>
      </c>
      <c r="R537" s="45"/>
      <c r="S537" s="45" t="str">
        <f>IF(ISERROR($Q537),"进阶+"&amp;COUNTIF($E$194:$E537,$E537)&amp;"："&amp;"找ZC配技能","进阶+"&amp;COUNTIF($E$194:$E537,$E537)&amp;"："&amp;VLOOKUP(COUNTIF($E$194:$E537,$E537),$L$184:$R$193,IF(H537=1,4,IF(H537=4,3,2))+IF(INDEX([1]Sheet1!$1:$1048576,MATCH($E537,[1]Sheet1!$A:$A,0),MATCH("zizhi",[1]Sheet1!$2:$2,0))&gt;=13,0,3),0)&amp;IF($Q537="","","（"&amp;$Q537&amp;"）"))</f>
        <v>进阶+4：激活AI2技能（蜘蛛精用自身剧毒对范围内敌人造成自身攻击力143%的物伤，并使敌人中毒，持续6秒）</v>
      </c>
      <c r="T537" s="1"/>
      <c r="U537" s="1"/>
      <c r="V537" s="2" t="str">
        <f>VLOOKUP(COUNTIF($E$194:$E537,$E537),$L$184:$X$193,IF(H537=1,4,IF(H537=4,3,2))+IF(INDEX([1]Sheet1!$1:$1048576,MATCH($E537,[1]Sheet1!$A:$A,0),MATCH("zizhi",[1]Sheet1!$2:$2,0))&gt;=13,0,3)+6,0)</f>
        <v>[]</v>
      </c>
      <c r="W537" s="2" t="str">
        <f t="shared" si="47"/>
        <v>进阶+4：激活AI2技能（蜘蛛精用自身剧毒对范围内敌人造成自身攻击力143%的物伤，并使敌人中毒，持续6秒）</v>
      </c>
      <c r="X537" s="45" t="str">
        <f t="shared" si="45"/>
        <v>[]</v>
      </c>
      <c r="Y537" s="2"/>
      <c r="Z537" s="2"/>
      <c r="AA537" s="2"/>
    </row>
    <row r="538" spans="1:27">
      <c r="A538" s="10">
        <f>E538*100+COUNTIF($E$194:$E538,$E538)</f>
        <v>113705</v>
      </c>
      <c r="B538" s="68" t="s">
        <v>323</v>
      </c>
      <c r="C538" s="50" t="s">
        <v>140</v>
      </c>
      <c r="D538" s="10" t="str">
        <f t="shared" si="50"/>
        <v>[]</v>
      </c>
      <c r="E538" s="45">
        <f>INDEX($I:$I,MATCH($E537,$I:$I,0)+IF(COUNTIF($E$194:$E537,$E537)&lt;=VLOOKUP($E537,$I$134:$K$193,3,0)-1,0,1),0)</f>
        <v>1137</v>
      </c>
      <c r="F538" s="45" t="str">
        <f t="shared" si="46"/>
        <v>蜘蛛精</v>
      </c>
      <c r="H538" s="45">
        <f>VLOOKUP($E538,[1]Sheet1!$A:$G,7,0)</f>
        <v>3</v>
      </c>
      <c r="I538" s="45" t="str">
        <f>IF($G538="","",IF(COUNTIF(技能描述!$D:$D,$F538)&gt;0,VLOOKUP($F538&amp;$G538,技能描述!$A:$C,3,0),LEFT(VLOOKUP($E538,[1]Sheet1!$A:$J,10,0),FIND("_",VLOOKUP($E538,[1]Sheet1!$A:$J,10,0))-1)&amp;$G538))</f>
        <v/>
      </c>
      <c r="J538" s="45" t="str">
        <f>IF($I538="","",VLOOKUP($I538,技能描述!$A:$C,3,0))</f>
        <v/>
      </c>
      <c r="K538" s="45" t="str">
        <f>IF($I538="","",INDEX([2]Sheet1!$1:$1048576,MATCH($I538,[2]Sheet1!$A:$A,0),MATCH("description_damage",[2]Sheet1!$2:$2,0)))</f>
        <v/>
      </c>
      <c r="L538" s="80" t="str">
        <f>IF($K538="","",IF(LEN($K538)-LEN(SUBSTITUTE($K538,",",""))=0,VLOOKUP(INT($K538),[3]Sheet1!$A:$C,3,0),VLOOKUP(INT(LEFT($K538,FIND(",",$K538)-1)),[3]Sheet1!$A:$C,3,0)))</f>
        <v/>
      </c>
      <c r="M538" s="80" t="str">
        <f t="shared" si="51"/>
        <v/>
      </c>
      <c r="N538" s="45" t="str">
        <f>IF(LEN($K538)-LEN(SUBSTITUTE($K538,",",""))=1,VLOOKUP(INT(RIGHT($K538,LEN($K538)-FIND(",",$K538))),[3]Sheet1!$A:$C,3,0),"")</f>
        <v/>
      </c>
      <c r="O538" s="45" t="str">
        <f t="shared" si="48"/>
        <v/>
      </c>
      <c r="P538" s="45" t="str">
        <f t="shared" si="44"/>
        <v/>
      </c>
      <c r="Q538" s="45" t="str">
        <f t="shared" si="49"/>
        <v/>
      </c>
      <c r="R538" s="45"/>
      <c r="S538" s="45" t="str">
        <f>IF(ISERROR($Q538),"进阶+"&amp;COUNTIF($E$194:$E538,$E538)&amp;"："&amp;"找ZC配技能","进阶+"&amp;COUNTIF($E$194:$E538,$E538)&amp;"："&amp;VLOOKUP(COUNTIF($E$194:$E538,$E538),$L$184:$R$193,IF(H538=1,4,IF(H538=4,3,2))+IF(INDEX([1]Sheet1!$1:$1048576,MATCH($E538,[1]Sheet1!$A:$A,0),MATCH("zizhi",[1]Sheet1!$2:$2,0))&gt;=13,0,3),0)&amp;IF($Q538="","","（"&amp;$Q538&amp;"）"))</f>
        <v>进阶+5：生命，防御提高10%</v>
      </c>
      <c r="T538" s="1"/>
      <c r="U538" s="1"/>
      <c r="V538" s="2" t="str">
        <f>VLOOKUP(COUNTIF($E$194:$E538,$E538),$L$184:$X$193,IF(H538=1,4,IF(H538=4,3,2))+IF(INDEX([1]Sheet1!$1:$1048576,MATCH($E538,[1]Sheet1!$A:$A,0),MATCH("zizhi",[1]Sheet1!$2:$2,0))&gt;=13,0,3)+6,0)</f>
        <v>11090,6502,6512</v>
      </c>
      <c r="W538" s="2" t="str">
        <f t="shared" si="47"/>
        <v>进阶+5：生命，防御提高10%</v>
      </c>
      <c r="X538" s="45" t="str">
        <f t="shared" si="45"/>
        <v>11090,6502,6512</v>
      </c>
      <c r="Y538" s="2"/>
      <c r="Z538" s="2"/>
      <c r="AA538" s="2"/>
    </row>
    <row r="539" spans="1:27" ht="33">
      <c r="A539" s="10">
        <f>E539*100+COUNTIF($E$194:$E539,$E539)</f>
        <v>113706</v>
      </c>
      <c r="B539" s="68" t="s">
        <v>2055</v>
      </c>
      <c r="C539" s="50" t="s">
        <v>2</v>
      </c>
      <c r="D539" s="10">
        <f t="shared" si="50"/>
        <v>1</v>
      </c>
      <c r="E539" s="45">
        <f>INDEX($I:$I,MATCH($E538,$I:$I,0)+IF(COUNTIF($E$194:$E538,$E538)&lt;=VLOOKUP($E538,$I$134:$K$193,3,0)-1,0,1),0)</f>
        <v>1137</v>
      </c>
      <c r="F539" s="45" t="str">
        <f t="shared" si="46"/>
        <v>蜘蛛精</v>
      </c>
      <c r="G539" s="45" t="s">
        <v>218</v>
      </c>
      <c r="H539" s="45">
        <f>VLOOKUP($E539,[1]Sheet1!$A:$G,7,0)</f>
        <v>3</v>
      </c>
      <c r="I539" s="45" t="str">
        <f>IF($G539="","",IF(COUNTIF(技能描述!$D:$D,$F539)&gt;0,VLOOKUP($F539&amp;$G539,技能描述!$A:$C,3,0),LEFT(VLOOKUP($E539,[1]Sheet1!$A:$J,10,0),FIND("_",VLOOKUP($E539,[1]Sheet1!$A:$J,10,0))-1)&amp;$G539))</f>
        <v>zhizhujing_skill011</v>
      </c>
      <c r="J539" s="45" t="str">
        <f>IF($I539="","",VLOOKUP($I539,技能描述!$A:$C,3,0))</f>
        <v>召唤蛛群结网向敌军推进攻击敌军，对范围内敌人造成主角攻击力@s的物伤</v>
      </c>
      <c r="K539" s="45" t="str">
        <f>IF($I539="","",INDEX([2]Sheet1!$1:$1048576,MATCH($I539,[2]Sheet1!$A:$A,0),MATCH("description_damage",[2]Sheet1!$2:$2,0)))</f>
        <v>113705</v>
      </c>
      <c r="L539" s="80" t="str">
        <f>IF($K539="","",IF(LEN($K539)-LEN(SUBSTITUTE($K539,",",""))=0,VLOOKUP(INT($K539),[3]Sheet1!$A:$C,3,0),VLOOKUP(INT(LEFT($K539,FIND(",",$K539)-1)),[3]Sheet1!$A:$C,3,0)))</f>
        <v>2|1|5.7|0|0|0</v>
      </c>
      <c r="M539" s="80" t="str">
        <f t="shared" si="51"/>
        <v>570%</v>
      </c>
      <c r="N539" s="45" t="str">
        <f>IF(LEN($K539)-LEN(SUBSTITUTE($K539,",",""))=1,VLOOKUP(INT(RIGHT($K539,LEN($K539)-FIND(",",$K539))),[3]Sheet1!$A:$C,3,0),"")</f>
        <v/>
      </c>
      <c r="O539" s="45" t="str">
        <f t="shared" si="48"/>
        <v/>
      </c>
      <c r="P539" s="45" t="str">
        <f t="shared" si="44"/>
        <v>召唤蛛群结网向敌军推进攻击敌军，对范围内敌人造成主角攻击力570%的物伤</v>
      </c>
      <c r="Q539" s="45" t="str">
        <f t="shared" si="49"/>
        <v>召唤蛛群结网向敌军推进攻击敌军，对范围内敌人造成主角攻击力570%的物伤</v>
      </c>
      <c r="R539" s="45"/>
      <c r="S539" s="45" t="str">
        <f>IF(ISERROR($Q539),"进阶+"&amp;COUNTIF($E$194:$E539,$E539)&amp;"："&amp;"找ZC配技能","进阶+"&amp;COUNTIF($E$194:$E539,$E539)&amp;"："&amp;VLOOKUP(COUNTIF($E$194:$E539,$E539),$L$184:$R$193,IF(H539=1,4,IF(H539=4,3,2))+IF(INDEX([1]Sheet1!$1:$1048576,MATCH($E539,[1]Sheet1!$A:$A,0),MATCH("zizhi",[1]Sheet1!$2:$2,0))&gt;=13,0,3),0)&amp;IF($Q539="","","（"&amp;$Q539&amp;"）"))</f>
        <v>进阶+6：增强主角技能（召唤蛛群结网向敌军推进攻击敌军，对范围内敌人造成主角攻击力570%的物伤）</v>
      </c>
      <c r="T539" s="1"/>
      <c r="U539" s="1"/>
      <c r="V539" s="2" t="str">
        <f>VLOOKUP(COUNTIF($E$194:$E539,$E539),$L$184:$X$193,IF(H539=1,4,IF(H539=4,3,2))+IF(INDEX([1]Sheet1!$1:$1048576,MATCH($E539,[1]Sheet1!$A:$A,0),MATCH("zizhi",[1]Sheet1!$2:$2,0))&gt;=13,0,3)+6,0)</f>
        <v>[]</v>
      </c>
      <c r="W539" s="2" t="str">
        <f t="shared" si="47"/>
        <v>进阶+6：增强主角技能（召唤蛛群结网向敌军推进攻击敌军，对范围内敌人造成主角攻击力570%的物伤）</v>
      </c>
      <c r="X539" s="45" t="str">
        <f t="shared" si="45"/>
        <v>[]</v>
      </c>
      <c r="Y539" s="2"/>
      <c r="Z539" s="2"/>
      <c r="AA539" s="2"/>
    </row>
    <row r="540" spans="1:27">
      <c r="A540" s="10">
        <f>E540*100+COUNTIF($E$194:$E540,$E540)</f>
        <v>113707</v>
      </c>
      <c r="B540" s="68" t="s">
        <v>359</v>
      </c>
      <c r="C540" s="50" t="s">
        <v>353</v>
      </c>
      <c r="D540" s="10" t="str">
        <f t="shared" si="50"/>
        <v>[]</v>
      </c>
      <c r="E540" s="45">
        <f>INDEX($I:$I,MATCH($E539,$I:$I,0)+IF(COUNTIF($E$194:$E539,$E539)&lt;=VLOOKUP($E539,$I$134:$K$193,3,0)-1,0,1),0)</f>
        <v>1137</v>
      </c>
      <c r="F540" s="45" t="str">
        <f t="shared" si="46"/>
        <v>蜘蛛精</v>
      </c>
      <c r="H540" s="45">
        <f>VLOOKUP($E540,[1]Sheet1!$A:$G,7,0)</f>
        <v>3</v>
      </c>
      <c r="I540" s="45" t="str">
        <f>IF($G540="","",IF(COUNTIF(技能描述!$D:$D,$F540)&gt;0,VLOOKUP($F540&amp;$G540,技能描述!$A:$C,3,0),LEFT(VLOOKUP($E540,[1]Sheet1!$A:$J,10,0),FIND("_",VLOOKUP($E540,[1]Sheet1!$A:$J,10,0))-1)&amp;$G540))</f>
        <v/>
      </c>
      <c r="J540" s="45" t="str">
        <f>IF($I540="","",VLOOKUP($I540,技能描述!$A:$C,3,0))</f>
        <v/>
      </c>
      <c r="K540" s="45" t="str">
        <f>IF($I540="","",INDEX([2]Sheet1!$1:$1048576,MATCH($I540,[2]Sheet1!$A:$A,0),MATCH("description_damage",[2]Sheet1!$2:$2,0)))</f>
        <v/>
      </c>
      <c r="L540" s="80" t="str">
        <f>IF($K540="","",IF(LEN($K540)-LEN(SUBSTITUTE($K540,",",""))=0,VLOOKUP(INT($K540),[3]Sheet1!$A:$C,3,0),VLOOKUP(INT(LEFT($K540,FIND(",",$K540)-1)),[3]Sheet1!$A:$C,3,0)))</f>
        <v/>
      </c>
      <c r="M540" s="80" t="str">
        <f t="shared" si="51"/>
        <v/>
      </c>
      <c r="N540" s="45" t="str">
        <f>IF(LEN($K540)-LEN(SUBSTITUTE($K540,",",""))=1,VLOOKUP(INT(RIGHT($K540,LEN($K540)-FIND(",",$K540))),[3]Sheet1!$A:$C,3,0),"")</f>
        <v/>
      </c>
      <c r="O540" s="45" t="str">
        <f t="shared" si="48"/>
        <v/>
      </c>
      <c r="P540" s="45" t="str">
        <f t="shared" si="44"/>
        <v/>
      </c>
      <c r="Q540" s="45" t="str">
        <f t="shared" si="49"/>
        <v/>
      </c>
      <c r="R540" s="45"/>
      <c r="S540" s="45" t="str">
        <f>IF(ISERROR($Q540),"进阶+"&amp;COUNTIF($E$194:$E540,$E540)&amp;"："&amp;"找ZC配技能","进阶+"&amp;COUNTIF($E$194:$E540,$E540)&amp;"："&amp;VLOOKUP(COUNTIF($E$194:$E540,$E540),$L$184:$R$193,IF(H540=1,4,IF(H540=4,3,2))+IF(INDEX([1]Sheet1!$1:$1048576,MATCH($E540,[1]Sheet1!$A:$A,0),MATCH("zizhi",[1]Sheet1!$2:$2,0))&gt;=13,0,3),0)&amp;IF($Q540="","","（"&amp;$Q540&amp;"）"))</f>
        <v>进阶+7：全队攻击提高10%</v>
      </c>
      <c r="T540" s="1"/>
      <c r="U540" s="1"/>
      <c r="V540" s="2" t="str">
        <f>VLOOKUP(COUNTIF($E$194:$E540,$E540),$L$184:$X$193,IF(H540=1,4,IF(H540=4,3,2))+IF(INDEX([1]Sheet1!$1:$1048576,MATCH($E540,[1]Sheet1!$A:$A,0),MATCH("zizhi",[1]Sheet1!$2:$2,0))&gt;=13,0,3)+6,0)</f>
        <v>58010</v>
      </c>
      <c r="W540" s="2" t="str">
        <f t="shared" si="47"/>
        <v>进阶+7：全队攻击提高10%</v>
      </c>
      <c r="X540" s="45" t="str">
        <f t="shared" si="45"/>
        <v>58010</v>
      </c>
      <c r="Y540" s="2"/>
      <c r="Z540" s="2"/>
      <c r="AA540" s="2"/>
    </row>
    <row r="541" spans="1:27" ht="33">
      <c r="A541" s="10">
        <f>E541*100+COUNTIF($E$194:$E541,$E541)</f>
        <v>113708</v>
      </c>
      <c r="B541" s="68" t="s">
        <v>2056</v>
      </c>
      <c r="C541" s="50" t="s">
        <v>2</v>
      </c>
      <c r="D541" s="10">
        <f t="shared" si="50"/>
        <v>1</v>
      </c>
      <c r="E541" s="45">
        <f>INDEX($I:$I,MATCH($E540,$I:$I,0)+IF(COUNTIF($E$194:$E540,$E540)&lt;=VLOOKUP($E540,$I$134:$K$193,3,0)-1,0,1),0)</f>
        <v>1137</v>
      </c>
      <c r="F541" s="45" t="str">
        <f t="shared" si="46"/>
        <v>蜘蛛精</v>
      </c>
      <c r="G541" s="45" t="s">
        <v>219</v>
      </c>
      <c r="H541" s="45">
        <f>VLOOKUP($E541,[1]Sheet1!$A:$G,7,0)</f>
        <v>3</v>
      </c>
      <c r="I541" s="45" t="str">
        <f>IF($G541="","",IF(COUNTIF(技能描述!$D:$D,$F541)&gt;0,VLOOKUP($F541&amp;$G541,技能描述!$A:$C,3,0),LEFT(VLOOKUP($E541,[1]Sheet1!$A:$J,10,0),FIND("_",VLOOKUP($E541,[1]Sheet1!$A:$J,10,0))-1)&amp;$G541))</f>
        <v>zhizhujing_skill021</v>
      </c>
      <c r="J541" s="45" t="str">
        <f>IF($I541="","",VLOOKUP($I541,技能描述!$A:$C,3,0))</f>
        <v>蜘蛛精将自身蛛后魔力赋予友军，提升全体友军攻速@s，持续3秒</v>
      </c>
      <c r="K541" s="45" t="str">
        <f>IF($I541="","",INDEX([2]Sheet1!$1:$1048576,MATCH($I541,[2]Sheet1!$A:$A,0),MATCH("description_damage",[2]Sheet1!$2:$2,0)))</f>
        <v>9015</v>
      </c>
      <c r="L541" s="80" t="str">
        <f>IF($K541="","",IF(LEN($K541)-LEN(SUBSTITUTE($K541,",",""))=0,VLOOKUP(INT($K541),[3]Sheet1!$A:$C,3,0),VLOOKUP(INT(LEFT($K541,FIND(",",$K541)-1)),[3]Sheet1!$A:$C,3,0)))</f>
        <v>4|3|0.15|0|1</v>
      </c>
      <c r="M541" s="80" t="str">
        <f t="shared" si="51"/>
        <v>15%</v>
      </c>
      <c r="N541" s="45" t="str">
        <f>IF(LEN($K541)-LEN(SUBSTITUTE($K541,",",""))=1,VLOOKUP(INT(RIGHT($K541,LEN($K541)-FIND(",",$K541))),[3]Sheet1!$A:$C,3,0),"")</f>
        <v/>
      </c>
      <c r="O541" s="45" t="str">
        <f t="shared" si="48"/>
        <v/>
      </c>
      <c r="P541" s="45" t="str">
        <f t="shared" si="44"/>
        <v>蜘蛛精将自身蛛后魔力赋予友军，提升全体友军攻速15%，持续3秒</v>
      </c>
      <c r="Q541" s="45" t="str">
        <f t="shared" si="49"/>
        <v>蜘蛛精将自身蛛后魔力赋予友军，提升全体友军攻速15%，持续3秒</v>
      </c>
      <c r="R541" s="45"/>
      <c r="S541" s="45" t="str">
        <f>IF(ISERROR($Q541),"进阶+"&amp;COUNTIF($E$194:$E541,$E541)&amp;"："&amp;"找ZC配技能","进阶+"&amp;COUNTIF($E$194:$E541,$E541)&amp;"："&amp;VLOOKUP(COUNTIF($E$194:$E541,$E541),$L$184:$R$193,IF(H541=1,4,IF(H541=4,3,2))+IF(INDEX([1]Sheet1!$1:$1048576,MATCH($E541,[1]Sheet1!$A:$A,0),MATCH("zizhi",[1]Sheet1!$2:$2,0))&gt;=13,0,3),0)&amp;IF($Q541="","","（"&amp;$Q541&amp;"）"))</f>
        <v>进阶+8：增强AI1技能（蜘蛛精将自身蛛后魔力赋予友军，提升全体友军攻速15%，持续3秒）</v>
      </c>
      <c r="T541" s="1"/>
      <c r="U541" s="1"/>
      <c r="V541" s="2" t="str">
        <f>VLOOKUP(COUNTIF($E$194:$E541,$E541),$L$184:$X$193,IF(H541=1,4,IF(H541=4,3,2))+IF(INDEX([1]Sheet1!$1:$1048576,MATCH($E541,[1]Sheet1!$A:$A,0),MATCH("zizhi",[1]Sheet1!$2:$2,0))&gt;=13,0,3)+6,0)</f>
        <v>[]</v>
      </c>
      <c r="W541" s="2" t="str">
        <f t="shared" si="47"/>
        <v>进阶+8：增强AI1技能（蜘蛛精将自身蛛后魔力赋予友军，提升全体友军攻速15%，持续3秒）</v>
      </c>
      <c r="X541" s="45" t="str">
        <f t="shared" si="45"/>
        <v>[]</v>
      </c>
      <c r="Y541" s="2"/>
      <c r="Z541" s="2"/>
      <c r="AA541" s="2"/>
    </row>
    <row r="542" spans="1:27">
      <c r="A542" s="10">
        <f>E542*100+COUNTIF($E$194:$E542,$E542)</f>
        <v>113709</v>
      </c>
      <c r="B542" s="68" t="s">
        <v>1899</v>
      </c>
      <c r="C542" s="50" t="s">
        <v>2085</v>
      </c>
      <c r="D542" s="10" t="str">
        <f t="shared" si="50"/>
        <v>[]</v>
      </c>
      <c r="E542" s="45">
        <f>INDEX($I:$I,MATCH($E541,$I:$I,0)+IF(COUNTIF($E$194:$E541,$E541)&lt;=VLOOKUP($E541,$I$134:$K$193,3,0)-1,0,1),0)</f>
        <v>1137</v>
      </c>
      <c r="F542" s="45" t="str">
        <f t="shared" si="46"/>
        <v>蜘蛛精</v>
      </c>
      <c r="H542" s="45">
        <f>VLOOKUP($E542,[1]Sheet1!$A:$G,7,0)</f>
        <v>3</v>
      </c>
      <c r="I542" s="45" t="str">
        <f>IF($G542="","",IF(COUNTIF(技能描述!$D:$D,$F542)&gt;0,VLOOKUP($F542&amp;$G542,技能描述!$A:$C,3,0),LEFT(VLOOKUP($E542,[1]Sheet1!$A:$J,10,0),FIND("_",VLOOKUP($E542,[1]Sheet1!$A:$J,10,0))-1)&amp;$G542))</f>
        <v/>
      </c>
      <c r="J542" s="45" t="str">
        <f>IF($I542="","",VLOOKUP($I542,技能描述!$A:$C,3,0))</f>
        <v/>
      </c>
      <c r="K542" s="45" t="str">
        <f>IF($I542="","",INDEX([2]Sheet1!$1:$1048576,MATCH($I542,[2]Sheet1!$A:$A,0),MATCH("description_damage",[2]Sheet1!$2:$2,0)))</f>
        <v/>
      </c>
      <c r="L542" s="80" t="str">
        <f>IF($K542="","",IF(LEN($K542)-LEN(SUBSTITUTE($K542,",",""))=0,VLOOKUP(INT($K542),[3]Sheet1!$A:$C,3,0),VLOOKUP(INT(LEFT($K542,FIND(",",$K542)-1)),[3]Sheet1!$A:$C,3,0)))</f>
        <v/>
      </c>
      <c r="M542" s="80" t="str">
        <f t="shared" si="51"/>
        <v/>
      </c>
      <c r="N542" s="45" t="str">
        <f>IF(LEN($K542)-LEN(SUBSTITUTE($K542,",",""))=1,VLOOKUP(INT(RIGHT($K542,LEN($K542)-FIND(",",$K542))),[3]Sheet1!$A:$C,3,0),"")</f>
        <v/>
      </c>
      <c r="O542" s="45" t="str">
        <f t="shared" si="48"/>
        <v/>
      </c>
      <c r="P542" s="45" t="str">
        <f t="shared" si="44"/>
        <v/>
      </c>
      <c r="Q542" s="45" t="str">
        <f t="shared" si="49"/>
        <v/>
      </c>
      <c r="R542" s="45"/>
      <c r="S542" s="45" t="str">
        <f>IF(ISERROR($Q542),"进阶+"&amp;COUNTIF($E$194:$E542,$E542)&amp;"："&amp;"找ZC配技能","进阶+"&amp;COUNTIF($E$194:$E542,$E542)&amp;"："&amp;VLOOKUP(COUNTIF($E$194:$E542,$E542),$L$184:$R$193,IF(H542=1,4,IF(H542=4,3,2))+IF(INDEX([1]Sheet1!$1:$1048576,MATCH($E542,[1]Sheet1!$A:$A,0),MATCH("zizhi",[1]Sheet1!$2:$2,0))&gt;=13,0,3),0)&amp;IF($Q542="","","（"&amp;$Q542&amp;"）"))</f>
        <v>进阶+9：全队攻击提高15%</v>
      </c>
      <c r="T542" s="1"/>
      <c r="U542" s="1"/>
      <c r="V542" s="2" t="str">
        <f>VLOOKUP(COUNTIF($E$194:$E542,$E542),$L$184:$X$193,IF(H542=1,4,IF(H542=4,3,2))+IF(INDEX([1]Sheet1!$1:$1048576,MATCH($E542,[1]Sheet1!$A:$A,0),MATCH("zizhi",[1]Sheet1!$2:$2,0))&gt;=13,0,3)+6,0)</f>
        <v>58015</v>
      </c>
      <c r="W542" s="2" t="str">
        <f t="shared" si="47"/>
        <v>进阶+9：全队攻击提高15%</v>
      </c>
      <c r="X542" s="45" t="str">
        <f t="shared" si="45"/>
        <v>58015</v>
      </c>
      <c r="Y542" s="2"/>
      <c r="Z542" s="2"/>
      <c r="AA542" s="2"/>
    </row>
    <row r="543" spans="1:27" ht="33">
      <c r="A543" s="10">
        <f>E543*100+COUNTIF($E$194:$E543,$E543)</f>
        <v>113710</v>
      </c>
      <c r="B543" s="68" t="s">
        <v>1925</v>
      </c>
      <c r="C543" s="50" t="s">
        <v>2</v>
      </c>
      <c r="D543" s="10">
        <f t="shared" si="50"/>
        <v>1</v>
      </c>
      <c r="E543" s="45">
        <f>INDEX($I:$I,MATCH($E542,$I:$I,0)+IF(COUNTIF($E$194:$E542,$E542)&lt;=VLOOKUP($E542,$I$134:$K$193,3,0)-1,0,1),0)</f>
        <v>1137</v>
      </c>
      <c r="F543" s="45" t="str">
        <f t="shared" si="46"/>
        <v>蜘蛛精</v>
      </c>
      <c r="G543" s="45" t="s">
        <v>220</v>
      </c>
      <c r="H543" s="45">
        <f>VLOOKUP($E543,[1]Sheet1!$A:$G,7,0)</f>
        <v>3</v>
      </c>
      <c r="I543" s="45" t="str">
        <f>IF($G543="","",IF(COUNTIF(技能描述!$D:$D,$F543)&gt;0,VLOOKUP($F543&amp;$G543,技能描述!$A:$C,3,0),LEFT(VLOOKUP($E543,[1]Sheet1!$A:$J,10,0),FIND("_",VLOOKUP($E543,[1]Sheet1!$A:$J,10,0))-1)&amp;$G543))</f>
        <v>zhizhujing_skill041</v>
      </c>
      <c r="J543" s="45" t="str">
        <f>IF($I543="","",VLOOKUP($I543,技能描述!$A:$C,3,0))</f>
        <v>蜘蛛精用自身剧毒对范围内敌人造成自身攻击力@s的物伤，并使敌人中毒，持续6秒</v>
      </c>
      <c r="K543" s="45" t="str">
        <f>IF($I543="","",INDEX([2]Sheet1!$1:$1048576,MATCH($I543,[2]Sheet1!$A:$A,0),MATCH("description_damage",[2]Sheet1!$2:$2,0)))</f>
        <v>113707</v>
      </c>
      <c r="L543" s="80" t="str">
        <f>IF($K543="","",IF(LEN($K543)-LEN(SUBSTITUTE($K543,",",""))=0,VLOOKUP(INT($K543),[3]Sheet1!$A:$C,3,0),VLOOKUP(INT(LEFT($K543,FIND(",",$K543)-1)),[3]Sheet1!$A:$C,3,0)))</f>
        <v>2|1|2|0|0|0</v>
      </c>
      <c r="M543" s="80" t="str">
        <f t="shared" si="51"/>
        <v>200%</v>
      </c>
      <c r="N543" s="45" t="str">
        <f>IF(LEN($K543)-LEN(SUBSTITUTE($K543,",",""))=1,VLOOKUP(INT(RIGHT($K543,LEN($K543)-FIND(",",$K543))),[3]Sheet1!$A:$C,3,0),"")</f>
        <v/>
      </c>
      <c r="O543" s="45" t="str">
        <f t="shared" si="48"/>
        <v/>
      </c>
      <c r="P543" s="45" t="str">
        <f t="shared" si="44"/>
        <v>蜘蛛精用自身剧毒对范围内敌人造成自身攻击力200%的物伤，并使敌人中毒，持续6秒</v>
      </c>
      <c r="Q543" s="45" t="str">
        <f t="shared" si="49"/>
        <v>蜘蛛精用自身剧毒对范围内敌人造成自身攻击力200%的物伤，并使敌人中毒，持续6秒</v>
      </c>
      <c r="R543" s="45"/>
      <c r="S543" s="45" t="str">
        <f>IF(ISERROR($Q543),"进阶+"&amp;COUNTIF($E$194:$E543,$E543)&amp;"："&amp;"找ZC配技能","进阶+"&amp;COUNTIF($E$194:$E543,$E543)&amp;"："&amp;VLOOKUP(COUNTIF($E$194:$E543,$E543),$L$184:$R$193,IF(H543=1,4,IF(H543=4,3,2))+IF(INDEX([1]Sheet1!$1:$1048576,MATCH($E543,[1]Sheet1!$A:$A,0),MATCH("zizhi",[1]Sheet1!$2:$2,0))&gt;=13,0,3),0)&amp;IF($Q543="","","（"&amp;$Q543&amp;"）"))</f>
        <v>进阶+10：增强AI2技能（蜘蛛精用自身剧毒对范围内敌人造成自身攻击力200%的物伤，并使敌人中毒，持续6秒）</v>
      </c>
      <c r="T543" s="1"/>
      <c r="U543" s="1"/>
      <c r="V543" s="2" t="str">
        <f>VLOOKUP(COUNTIF($E$194:$E543,$E543),$L$184:$X$193,IF(H543=1,4,IF(H543=4,3,2))+IF(INDEX([1]Sheet1!$1:$1048576,MATCH($E543,[1]Sheet1!$A:$A,0),MATCH("zizhi",[1]Sheet1!$2:$2,0))&gt;=13,0,3)+6,0)</f>
        <v>[]</v>
      </c>
      <c r="W543" s="2" t="str">
        <f t="shared" si="47"/>
        <v>进阶+10：增强AI2技能（蜘蛛精用自身剧毒对范围内敌人造成自身攻击力200%的物伤，并使敌人中毒，持续6秒）</v>
      </c>
      <c r="X543" s="45" t="str">
        <f t="shared" si="45"/>
        <v>[]</v>
      </c>
      <c r="Y543" s="2"/>
      <c r="Z543" s="2"/>
      <c r="AA543" s="2"/>
    </row>
    <row r="544" spans="1:27">
      <c r="A544" s="10">
        <f>E544*100+COUNTIF($E$194:$E544,$E544)</f>
        <v>121601</v>
      </c>
      <c r="B544" s="68" t="s">
        <v>310</v>
      </c>
      <c r="C544" s="50" t="s">
        <v>127</v>
      </c>
      <c r="D544" s="10" t="str">
        <f t="shared" si="50"/>
        <v>[]</v>
      </c>
      <c r="E544" s="45">
        <f>INDEX($I:$I,MATCH($E543,$I:$I,0)+IF(COUNTIF($E$194:$E543,$E543)&lt;=VLOOKUP($E543,$I$134:$K$193,3,0)-1,0,1),0)</f>
        <v>1216</v>
      </c>
      <c r="F544" s="45" t="str">
        <f t="shared" si="46"/>
        <v>女儿国国王</v>
      </c>
      <c r="H544" s="45">
        <f>VLOOKUP($E544,[1]Sheet1!$A:$G,7,0)</f>
        <v>2</v>
      </c>
      <c r="I544" s="45" t="str">
        <f>IF($G544="","",IF(COUNTIF(技能描述!$D:$D,$F544)&gt;0,VLOOKUP($F544&amp;$G544,技能描述!$A:$C,3,0),LEFT(VLOOKUP($E544,[1]Sheet1!$A:$J,10,0),FIND("_",VLOOKUP($E544,[1]Sheet1!$A:$J,10,0))-1)&amp;$G544))</f>
        <v/>
      </c>
      <c r="J544" s="45" t="str">
        <f>IF($I544="","",VLOOKUP($I544,技能描述!$A:$C,3,0))</f>
        <v/>
      </c>
      <c r="K544" s="45" t="str">
        <f>IF($I544="","",INDEX([2]Sheet1!$1:$1048576,MATCH($I544,[2]Sheet1!$A:$A,0),MATCH("description_damage",[2]Sheet1!$2:$2,0)))</f>
        <v/>
      </c>
      <c r="L544" s="80" t="str">
        <f>IF($K544="","",IF(LEN($K544)-LEN(SUBSTITUTE($K544,",",""))=0,VLOOKUP(INT($K544),[3]Sheet1!$A:$C,3,0),VLOOKUP(INT(LEFT($K544,FIND(",",$K544)-1)),[3]Sheet1!$A:$C,3,0)))</f>
        <v/>
      </c>
      <c r="M544" s="80" t="str">
        <f t="shared" si="51"/>
        <v/>
      </c>
      <c r="N544" s="45" t="str">
        <f>IF(LEN($K544)-LEN(SUBSTITUTE($K544,",",""))=1,VLOOKUP(INT(RIGHT($K544,LEN($K544)-FIND(",",$K544))),[3]Sheet1!$A:$C,3,0),"")</f>
        <v/>
      </c>
      <c r="O544" s="45" t="str">
        <f t="shared" si="48"/>
        <v/>
      </c>
      <c r="P544" s="45" t="str">
        <f t="shared" si="44"/>
        <v/>
      </c>
      <c r="Q544" s="45" t="str">
        <f t="shared" si="49"/>
        <v/>
      </c>
      <c r="R544" s="45"/>
      <c r="S544" s="45" t="str">
        <f>IF(ISERROR($Q544),"进阶+"&amp;COUNTIF($E$194:$E544,$E544)&amp;"："&amp;"找ZC配技能","进阶+"&amp;COUNTIF($E$194:$E544,$E544)&amp;"："&amp;VLOOKUP(COUNTIF($E$194:$E544,$E544),$L$184:$R$193,IF(H544=1,4,IF(H544=4,3,2))+IF(INDEX([1]Sheet1!$1:$1048576,MATCH($E544,[1]Sheet1!$A:$A,0),MATCH("zizhi",[1]Sheet1!$2:$2,0))&gt;=13,0,3),0)&amp;IF($Q544="","","（"&amp;$Q544&amp;"）"))</f>
        <v>进阶+1：攻击提高10%</v>
      </c>
      <c r="T544" s="1"/>
      <c r="U544" s="1"/>
      <c r="V544" s="2" t="str">
        <f>VLOOKUP(COUNTIF($E$194:$E544,$E544),$L$184:$X$193,IF(H544=1,4,IF(H544=4,3,2))+IF(INDEX([1]Sheet1!$1:$1048576,MATCH($E544,[1]Sheet1!$A:$A,0),MATCH("zizhi",[1]Sheet1!$2:$2,0))&gt;=13,0,3)+6,0)</f>
        <v>11050</v>
      </c>
      <c r="W544" s="2" t="str">
        <f t="shared" si="47"/>
        <v>进阶+1：攻击提高10%</v>
      </c>
      <c r="X544" s="45" t="str">
        <f t="shared" si="45"/>
        <v>11050</v>
      </c>
      <c r="Y544" s="2"/>
      <c r="Z544" s="2"/>
      <c r="AA544" s="2"/>
    </row>
    <row r="545" spans="1:27" ht="33">
      <c r="A545" s="10">
        <f>E545*100+COUNTIF($E$194:$E545,$E545)</f>
        <v>121602</v>
      </c>
      <c r="B545" s="68" t="s">
        <v>344</v>
      </c>
      <c r="C545" s="50" t="s">
        <v>2</v>
      </c>
      <c r="D545" s="10">
        <f t="shared" si="50"/>
        <v>1</v>
      </c>
      <c r="E545" s="45">
        <f>INDEX($I:$I,MATCH($E544,$I:$I,0)+IF(COUNTIF($E$194:$E544,$E544)&lt;=VLOOKUP($E544,$I$134:$K$193,3,0)-1,0,1),0)</f>
        <v>1216</v>
      </c>
      <c r="F545" s="45" t="str">
        <f t="shared" si="46"/>
        <v>女儿国国王</v>
      </c>
      <c r="G545" s="45" t="s">
        <v>216</v>
      </c>
      <c r="H545" s="45">
        <f>VLOOKUP($E545,[1]Sheet1!$A:$G,7,0)</f>
        <v>2</v>
      </c>
      <c r="I545" s="45" t="str">
        <f>IF($G545="","",IF(COUNTIF(技能描述!$D:$D,$F545)&gt;0,VLOOKUP($F545&amp;$G545,技能描述!$A:$C,3,0),LEFT(VLOOKUP($E545,[1]Sheet1!$A:$J,10,0),FIND("_",VLOOKUP($E545,[1]Sheet1!$A:$J,10,0))-1)&amp;$G545))</f>
        <v>nverguoguowang_skill03</v>
      </c>
      <c r="J545" s="45" t="str">
        <f>IF($I545="","",VLOOKUP($I545,技能描述!$A:$C,3,0))</f>
        <v>进入战斗场景时，提升自身对敌人造成的伤害@s</v>
      </c>
      <c r="K545" s="45" t="str">
        <f>IF($I545="","",INDEX([2]Sheet1!$1:$1048576,MATCH($I545,[2]Sheet1!$A:$A,0),MATCH("description_damage",[2]Sheet1!$2:$2,0)))</f>
        <v>9015</v>
      </c>
      <c r="L545" s="80" t="str">
        <f>IF($K545="","",IF(LEN($K545)-LEN(SUBSTITUTE($K545,",",""))=0,VLOOKUP(INT($K545),[3]Sheet1!$A:$C,3,0),VLOOKUP(INT(LEFT($K545,FIND(",",$K545)-1)),[3]Sheet1!$A:$C,3,0)))</f>
        <v>4|3|0.15|0|1</v>
      </c>
      <c r="M545" s="80" t="str">
        <f t="shared" si="51"/>
        <v>15%</v>
      </c>
      <c r="N545" s="45" t="str">
        <f>IF(LEN($K545)-LEN(SUBSTITUTE($K545,",",""))=1,VLOOKUP(INT(RIGHT($K545,LEN($K545)-FIND(",",$K545))),[3]Sheet1!$A:$C,3,0),"")</f>
        <v/>
      </c>
      <c r="O545" s="45" t="str">
        <f t="shared" si="48"/>
        <v/>
      </c>
      <c r="P545" s="45" t="str">
        <f t="shared" si="44"/>
        <v>进入战斗场景时，提升自身对敌人造成的伤害15%</v>
      </c>
      <c r="Q545" s="45" t="str">
        <f t="shared" si="49"/>
        <v>进入战斗场景时，提升自身对敌人造成的伤害15%</v>
      </c>
      <c r="R545" s="45"/>
      <c r="S545" s="45" t="str">
        <f>IF(ISERROR($Q545),"进阶+"&amp;COUNTIF($E$194:$E545,$E545)&amp;"："&amp;"找ZC配技能","进阶+"&amp;COUNTIF($E$194:$E545,$E545)&amp;"："&amp;VLOOKUP(COUNTIF($E$194:$E545,$E545),$L$184:$R$193,IF(H545=1,4,IF(H545=4,3,2))+IF(INDEX([1]Sheet1!$1:$1048576,MATCH($E545,[1]Sheet1!$A:$A,0),MATCH("zizhi",[1]Sheet1!$2:$2,0))&gt;=13,0,3),0)&amp;IF($Q545="","","（"&amp;$Q545&amp;"）"))</f>
        <v>进阶+2：激活被动技能（进入战斗场景时，提升自身对敌人造成的伤害15%）</v>
      </c>
      <c r="T545" s="1"/>
      <c r="U545" s="1"/>
      <c r="V545" s="2" t="str">
        <f>VLOOKUP(COUNTIF($E$194:$E545,$E545),$L$184:$X$193,IF(H545=1,4,IF(H545=4,3,2))+IF(INDEX([1]Sheet1!$1:$1048576,MATCH($E545,[1]Sheet1!$A:$A,0),MATCH("zizhi",[1]Sheet1!$2:$2,0))&gt;=13,0,3)+6,0)</f>
        <v>[]</v>
      </c>
      <c r="W545" s="2" t="str">
        <f t="shared" si="47"/>
        <v>进阶+2：激活被动技能（进入战斗场景时，提升自身对敌人造成的伤害15%）</v>
      </c>
      <c r="X545" s="45" t="str">
        <f t="shared" si="45"/>
        <v>[]</v>
      </c>
      <c r="Y545" s="2"/>
      <c r="Z545" s="2"/>
      <c r="AA545" s="2"/>
    </row>
    <row r="546" spans="1:27">
      <c r="A546" s="10">
        <f>E546*100+COUNTIF($E$194:$E546,$E546)</f>
        <v>121603</v>
      </c>
      <c r="B546" s="68" t="s">
        <v>312</v>
      </c>
      <c r="C546" s="50" t="s">
        <v>127</v>
      </c>
      <c r="D546" s="10" t="str">
        <f t="shared" si="50"/>
        <v>[]</v>
      </c>
      <c r="E546" s="45">
        <f>INDEX($I:$I,MATCH($E545,$I:$I,0)+IF(COUNTIF($E$194:$E545,$E545)&lt;=VLOOKUP($E545,$I$134:$K$193,3,0)-1,0,1),0)</f>
        <v>1216</v>
      </c>
      <c r="F546" s="45" t="str">
        <f t="shared" si="46"/>
        <v>女儿国国王</v>
      </c>
      <c r="H546" s="45">
        <f>VLOOKUP($E546,[1]Sheet1!$A:$G,7,0)</f>
        <v>2</v>
      </c>
      <c r="I546" s="45" t="str">
        <f>IF($G546="","",IF(COUNTIF(技能描述!$D:$D,$F546)&gt;0,VLOOKUP($F546&amp;$G546,技能描述!$A:$C,3,0),LEFT(VLOOKUP($E546,[1]Sheet1!$A:$J,10,0),FIND("_",VLOOKUP($E546,[1]Sheet1!$A:$J,10,0))-1)&amp;$G546))</f>
        <v/>
      </c>
      <c r="J546" s="45" t="str">
        <f>IF($I546="","",VLOOKUP($I546,技能描述!$A:$C,3,0))</f>
        <v/>
      </c>
      <c r="K546" s="45" t="str">
        <f>IF($I546="","",INDEX([2]Sheet1!$1:$1048576,MATCH($I546,[2]Sheet1!$A:$A,0),MATCH("description_damage",[2]Sheet1!$2:$2,0)))</f>
        <v/>
      </c>
      <c r="L546" s="80" t="str">
        <f>IF($K546="","",IF(LEN($K546)-LEN(SUBSTITUTE($K546,",",""))=0,VLOOKUP(INT($K546),[3]Sheet1!$A:$C,3,0),VLOOKUP(INT(LEFT($K546,FIND(",",$K546)-1)),[3]Sheet1!$A:$C,3,0)))</f>
        <v/>
      </c>
      <c r="M546" s="80" t="str">
        <f t="shared" si="51"/>
        <v/>
      </c>
      <c r="N546" s="45" t="str">
        <f>IF(LEN($K546)-LEN(SUBSTITUTE($K546,",",""))=1,VLOOKUP(INT(RIGHT($K546,LEN($K546)-FIND(",",$K546))),[3]Sheet1!$A:$C,3,0),"")</f>
        <v/>
      </c>
      <c r="O546" s="45" t="str">
        <f t="shared" si="48"/>
        <v/>
      </c>
      <c r="P546" s="45" t="str">
        <f t="shared" si="44"/>
        <v/>
      </c>
      <c r="Q546" s="45" t="str">
        <f t="shared" si="49"/>
        <v/>
      </c>
      <c r="R546" s="45"/>
      <c r="S546" s="45" t="str">
        <f>IF(ISERROR($Q546),"进阶+"&amp;COUNTIF($E$194:$E546,$E546)&amp;"："&amp;"找ZC配技能","进阶+"&amp;COUNTIF($E$194:$E546,$E546)&amp;"："&amp;VLOOKUP(COUNTIF($E$194:$E546,$E546),$L$184:$R$193,IF(H546=1,4,IF(H546=4,3,2))+IF(INDEX([1]Sheet1!$1:$1048576,MATCH($E546,[1]Sheet1!$A:$A,0),MATCH("zizhi",[1]Sheet1!$2:$2,0))&gt;=13,0,3),0)&amp;IF($Q546="","","（"&amp;$Q546&amp;"）"))</f>
        <v>进阶+3：攻击提高10%</v>
      </c>
      <c r="T546" s="1"/>
      <c r="U546" s="1"/>
      <c r="V546" s="2" t="str">
        <f>VLOOKUP(COUNTIF($E$194:$E546,$E546),$L$184:$X$193,IF(H546=1,4,IF(H546=4,3,2))+IF(INDEX([1]Sheet1!$1:$1048576,MATCH($E546,[1]Sheet1!$A:$A,0),MATCH("zizhi",[1]Sheet1!$2:$2,0))&gt;=13,0,3)+6,0)</f>
        <v>11050</v>
      </c>
      <c r="W546" s="2" t="str">
        <f t="shared" si="47"/>
        <v>进阶+3：攻击提高10%</v>
      </c>
      <c r="X546" s="45" t="str">
        <f t="shared" si="45"/>
        <v>11050</v>
      </c>
      <c r="Y546" s="2"/>
      <c r="Z546" s="2"/>
      <c r="AA546" s="2"/>
    </row>
    <row r="547" spans="1:27" ht="49.5">
      <c r="A547" s="10">
        <f>E547*100+COUNTIF($E$194:$E547,$E547)</f>
        <v>121604</v>
      </c>
      <c r="B547" s="68" t="s">
        <v>1880</v>
      </c>
      <c r="C547" s="50" t="s">
        <v>2</v>
      </c>
      <c r="D547" s="10">
        <f t="shared" si="50"/>
        <v>1</v>
      </c>
      <c r="E547" s="45">
        <f>INDEX($I:$I,MATCH($E546,$I:$I,0)+IF(COUNTIF($E$194:$E546,$E546)&lt;=VLOOKUP($E546,$I$134:$K$193,3,0)-1,0,1),0)</f>
        <v>1216</v>
      </c>
      <c r="F547" s="45" t="str">
        <f t="shared" si="46"/>
        <v>女儿国国王</v>
      </c>
      <c r="G547" s="45" t="s">
        <v>217</v>
      </c>
      <c r="H547" s="45">
        <f>VLOOKUP($E547,[1]Sheet1!$A:$G,7,0)</f>
        <v>2</v>
      </c>
      <c r="I547" s="45" t="str">
        <f>IF($G547="","",IF(COUNTIF(技能描述!$D:$D,$F547)&gt;0,VLOOKUP($F547&amp;$G547,技能描述!$A:$C,3,0),LEFT(VLOOKUP($E547,[1]Sheet1!$A:$J,10,0),FIND("_",VLOOKUP($E547,[1]Sheet1!$A:$J,10,0))-1)&amp;$G547))</f>
        <v>nverguoguowang_skill04</v>
      </c>
      <c r="J547" s="45" t="str">
        <f>IF($I547="","",VLOOKUP($I547,技能描述!$A:$C,3,0))</f>
        <v>女儿国国王于敌阵中召唤神剑，对范围内敌人进行3次攻击，造成自身攻击力@s的法伤，对昏迷、冰冻的目标伤害提升15%</v>
      </c>
      <c r="K547" s="45" t="str">
        <f>IF($I547="","",INDEX([2]Sheet1!$1:$1048576,MATCH($I547,[2]Sheet1!$A:$A,0),MATCH("description_damage",[2]Sheet1!$2:$2,0)))</f>
        <v>121606</v>
      </c>
      <c r="L547" s="80" t="str">
        <f>IF($K547="","",IF(LEN($K547)-LEN(SUBSTITUTE($K547,",",""))=0,VLOOKUP(INT($K547),[3]Sheet1!$A:$C,3,0),VLOOKUP(INT(LEFT($K547,FIND(",",$K547)-1)),[3]Sheet1!$A:$C,3,0)))</f>
        <v>2|2|0.95|0|0|0</v>
      </c>
      <c r="M547" s="80" t="str">
        <f t="shared" si="51"/>
        <v>95%</v>
      </c>
      <c r="N547" s="45" t="str">
        <f>IF(LEN($K547)-LEN(SUBSTITUTE($K547,",",""))=1,VLOOKUP(INT(RIGHT($K547,LEN($K547)-FIND(",",$K547))),[3]Sheet1!$A:$C,3,0),"")</f>
        <v/>
      </c>
      <c r="O547" s="45" t="str">
        <f t="shared" si="48"/>
        <v/>
      </c>
      <c r="P547" s="45" t="str">
        <f t="shared" si="44"/>
        <v>女儿国国王于敌阵中召唤神剑，对范围内敌人进行3次攻击，造成自身攻击力95%的法伤，对昏迷、冰冻的目标伤害提升15%</v>
      </c>
      <c r="Q547" s="45" t="str">
        <f t="shared" si="49"/>
        <v>女儿国国王于敌阵中召唤神剑，对范围内敌人进行3次攻击，造成自身攻击力95%的法伤，对昏迷、冰冻的目标伤害提升15%</v>
      </c>
      <c r="R547" s="45"/>
      <c r="S547" s="45" t="str">
        <f>IF(ISERROR($Q547),"进阶+"&amp;COUNTIF($E$194:$E547,$E547)&amp;"："&amp;"找ZC配技能","进阶+"&amp;COUNTIF($E$194:$E547,$E547)&amp;"："&amp;VLOOKUP(COUNTIF($E$194:$E547,$E547),$L$184:$R$193,IF(H547=1,4,IF(H547=4,3,2))+IF(INDEX([1]Sheet1!$1:$1048576,MATCH($E547,[1]Sheet1!$A:$A,0),MATCH("zizhi",[1]Sheet1!$2:$2,0))&gt;=13,0,3),0)&amp;IF($Q547="","","（"&amp;$Q547&amp;"）"))</f>
        <v>进阶+4：激活AI2技能（女儿国国王于敌阵中召唤神剑，对范围内敌人进行3次攻击，造成自身攻击力95%的法伤，对昏迷、冰冻的目标伤害提升15%）</v>
      </c>
      <c r="T547" s="1"/>
      <c r="U547" s="1"/>
      <c r="V547" s="2" t="str">
        <f>VLOOKUP(COUNTIF($E$194:$E547,$E547),$L$184:$X$193,IF(H547=1,4,IF(H547=4,3,2))+IF(INDEX([1]Sheet1!$1:$1048576,MATCH($E547,[1]Sheet1!$A:$A,0),MATCH("zizhi",[1]Sheet1!$2:$2,0))&gt;=13,0,3)+6,0)</f>
        <v>[]</v>
      </c>
      <c r="W547" s="2" t="str">
        <f t="shared" si="47"/>
        <v>进阶+4：激活AI2技能（女儿国国王于敌阵中召唤神剑，对范围内敌人进行3次攻击，造成自身攻击力95%的法伤，对昏迷、冰冻的目标伤害提升15%）</v>
      </c>
      <c r="X547" s="45" t="str">
        <f t="shared" si="45"/>
        <v>[]</v>
      </c>
      <c r="Y547" s="2"/>
      <c r="Z547" s="2"/>
      <c r="AA547" s="2"/>
    </row>
    <row r="548" spans="1:27">
      <c r="A548" s="10">
        <f>E548*100+COUNTIF($E$194:$E548,$E548)</f>
        <v>121605</v>
      </c>
      <c r="B548" s="68" t="s">
        <v>323</v>
      </c>
      <c r="C548" s="50" t="s">
        <v>140</v>
      </c>
      <c r="D548" s="10" t="str">
        <f t="shared" si="50"/>
        <v>[]</v>
      </c>
      <c r="E548" s="45">
        <f>INDEX($I:$I,MATCH($E547,$I:$I,0)+IF(COUNTIF($E$194:$E547,$E547)&lt;=VLOOKUP($E547,$I$134:$K$193,3,0)-1,0,1),0)</f>
        <v>1216</v>
      </c>
      <c r="F548" s="45" t="str">
        <f t="shared" si="46"/>
        <v>女儿国国王</v>
      </c>
      <c r="H548" s="45">
        <f>VLOOKUP($E548,[1]Sheet1!$A:$G,7,0)</f>
        <v>2</v>
      </c>
      <c r="I548" s="45" t="str">
        <f>IF($G548="","",IF(COUNTIF(技能描述!$D:$D,$F548)&gt;0,VLOOKUP($F548&amp;$G548,技能描述!$A:$C,3,0),LEFT(VLOOKUP($E548,[1]Sheet1!$A:$J,10,0),FIND("_",VLOOKUP($E548,[1]Sheet1!$A:$J,10,0))-1)&amp;$G548))</f>
        <v/>
      </c>
      <c r="J548" s="45" t="str">
        <f>IF($I548="","",VLOOKUP($I548,技能描述!$A:$C,3,0))</f>
        <v/>
      </c>
      <c r="K548" s="45" t="str">
        <f>IF($I548="","",INDEX([2]Sheet1!$1:$1048576,MATCH($I548,[2]Sheet1!$A:$A,0),MATCH("description_damage",[2]Sheet1!$2:$2,0)))</f>
        <v/>
      </c>
      <c r="L548" s="80" t="str">
        <f>IF($K548="","",IF(LEN($K548)-LEN(SUBSTITUTE($K548,",",""))=0,VLOOKUP(INT($K548),[3]Sheet1!$A:$C,3,0),VLOOKUP(INT(LEFT($K548,FIND(",",$K548)-1)),[3]Sheet1!$A:$C,3,0)))</f>
        <v/>
      </c>
      <c r="M548" s="80" t="str">
        <f t="shared" si="51"/>
        <v/>
      </c>
      <c r="N548" s="45" t="str">
        <f>IF(LEN($K548)-LEN(SUBSTITUTE($K548,",",""))=1,VLOOKUP(INT(RIGHT($K548,LEN($K548)-FIND(",",$K548))),[3]Sheet1!$A:$C,3,0),"")</f>
        <v/>
      </c>
      <c r="O548" s="45" t="str">
        <f t="shared" si="48"/>
        <v/>
      </c>
      <c r="P548" s="45" t="str">
        <f t="shared" si="44"/>
        <v/>
      </c>
      <c r="Q548" s="45" t="str">
        <f t="shared" si="49"/>
        <v/>
      </c>
      <c r="R548" s="45"/>
      <c r="S548" s="45" t="str">
        <f>IF(ISERROR($Q548),"进阶+"&amp;COUNTIF($E$194:$E548,$E548)&amp;"："&amp;"找ZC配技能","进阶+"&amp;COUNTIF($E$194:$E548,$E548)&amp;"："&amp;VLOOKUP(COUNTIF($E$194:$E548,$E548),$L$184:$R$193,IF(H548=1,4,IF(H548=4,3,2))+IF(INDEX([1]Sheet1!$1:$1048576,MATCH($E548,[1]Sheet1!$A:$A,0),MATCH("zizhi",[1]Sheet1!$2:$2,0))&gt;=13,0,3),0)&amp;IF($Q548="","","（"&amp;$Q548&amp;"）"))</f>
        <v>进阶+5：生命，防御提高10%</v>
      </c>
      <c r="T548" s="1"/>
      <c r="U548" s="1"/>
      <c r="V548" s="2" t="str">
        <f>VLOOKUP(COUNTIF($E$194:$E548,$E548),$L$184:$X$193,IF(H548=1,4,IF(H548=4,3,2))+IF(INDEX([1]Sheet1!$1:$1048576,MATCH($E548,[1]Sheet1!$A:$A,0),MATCH("zizhi",[1]Sheet1!$2:$2,0))&gt;=13,0,3)+6,0)</f>
        <v>11090,6502,6512</v>
      </c>
      <c r="W548" s="2" t="str">
        <f t="shared" si="47"/>
        <v>进阶+5：生命，防御提高10%</v>
      </c>
      <c r="X548" s="45" t="str">
        <f t="shared" si="45"/>
        <v>11090,6502,6512</v>
      </c>
      <c r="Y548" s="2"/>
      <c r="Z548" s="2"/>
      <c r="AA548" s="2"/>
    </row>
    <row r="549" spans="1:27" ht="33">
      <c r="A549" s="10">
        <f>E549*100+COUNTIF($E$194:$E549,$E549)</f>
        <v>121606</v>
      </c>
      <c r="B549" s="68" t="s">
        <v>2057</v>
      </c>
      <c r="C549" s="50" t="s">
        <v>2</v>
      </c>
      <c r="D549" s="10">
        <f t="shared" si="50"/>
        <v>1</v>
      </c>
      <c r="E549" s="45">
        <f>INDEX($I:$I,MATCH($E548,$I:$I,0)+IF(COUNTIF($E$194:$E548,$E548)&lt;=VLOOKUP($E548,$I$134:$K$193,3,0)-1,0,1),0)</f>
        <v>1216</v>
      </c>
      <c r="F549" s="45" t="str">
        <f t="shared" si="46"/>
        <v>女儿国国王</v>
      </c>
      <c r="G549" s="45" t="s">
        <v>218</v>
      </c>
      <c r="H549" s="45">
        <f>VLOOKUP($E549,[1]Sheet1!$A:$G,7,0)</f>
        <v>2</v>
      </c>
      <c r="I549" s="45" t="str">
        <f>IF($G549="","",IF(COUNTIF(技能描述!$D:$D,$F549)&gt;0,VLOOKUP($F549&amp;$G549,技能描述!$A:$C,3,0),LEFT(VLOOKUP($E549,[1]Sheet1!$A:$J,10,0),FIND("_",VLOOKUP($E549,[1]Sheet1!$A:$J,10,0))-1)&amp;$G549))</f>
        <v>nverguoguowang_skill011</v>
      </c>
      <c r="J549" s="45" t="str">
        <f>IF($I549="","",VLOOKUP($I549,技能描述!$A:$C,3,0))</f>
        <v>召唤嗜血玫瑰攻击敌军，对范围内敌人造成主角攻击力@s的法伤</v>
      </c>
      <c r="K549" s="45" t="str">
        <f>IF($I549="","",INDEX([2]Sheet1!$1:$1048576,MATCH($I549,[2]Sheet1!$A:$A,0),MATCH("description_damage",[2]Sheet1!$2:$2,0)))</f>
        <v>121607</v>
      </c>
      <c r="L549" s="80" t="str">
        <f>IF($K549="","",IF(LEN($K549)-LEN(SUBSTITUTE($K549,",",""))=0,VLOOKUP(INT($K549),[3]Sheet1!$A:$C,3,0),VLOOKUP(INT(LEFT($K549,FIND(",",$K549)-1)),[3]Sheet1!$A:$C,3,0)))</f>
        <v>2|2|5.7|0|0|0</v>
      </c>
      <c r="M549" s="80" t="str">
        <f t="shared" si="51"/>
        <v>570%</v>
      </c>
      <c r="N549" s="45" t="str">
        <f>IF(LEN($K549)-LEN(SUBSTITUTE($K549,",",""))=1,VLOOKUP(INT(RIGHT($K549,LEN($K549)-FIND(",",$K549))),[3]Sheet1!$A:$C,3,0),"")</f>
        <v/>
      </c>
      <c r="O549" s="45" t="str">
        <f t="shared" si="48"/>
        <v/>
      </c>
      <c r="P549" s="45" t="str">
        <f t="shared" si="44"/>
        <v>召唤嗜血玫瑰攻击敌军，对范围内敌人造成主角攻击力570%的法伤</v>
      </c>
      <c r="Q549" s="45" t="str">
        <f t="shared" si="49"/>
        <v>召唤嗜血玫瑰攻击敌军，对范围内敌人造成主角攻击力570%的法伤</v>
      </c>
      <c r="R549" s="45"/>
      <c r="S549" s="45" t="str">
        <f>IF(ISERROR($Q549),"进阶+"&amp;COUNTIF($E$194:$E549,$E549)&amp;"："&amp;"找ZC配技能","进阶+"&amp;COUNTIF($E$194:$E549,$E549)&amp;"："&amp;VLOOKUP(COUNTIF($E$194:$E549,$E549),$L$184:$R$193,IF(H549=1,4,IF(H549=4,3,2))+IF(INDEX([1]Sheet1!$1:$1048576,MATCH($E549,[1]Sheet1!$A:$A,0),MATCH("zizhi",[1]Sheet1!$2:$2,0))&gt;=13,0,3),0)&amp;IF($Q549="","","（"&amp;$Q549&amp;"）"))</f>
        <v>进阶+6：增强主角技能（召唤嗜血玫瑰攻击敌军，对范围内敌人造成主角攻击力570%的法伤）</v>
      </c>
      <c r="T549" s="1"/>
      <c r="U549" s="1"/>
      <c r="V549" s="2" t="str">
        <f>VLOOKUP(COUNTIF($E$194:$E549,$E549),$L$184:$X$193,IF(H549=1,4,IF(H549=4,3,2))+IF(INDEX([1]Sheet1!$1:$1048576,MATCH($E549,[1]Sheet1!$A:$A,0),MATCH("zizhi",[1]Sheet1!$2:$2,0))&gt;=13,0,3)+6,0)</f>
        <v>[]</v>
      </c>
      <c r="W549" s="2" t="str">
        <f t="shared" si="47"/>
        <v>进阶+6：增强主角技能（召唤嗜血玫瑰攻击敌军，对范围内敌人造成主角攻击力570%的法伤）</v>
      </c>
      <c r="X549" s="45" t="str">
        <f t="shared" si="45"/>
        <v>[]</v>
      </c>
      <c r="Y549" s="2"/>
      <c r="Z549" s="2"/>
      <c r="AA549" s="2"/>
    </row>
    <row r="550" spans="1:27">
      <c r="A550" s="10">
        <f>E550*100+COUNTIF($E$194:$E550,$E550)</f>
        <v>121607</v>
      </c>
      <c r="B550" s="68" t="s">
        <v>359</v>
      </c>
      <c r="C550" s="50" t="s">
        <v>353</v>
      </c>
      <c r="D550" s="10" t="str">
        <f t="shared" si="50"/>
        <v>[]</v>
      </c>
      <c r="E550" s="45">
        <f>INDEX($I:$I,MATCH($E549,$I:$I,0)+IF(COUNTIF($E$194:$E549,$E549)&lt;=VLOOKUP($E549,$I$134:$K$193,3,0)-1,0,1),0)</f>
        <v>1216</v>
      </c>
      <c r="F550" s="45" t="str">
        <f t="shared" si="46"/>
        <v>女儿国国王</v>
      </c>
      <c r="H550" s="45">
        <f>VLOOKUP($E550,[1]Sheet1!$A:$G,7,0)</f>
        <v>2</v>
      </c>
      <c r="I550" s="45" t="str">
        <f>IF($G550="","",IF(COUNTIF(技能描述!$D:$D,$F550)&gt;0,VLOOKUP($F550&amp;$G550,技能描述!$A:$C,3,0),LEFT(VLOOKUP($E550,[1]Sheet1!$A:$J,10,0),FIND("_",VLOOKUP($E550,[1]Sheet1!$A:$J,10,0))-1)&amp;$G550))</f>
        <v/>
      </c>
      <c r="J550" s="45" t="str">
        <f>IF($I550="","",VLOOKUP($I550,技能描述!$A:$C,3,0))</f>
        <v/>
      </c>
      <c r="K550" s="45" t="str">
        <f>IF($I550="","",INDEX([2]Sheet1!$1:$1048576,MATCH($I550,[2]Sheet1!$A:$A,0),MATCH("description_damage",[2]Sheet1!$2:$2,0)))</f>
        <v/>
      </c>
      <c r="L550" s="80" t="str">
        <f>IF($K550="","",IF(LEN($K550)-LEN(SUBSTITUTE($K550,",",""))=0,VLOOKUP(INT($K550),[3]Sheet1!$A:$C,3,0),VLOOKUP(INT(LEFT($K550,FIND(",",$K550)-1)),[3]Sheet1!$A:$C,3,0)))</f>
        <v/>
      </c>
      <c r="M550" s="80" t="str">
        <f t="shared" si="51"/>
        <v/>
      </c>
      <c r="N550" s="45" t="str">
        <f>IF(LEN($K550)-LEN(SUBSTITUTE($K550,",",""))=1,VLOOKUP(INT(RIGHT($K550,LEN($K550)-FIND(",",$K550))),[3]Sheet1!$A:$C,3,0),"")</f>
        <v/>
      </c>
      <c r="O550" s="45" t="str">
        <f t="shared" si="48"/>
        <v/>
      </c>
      <c r="P550" s="45" t="str">
        <f t="shared" si="44"/>
        <v/>
      </c>
      <c r="Q550" s="45" t="str">
        <f t="shared" si="49"/>
        <v/>
      </c>
      <c r="R550" s="45"/>
      <c r="S550" s="45" t="str">
        <f>IF(ISERROR($Q550),"进阶+"&amp;COUNTIF($E$194:$E550,$E550)&amp;"："&amp;"找ZC配技能","进阶+"&amp;COUNTIF($E$194:$E550,$E550)&amp;"："&amp;VLOOKUP(COUNTIF($E$194:$E550,$E550),$L$184:$R$193,IF(H550=1,4,IF(H550=4,3,2))+IF(INDEX([1]Sheet1!$1:$1048576,MATCH($E550,[1]Sheet1!$A:$A,0),MATCH("zizhi",[1]Sheet1!$2:$2,0))&gt;=13,0,3),0)&amp;IF($Q550="","","（"&amp;$Q550&amp;"）"))</f>
        <v>进阶+7：全队攻击提高10%</v>
      </c>
      <c r="T550" s="1"/>
      <c r="U550" s="1"/>
      <c r="V550" s="2" t="str">
        <f>VLOOKUP(COUNTIF($E$194:$E550,$E550),$L$184:$X$193,IF(H550=1,4,IF(H550=4,3,2))+IF(INDEX([1]Sheet1!$1:$1048576,MATCH($E550,[1]Sheet1!$A:$A,0),MATCH("zizhi",[1]Sheet1!$2:$2,0))&gt;=13,0,3)+6,0)</f>
        <v>58010</v>
      </c>
      <c r="W550" s="2" t="str">
        <f t="shared" si="47"/>
        <v>进阶+7：全队攻击提高10%</v>
      </c>
      <c r="X550" s="45" t="str">
        <f t="shared" si="45"/>
        <v>58010</v>
      </c>
      <c r="Y550" s="2"/>
      <c r="Z550" s="2"/>
      <c r="AA550" s="2"/>
    </row>
    <row r="551" spans="1:27" ht="33">
      <c r="A551" s="10">
        <f>E551*100+COUNTIF($E$194:$E551,$E551)</f>
        <v>121608</v>
      </c>
      <c r="B551" s="68" t="s">
        <v>2058</v>
      </c>
      <c r="C551" s="50" t="s">
        <v>2</v>
      </c>
      <c r="D551" s="10">
        <f t="shared" si="50"/>
        <v>1</v>
      </c>
      <c r="E551" s="45">
        <f>INDEX($I:$I,MATCH($E550,$I:$I,0)+IF(COUNTIF($E$194:$E550,$E550)&lt;=VLOOKUP($E550,$I$134:$K$193,3,0)-1,0,1),0)</f>
        <v>1216</v>
      </c>
      <c r="F551" s="45" t="str">
        <f t="shared" si="46"/>
        <v>女儿国国王</v>
      </c>
      <c r="G551" s="45" t="s">
        <v>219</v>
      </c>
      <c r="H551" s="45">
        <f>VLOOKUP($E551,[1]Sheet1!$A:$G,7,0)</f>
        <v>2</v>
      </c>
      <c r="I551" s="45" t="str">
        <f>IF($G551="","",IF(COUNTIF(技能描述!$D:$D,$F551)&gt;0,VLOOKUP($F551&amp;$G551,技能描述!$A:$C,3,0),LEFT(VLOOKUP($E551,[1]Sheet1!$A:$J,10,0),FIND("_",VLOOKUP($E551,[1]Sheet1!$A:$J,10,0))-1)&amp;$G551))</f>
        <v>nverguoguowang_skill021</v>
      </c>
      <c r="J551" s="45" t="str">
        <f>IF($I551="","",VLOOKUP($I551,技能描述!$A:$C,3,0))</f>
        <v>女儿国国王跳起剑舞，对范围内敌人造成自身攻击力@s的法伤，60%概率魅惑2秒</v>
      </c>
      <c r="K551" s="45" t="str">
        <f>IF($I551="","",INDEX([2]Sheet1!$1:$1048576,MATCH($I551,[2]Sheet1!$A:$A,0),MATCH("description_damage",[2]Sheet1!$2:$2,0)))</f>
        <v>121608</v>
      </c>
      <c r="L551" s="80" t="str">
        <f>IF($K551="","",IF(LEN($K551)-LEN(SUBSTITUTE($K551,",",""))=0,VLOOKUP(INT($K551),[3]Sheet1!$A:$C,3,0),VLOOKUP(INT(LEFT($K551,FIND(",",$K551)-1)),[3]Sheet1!$A:$C,3,0)))</f>
        <v>2|2|3.42|0|0|0</v>
      </c>
      <c r="M551" s="80" t="str">
        <f t="shared" si="51"/>
        <v>342%</v>
      </c>
      <c r="N551" s="45" t="str">
        <f>IF(LEN($K551)-LEN(SUBSTITUTE($K551,",",""))=1,VLOOKUP(INT(RIGHT($K551,LEN($K551)-FIND(",",$K551))),[3]Sheet1!$A:$C,3,0),"")</f>
        <v/>
      </c>
      <c r="O551" s="45" t="str">
        <f t="shared" si="48"/>
        <v/>
      </c>
      <c r="P551" s="45" t="str">
        <f t="shared" si="44"/>
        <v>女儿国国王跳起剑舞，对范围内敌人造成自身攻击力342%的法伤，60%概率魅惑2秒</v>
      </c>
      <c r="Q551" s="45" t="str">
        <f t="shared" si="49"/>
        <v>女儿国国王跳起剑舞，对范围内敌人造成自身攻击力342%的法伤，60%概率魅惑2秒</v>
      </c>
      <c r="R551" s="45"/>
      <c r="S551" s="45" t="str">
        <f>IF(ISERROR($Q551),"进阶+"&amp;COUNTIF($E$194:$E551,$E551)&amp;"："&amp;"找ZC配技能","进阶+"&amp;COUNTIF($E$194:$E551,$E551)&amp;"："&amp;VLOOKUP(COUNTIF($E$194:$E551,$E551),$L$184:$R$193,IF(H551=1,4,IF(H551=4,3,2))+IF(INDEX([1]Sheet1!$1:$1048576,MATCH($E551,[1]Sheet1!$A:$A,0),MATCH("zizhi",[1]Sheet1!$2:$2,0))&gt;=13,0,3),0)&amp;IF($Q551="","","（"&amp;$Q551&amp;"）"))</f>
        <v>进阶+8：增强AI1技能（女儿国国王跳起剑舞，对范围内敌人造成自身攻击力342%的法伤，60%概率魅惑2秒）</v>
      </c>
      <c r="T551" s="1"/>
      <c r="U551" s="1"/>
      <c r="V551" s="2" t="str">
        <f>VLOOKUP(COUNTIF($E$194:$E551,$E551),$L$184:$X$193,IF(H551=1,4,IF(H551=4,3,2))+IF(INDEX([1]Sheet1!$1:$1048576,MATCH($E551,[1]Sheet1!$A:$A,0),MATCH("zizhi",[1]Sheet1!$2:$2,0))&gt;=13,0,3)+6,0)</f>
        <v>[]</v>
      </c>
      <c r="W551" s="2" t="str">
        <f t="shared" si="47"/>
        <v>进阶+8：增强AI1技能（女儿国国王跳起剑舞，对范围内敌人造成自身攻击力342%的法伤，60%概率魅惑2秒）</v>
      </c>
      <c r="X551" s="45" t="str">
        <f t="shared" si="45"/>
        <v>[]</v>
      </c>
      <c r="Y551" s="2"/>
      <c r="Z551" s="2"/>
      <c r="AA551" s="2"/>
    </row>
    <row r="552" spans="1:27">
      <c r="A552" s="10">
        <f>E552*100+COUNTIF($E$194:$E552,$E552)</f>
        <v>121609</v>
      </c>
      <c r="B552" s="68" t="s">
        <v>1899</v>
      </c>
      <c r="C552" s="50" t="s">
        <v>2085</v>
      </c>
      <c r="D552" s="10" t="str">
        <f t="shared" si="50"/>
        <v>[]</v>
      </c>
      <c r="E552" s="45">
        <f>INDEX($I:$I,MATCH($E551,$I:$I,0)+IF(COUNTIF($E$194:$E551,$E551)&lt;=VLOOKUP($E551,$I$134:$K$193,3,0)-1,0,1),0)</f>
        <v>1216</v>
      </c>
      <c r="F552" s="45" t="str">
        <f t="shared" si="46"/>
        <v>女儿国国王</v>
      </c>
      <c r="H552" s="45">
        <f>VLOOKUP($E552,[1]Sheet1!$A:$G,7,0)</f>
        <v>2</v>
      </c>
      <c r="I552" s="45" t="str">
        <f>IF($G552="","",IF(COUNTIF(技能描述!$D:$D,$F552)&gt;0,VLOOKUP($F552&amp;$G552,技能描述!$A:$C,3,0),LEFT(VLOOKUP($E552,[1]Sheet1!$A:$J,10,0),FIND("_",VLOOKUP($E552,[1]Sheet1!$A:$J,10,0))-1)&amp;$G552))</f>
        <v/>
      </c>
      <c r="J552" s="45" t="str">
        <f>IF($I552="","",VLOOKUP($I552,技能描述!$A:$C,3,0))</f>
        <v/>
      </c>
      <c r="K552" s="45" t="str">
        <f>IF($I552="","",INDEX([2]Sheet1!$1:$1048576,MATCH($I552,[2]Sheet1!$A:$A,0),MATCH("description_damage",[2]Sheet1!$2:$2,0)))</f>
        <v/>
      </c>
      <c r="L552" s="80" t="str">
        <f>IF($K552="","",IF(LEN($K552)-LEN(SUBSTITUTE($K552,",",""))=0,VLOOKUP(INT($K552),[3]Sheet1!$A:$C,3,0),VLOOKUP(INT(LEFT($K552,FIND(",",$K552)-1)),[3]Sheet1!$A:$C,3,0)))</f>
        <v/>
      </c>
      <c r="M552" s="80" t="str">
        <f t="shared" si="51"/>
        <v/>
      </c>
      <c r="N552" s="45" t="str">
        <f>IF(LEN($K552)-LEN(SUBSTITUTE($K552,",",""))=1,VLOOKUP(INT(RIGHT($K552,LEN($K552)-FIND(",",$K552))),[3]Sheet1!$A:$C,3,0),"")</f>
        <v/>
      </c>
      <c r="O552" s="45" t="str">
        <f t="shared" si="48"/>
        <v/>
      </c>
      <c r="P552" s="45" t="str">
        <f t="shared" si="44"/>
        <v/>
      </c>
      <c r="Q552" s="45" t="str">
        <f t="shared" si="49"/>
        <v/>
      </c>
      <c r="R552" s="45"/>
      <c r="S552" s="45" t="str">
        <f>IF(ISERROR($Q552),"进阶+"&amp;COUNTIF($E$194:$E552,$E552)&amp;"："&amp;"找ZC配技能","进阶+"&amp;COUNTIF($E$194:$E552,$E552)&amp;"："&amp;VLOOKUP(COUNTIF($E$194:$E552,$E552),$L$184:$R$193,IF(H552=1,4,IF(H552=4,3,2))+IF(INDEX([1]Sheet1!$1:$1048576,MATCH($E552,[1]Sheet1!$A:$A,0),MATCH("zizhi",[1]Sheet1!$2:$2,0))&gt;=13,0,3),0)&amp;IF($Q552="","","（"&amp;$Q552&amp;"）"))</f>
        <v>进阶+9：全队攻击提高15%</v>
      </c>
      <c r="T552" s="1"/>
      <c r="U552" s="1"/>
      <c r="V552" s="2" t="str">
        <f>VLOOKUP(COUNTIF($E$194:$E552,$E552),$L$184:$X$193,IF(H552=1,4,IF(H552=4,3,2))+IF(INDEX([1]Sheet1!$1:$1048576,MATCH($E552,[1]Sheet1!$A:$A,0),MATCH("zizhi",[1]Sheet1!$2:$2,0))&gt;=13,0,3)+6,0)</f>
        <v>58015</v>
      </c>
      <c r="W552" s="2" t="str">
        <f t="shared" si="47"/>
        <v>进阶+9：全队攻击提高15%</v>
      </c>
      <c r="X552" s="45" t="str">
        <f t="shared" si="45"/>
        <v>58015</v>
      </c>
      <c r="Y552" s="2"/>
      <c r="Z552" s="2"/>
      <c r="AA552" s="2"/>
    </row>
    <row r="553" spans="1:27" ht="49.5">
      <c r="A553" s="10">
        <f>E553*100+COUNTIF($E$194:$E553,$E553)</f>
        <v>121610</v>
      </c>
      <c r="B553" s="68" t="s">
        <v>1926</v>
      </c>
      <c r="C553" s="50" t="s">
        <v>2</v>
      </c>
      <c r="D553" s="10">
        <f t="shared" si="50"/>
        <v>1</v>
      </c>
      <c r="E553" s="45">
        <f>INDEX($I:$I,MATCH($E552,$I:$I,0)+IF(COUNTIF($E$194:$E552,$E552)&lt;=VLOOKUP($E552,$I$134:$K$193,3,0)-1,0,1),0)</f>
        <v>1216</v>
      </c>
      <c r="F553" s="45" t="str">
        <f t="shared" si="46"/>
        <v>女儿国国王</v>
      </c>
      <c r="G553" s="45" t="s">
        <v>220</v>
      </c>
      <c r="H553" s="45">
        <f>VLOOKUP($E553,[1]Sheet1!$A:$G,7,0)</f>
        <v>2</v>
      </c>
      <c r="I553" s="45" t="str">
        <f>IF($G553="","",IF(COUNTIF(技能描述!$D:$D,$F553)&gt;0,VLOOKUP($F553&amp;$G553,技能描述!$A:$C,3,0),LEFT(VLOOKUP($E553,[1]Sheet1!$A:$J,10,0),FIND("_",VLOOKUP($E553,[1]Sheet1!$A:$J,10,0))-1)&amp;$G553))</f>
        <v>nverguoguowang_skill041</v>
      </c>
      <c r="J553" s="45" t="str">
        <f>IF($I553="","",VLOOKUP($I553,技能描述!$A:$C,3,0))</f>
        <v>女儿国国王于敌阵中召唤神剑，对范围内敌人进行3次攻击，造成自身攻击力@s的法伤，对昏迷、冰冻的目标伤害提升15%</v>
      </c>
      <c r="K553" s="45" t="str">
        <f>IF($I553="","",INDEX([2]Sheet1!$1:$1048576,MATCH($I553,[2]Sheet1!$A:$A,0),MATCH("description_damage",[2]Sheet1!$2:$2,0)))</f>
        <v>121609</v>
      </c>
      <c r="L553" s="80" t="str">
        <f>IF($K553="","",IF(LEN($K553)-LEN(SUBSTITUTE($K553,",",""))=0,VLOOKUP(INT($K553),[3]Sheet1!$A:$C,3,0),VLOOKUP(INT(LEFT($K553,FIND(",",$K553)-1)),[3]Sheet1!$A:$C,3,0)))</f>
        <v>2|2|1.14|0|0|0</v>
      </c>
      <c r="M553" s="80" t="str">
        <f t="shared" si="51"/>
        <v>114%</v>
      </c>
      <c r="N553" s="45" t="str">
        <f>IF(LEN($K553)-LEN(SUBSTITUTE($K553,",",""))=1,VLOOKUP(INT(RIGHT($K553,LEN($K553)-FIND(",",$K553))),[3]Sheet1!$A:$C,3,0),"")</f>
        <v/>
      </c>
      <c r="O553" s="45" t="str">
        <f t="shared" si="48"/>
        <v/>
      </c>
      <c r="P553" s="45" t="str">
        <f t="shared" si="44"/>
        <v>女儿国国王于敌阵中召唤神剑，对范围内敌人进行3次攻击，造成自身攻击力114%的法伤，对昏迷、冰冻的目标伤害提升15%</v>
      </c>
      <c r="Q553" s="45" t="str">
        <f t="shared" si="49"/>
        <v>女儿国国王于敌阵中召唤神剑，对范围内敌人进行3次攻击，造成自身攻击力114%的法伤，对昏迷、冰冻的目标伤害提升15%</v>
      </c>
      <c r="R553" s="45"/>
      <c r="S553" s="45" t="str">
        <f>IF(ISERROR($Q553),"进阶+"&amp;COUNTIF($E$194:$E553,$E553)&amp;"："&amp;"找ZC配技能","进阶+"&amp;COUNTIF($E$194:$E553,$E553)&amp;"："&amp;VLOOKUP(COUNTIF($E$194:$E553,$E553),$L$184:$R$193,IF(H553=1,4,IF(H553=4,3,2))+IF(INDEX([1]Sheet1!$1:$1048576,MATCH($E553,[1]Sheet1!$A:$A,0),MATCH("zizhi",[1]Sheet1!$2:$2,0))&gt;=13,0,3),0)&amp;IF($Q553="","","（"&amp;$Q553&amp;"）"))</f>
        <v>进阶+10：增强AI2技能（女儿国国王于敌阵中召唤神剑，对范围内敌人进行3次攻击，造成自身攻击力114%的法伤，对昏迷、冰冻的目标伤害提升15%）</v>
      </c>
      <c r="T553" s="1"/>
      <c r="U553" s="1"/>
      <c r="V553" s="2" t="str">
        <f>VLOOKUP(COUNTIF($E$194:$E553,$E553),$L$184:$X$193,IF(H553=1,4,IF(H553=4,3,2))+IF(INDEX([1]Sheet1!$1:$1048576,MATCH($E553,[1]Sheet1!$A:$A,0),MATCH("zizhi",[1]Sheet1!$2:$2,0))&gt;=13,0,3)+6,0)</f>
        <v>[]</v>
      </c>
      <c r="W553" s="2" t="str">
        <f t="shared" si="47"/>
        <v>进阶+10：增强AI2技能（女儿国国王于敌阵中召唤神剑，对范围内敌人进行3次攻击，造成自身攻击力114%的法伤，对昏迷、冰冻的目标伤害提升15%）</v>
      </c>
      <c r="X553" s="45" t="str">
        <f t="shared" si="45"/>
        <v>[]</v>
      </c>
      <c r="Y553" s="2"/>
      <c r="Z553" s="2"/>
      <c r="AA553" s="2"/>
    </row>
    <row r="554" spans="1:27">
      <c r="A554" s="10">
        <f>E554*100+COUNTIF($E$194:$E554,$E554)</f>
        <v>110601</v>
      </c>
      <c r="B554" s="68" t="s">
        <v>310</v>
      </c>
      <c r="C554" s="50" t="s">
        <v>127</v>
      </c>
      <c r="D554" s="10" t="str">
        <f t="shared" si="50"/>
        <v>[]</v>
      </c>
      <c r="E554" s="45">
        <f>INDEX($I:$I,MATCH($E553,$I:$I,0)+IF(COUNTIF($E$194:$E553,$E553)&lt;=VLOOKUP($E553,$I$134:$K$193,3,0)-1,0,1),0)</f>
        <v>1106</v>
      </c>
      <c r="F554" s="45" t="str">
        <f t="shared" si="46"/>
        <v>太白金星</v>
      </c>
      <c r="H554" s="45">
        <f>VLOOKUP($E554,[1]Sheet1!$A:$G,7,0)</f>
        <v>3</v>
      </c>
      <c r="I554" s="45" t="str">
        <f>IF($G554="","",IF(COUNTIF(技能描述!$D:$D,$F554)&gt;0,VLOOKUP($F554&amp;$G554,技能描述!$A:$C,3,0),LEFT(VLOOKUP($E554,[1]Sheet1!$A:$J,10,0),FIND("_",VLOOKUP($E554,[1]Sheet1!$A:$J,10,0))-1)&amp;$G554))</f>
        <v/>
      </c>
      <c r="J554" s="45" t="str">
        <f>IF($I554="","",VLOOKUP($I554,技能描述!$A:$C,3,0))</f>
        <v/>
      </c>
      <c r="K554" s="45" t="str">
        <f>IF($I554="","",INDEX([2]Sheet1!$1:$1048576,MATCH($I554,[2]Sheet1!$A:$A,0),MATCH("description_damage",[2]Sheet1!$2:$2,0)))</f>
        <v/>
      </c>
      <c r="L554" s="80" t="str">
        <f>IF($K554="","",IF(LEN($K554)-LEN(SUBSTITUTE($K554,",",""))=0,VLOOKUP(INT($K554),[3]Sheet1!$A:$C,3,0),VLOOKUP(INT(LEFT($K554,FIND(",",$K554)-1)),[3]Sheet1!$A:$C,3,0)))</f>
        <v/>
      </c>
      <c r="M554" s="80" t="str">
        <f t="shared" si="51"/>
        <v/>
      </c>
      <c r="N554" s="45" t="str">
        <f>IF(LEN($K554)-LEN(SUBSTITUTE($K554,",",""))=1,VLOOKUP(INT(RIGHT($K554,LEN($K554)-FIND(",",$K554))),[3]Sheet1!$A:$C,3,0),"")</f>
        <v/>
      </c>
      <c r="O554" s="45" t="str">
        <f t="shared" si="48"/>
        <v/>
      </c>
      <c r="P554" s="45" t="str">
        <f t="shared" si="44"/>
        <v/>
      </c>
      <c r="Q554" s="45" t="str">
        <f t="shared" si="49"/>
        <v/>
      </c>
      <c r="R554" s="45"/>
      <c r="S554" s="45" t="str">
        <f>IF(ISERROR($Q554),"进阶+"&amp;COUNTIF($E$194:$E554,$E554)&amp;"："&amp;"找ZC配技能","进阶+"&amp;COUNTIF($E$194:$E554,$E554)&amp;"："&amp;VLOOKUP(COUNTIF($E$194:$E554,$E554),$L$184:$R$193,IF(H554=1,4,IF(H554=4,3,2))+IF(INDEX([1]Sheet1!$1:$1048576,MATCH($E554,[1]Sheet1!$A:$A,0),MATCH("zizhi",[1]Sheet1!$2:$2,0))&gt;=13,0,3),0)&amp;IF($Q554="","","（"&amp;$Q554&amp;"）"))</f>
        <v>进阶+1：攻击提高10%</v>
      </c>
      <c r="T554" s="1"/>
      <c r="U554" s="1"/>
      <c r="V554" s="2" t="str">
        <f>VLOOKUP(COUNTIF($E$194:$E554,$E554),$L$184:$X$193,IF(H554=1,4,IF(H554=4,3,2))+IF(INDEX([1]Sheet1!$1:$1048576,MATCH($E554,[1]Sheet1!$A:$A,0),MATCH("zizhi",[1]Sheet1!$2:$2,0))&gt;=13,0,3)+6,0)</f>
        <v>11050</v>
      </c>
      <c r="W554" s="2" t="str">
        <f t="shared" si="47"/>
        <v>进阶+1：攻击提高10%</v>
      </c>
      <c r="X554" s="45" t="str">
        <f t="shared" si="45"/>
        <v>11050</v>
      </c>
      <c r="Y554" s="2"/>
      <c r="Z554" s="2"/>
      <c r="AA554" s="2"/>
    </row>
    <row r="555" spans="1:27" ht="33">
      <c r="A555" s="10">
        <f>E555*100+COUNTIF($E$194:$E555,$E555)</f>
        <v>110602</v>
      </c>
      <c r="B555" s="68" t="s">
        <v>345</v>
      </c>
      <c r="C555" s="50" t="s">
        <v>2</v>
      </c>
      <c r="D555" s="10">
        <f t="shared" si="50"/>
        <v>1</v>
      </c>
      <c r="E555" s="45">
        <f>INDEX($I:$I,MATCH($E554,$I:$I,0)+IF(COUNTIF($E$194:$E554,$E554)&lt;=VLOOKUP($E554,$I$134:$K$193,3,0)-1,0,1),0)</f>
        <v>1106</v>
      </c>
      <c r="F555" s="45" t="str">
        <f t="shared" si="46"/>
        <v>太白金星</v>
      </c>
      <c r="G555" s="45" t="s">
        <v>216</v>
      </c>
      <c r="H555" s="45">
        <f>VLOOKUP($E555,[1]Sheet1!$A:$G,7,0)</f>
        <v>3</v>
      </c>
      <c r="I555" s="45" t="str">
        <f>IF($G555="","",IF(COUNTIF(技能描述!$D:$D,$F555)&gt;0,VLOOKUP($F555&amp;$G555,技能描述!$A:$C,3,0),LEFT(VLOOKUP($E555,[1]Sheet1!$A:$J,10,0),FIND("_",VLOOKUP($E555,[1]Sheet1!$A:$J,10,0))-1)&amp;$G555))</f>
        <v>taibaijinxing_skill03</v>
      </c>
      <c r="J555" s="45" t="str">
        <f>IF($I555="","",VLOOKUP($I555,技能描述!$A:$C,3,0))</f>
        <v>进入战斗场景时，对流血效果的敌人伤害提升@s</v>
      </c>
      <c r="K555" s="45" t="str">
        <f>IF($I555="","",INDEX([2]Sheet1!$1:$1048576,MATCH($I555,[2]Sheet1!$A:$A,0),MATCH("description_damage",[2]Sheet1!$2:$2,0)))</f>
        <v>9020</v>
      </c>
      <c r="L555" s="80" t="str">
        <f>IF($K555="","",IF(LEN($K555)-LEN(SUBSTITUTE($K555,",",""))=0,VLOOKUP(INT($K555),[3]Sheet1!$A:$C,3,0),VLOOKUP(INT(LEFT($K555,FIND(",",$K555)-1)),[3]Sheet1!$A:$C,3,0)))</f>
        <v>4|3|0.2|0|1</v>
      </c>
      <c r="M555" s="80" t="str">
        <f t="shared" si="51"/>
        <v>20%</v>
      </c>
      <c r="N555" s="45" t="str">
        <f>IF(LEN($K555)-LEN(SUBSTITUTE($K555,",",""))=1,VLOOKUP(INT(RIGHT($K555,LEN($K555)-FIND(",",$K555))),[3]Sheet1!$A:$C,3,0),"")</f>
        <v/>
      </c>
      <c r="O555" s="45" t="str">
        <f t="shared" si="48"/>
        <v/>
      </c>
      <c r="P555" s="45" t="str">
        <f t="shared" si="44"/>
        <v>进入战斗场景时，对流血效果的敌人伤害提升20%</v>
      </c>
      <c r="Q555" s="45" t="str">
        <f t="shared" si="49"/>
        <v>进入战斗场景时，对流血效果的敌人伤害提升20%</v>
      </c>
      <c r="R555" s="45"/>
      <c r="S555" s="45" t="str">
        <f>IF(ISERROR($Q555),"进阶+"&amp;COUNTIF($E$194:$E555,$E555)&amp;"："&amp;"找ZC配技能","进阶+"&amp;COUNTIF($E$194:$E555,$E555)&amp;"："&amp;VLOOKUP(COUNTIF($E$194:$E555,$E555),$L$184:$R$193,IF(H555=1,4,IF(H555=4,3,2))+IF(INDEX([1]Sheet1!$1:$1048576,MATCH($E555,[1]Sheet1!$A:$A,0),MATCH("zizhi",[1]Sheet1!$2:$2,0))&gt;=13,0,3),0)&amp;IF($Q555="","","（"&amp;$Q555&amp;"）"))</f>
        <v>进阶+2：激活被动技能（进入战斗场景时，对流血效果的敌人伤害提升20%）</v>
      </c>
      <c r="T555" s="1"/>
      <c r="U555" s="1"/>
      <c r="V555" s="2" t="str">
        <f>VLOOKUP(COUNTIF($E$194:$E555,$E555),$L$184:$X$193,IF(H555=1,4,IF(H555=4,3,2))+IF(INDEX([1]Sheet1!$1:$1048576,MATCH($E555,[1]Sheet1!$A:$A,0),MATCH("zizhi",[1]Sheet1!$2:$2,0))&gt;=13,0,3)+6,0)</f>
        <v>[]</v>
      </c>
      <c r="W555" s="2" t="str">
        <f t="shared" si="47"/>
        <v>进阶+2：激活被动技能（进入战斗场景时，对流血效果的敌人伤害提升20%）</v>
      </c>
      <c r="X555" s="45" t="str">
        <f t="shared" si="45"/>
        <v>[]</v>
      </c>
      <c r="Y555" s="2"/>
      <c r="Z555" s="2"/>
      <c r="AA555" s="2"/>
    </row>
    <row r="556" spans="1:27">
      <c r="A556" s="10">
        <f>E556*100+COUNTIF($E$194:$E556,$E556)</f>
        <v>110603</v>
      </c>
      <c r="B556" s="68" t="s">
        <v>312</v>
      </c>
      <c r="C556" s="50" t="s">
        <v>127</v>
      </c>
      <c r="D556" s="10" t="str">
        <f t="shared" si="50"/>
        <v>[]</v>
      </c>
      <c r="E556" s="45">
        <f>INDEX($I:$I,MATCH($E555,$I:$I,0)+IF(COUNTIF($E$194:$E555,$E555)&lt;=VLOOKUP($E555,$I$134:$K$193,3,0)-1,0,1),0)</f>
        <v>1106</v>
      </c>
      <c r="F556" s="45" t="str">
        <f t="shared" si="46"/>
        <v>太白金星</v>
      </c>
      <c r="H556" s="45">
        <f>VLOOKUP($E556,[1]Sheet1!$A:$G,7,0)</f>
        <v>3</v>
      </c>
      <c r="I556" s="45" t="str">
        <f>IF($G556="","",IF(COUNTIF(技能描述!$D:$D,$F556)&gt;0,VLOOKUP($F556&amp;$G556,技能描述!$A:$C,3,0),LEFT(VLOOKUP($E556,[1]Sheet1!$A:$J,10,0),FIND("_",VLOOKUP($E556,[1]Sheet1!$A:$J,10,0))-1)&amp;$G556))</f>
        <v/>
      </c>
      <c r="J556" s="45" t="str">
        <f>IF($I556="","",VLOOKUP($I556,技能描述!$A:$C,3,0))</f>
        <v/>
      </c>
      <c r="K556" s="45" t="str">
        <f>IF($I556="","",INDEX([2]Sheet1!$1:$1048576,MATCH($I556,[2]Sheet1!$A:$A,0),MATCH("description_damage",[2]Sheet1!$2:$2,0)))</f>
        <v/>
      </c>
      <c r="L556" s="80" t="str">
        <f>IF($K556="","",IF(LEN($K556)-LEN(SUBSTITUTE($K556,",",""))=0,VLOOKUP(INT($K556),[3]Sheet1!$A:$C,3,0),VLOOKUP(INT(LEFT($K556,FIND(",",$K556)-1)),[3]Sheet1!$A:$C,3,0)))</f>
        <v/>
      </c>
      <c r="M556" s="80" t="str">
        <f t="shared" si="51"/>
        <v/>
      </c>
      <c r="N556" s="45" t="str">
        <f>IF(LEN($K556)-LEN(SUBSTITUTE($K556,",",""))=1,VLOOKUP(INT(RIGHT($K556,LEN($K556)-FIND(",",$K556))),[3]Sheet1!$A:$C,3,0),"")</f>
        <v/>
      </c>
      <c r="O556" s="45" t="str">
        <f t="shared" si="48"/>
        <v/>
      </c>
      <c r="P556" s="45" t="str">
        <f t="shared" si="44"/>
        <v/>
      </c>
      <c r="Q556" s="45" t="str">
        <f t="shared" si="49"/>
        <v/>
      </c>
      <c r="R556" s="45"/>
      <c r="S556" s="45" t="str">
        <f>IF(ISERROR($Q556),"进阶+"&amp;COUNTIF($E$194:$E556,$E556)&amp;"："&amp;"找ZC配技能","进阶+"&amp;COUNTIF($E$194:$E556,$E556)&amp;"："&amp;VLOOKUP(COUNTIF($E$194:$E556,$E556),$L$184:$R$193,IF(H556=1,4,IF(H556=4,3,2))+IF(INDEX([1]Sheet1!$1:$1048576,MATCH($E556,[1]Sheet1!$A:$A,0),MATCH("zizhi",[1]Sheet1!$2:$2,0))&gt;=13,0,3),0)&amp;IF($Q556="","","（"&amp;$Q556&amp;"）"))</f>
        <v>进阶+3：攻击提高10%</v>
      </c>
      <c r="T556" s="1"/>
      <c r="U556" s="1"/>
      <c r="V556" s="2" t="str">
        <f>VLOOKUP(COUNTIF($E$194:$E556,$E556),$L$184:$X$193,IF(H556=1,4,IF(H556=4,3,2))+IF(INDEX([1]Sheet1!$1:$1048576,MATCH($E556,[1]Sheet1!$A:$A,0),MATCH("zizhi",[1]Sheet1!$2:$2,0))&gt;=13,0,3)+6,0)</f>
        <v>11050</v>
      </c>
      <c r="W556" s="2" t="str">
        <f t="shared" si="47"/>
        <v>进阶+3：攻击提高10%</v>
      </c>
      <c r="X556" s="45" t="str">
        <f t="shared" si="45"/>
        <v>11050</v>
      </c>
      <c r="Y556" s="2"/>
      <c r="Z556" s="2"/>
      <c r="AA556" s="2"/>
    </row>
    <row r="557" spans="1:27" ht="33">
      <c r="A557" s="10">
        <f>E557*100+COUNTIF($E$194:$E557,$E557)</f>
        <v>110604</v>
      </c>
      <c r="B557" s="68" t="s">
        <v>1973</v>
      </c>
      <c r="C557" s="50" t="s">
        <v>2</v>
      </c>
      <c r="D557" s="10">
        <f t="shared" si="50"/>
        <v>1</v>
      </c>
      <c r="E557" s="45">
        <f>INDEX($I:$I,MATCH($E556,$I:$I,0)+IF(COUNTIF($E$194:$E556,$E556)&lt;=VLOOKUP($E556,$I$134:$K$193,3,0)-1,0,1),0)</f>
        <v>1106</v>
      </c>
      <c r="F557" s="45" t="str">
        <f t="shared" si="46"/>
        <v>太白金星</v>
      </c>
      <c r="G557" s="45" t="s">
        <v>217</v>
      </c>
      <c r="H557" s="45">
        <f>VLOOKUP($E557,[1]Sheet1!$A:$G,7,0)</f>
        <v>3</v>
      </c>
      <c r="I557" s="45" t="str">
        <f>IF($G557="","",IF(COUNTIF(技能描述!$D:$D,$F557)&gt;0,VLOOKUP($F557&amp;$G557,技能描述!$A:$C,3,0),LEFT(VLOOKUP($E557,[1]Sheet1!$A:$J,10,0),FIND("_",VLOOKUP($E557,[1]Sheet1!$A:$J,10,0))-1)&amp;$G557))</f>
        <v>taibaijinxing_skill04</v>
      </c>
      <c r="J557" s="45" t="str">
        <f>IF($I557="","",VLOOKUP($I557,技能描述!$A:$C,3,0))</f>
        <v>对范围内的敌人造成自身攻击力@s的法伤，寒力爆开40%的概率冰封目标2秒</v>
      </c>
      <c r="K557" s="45" t="str">
        <f>IF($I557="","",INDEX([2]Sheet1!$1:$1048576,MATCH($I557,[2]Sheet1!$A:$A,0),MATCH("description_damage",[2]Sheet1!$2:$2,0)))</f>
        <v>110604</v>
      </c>
      <c r="L557" s="80" t="str">
        <f>IF($K557="","",IF(LEN($K557)-LEN(SUBSTITUTE($K557,",",""))=0,VLOOKUP(INT($K557),[3]Sheet1!$A:$C,3,0),VLOOKUP(INT(LEFT($K557,FIND(",",$K557)-1)),[3]Sheet1!$A:$C,3,0)))</f>
        <v>2|2|1.43|0|0|0</v>
      </c>
      <c r="M557" s="80" t="str">
        <f t="shared" si="51"/>
        <v>143%</v>
      </c>
      <c r="N557" s="45" t="str">
        <f>IF(LEN($K557)-LEN(SUBSTITUTE($K557,",",""))=1,VLOOKUP(INT(RIGHT($K557,LEN($K557)-FIND(",",$K557))),[3]Sheet1!$A:$C,3,0),"")</f>
        <v/>
      </c>
      <c r="O557" s="45" t="str">
        <f t="shared" si="48"/>
        <v/>
      </c>
      <c r="P557" s="45" t="str">
        <f t="shared" si="44"/>
        <v>对范围内的敌人造成自身攻击力143%的法伤，寒力爆开40%的概率冰封目标2秒</v>
      </c>
      <c r="Q557" s="45" t="str">
        <f t="shared" si="49"/>
        <v>对范围内的敌人造成自身攻击力143%的法伤，寒力爆开40%的概率冰封目标2秒</v>
      </c>
      <c r="R557" s="45"/>
      <c r="S557" s="45" t="str">
        <f>IF(ISERROR($Q557),"进阶+"&amp;COUNTIF($E$194:$E557,$E557)&amp;"："&amp;"找ZC配技能","进阶+"&amp;COUNTIF($E$194:$E557,$E557)&amp;"："&amp;VLOOKUP(COUNTIF($E$194:$E557,$E557),$L$184:$R$193,IF(H557=1,4,IF(H557=4,3,2))+IF(INDEX([1]Sheet1!$1:$1048576,MATCH($E557,[1]Sheet1!$A:$A,0),MATCH("zizhi",[1]Sheet1!$2:$2,0))&gt;=13,0,3),0)&amp;IF($Q557="","","（"&amp;$Q557&amp;"）"))</f>
        <v>进阶+4：激活AI2技能（对范围内的敌人造成自身攻击力143%的法伤，寒力爆开40%的概率冰封目标2秒）</v>
      </c>
      <c r="T557" s="1"/>
      <c r="U557" s="1"/>
      <c r="V557" s="2" t="str">
        <f>VLOOKUP(COUNTIF($E$194:$E557,$E557),$L$184:$X$193,IF(H557=1,4,IF(H557=4,3,2))+IF(INDEX([1]Sheet1!$1:$1048576,MATCH($E557,[1]Sheet1!$A:$A,0),MATCH("zizhi",[1]Sheet1!$2:$2,0))&gt;=13,0,3)+6,0)</f>
        <v>[]</v>
      </c>
      <c r="W557" s="2" t="str">
        <f t="shared" si="47"/>
        <v>进阶+4：激活AI2技能（对范围内的敌人造成自身攻击力143%的法伤，寒力爆开40%的概率冰封目标2秒）</v>
      </c>
      <c r="X557" s="45" t="str">
        <f t="shared" si="45"/>
        <v>[]</v>
      </c>
      <c r="Y557" s="2"/>
      <c r="Z557" s="2"/>
      <c r="AA557" s="2"/>
    </row>
    <row r="558" spans="1:27">
      <c r="A558" s="10">
        <f>E558*100+COUNTIF($E$194:$E558,$E558)</f>
        <v>110605</v>
      </c>
      <c r="B558" s="68" t="s">
        <v>323</v>
      </c>
      <c r="C558" s="50" t="s">
        <v>140</v>
      </c>
      <c r="D558" s="10" t="str">
        <f t="shared" si="50"/>
        <v>[]</v>
      </c>
      <c r="E558" s="45">
        <f>INDEX($I:$I,MATCH($E557,$I:$I,0)+IF(COUNTIF($E$194:$E557,$E557)&lt;=VLOOKUP($E557,$I$134:$K$193,3,0)-1,0,1),0)</f>
        <v>1106</v>
      </c>
      <c r="F558" s="45" t="str">
        <f t="shared" si="46"/>
        <v>太白金星</v>
      </c>
      <c r="H558" s="45">
        <f>VLOOKUP($E558,[1]Sheet1!$A:$G,7,0)</f>
        <v>3</v>
      </c>
      <c r="I558" s="45" t="str">
        <f>IF($G558="","",IF(COUNTIF(技能描述!$D:$D,$F558)&gt;0,VLOOKUP($F558&amp;$G558,技能描述!$A:$C,3,0),LEFT(VLOOKUP($E558,[1]Sheet1!$A:$J,10,0),FIND("_",VLOOKUP($E558,[1]Sheet1!$A:$J,10,0))-1)&amp;$G558))</f>
        <v/>
      </c>
      <c r="J558" s="45" t="str">
        <f>IF($I558="","",VLOOKUP($I558,技能描述!$A:$C,3,0))</f>
        <v/>
      </c>
      <c r="K558" s="45" t="str">
        <f>IF($I558="","",INDEX([2]Sheet1!$1:$1048576,MATCH($I558,[2]Sheet1!$A:$A,0),MATCH("description_damage",[2]Sheet1!$2:$2,0)))</f>
        <v/>
      </c>
      <c r="L558" s="80" t="str">
        <f>IF($K558="","",IF(LEN($K558)-LEN(SUBSTITUTE($K558,",",""))=0,VLOOKUP(INT($K558),[3]Sheet1!$A:$C,3,0),VLOOKUP(INT(LEFT($K558,FIND(",",$K558)-1)),[3]Sheet1!$A:$C,3,0)))</f>
        <v/>
      </c>
      <c r="M558" s="80" t="str">
        <f t="shared" si="51"/>
        <v/>
      </c>
      <c r="N558" s="45" t="str">
        <f>IF(LEN($K558)-LEN(SUBSTITUTE($K558,",",""))=1,VLOOKUP(INT(RIGHT($K558,LEN($K558)-FIND(",",$K558))),[3]Sheet1!$A:$C,3,0),"")</f>
        <v/>
      </c>
      <c r="O558" s="45" t="str">
        <f t="shared" si="48"/>
        <v/>
      </c>
      <c r="P558" s="45" t="str">
        <f t="shared" si="44"/>
        <v/>
      </c>
      <c r="Q558" s="45" t="str">
        <f t="shared" si="49"/>
        <v/>
      </c>
      <c r="R558" s="45"/>
      <c r="S558" s="45" t="str">
        <f>IF(ISERROR($Q558),"进阶+"&amp;COUNTIF($E$194:$E558,$E558)&amp;"："&amp;"找ZC配技能","进阶+"&amp;COUNTIF($E$194:$E558,$E558)&amp;"："&amp;VLOOKUP(COUNTIF($E$194:$E558,$E558),$L$184:$R$193,IF(H558=1,4,IF(H558=4,3,2))+IF(INDEX([1]Sheet1!$1:$1048576,MATCH($E558,[1]Sheet1!$A:$A,0),MATCH("zizhi",[1]Sheet1!$2:$2,0))&gt;=13,0,3),0)&amp;IF($Q558="","","（"&amp;$Q558&amp;"）"))</f>
        <v>进阶+5：生命，防御提高10%</v>
      </c>
      <c r="T558" s="1"/>
      <c r="U558" s="1"/>
      <c r="V558" s="2" t="str">
        <f>VLOOKUP(COUNTIF($E$194:$E558,$E558),$L$184:$X$193,IF(H558=1,4,IF(H558=4,3,2))+IF(INDEX([1]Sheet1!$1:$1048576,MATCH($E558,[1]Sheet1!$A:$A,0),MATCH("zizhi",[1]Sheet1!$2:$2,0))&gt;=13,0,3)+6,0)</f>
        <v>11090,6502,6512</v>
      </c>
      <c r="W558" s="2" t="str">
        <f t="shared" si="47"/>
        <v>进阶+5：生命，防御提高10%</v>
      </c>
      <c r="X558" s="45" t="str">
        <f t="shared" si="45"/>
        <v>11090,6502,6512</v>
      </c>
      <c r="Y558" s="2"/>
      <c r="Z558" s="2"/>
      <c r="AA558" s="2"/>
    </row>
    <row r="559" spans="1:27" ht="33">
      <c r="A559" s="10">
        <f>E559*100+COUNTIF($E$194:$E559,$E559)</f>
        <v>110606</v>
      </c>
      <c r="B559" s="68" t="s">
        <v>2059</v>
      </c>
      <c r="C559" s="50" t="s">
        <v>2</v>
      </c>
      <c r="D559" s="10">
        <f t="shared" si="50"/>
        <v>1</v>
      </c>
      <c r="E559" s="45">
        <f>INDEX($I:$I,MATCH($E558,$I:$I,0)+IF(COUNTIF($E$194:$E558,$E558)&lt;=VLOOKUP($E558,$I$134:$K$193,3,0)-1,0,1),0)</f>
        <v>1106</v>
      </c>
      <c r="F559" s="45" t="str">
        <f t="shared" si="46"/>
        <v>太白金星</v>
      </c>
      <c r="G559" s="45" t="s">
        <v>218</v>
      </c>
      <c r="H559" s="45">
        <f>VLOOKUP($E559,[1]Sheet1!$A:$G,7,0)</f>
        <v>3</v>
      </c>
      <c r="I559" s="45" t="str">
        <f>IF($G559="","",IF(COUNTIF(技能描述!$D:$D,$F559)&gt;0,VLOOKUP($F559&amp;$G559,技能描述!$A:$C,3,0),LEFT(VLOOKUP($E559,[1]Sheet1!$A:$J,10,0),FIND("_",VLOOKUP($E559,[1]Sheet1!$A:$J,10,0))-1)&amp;$G559))</f>
        <v>taibaijinxing_skill011</v>
      </c>
      <c r="J559" s="45" t="str">
        <f>IF($I559="","",VLOOKUP($I559,技能描述!$A:$C,3,0))</f>
        <v>提升范围内友军@s的伤害和攻击速度，持续3秒</v>
      </c>
      <c r="K559" s="45" t="str">
        <f>IF($I559="","",INDEX([2]Sheet1!$1:$1048576,MATCH($I559,[2]Sheet1!$A:$A,0),MATCH("description_damage",[2]Sheet1!$2:$2,0)))</f>
        <v>9030</v>
      </c>
      <c r="L559" s="80" t="str">
        <f>IF($K559="","",IF(LEN($K559)-LEN(SUBSTITUTE($K559,",",""))=0,VLOOKUP(INT($K559),[3]Sheet1!$A:$C,3,0),VLOOKUP(INT(LEFT($K559,FIND(",",$K559)-1)),[3]Sheet1!$A:$C,3,0)))</f>
        <v>4|3|0.3|0|1</v>
      </c>
      <c r="M559" s="80" t="str">
        <f t="shared" si="51"/>
        <v>30%</v>
      </c>
      <c r="N559" s="45" t="str">
        <f>IF(LEN($K559)-LEN(SUBSTITUTE($K559,",",""))=1,VLOOKUP(INT(RIGHT($K559,LEN($K559)-FIND(",",$K559))),[3]Sheet1!$A:$C,3,0),"")</f>
        <v/>
      </c>
      <c r="O559" s="45" t="str">
        <f t="shared" si="48"/>
        <v/>
      </c>
      <c r="P559" s="45" t="str">
        <f t="shared" si="44"/>
        <v>提升范围内友军30%的伤害和攻击速度，持续3秒</v>
      </c>
      <c r="Q559" s="45" t="str">
        <f t="shared" si="49"/>
        <v>提升范围内友军30%的伤害和攻击速度，持续3秒</v>
      </c>
      <c r="R559" s="45"/>
      <c r="S559" s="45" t="str">
        <f>IF(ISERROR($Q559),"进阶+"&amp;COUNTIF($E$194:$E559,$E559)&amp;"："&amp;"找ZC配技能","进阶+"&amp;COUNTIF($E$194:$E559,$E559)&amp;"："&amp;VLOOKUP(COUNTIF($E$194:$E559,$E559),$L$184:$R$193,IF(H559=1,4,IF(H559=4,3,2))+IF(INDEX([1]Sheet1!$1:$1048576,MATCH($E559,[1]Sheet1!$A:$A,0),MATCH("zizhi",[1]Sheet1!$2:$2,0))&gt;=13,0,3),0)&amp;IF($Q559="","","（"&amp;$Q559&amp;"）"))</f>
        <v>进阶+6：增强主角技能（提升范围内友军30%的伤害和攻击速度，持续3秒）</v>
      </c>
      <c r="T559" s="1"/>
      <c r="U559" s="1"/>
      <c r="V559" s="2" t="str">
        <f>VLOOKUP(COUNTIF($E$194:$E559,$E559),$L$184:$X$193,IF(H559=1,4,IF(H559=4,3,2))+IF(INDEX([1]Sheet1!$1:$1048576,MATCH($E559,[1]Sheet1!$A:$A,0),MATCH("zizhi",[1]Sheet1!$2:$2,0))&gt;=13,0,3)+6,0)</f>
        <v>[]</v>
      </c>
      <c r="W559" s="2" t="str">
        <f t="shared" si="47"/>
        <v>进阶+6：增强主角技能（提升范围内友军30%的伤害和攻击速度，持续3秒）</v>
      </c>
      <c r="X559" s="45" t="str">
        <f t="shared" si="45"/>
        <v>[]</v>
      </c>
      <c r="Y559" s="2"/>
      <c r="Z559" s="2"/>
      <c r="AA559" s="2"/>
    </row>
    <row r="560" spans="1:27">
      <c r="A560" s="10">
        <f>E560*100+COUNTIF($E$194:$E560,$E560)</f>
        <v>110607</v>
      </c>
      <c r="B560" s="68" t="s">
        <v>359</v>
      </c>
      <c r="C560" s="50" t="s">
        <v>353</v>
      </c>
      <c r="D560" s="10" t="str">
        <f t="shared" si="50"/>
        <v>[]</v>
      </c>
      <c r="E560" s="45">
        <f>INDEX($I:$I,MATCH($E559,$I:$I,0)+IF(COUNTIF($E$194:$E559,$E559)&lt;=VLOOKUP($E559,$I$134:$K$193,3,0)-1,0,1),0)</f>
        <v>1106</v>
      </c>
      <c r="F560" s="45" t="str">
        <f t="shared" si="46"/>
        <v>太白金星</v>
      </c>
      <c r="H560" s="45">
        <f>VLOOKUP($E560,[1]Sheet1!$A:$G,7,0)</f>
        <v>3</v>
      </c>
      <c r="I560" s="45" t="str">
        <f>IF($G560="","",IF(COUNTIF(技能描述!$D:$D,$F560)&gt;0,VLOOKUP($F560&amp;$G560,技能描述!$A:$C,3,0),LEFT(VLOOKUP($E560,[1]Sheet1!$A:$J,10,0),FIND("_",VLOOKUP($E560,[1]Sheet1!$A:$J,10,0))-1)&amp;$G560))</f>
        <v/>
      </c>
      <c r="J560" s="45" t="str">
        <f>IF($I560="","",VLOOKUP($I560,技能描述!$A:$C,3,0))</f>
        <v/>
      </c>
      <c r="K560" s="45" t="str">
        <f>IF($I560="","",INDEX([2]Sheet1!$1:$1048576,MATCH($I560,[2]Sheet1!$A:$A,0),MATCH("description_damage",[2]Sheet1!$2:$2,0)))</f>
        <v/>
      </c>
      <c r="L560" s="80" t="str">
        <f>IF($K560="","",IF(LEN($K560)-LEN(SUBSTITUTE($K560,",",""))=0,VLOOKUP(INT($K560),[3]Sheet1!$A:$C,3,0),VLOOKUP(INT(LEFT($K560,FIND(",",$K560)-1)),[3]Sheet1!$A:$C,3,0)))</f>
        <v/>
      </c>
      <c r="M560" s="80" t="str">
        <f t="shared" si="51"/>
        <v/>
      </c>
      <c r="N560" s="45" t="str">
        <f>IF(LEN($K560)-LEN(SUBSTITUTE($K560,",",""))=1,VLOOKUP(INT(RIGHT($K560,LEN($K560)-FIND(",",$K560))),[3]Sheet1!$A:$C,3,0),"")</f>
        <v/>
      </c>
      <c r="O560" s="45" t="str">
        <f t="shared" si="48"/>
        <v/>
      </c>
      <c r="P560" s="45" t="str">
        <f t="shared" si="44"/>
        <v/>
      </c>
      <c r="Q560" s="45" t="str">
        <f t="shared" si="49"/>
        <v/>
      </c>
      <c r="R560" s="45"/>
      <c r="S560" s="45" t="str">
        <f>IF(ISERROR($Q560),"进阶+"&amp;COUNTIF($E$194:$E560,$E560)&amp;"："&amp;"找ZC配技能","进阶+"&amp;COUNTIF($E$194:$E560,$E560)&amp;"："&amp;VLOOKUP(COUNTIF($E$194:$E560,$E560),$L$184:$R$193,IF(H560=1,4,IF(H560=4,3,2))+IF(INDEX([1]Sheet1!$1:$1048576,MATCH($E560,[1]Sheet1!$A:$A,0),MATCH("zizhi",[1]Sheet1!$2:$2,0))&gt;=13,0,3),0)&amp;IF($Q560="","","（"&amp;$Q560&amp;"）"))</f>
        <v>进阶+7：全队攻击提高10%</v>
      </c>
      <c r="T560" s="1"/>
      <c r="U560" s="1"/>
      <c r="V560" s="2" t="str">
        <f>VLOOKUP(COUNTIF($E$194:$E560,$E560),$L$184:$X$193,IF(H560=1,4,IF(H560=4,3,2))+IF(INDEX([1]Sheet1!$1:$1048576,MATCH($E560,[1]Sheet1!$A:$A,0),MATCH("zizhi",[1]Sheet1!$2:$2,0))&gt;=13,0,3)+6,0)</f>
        <v>58010</v>
      </c>
      <c r="W560" s="2" t="str">
        <f t="shared" si="47"/>
        <v>进阶+7：全队攻击提高10%</v>
      </c>
      <c r="X560" s="45" t="str">
        <f t="shared" si="45"/>
        <v>58010</v>
      </c>
      <c r="Y560" s="2"/>
      <c r="Z560" s="2"/>
      <c r="AA560" s="2"/>
    </row>
    <row r="561" spans="1:27">
      <c r="A561" s="10">
        <f>E561*100+COUNTIF($E$194:$E561,$E561)</f>
        <v>110608</v>
      </c>
      <c r="B561" s="68" t="s">
        <v>2060</v>
      </c>
      <c r="C561" s="50" t="s">
        <v>2</v>
      </c>
      <c r="D561" s="10">
        <f t="shared" si="50"/>
        <v>1</v>
      </c>
      <c r="E561" s="45">
        <f>INDEX($I:$I,MATCH($E560,$I:$I,0)+IF(COUNTIF($E$194:$E560,$E560)&lt;=VLOOKUP($E560,$I$134:$K$193,3,0)-1,0,1),0)</f>
        <v>1106</v>
      </c>
      <c r="F561" s="45" t="str">
        <f t="shared" si="46"/>
        <v>太白金星</v>
      </c>
      <c r="G561" s="45" t="s">
        <v>219</v>
      </c>
      <c r="H561" s="45">
        <f>VLOOKUP($E561,[1]Sheet1!$A:$G,7,0)</f>
        <v>3</v>
      </c>
      <c r="I561" s="45" t="str">
        <f>IF($G561="","",IF(COUNTIF(技能描述!$D:$D,$F561)&gt;0,VLOOKUP($F561&amp;$G561,技能描述!$A:$C,3,0),LEFT(VLOOKUP($E561,[1]Sheet1!$A:$J,10,0),FIND("_",VLOOKUP($E561,[1]Sheet1!$A:$J,10,0))-1)&amp;$G561))</f>
        <v>taibaijinxing_skill021</v>
      </c>
      <c r="J561" s="45" t="str">
        <f>IF($I561="","",VLOOKUP($I561,技能描述!$A:$C,3,0))</f>
        <v>对范围内的敌人造成自身攻击力@s的法伤</v>
      </c>
      <c r="K561" s="45" t="str">
        <f>IF($I561="","",INDEX([2]Sheet1!$1:$1048576,MATCH($I561,[2]Sheet1!$A:$A,0),MATCH("description_damage",[2]Sheet1!$2:$2,0)))</f>
        <v>110606</v>
      </c>
      <c r="L561" s="80" t="str">
        <f>IF($K561="","",IF(LEN($K561)-LEN(SUBSTITUTE($K561,",",""))=0,VLOOKUP(INT($K561),[3]Sheet1!$A:$C,3,0),VLOOKUP(INT(LEFT($K561,FIND(",",$K561)-1)),[3]Sheet1!$A:$C,3,0)))</f>
        <v>2|2|2|0|0|0</v>
      </c>
      <c r="M561" s="80" t="str">
        <f t="shared" si="51"/>
        <v>200%</v>
      </c>
      <c r="N561" s="45" t="str">
        <f>IF(LEN($K561)-LEN(SUBSTITUTE($K561,",",""))=1,VLOOKUP(INT(RIGHT($K561,LEN($K561)-FIND(",",$K561))),[3]Sheet1!$A:$C,3,0),"")</f>
        <v/>
      </c>
      <c r="O561" s="45" t="str">
        <f t="shared" si="48"/>
        <v/>
      </c>
      <c r="P561" s="45" t="str">
        <f t="shared" si="44"/>
        <v>对范围内的敌人造成自身攻击力200%的法伤</v>
      </c>
      <c r="Q561" s="45" t="str">
        <f t="shared" si="49"/>
        <v>对范围内的敌人造成自身攻击力200%的法伤</v>
      </c>
      <c r="R561" s="45"/>
      <c r="S561" s="45" t="str">
        <f>IF(ISERROR($Q561),"进阶+"&amp;COUNTIF($E$194:$E561,$E561)&amp;"："&amp;"找ZC配技能","进阶+"&amp;COUNTIF($E$194:$E561,$E561)&amp;"："&amp;VLOOKUP(COUNTIF($E$194:$E561,$E561),$L$184:$R$193,IF(H561=1,4,IF(H561=4,3,2))+IF(INDEX([1]Sheet1!$1:$1048576,MATCH($E561,[1]Sheet1!$A:$A,0),MATCH("zizhi",[1]Sheet1!$2:$2,0))&gt;=13,0,3),0)&amp;IF($Q561="","","（"&amp;$Q561&amp;"）"))</f>
        <v>进阶+8：增强AI1技能（对范围内的敌人造成自身攻击力200%的法伤）</v>
      </c>
      <c r="T561" s="1"/>
      <c r="U561" s="1"/>
      <c r="V561" s="2" t="str">
        <f>VLOOKUP(COUNTIF($E$194:$E561,$E561),$L$184:$X$193,IF(H561=1,4,IF(H561=4,3,2))+IF(INDEX([1]Sheet1!$1:$1048576,MATCH($E561,[1]Sheet1!$A:$A,0),MATCH("zizhi",[1]Sheet1!$2:$2,0))&gt;=13,0,3)+6,0)</f>
        <v>[]</v>
      </c>
      <c r="W561" s="2" t="str">
        <f t="shared" si="47"/>
        <v>进阶+8：增强AI1技能（对范围内的敌人造成自身攻击力200%的法伤）</v>
      </c>
      <c r="X561" s="45" t="str">
        <f t="shared" si="45"/>
        <v>[]</v>
      </c>
      <c r="Y561" s="2"/>
      <c r="Z561" s="2"/>
      <c r="AA561" s="2"/>
    </row>
    <row r="562" spans="1:27">
      <c r="A562" s="10">
        <f>E562*100+COUNTIF($E$194:$E562,$E562)</f>
        <v>110609</v>
      </c>
      <c r="B562" s="68" t="s">
        <v>1899</v>
      </c>
      <c r="C562" s="50" t="s">
        <v>2085</v>
      </c>
      <c r="D562" s="10" t="str">
        <f t="shared" si="50"/>
        <v>[]</v>
      </c>
      <c r="E562" s="45">
        <f>INDEX($I:$I,MATCH($E561,$I:$I,0)+IF(COUNTIF($E$194:$E561,$E561)&lt;=VLOOKUP($E561,$I$134:$K$193,3,0)-1,0,1),0)</f>
        <v>1106</v>
      </c>
      <c r="F562" s="45" t="str">
        <f t="shared" si="46"/>
        <v>太白金星</v>
      </c>
      <c r="H562" s="45">
        <f>VLOOKUP($E562,[1]Sheet1!$A:$G,7,0)</f>
        <v>3</v>
      </c>
      <c r="I562" s="45" t="str">
        <f>IF($G562="","",IF(COUNTIF(技能描述!$D:$D,$F562)&gt;0,VLOOKUP($F562&amp;$G562,技能描述!$A:$C,3,0),LEFT(VLOOKUP($E562,[1]Sheet1!$A:$J,10,0),FIND("_",VLOOKUP($E562,[1]Sheet1!$A:$J,10,0))-1)&amp;$G562))</f>
        <v/>
      </c>
      <c r="J562" s="45" t="str">
        <f>IF($I562="","",VLOOKUP($I562,技能描述!$A:$C,3,0))</f>
        <v/>
      </c>
      <c r="K562" s="45" t="str">
        <f>IF($I562="","",INDEX([2]Sheet1!$1:$1048576,MATCH($I562,[2]Sheet1!$A:$A,0),MATCH("description_damage",[2]Sheet1!$2:$2,0)))</f>
        <v/>
      </c>
      <c r="L562" s="80" t="str">
        <f>IF($K562="","",IF(LEN($K562)-LEN(SUBSTITUTE($K562,",",""))=0,VLOOKUP(INT($K562),[3]Sheet1!$A:$C,3,0),VLOOKUP(INT(LEFT($K562,FIND(",",$K562)-1)),[3]Sheet1!$A:$C,3,0)))</f>
        <v/>
      </c>
      <c r="M562" s="80" t="str">
        <f t="shared" si="51"/>
        <v/>
      </c>
      <c r="N562" s="45" t="str">
        <f>IF(LEN($K562)-LEN(SUBSTITUTE($K562,",",""))=1,VLOOKUP(INT(RIGHT($K562,LEN($K562)-FIND(",",$K562))),[3]Sheet1!$A:$C,3,0),"")</f>
        <v/>
      </c>
      <c r="O562" s="45" t="str">
        <f t="shared" si="48"/>
        <v/>
      </c>
      <c r="P562" s="45" t="str">
        <f t="shared" si="44"/>
        <v/>
      </c>
      <c r="Q562" s="45" t="str">
        <f t="shared" si="49"/>
        <v/>
      </c>
      <c r="R562" s="45"/>
      <c r="S562" s="45" t="str">
        <f>IF(ISERROR($Q562),"进阶+"&amp;COUNTIF($E$194:$E562,$E562)&amp;"："&amp;"找ZC配技能","进阶+"&amp;COUNTIF($E$194:$E562,$E562)&amp;"："&amp;VLOOKUP(COUNTIF($E$194:$E562,$E562),$L$184:$R$193,IF(H562=1,4,IF(H562=4,3,2))+IF(INDEX([1]Sheet1!$1:$1048576,MATCH($E562,[1]Sheet1!$A:$A,0),MATCH("zizhi",[1]Sheet1!$2:$2,0))&gt;=13,0,3),0)&amp;IF($Q562="","","（"&amp;$Q562&amp;"）"))</f>
        <v>进阶+9：全队攻击提高15%</v>
      </c>
      <c r="T562" s="1"/>
      <c r="U562" s="1"/>
      <c r="V562" s="2" t="str">
        <f>VLOOKUP(COUNTIF($E$194:$E562,$E562),$L$184:$X$193,IF(H562=1,4,IF(H562=4,3,2))+IF(INDEX([1]Sheet1!$1:$1048576,MATCH($E562,[1]Sheet1!$A:$A,0),MATCH("zizhi",[1]Sheet1!$2:$2,0))&gt;=13,0,3)+6,0)</f>
        <v>58015</v>
      </c>
      <c r="W562" s="2" t="str">
        <f t="shared" si="47"/>
        <v>进阶+9：全队攻击提高15%</v>
      </c>
      <c r="X562" s="45" t="str">
        <f t="shared" si="45"/>
        <v>58015</v>
      </c>
      <c r="Y562" s="2"/>
      <c r="Z562" s="2"/>
      <c r="AA562" s="2"/>
    </row>
    <row r="563" spans="1:27" ht="33">
      <c r="A563" s="10">
        <f>E563*100+COUNTIF($E$194:$E563,$E563)</f>
        <v>110610</v>
      </c>
      <c r="B563" s="68" t="s">
        <v>1974</v>
      </c>
      <c r="C563" s="50" t="s">
        <v>2</v>
      </c>
      <c r="D563" s="10">
        <f t="shared" si="50"/>
        <v>1</v>
      </c>
      <c r="E563" s="45">
        <f>INDEX($I:$I,MATCH($E562,$I:$I,0)+IF(COUNTIF($E$194:$E562,$E562)&lt;=VLOOKUP($E562,$I$134:$K$193,3,0)-1,0,1),0)</f>
        <v>1106</v>
      </c>
      <c r="F563" s="45" t="str">
        <f t="shared" si="46"/>
        <v>太白金星</v>
      </c>
      <c r="G563" s="45" t="s">
        <v>220</v>
      </c>
      <c r="H563" s="45">
        <f>VLOOKUP($E563,[1]Sheet1!$A:$G,7,0)</f>
        <v>3</v>
      </c>
      <c r="I563" s="45" t="str">
        <f>IF($G563="","",IF(COUNTIF(技能描述!$D:$D,$F563)&gt;0,VLOOKUP($F563&amp;$G563,技能描述!$A:$C,3,0),LEFT(VLOOKUP($E563,[1]Sheet1!$A:$J,10,0),FIND("_",VLOOKUP($E563,[1]Sheet1!$A:$J,10,0))-1)&amp;$G563))</f>
        <v>taibaijinxing_skill041</v>
      </c>
      <c r="J563" s="45" t="str">
        <f>IF($I563="","",VLOOKUP($I563,技能描述!$A:$C,3,0))</f>
        <v>对范围内的敌人造成自身攻击力@s的法伤，寒力爆开60%的概率冰封目标2秒</v>
      </c>
      <c r="K563" s="45" t="str">
        <f>IF($I563="","",INDEX([2]Sheet1!$1:$1048576,MATCH($I563,[2]Sheet1!$A:$A,0),MATCH("description_damage",[2]Sheet1!$2:$2,0)))</f>
        <v>110607</v>
      </c>
      <c r="L563" s="80" t="str">
        <f>IF($K563="","",IF(LEN($K563)-LEN(SUBSTITUTE($K563,",",""))=0,VLOOKUP(INT($K563),[3]Sheet1!$A:$C,3,0),VLOOKUP(INT(LEFT($K563,FIND(",",$K563)-1)),[3]Sheet1!$A:$C,3,0)))</f>
        <v>2|2|2|0|0|0</v>
      </c>
      <c r="M563" s="80" t="str">
        <f t="shared" si="51"/>
        <v>200%</v>
      </c>
      <c r="N563" s="45" t="str">
        <f>IF(LEN($K563)-LEN(SUBSTITUTE($K563,",",""))=1,VLOOKUP(INT(RIGHT($K563,LEN($K563)-FIND(",",$K563))),[3]Sheet1!$A:$C,3,0),"")</f>
        <v/>
      </c>
      <c r="O563" s="45" t="str">
        <f t="shared" si="48"/>
        <v/>
      </c>
      <c r="P563" s="45" t="str">
        <f t="shared" si="44"/>
        <v>对范围内的敌人造成自身攻击力200%的法伤，寒力爆开60%的概率冰封目标2秒</v>
      </c>
      <c r="Q563" s="45" t="str">
        <f t="shared" si="49"/>
        <v>对范围内的敌人造成自身攻击力200%的法伤，寒力爆开60%的概率冰封目标2秒</v>
      </c>
      <c r="R563" s="45"/>
      <c r="S563" s="45" t="str">
        <f>IF(ISERROR($Q563),"进阶+"&amp;COUNTIF($E$194:$E563,$E563)&amp;"："&amp;"找ZC配技能","进阶+"&amp;COUNTIF($E$194:$E563,$E563)&amp;"："&amp;VLOOKUP(COUNTIF($E$194:$E563,$E563),$L$184:$R$193,IF(H563=1,4,IF(H563=4,3,2))+IF(INDEX([1]Sheet1!$1:$1048576,MATCH($E563,[1]Sheet1!$A:$A,0),MATCH("zizhi",[1]Sheet1!$2:$2,0))&gt;=13,0,3),0)&amp;IF($Q563="","","（"&amp;$Q563&amp;"）"))</f>
        <v>进阶+10：增强AI2技能（对范围内的敌人造成自身攻击力200%的法伤，寒力爆开60%的概率冰封目标2秒）</v>
      </c>
      <c r="T563" s="1"/>
      <c r="U563" s="1"/>
      <c r="V563" s="2" t="str">
        <f>VLOOKUP(COUNTIF($E$194:$E563,$E563),$L$184:$X$193,IF(H563=1,4,IF(H563=4,3,2))+IF(INDEX([1]Sheet1!$1:$1048576,MATCH($E563,[1]Sheet1!$A:$A,0),MATCH("zizhi",[1]Sheet1!$2:$2,0))&gt;=13,0,3)+6,0)</f>
        <v>[]</v>
      </c>
      <c r="W563" s="2" t="str">
        <f t="shared" si="47"/>
        <v>进阶+10：增强AI2技能（对范围内的敌人造成自身攻击力200%的法伤，寒力爆开60%的概率冰封目标2秒）</v>
      </c>
      <c r="X563" s="45" t="str">
        <f t="shared" si="45"/>
        <v>[]</v>
      </c>
      <c r="Y563" s="2"/>
      <c r="Z563" s="2"/>
      <c r="AA563" s="2"/>
    </row>
    <row r="564" spans="1:27">
      <c r="A564" s="10">
        <f>E564*100+COUNTIF($E$194:$E564,$E564)</f>
        <v>111501</v>
      </c>
      <c r="B564" s="68" t="s">
        <v>319</v>
      </c>
      <c r="C564" s="50">
        <v>11090</v>
      </c>
      <c r="D564" s="10" t="str">
        <f t="shared" si="50"/>
        <v>[]</v>
      </c>
      <c r="E564" s="45">
        <f>INDEX($I:$I,MATCH($E563,$I:$I,0)+IF(COUNTIF($E$194:$E563,$E563)&lt;=VLOOKUP($E563,$I$134:$K$193,3,0)-1,0,1),0)</f>
        <v>1115</v>
      </c>
      <c r="F564" s="45" t="str">
        <f t="shared" si="46"/>
        <v>羊力大仙</v>
      </c>
      <c r="H564" s="45">
        <f>VLOOKUP($E564,[1]Sheet1!$A:$G,7,0)</f>
        <v>1</v>
      </c>
      <c r="I564" s="45" t="str">
        <f>IF($G564="","",IF(COUNTIF(技能描述!$D:$D,$F564)&gt;0,VLOOKUP($F564&amp;$G564,技能描述!$A:$C,3,0),LEFT(VLOOKUP($E564,[1]Sheet1!$A:$J,10,0),FIND("_",VLOOKUP($E564,[1]Sheet1!$A:$J,10,0))-1)&amp;$G564))</f>
        <v/>
      </c>
      <c r="J564" s="45" t="str">
        <f>IF($I564="","",VLOOKUP($I564,技能描述!$A:$C,3,0))</f>
        <v/>
      </c>
      <c r="K564" s="45" t="str">
        <f>IF($I564="","",INDEX([2]Sheet1!$1:$1048576,MATCH($I564,[2]Sheet1!$A:$A,0),MATCH("description_damage",[2]Sheet1!$2:$2,0)))</f>
        <v/>
      </c>
      <c r="L564" s="80" t="str">
        <f>IF($K564="","",IF(LEN($K564)-LEN(SUBSTITUTE($K564,",",""))=0,VLOOKUP(INT($K564),[3]Sheet1!$A:$C,3,0),VLOOKUP(INT(LEFT($K564,FIND(",",$K564)-1)),[3]Sheet1!$A:$C,3,0)))</f>
        <v/>
      </c>
      <c r="M564" s="80" t="str">
        <f t="shared" si="51"/>
        <v/>
      </c>
      <c r="N564" s="45" t="str">
        <f>IF(LEN($K564)-LEN(SUBSTITUTE($K564,",",""))=1,VLOOKUP(INT(RIGHT($K564,LEN($K564)-FIND(",",$K564))),[3]Sheet1!$A:$C,3,0),"")</f>
        <v/>
      </c>
      <c r="O564" s="45" t="str">
        <f t="shared" si="48"/>
        <v/>
      </c>
      <c r="P564" s="45" t="str">
        <f t="shared" si="44"/>
        <v/>
      </c>
      <c r="Q564" s="45" t="str">
        <f t="shared" si="49"/>
        <v/>
      </c>
      <c r="R564" s="45"/>
      <c r="S564" s="45" t="str">
        <f>IF(ISERROR($Q564),"进阶+"&amp;COUNTIF($E$194:$E564,$E564)&amp;"："&amp;"找ZC配技能","进阶+"&amp;COUNTIF($E$194:$E564,$E564)&amp;"："&amp;VLOOKUP(COUNTIF($E$194:$E564,$E564),$L$184:$R$193,IF(H564=1,4,IF(H564=4,3,2))+IF(INDEX([1]Sheet1!$1:$1048576,MATCH($E564,[1]Sheet1!$A:$A,0),MATCH("zizhi",[1]Sheet1!$2:$2,0))&gt;=13,0,3),0)&amp;IF($Q564="","","（"&amp;$Q564&amp;"）"))</f>
        <v>进阶+1：生命提高10%</v>
      </c>
      <c r="T564" s="1"/>
      <c r="U564" s="1"/>
      <c r="V564" s="2">
        <f>VLOOKUP(COUNTIF($E$194:$E564,$E564),$L$184:$X$193,IF(H564=1,4,IF(H564=4,3,2))+IF(INDEX([1]Sheet1!$1:$1048576,MATCH($E564,[1]Sheet1!$A:$A,0),MATCH("zizhi",[1]Sheet1!$2:$2,0))&gt;=13,0,3)+6,0)</f>
        <v>11090</v>
      </c>
      <c r="W564" s="2" t="str">
        <f t="shared" si="47"/>
        <v>进阶+1：生命提高10%</v>
      </c>
      <c r="X564" s="45">
        <f t="shared" si="45"/>
        <v>11090</v>
      </c>
      <c r="Y564" s="2"/>
      <c r="Z564" s="2"/>
      <c r="AA564" s="2"/>
    </row>
    <row r="565" spans="1:27" ht="33">
      <c r="A565" s="10">
        <f>E565*100+COUNTIF($E$194:$E565,$E565)</f>
        <v>111502</v>
      </c>
      <c r="B565" s="68" t="s">
        <v>336</v>
      </c>
      <c r="C565" s="50" t="s">
        <v>2</v>
      </c>
      <c r="D565" s="10">
        <f t="shared" si="50"/>
        <v>1</v>
      </c>
      <c r="E565" s="45">
        <f>INDEX($I:$I,MATCH($E564,$I:$I,0)+IF(COUNTIF($E$194:$E564,$E564)&lt;=VLOOKUP($E564,$I$134:$K$193,3,0)-1,0,1),0)</f>
        <v>1115</v>
      </c>
      <c r="F565" s="45" t="str">
        <f t="shared" si="46"/>
        <v>羊力大仙</v>
      </c>
      <c r="G565" s="45" t="s">
        <v>216</v>
      </c>
      <c r="H565" s="45">
        <f>VLOOKUP($E565,[1]Sheet1!$A:$G,7,0)</f>
        <v>1</v>
      </c>
      <c r="I565" s="45" t="str">
        <f>IF($G565="","",IF(COUNTIF(技能描述!$D:$D,$F565)&gt;0,VLOOKUP($F565&amp;$G565,技能描述!$A:$C,3,0),LEFT(VLOOKUP($E565,[1]Sheet1!$A:$J,10,0),FIND("_",VLOOKUP($E565,[1]Sheet1!$A:$J,10,0))-1)&amp;$G565))</f>
        <v>yanglidaxian_skill03</v>
      </c>
      <c r="J565" s="45" t="str">
        <f>IF($I565="","",VLOOKUP($I565,技能描述!$A:$C,3,0))</f>
        <v>进入战斗场景时，降低全体友军受到的伤害@s</v>
      </c>
      <c r="K565" s="45" t="str">
        <f>IF($I565="","",INDEX([2]Sheet1!$1:$1048576,MATCH($I565,[2]Sheet1!$A:$A,0),MATCH("description_damage",[2]Sheet1!$2:$2,0)))</f>
        <v>9010</v>
      </c>
      <c r="L565" s="80" t="str">
        <f>IF($K565="","",IF(LEN($K565)-LEN(SUBSTITUTE($K565,",",""))=0,VLOOKUP(INT($K565),[3]Sheet1!$A:$C,3,0),VLOOKUP(INT(LEFT($K565,FIND(",",$K565)-1)),[3]Sheet1!$A:$C,3,0)))</f>
        <v>4|3|0.1|0|1</v>
      </c>
      <c r="M565" s="80" t="str">
        <f t="shared" si="51"/>
        <v>10%</v>
      </c>
      <c r="N565" s="45" t="str">
        <f>IF(LEN($K565)-LEN(SUBSTITUTE($K565,",",""))=1,VLOOKUP(INT(RIGHT($K565,LEN($K565)-FIND(",",$K565))),[3]Sheet1!$A:$C,3,0),"")</f>
        <v/>
      </c>
      <c r="O565" s="45" t="str">
        <f t="shared" si="48"/>
        <v/>
      </c>
      <c r="P565" s="45" t="str">
        <f t="shared" si="44"/>
        <v>进入战斗场景时，降低全体友军受到的伤害10%</v>
      </c>
      <c r="Q565" s="45" t="str">
        <f t="shared" si="49"/>
        <v>进入战斗场景时，降低全体友军受到的伤害10%</v>
      </c>
      <c r="R565" s="45"/>
      <c r="S565" s="45" t="str">
        <f>IF(ISERROR($Q565),"进阶+"&amp;COUNTIF($E$194:$E565,$E565)&amp;"："&amp;"找ZC配技能","进阶+"&amp;COUNTIF($E$194:$E565,$E565)&amp;"："&amp;VLOOKUP(COUNTIF($E$194:$E565,$E565),$L$184:$R$193,IF(H565=1,4,IF(H565=4,3,2))+IF(INDEX([1]Sheet1!$1:$1048576,MATCH($E565,[1]Sheet1!$A:$A,0),MATCH("zizhi",[1]Sheet1!$2:$2,0))&gt;=13,0,3),0)&amp;IF($Q565="","","（"&amp;$Q565&amp;"）"))</f>
        <v>进阶+2：激活被动技能（进入战斗场景时，降低全体友军受到的伤害10%）</v>
      </c>
      <c r="T565" s="1"/>
      <c r="U565" s="1"/>
      <c r="V565" s="2" t="str">
        <f>VLOOKUP(COUNTIF($E$194:$E565,$E565),$L$184:$X$193,IF(H565=1,4,IF(H565=4,3,2))+IF(INDEX([1]Sheet1!$1:$1048576,MATCH($E565,[1]Sheet1!$A:$A,0),MATCH("zizhi",[1]Sheet1!$2:$2,0))&gt;=13,0,3)+6,0)</f>
        <v>[]</v>
      </c>
      <c r="W565" s="2" t="str">
        <f t="shared" si="47"/>
        <v>进阶+2：激活被动技能（进入战斗场景时，降低全体友军受到的伤害10%）</v>
      </c>
      <c r="X565" s="45" t="str">
        <f t="shared" si="45"/>
        <v>[]</v>
      </c>
      <c r="Y565" s="2"/>
      <c r="Z565" s="2"/>
      <c r="AA565" s="2"/>
    </row>
    <row r="566" spans="1:27">
      <c r="A566" s="10">
        <f>E566*100+COUNTIF($E$194:$E566,$E566)</f>
        <v>111503</v>
      </c>
      <c r="B566" s="68" t="s">
        <v>312</v>
      </c>
      <c r="C566" s="50" t="s">
        <v>127</v>
      </c>
      <c r="D566" s="10" t="str">
        <f t="shared" si="50"/>
        <v>[]</v>
      </c>
      <c r="E566" s="45">
        <f>INDEX($I:$I,MATCH($E565,$I:$I,0)+IF(COUNTIF($E$194:$E565,$E565)&lt;=VLOOKUP($E565,$I$134:$K$193,3,0)-1,0,1),0)</f>
        <v>1115</v>
      </c>
      <c r="F566" s="45" t="str">
        <f t="shared" si="46"/>
        <v>羊力大仙</v>
      </c>
      <c r="H566" s="45">
        <f>VLOOKUP($E566,[1]Sheet1!$A:$G,7,0)</f>
        <v>1</v>
      </c>
      <c r="I566" s="45" t="str">
        <f>IF($G566="","",IF(COUNTIF(技能描述!$D:$D,$F566)&gt;0,VLOOKUP($F566&amp;$G566,技能描述!$A:$C,3,0),LEFT(VLOOKUP($E566,[1]Sheet1!$A:$J,10,0),FIND("_",VLOOKUP($E566,[1]Sheet1!$A:$J,10,0))-1)&amp;$G566))</f>
        <v/>
      </c>
      <c r="J566" s="45" t="str">
        <f>IF($I566="","",VLOOKUP($I566,技能描述!$A:$C,3,0))</f>
        <v/>
      </c>
      <c r="K566" s="45" t="str">
        <f>IF($I566="","",INDEX([2]Sheet1!$1:$1048576,MATCH($I566,[2]Sheet1!$A:$A,0),MATCH("description_damage",[2]Sheet1!$2:$2,0)))</f>
        <v/>
      </c>
      <c r="L566" s="80" t="str">
        <f>IF($K566="","",IF(LEN($K566)-LEN(SUBSTITUTE($K566,",",""))=0,VLOOKUP(INT($K566),[3]Sheet1!$A:$C,3,0),VLOOKUP(INT(LEFT($K566,FIND(",",$K566)-1)),[3]Sheet1!$A:$C,3,0)))</f>
        <v/>
      </c>
      <c r="M566" s="80" t="str">
        <f t="shared" si="51"/>
        <v/>
      </c>
      <c r="N566" s="45" t="str">
        <f>IF(LEN($K566)-LEN(SUBSTITUTE($K566,",",""))=1,VLOOKUP(INT(RIGHT($K566,LEN($K566)-FIND(",",$K566))),[3]Sheet1!$A:$C,3,0),"")</f>
        <v/>
      </c>
      <c r="O566" s="45" t="str">
        <f t="shared" si="48"/>
        <v/>
      </c>
      <c r="P566" s="45" t="str">
        <f t="shared" si="44"/>
        <v/>
      </c>
      <c r="Q566" s="45" t="str">
        <f t="shared" si="49"/>
        <v/>
      </c>
      <c r="R566" s="45"/>
      <c r="S566" s="45" t="str">
        <f>IF(ISERROR($Q566),"进阶+"&amp;COUNTIF($E$194:$E566,$E566)&amp;"："&amp;"找ZC配技能","进阶+"&amp;COUNTIF($E$194:$E566,$E566)&amp;"："&amp;VLOOKUP(COUNTIF($E$194:$E566,$E566),$L$184:$R$193,IF(H566=1,4,IF(H566=4,3,2))+IF(INDEX([1]Sheet1!$1:$1048576,MATCH($E566,[1]Sheet1!$A:$A,0),MATCH("zizhi",[1]Sheet1!$2:$2,0))&gt;=13,0,3),0)&amp;IF($Q566="","","（"&amp;$Q566&amp;"）"))</f>
        <v>进阶+3：攻击提高10%</v>
      </c>
      <c r="T566" s="1"/>
      <c r="U566" s="1"/>
      <c r="V566" s="2" t="str">
        <f>VLOOKUP(COUNTIF($E$194:$E566,$E566),$L$184:$X$193,IF(H566=1,4,IF(H566=4,3,2))+IF(INDEX([1]Sheet1!$1:$1048576,MATCH($E566,[1]Sheet1!$A:$A,0),MATCH("zizhi",[1]Sheet1!$2:$2,0))&gt;=13,0,3)+6,0)</f>
        <v>11050</v>
      </c>
      <c r="W566" s="2" t="str">
        <f t="shared" si="47"/>
        <v>进阶+3：攻击提高10%</v>
      </c>
      <c r="X566" s="45" t="str">
        <f t="shared" si="45"/>
        <v>11050</v>
      </c>
      <c r="Y566" s="2"/>
      <c r="Z566" s="2"/>
      <c r="AA566" s="2"/>
    </row>
    <row r="567" spans="1:27" ht="33">
      <c r="A567" s="10">
        <f>E567*100+COUNTIF($E$194:$E567,$E567)</f>
        <v>111504</v>
      </c>
      <c r="B567" s="68" t="s">
        <v>1881</v>
      </c>
      <c r="C567" s="50" t="s">
        <v>2</v>
      </c>
      <c r="D567" s="10">
        <f t="shared" si="50"/>
        <v>1</v>
      </c>
      <c r="E567" s="45">
        <f>INDEX($I:$I,MATCH($E566,$I:$I,0)+IF(COUNTIF($E$194:$E566,$E566)&lt;=VLOOKUP($E566,$I$134:$K$193,3,0)-1,0,1),0)</f>
        <v>1115</v>
      </c>
      <c r="F567" s="45" t="str">
        <f t="shared" si="46"/>
        <v>羊力大仙</v>
      </c>
      <c r="G567" s="45" t="s">
        <v>217</v>
      </c>
      <c r="H567" s="45">
        <f>VLOOKUP($E567,[1]Sheet1!$A:$G,7,0)</f>
        <v>1</v>
      </c>
      <c r="I567" s="45" t="str">
        <f>IF($G567="","",IF(COUNTIF(技能描述!$D:$D,$F567)&gt;0,VLOOKUP($F567&amp;$G567,技能描述!$A:$C,3,0),LEFT(VLOOKUP($E567,[1]Sheet1!$A:$J,10,0),FIND("_",VLOOKUP($E567,[1]Sheet1!$A:$J,10,0))-1)&amp;$G567))</f>
        <v>yanglidaxian_skill04</v>
      </c>
      <c r="J567" s="45" t="str">
        <f>IF($I567="","",VLOOKUP($I567,技能描述!$A:$C,3,0))</f>
        <v>羊力大仙释放灵能，对全体友军每0.5秒产生相当于自身攻击力@s的治疗效果，持续3秒</v>
      </c>
      <c r="K567" s="45" t="str">
        <f>IF($I567="","",INDEX([2]Sheet1!$1:$1048576,MATCH($I567,[2]Sheet1!$A:$A,0),MATCH("description_damage",[2]Sheet1!$2:$2,0)))</f>
        <v>9025</v>
      </c>
      <c r="L567" s="80" t="str">
        <f>IF($K567="","",IF(LEN($K567)-LEN(SUBSTITUTE($K567,",",""))=0,VLOOKUP(INT($K567),[3]Sheet1!$A:$C,3,0),VLOOKUP(INT(LEFT($K567,FIND(",",$K567)-1)),[3]Sheet1!$A:$C,3,0)))</f>
        <v>4|3|0.25|0|1</v>
      </c>
      <c r="M567" s="80" t="str">
        <f t="shared" si="51"/>
        <v>25%</v>
      </c>
      <c r="N567" s="45" t="str">
        <f>IF(LEN($K567)-LEN(SUBSTITUTE($K567,",",""))=1,VLOOKUP(INT(RIGHT($K567,LEN($K567)-FIND(",",$K567))),[3]Sheet1!$A:$C,3,0),"")</f>
        <v/>
      </c>
      <c r="O567" s="45" t="str">
        <f t="shared" si="48"/>
        <v/>
      </c>
      <c r="P567" s="45" t="str">
        <f t="shared" si="44"/>
        <v>羊力大仙释放灵能，对全体友军每0.5秒产生相当于自身攻击力25%的治疗效果，持续3秒</v>
      </c>
      <c r="Q567" s="45" t="str">
        <f t="shared" si="49"/>
        <v>羊力大仙释放灵能，对全体友军每0.5秒产生相当于自身攻击力25%的治疗效果，持续3秒</v>
      </c>
      <c r="R567" s="45"/>
      <c r="S567" s="45" t="str">
        <f>IF(ISERROR($Q567),"进阶+"&amp;COUNTIF($E$194:$E567,$E567)&amp;"："&amp;"找ZC配技能","进阶+"&amp;COUNTIF($E$194:$E567,$E567)&amp;"："&amp;VLOOKUP(COUNTIF($E$194:$E567,$E567),$L$184:$R$193,IF(H567=1,4,IF(H567=4,3,2))+IF(INDEX([1]Sheet1!$1:$1048576,MATCH($E567,[1]Sheet1!$A:$A,0),MATCH("zizhi",[1]Sheet1!$2:$2,0))&gt;=13,0,3),0)&amp;IF($Q567="","","（"&amp;$Q567&amp;"）"))</f>
        <v>进阶+4：激活AI2技能（羊力大仙释放灵能，对全体友军每0.5秒产生相当于自身攻击力25%的治疗效果，持续3秒）</v>
      </c>
      <c r="T567" s="1"/>
      <c r="U567" s="1"/>
      <c r="V567" s="2" t="str">
        <f>VLOOKUP(COUNTIF($E$194:$E567,$E567),$L$184:$X$193,IF(H567=1,4,IF(H567=4,3,2))+IF(INDEX([1]Sheet1!$1:$1048576,MATCH($E567,[1]Sheet1!$A:$A,0),MATCH("zizhi",[1]Sheet1!$2:$2,0))&gt;=13,0,3)+6,0)</f>
        <v>[]</v>
      </c>
      <c r="W567" s="2" t="str">
        <f t="shared" si="47"/>
        <v>进阶+4：激活AI2技能（羊力大仙释放灵能，对全体友军每0.5秒产生相当于自身攻击力25%的治疗效果，持续3秒）</v>
      </c>
      <c r="X567" s="45" t="str">
        <f t="shared" si="45"/>
        <v>[]</v>
      </c>
      <c r="Y567" s="2"/>
      <c r="Z567" s="2"/>
      <c r="AA567" s="2"/>
    </row>
    <row r="568" spans="1:27">
      <c r="A568" s="10">
        <f>E568*100+COUNTIF($E$194:$E568,$E568)</f>
        <v>111505</v>
      </c>
      <c r="B568" s="68" t="s">
        <v>323</v>
      </c>
      <c r="C568" s="50" t="s">
        <v>140</v>
      </c>
      <c r="D568" s="10" t="str">
        <f t="shared" si="50"/>
        <v>[]</v>
      </c>
      <c r="E568" s="45">
        <f>INDEX($I:$I,MATCH($E567,$I:$I,0)+IF(COUNTIF($E$194:$E567,$E567)&lt;=VLOOKUP($E567,$I$134:$K$193,3,0)-1,0,1),0)</f>
        <v>1115</v>
      </c>
      <c r="F568" s="45" t="str">
        <f t="shared" si="46"/>
        <v>羊力大仙</v>
      </c>
      <c r="H568" s="45">
        <f>VLOOKUP($E568,[1]Sheet1!$A:$G,7,0)</f>
        <v>1</v>
      </c>
      <c r="I568" s="45" t="str">
        <f>IF($G568="","",IF(COUNTIF(技能描述!$D:$D,$F568)&gt;0,VLOOKUP($F568&amp;$G568,技能描述!$A:$C,3,0),LEFT(VLOOKUP($E568,[1]Sheet1!$A:$J,10,0),FIND("_",VLOOKUP($E568,[1]Sheet1!$A:$J,10,0))-1)&amp;$G568))</f>
        <v/>
      </c>
      <c r="J568" s="45" t="str">
        <f>IF($I568="","",VLOOKUP($I568,技能描述!$A:$C,3,0))</f>
        <v/>
      </c>
      <c r="K568" s="45" t="str">
        <f>IF($I568="","",INDEX([2]Sheet1!$1:$1048576,MATCH($I568,[2]Sheet1!$A:$A,0),MATCH("description_damage",[2]Sheet1!$2:$2,0)))</f>
        <v/>
      </c>
      <c r="L568" s="80" t="str">
        <f>IF($K568="","",IF(LEN($K568)-LEN(SUBSTITUTE($K568,",",""))=0,VLOOKUP(INT($K568),[3]Sheet1!$A:$C,3,0),VLOOKUP(INT(LEFT($K568,FIND(",",$K568)-1)),[3]Sheet1!$A:$C,3,0)))</f>
        <v/>
      </c>
      <c r="M568" s="80" t="str">
        <f t="shared" si="51"/>
        <v/>
      </c>
      <c r="N568" s="45" t="str">
        <f>IF(LEN($K568)-LEN(SUBSTITUTE($K568,",",""))=1,VLOOKUP(INT(RIGHT($K568,LEN($K568)-FIND(",",$K568))),[3]Sheet1!$A:$C,3,0),"")</f>
        <v/>
      </c>
      <c r="O568" s="45" t="str">
        <f t="shared" si="48"/>
        <v/>
      </c>
      <c r="P568" s="45" t="str">
        <f t="shared" si="44"/>
        <v/>
      </c>
      <c r="Q568" s="45" t="str">
        <f t="shared" si="49"/>
        <v/>
      </c>
      <c r="R568" s="45"/>
      <c r="S568" s="45" t="str">
        <f>IF(ISERROR($Q568),"进阶+"&amp;COUNTIF($E$194:$E568,$E568)&amp;"："&amp;"找ZC配技能","进阶+"&amp;COUNTIF($E$194:$E568,$E568)&amp;"："&amp;VLOOKUP(COUNTIF($E$194:$E568,$E568),$L$184:$R$193,IF(H568=1,4,IF(H568=4,3,2))+IF(INDEX([1]Sheet1!$1:$1048576,MATCH($E568,[1]Sheet1!$A:$A,0),MATCH("zizhi",[1]Sheet1!$2:$2,0))&gt;=13,0,3),0)&amp;IF($Q568="","","（"&amp;$Q568&amp;"）"))</f>
        <v>进阶+5：生命，防御提高10%</v>
      </c>
      <c r="T568" s="1"/>
      <c r="U568" s="1"/>
      <c r="V568" s="2" t="str">
        <f>VLOOKUP(COUNTIF($E$194:$E568,$E568),$L$184:$X$193,IF(H568=1,4,IF(H568=4,3,2))+IF(INDEX([1]Sheet1!$1:$1048576,MATCH($E568,[1]Sheet1!$A:$A,0),MATCH("zizhi",[1]Sheet1!$2:$2,0))&gt;=13,0,3)+6,0)</f>
        <v>11090,6502,6512</v>
      </c>
      <c r="W568" s="2" t="str">
        <f t="shared" si="47"/>
        <v>进阶+5：生命，防御提高10%</v>
      </c>
      <c r="X568" s="45" t="str">
        <f t="shared" si="45"/>
        <v>11090,6502,6512</v>
      </c>
      <c r="Y568" s="2"/>
      <c r="Z568" s="2"/>
      <c r="AA568" s="2"/>
    </row>
    <row r="569" spans="1:27" ht="33">
      <c r="A569" s="10">
        <f>E569*100+COUNTIF($E$194:$E569,$E569)</f>
        <v>111506</v>
      </c>
      <c r="B569" s="68" t="s">
        <v>2061</v>
      </c>
      <c r="C569" s="50" t="s">
        <v>2</v>
      </c>
      <c r="D569" s="10">
        <f t="shared" si="50"/>
        <v>1</v>
      </c>
      <c r="E569" s="45">
        <f>INDEX($I:$I,MATCH($E568,$I:$I,0)+IF(COUNTIF($E$194:$E568,$E568)&lt;=VLOOKUP($E568,$I$134:$K$193,3,0)-1,0,1),0)</f>
        <v>1115</v>
      </c>
      <c r="F569" s="45" t="str">
        <f t="shared" si="46"/>
        <v>羊力大仙</v>
      </c>
      <c r="G569" s="45" t="s">
        <v>218</v>
      </c>
      <c r="H569" s="45">
        <f>VLOOKUP($E569,[1]Sheet1!$A:$G,7,0)</f>
        <v>1</v>
      </c>
      <c r="I569" s="45" t="str">
        <f>IF($G569="","",IF(COUNTIF(技能描述!$D:$D,$F569)&gt;0,VLOOKUP($F569&amp;$G569,技能描述!$A:$C,3,0),LEFT(VLOOKUP($E569,[1]Sheet1!$A:$J,10,0),FIND("_",VLOOKUP($E569,[1]Sheet1!$A:$J,10,0))-1)&amp;$G569))</f>
        <v>yanglidaxian_skill011</v>
      </c>
      <c r="J569" s="45" t="str">
        <f>IF($I569="","",VLOOKUP($I569,技能描述!$A:$C,3,0))</f>
        <v>施展万物复苏之法，治疗全体友军，每0.5秒恢复主角攻击力@s的生命值，持续3秒</v>
      </c>
      <c r="K569" s="45" t="str">
        <f>IF($I569="","",INDEX([2]Sheet1!$1:$1048576,MATCH($I569,[2]Sheet1!$A:$A,0),MATCH("description_damage",[2]Sheet1!$2:$2,0)))</f>
        <v>9050</v>
      </c>
      <c r="L569" s="80" t="str">
        <f>IF($K569="","",IF(LEN($K569)-LEN(SUBSTITUTE($K569,",",""))=0,VLOOKUP(INT($K569),[3]Sheet1!$A:$C,3,0),VLOOKUP(INT(LEFT($K569,FIND(",",$K569)-1)),[3]Sheet1!$A:$C,3,0)))</f>
        <v>4|3|0.5|0|1</v>
      </c>
      <c r="M569" s="80" t="str">
        <f t="shared" si="51"/>
        <v>50%</v>
      </c>
      <c r="N569" s="45" t="str">
        <f>IF(LEN($K569)-LEN(SUBSTITUTE($K569,",",""))=1,VLOOKUP(INT(RIGHT($K569,LEN($K569)-FIND(",",$K569))),[3]Sheet1!$A:$C,3,0),"")</f>
        <v/>
      </c>
      <c r="O569" s="45" t="str">
        <f t="shared" si="48"/>
        <v/>
      </c>
      <c r="P569" s="45" t="str">
        <f t="shared" si="44"/>
        <v>施展万物复苏之法，治疗全体友军，每0.5秒恢复主角攻击力50%的生命值，持续3秒</v>
      </c>
      <c r="Q569" s="45" t="str">
        <f t="shared" si="49"/>
        <v>施展万物复苏之法，治疗全体友军，每0.5秒恢复主角攻击力50%的生命值，持续3秒</v>
      </c>
      <c r="R569" s="45"/>
      <c r="S569" s="45" t="str">
        <f>IF(ISERROR($Q569),"进阶+"&amp;COUNTIF($E$194:$E569,$E569)&amp;"："&amp;"找ZC配技能","进阶+"&amp;COUNTIF($E$194:$E569,$E569)&amp;"："&amp;VLOOKUP(COUNTIF($E$194:$E569,$E569),$L$184:$R$193,IF(H569=1,4,IF(H569=4,3,2))+IF(INDEX([1]Sheet1!$1:$1048576,MATCH($E569,[1]Sheet1!$A:$A,0),MATCH("zizhi",[1]Sheet1!$2:$2,0))&gt;=13,0,3),0)&amp;IF($Q569="","","（"&amp;$Q569&amp;"）"))</f>
        <v>进阶+6：增强主角技能（施展万物复苏之法，治疗全体友军，每0.5秒恢复主角攻击力50%的生命值，持续3秒）</v>
      </c>
      <c r="T569" s="1"/>
      <c r="U569" s="1"/>
      <c r="V569" s="2" t="str">
        <f>VLOOKUP(COUNTIF($E$194:$E569,$E569),$L$184:$X$193,IF(H569=1,4,IF(H569=4,3,2))+IF(INDEX([1]Sheet1!$1:$1048576,MATCH($E569,[1]Sheet1!$A:$A,0),MATCH("zizhi",[1]Sheet1!$2:$2,0))&gt;=13,0,3)+6,0)</f>
        <v>[]</v>
      </c>
      <c r="W569" s="2" t="str">
        <f t="shared" si="47"/>
        <v>进阶+6：增强主角技能（施展万物复苏之法，治疗全体友军，每0.5秒恢复主角攻击力50%的生命值，持续3秒）</v>
      </c>
      <c r="X569" s="45" t="str">
        <f t="shared" si="45"/>
        <v>[]</v>
      </c>
      <c r="Y569" s="2"/>
      <c r="Z569" s="2"/>
      <c r="AA569" s="2"/>
    </row>
    <row r="570" spans="1:27">
      <c r="A570" s="10">
        <f>E570*100+COUNTIF($E$194:$E570,$E570)</f>
        <v>111507</v>
      </c>
      <c r="B570" s="68" t="s">
        <v>360</v>
      </c>
      <c r="C570" s="50" t="s">
        <v>354</v>
      </c>
      <c r="D570" s="10" t="str">
        <f t="shared" si="50"/>
        <v>[]</v>
      </c>
      <c r="E570" s="45">
        <f>INDEX($I:$I,MATCH($E569,$I:$I,0)+IF(COUNTIF($E$194:$E569,$E569)&lt;=VLOOKUP($E569,$I$134:$K$193,3,0)-1,0,1),0)</f>
        <v>1115</v>
      </c>
      <c r="F570" s="45" t="str">
        <f t="shared" si="46"/>
        <v>羊力大仙</v>
      </c>
      <c r="H570" s="45">
        <f>VLOOKUP($E570,[1]Sheet1!$A:$G,7,0)</f>
        <v>1</v>
      </c>
      <c r="I570" s="45" t="str">
        <f>IF($G570="","",IF(COUNTIF(技能描述!$D:$D,$F570)&gt;0,VLOOKUP($F570&amp;$G570,技能描述!$A:$C,3,0),LEFT(VLOOKUP($E570,[1]Sheet1!$A:$J,10,0),FIND("_",VLOOKUP($E570,[1]Sheet1!$A:$J,10,0))-1)&amp;$G570))</f>
        <v/>
      </c>
      <c r="J570" s="45" t="str">
        <f>IF($I570="","",VLOOKUP($I570,技能描述!$A:$C,3,0))</f>
        <v/>
      </c>
      <c r="K570" s="45" t="str">
        <f>IF($I570="","",INDEX([2]Sheet1!$1:$1048576,MATCH($I570,[2]Sheet1!$A:$A,0),MATCH("description_damage",[2]Sheet1!$2:$2,0)))</f>
        <v/>
      </c>
      <c r="L570" s="80" t="str">
        <f>IF($K570="","",IF(LEN($K570)-LEN(SUBSTITUTE($K570,",",""))=0,VLOOKUP(INT($K570),[3]Sheet1!$A:$C,3,0),VLOOKUP(INT(LEFT($K570,FIND(",",$K570)-1)),[3]Sheet1!$A:$C,3,0)))</f>
        <v/>
      </c>
      <c r="M570" s="80" t="str">
        <f t="shared" si="51"/>
        <v/>
      </c>
      <c r="N570" s="45" t="str">
        <f>IF(LEN($K570)-LEN(SUBSTITUTE($K570,",",""))=1,VLOOKUP(INT(RIGHT($K570,LEN($K570)-FIND(",",$K570))),[3]Sheet1!$A:$C,3,0),"")</f>
        <v/>
      </c>
      <c r="O570" s="45" t="str">
        <f t="shared" si="48"/>
        <v/>
      </c>
      <c r="P570" s="45" t="str">
        <f t="shared" si="44"/>
        <v/>
      </c>
      <c r="Q570" s="45" t="str">
        <f t="shared" si="49"/>
        <v/>
      </c>
      <c r="R570" s="45"/>
      <c r="S570" s="45" t="str">
        <f>IF(ISERROR($Q570),"进阶+"&amp;COUNTIF($E$194:$E570,$E570)&amp;"："&amp;"找ZC配技能","进阶+"&amp;COUNTIF($E$194:$E570,$E570)&amp;"："&amp;VLOOKUP(COUNTIF($E$194:$E570,$E570),$L$184:$R$193,IF(H570=1,4,IF(H570=4,3,2))+IF(INDEX([1]Sheet1!$1:$1048576,MATCH($E570,[1]Sheet1!$A:$A,0),MATCH("zizhi",[1]Sheet1!$2:$2,0))&gt;=13,0,3),0)&amp;IF($Q570="","","（"&amp;$Q570&amp;"）"))</f>
        <v>进阶+7：全队生命，防御提高10%</v>
      </c>
      <c r="T570" s="1"/>
      <c r="U570" s="1"/>
      <c r="V570" s="2" t="str">
        <f>VLOOKUP(COUNTIF($E$194:$E570,$E570),$L$184:$X$193,IF(H570=1,4,IF(H570=4,3,2))+IF(INDEX([1]Sheet1!$1:$1048576,MATCH($E570,[1]Sheet1!$A:$A,0),MATCH("zizhi",[1]Sheet1!$2:$2,0))&gt;=13,0,3)+6,0)</f>
        <v>57010,59010,60010</v>
      </c>
      <c r="W570" s="2" t="str">
        <f t="shared" si="47"/>
        <v>进阶+7：全队生命，防御提高10%</v>
      </c>
      <c r="X570" s="45" t="str">
        <f t="shared" si="45"/>
        <v>57010,59010,60010</v>
      </c>
      <c r="Y570" s="2"/>
      <c r="Z570" s="2"/>
      <c r="AA570" s="2"/>
    </row>
    <row r="571" spans="1:27" ht="33">
      <c r="A571" s="10">
        <f>E571*100+COUNTIF($E$194:$E571,$E571)</f>
        <v>111508</v>
      </c>
      <c r="B571" s="68" t="s">
        <v>2062</v>
      </c>
      <c r="C571" s="50" t="s">
        <v>2</v>
      </c>
      <c r="D571" s="10">
        <f t="shared" si="50"/>
        <v>1</v>
      </c>
      <c r="E571" s="45">
        <f>INDEX($I:$I,MATCH($E570,$I:$I,0)+IF(COUNTIF($E$194:$E570,$E570)&lt;=VLOOKUP($E570,$I$134:$K$193,3,0)-1,0,1),0)</f>
        <v>1115</v>
      </c>
      <c r="F571" s="45" t="str">
        <f t="shared" si="46"/>
        <v>羊力大仙</v>
      </c>
      <c r="G571" s="45" t="s">
        <v>219</v>
      </c>
      <c r="H571" s="45">
        <f>VLOOKUP($E571,[1]Sheet1!$A:$G,7,0)</f>
        <v>1</v>
      </c>
      <c r="I571" s="45" t="str">
        <f>IF($G571="","",IF(COUNTIF(技能描述!$D:$D,$F571)&gt;0,VLOOKUP($F571&amp;$G571,技能描述!$A:$C,3,0),LEFT(VLOOKUP($E571,[1]Sheet1!$A:$J,10,0),FIND("_",VLOOKUP($E571,[1]Sheet1!$A:$J,10,0))-1)&amp;$G571))</f>
        <v>yanglidaxian_skill021</v>
      </c>
      <c r="J571" s="45" t="str">
        <f>IF($I571="","",VLOOKUP($I571,技能描述!$A:$C,3,0))</f>
        <v>羊力大仙为生命值百分比最低的友军释放治愈之光，恢复自身攻击力@s的生命值，并清除所有不利状态</v>
      </c>
      <c r="K571" s="45" t="str">
        <f>IF($I571="","",INDEX([2]Sheet1!$1:$1048576,MATCH($I571,[2]Sheet1!$A:$A,0),MATCH("description_damage",[2]Sheet1!$2:$2,0)))</f>
        <v>111506</v>
      </c>
      <c r="L571" s="80" t="str">
        <f>IF($K571="","",IF(LEN($K571)-LEN(SUBSTITUTE($K571,",",""))=0,VLOOKUP(INT($K571),[3]Sheet1!$A:$C,3,0),VLOOKUP(INT(LEFT($K571,FIND(",",$K571)-1)),[3]Sheet1!$A:$C,3,0)))</f>
        <v>3|1|3.6|0</v>
      </c>
      <c r="M571" s="80" t="str">
        <f t="shared" si="51"/>
        <v>360%</v>
      </c>
      <c r="N571" s="45" t="str">
        <f>IF(LEN($K571)-LEN(SUBSTITUTE($K571,",",""))=1,VLOOKUP(INT(RIGHT($K571,LEN($K571)-FIND(",",$K571))),[3]Sheet1!$A:$C,3,0),"")</f>
        <v/>
      </c>
      <c r="O571" s="45" t="str">
        <f t="shared" si="48"/>
        <v/>
      </c>
      <c r="P571" s="45" t="str">
        <f t="shared" si="44"/>
        <v>羊力大仙为生命值百分比最低的友军释放治愈之光，恢复自身攻击力360%的生命值，并清除所有不利状态</v>
      </c>
      <c r="Q571" s="45" t="str">
        <f t="shared" si="49"/>
        <v>羊力大仙为生命值百分比最低的友军释放治愈之光，恢复自身攻击力360%的生命值，并清除所有不利状态</v>
      </c>
      <c r="R571" s="45"/>
      <c r="S571" s="45" t="str">
        <f>IF(ISERROR($Q571),"进阶+"&amp;COUNTIF($E$194:$E571,$E571)&amp;"："&amp;"找ZC配技能","进阶+"&amp;COUNTIF($E$194:$E571,$E571)&amp;"："&amp;VLOOKUP(COUNTIF($E$194:$E571,$E571),$L$184:$R$193,IF(H571=1,4,IF(H571=4,3,2))+IF(INDEX([1]Sheet1!$1:$1048576,MATCH($E571,[1]Sheet1!$A:$A,0),MATCH("zizhi",[1]Sheet1!$2:$2,0))&gt;=13,0,3),0)&amp;IF($Q571="","","（"&amp;$Q571&amp;"）"))</f>
        <v>进阶+8：增强AI1技能（羊力大仙为生命值百分比最低的友军释放治愈之光，恢复自身攻击力360%的生命值，并清除所有不利状态）</v>
      </c>
      <c r="T571" s="1"/>
      <c r="U571" s="1"/>
      <c r="V571" s="2" t="str">
        <f>VLOOKUP(COUNTIF($E$194:$E571,$E571),$L$184:$X$193,IF(H571=1,4,IF(H571=4,3,2))+IF(INDEX([1]Sheet1!$1:$1048576,MATCH($E571,[1]Sheet1!$A:$A,0),MATCH("zizhi",[1]Sheet1!$2:$2,0))&gt;=13,0,3)+6,0)</f>
        <v>[]</v>
      </c>
      <c r="W571" s="2" t="str">
        <f t="shared" si="47"/>
        <v>进阶+8：增强AI1技能（羊力大仙为生命值百分比最低的友军释放治愈之光，恢复自身攻击力360%的生命值，并清除所有不利状态）</v>
      </c>
      <c r="X571" s="45" t="str">
        <f t="shared" si="45"/>
        <v>[]</v>
      </c>
      <c r="Y571" s="2"/>
      <c r="Z571" s="2"/>
      <c r="AA571" s="2"/>
    </row>
    <row r="572" spans="1:27">
      <c r="A572" s="10">
        <f>E572*100+COUNTIF($E$194:$E572,$E572)</f>
        <v>111509</v>
      </c>
      <c r="B572" s="68" t="s">
        <v>1902</v>
      </c>
      <c r="C572" s="50" t="s">
        <v>357</v>
      </c>
      <c r="D572" s="10" t="str">
        <f t="shared" si="50"/>
        <v>[]</v>
      </c>
      <c r="E572" s="45">
        <f>INDEX($I:$I,MATCH($E571,$I:$I,0)+IF(COUNTIF($E$194:$E571,$E571)&lt;=VLOOKUP($E571,$I$134:$K$193,3,0)-1,0,1),0)</f>
        <v>1115</v>
      </c>
      <c r="F572" s="45" t="str">
        <f t="shared" si="46"/>
        <v>羊力大仙</v>
      </c>
      <c r="H572" s="45">
        <f>VLOOKUP($E572,[1]Sheet1!$A:$G,7,0)</f>
        <v>1</v>
      </c>
      <c r="I572" s="45" t="str">
        <f>IF($G572="","",IF(COUNTIF(技能描述!$D:$D,$F572)&gt;0,VLOOKUP($F572&amp;$G572,技能描述!$A:$C,3,0),LEFT(VLOOKUP($E572,[1]Sheet1!$A:$J,10,0),FIND("_",VLOOKUP($E572,[1]Sheet1!$A:$J,10,0))-1)&amp;$G572))</f>
        <v/>
      </c>
      <c r="J572" s="45" t="str">
        <f>IF($I572="","",VLOOKUP($I572,技能描述!$A:$C,3,0))</f>
        <v/>
      </c>
      <c r="K572" s="45" t="str">
        <f>IF($I572="","",INDEX([2]Sheet1!$1:$1048576,MATCH($I572,[2]Sheet1!$A:$A,0),MATCH("description_damage",[2]Sheet1!$2:$2,0)))</f>
        <v/>
      </c>
      <c r="L572" s="80" t="str">
        <f>IF($K572="","",IF(LEN($K572)-LEN(SUBSTITUTE($K572,",",""))=0,VLOOKUP(INT($K572),[3]Sheet1!$A:$C,3,0),VLOOKUP(INT(LEFT($K572,FIND(",",$K572)-1)),[3]Sheet1!$A:$C,3,0)))</f>
        <v/>
      </c>
      <c r="M572" s="80" t="str">
        <f t="shared" si="51"/>
        <v/>
      </c>
      <c r="N572" s="45" t="str">
        <f>IF(LEN($K572)-LEN(SUBSTITUTE($K572,",",""))=1,VLOOKUP(INT(RIGHT($K572,LEN($K572)-FIND(",",$K572))),[3]Sheet1!$A:$C,3,0),"")</f>
        <v/>
      </c>
      <c r="O572" s="45" t="str">
        <f t="shared" si="48"/>
        <v/>
      </c>
      <c r="P572" s="45" t="str">
        <f t="shared" si="44"/>
        <v/>
      </c>
      <c r="Q572" s="45" t="str">
        <f t="shared" si="49"/>
        <v/>
      </c>
      <c r="R572" s="45"/>
      <c r="S572" s="45" t="str">
        <f>IF(ISERROR($Q572),"进阶+"&amp;COUNTIF($E$194:$E572,$E572)&amp;"："&amp;"找ZC配技能","进阶+"&amp;COUNTIF($E$194:$E572,$E572)&amp;"："&amp;VLOOKUP(COUNTIF($E$194:$E572,$E572),$L$184:$R$193,IF(H572=1,4,IF(H572=4,3,2))+IF(INDEX([1]Sheet1!$1:$1048576,MATCH($E572,[1]Sheet1!$A:$A,0),MATCH("zizhi",[1]Sheet1!$2:$2,0))&gt;=13,0,3),0)&amp;IF($Q572="","","（"&amp;$Q572&amp;"）"))</f>
        <v>进阶+9：全队生命，防御提高15%</v>
      </c>
      <c r="T572" s="1"/>
      <c r="U572" s="1"/>
      <c r="V572" s="2" t="str">
        <f>VLOOKUP(COUNTIF($E$194:$E572,$E572),$L$184:$X$193,IF(H572=1,4,IF(H572=4,3,2))+IF(INDEX([1]Sheet1!$1:$1048576,MATCH($E572,[1]Sheet1!$A:$A,0),MATCH("zizhi",[1]Sheet1!$2:$2,0))&gt;=13,0,3)+6,0)</f>
        <v>57015,59015,60015</v>
      </c>
      <c r="W572" s="2" t="str">
        <f t="shared" si="47"/>
        <v>进阶+9：全队生命，防御提高15%</v>
      </c>
      <c r="X572" s="45" t="str">
        <f t="shared" si="45"/>
        <v>57015,59015,60015</v>
      </c>
      <c r="Y572" s="2"/>
      <c r="Z572" s="2"/>
      <c r="AA572" s="2"/>
    </row>
    <row r="573" spans="1:27" ht="33">
      <c r="A573" s="10">
        <f>E573*100+COUNTIF($E$194:$E573,$E573)</f>
        <v>111510</v>
      </c>
      <c r="B573" s="68" t="s">
        <v>2063</v>
      </c>
      <c r="C573" s="50" t="s">
        <v>2</v>
      </c>
      <c r="D573" s="10">
        <f t="shared" si="50"/>
        <v>1</v>
      </c>
      <c r="E573" s="45">
        <f>INDEX($I:$I,MATCH($E572,$I:$I,0)+IF(COUNTIF($E$194:$E572,$E572)&lt;=VLOOKUP($E572,$I$134:$K$193,3,0)-1,0,1),0)</f>
        <v>1115</v>
      </c>
      <c r="F573" s="45" t="str">
        <f t="shared" si="46"/>
        <v>羊力大仙</v>
      </c>
      <c r="G573" s="45" t="s">
        <v>220</v>
      </c>
      <c r="H573" s="45">
        <f>VLOOKUP($E573,[1]Sheet1!$A:$G,7,0)</f>
        <v>1</v>
      </c>
      <c r="I573" s="45" t="str">
        <f>IF($G573="","",IF(COUNTIF(技能描述!$D:$D,$F573)&gt;0,VLOOKUP($F573&amp;$G573,技能描述!$A:$C,3,0),LEFT(VLOOKUP($E573,[1]Sheet1!$A:$J,10,0),FIND("_",VLOOKUP($E573,[1]Sheet1!$A:$J,10,0))-1)&amp;$G573))</f>
        <v>yanglidaxian_skill041</v>
      </c>
      <c r="J573" s="45" t="str">
        <f>IF($I573="","",VLOOKUP($I573,技能描述!$A:$C,3,0))</f>
        <v>羊力大仙释放灵能，对全体友军每0.5秒产生相当于自身攻击力@s的治疗效果，持续3秒</v>
      </c>
      <c r="K573" s="45" t="str">
        <f>IF($I573="","",INDEX([2]Sheet1!$1:$1048576,MATCH($I573,[2]Sheet1!$A:$A,0),MATCH("description_damage",[2]Sheet1!$2:$2,0)))</f>
        <v>9030</v>
      </c>
      <c r="L573" s="80" t="str">
        <f>IF($K573="","",IF(LEN($K573)-LEN(SUBSTITUTE($K573,",",""))=0,VLOOKUP(INT($K573),[3]Sheet1!$A:$C,3,0),VLOOKUP(INT(LEFT($K573,FIND(",",$K573)-1)),[3]Sheet1!$A:$C,3,0)))</f>
        <v>4|3|0.3|0|1</v>
      </c>
      <c r="M573" s="80" t="str">
        <f t="shared" si="51"/>
        <v>30%</v>
      </c>
      <c r="N573" s="45" t="str">
        <f>IF(LEN($K573)-LEN(SUBSTITUTE($K573,",",""))=1,VLOOKUP(INT(RIGHT($K573,LEN($K573)-FIND(",",$K573))),[3]Sheet1!$A:$C,3,0),"")</f>
        <v/>
      </c>
      <c r="O573" s="45" t="str">
        <f t="shared" si="48"/>
        <v/>
      </c>
      <c r="P573" s="45" t="str">
        <f t="shared" si="44"/>
        <v>羊力大仙释放灵能，对全体友军每0.5秒产生相当于自身攻击力30%的治疗效果，持续3秒</v>
      </c>
      <c r="Q573" s="45" t="str">
        <f t="shared" si="49"/>
        <v>羊力大仙释放灵能，对全体友军每0.5秒产生相当于自身攻击力30%的治疗效果，持续3秒</v>
      </c>
      <c r="R573" s="45"/>
      <c r="S573" s="45" t="str">
        <f>IF(ISERROR($Q573),"进阶+"&amp;COUNTIF($E$194:$E573,$E573)&amp;"："&amp;"找ZC配技能","进阶+"&amp;COUNTIF($E$194:$E573,$E573)&amp;"："&amp;VLOOKUP(COUNTIF($E$194:$E573,$E573),$L$184:$R$193,IF(H573=1,4,IF(H573=4,3,2))+IF(INDEX([1]Sheet1!$1:$1048576,MATCH($E573,[1]Sheet1!$A:$A,0),MATCH("zizhi",[1]Sheet1!$2:$2,0))&gt;=13,0,3),0)&amp;IF($Q573="","","（"&amp;$Q573&amp;"）"))</f>
        <v>进阶+10：增强AI2技能（羊力大仙释放灵能，对全体友军每0.5秒产生相当于自身攻击力30%的治疗效果，持续3秒）</v>
      </c>
      <c r="T573" s="1"/>
      <c r="U573" s="1"/>
      <c r="V573" s="2" t="str">
        <f>VLOOKUP(COUNTIF($E$194:$E573,$E573),$L$184:$X$193,IF(H573=1,4,IF(H573=4,3,2))+IF(INDEX([1]Sheet1!$1:$1048576,MATCH($E573,[1]Sheet1!$A:$A,0),MATCH("zizhi",[1]Sheet1!$2:$2,0))&gt;=13,0,3)+6,0)</f>
        <v>[]</v>
      </c>
      <c r="W573" s="2" t="str">
        <f t="shared" si="47"/>
        <v>进阶+10：增强AI2技能（羊力大仙释放灵能，对全体友军每0.5秒产生相当于自身攻击力30%的治疗效果，持续3秒）</v>
      </c>
      <c r="X573" s="45" t="str">
        <f t="shared" si="45"/>
        <v>[]</v>
      </c>
      <c r="Y573" s="2"/>
      <c r="Z573" s="2"/>
      <c r="AA573" s="2"/>
    </row>
    <row r="574" spans="1:27">
      <c r="A574" s="10">
        <f>E574*100+COUNTIF($E$194:$E574,$E574)</f>
        <v>120801</v>
      </c>
      <c r="B574" s="68" t="s">
        <v>310</v>
      </c>
      <c r="C574" s="50" t="s">
        <v>127</v>
      </c>
      <c r="D574" s="10" t="str">
        <f t="shared" si="50"/>
        <v>[]</v>
      </c>
      <c r="E574" s="45">
        <f>INDEX($I:$I,MATCH($E573,$I:$I,0)+IF(COUNTIF($E$194:$E573,$E573)&lt;=VLOOKUP($E573,$I$134:$K$193,3,0)-1,0,1),0)</f>
        <v>1208</v>
      </c>
      <c r="F574" s="45" t="str">
        <f t="shared" si="46"/>
        <v>彩蝶仙童</v>
      </c>
      <c r="H574" s="45">
        <f>VLOOKUP($E574,[1]Sheet1!$A:$G,7,0)</f>
        <v>2</v>
      </c>
      <c r="I574" s="45" t="str">
        <f>IF($G574="","",IF(COUNTIF(技能描述!$D:$D,$F574)&gt;0,VLOOKUP($F574&amp;$G574,技能描述!$A:$C,3,0),LEFT(VLOOKUP($E574,[1]Sheet1!$A:$J,10,0),FIND("_",VLOOKUP($E574,[1]Sheet1!$A:$J,10,0))-1)&amp;$G574))</f>
        <v/>
      </c>
      <c r="J574" s="45" t="str">
        <f>IF($I574="","",VLOOKUP($I574,技能描述!$A:$C,3,0))</f>
        <v/>
      </c>
      <c r="K574" s="45" t="str">
        <f>IF($I574="","",INDEX([2]Sheet1!$1:$1048576,MATCH($I574,[2]Sheet1!$A:$A,0),MATCH("description_damage",[2]Sheet1!$2:$2,0)))</f>
        <v/>
      </c>
      <c r="L574" s="80" t="str">
        <f>IF($K574="","",IF(LEN($K574)-LEN(SUBSTITUTE($K574,",",""))=0,VLOOKUP(INT($K574),[3]Sheet1!$A:$C,3,0),VLOOKUP(INT(LEFT($K574,FIND(",",$K574)-1)),[3]Sheet1!$A:$C,3,0)))</f>
        <v/>
      </c>
      <c r="M574" s="80" t="str">
        <f t="shared" si="51"/>
        <v/>
      </c>
      <c r="N574" s="45" t="str">
        <f>IF(LEN($K574)-LEN(SUBSTITUTE($K574,",",""))=1,VLOOKUP(INT(RIGHT($K574,LEN($K574)-FIND(",",$K574))),[3]Sheet1!$A:$C,3,0),"")</f>
        <v/>
      </c>
      <c r="O574" s="45" t="str">
        <f t="shared" si="48"/>
        <v/>
      </c>
      <c r="P574" s="45" t="str">
        <f t="shared" si="44"/>
        <v/>
      </c>
      <c r="Q574" s="45" t="str">
        <f t="shared" si="49"/>
        <v/>
      </c>
      <c r="R574" s="45"/>
      <c r="S574" s="45" t="str">
        <f>IF(ISERROR($Q574),"进阶+"&amp;COUNTIF($E$194:$E574,$E574)&amp;"："&amp;"找ZC配技能","进阶+"&amp;COUNTIF($E$194:$E574,$E574)&amp;"："&amp;VLOOKUP(COUNTIF($E$194:$E574,$E574),$L$184:$R$193,IF(H574=1,4,IF(H574=4,3,2))+IF(INDEX([1]Sheet1!$1:$1048576,MATCH($E574,[1]Sheet1!$A:$A,0),MATCH("zizhi",[1]Sheet1!$2:$2,0))&gt;=13,0,3),0)&amp;IF($Q574="","","（"&amp;$Q574&amp;"）"))</f>
        <v>进阶+1：攻击提高10%</v>
      </c>
      <c r="T574" s="1"/>
      <c r="U574" s="1"/>
      <c r="V574" s="2" t="str">
        <f>VLOOKUP(COUNTIF($E$194:$E574,$E574),$L$184:$X$193,IF(H574=1,4,IF(H574=4,3,2))+IF(INDEX([1]Sheet1!$1:$1048576,MATCH($E574,[1]Sheet1!$A:$A,0),MATCH("zizhi",[1]Sheet1!$2:$2,0))&gt;=13,0,3)+6,0)</f>
        <v>11050</v>
      </c>
      <c r="W574" s="2" t="str">
        <f t="shared" si="47"/>
        <v>进阶+1：攻击提高10%</v>
      </c>
      <c r="X574" s="45" t="str">
        <f t="shared" si="45"/>
        <v>11050</v>
      </c>
      <c r="Y574" s="2"/>
      <c r="Z574" s="2"/>
      <c r="AA574" s="2"/>
    </row>
    <row r="575" spans="1:27">
      <c r="A575" s="10">
        <f>E575*100+COUNTIF($E$194:$E575,$E575)</f>
        <v>120802</v>
      </c>
      <c r="B575" s="68" t="s">
        <v>337</v>
      </c>
      <c r="C575" s="50" t="s">
        <v>2</v>
      </c>
      <c r="D575" s="10">
        <f t="shared" si="50"/>
        <v>1</v>
      </c>
      <c r="E575" s="45">
        <f>INDEX($I:$I,MATCH($E574,$I:$I,0)+IF(COUNTIF($E$194:$E574,$E574)&lt;=VLOOKUP($E574,$I$134:$K$193,3,0)-1,0,1),0)</f>
        <v>1208</v>
      </c>
      <c r="F575" s="45" t="str">
        <f t="shared" si="46"/>
        <v>彩蝶仙童</v>
      </c>
      <c r="G575" s="45" t="s">
        <v>216</v>
      </c>
      <c r="H575" s="45">
        <f>VLOOKUP($E575,[1]Sheet1!$A:$G,7,0)</f>
        <v>2</v>
      </c>
      <c r="I575" s="45" t="str">
        <f>IF($G575="","",IF(COUNTIF(技能描述!$D:$D,$F575)&gt;0,VLOOKUP($F575&amp;$G575,技能描述!$A:$C,3,0),LEFT(VLOOKUP($E575,[1]Sheet1!$A:$J,10,0),FIND("_",VLOOKUP($E575,[1]Sheet1!$A:$J,10,0))-1)&amp;$G575))</f>
        <v>caidiexiantong_skill03</v>
      </c>
      <c r="J575" s="45" t="str">
        <f>IF($I575="","",VLOOKUP($I575,技能描述!$A:$C,3,0))</f>
        <v>进入战斗场景时，提升自身攻速@s</v>
      </c>
      <c r="K575" s="45" t="str">
        <f>IF($I575="","",INDEX([2]Sheet1!$1:$1048576,MATCH($I575,[2]Sheet1!$A:$A,0),MATCH("description_damage",[2]Sheet1!$2:$2,0)))</f>
        <v>9015</v>
      </c>
      <c r="L575" s="80" t="str">
        <f>IF($K575="","",IF(LEN($K575)-LEN(SUBSTITUTE($K575,",",""))=0,VLOOKUP(INT($K575),[3]Sheet1!$A:$C,3,0),VLOOKUP(INT(LEFT($K575,FIND(",",$K575)-1)),[3]Sheet1!$A:$C,3,0)))</f>
        <v>4|3|0.15|0|1</v>
      </c>
      <c r="M575" s="80" t="str">
        <f t="shared" si="51"/>
        <v>15%</v>
      </c>
      <c r="N575" s="45" t="str">
        <f>IF(LEN($K575)-LEN(SUBSTITUTE($K575,",",""))=1,VLOOKUP(INT(RIGHT($K575,LEN($K575)-FIND(",",$K575))),[3]Sheet1!$A:$C,3,0),"")</f>
        <v/>
      </c>
      <c r="O575" s="45" t="str">
        <f t="shared" si="48"/>
        <v/>
      </c>
      <c r="P575" s="45" t="str">
        <f t="shared" si="44"/>
        <v>进入战斗场景时，提升自身攻速15%</v>
      </c>
      <c r="Q575" s="45" t="str">
        <f t="shared" si="49"/>
        <v>进入战斗场景时，提升自身攻速15%</v>
      </c>
      <c r="R575" s="45"/>
      <c r="S575" s="45" t="str">
        <f>IF(ISERROR($Q575),"进阶+"&amp;COUNTIF($E$194:$E575,$E575)&amp;"："&amp;"找ZC配技能","进阶+"&amp;COUNTIF($E$194:$E575,$E575)&amp;"："&amp;VLOOKUP(COUNTIF($E$194:$E575,$E575),$L$184:$R$193,IF(H575=1,4,IF(H575=4,3,2))+IF(INDEX([1]Sheet1!$1:$1048576,MATCH($E575,[1]Sheet1!$A:$A,0),MATCH("zizhi",[1]Sheet1!$2:$2,0))&gt;=13,0,3),0)&amp;IF($Q575="","","（"&amp;$Q575&amp;"）"))</f>
        <v>进阶+2：激活被动技能（进入战斗场景时，提升自身攻速15%）</v>
      </c>
      <c r="T575" s="1"/>
      <c r="U575" s="1"/>
      <c r="V575" s="2" t="str">
        <f>VLOOKUP(COUNTIF($E$194:$E575,$E575),$L$184:$X$193,IF(H575=1,4,IF(H575=4,3,2))+IF(INDEX([1]Sheet1!$1:$1048576,MATCH($E575,[1]Sheet1!$A:$A,0),MATCH("zizhi",[1]Sheet1!$2:$2,0))&gt;=13,0,3)+6,0)</f>
        <v>[]</v>
      </c>
      <c r="W575" s="2" t="str">
        <f t="shared" si="47"/>
        <v>进阶+2：激活被动技能（进入战斗场景时，提升自身攻速15%）</v>
      </c>
      <c r="X575" s="45" t="str">
        <f t="shared" si="45"/>
        <v>[]</v>
      </c>
      <c r="Y575" s="2"/>
      <c r="Z575" s="2"/>
      <c r="AA575" s="2"/>
    </row>
    <row r="576" spans="1:27">
      <c r="A576" s="10">
        <f>E576*100+COUNTIF($E$194:$E576,$E576)</f>
        <v>120803</v>
      </c>
      <c r="B576" s="68" t="s">
        <v>312</v>
      </c>
      <c r="C576" s="50" t="s">
        <v>127</v>
      </c>
      <c r="D576" s="10" t="str">
        <f t="shared" si="50"/>
        <v>[]</v>
      </c>
      <c r="E576" s="45">
        <f>INDEX($I:$I,MATCH($E575,$I:$I,0)+IF(COUNTIF($E$194:$E575,$E575)&lt;=VLOOKUP($E575,$I$134:$K$193,3,0)-1,0,1),0)</f>
        <v>1208</v>
      </c>
      <c r="F576" s="45" t="str">
        <f t="shared" si="46"/>
        <v>彩蝶仙童</v>
      </c>
      <c r="H576" s="45">
        <f>VLOOKUP($E576,[1]Sheet1!$A:$G,7,0)</f>
        <v>2</v>
      </c>
      <c r="I576" s="45" t="str">
        <f>IF($G576="","",IF(COUNTIF(技能描述!$D:$D,$F576)&gt;0,VLOOKUP($F576&amp;$G576,技能描述!$A:$C,3,0),LEFT(VLOOKUP($E576,[1]Sheet1!$A:$J,10,0),FIND("_",VLOOKUP($E576,[1]Sheet1!$A:$J,10,0))-1)&amp;$G576))</f>
        <v/>
      </c>
      <c r="J576" s="45" t="str">
        <f>IF($I576="","",VLOOKUP($I576,技能描述!$A:$C,3,0))</f>
        <v/>
      </c>
      <c r="K576" s="45" t="str">
        <f>IF($I576="","",INDEX([2]Sheet1!$1:$1048576,MATCH($I576,[2]Sheet1!$A:$A,0),MATCH("description_damage",[2]Sheet1!$2:$2,0)))</f>
        <v/>
      </c>
      <c r="L576" s="80" t="str">
        <f>IF($K576="","",IF(LEN($K576)-LEN(SUBSTITUTE($K576,",",""))=0,VLOOKUP(INT($K576),[3]Sheet1!$A:$C,3,0),VLOOKUP(INT(LEFT($K576,FIND(",",$K576)-1)),[3]Sheet1!$A:$C,3,0)))</f>
        <v/>
      </c>
      <c r="M576" s="80" t="str">
        <f t="shared" si="51"/>
        <v/>
      </c>
      <c r="N576" s="45" t="str">
        <f>IF(LEN($K576)-LEN(SUBSTITUTE($K576,",",""))=1,VLOOKUP(INT(RIGHT($K576,LEN($K576)-FIND(",",$K576))),[3]Sheet1!$A:$C,3,0),"")</f>
        <v/>
      </c>
      <c r="O576" s="45" t="str">
        <f t="shared" si="48"/>
        <v/>
      </c>
      <c r="P576" s="45" t="str">
        <f t="shared" si="44"/>
        <v/>
      </c>
      <c r="Q576" s="45" t="str">
        <f t="shared" si="49"/>
        <v/>
      </c>
      <c r="R576" s="45"/>
      <c r="S576" s="45" t="str">
        <f>IF(ISERROR($Q576),"进阶+"&amp;COUNTIF($E$194:$E576,$E576)&amp;"："&amp;"找ZC配技能","进阶+"&amp;COUNTIF($E$194:$E576,$E576)&amp;"："&amp;VLOOKUP(COUNTIF($E$194:$E576,$E576),$L$184:$R$193,IF(H576=1,4,IF(H576=4,3,2))+IF(INDEX([1]Sheet1!$1:$1048576,MATCH($E576,[1]Sheet1!$A:$A,0),MATCH("zizhi",[1]Sheet1!$2:$2,0))&gt;=13,0,3),0)&amp;IF($Q576="","","（"&amp;$Q576&amp;"）"))</f>
        <v>进阶+3：攻击提高10%</v>
      </c>
      <c r="T576" s="1"/>
      <c r="U576" s="1"/>
      <c r="V576" s="2" t="str">
        <f>VLOOKUP(COUNTIF($E$194:$E576,$E576),$L$184:$X$193,IF(H576=1,4,IF(H576=4,3,2))+IF(INDEX([1]Sheet1!$1:$1048576,MATCH($E576,[1]Sheet1!$A:$A,0),MATCH("zizhi",[1]Sheet1!$2:$2,0))&gt;=13,0,3)+6,0)</f>
        <v>11050</v>
      </c>
      <c r="W576" s="2" t="str">
        <f t="shared" si="47"/>
        <v>进阶+3：攻击提高10%</v>
      </c>
      <c r="X576" s="45" t="str">
        <f t="shared" si="45"/>
        <v>11050</v>
      </c>
      <c r="Y576" s="2"/>
      <c r="Z576" s="2"/>
      <c r="AA576" s="2"/>
    </row>
    <row r="577" spans="1:27" ht="33">
      <c r="A577" s="10">
        <f>E577*100+COUNTIF($E$194:$E577,$E577)</f>
        <v>120804</v>
      </c>
      <c r="B577" s="68" t="s">
        <v>1882</v>
      </c>
      <c r="C577" s="50" t="s">
        <v>2</v>
      </c>
      <c r="D577" s="10">
        <f t="shared" si="50"/>
        <v>1</v>
      </c>
      <c r="E577" s="45">
        <f>INDEX($I:$I,MATCH($E576,$I:$I,0)+IF(COUNTIF($E$194:$E576,$E576)&lt;=VLOOKUP($E576,$I$134:$K$193,3,0)-1,0,1),0)</f>
        <v>1208</v>
      </c>
      <c r="F577" s="45" t="str">
        <f t="shared" si="46"/>
        <v>彩蝶仙童</v>
      </c>
      <c r="G577" s="45" t="s">
        <v>217</v>
      </c>
      <c r="H577" s="45">
        <f>VLOOKUP($E577,[1]Sheet1!$A:$G,7,0)</f>
        <v>2</v>
      </c>
      <c r="I577" s="45" t="str">
        <f>IF($G577="","",IF(COUNTIF(技能描述!$D:$D,$F577)&gt;0,VLOOKUP($F577&amp;$G577,技能描述!$A:$C,3,0),LEFT(VLOOKUP($E577,[1]Sheet1!$A:$J,10,0),FIND("_",VLOOKUP($E577,[1]Sheet1!$A:$J,10,0))-1)&amp;$G577))</f>
        <v>caidiexiantong_skill04</v>
      </c>
      <c r="J577" s="45" t="str">
        <f>IF($I577="","",VLOOKUP($I577,技能描述!$A:$C,3,0))</f>
        <v>彩蝶仙童召唤三只灵蝶，对范围内敌人造成自身攻击力@s的法伤</v>
      </c>
      <c r="K577" s="45" t="str">
        <f>IF($I577="","",INDEX([2]Sheet1!$1:$1048576,MATCH($I577,[2]Sheet1!$A:$A,0),MATCH("description_damage",[2]Sheet1!$2:$2,0)))</f>
        <v>120804</v>
      </c>
      <c r="L577" s="80" t="str">
        <f>IF($K577="","",IF(LEN($K577)-LEN(SUBSTITUTE($K577,",",""))=0,VLOOKUP(INT($K577),[3]Sheet1!$A:$C,3,0),VLOOKUP(INT(LEFT($K577,FIND(",",$K577)-1)),[3]Sheet1!$A:$C,3,0)))</f>
        <v>2|2|2.85|0|0|0</v>
      </c>
      <c r="M577" s="80" t="str">
        <f t="shared" si="51"/>
        <v>285%</v>
      </c>
      <c r="N577" s="45" t="str">
        <f>IF(LEN($K577)-LEN(SUBSTITUTE($K577,",",""))=1,VLOOKUP(INT(RIGHT($K577,LEN($K577)-FIND(",",$K577))),[3]Sheet1!$A:$C,3,0),"")</f>
        <v/>
      </c>
      <c r="O577" s="45" t="str">
        <f t="shared" si="48"/>
        <v/>
      </c>
      <c r="P577" s="45" t="str">
        <f t="shared" si="44"/>
        <v>彩蝶仙童召唤三只灵蝶，对范围内敌人造成自身攻击力285%的法伤</v>
      </c>
      <c r="Q577" s="45" t="str">
        <f t="shared" si="49"/>
        <v>彩蝶仙童召唤三只灵蝶，对范围内敌人造成自身攻击力285%的法伤</v>
      </c>
      <c r="R577" s="45"/>
      <c r="S577" s="45" t="str">
        <f>IF(ISERROR($Q577),"进阶+"&amp;COUNTIF($E$194:$E577,$E577)&amp;"："&amp;"找ZC配技能","进阶+"&amp;COUNTIF($E$194:$E577,$E577)&amp;"："&amp;VLOOKUP(COUNTIF($E$194:$E577,$E577),$L$184:$R$193,IF(H577=1,4,IF(H577=4,3,2))+IF(INDEX([1]Sheet1!$1:$1048576,MATCH($E577,[1]Sheet1!$A:$A,0),MATCH("zizhi",[1]Sheet1!$2:$2,0))&gt;=13,0,3),0)&amp;IF($Q577="","","（"&amp;$Q577&amp;"）"))</f>
        <v>进阶+4：激活AI2技能（彩蝶仙童召唤三只灵蝶，对范围内敌人造成自身攻击力285%的法伤）</v>
      </c>
      <c r="T577" s="1"/>
      <c r="U577" s="1"/>
      <c r="V577" s="2" t="str">
        <f>VLOOKUP(COUNTIF($E$194:$E577,$E577),$L$184:$X$193,IF(H577=1,4,IF(H577=4,3,2))+IF(INDEX([1]Sheet1!$1:$1048576,MATCH($E577,[1]Sheet1!$A:$A,0),MATCH("zizhi",[1]Sheet1!$2:$2,0))&gt;=13,0,3)+6,0)</f>
        <v>[]</v>
      </c>
      <c r="W577" s="2" t="str">
        <f t="shared" si="47"/>
        <v>进阶+4：激活AI2技能（彩蝶仙童召唤三只灵蝶，对范围内敌人造成自身攻击力285%的法伤）</v>
      </c>
      <c r="X577" s="45" t="str">
        <f t="shared" si="45"/>
        <v>[]</v>
      </c>
      <c r="Y577" s="2"/>
      <c r="Z577" s="2"/>
      <c r="AA577" s="2"/>
    </row>
    <row r="578" spans="1:27">
      <c r="A578" s="10">
        <f>E578*100+COUNTIF($E$194:$E578,$E578)</f>
        <v>120805</v>
      </c>
      <c r="B578" s="68" t="s">
        <v>323</v>
      </c>
      <c r="C578" s="50" t="s">
        <v>140</v>
      </c>
      <c r="D578" s="10" t="str">
        <f t="shared" si="50"/>
        <v>[]</v>
      </c>
      <c r="E578" s="45">
        <f>INDEX($I:$I,MATCH($E577,$I:$I,0)+IF(COUNTIF($E$194:$E577,$E577)&lt;=VLOOKUP($E577,$I$134:$K$193,3,0)-1,0,1),0)</f>
        <v>1208</v>
      </c>
      <c r="F578" s="45" t="str">
        <f t="shared" si="46"/>
        <v>彩蝶仙童</v>
      </c>
      <c r="H578" s="45">
        <f>VLOOKUP($E578,[1]Sheet1!$A:$G,7,0)</f>
        <v>2</v>
      </c>
      <c r="I578" s="45" t="str">
        <f>IF($G578="","",IF(COUNTIF(技能描述!$D:$D,$F578)&gt;0,VLOOKUP($F578&amp;$G578,技能描述!$A:$C,3,0),LEFT(VLOOKUP($E578,[1]Sheet1!$A:$J,10,0),FIND("_",VLOOKUP($E578,[1]Sheet1!$A:$J,10,0))-1)&amp;$G578))</f>
        <v/>
      </c>
      <c r="J578" s="45" t="str">
        <f>IF($I578="","",VLOOKUP($I578,技能描述!$A:$C,3,0))</f>
        <v/>
      </c>
      <c r="K578" s="45" t="str">
        <f>IF($I578="","",INDEX([2]Sheet1!$1:$1048576,MATCH($I578,[2]Sheet1!$A:$A,0),MATCH("description_damage",[2]Sheet1!$2:$2,0)))</f>
        <v/>
      </c>
      <c r="L578" s="80" t="str">
        <f>IF($K578="","",IF(LEN($K578)-LEN(SUBSTITUTE($K578,",",""))=0,VLOOKUP(INT($K578),[3]Sheet1!$A:$C,3,0),VLOOKUP(INT(LEFT($K578,FIND(",",$K578)-1)),[3]Sheet1!$A:$C,3,0)))</f>
        <v/>
      </c>
      <c r="M578" s="80" t="str">
        <f t="shared" si="51"/>
        <v/>
      </c>
      <c r="N578" s="45" t="str">
        <f>IF(LEN($K578)-LEN(SUBSTITUTE($K578,",",""))=1,VLOOKUP(INT(RIGHT($K578,LEN($K578)-FIND(",",$K578))),[3]Sheet1!$A:$C,3,0),"")</f>
        <v/>
      </c>
      <c r="O578" s="45" t="str">
        <f t="shared" si="48"/>
        <v/>
      </c>
      <c r="P578" s="45" t="str">
        <f t="shared" ref="P578:P641" si="52">IF($M578="","",IF(ISERROR(FIND("@s",$J578)),$J578,LEFT(J578,FIND("@s",$J578)-1)&amp;$M578&amp;RIGHT($J578,LEN($J578)-FIND("@s",$J578)-1)))</f>
        <v/>
      </c>
      <c r="Q578" s="45" t="str">
        <f t="shared" si="49"/>
        <v/>
      </c>
      <c r="R578" s="45"/>
      <c r="S578" s="45" t="str">
        <f>IF(ISERROR($Q578),"进阶+"&amp;COUNTIF($E$194:$E578,$E578)&amp;"："&amp;"找ZC配技能","进阶+"&amp;COUNTIF($E$194:$E578,$E578)&amp;"："&amp;VLOOKUP(COUNTIF($E$194:$E578,$E578),$L$184:$R$193,IF(H578=1,4,IF(H578=4,3,2))+IF(INDEX([1]Sheet1!$1:$1048576,MATCH($E578,[1]Sheet1!$A:$A,0),MATCH("zizhi",[1]Sheet1!$2:$2,0))&gt;=13,0,3),0)&amp;IF($Q578="","","（"&amp;$Q578&amp;"）"))</f>
        <v>进阶+5：生命，防御提高10%</v>
      </c>
      <c r="T578" s="1"/>
      <c r="U578" s="1"/>
      <c r="V578" s="2" t="str">
        <f>VLOOKUP(COUNTIF($E$194:$E578,$E578),$L$184:$X$193,IF(H578=1,4,IF(H578=4,3,2))+IF(INDEX([1]Sheet1!$1:$1048576,MATCH($E578,[1]Sheet1!$A:$A,0),MATCH("zizhi",[1]Sheet1!$2:$2,0))&gt;=13,0,3)+6,0)</f>
        <v>11090,6502,6512</v>
      </c>
      <c r="W578" s="2" t="str">
        <f t="shared" si="47"/>
        <v>进阶+5：生命，防御提高10%</v>
      </c>
      <c r="X578" s="45" t="str">
        <f t="shared" ref="X578:X641" si="53">IF(ISERROR(FIND("找ZC配技能",$S578)),$V578,$W$184)</f>
        <v>11090,6502,6512</v>
      </c>
      <c r="Y578" s="2"/>
      <c r="Z578" s="2"/>
      <c r="AA578" s="2"/>
    </row>
    <row r="579" spans="1:27" ht="33">
      <c r="A579" s="10">
        <f>E579*100+COUNTIF($E$194:$E579,$E579)</f>
        <v>120806</v>
      </c>
      <c r="B579" s="68" t="s">
        <v>2064</v>
      </c>
      <c r="C579" s="50" t="s">
        <v>2</v>
      </c>
      <c r="D579" s="10">
        <f t="shared" si="50"/>
        <v>1</v>
      </c>
      <c r="E579" s="45">
        <f>INDEX($I:$I,MATCH($E578,$I:$I,0)+IF(COUNTIF($E$194:$E578,$E578)&lt;=VLOOKUP($E578,$I$134:$K$193,3,0)-1,0,1),0)</f>
        <v>1208</v>
      </c>
      <c r="F579" s="45" t="str">
        <f t="shared" ref="F579:F642" si="54">VLOOKUP($E579,$I$134:$K$193,2,0)</f>
        <v>彩蝶仙童</v>
      </c>
      <c r="G579" s="45" t="s">
        <v>218</v>
      </c>
      <c r="H579" s="45">
        <f>VLOOKUP($E579,[1]Sheet1!$A:$G,7,0)</f>
        <v>2</v>
      </c>
      <c r="I579" s="45" t="str">
        <f>IF($G579="","",IF(COUNTIF(技能描述!$D:$D,$F579)&gt;0,VLOOKUP($F579&amp;$G579,技能描述!$A:$C,3,0),LEFT(VLOOKUP($E579,[1]Sheet1!$A:$J,10,0),FIND("_",VLOOKUP($E579,[1]Sheet1!$A:$J,10,0))-1)&amp;$G579))</f>
        <v>caidiexiantong_skill011</v>
      </c>
      <c r="J579" s="45" t="str">
        <f>IF($I579="","",VLOOKUP($I579,技能描述!$A:$C,3,0))</f>
        <v>召唤妖蝶迷境，对范围内敌人进行3次攻击，造成主角攻击力@s的法伤，并使敌人中毒，持续6秒</v>
      </c>
      <c r="K579" s="45" t="str">
        <f>IF($I579="","",INDEX([2]Sheet1!$1:$1048576,MATCH($I579,[2]Sheet1!$A:$A,0),MATCH("description_damage",[2]Sheet1!$2:$2,0)))</f>
        <v>120805</v>
      </c>
      <c r="L579" s="80" t="str">
        <f>IF($K579="","",IF(LEN($K579)-LEN(SUBSTITUTE($K579,",",""))=0,VLOOKUP(INT($K579),[3]Sheet1!$A:$C,3,0),VLOOKUP(INT(LEFT($K579,FIND(",",$K579)-1)),[3]Sheet1!$A:$C,3,0)))</f>
        <v>2|2|1.14|0|0|0</v>
      </c>
      <c r="M579" s="80" t="str">
        <f t="shared" si="51"/>
        <v>114%</v>
      </c>
      <c r="N579" s="45" t="str">
        <f>IF(LEN($K579)-LEN(SUBSTITUTE($K579,",",""))=1,VLOOKUP(INT(RIGHT($K579,LEN($K579)-FIND(",",$K579))),[3]Sheet1!$A:$C,3,0),"")</f>
        <v/>
      </c>
      <c r="O579" s="45" t="str">
        <f t="shared" si="48"/>
        <v/>
      </c>
      <c r="P579" s="45" t="str">
        <f t="shared" si="52"/>
        <v>召唤妖蝶迷境，对范围内敌人进行3次攻击，造成主角攻击力114%的法伤，并使敌人中毒，持续6秒</v>
      </c>
      <c r="Q579" s="45" t="str">
        <f t="shared" si="49"/>
        <v>召唤妖蝶迷境，对范围内敌人进行3次攻击，造成主角攻击力114%的法伤，并使敌人中毒，持续6秒</v>
      </c>
      <c r="R579" s="45"/>
      <c r="S579" s="45" t="str">
        <f>IF(ISERROR($Q579),"进阶+"&amp;COUNTIF($E$194:$E579,$E579)&amp;"："&amp;"找ZC配技能","进阶+"&amp;COUNTIF($E$194:$E579,$E579)&amp;"："&amp;VLOOKUP(COUNTIF($E$194:$E579,$E579),$L$184:$R$193,IF(H579=1,4,IF(H579=4,3,2))+IF(INDEX([1]Sheet1!$1:$1048576,MATCH($E579,[1]Sheet1!$A:$A,0),MATCH("zizhi",[1]Sheet1!$2:$2,0))&gt;=13,0,3),0)&amp;IF($Q579="","","（"&amp;$Q579&amp;"）"))</f>
        <v>进阶+6：增强主角技能（召唤妖蝶迷境，对范围内敌人进行3次攻击，造成主角攻击力114%的法伤，并使敌人中毒，持续6秒）</v>
      </c>
      <c r="T579" s="1"/>
      <c r="U579" s="1"/>
      <c r="V579" s="2" t="str">
        <f>VLOOKUP(COUNTIF($E$194:$E579,$E579),$L$184:$X$193,IF(H579=1,4,IF(H579=4,3,2))+IF(INDEX([1]Sheet1!$1:$1048576,MATCH($E579,[1]Sheet1!$A:$A,0),MATCH("zizhi",[1]Sheet1!$2:$2,0))&gt;=13,0,3)+6,0)</f>
        <v>[]</v>
      </c>
      <c r="W579" s="2" t="str">
        <f t="shared" ref="W579:W642" si="55">IF(ISERROR(FIND("找ZC配技能",$S579)),$S579,"进阶+"&amp;INT(RIGHT($A579,2))&amp;":生命提高10%")</f>
        <v>进阶+6：增强主角技能（召唤妖蝶迷境，对范围内敌人进行3次攻击，造成主角攻击力114%的法伤，并使敌人中毒，持续6秒）</v>
      </c>
      <c r="X579" s="45" t="str">
        <f t="shared" si="53"/>
        <v>[]</v>
      </c>
      <c r="Y579" s="2"/>
      <c r="Z579" s="2"/>
      <c r="AA579" s="2"/>
    </row>
    <row r="580" spans="1:27">
      <c r="A580" s="10">
        <f>E580*100+COUNTIF($E$194:$E580,$E580)</f>
        <v>120807</v>
      </c>
      <c r="B580" s="68" t="s">
        <v>359</v>
      </c>
      <c r="C580" s="50" t="s">
        <v>353</v>
      </c>
      <c r="D580" s="10" t="str">
        <f t="shared" si="50"/>
        <v>[]</v>
      </c>
      <c r="E580" s="45">
        <f>INDEX($I:$I,MATCH($E579,$I:$I,0)+IF(COUNTIF($E$194:$E579,$E579)&lt;=VLOOKUP($E579,$I$134:$K$193,3,0)-1,0,1),0)</f>
        <v>1208</v>
      </c>
      <c r="F580" s="45" t="str">
        <f t="shared" si="54"/>
        <v>彩蝶仙童</v>
      </c>
      <c r="H580" s="45">
        <f>VLOOKUP($E580,[1]Sheet1!$A:$G,7,0)</f>
        <v>2</v>
      </c>
      <c r="I580" s="45" t="str">
        <f>IF($G580="","",IF(COUNTIF(技能描述!$D:$D,$F580)&gt;0,VLOOKUP($F580&amp;$G580,技能描述!$A:$C,3,0),LEFT(VLOOKUP($E580,[1]Sheet1!$A:$J,10,0),FIND("_",VLOOKUP($E580,[1]Sheet1!$A:$J,10,0))-1)&amp;$G580))</f>
        <v/>
      </c>
      <c r="J580" s="45" t="str">
        <f>IF($I580="","",VLOOKUP($I580,技能描述!$A:$C,3,0))</f>
        <v/>
      </c>
      <c r="K580" s="45" t="str">
        <f>IF($I580="","",INDEX([2]Sheet1!$1:$1048576,MATCH($I580,[2]Sheet1!$A:$A,0),MATCH("description_damage",[2]Sheet1!$2:$2,0)))</f>
        <v/>
      </c>
      <c r="L580" s="80" t="str">
        <f>IF($K580="","",IF(LEN($K580)-LEN(SUBSTITUTE($K580,",",""))=0,VLOOKUP(INT($K580),[3]Sheet1!$A:$C,3,0),VLOOKUP(INT(LEFT($K580,FIND(",",$K580)-1)),[3]Sheet1!$A:$C,3,0)))</f>
        <v/>
      </c>
      <c r="M580" s="80" t="str">
        <f t="shared" si="51"/>
        <v/>
      </c>
      <c r="N580" s="45" t="str">
        <f>IF(LEN($K580)-LEN(SUBSTITUTE($K580,",",""))=1,VLOOKUP(INT(RIGHT($K580,LEN($K580)-FIND(",",$K580))),[3]Sheet1!$A:$C,3,0),"")</f>
        <v/>
      </c>
      <c r="O580" s="45" t="str">
        <f t="shared" ref="O580:O643" si="56">IF($N580="","",LEFT(RIGHT($N580,LEN($N580)-4),FIND("|",RIGHT($N580,LEN($N580)-4))-1)*100&amp;"%")</f>
        <v/>
      </c>
      <c r="P580" s="45" t="str">
        <f t="shared" si="52"/>
        <v/>
      </c>
      <c r="Q580" s="45" t="str">
        <f t="shared" ref="Q580:Q643" si="57">IF($O580="",$P580,SUBSTITUTE($P580,"@s",$O580))</f>
        <v/>
      </c>
      <c r="R580" s="45"/>
      <c r="S580" s="45" t="str">
        <f>IF(ISERROR($Q580),"进阶+"&amp;COUNTIF($E$194:$E580,$E580)&amp;"："&amp;"找ZC配技能","进阶+"&amp;COUNTIF($E$194:$E580,$E580)&amp;"："&amp;VLOOKUP(COUNTIF($E$194:$E580,$E580),$L$184:$R$193,IF(H580=1,4,IF(H580=4,3,2))+IF(INDEX([1]Sheet1!$1:$1048576,MATCH($E580,[1]Sheet1!$A:$A,0),MATCH("zizhi",[1]Sheet1!$2:$2,0))&gt;=13,0,3),0)&amp;IF($Q580="","","（"&amp;$Q580&amp;"）"))</f>
        <v>进阶+7：全队攻击提高10%</v>
      </c>
      <c r="T580" s="1"/>
      <c r="U580" s="1"/>
      <c r="V580" s="2" t="str">
        <f>VLOOKUP(COUNTIF($E$194:$E580,$E580),$L$184:$X$193,IF(H580=1,4,IF(H580=4,3,2))+IF(INDEX([1]Sheet1!$1:$1048576,MATCH($E580,[1]Sheet1!$A:$A,0),MATCH("zizhi",[1]Sheet1!$2:$2,0))&gt;=13,0,3)+6,0)</f>
        <v>58010</v>
      </c>
      <c r="W580" s="2" t="str">
        <f t="shared" si="55"/>
        <v>进阶+7：全队攻击提高10%</v>
      </c>
      <c r="X580" s="45" t="str">
        <f t="shared" si="53"/>
        <v>58010</v>
      </c>
      <c r="Y580" s="2"/>
      <c r="Z580" s="2"/>
      <c r="AA580" s="2"/>
    </row>
    <row r="581" spans="1:27" ht="33">
      <c r="A581" s="10">
        <f>E581*100+COUNTIF($E$194:$E581,$E581)</f>
        <v>120808</v>
      </c>
      <c r="B581" s="68" t="s">
        <v>2065</v>
      </c>
      <c r="C581" s="50" t="s">
        <v>2</v>
      </c>
      <c r="D581" s="10">
        <f t="shared" ref="D581:D644" si="58">IF(ISERROR(FIND("技能",$B581)),"[]",1)</f>
        <v>1</v>
      </c>
      <c r="E581" s="45">
        <f>INDEX($I:$I,MATCH($E580,$I:$I,0)+IF(COUNTIF($E$194:$E580,$E580)&lt;=VLOOKUP($E580,$I$134:$K$193,3,0)-1,0,1),0)</f>
        <v>1208</v>
      </c>
      <c r="F581" s="45" t="str">
        <f t="shared" si="54"/>
        <v>彩蝶仙童</v>
      </c>
      <c r="G581" s="45" t="s">
        <v>219</v>
      </c>
      <c r="H581" s="45">
        <f>VLOOKUP($E581,[1]Sheet1!$A:$G,7,0)</f>
        <v>2</v>
      </c>
      <c r="I581" s="45" t="str">
        <f>IF($G581="","",IF(COUNTIF(技能描述!$D:$D,$F581)&gt;0,VLOOKUP($F581&amp;$G581,技能描述!$A:$C,3,0),LEFT(VLOOKUP($E581,[1]Sheet1!$A:$J,10,0),FIND("_",VLOOKUP($E581,[1]Sheet1!$A:$J,10,0))-1)&amp;$G581))</f>
        <v>caidiexiantong_skill021</v>
      </c>
      <c r="J581" s="45" t="str">
        <f>IF($I581="","",VLOOKUP($I581,技能描述!$A:$C,3,0))</f>
        <v>彩蝶仙童召唤巨大的蝴蝶飞向敌方，对范围内敌人造成自身攻击力@s的法伤，30%的概率沉默对手2秒</v>
      </c>
      <c r="K581" s="45" t="str">
        <f>IF($I581="","",INDEX([2]Sheet1!$1:$1048576,MATCH($I581,[2]Sheet1!$A:$A,0),MATCH("description_damage",[2]Sheet1!$2:$2,0)))</f>
        <v>120806</v>
      </c>
      <c r="L581" s="80" t="str">
        <f>IF($K581="","",IF(LEN($K581)-LEN(SUBSTITUTE($K581,",",""))=0,VLOOKUP(INT($K581),[3]Sheet1!$A:$C,3,0),VLOOKUP(INT(LEFT($K581,FIND(",",$K581)-1)),[3]Sheet1!$A:$C,3,0)))</f>
        <v>2|2|3.42|0|0|0</v>
      </c>
      <c r="M581" s="80" t="str">
        <f t="shared" ref="M581:M644" si="59">IF($L581="","",LEFT(RIGHT($L581,LEN($L581)-4),FIND("|",RIGHT($L581,LEN($L581)-4))-1)*100&amp;"%")</f>
        <v>342%</v>
      </c>
      <c r="N581" s="45" t="str">
        <f>IF(LEN($K581)-LEN(SUBSTITUTE($K581,",",""))=1,VLOOKUP(INT(RIGHT($K581,LEN($K581)-FIND(",",$K581))),[3]Sheet1!$A:$C,3,0),"")</f>
        <v/>
      </c>
      <c r="O581" s="45" t="str">
        <f t="shared" si="56"/>
        <v/>
      </c>
      <c r="P581" s="45" t="str">
        <f t="shared" si="52"/>
        <v>彩蝶仙童召唤巨大的蝴蝶飞向敌方，对范围内敌人造成自身攻击力342%的法伤，30%的概率沉默对手2秒</v>
      </c>
      <c r="Q581" s="45" t="str">
        <f t="shared" si="57"/>
        <v>彩蝶仙童召唤巨大的蝴蝶飞向敌方，对范围内敌人造成自身攻击力342%的法伤，30%的概率沉默对手2秒</v>
      </c>
      <c r="R581" s="45"/>
      <c r="S581" s="45" t="str">
        <f>IF(ISERROR($Q581),"进阶+"&amp;COUNTIF($E$194:$E581,$E581)&amp;"："&amp;"找ZC配技能","进阶+"&amp;COUNTIF($E$194:$E581,$E581)&amp;"："&amp;VLOOKUP(COUNTIF($E$194:$E581,$E581),$L$184:$R$193,IF(H581=1,4,IF(H581=4,3,2))+IF(INDEX([1]Sheet1!$1:$1048576,MATCH($E581,[1]Sheet1!$A:$A,0),MATCH("zizhi",[1]Sheet1!$2:$2,0))&gt;=13,0,3),0)&amp;IF($Q581="","","（"&amp;$Q581&amp;"）"))</f>
        <v>进阶+8：增强AI1技能（彩蝶仙童召唤巨大的蝴蝶飞向敌方，对范围内敌人造成自身攻击力342%的法伤，30%的概率沉默对手2秒）</v>
      </c>
      <c r="T581" s="1"/>
      <c r="U581" s="1"/>
      <c r="V581" s="2" t="str">
        <f>VLOOKUP(COUNTIF($E$194:$E581,$E581),$L$184:$X$193,IF(H581=1,4,IF(H581=4,3,2))+IF(INDEX([1]Sheet1!$1:$1048576,MATCH($E581,[1]Sheet1!$A:$A,0),MATCH("zizhi",[1]Sheet1!$2:$2,0))&gt;=13,0,3)+6,0)</f>
        <v>[]</v>
      </c>
      <c r="W581" s="2" t="str">
        <f t="shared" si="55"/>
        <v>进阶+8：增强AI1技能（彩蝶仙童召唤巨大的蝴蝶飞向敌方，对范围内敌人造成自身攻击力342%的法伤，30%的概率沉默对手2秒）</v>
      </c>
      <c r="X581" s="45" t="str">
        <f t="shared" si="53"/>
        <v>[]</v>
      </c>
      <c r="Y581" s="2"/>
      <c r="Z581" s="2"/>
      <c r="AA581" s="2"/>
    </row>
    <row r="582" spans="1:27">
      <c r="A582" s="10">
        <f>E582*100+COUNTIF($E$194:$E582,$E582)</f>
        <v>120809</v>
      </c>
      <c r="B582" s="68" t="s">
        <v>1899</v>
      </c>
      <c r="C582" s="50" t="s">
        <v>2085</v>
      </c>
      <c r="D582" s="10" t="str">
        <f t="shared" si="58"/>
        <v>[]</v>
      </c>
      <c r="E582" s="45">
        <f>INDEX($I:$I,MATCH($E581,$I:$I,0)+IF(COUNTIF($E$194:$E581,$E581)&lt;=VLOOKUP($E581,$I$134:$K$193,3,0)-1,0,1),0)</f>
        <v>1208</v>
      </c>
      <c r="F582" s="45" t="str">
        <f t="shared" si="54"/>
        <v>彩蝶仙童</v>
      </c>
      <c r="H582" s="45">
        <f>VLOOKUP($E582,[1]Sheet1!$A:$G,7,0)</f>
        <v>2</v>
      </c>
      <c r="I582" s="45" t="str">
        <f>IF($G582="","",IF(COUNTIF(技能描述!$D:$D,$F582)&gt;0,VLOOKUP($F582&amp;$G582,技能描述!$A:$C,3,0),LEFT(VLOOKUP($E582,[1]Sheet1!$A:$J,10,0),FIND("_",VLOOKUP($E582,[1]Sheet1!$A:$J,10,0))-1)&amp;$G582))</f>
        <v/>
      </c>
      <c r="J582" s="45" t="str">
        <f>IF($I582="","",VLOOKUP($I582,技能描述!$A:$C,3,0))</f>
        <v/>
      </c>
      <c r="K582" s="45" t="str">
        <f>IF($I582="","",INDEX([2]Sheet1!$1:$1048576,MATCH($I582,[2]Sheet1!$A:$A,0),MATCH("description_damage",[2]Sheet1!$2:$2,0)))</f>
        <v/>
      </c>
      <c r="L582" s="80" t="str">
        <f>IF($K582="","",IF(LEN($K582)-LEN(SUBSTITUTE($K582,",",""))=0,VLOOKUP(INT($K582),[3]Sheet1!$A:$C,3,0),VLOOKUP(INT(LEFT($K582,FIND(",",$K582)-1)),[3]Sheet1!$A:$C,3,0)))</f>
        <v/>
      </c>
      <c r="M582" s="80" t="str">
        <f t="shared" si="59"/>
        <v/>
      </c>
      <c r="N582" s="45" t="str">
        <f>IF(LEN($K582)-LEN(SUBSTITUTE($K582,",",""))=1,VLOOKUP(INT(RIGHT($K582,LEN($K582)-FIND(",",$K582))),[3]Sheet1!$A:$C,3,0),"")</f>
        <v/>
      </c>
      <c r="O582" s="45" t="str">
        <f t="shared" si="56"/>
        <v/>
      </c>
      <c r="P582" s="45" t="str">
        <f t="shared" si="52"/>
        <v/>
      </c>
      <c r="Q582" s="45" t="str">
        <f t="shared" si="57"/>
        <v/>
      </c>
      <c r="R582" s="45"/>
      <c r="S582" s="45" t="str">
        <f>IF(ISERROR($Q582),"进阶+"&amp;COUNTIF($E$194:$E582,$E582)&amp;"："&amp;"找ZC配技能","进阶+"&amp;COUNTIF($E$194:$E582,$E582)&amp;"："&amp;VLOOKUP(COUNTIF($E$194:$E582,$E582),$L$184:$R$193,IF(H582=1,4,IF(H582=4,3,2))+IF(INDEX([1]Sheet1!$1:$1048576,MATCH($E582,[1]Sheet1!$A:$A,0),MATCH("zizhi",[1]Sheet1!$2:$2,0))&gt;=13,0,3),0)&amp;IF($Q582="","","（"&amp;$Q582&amp;"）"))</f>
        <v>进阶+9：全队攻击提高15%</v>
      </c>
      <c r="T582" s="1"/>
      <c r="U582" s="1"/>
      <c r="V582" s="2" t="str">
        <f>VLOOKUP(COUNTIF($E$194:$E582,$E582),$L$184:$X$193,IF(H582=1,4,IF(H582=4,3,2))+IF(INDEX([1]Sheet1!$1:$1048576,MATCH($E582,[1]Sheet1!$A:$A,0),MATCH("zizhi",[1]Sheet1!$2:$2,0))&gt;=13,0,3)+6,0)</f>
        <v>58015</v>
      </c>
      <c r="W582" s="2" t="str">
        <f t="shared" si="55"/>
        <v>进阶+9：全队攻击提高15%</v>
      </c>
      <c r="X582" s="45" t="str">
        <f t="shared" si="53"/>
        <v>58015</v>
      </c>
      <c r="Y582" s="2"/>
      <c r="Z582" s="2"/>
      <c r="AA582" s="2"/>
    </row>
    <row r="583" spans="1:27" ht="33">
      <c r="A583" s="10">
        <f>E583*100+COUNTIF($E$194:$E583,$E583)</f>
        <v>120810</v>
      </c>
      <c r="B583" s="68" t="s">
        <v>1927</v>
      </c>
      <c r="C583" s="50" t="s">
        <v>2</v>
      </c>
      <c r="D583" s="10">
        <f t="shared" si="58"/>
        <v>1</v>
      </c>
      <c r="E583" s="45">
        <f>INDEX($I:$I,MATCH($E582,$I:$I,0)+IF(COUNTIF($E$194:$E582,$E582)&lt;=VLOOKUP($E582,$I$134:$K$193,3,0)-1,0,1),0)</f>
        <v>1208</v>
      </c>
      <c r="F583" s="45" t="str">
        <f t="shared" si="54"/>
        <v>彩蝶仙童</v>
      </c>
      <c r="G583" s="45" t="s">
        <v>220</v>
      </c>
      <c r="H583" s="45">
        <f>VLOOKUP($E583,[1]Sheet1!$A:$G,7,0)</f>
        <v>2</v>
      </c>
      <c r="I583" s="45" t="str">
        <f>IF($G583="","",IF(COUNTIF(技能描述!$D:$D,$F583)&gt;0,VLOOKUP($F583&amp;$G583,技能描述!$A:$C,3,0),LEFT(VLOOKUP($E583,[1]Sheet1!$A:$J,10,0),FIND("_",VLOOKUP($E583,[1]Sheet1!$A:$J,10,0))-1)&amp;$G583))</f>
        <v>caidiexiantong_skill041</v>
      </c>
      <c r="J583" s="45" t="str">
        <f>IF($I583="","",VLOOKUP($I583,技能描述!$A:$C,3,0))</f>
        <v>彩蝶仙童召唤三只灵蝶，对范围内敌人造成自身攻击力@s的法伤</v>
      </c>
      <c r="K583" s="45" t="str">
        <f>IF($I583="","",INDEX([2]Sheet1!$1:$1048576,MATCH($I583,[2]Sheet1!$A:$A,0),MATCH("description_damage",[2]Sheet1!$2:$2,0)))</f>
        <v>120807</v>
      </c>
      <c r="L583" s="80" t="str">
        <f>IF($K583="","",IF(LEN($K583)-LEN(SUBSTITUTE($K583,",",""))=0,VLOOKUP(INT($K583),[3]Sheet1!$A:$C,3,0),VLOOKUP(INT(LEFT($K583,FIND(",",$K583)-1)),[3]Sheet1!$A:$C,3,0)))</f>
        <v>2|2|1.71|0|0|0</v>
      </c>
      <c r="M583" s="80" t="str">
        <f t="shared" si="59"/>
        <v>171%</v>
      </c>
      <c r="N583" s="45" t="str">
        <f>IF(LEN($K583)-LEN(SUBSTITUTE($K583,",",""))=1,VLOOKUP(INT(RIGHT($K583,LEN($K583)-FIND(",",$K583))),[3]Sheet1!$A:$C,3,0),"")</f>
        <v/>
      </c>
      <c r="O583" s="45" t="str">
        <f t="shared" si="56"/>
        <v/>
      </c>
      <c r="P583" s="45" t="str">
        <f t="shared" si="52"/>
        <v>彩蝶仙童召唤三只灵蝶，对范围内敌人造成自身攻击力171%的法伤</v>
      </c>
      <c r="Q583" s="45" t="str">
        <f t="shared" si="57"/>
        <v>彩蝶仙童召唤三只灵蝶，对范围内敌人造成自身攻击力171%的法伤</v>
      </c>
      <c r="R583" s="45"/>
      <c r="S583" s="45" t="str">
        <f>IF(ISERROR($Q583),"进阶+"&amp;COUNTIF($E$194:$E583,$E583)&amp;"："&amp;"找ZC配技能","进阶+"&amp;COUNTIF($E$194:$E583,$E583)&amp;"："&amp;VLOOKUP(COUNTIF($E$194:$E583,$E583),$L$184:$R$193,IF(H583=1,4,IF(H583=4,3,2))+IF(INDEX([1]Sheet1!$1:$1048576,MATCH($E583,[1]Sheet1!$A:$A,0),MATCH("zizhi",[1]Sheet1!$2:$2,0))&gt;=13,0,3),0)&amp;IF($Q583="","","（"&amp;$Q583&amp;"）"))</f>
        <v>进阶+10：增强AI2技能（彩蝶仙童召唤三只灵蝶，对范围内敌人造成自身攻击力171%的法伤）</v>
      </c>
      <c r="T583" s="1"/>
      <c r="U583" s="1"/>
      <c r="V583" s="2" t="str">
        <f>VLOOKUP(COUNTIF($E$194:$E583,$E583),$L$184:$X$193,IF(H583=1,4,IF(H583=4,3,2))+IF(INDEX([1]Sheet1!$1:$1048576,MATCH($E583,[1]Sheet1!$A:$A,0),MATCH("zizhi",[1]Sheet1!$2:$2,0))&gt;=13,0,3)+6,0)</f>
        <v>[]</v>
      </c>
      <c r="W583" s="2" t="str">
        <f t="shared" si="55"/>
        <v>进阶+10：增强AI2技能（彩蝶仙童召唤三只灵蝶，对范围内敌人造成自身攻击力171%的法伤）</v>
      </c>
      <c r="X583" s="45" t="str">
        <f t="shared" si="53"/>
        <v>[]</v>
      </c>
      <c r="Y583" s="2"/>
      <c r="Z583" s="2"/>
      <c r="AA583" s="2"/>
    </row>
    <row r="584" spans="1:27">
      <c r="A584" s="10">
        <f>E584*100+COUNTIF($E$194:$E584,$E584)</f>
        <v>112201</v>
      </c>
      <c r="B584" s="68" t="s">
        <v>319</v>
      </c>
      <c r="C584" s="50" t="s">
        <v>2086</v>
      </c>
      <c r="D584" s="10" t="str">
        <f t="shared" si="58"/>
        <v>[]</v>
      </c>
      <c r="E584" s="45">
        <f>INDEX($I:$I,MATCH($E583,$I:$I,0)+IF(COUNTIF($E$194:$E583,$E583)&lt;=VLOOKUP($E583,$I$134:$K$193,3,0)-1,0,1),0)</f>
        <v>1122</v>
      </c>
      <c r="F584" s="45" t="str">
        <f t="shared" si="54"/>
        <v>唐三藏</v>
      </c>
      <c r="H584" s="45">
        <f>VLOOKUP($E584,[1]Sheet1!$A:$G,7,0)</f>
        <v>4</v>
      </c>
      <c r="I584" s="45" t="str">
        <f>IF($G584="","",IF(COUNTIF(技能描述!$D:$D,$F584)&gt;0,VLOOKUP($F584&amp;$G584,技能描述!$A:$C,3,0),LEFT(VLOOKUP($E584,[1]Sheet1!$A:$J,10,0),FIND("_",VLOOKUP($E584,[1]Sheet1!$A:$J,10,0))-1)&amp;$G584))</f>
        <v/>
      </c>
      <c r="J584" s="45" t="str">
        <f>IF($I584="","",VLOOKUP($I584,技能描述!$A:$C,3,0))</f>
        <v/>
      </c>
      <c r="K584" s="45" t="str">
        <f>IF($I584="","",INDEX([2]Sheet1!$1:$1048576,MATCH($I584,[2]Sheet1!$A:$A,0),MATCH("description_damage",[2]Sheet1!$2:$2,0)))</f>
        <v/>
      </c>
      <c r="L584" s="80" t="str">
        <f>IF($K584="","",IF(LEN($K584)-LEN(SUBSTITUTE($K584,",",""))=0,VLOOKUP(INT($K584),[3]Sheet1!$A:$C,3,0),VLOOKUP(INT(LEFT($K584,FIND(",",$K584)-1)),[3]Sheet1!$A:$C,3,0)))</f>
        <v/>
      </c>
      <c r="M584" s="80" t="str">
        <f t="shared" si="59"/>
        <v/>
      </c>
      <c r="N584" s="45" t="str">
        <f>IF(LEN($K584)-LEN(SUBSTITUTE($K584,",",""))=1,VLOOKUP(INT(RIGHT($K584,LEN($K584)-FIND(",",$K584))),[3]Sheet1!$A:$C,3,0),"")</f>
        <v/>
      </c>
      <c r="O584" s="45" t="str">
        <f t="shared" si="56"/>
        <v/>
      </c>
      <c r="P584" s="45" t="str">
        <f t="shared" si="52"/>
        <v/>
      </c>
      <c r="Q584" s="45" t="str">
        <f t="shared" si="57"/>
        <v/>
      </c>
      <c r="R584" s="45"/>
      <c r="S584" s="45" t="str">
        <f>IF(ISERROR($Q584),"进阶+"&amp;COUNTIF($E$194:$E584,$E584)&amp;"："&amp;"找ZC配技能","进阶+"&amp;COUNTIF($E$194:$E584,$E584)&amp;"："&amp;VLOOKUP(COUNTIF($E$194:$E584,$E584),$L$184:$R$193,IF(H584=1,4,IF(H584=4,3,2))+IF(INDEX([1]Sheet1!$1:$1048576,MATCH($E584,[1]Sheet1!$A:$A,0),MATCH("zizhi",[1]Sheet1!$2:$2,0))&gt;=13,0,3),0)&amp;IF($Q584="","","（"&amp;$Q584&amp;"）"))</f>
        <v>进阶+1：生命提高10%</v>
      </c>
      <c r="T584" s="1"/>
      <c r="U584" s="1"/>
      <c r="V584" s="2" t="str">
        <f>VLOOKUP(COUNTIF($E$194:$E584,$E584),$L$184:$X$193,IF(H584=1,4,IF(H584=4,3,2))+IF(INDEX([1]Sheet1!$1:$1048576,MATCH($E584,[1]Sheet1!$A:$A,0),MATCH("zizhi",[1]Sheet1!$2:$2,0))&gt;=13,0,3)+6,0)</f>
        <v>11090</v>
      </c>
      <c r="W584" s="2" t="str">
        <f t="shared" si="55"/>
        <v>进阶+1：生命提高10%</v>
      </c>
      <c r="X584" s="45" t="str">
        <f t="shared" si="53"/>
        <v>11090</v>
      </c>
      <c r="Y584" s="2"/>
      <c r="Z584" s="2"/>
      <c r="AA584" s="2"/>
    </row>
    <row r="585" spans="1:27">
      <c r="A585" s="10">
        <f>E585*100+COUNTIF($E$194:$E585,$E585)</f>
        <v>112202</v>
      </c>
      <c r="B585" s="68" t="s">
        <v>339</v>
      </c>
      <c r="C585" s="50" t="s">
        <v>2</v>
      </c>
      <c r="D585" s="10">
        <f t="shared" si="58"/>
        <v>1</v>
      </c>
      <c r="E585" s="45">
        <f>INDEX($I:$I,MATCH($E584,$I:$I,0)+IF(COUNTIF($E$194:$E584,$E584)&lt;=VLOOKUP($E584,$I$134:$K$193,3,0)-1,0,1),0)</f>
        <v>1122</v>
      </c>
      <c r="F585" s="45" t="str">
        <f t="shared" si="54"/>
        <v>唐三藏</v>
      </c>
      <c r="G585" s="45" t="s">
        <v>216</v>
      </c>
      <c r="H585" s="45">
        <f>VLOOKUP($E585,[1]Sheet1!$A:$G,7,0)</f>
        <v>4</v>
      </c>
      <c r="I585" s="45" t="str">
        <f>IF($G585="","",IF(COUNTIF(技能描述!$D:$D,$F585)&gt;0,VLOOKUP($F585&amp;$G585,技能描述!$A:$C,3,0),LEFT(VLOOKUP($E585,[1]Sheet1!$A:$J,10,0),FIND("_",VLOOKUP($E585,[1]Sheet1!$A:$J,10,0))-1)&amp;$G585))</f>
        <v>tangsanzang_skill03</v>
      </c>
      <c r="J585" s="45" t="str">
        <f>IF($I585="","",VLOOKUP($I585,技能描述!$A:$C,3,0))</f>
        <v>进入战斗场景时，降低自身受到的伤害@s</v>
      </c>
      <c r="K585" s="45" t="str">
        <f>IF($I585="","",INDEX([2]Sheet1!$1:$1048576,MATCH($I585,[2]Sheet1!$A:$A,0),MATCH("description_damage",[2]Sheet1!$2:$2,0)))</f>
        <v>9015</v>
      </c>
      <c r="L585" s="80" t="str">
        <f>IF($K585="","",IF(LEN($K585)-LEN(SUBSTITUTE($K585,",",""))=0,VLOOKUP(INT($K585),[3]Sheet1!$A:$C,3,0),VLOOKUP(INT(LEFT($K585,FIND(",",$K585)-1)),[3]Sheet1!$A:$C,3,0)))</f>
        <v>4|3|0.15|0|1</v>
      </c>
      <c r="M585" s="80" t="str">
        <f t="shared" si="59"/>
        <v>15%</v>
      </c>
      <c r="N585" s="45" t="str">
        <f>IF(LEN($K585)-LEN(SUBSTITUTE($K585,",",""))=1,VLOOKUP(INT(RIGHT($K585,LEN($K585)-FIND(",",$K585))),[3]Sheet1!$A:$C,3,0),"")</f>
        <v/>
      </c>
      <c r="O585" s="45" t="str">
        <f t="shared" si="56"/>
        <v/>
      </c>
      <c r="P585" s="45" t="str">
        <f t="shared" si="52"/>
        <v>进入战斗场景时，降低自身受到的伤害15%</v>
      </c>
      <c r="Q585" s="45" t="str">
        <f t="shared" si="57"/>
        <v>进入战斗场景时，降低自身受到的伤害15%</v>
      </c>
      <c r="R585" s="45"/>
      <c r="S585" s="45" t="str">
        <f>IF(ISERROR($Q585),"进阶+"&amp;COUNTIF($E$194:$E585,$E585)&amp;"："&amp;"找ZC配技能","进阶+"&amp;COUNTIF($E$194:$E585,$E585)&amp;"："&amp;VLOOKUP(COUNTIF($E$194:$E585,$E585),$L$184:$R$193,IF(H585=1,4,IF(H585=4,3,2))+IF(INDEX([1]Sheet1!$1:$1048576,MATCH($E585,[1]Sheet1!$A:$A,0),MATCH("zizhi",[1]Sheet1!$2:$2,0))&gt;=13,0,3),0)&amp;IF($Q585="","","（"&amp;$Q585&amp;"）"))</f>
        <v>进阶+2：激活被动技能（进入战斗场景时，降低自身受到的伤害15%）</v>
      </c>
      <c r="T585" s="1"/>
      <c r="U585" s="1"/>
      <c r="V585" s="2" t="str">
        <f>VLOOKUP(COUNTIF($E$194:$E585,$E585),$L$184:$X$193,IF(H585=1,4,IF(H585=4,3,2))+IF(INDEX([1]Sheet1!$1:$1048576,MATCH($E585,[1]Sheet1!$A:$A,0),MATCH("zizhi",[1]Sheet1!$2:$2,0))&gt;=13,0,3)+6,0)</f>
        <v>[]</v>
      </c>
      <c r="W585" s="2" t="str">
        <f t="shared" si="55"/>
        <v>进阶+2：激活被动技能（进入战斗场景时，降低自身受到的伤害15%）</v>
      </c>
      <c r="X585" s="45" t="str">
        <f t="shared" si="53"/>
        <v>[]</v>
      </c>
      <c r="Y585" s="2"/>
      <c r="Z585" s="2"/>
      <c r="AA585" s="2"/>
    </row>
    <row r="586" spans="1:27">
      <c r="A586" s="10">
        <f>E586*100+COUNTIF($E$194:$E586,$E586)</f>
        <v>112203</v>
      </c>
      <c r="B586" s="68" t="s">
        <v>324</v>
      </c>
      <c r="C586" s="50" t="s">
        <v>140</v>
      </c>
      <c r="D586" s="10" t="str">
        <f t="shared" si="58"/>
        <v>[]</v>
      </c>
      <c r="E586" s="45">
        <f>INDEX($I:$I,MATCH($E585,$I:$I,0)+IF(COUNTIF($E$194:$E585,$E585)&lt;=VLOOKUP($E585,$I$134:$K$193,3,0)-1,0,1),0)</f>
        <v>1122</v>
      </c>
      <c r="F586" s="45" t="str">
        <f t="shared" si="54"/>
        <v>唐三藏</v>
      </c>
      <c r="H586" s="45">
        <f>VLOOKUP($E586,[1]Sheet1!$A:$G,7,0)</f>
        <v>4</v>
      </c>
      <c r="I586" s="45" t="str">
        <f>IF($G586="","",IF(COUNTIF(技能描述!$D:$D,$F586)&gt;0,VLOOKUP($F586&amp;$G586,技能描述!$A:$C,3,0),LEFT(VLOOKUP($E586,[1]Sheet1!$A:$J,10,0),FIND("_",VLOOKUP($E586,[1]Sheet1!$A:$J,10,0))-1)&amp;$G586))</f>
        <v/>
      </c>
      <c r="J586" s="45" t="str">
        <f>IF($I586="","",VLOOKUP($I586,技能描述!$A:$C,3,0))</f>
        <v/>
      </c>
      <c r="K586" s="45" t="str">
        <f>IF($I586="","",INDEX([2]Sheet1!$1:$1048576,MATCH($I586,[2]Sheet1!$A:$A,0),MATCH("description_damage",[2]Sheet1!$2:$2,0)))</f>
        <v/>
      </c>
      <c r="L586" s="80" t="str">
        <f>IF($K586="","",IF(LEN($K586)-LEN(SUBSTITUTE($K586,",",""))=0,VLOOKUP(INT($K586),[3]Sheet1!$A:$C,3,0),VLOOKUP(INT(LEFT($K586,FIND(",",$K586)-1)),[3]Sheet1!$A:$C,3,0)))</f>
        <v/>
      </c>
      <c r="M586" s="80" t="str">
        <f t="shared" si="59"/>
        <v/>
      </c>
      <c r="N586" s="45" t="str">
        <f>IF(LEN($K586)-LEN(SUBSTITUTE($K586,",",""))=1,VLOOKUP(INT(RIGHT($K586,LEN($K586)-FIND(",",$K586))),[3]Sheet1!$A:$C,3,0),"")</f>
        <v/>
      </c>
      <c r="O586" s="45" t="str">
        <f t="shared" si="56"/>
        <v/>
      </c>
      <c r="P586" s="45" t="str">
        <f t="shared" si="52"/>
        <v/>
      </c>
      <c r="Q586" s="45" t="str">
        <f t="shared" si="57"/>
        <v/>
      </c>
      <c r="R586" s="45"/>
      <c r="S586" s="45" t="str">
        <f>IF(ISERROR($Q586),"进阶+"&amp;COUNTIF($E$194:$E586,$E586)&amp;"："&amp;"找ZC配技能","进阶+"&amp;COUNTIF($E$194:$E586,$E586)&amp;"："&amp;VLOOKUP(COUNTIF($E$194:$E586,$E586),$L$184:$R$193,IF(H586=1,4,IF(H586=4,3,2))+IF(INDEX([1]Sheet1!$1:$1048576,MATCH($E586,[1]Sheet1!$A:$A,0),MATCH("zizhi",[1]Sheet1!$2:$2,0))&gt;=13,0,3),0)&amp;IF($Q586="","","（"&amp;$Q586&amp;"）"))</f>
        <v>进阶+3：生命，防御提高10%</v>
      </c>
      <c r="T586" s="1"/>
      <c r="U586" s="1"/>
      <c r="V586" s="2" t="str">
        <f>VLOOKUP(COUNTIF($E$194:$E586,$E586),$L$184:$X$193,IF(H586=1,4,IF(H586=4,3,2))+IF(INDEX([1]Sheet1!$1:$1048576,MATCH($E586,[1]Sheet1!$A:$A,0),MATCH("zizhi",[1]Sheet1!$2:$2,0))&gt;=13,0,3)+6,0)</f>
        <v>11090,6502,6512</v>
      </c>
      <c r="W586" s="2" t="str">
        <f t="shared" si="55"/>
        <v>进阶+3：生命，防御提高10%</v>
      </c>
      <c r="X586" s="45" t="str">
        <f t="shared" si="53"/>
        <v>11090,6502,6512</v>
      </c>
      <c r="Y586" s="2"/>
      <c r="Z586" s="2"/>
      <c r="AA586" s="2"/>
    </row>
    <row r="587" spans="1:27" ht="33">
      <c r="A587" s="10">
        <f>E587*100+COUNTIF($E$194:$E587,$E587)</f>
        <v>112204</v>
      </c>
      <c r="B587" s="68" t="s">
        <v>1883</v>
      </c>
      <c r="C587" s="50" t="s">
        <v>2</v>
      </c>
      <c r="D587" s="10">
        <f t="shared" si="58"/>
        <v>1</v>
      </c>
      <c r="E587" s="45">
        <f>INDEX($I:$I,MATCH($E586,$I:$I,0)+IF(COUNTIF($E$194:$E586,$E586)&lt;=VLOOKUP($E586,$I$134:$K$193,3,0)-1,0,1),0)</f>
        <v>1122</v>
      </c>
      <c r="F587" s="45" t="str">
        <f t="shared" si="54"/>
        <v>唐三藏</v>
      </c>
      <c r="G587" s="45" t="s">
        <v>217</v>
      </c>
      <c r="H587" s="45">
        <f>VLOOKUP($E587,[1]Sheet1!$A:$G,7,0)</f>
        <v>4</v>
      </c>
      <c r="I587" s="45" t="str">
        <f>IF($G587="","",IF(COUNTIF(技能描述!$D:$D,$F587)&gt;0,VLOOKUP($F587&amp;$G587,技能描述!$A:$C,3,0),LEFT(VLOOKUP($E587,[1]Sheet1!$A:$J,10,0),FIND("_",VLOOKUP($E587,[1]Sheet1!$A:$J,10,0))-1)&amp;$G587))</f>
        <v>tangsanzang_skill04</v>
      </c>
      <c r="J587" s="45" t="str">
        <f>IF($I587="","",VLOOKUP($I587,技能描述!$A:$C,3,0))</f>
        <v>唐三藏念起紧箍咒，对所有敌人造成自身攻击力@s的法伤，并有40%几率令目标昏迷2秒</v>
      </c>
      <c r="K587" s="45" t="str">
        <f>IF($I587="","",INDEX([2]Sheet1!$1:$1048576,MATCH($I587,[2]Sheet1!$A:$A,0),MATCH("description_damage",[2]Sheet1!$2:$2,0)))</f>
        <v>112204</v>
      </c>
      <c r="L587" s="80" t="str">
        <f>IF($K587="","",IF(LEN($K587)-LEN(SUBSTITUTE($K587,",",""))=0,VLOOKUP(INT($K587),[3]Sheet1!$A:$C,3,0),VLOOKUP(INT(LEFT($K587,FIND(",",$K587)-1)),[3]Sheet1!$A:$C,3,0)))</f>
        <v>2|2|2.85|0|0|0</v>
      </c>
      <c r="M587" s="80" t="str">
        <f t="shared" si="59"/>
        <v>285%</v>
      </c>
      <c r="N587" s="45" t="str">
        <f>IF(LEN($K587)-LEN(SUBSTITUTE($K587,",",""))=1,VLOOKUP(INT(RIGHT($K587,LEN($K587)-FIND(",",$K587))),[3]Sheet1!$A:$C,3,0),"")</f>
        <v/>
      </c>
      <c r="O587" s="45" t="str">
        <f t="shared" si="56"/>
        <v/>
      </c>
      <c r="P587" s="45" t="str">
        <f t="shared" si="52"/>
        <v>唐三藏念起紧箍咒，对所有敌人造成自身攻击力285%的法伤，并有40%几率令目标昏迷2秒</v>
      </c>
      <c r="Q587" s="45" t="str">
        <f t="shared" si="57"/>
        <v>唐三藏念起紧箍咒，对所有敌人造成自身攻击力285%的法伤，并有40%几率令目标昏迷2秒</v>
      </c>
      <c r="R587" s="45"/>
      <c r="S587" s="45" t="str">
        <f>IF(ISERROR($Q587),"进阶+"&amp;COUNTIF($E$194:$E587,$E587)&amp;"："&amp;"找ZC配技能","进阶+"&amp;COUNTIF($E$194:$E587,$E587)&amp;"："&amp;VLOOKUP(COUNTIF($E$194:$E587,$E587),$L$184:$R$193,IF(H587=1,4,IF(H587=4,3,2))+IF(INDEX([1]Sheet1!$1:$1048576,MATCH($E587,[1]Sheet1!$A:$A,0),MATCH("zizhi",[1]Sheet1!$2:$2,0))&gt;=13,0,3),0)&amp;IF($Q587="","","（"&amp;$Q587&amp;"）"))</f>
        <v>进阶+4：激活AI2技能（唐三藏念起紧箍咒，对所有敌人造成自身攻击力285%的法伤，并有40%几率令目标昏迷2秒）</v>
      </c>
      <c r="T587" s="1"/>
      <c r="U587" s="1"/>
      <c r="V587" s="2" t="str">
        <f>VLOOKUP(COUNTIF($E$194:$E587,$E587),$L$184:$X$193,IF(H587=1,4,IF(H587=4,3,2))+IF(INDEX([1]Sheet1!$1:$1048576,MATCH($E587,[1]Sheet1!$A:$A,0),MATCH("zizhi",[1]Sheet1!$2:$2,0))&gt;=13,0,3)+6,0)</f>
        <v>[]</v>
      </c>
      <c r="W587" s="2" t="str">
        <f t="shared" si="55"/>
        <v>进阶+4：激活AI2技能（唐三藏念起紧箍咒，对所有敌人造成自身攻击力285%的法伤，并有40%几率令目标昏迷2秒）</v>
      </c>
      <c r="X587" s="45" t="str">
        <f t="shared" si="53"/>
        <v>[]</v>
      </c>
      <c r="Y587" s="2"/>
      <c r="Z587" s="2"/>
      <c r="AA587" s="2"/>
    </row>
    <row r="588" spans="1:27">
      <c r="A588" s="10">
        <f>E588*100+COUNTIF($E$194:$E588,$E588)</f>
        <v>112205</v>
      </c>
      <c r="B588" s="68" t="s">
        <v>320</v>
      </c>
      <c r="C588" s="50" t="s">
        <v>239</v>
      </c>
      <c r="D588" s="10" t="str">
        <f t="shared" si="58"/>
        <v>[]</v>
      </c>
      <c r="E588" s="45">
        <f>INDEX($I:$I,MATCH($E587,$I:$I,0)+IF(COUNTIF($E$194:$E587,$E587)&lt;=VLOOKUP($E587,$I$134:$K$193,3,0)-1,0,1),0)</f>
        <v>1122</v>
      </c>
      <c r="F588" s="45" t="str">
        <f t="shared" si="54"/>
        <v>唐三藏</v>
      </c>
      <c r="H588" s="45">
        <f>VLOOKUP($E588,[1]Sheet1!$A:$G,7,0)</f>
        <v>4</v>
      </c>
      <c r="I588" s="45" t="str">
        <f>IF($G588="","",IF(COUNTIF(技能描述!$D:$D,$F588)&gt;0,VLOOKUP($F588&amp;$G588,技能描述!$A:$C,3,0),LEFT(VLOOKUP($E588,[1]Sheet1!$A:$J,10,0),FIND("_",VLOOKUP($E588,[1]Sheet1!$A:$J,10,0))-1)&amp;$G588))</f>
        <v/>
      </c>
      <c r="J588" s="45" t="str">
        <f>IF($I588="","",VLOOKUP($I588,技能描述!$A:$C,3,0))</f>
        <v/>
      </c>
      <c r="K588" s="45" t="str">
        <f>IF($I588="","",INDEX([2]Sheet1!$1:$1048576,MATCH($I588,[2]Sheet1!$A:$A,0),MATCH("description_damage",[2]Sheet1!$2:$2,0)))</f>
        <v/>
      </c>
      <c r="L588" s="80" t="str">
        <f>IF($K588="","",IF(LEN($K588)-LEN(SUBSTITUTE($K588,",",""))=0,VLOOKUP(INT($K588),[3]Sheet1!$A:$C,3,0),VLOOKUP(INT(LEFT($K588,FIND(",",$K588)-1)),[3]Sheet1!$A:$C,3,0)))</f>
        <v/>
      </c>
      <c r="M588" s="80" t="str">
        <f t="shared" si="59"/>
        <v/>
      </c>
      <c r="N588" s="45" t="str">
        <f>IF(LEN($K588)-LEN(SUBSTITUTE($K588,",",""))=1,VLOOKUP(INT(RIGHT($K588,LEN($K588)-FIND(",",$K588))),[3]Sheet1!$A:$C,3,0),"")</f>
        <v/>
      </c>
      <c r="O588" s="45" t="str">
        <f t="shared" si="56"/>
        <v/>
      </c>
      <c r="P588" s="45" t="str">
        <f t="shared" si="52"/>
        <v/>
      </c>
      <c r="Q588" s="45" t="str">
        <f t="shared" si="57"/>
        <v/>
      </c>
      <c r="R588" s="45"/>
      <c r="S588" s="45" t="str">
        <f>IF(ISERROR($Q588),"进阶+"&amp;COUNTIF($E$194:$E588,$E588)&amp;"："&amp;"找ZC配技能","进阶+"&amp;COUNTIF($E$194:$E588,$E588)&amp;"："&amp;VLOOKUP(COUNTIF($E$194:$E588,$E588),$L$184:$R$193,IF(H588=1,4,IF(H588=4,3,2))+IF(INDEX([1]Sheet1!$1:$1048576,MATCH($E588,[1]Sheet1!$A:$A,0),MATCH("zizhi",[1]Sheet1!$2:$2,0))&gt;=13,0,3),0)&amp;IF($Q588="","","（"&amp;$Q588&amp;"）"))</f>
        <v>进阶+5：攻击提高15%</v>
      </c>
      <c r="T588" s="1"/>
      <c r="U588" s="1"/>
      <c r="V588" s="2" t="str">
        <f>VLOOKUP(COUNTIF($E$194:$E588,$E588),$L$184:$X$193,IF(H588=1,4,IF(H588=4,3,2))+IF(INDEX([1]Sheet1!$1:$1048576,MATCH($E588,[1]Sheet1!$A:$A,0),MATCH("zizhi",[1]Sheet1!$2:$2,0))&gt;=13,0,3)+6,0)</f>
        <v>11055</v>
      </c>
      <c r="W588" s="2" t="str">
        <f t="shared" si="55"/>
        <v>进阶+5：攻击提高15%</v>
      </c>
      <c r="X588" s="45" t="str">
        <f t="shared" si="53"/>
        <v>11055</v>
      </c>
      <c r="Y588" s="2"/>
      <c r="Z588" s="2"/>
      <c r="AA588" s="2"/>
    </row>
    <row r="589" spans="1:27" ht="33">
      <c r="A589" s="10">
        <f>E589*100+COUNTIF($E$194:$E589,$E589)</f>
        <v>112206</v>
      </c>
      <c r="B589" s="68" t="s">
        <v>2066</v>
      </c>
      <c r="C589" s="50" t="s">
        <v>2</v>
      </c>
      <c r="D589" s="10">
        <f t="shared" si="58"/>
        <v>1</v>
      </c>
      <c r="E589" s="45">
        <f>INDEX($I:$I,MATCH($E588,$I:$I,0)+IF(COUNTIF($E$194:$E588,$E588)&lt;=VLOOKUP($E588,$I$134:$K$193,3,0)-1,0,1),0)</f>
        <v>1122</v>
      </c>
      <c r="F589" s="45" t="str">
        <f t="shared" si="54"/>
        <v>唐三藏</v>
      </c>
      <c r="G589" s="45" t="s">
        <v>218</v>
      </c>
      <c r="H589" s="45">
        <f>VLOOKUP($E589,[1]Sheet1!$A:$G,7,0)</f>
        <v>4</v>
      </c>
      <c r="I589" s="45" t="str">
        <f>IF($G589="","",IF(COUNTIF(技能描述!$D:$D,$F589)&gt;0,VLOOKUP($F589&amp;$G589,技能描述!$A:$C,3,0),LEFT(VLOOKUP($E589,[1]Sheet1!$A:$J,10,0),FIND("_",VLOOKUP($E589,[1]Sheet1!$A:$J,10,0))-1)&amp;$G589))</f>
        <v>tangsanzang_skill011</v>
      </c>
      <c r="J589" s="45" t="str">
        <f>IF($I589="","",VLOOKUP($I589,技能描述!$A:$C,3,0))</f>
        <v>释放佛法为全体友军吸收伤害，最多为友军自身生命值上限@s，持续3秒</v>
      </c>
      <c r="K589" s="45" t="str">
        <f>IF($I589="","",INDEX([2]Sheet1!$1:$1048576,MATCH($I589,[2]Sheet1!$A:$A,0),MATCH("description_damage",[2]Sheet1!$2:$2,0)))</f>
        <v>9030</v>
      </c>
      <c r="L589" s="80" t="str">
        <f>IF($K589="","",IF(LEN($K589)-LEN(SUBSTITUTE($K589,",",""))=0,VLOOKUP(INT($K589),[3]Sheet1!$A:$C,3,0),VLOOKUP(INT(LEFT($K589,FIND(",",$K589)-1)),[3]Sheet1!$A:$C,3,0)))</f>
        <v>4|3|0.3|0|1</v>
      </c>
      <c r="M589" s="80" t="str">
        <f t="shared" si="59"/>
        <v>30%</v>
      </c>
      <c r="N589" s="45" t="str">
        <f>IF(LEN($K589)-LEN(SUBSTITUTE($K589,",",""))=1,VLOOKUP(INT(RIGHT($K589,LEN($K589)-FIND(",",$K589))),[3]Sheet1!$A:$C,3,0),"")</f>
        <v/>
      </c>
      <c r="O589" s="45" t="str">
        <f t="shared" si="56"/>
        <v/>
      </c>
      <c r="P589" s="45" t="str">
        <f t="shared" si="52"/>
        <v>释放佛法为全体友军吸收伤害，最多为友军自身生命值上限30%，持续3秒</v>
      </c>
      <c r="Q589" s="45" t="str">
        <f t="shared" si="57"/>
        <v>释放佛法为全体友军吸收伤害，最多为友军自身生命值上限30%，持续3秒</v>
      </c>
      <c r="R589" s="45"/>
      <c r="S589" s="45" t="str">
        <f>IF(ISERROR($Q589),"进阶+"&amp;COUNTIF($E$194:$E589,$E589)&amp;"："&amp;"找ZC配技能","进阶+"&amp;COUNTIF($E$194:$E589,$E589)&amp;"："&amp;VLOOKUP(COUNTIF($E$194:$E589,$E589),$L$184:$R$193,IF(H589=1,4,IF(H589=4,3,2))+IF(INDEX([1]Sheet1!$1:$1048576,MATCH($E589,[1]Sheet1!$A:$A,0),MATCH("zizhi",[1]Sheet1!$2:$2,0))&gt;=13,0,3),0)&amp;IF($Q589="","","（"&amp;$Q589&amp;"）"))</f>
        <v>进阶+6：增强主角技能（释放佛法为全体友军吸收伤害，最多为友军自身生命值上限30%，持续3秒）</v>
      </c>
      <c r="T589" s="1"/>
      <c r="U589" s="1"/>
      <c r="V589" s="2" t="str">
        <f>VLOOKUP(COUNTIF($E$194:$E589,$E589),$L$184:$X$193,IF(H589=1,4,IF(H589=4,3,2))+IF(INDEX([1]Sheet1!$1:$1048576,MATCH($E589,[1]Sheet1!$A:$A,0),MATCH("zizhi",[1]Sheet1!$2:$2,0))&gt;=13,0,3)+6,0)</f>
        <v>[]</v>
      </c>
      <c r="W589" s="2" t="str">
        <f t="shared" si="55"/>
        <v>进阶+6：增强主角技能（释放佛法为全体友军吸收伤害，最多为友军自身生命值上限30%，持续3秒）</v>
      </c>
      <c r="X589" s="45" t="str">
        <f t="shared" si="53"/>
        <v>[]</v>
      </c>
      <c r="Y589" s="2"/>
      <c r="Z589" s="2"/>
      <c r="AA589" s="2"/>
    </row>
    <row r="590" spans="1:27">
      <c r="A590" s="10">
        <f>E590*100+COUNTIF($E$194:$E590,$E590)</f>
        <v>112207</v>
      </c>
      <c r="B590" s="68" t="s">
        <v>360</v>
      </c>
      <c r="C590" s="50" t="s">
        <v>354</v>
      </c>
      <c r="D590" s="10" t="str">
        <f t="shared" si="58"/>
        <v>[]</v>
      </c>
      <c r="E590" s="45">
        <f>INDEX($I:$I,MATCH($E589,$I:$I,0)+IF(COUNTIF($E$194:$E589,$E589)&lt;=VLOOKUP($E589,$I$134:$K$193,3,0)-1,0,1),0)</f>
        <v>1122</v>
      </c>
      <c r="F590" s="45" t="str">
        <f t="shared" si="54"/>
        <v>唐三藏</v>
      </c>
      <c r="H590" s="45">
        <f>VLOOKUP($E590,[1]Sheet1!$A:$G,7,0)</f>
        <v>4</v>
      </c>
      <c r="I590" s="45" t="str">
        <f>IF($G590="","",IF(COUNTIF(技能描述!$D:$D,$F590)&gt;0,VLOOKUP($F590&amp;$G590,技能描述!$A:$C,3,0),LEFT(VLOOKUP($E590,[1]Sheet1!$A:$J,10,0),FIND("_",VLOOKUP($E590,[1]Sheet1!$A:$J,10,0))-1)&amp;$G590))</f>
        <v/>
      </c>
      <c r="J590" s="45" t="str">
        <f>IF($I590="","",VLOOKUP($I590,技能描述!$A:$C,3,0))</f>
        <v/>
      </c>
      <c r="K590" s="45" t="str">
        <f>IF($I590="","",INDEX([2]Sheet1!$1:$1048576,MATCH($I590,[2]Sheet1!$A:$A,0),MATCH("description_damage",[2]Sheet1!$2:$2,0)))</f>
        <v/>
      </c>
      <c r="L590" s="80" t="str">
        <f>IF($K590="","",IF(LEN($K590)-LEN(SUBSTITUTE($K590,",",""))=0,VLOOKUP(INT($K590),[3]Sheet1!$A:$C,3,0),VLOOKUP(INT(LEFT($K590,FIND(",",$K590)-1)),[3]Sheet1!$A:$C,3,0)))</f>
        <v/>
      </c>
      <c r="M590" s="80" t="str">
        <f t="shared" si="59"/>
        <v/>
      </c>
      <c r="N590" s="45" t="str">
        <f>IF(LEN($K590)-LEN(SUBSTITUTE($K590,",",""))=1,VLOOKUP(INT(RIGHT($K590,LEN($K590)-FIND(",",$K590))),[3]Sheet1!$A:$C,3,0),"")</f>
        <v/>
      </c>
      <c r="O590" s="45" t="str">
        <f t="shared" si="56"/>
        <v/>
      </c>
      <c r="P590" s="45" t="str">
        <f t="shared" si="52"/>
        <v/>
      </c>
      <c r="Q590" s="45" t="str">
        <f t="shared" si="57"/>
        <v/>
      </c>
      <c r="R590" s="45"/>
      <c r="S590" s="45" t="str">
        <f>IF(ISERROR($Q590),"进阶+"&amp;COUNTIF($E$194:$E590,$E590)&amp;"："&amp;"找ZC配技能","进阶+"&amp;COUNTIF($E$194:$E590,$E590)&amp;"："&amp;VLOOKUP(COUNTIF($E$194:$E590,$E590),$L$184:$R$193,IF(H590=1,4,IF(H590=4,3,2))+IF(INDEX([1]Sheet1!$1:$1048576,MATCH($E590,[1]Sheet1!$A:$A,0),MATCH("zizhi",[1]Sheet1!$2:$2,0))&gt;=13,0,3),0)&amp;IF($Q590="","","（"&amp;$Q590&amp;"）"))</f>
        <v>进阶+7：全队生命，防御提高10%</v>
      </c>
      <c r="T590" s="1"/>
      <c r="U590" s="1"/>
      <c r="V590" s="2" t="str">
        <f>VLOOKUP(COUNTIF($E$194:$E590,$E590),$L$184:$X$193,IF(H590=1,4,IF(H590=4,3,2))+IF(INDEX([1]Sheet1!$1:$1048576,MATCH($E590,[1]Sheet1!$A:$A,0),MATCH("zizhi",[1]Sheet1!$2:$2,0))&gt;=13,0,3)+6,0)</f>
        <v>57010,59010,60010</v>
      </c>
      <c r="W590" s="2" t="str">
        <f t="shared" si="55"/>
        <v>进阶+7：全队生命，防御提高10%</v>
      </c>
      <c r="X590" s="45" t="str">
        <f t="shared" si="53"/>
        <v>57010,59010,60010</v>
      </c>
      <c r="Y590" s="2"/>
      <c r="Z590" s="2"/>
      <c r="AA590" s="2"/>
    </row>
    <row r="591" spans="1:27" ht="33">
      <c r="A591" s="10">
        <f>E591*100+COUNTIF($E$194:$E591,$E591)</f>
        <v>112208</v>
      </c>
      <c r="B591" s="68" t="s">
        <v>2067</v>
      </c>
      <c r="C591" s="50" t="s">
        <v>2</v>
      </c>
      <c r="D591" s="10">
        <f t="shared" si="58"/>
        <v>1</v>
      </c>
      <c r="E591" s="45">
        <f>INDEX($I:$I,MATCH($E590,$I:$I,0)+IF(COUNTIF($E$194:$E590,$E590)&lt;=VLOOKUP($E590,$I$134:$K$193,3,0)-1,0,1),0)</f>
        <v>1122</v>
      </c>
      <c r="F591" s="45" t="str">
        <f t="shared" si="54"/>
        <v>唐三藏</v>
      </c>
      <c r="G591" s="45" t="s">
        <v>219</v>
      </c>
      <c r="H591" s="45">
        <f>VLOOKUP($E591,[1]Sheet1!$A:$G,7,0)</f>
        <v>4</v>
      </c>
      <c r="I591" s="45" t="str">
        <f>IF($G591="","",IF(COUNTIF(技能描述!$D:$D,$F591)&gt;0,VLOOKUP($F591&amp;$G591,技能描述!$A:$C,3,0),LEFT(VLOOKUP($E591,[1]Sheet1!$A:$J,10,0),FIND("_",VLOOKUP($E591,[1]Sheet1!$A:$J,10,0))-1)&amp;$G591))</f>
        <v>tangsanzang_skill021</v>
      </c>
      <c r="J591" s="45" t="str">
        <f>IF($I591="","",VLOOKUP($I591,技能描述!$A:$C,3,0))</f>
        <v>唐三藏召唤佛光攻击目标，对范围内敌人造成自身攻击力@s的伤害，同时降低自身受到伤害@s，持续3秒</v>
      </c>
      <c r="K591" s="45" t="str">
        <f>IF($I591="","",INDEX([2]Sheet1!$1:$1048576,MATCH($I591,[2]Sheet1!$A:$A,0),MATCH("description_damage",[2]Sheet1!$2:$2,0)))</f>
        <v>112206,9020</v>
      </c>
      <c r="L591" s="80" t="str">
        <f>IF($K591="","",IF(LEN($K591)-LEN(SUBSTITUTE($K591,",",""))=0,VLOOKUP(INT($K591),[3]Sheet1!$A:$C,3,0),VLOOKUP(INT(LEFT($K591,FIND(",",$K591)-1)),[3]Sheet1!$A:$C,3,0)))</f>
        <v>2|2|2|0|0|0</v>
      </c>
      <c r="M591" s="80" t="str">
        <f t="shared" si="59"/>
        <v>200%</v>
      </c>
      <c r="N591" s="45" t="str">
        <f>IF(LEN($K591)-LEN(SUBSTITUTE($K591,",",""))=1,VLOOKUP(INT(RIGHT($K591,LEN($K591)-FIND(",",$K591))),[3]Sheet1!$A:$C,3,0),"")</f>
        <v>4|3|0.2|0|1</v>
      </c>
      <c r="O591" s="45" t="str">
        <f t="shared" si="56"/>
        <v>20%</v>
      </c>
      <c r="P591" s="45" t="str">
        <f t="shared" si="52"/>
        <v>唐三藏召唤佛光攻击目标，对范围内敌人造成自身攻击力200%的伤害，同时降低自身受到伤害@s，持续3秒</v>
      </c>
      <c r="Q591" s="45" t="str">
        <f t="shared" si="57"/>
        <v>唐三藏召唤佛光攻击目标，对范围内敌人造成自身攻击力200%的伤害，同时降低自身受到伤害20%，持续3秒</v>
      </c>
      <c r="R591" s="45"/>
      <c r="S591" s="45" t="str">
        <f>IF(ISERROR($Q591),"进阶+"&amp;COUNTIF($E$194:$E591,$E591)&amp;"："&amp;"找ZC配技能","进阶+"&amp;COUNTIF($E$194:$E591,$E591)&amp;"："&amp;VLOOKUP(COUNTIF($E$194:$E591,$E591),$L$184:$R$193,IF(H591=1,4,IF(H591=4,3,2))+IF(INDEX([1]Sheet1!$1:$1048576,MATCH($E591,[1]Sheet1!$A:$A,0),MATCH("zizhi",[1]Sheet1!$2:$2,0))&gt;=13,0,3),0)&amp;IF($Q591="","","（"&amp;$Q591&amp;"）"))</f>
        <v>进阶+8：增强AI1技能（唐三藏召唤佛光攻击目标，对范围内敌人造成自身攻击力200%的伤害，同时降低自身受到伤害20%，持续3秒）</v>
      </c>
      <c r="T591" s="1"/>
      <c r="U591" s="1"/>
      <c r="V591" s="2" t="str">
        <f>VLOOKUP(COUNTIF($E$194:$E591,$E591),$L$184:$X$193,IF(H591=1,4,IF(H591=4,3,2))+IF(INDEX([1]Sheet1!$1:$1048576,MATCH($E591,[1]Sheet1!$A:$A,0),MATCH("zizhi",[1]Sheet1!$2:$2,0))&gt;=13,0,3)+6,0)</f>
        <v>[]</v>
      </c>
      <c r="W591" s="2" t="str">
        <f t="shared" si="55"/>
        <v>进阶+8：增强AI1技能（唐三藏召唤佛光攻击目标，对范围内敌人造成自身攻击力200%的伤害，同时降低自身受到伤害20%，持续3秒）</v>
      </c>
      <c r="X591" s="45" t="str">
        <f t="shared" si="53"/>
        <v>[]</v>
      </c>
      <c r="Y591" s="2"/>
      <c r="Z591" s="2"/>
      <c r="AA591" s="2"/>
    </row>
    <row r="592" spans="1:27">
      <c r="A592" s="10">
        <f>E592*100+COUNTIF($E$194:$E592,$E592)</f>
        <v>112209</v>
      </c>
      <c r="B592" s="68" t="s">
        <v>1902</v>
      </c>
      <c r="C592" s="50" t="s">
        <v>357</v>
      </c>
      <c r="D592" s="10" t="str">
        <f t="shared" si="58"/>
        <v>[]</v>
      </c>
      <c r="E592" s="45">
        <f>INDEX($I:$I,MATCH($E591,$I:$I,0)+IF(COUNTIF($E$194:$E591,$E591)&lt;=VLOOKUP($E591,$I$134:$K$193,3,0)-1,0,1),0)</f>
        <v>1122</v>
      </c>
      <c r="F592" s="45" t="str">
        <f t="shared" si="54"/>
        <v>唐三藏</v>
      </c>
      <c r="H592" s="45">
        <f>VLOOKUP($E592,[1]Sheet1!$A:$G,7,0)</f>
        <v>4</v>
      </c>
      <c r="I592" s="45" t="str">
        <f>IF($G592="","",IF(COUNTIF(技能描述!$D:$D,$F592)&gt;0,VLOOKUP($F592&amp;$G592,技能描述!$A:$C,3,0),LEFT(VLOOKUP($E592,[1]Sheet1!$A:$J,10,0),FIND("_",VLOOKUP($E592,[1]Sheet1!$A:$J,10,0))-1)&amp;$G592))</f>
        <v/>
      </c>
      <c r="J592" s="45" t="str">
        <f>IF($I592="","",VLOOKUP($I592,技能描述!$A:$C,3,0))</f>
        <v/>
      </c>
      <c r="K592" s="45" t="str">
        <f>IF($I592="","",INDEX([2]Sheet1!$1:$1048576,MATCH($I592,[2]Sheet1!$A:$A,0),MATCH("description_damage",[2]Sheet1!$2:$2,0)))</f>
        <v/>
      </c>
      <c r="L592" s="80" t="str">
        <f>IF($K592="","",IF(LEN($K592)-LEN(SUBSTITUTE($K592,",",""))=0,VLOOKUP(INT($K592),[3]Sheet1!$A:$C,3,0),VLOOKUP(INT(LEFT($K592,FIND(",",$K592)-1)),[3]Sheet1!$A:$C,3,0)))</f>
        <v/>
      </c>
      <c r="M592" s="80" t="str">
        <f t="shared" si="59"/>
        <v/>
      </c>
      <c r="N592" s="45" t="str">
        <f>IF(LEN($K592)-LEN(SUBSTITUTE($K592,",",""))=1,VLOOKUP(INT(RIGHT($K592,LEN($K592)-FIND(",",$K592))),[3]Sheet1!$A:$C,3,0),"")</f>
        <v/>
      </c>
      <c r="O592" s="45" t="str">
        <f t="shared" si="56"/>
        <v/>
      </c>
      <c r="P592" s="45" t="str">
        <f t="shared" si="52"/>
        <v/>
      </c>
      <c r="Q592" s="45" t="str">
        <f t="shared" si="57"/>
        <v/>
      </c>
      <c r="R592" s="45"/>
      <c r="S592" s="45" t="str">
        <f>IF(ISERROR($Q592),"进阶+"&amp;COUNTIF($E$194:$E592,$E592)&amp;"："&amp;"找ZC配技能","进阶+"&amp;COUNTIF($E$194:$E592,$E592)&amp;"："&amp;VLOOKUP(COUNTIF($E$194:$E592,$E592),$L$184:$R$193,IF(H592=1,4,IF(H592=4,3,2))+IF(INDEX([1]Sheet1!$1:$1048576,MATCH($E592,[1]Sheet1!$A:$A,0),MATCH("zizhi",[1]Sheet1!$2:$2,0))&gt;=13,0,3),0)&amp;IF($Q592="","","（"&amp;$Q592&amp;"）"))</f>
        <v>进阶+9：全队生命，防御提高15%</v>
      </c>
      <c r="T592" s="1"/>
      <c r="U592" s="1"/>
      <c r="V592" s="2" t="str">
        <f>VLOOKUP(COUNTIF($E$194:$E592,$E592),$L$184:$X$193,IF(H592=1,4,IF(H592=4,3,2))+IF(INDEX([1]Sheet1!$1:$1048576,MATCH($E592,[1]Sheet1!$A:$A,0),MATCH("zizhi",[1]Sheet1!$2:$2,0))&gt;=13,0,3)+6,0)</f>
        <v>57015,59015,60015</v>
      </c>
      <c r="W592" s="2" t="str">
        <f t="shared" si="55"/>
        <v>进阶+9：全队生命，防御提高15%</v>
      </c>
      <c r="X592" s="45" t="str">
        <f t="shared" si="53"/>
        <v>57015,59015,60015</v>
      </c>
      <c r="Y592" s="2"/>
      <c r="Z592" s="2"/>
      <c r="AA592" s="2"/>
    </row>
    <row r="593" spans="1:27" ht="33">
      <c r="A593" s="10">
        <f>E593*100+COUNTIF($E$194:$E593,$E593)</f>
        <v>112210</v>
      </c>
      <c r="B593" s="68" t="s">
        <v>1975</v>
      </c>
      <c r="C593" s="50" t="s">
        <v>2</v>
      </c>
      <c r="D593" s="10">
        <f t="shared" si="58"/>
        <v>1</v>
      </c>
      <c r="E593" s="45">
        <f>INDEX($I:$I,MATCH($E592,$I:$I,0)+IF(COUNTIF($E$194:$E592,$E592)&lt;=VLOOKUP($E592,$I$134:$K$193,3,0)-1,0,1),0)</f>
        <v>1122</v>
      </c>
      <c r="F593" s="45" t="str">
        <f t="shared" si="54"/>
        <v>唐三藏</v>
      </c>
      <c r="G593" s="45" t="s">
        <v>220</v>
      </c>
      <c r="H593" s="45">
        <f>VLOOKUP($E593,[1]Sheet1!$A:$G,7,0)</f>
        <v>4</v>
      </c>
      <c r="I593" s="45" t="str">
        <f>IF($G593="","",IF(COUNTIF(技能描述!$D:$D,$F593)&gt;0,VLOOKUP($F593&amp;$G593,技能描述!$A:$C,3,0),LEFT(VLOOKUP($E593,[1]Sheet1!$A:$J,10,0),FIND("_",VLOOKUP($E593,[1]Sheet1!$A:$J,10,0))-1)&amp;$G593))</f>
        <v>tangsanzang_skill041</v>
      </c>
      <c r="J593" s="45" t="str">
        <f>IF($I593="","",VLOOKUP($I593,技能描述!$A:$C,3,0))</f>
        <v>唐三藏念起紧箍咒，对所有敌人造成3次自身攻击力@s的法伤，每次有20%几率令目标昏迷2秒</v>
      </c>
      <c r="K593" s="45" t="str">
        <f>IF($I593="","",INDEX([2]Sheet1!$1:$1048576,MATCH($I593,[2]Sheet1!$A:$A,0),MATCH("description_damage",[2]Sheet1!$2:$2,0)))</f>
        <v>112207</v>
      </c>
      <c r="L593" s="80" t="str">
        <f>IF($K593="","",IF(LEN($K593)-LEN(SUBSTITUTE($K593,",",""))=0,VLOOKUP(INT($K593),[3]Sheet1!$A:$C,3,0),VLOOKUP(INT(LEFT($K593,FIND(",",$K593)-1)),[3]Sheet1!$A:$C,3,0)))</f>
        <v>2|2|1.14|0|0|0</v>
      </c>
      <c r="M593" s="80" t="str">
        <f t="shared" si="59"/>
        <v>114%</v>
      </c>
      <c r="N593" s="45" t="str">
        <f>IF(LEN($K593)-LEN(SUBSTITUTE($K593,",",""))=1,VLOOKUP(INT(RIGHT($K593,LEN($K593)-FIND(",",$K593))),[3]Sheet1!$A:$C,3,0),"")</f>
        <v/>
      </c>
      <c r="O593" s="45" t="str">
        <f t="shared" si="56"/>
        <v/>
      </c>
      <c r="P593" s="45" t="str">
        <f t="shared" si="52"/>
        <v>唐三藏念起紧箍咒，对所有敌人造成3次自身攻击力114%的法伤，每次有20%几率令目标昏迷2秒</v>
      </c>
      <c r="Q593" s="45" t="str">
        <f t="shared" si="57"/>
        <v>唐三藏念起紧箍咒，对所有敌人造成3次自身攻击力114%的法伤，每次有20%几率令目标昏迷2秒</v>
      </c>
      <c r="R593" s="45"/>
      <c r="S593" s="45" t="str">
        <f>IF(ISERROR($Q593),"进阶+"&amp;COUNTIF($E$194:$E593,$E593)&amp;"："&amp;"找ZC配技能","进阶+"&amp;COUNTIF($E$194:$E593,$E593)&amp;"："&amp;VLOOKUP(COUNTIF($E$194:$E593,$E593),$L$184:$R$193,IF(H593=1,4,IF(H593=4,3,2))+IF(INDEX([1]Sheet1!$1:$1048576,MATCH($E593,[1]Sheet1!$A:$A,0),MATCH("zizhi",[1]Sheet1!$2:$2,0))&gt;=13,0,3),0)&amp;IF($Q593="","","（"&amp;$Q593&amp;"）"))</f>
        <v>进阶+10：增强AI2技能（唐三藏念起紧箍咒，对所有敌人造成3次自身攻击力114%的法伤，每次有20%几率令目标昏迷2秒）</v>
      </c>
      <c r="T593" s="1"/>
      <c r="U593" s="1"/>
      <c r="V593" s="2" t="str">
        <f>VLOOKUP(COUNTIF($E$194:$E593,$E593),$L$184:$X$193,IF(H593=1,4,IF(H593=4,3,2))+IF(INDEX([1]Sheet1!$1:$1048576,MATCH($E593,[1]Sheet1!$A:$A,0),MATCH("zizhi",[1]Sheet1!$2:$2,0))&gt;=13,0,3)+6,0)</f>
        <v>[]</v>
      </c>
      <c r="W593" s="2" t="str">
        <f t="shared" si="55"/>
        <v>进阶+10：增强AI2技能（唐三藏念起紧箍咒，对所有敌人造成3次自身攻击力114%的法伤，每次有20%几率令目标昏迷2秒）</v>
      </c>
      <c r="X593" s="45" t="str">
        <f t="shared" si="53"/>
        <v>[]</v>
      </c>
      <c r="Y593" s="2"/>
      <c r="Z593" s="2"/>
      <c r="AA593" s="2"/>
    </row>
    <row r="594" spans="1:27">
      <c r="A594" s="10">
        <f>E594*100+COUNTIF($E$194:$E594,$E594)</f>
        <v>120701</v>
      </c>
      <c r="B594" s="68" t="s">
        <v>310</v>
      </c>
      <c r="C594" s="50" t="s">
        <v>127</v>
      </c>
      <c r="D594" s="10" t="str">
        <f t="shared" si="58"/>
        <v>[]</v>
      </c>
      <c r="E594" s="45">
        <f>INDEX($I:$I,MATCH($E593,$I:$I,0)+IF(COUNTIF($E$194:$E593,$E593)&lt;=VLOOKUP($E593,$I$134:$K$193,3,0)-1,0,1),0)</f>
        <v>1207</v>
      </c>
      <c r="F594" s="45" t="str">
        <f t="shared" si="54"/>
        <v>引魂仙子</v>
      </c>
      <c r="H594" s="45">
        <f>VLOOKUP($E594,[1]Sheet1!$A:$G,7,0)</f>
        <v>2</v>
      </c>
      <c r="I594" s="45" t="str">
        <f>IF($G594="","",IF(COUNTIF(技能描述!$D:$D,$F594)&gt;0,VLOOKUP($F594&amp;$G594,技能描述!$A:$C,3,0),LEFT(VLOOKUP($E594,[1]Sheet1!$A:$J,10,0),FIND("_",VLOOKUP($E594,[1]Sheet1!$A:$J,10,0))-1)&amp;$G594))</f>
        <v/>
      </c>
      <c r="J594" s="45" t="str">
        <f>IF($I594="","",VLOOKUP($I594,技能描述!$A:$C,3,0))</f>
        <v/>
      </c>
      <c r="K594" s="45" t="str">
        <f>IF($I594="","",INDEX([2]Sheet1!$1:$1048576,MATCH($I594,[2]Sheet1!$A:$A,0),MATCH("description_damage",[2]Sheet1!$2:$2,0)))</f>
        <v/>
      </c>
      <c r="L594" s="80" t="str">
        <f>IF($K594="","",IF(LEN($K594)-LEN(SUBSTITUTE($K594,",",""))=0,VLOOKUP(INT($K594),[3]Sheet1!$A:$C,3,0),VLOOKUP(INT(LEFT($K594,FIND(",",$K594)-1)),[3]Sheet1!$A:$C,3,0)))</f>
        <v/>
      </c>
      <c r="M594" s="80" t="str">
        <f t="shared" si="59"/>
        <v/>
      </c>
      <c r="N594" s="45" t="str">
        <f>IF(LEN($K594)-LEN(SUBSTITUTE($K594,",",""))=1,VLOOKUP(INT(RIGHT($K594,LEN($K594)-FIND(",",$K594))),[3]Sheet1!$A:$C,3,0),"")</f>
        <v/>
      </c>
      <c r="O594" s="45" t="str">
        <f t="shared" si="56"/>
        <v/>
      </c>
      <c r="P594" s="45" t="str">
        <f t="shared" si="52"/>
        <v/>
      </c>
      <c r="Q594" s="45" t="str">
        <f t="shared" si="57"/>
        <v/>
      </c>
      <c r="R594" s="45"/>
      <c r="S594" s="45" t="str">
        <f>IF(ISERROR($Q594),"进阶+"&amp;COUNTIF($E$194:$E594,$E594)&amp;"："&amp;"找ZC配技能","进阶+"&amp;COUNTIF($E$194:$E594,$E594)&amp;"："&amp;VLOOKUP(COUNTIF($E$194:$E594,$E594),$L$184:$R$193,IF(H594=1,4,IF(H594=4,3,2))+IF(INDEX([1]Sheet1!$1:$1048576,MATCH($E594,[1]Sheet1!$A:$A,0),MATCH("zizhi",[1]Sheet1!$2:$2,0))&gt;=13,0,3),0)&amp;IF($Q594="","","（"&amp;$Q594&amp;"）"))</f>
        <v>进阶+1：攻击提高10%</v>
      </c>
      <c r="T594" s="1"/>
      <c r="U594" s="1"/>
      <c r="V594" s="2" t="str">
        <f>VLOOKUP(COUNTIF($E$194:$E594,$E594),$L$184:$X$193,IF(H594=1,4,IF(H594=4,3,2))+IF(INDEX([1]Sheet1!$1:$1048576,MATCH($E594,[1]Sheet1!$A:$A,0),MATCH("zizhi",[1]Sheet1!$2:$2,0))&gt;=13,0,3)+6,0)</f>
        <v>11050</v>
      </c>
      <c r="W594" s="2" t="str">
        <f t="shared" si="55"/>
        <v>进阶+1：攻击提高10%</v>
      </c>
      <c r="X594" s="45" t="str">
        <f t="shared" si="53"/>
        <v>11050</v>
      </c>
      <c r="Y594" s="2"/>
      <c r="Z594" s="2"/>
      <c r="AA594" s="2"/>
    </row>
    <row r="595" spans="1:27">
      <c r="A595" s="10">
        <f>E595*100+COUNTIF($E$194:$E595,$E595)</f>
        <v>120702</v>
      </c>
      <c r="B595" s="68" t="s">
        <v>343</v>
      </c>
      <c r="C595" s="50" t="s">
        <v>2</v>
      </c>
      <c r="D595" s="10">
        <f t="shared" si="58"/>
        <v>1</v>
      </c>
      <c r="E595" s="45">
        <f>INDEX($I:$I,MATCH($E594,$I:$I,0)+IF(COUNTIF($E$194:$E594,$E594)&lt;=VLOOKUP($E594,$I$134:$K$193,3,0)-1,0,1),0)</f>
        <v>1207</v>
      </c>
      <c r="F595" s="45" t="str">
        <f t="shared" si="54"/>
        <v>引魂仙子</v>
      </c>
      <c r="G595" s="45" t="s">
        <v>216</v>
      </c>
      <c r="H595" s="45">
        <f>VLOOKUP($E595,[1]Sheet1!$A:$G,7,0)</f>
        <v>2</v>
      </c>
      <c r="I595" s="45" t="str">
        <f>IF($G595="","",IF(COUNTIF(技能描述!$D:$D,$F595)&gt;0,VLOOKUP($F595&amp;$G595,技能描述!$A:$C,3,0),LEFT(VLOOKUP($E595,[1]Sheet1!$A:$J,10,0),FIND("_",VLOOKUP($E595,[1]Sheet1!$A:$J,10,0))-1)&amp;$G595))</f>
        <v>yinhunxianzi_skill03</v>
      </c>
      <c r="J595" s="45" t="str">
        <f>IF($I595="","",VLOOKUP($I595,技能描述!$A:$C,3,0))</f>
        <v>进入战斗场景时，提升自身暴击率@s</v>
      </c>
      <c r="K595" s="45" t="str">
        <f>IF($I595="","",INDEX([2]Sheet1!$1:$1048576,MATCH($I595,[2]Sheet1!$A:$A,0),MATCH("description_damage",[2]Sheet1!$2:$2,0)))</f>
        <v>9015</v>
      </c>
      <c r="L595" s="80" t="str">
        <f>IF($K595="","",IF(LEN($K595)-LEN(SUBSTITUTE($K595,",",""))=0,VLOOKUP(INT($K595),[3]Sheet1!$A:$C,3,0),VLOOKUP(INT(LEFT($K595,FIND(",",$K595)-1)),[3]Sheet1!$A:$C,3,0)))</f>
        <v>4|3|0.15|0|1</v>
      </c>
      <c r="M595" s="80" t="str">
        <f t="shared" si="59"/>
        <v>15%</v>
      </c>
      <c r="N595" s="45" t="str">
        <f>IF(LEN($K595)-LEN(SUBSTITUTE($K595,",",""))=1,VLOOKUP(INT(RIGHT($K595,LEN($K595)-FIND(",",$K595))),[3]Sheet1!$A:$C,3,0),"")</f>
        <v/>
      </c>
      <c r="O595" s="45" t="str">
        <f t="shared" si="56"/>
        <v/>
      </c>
      <c r="P595" s="45" t="str">
        <f t="shared" si="52"/>
        <v>进入战斗场景时，提升自身暴击率15%</v>
      </c>
      <c r="Q595" s="45" t="str">
        <f t="shared" si="57"/>
        <v>进入战斗场景时，提升自身暴击率15%</v>
      </c>
      <c r="R595" s="45"/>
      <c r="S595" s="45" t="str">
        <f>IF(ISERROR($Q595),"进阶+"&amp;COUNTIF($E$194:$E595,$E595)&amp;"："&amp;"找ZC配技能","进阶+"&amp;COUNTIF($E$194:$E595,$E595)&amp;"："&amp;VLOOKUP(COUNTIF($E$194:$E595,$E595),$L$184:$R$193,IF(H595=1,4,IF(H595=4,3,2))+IF(INDEX([1]Sheet1!$1:$1048576,MATCH($E595,[1]Sheet1!$A:$A,0),MATCH("zizhi",[1]Sheet1!$2:$2,0))&gt;=13,0,3),0)&amp;IF($Q595="","","（"&amp;$Q595&amp;"）"))</f>
        <v>进阶+2：激活被动技能（进入战斗场景时，提升自身暴击率15%）</v>
      </c>
      <c r="T595" s="1"/>
      <c r="U595" s="1"/>
      <c r="V595" s="2" t="str">
        <f>VLOOKUP(COUNTIF($E$194:$E595,$E595),$L$184:$X$193,IF(H595=1,4,IF(H595=4,3,2))+IF(INDEX([1]Sheet1!$1:$1048576,MATCH($E595,[1]Sheet1!$A:$A,0),MATCH("zizhi",[1]Sheet1!$2:$2,0))&gt;=13,0,3)+6,0)</f>
        <v>[]</v>
      </c>
      <c r="W595" s="2" t="str">
        <f t="shared" si="55"/>
        <v>进阶+2：激活被动技能（进入战斗场景时，提升自身暴击率15%）</v>
      </c>
      <c r="X595" s="45" t="str">
        <f t="shared" si="53"/>
        <v>[]</v>
      </c>
      <c r="Y595" s="2"/>
      <c r="Z595" s="2"/>
      <c r="AA595" s="2"/>
    </row>
    <row r="596" spans="1:27">
      <c r="A596" s="10">
        <f>E596*100+COUNTIF($E$194:$E596,$E596)</f>
        <v>120703</v>
      </c>
      <c r="B596" s="68" t="s">
        <v>312</v>
      </c>
      <c r="C596" s="50" t="s">
        <v>127</v>
      </c>
      <c r="D596" s="10" t="str">
        <f t="shared" si="58"/>
        <v>[]</v>
      </c>
      <c r="E596" s="45">
        <f>INDEX($I:$I,MATCH($E595,$I:$I,0)+IF(COUNTIF($E$194:$E595,$E595)&lt;=VLOOKUP($E595,$I$134:$K$193,3,0)-1,0,1),0)</f>
        <v>1207</v>
      </c>
      <c r="F596" s="45" t="str">
        <f t="shared" si="54"/>
        <v>引魂仙子</v>
      </c>
      <c r="H596" s="45">
        <f>VLOOKUP($E596,[1]Sheet1!$A:$G,7,0)</f>
        <v>2</v>
      </c>
      <c r="I596" s="45" t="str">
        <f>IF($G596="","",IF(COUNTIF(技能描述!$D:$D,$F596)&gt;0,VLOOKUP($F596&amp;$G596,技能描述!$A:$C,3,0),LEFT(VLOOKUP($E596,[1]Sheet1!$A:$J,10,0),FIND("_",VLOOKUP($E596,[1]Sheet1!$A:$J,10,0))-1)&amp;$G596))</f>
        <v/>
      </c>
      <c r="J596" s="45" t="str">
        <f>IF($I596="","",VLOOKUP($I596,技能描述!$A:$C,3,0))</f>
        <v/>
      </c>
      <c r="K596" s="45" t="str">
        <f>IF($I596="","",INDEX([2]Sheet1!$1:$1048576,MATCH($I596,[2]Sheet1!$A:$A,0),MATCH("description_damage",[2]Sheet1!$2:$2,0)))</f>
        <v/>
      </c>
      <c r="L596" s="80" t="str">
        <f>IF($K596="","",IF(LEN($K596)-LEN(SUBSTITUTE($K596,",",""))=0,VLOOKUP(INT($K596),[3]Sheet1!$A:$C,3,0),VLOOKUP(INT(LEFT($K596,FIND(",",$K596)-1)),[3]Sheet1!$A:$C,3,0)))</f>
        <v/>
      </c>
      <c r="M596" s="80" t="str">
        <f t="shared" si="59"/>
        <v/>
      </c>
      <c r="N596" s="45" t="str">
        <f>IF(LEN($K596)-LEN(SUBSTITUTE($K596,",",""))=1,VLOOKUP(INT(RIGHT($K596,LEN($K596)-FIND(",",$K596))),[3]Sheet1!$A:$C,3,0),"")</f>
        <v/>
      </c>
      <c r="O596" s="45" t="str">
        <f t="shared" si="56"/>
        <v/>
      </c>
      <c r="P596" s="45" t="str">
        <f t="shared" si="52"/>
        <v/>
      </c>
      <c r="Q596" s="45" t="str">
        <f t="shared" si="57"/>
        <v/>
      </c>
      <c r="R596" s="45"/>
      <c r="S596" s="45" t="str">
        <f>IF(ISERROR($Q596),"进阶+"&amp;COUNTIF($E$194:$E596,$E596)&amp;"："&amp;"找ZC配技能","进阶+"&amp;COUNTIF($E$194:$E596,$E596)&amp;"："&amp;VLOOKUP(COUNTIF($E$194:$E596,$E596),$L$184:$R$193,IF(H596=1,4,IF(H596=4,3,2))+IF(INDEX([1]Sheet1!$1:$1048576,MATCH($E596,[1]Sheet1!$A:$A,0),MATCH("zizhi",[1]Sheet1!$2:$2,0))&gt;=13,0,3),0)&amp;IF($Q596="","","（"&amp;$Q596&amp;"）"))</f>
        <v>进阶+3：攻击提高10%</v>
      </c>
      <c r="T596" s="1"/>
      <c r="U596" s="1"/>
      <c r="V596" s="2" t="str">
        <f>VLOOKUP(COUNTIF($E$194:$E596,$E596),$L$184:$X$193,IF(H596=1,4,IF(H596=4,3,2))+IF(INDEX([1]Sheet1!$1:$1048576,MATCH($E596,[1]Sheet1!$A:$A,0),MATCH("zizhi",[1]Sheet1!$2:$2,0))&gt;=13,0,3)+6,0)</f>
        <v>11050</v>
      </c>
      <c r="W596" s="2" t="str">
        <f t="shared" si="55"/>
        <v>进阶+3：攻击提高10%</v>
      </c>
      <c r="X596" s="45" t="str">
        <f t="shared" si="53"/>
        <v>11050</v>
      </c>
      <c r="Y596" s="2"/>
      <c r="Z596" s="2"/>
      <c r="AA596" s="2"/>
    </row>
    <row r="597" spans="1:27" ht="33">
      <c r="A597" s="10">
        <f>E597*100+COUNTIF($E$194:$E597,$E597)</f>
        <v>120704</v>
      </c>
      <c r="B597" s="68" t="s">
        <v>1884</v>
      </c>
      <c r="C597" s="50" t="s">
        <v>2</v>
      </c>
      <c r="D597" s="10">
        <f t="shared" si="58"/>
        <v>1</v>
      </c>
      <c r="E597" s="45">
        <f>INDEX($I:$I,MATCH($E596,$I:$I,0)+IF(COUNTIF($E$194:$E596,$E596)&lt;=VLOOKUP($E596,$I$134:$K$193,3,0)-1,0,1),0)</f>
        <v>1207</v>
      </c>
      <c r="F597" s="45" t="str">
        <f t="shared" si="54"/>
        <v>引魂仙子</v>
      </c>
      <c r="G597" s="45" t="s">
        <v>217</v>
      </c>
      <c r="H597" s="45">
        <f>VLOOKUP($E597,[1]Sheet1!$A:$G,7,0)</f>
        <v>2</v>
      </c>
      <c r="I597" s="45" t="str">
        <f>IF($G597="","",IF(COUNTIF(技能描述!$D:$D,$F597)&gt;0,VLOOKUP($F597&amp;$G597,技能描述!$A:$C,3,0),LEFT(VLOOKUP($E597,[1]Sheet1!$A:$J,10,0),FIND("_",VLOOKUP($E597,[1]Sheet1!$A:$J,10,0))-1)&amp;$G597))</f>
        <v>yinhunxianzi_skill04</v>
      </c>
      <c r="J597" s="45" t="str">
        <f>IF($I597="","",VLOOKUP($I597,技能描述!$A:$C,3,0))</f>
        <v>引魂仙子召唤咒魂诅咒敌军，对范围内敌军造成2次自身攻击力@s的法伤，并降低敌人攻速@s，持续3秒</v>
      </c>
      <c r="K597" s="45" t="str">
        <f>IF($I597="","",INDEX([2]Sheet1!$1:$1048576,MATCH($I597,[2]Sheet1!$A:$A,0),MATCH("description_damage",[2]Sheet1!$2:$2,0)))</f>
        <v>120704,9020</v>
      </c>
      <c r="L597" s="80" t="str">
        <f>IF($K597="","",IF(LEN($K597)-LEN(SUBSTITUTE($K597,",",""))=0,VLOOKUP(INT($K597),[3]Sheet1!$A:$C,3,0),VLOOKUP(INT(LEFT($K597,FIND(",",$K597)-1)),[3]Sheet1!$A:$C,3,0)))</f>
        <v>2|2|0.71|0|0|0</v>
      </c>
      <c r="M597" s="80" t="str">
        <f t="shared" si="59"/>
        <v>71%</v>
      </c>
      <c r="N597" s="45" t="str">
        <f>IF(LEN($K597)-LEN(SUBSTITUTE($K597,",",""))=1,VLOOKUP(INT(RIGHT($K597,LEN($K597)-FIND(",",$K597))),[3]Sheet1!$A:$C,3,0),"")</f>
        <v>4|3|0.2|0|1</v>
      </c>
      <c r="O597" s="45" t="str">
        <f t="shared" si="56"/>
        <v>20%</v>
      </c>
      <c r="P597" s="45" t="str">
        <f t="shared" si="52"/>
        <v>引魂仙子召唤咒魂诅咒敌军，对范围内敌军造成2次自身攻击力71%的法伤，并降低敌人攻速@s，持续3秒</v>
      </c>
      <c r="Q597" s="45" t="str">
        <f t="shared" si="57"/>
        <v>引魂仙子召唤咒魂诅咒敌军，对范围内敌军造成2次自身攻击力71%的法伤，并降低敌人攻速20%，持续3秒</v>
      </c>
      <c r="R597" s="45"/>
      <c r="S597" s="45" t="str">
        <f>IF(ISERROR($Q597),"进阶+"&amp;COUNTIF($E$194:$E597,$E597)&amp;"："&amp;"找ZC配技能","进阶+"&amp;COUNTIF($E$194:$E597,$E597)&amp;"："&amp;VLOOKUP(COUNTIF($E$194:$E597,$E597),$L$184:$R$193,IF(H597=1,4,IF(H597=4,3,2))+IF(INDEX([1]Sheet1!$1:$1048576,MATCH($E597,[1]Sheet1!$A:$A,0),MATCH("zizhi",[1]Sheet1!$2:$2,0))&gt;=13,0,3),0)&amp;IF($Q597="","","（"&amp;$Q597&amp;"）"))</f>
        <v>进阶+4：激活AI2技能（引魂仙子召唤咒魂诅咒敌军，对范围内敌军造成2次自身攻击力71%的法伤，并降低敌人攻速20%，持续3秒）</v>
      </c>
      <c r="T597" s="1"/>
      <c r="U597" s="1"/>
      <c r="V597" s="2" t="str">
        <f>VLOOKUP(COUNTIF($E$194:$E597,$E597),$L$184:$X$193,IF(H597=1,4,IF(H597=4,3,2))+IF(INDEX([1]Sheet1!$1:$1048576,MATCH($E597,[1]Sheet1!$A:$A,0),MATCH("zizhi",[1]Sheet1!$2:$2,0))&gt;=13,0,3)+6,0)</f>
        <v>[]</v>
      </c>
      <c r="W597" s="2" t="str">
        <f t="shared" si="55"/>
        <v>进阶+4：激活AI2技能（引魂仙子召唤咒魂诅咒敌军，对范围内敌军造成2次自身攻击力71%的法伤，并降低敌人攻速20%，持续3秒）</v>
      </c>
      <c r="X597" s="45" t="str">
        <f t="shared" si="53"/>
        <v>[]</v>
      </c>
      <c r="Y597" s="2"/>
      <c r="Z597" s="2"/>
      <c r="AA597" s="2"/>
    </row>
    <row r="598" spans="1:27">
      <c r="A598" s="10">
        <f>E598*100+COUNTIF($E$194:$E598,$E598)</f>
        <v>120705</v>
      </c>
      <c r="B598" s="68" t="s">
        <v>323</v>
      </c>
      <c r="C598" s="50" t="s">
        <v>140</v>
      </c>
      <c r="D598" s="10" t="str">
        <f t="shared" si="58"/>
        <v>[]</v>
      </c>
      <c r="E598" s="45">
        <f>INDEX($I:$I,MATCH($E597,$I:$I,0)+IF(COUNTIF($E$194:$E597,$E597)&lt;=VLOOKUP($E597,$I$134:$K$193,3,0)-1,0,1),0)</f>
        <v>1207</v>
      </c>
      <c r="F598" s="45" t="str">
        <f t="shared" si="54"/>
        <v>引魂仙子</v>
      </c>
      <c r="H598" s="45">
        <f>VLOOKUP($E598,[1]Sheet1!$A:$G,7,0)</f>
        <v>2</v>
      </c>
      <c r="I598" s="45" t="str">
        <f>IF($G598="","",IF(COUNTIF(技能描述!$D:$D,$F598)&gt;0,VLOOKUP($F598&amp;$G598,技能描述!$A:$C,3,0),LEFT(VLOOKUP($E598,[1]Sheet1!$A:$J,10,0),FIND("_",VLOOKUP($E598,[1]Sheet1!$A:$J,10,0))-1)&amp;$G598))</f>
        <v/>
      </c>
      <c r="J598" s="45" t="str">
        <f>IF($I598="","",VLOOKUP($I598,技能描述!$A:$C,3,0))</f>
        <v/>
      </c>
      <c r="K598" s="45" t="str">
        <f>IF($I598="","",INDEX([2]Sheet1!$1:$1048576,MATCH($I598,[2]Sheet1!$A:$A,0),MATCH("description_damage",[2]Sheet1!$2:$2,0)))</f>
        <v/>
      </c>
      <c r="L598" s="80" t="str">
        <f>IF($K598="","",IF(LEN($K598)-LEN(SUBSTITUTE($K598,",",""))=0,VLOOKUP(INT($K598),[3]Sheet1!$A:$C,3,0),VLOOKUP(INT(LEFT($K598,FIND(",",$K598)-1)),[3]Sheet1!$A:$C,3,0)))</f>
        <v/>
      </c>
      <c r="M598" s="80" t="str">
        <f t="shared" si="59"/>
        <v/>
      </c>
      <c r="N598" s="45" t="str">
        <f>IF(LEN($K598)-LEN(SUBSTITUTE($K598,",",""))=1,VLOOKUP(INT(RIGHT($K598,LEN($K598)-FIND(",",$K598))),[3]Sheet1!$A:$C,3,0),"")</f>
        <v/>
      </c>
      <c r="O598" s="45" t="str">
        <f t="shared" si="56"/>
        <v/>
      </c>
      <c r="P598" s="45" t="str">
        <f t="shared" si="52"/>
        <v/>
      </c>
      <c r="Q598" s="45" t="str">
        <f t="shared" si="57"/>
        <v/>
      </c>
      <c r="R598" s="45"/>
      <c r="S598" s="45" t="str">
        <f>IF(ISERROR($Q598),"进阶+"&amp;COUNTIF($E$194:$E598,$E598)&amp;"："&amp;"找ZC配技能","进阶+"&amp;COUNTIF($E$194:$E598,$E598)&amp;"："&amp;VLOOKUP(COUNTIF($E$194:$E598,$E598),$L$184:$R$193,IF(H598=1,4,IF(H598=4,3,2))+IF(INDEX([1]Sheet1!$1:$1048576,MATCH($E598,[1]Sheet1!$A:$A,0),MATCH("zizhi",[1]Sheet1!$2:$2,0))&gt;=13,0,3),0)&amp;IF($Q598="","","（"&amp;$Q598&amp;"）"))</f>
        <v>进阶+5：生命，防御提高10%</v>
      </c>
      <c r="T598" s="1"/>
      <c r="U598" s="1"/>
      <c r="V598" s="2" t="str">
        <f>VLOOKUP(COUNTIF($E$194:$E598,$E598),$L$184:$X$193,IF(H598=1,4,IF(H598=4,3,2))+IF(INDEX([1]Sheet1!$1:$1048576,MATCH($E598,[1]Sheet1!$A:$A,0),MATCH("zizhi",[1]Sheet1!$2:$2,0))&gt;=13,0,3)+6,0)</f>
        <v>11090,6502,6512</v>
      </c>
      <c r="W598" s="2" t="str">
        <f t="shared" si="55"/>
        <v>进阶+5：生命，防御提高10%</v>
      </c>
      <c r="X598" s="45" t="str">
        <f t="shared" si="53"/>
        <v>11090,6502,6512</v>
      </c>
      <c r="Y598" s="2"/>
      <c r="Z598" s="2"/>
      <c r="AA598" s="2"/>
    </row>
    <row r="599" spans="1:27" ht="33">
      <c r="A599" s="10">
        <f>E599*100+COUNTIF($E$194:$E599,$E599)</f>
        <v>120706</v>
      </c>
      <c r="B599" s="68" t="s">
        <v>2068</v>
      </c>
      <c r="C599" s="50" t="s">
        <v>2</v>
      </c>
      <c r="D599" s="10">
        <f t="shared" si="58"/>
        <v>1</v>
      </c>
      <c r="E599" s="45">
        <f>INDEX($I:$I,MATCH($E598,$I:$I,0)+IF(COUNTIF($E$194:$E598,$E598)&lt;=VLOOKUP($E598,$I$134:$K$193,3,0)-1,0,1),0)</f>
        <v>1207</v>
      </c>
      <c r="F599" s="45" t="str">
        <f t="shared" si="54"/>
        <v>引魂仙子</v>
      </c>
      <c r="G599" s="45" t="s">
        <v>218</v>
      </c>
      <c r="H599" s="45">
        <f>VLOOKUP($E599,[1]Sheet1!$A:$G,7,0)</f>
        <v>2</v>
      </c>
      <c r="I599" s="45" t="str">
        <f>IF($G599="","",IF(COUNTIF(技能描述!$D:$D,$F599)&gt;0,VLOOKUP($F599&amp;$G599,技能描述!$A:$C,3,0),LEFT(VLOOKUP($E599,[1]Sheet1!$A:$J,10,0),FIND("_",VLOOKUP($E599,[1]Sheet1!$A:$J,10,0))-1)&amp;$G599))</f>
        <v>yinhunxianzi_skill011</v>
      </c>
      <c r="J599" s="45" t="str">
        <f>IF($I599="","",VLOOKUP($I599,技能描述!$A:$C,3,0))</f>
        <v>用魂灯召唤百魂，对范围内敌人进行3次攻击，造成主角攻击@s的法伤</v>
      </c>
      <c r="K599" s="45" t="str">
        <f>IF($I599="","",INDEX([2]Sheet1!$1:$1048576,MATCH($I599,[2]Sheet1!$A:$A,0),MATCH("description_damage",[2]Sheet1!$2:$2,0)))</f>
        <v>120705</v>
      </c>
      <c r="L599" s="80" t="str">
        <f>IF($K599="","",IF(LEN($K599)-LEN(SUBSTITUTE($K599,",",""))=0,VLOOKUP(INT($K599),[3]Sheet1!$A:$C,3,0),VLOOKUP(INT(LEFT($K599,FIND(",",$K599)-1)),[3]Sheet1!$A:$C,3,0)))</f>
        <v>2|2|1.43|0|0|0</v>
      </c>
      <c r="M599" s="80" t="str">
        <f t="shared" si="59"/>
        <v>143%</v>
      </c>
      <c r="N599" s="45" t="str">
        <f>IF(LEN($K599)-LEN(SUBSTITUTE($K599,",",""))=1,VLOOKUP(INT(RIGHT($K599,LEN($K599)-FIND(",",$K599))),[3]Sheet1!$A:$C,3,0),"")</f>
        <v/>
      </c>
      <c r="O599" s="45" t="str">
        <f t="shared" si="56"/>
        <v/>
      </c>
      <c r="P599" s="45" t="str">
        <f t="shared" si="52"/>
        <v>用魂灯召唤百魂，对范围内敌人进行3次攻击，造成主角攻击143%的法伤</v>
      </c>
      <c r="Q599" s="45" t="str">
        <f t="shared" si="57"/>
        <v>用魂灯召唤百魂，对范围内敌人进行3次攻击，造成主角攻击143%的法伤</v>
      </c>
      <c r="R599" s="45"/>
      <c r="S599" s="45" t="str">
        <f>IF(ISERROR($Q599),"进阶+"&amp;COUNTIF($E$194:$E599,$E599)&amp;"："&amp;"找ZC配技能","进阶+"&amp;COUNTIF($E$194:$E599,$E599)&amp;"："&amp;VLOOKUP(COUNTIF($E$194:$E599,$E599),$L$184:$R$193,IF(H599=1,4,IF(H599=4,3,2))+IF(INDEX([1]Sheet1!$1:$1048576,MATCH($E599,[1]Sheet1!$A:$A,0),MATCH("zizhi",[1]Sheet1!$2:$2,0))&gt;=13,0,3),0)&amp;IF($Q599="","","（"&amp;$Q599&amp;"）"))</f>
        <v>进阶+6：增强主角技能（用魂灯召唤百魂，对范围内敌人进行3次攻击，造成主角攻击143%的法伤）</v>
      </c>
      <c r="T599" s="1"/>
      <c r="U599" s="1"/>
      <c r="V599" s="2" t="str">
        <f>VLOOKUP(COUNTIF($E$194:$E599,$E599),$L$184:$X$193,IF(H599=1,4,IF(H599=4,3,2))+IF(INDEX([1]Sheet1!$1:$1048576,MATCH($E599,[1]Sheet1!$A:$A,0),MATCH("zizhi",[1]Sheet1!$2:$2,0))&gt;=13,0,3)+6,0)</f>
        <v>[]</v>
      </c>
      <c r="W599" s="2" t="str">
        <f t="shared" si="55"/>
        <v>进阶+6：增强主角技能（用魂灯召唤百魂，对范围内敌人进行3次攻击，造成主角攻击143%的法伤）</v>
      </c>
      <c r="X599" s="45" t="str">
        <f t="shared" si="53"/>
        <v>[]</v>
      </c>
      <c r="Y599" s="2"/>
      <c r="Z599" s="2"/>
      <c r="AA599" s="2"/>
    </row>
    <row r="600" spans="1:27">
      <c r="A600" s="10">
        <f>E600*100+COUNTIF($E$194:$E600,$E600)</f>
        <v>120707</v>
      </c>
      <c r="B600" s="68" t="s">
        <v>359</v>
      </c>
      <c r="C600" s="50" t="s">
        <v>353</v>
      </c>
      <c r="D600" s="10" t="str">
        <f t="shared" si="58"/>
        <v>[]</v>
      </c>
      <c r="E600" s="45">
        <f>INDEX($I:$I,MATCH($E599,$I:$I,0)+IF(COUNTIF($E$194:$E599,$E599)&lt;=VLOOKUP($E599,$I$134:$K$193,3,0)-1,0,1),0)</f>
        <v>1207</v>
      </c>
      <c r="F600" s="45" t="str">
        <f t="shared" si="54"/>
        <v>引魂仙子</v>
      </c>
      <c r="H600" s="45">
        <f>VLOOKUP($E600,[1]Sheet1!$A:$G,7,0)</f>
        <v>2</v>
      </c>
      <c r="I600" s="45" t="str">
        <f>IF($G600="","",IF(COUNTIF(技能描述!$D:$D,$F600)&gt;0,VLOOKUP($F600&amp;$G600,技能描述!$A:$C,3,0),LEFT(VLOOKUP($E600,[1]Sheet1!$A:$J,10,0),FIND("_",VLOOKUP($E600,[1]Sheet1!$A:$J,10,0))-1)&amp;$G600))</f>
        <v/>
      </c>
      <c r="J600" s="45" t="str">
        <f>IF($I600="","",VLOOKUP($I600,技能描述!$A:$C,3,0))</f>
        <v/>
      </c>
      <c r="K600" s="45" t="str">
        <f>IF($I600="","",INDEX([2]Sheet1!$1:$1048576,MATCH($I600,[2]Sheet1!$A:$A,0),MATCH("description_damage",[2]Sheet1!$2:$2,0)))</f>
        <v/>
      </c>
      <c r="L600" s="80" t="str">
        <f>IF($K600="","",IF(LEN($K600)-LEN(SUBSTITUTE($K600,",",""))=0,VLOOKUP(INT($K600),[3]Sheet1!$A:$C,3,0),VLOOKUP(INT(LEFT($K600,FIND(",",$K600)-1)),[3]Sheet1!$A:$C,3,0)))</f>
        <v/>
      </c>
      <c r="M600" s="80" t="str">
        <f t="shared" si="59"/>
        <v/>
      </c>
      <c r="N600" s="45" t="str">
        <f>IF(LEN($K600)-LEN(SUBSTITUTE($K600,",",""))=1,VLOOKUP(INT(RIGHT($K600,LEN($K600)-FIND(",",$K600))),[3]Sheet1!$A:$C,3,0),"")</f>
        <v/>
      </c>
      <c r="O600" s="45" t="str">
        <f t="shared" si="56"/>
        <v/>
      </c>
      <c r="P600" s="45" t="str">
        <f t="shared" si="52"/>
        <v/>
      </c>
      <c r="Q600" s="45" t="str">
        <f t="shared" si="57"/>
        <v/>
      </c>
      <c r="R600" s="45"/>
      <c r="S600" s="45" t="str">
        <f>IF(ISERROR($Q600),"进阶+"&amp;COUNTIF($E$194:$E600,$E600)&amp;"："&amp;"找ZC配技能","进阶+"&amp;COUNTIF($E$194:$E600,$E600)&amp;"："&amp;VLOOKUP(COUNTIF($E$194:$E600,$E600),$L$184:$R$193,IF(H600=1,4,IF(H600=4,3,2))+IF(INDEX([1]Sheet1!$1:$1048576,MATCH($E600,[1]Sheet1!$A:$A,0),MATCH("zizhi",[1]Sheet1!$2:$2,0))&gt;=13,0,3),0)&amp;IF($Q600="","","（"&amp;$Q600&amp;"）"))</f>
        <v>进阶+7：全队攻击提高10%</v>
      </c>
      <c r="T600" s="1"/>
      <c r="U600" s="1"/>
      <c r="V600" s="2" t="str">
        <f>VLOOKUP(COUNTIF($E$194:$E600,$E600),$L$184:$X$193,IF(H600=1,4,IF(H600=4,3,2))+IF(INDEX([1]Sheet1!$1:$1048576,MATCH($E600,[1]Sheet1!$A:$A,0),MATCH("zizhi",[1]Sheet1!$2:$2,0))&gt;=13,0,3)+6,0)</f>
        <v>58010</v>
      </c>
      <c r="W600" s="2" t="str">
        <f t="shared" si="55"/>
        <v>进阶+7：全队攻击提高10%</v>
      </c>
      <c r="X600" s="45" t="str">
        <f t="shared" si="53"/>
        <v>58010</v>
      </c>
      <c r="Y600" s="2"/>
      <c r="Z600" s="2"/>
      <c r="AA600" s="2"/>
    </row>
    <row r="601" spans="1:27" ht="33">
      <c r="A601" s="10">
        <f>E601*100+COUNTIF($E$194:$E601,$E601)</f>
        <v>120708</v>
      </c>
      <c r="B601" s="68" t="s">
        <v>2069</v>
      </c>
      <c r="C601" s="50" t="s">
        <v>2</v>
      </c>
      <c r="D601" s="10">
        <f t="shared" si="58"/>
        <v>1</v>
      </c>
      <c r="E601" s="45">
        <f>INDEX($I:$I,MATCH($E600,$I:$I,0)+IF(COUNTIF($E$194:$E600,$E600)&lt;=VLOOKUP($E600,$I$134:$K$193,3,0)-1,0,1),0)</f>
        <v>1207</v>
      </c>
      <c r="F601" s="45" t="str">
        <f t="shared" si="54"/>
        <v>引魂仙子</v>
      </c>
      <c r="G601" s="45" t="s">
        <v>219</v>
      </c>
      <c r="H601" s="45">
        <f>VLOOKUP($E601,[1]Sheet1!$A:$G,7,0)</f>
        <v>2</v>
      </c>
      <c r="I601" s="45" t="str">
        <f>IF($G601="","",IF(COUNTIF(技能描述!$D:$D,$F601)&gt;0,VLOOKUP($F601&amp;$G601,技能描述!$A:$C,3,0),LEFT(VLOOKUP($E601,[1]Sheet1!$A:$J,10,0),FIND("_",VLOOKUP($E601,[1]Sheet1!$A:$J,10,0))-1)&amp;$G601))</f>
        <v>yinhunxianzi_skill021</v>
      </c>
      <c r="J601" s="45" t="str">
        <f>IF($I601="","",VLOOKUP($I601,技能描述!$A:$C,3,0))</f>
        <v>引魂仙子引爆咒魂，对范围内敌人造成自身攻击力@s的法伤，并击飞敌人</v>
      </c>
      <c r="K601" s="45" t="str">
        <f>IF($I601="","",INDEX([2]Sheet1!$1:$1048576,MATCH($I601,[2]Sheet1!$A:$A,0),MATCH("description_damage",[2]Sheet1!$2:$2,0)))</f>
        <v>120706</v>
      </c>
      <c r="L601" s="80" t="str">
        <f>IF($K601="","",IF(LEN($K601)-LEN(SUBSTITUTE($K601,",",""))=0,VLOOKUP(INT($K601),[3]Sheet1!$A:$C,3,0),VLOOKUP(INT(LEFT($K601,FIND(",",$K601)-1)),[3]Sheet1!$A:$C,3,0)))</f>
        <v>2|2|2|0|0|0</v>
      </c>
      <c r="M601" s="80" t="str">
        <f t="shared" si="59"/>
        <v>200%</v>
      </c>
      <c r="N601" s="45" t="str">
        <f>IF(LEN($K601)-LEN(SUBSTITUTE($K601,",",""))=1,VLOOKUP(INT(RIGHT($K601,LEN($K601)-FIND(",",$K601))),[3]Sheet1!$A:$C,3,0),"")</f>
        <v/>
      </c>
      <c r="O601" s="45" t="str">
        <f t="shared" si="56"/>
        <v/>
      </c>
      <c r="P601" s="45" t="str">
        <f t="shared" si="52"/>
        <v>引魂仙子引爆咒魂，对范围内敌人造成自身攻击力200%的法伤，并击飞敌人</v>
      </c>
      <c r="Q601" s="45" t="str">
        <f t="shared" si="57"/>
        <v>引魂仙子引爆咒魂，对范围内敌人造成自身攻击力200%的法伤，并击飞敌人</v>
      </c>
      <c r="R601" s="45"/>
      <c r="S601" s="45" t="str">
        <f>IF(ISERROR($Q601),"进阶+"&amp;COUNTIF($E$194:$E601,$E601)&amp;"："&amp;"找ZC配技能","进阶+"&amp;COUNTIF($E$194:$E601,$E601)&amp;"："&amp;VLOOKUP(COUNTIF($E$194:$E601,$E601),$L$184:$R$193,IF(H601=1,4,IF(H601=4,3,2))+IF(INDEX([1]Sheet1!$1:$1048576,MATCH($E601,[1]Sheet1!$A:$A,0),MATCH("zizhi",[1]Sheet1!$2:$2,0))&gt;=13,0,3),0)&amp;IF($Q601="","","（"&amp;$Q601&amp;"）"))</f>
        <v>进阶+8：增强AI1技能（引魂仙子引爆咒魂，对范围内敌人造成自身攻击力200%的法伤，并击飞敌人）</v>
      </c>
      <c r="T601" s="1"/>
      <c r="U601" s="1"/>
      <c r="V601" s="2" t="str">
        <f>VLOOKUP(COUNTIF($E$194:$E601,$E601),$L$184:$X$193,IF(H601=1,4,IF(H601=4,3,2))+IF(INDEX([1]Sheet1!$1:$1048576,MATCH($E601,[1]Sheet1!$A:$A,0),MATCH("zizhi",[1]Sheet1!$2:$2,0))&gt;=13,0,3)+6,0)</f>
        <v>[]</v>
      </c>
      <c r="W601" s="2" t="str">
        <f t="shared" si="55"/>
        <v>进阶+8：增强AI1技能（引魂仙子引爆咒魂，对范围内敌人造成自身攻击力200%的法伤，并击飞敌人）</v>
      </c>
      <c r="X601" s="45" t="str">
        <f t="shared" si="53"/>
        <v>[]</v>
      </c>
      <c r="Y601" s="2"/>
      <c r="Z601" s="2"/>
      <c r="AA601" s="2"/>
    </row>
    <row r="602" spans="1:27">
      <c r="A602" s="10">
        <f>E602*100+COUNTIF($E$194:$E602,$E602)</f>
        <v>120709</v>
      </c>
      <c r="B602" s="68" t="s">
        <v>1899</v>
      </c>
      <c r="C602" s="50" t="s">
        <v>2085</v>
      </c>
      <c r="D602" s="10" t="str">
        <f t="shared" si="58"/>
        <v>[]</v>
      </c>
      <c r="E602" s="45">
        <f>INDEX($I:$I,MATCH($E601,$I:$I,0)+IF(COUNTIF($E$194:$E601,$E601)&lt;=VLOOKUP($E601,$I$134:$K$193,3,0)-1,0,1),0)</f>
        <v>1207</v>
      </c>
      <c r="F602" s="45" t="str">
        <f t="shared" si="54"/>
        <v>引魂仙子</v>
      </c>
      <c r="H602" s="45">
        <f>VLOOKUP($E602,[1]Sheet1!$A:$G,7,0)</f>
        <v>2</v>
      </c>
      <c r="I602" s="45" t="str">
        <f>IF($G602="","",IF(COUNTIF(技能描述!$D:$D,$F602)&gt;0,VLOOKUP($F602&amp;$G602,技能描述!$A:$C,3,0),LEFT(VLOOKUP($E602,[1]Sheet1!$A:$J,10,0),FIND("_",VLOOKUP($E602,[1]Sheet1!$A:$J,10,0))-1)&amp;$G602))</f>
        <v/>
      </c>
      <c r="J602" s="45" t="str">
        <f>IF($I602="","",VLOOKUP($I602,技能描述!$A:$C,3,0))</f>
        <v/>
      </c>
      <c r="K602" s="45" t="str">
        <f>IF($I602="","",INDEX([2]Sheet1!$1:$1048576,MATCH($I602,[2]Sheet1!$A:$A,0),MATCH("description_damage",[2]Sheet1!$2:$2,0)))</f>
        <v/>
      </c>
      <c r="L602" s="80" t="str">
        <f>IF($K602="","",IF(LEN($K602)-LEN(SUBSTITUTE($K602,",",""))=0,VLOOKUP(INT($K602),[3]Sheet1!$A:$C,3,0),VLOOKUP(INT(LEFT($K602,FIND(",",$K602)-1)),[3]Sheet1!$A:$C,3,0)))</f>
        <v/>
      </c>
      <c r="M602" s="80" t="str">
        <f t="shared" si="59"/>
        <v/>
      </c>
      <c r="N602" s="45" t="str">
        <f>IF(LEN($K602)-LEN(SUBSTITUTE($K602,",",""))=1,VLOOKUP(INT(RIGHT($K602,LEN($K602)-FIND(",",$K602))),[3]Sheet1!$A:$C,3,0),"")</f>
        <v/>
      </c>
      <c r="O602" s="45" t="str">
        <f t="shared" si="56"/>
        <v/>
      </c>
      <c r="P602" s="45" t="str">
        <f t="shared" si="52"/>
        <v/>
      </c>
      <c r="Q602" s="45" t="str">
        <f t="shared" si="57"/>
        <v/>
      </c>
      <c r="R602" s="45"/>
      <c r="S602" s="45" t="str">
        <f>IF(ISERROR($Q602),"进阶+"&amp;COUNTIF($E$194:$E602,$E602)&amp;"："&amp;"找ZC配技能","进阶+"&amp;COUNTIF($E$194:$E602,$E602)&amp;"："&amp;VLOOKUP(COUNTIF($E$194:$E602,$E602),$L$184:$R$193,IF(H602=1,4,IF(H602=4,3,2))+IF(INDEX([1]Sheet1!$1:$1048576,MATCH($E602,[1]Sheet1!$A:$A,0),MATCH("zizhi",[1]Sheet1!$2:$2,0))&gt;=13,0,3),0)&amp;IF($Q602="","","（"&amp;$Q602&amp;"）"))</f>
        <v>进阶+9：全队攻击提高15%</v>
      </c>
      <c r="T602" s="1"/>
      <c r="U602" s="1"/>
      <c r="V602" s="2" t="str">
        <f>VLOOKUP(COUNTIF($E$194:$E602,$E602),$L$184:$X$193,IF(H602=1,4,IF(H602=4,3,2))+IF(INDEX([1]Sheet1!$1:$1048576,MATCH($E602,[1]Sheet1!$A:$A,0),MATCH("zizhi",[1]Sheet1!$2:$2,0))&gt;=13,0,3)+6,0)</f>
        <v>58015</v>
      </c>
      <c r="W602" s="2" t="str">
        <f t="shared" si="55"/>
        <v>进阶+9：全队攻击提高15%</v>
      </c>
      <c r="X602" s="45" t="str">
        <f t="shared" si="53"/>
        <v>58015</v>
      </c>
      <c r="Y602" s="2"/>
      <c r="Z602" s="2"/>
      <c r="AA602" s="2"/>
    </row>
    <row r="603" spans="1:27" ht="33">
      <c r="A603" s="10">
        <f>E603*100+COUNTIF($E$194:$E603,$E603)</f>
        <v>120710</v>
      </c>
      <c r="B603" s="68" t="s">
        <v>1928</v>
      </c>
      <c r="C603" s="50" t="s">
        <v>2</v>
      </c>
      <c r="D603" s="10">
        <f t="shared" si="58"/>
        <v>1</v>
      </c>
      <c r="E603" s="45">
        <f>INDEX($I:$I,MATCH($E602,$I:$I,0)+IF(COUNTIF($E$194:$E602,$E602)&lt;=VLOOKUP($E602,$I$134:$K$193,3,0)-1,0,1),0)</f>
        <v>1207</v>
      </c>
      <c r="F603" s="45" t="str">
        <f t="shared" si="54"/>
        <v>引魂仙子</v>
      </c>
      <c r="G603" s="45" t="s">
        <v>220</v>
      </c>
      <c r="H603" s="45">
        <f>VLOOKUP($E603,[1]Sheet1!$A:$G,7,0)</f>
        <v>2</v>
      </c>
      <c r="I603" s="45" t="str">
        <f>IF($G603="","",IF(COUNTIF(技能描述!$D:$D,$F603)&gt;0,VLOOKUP($F603&amp;$G603,技能描述!$A:$C,3,0),LEFT(VLOOKUP($E603,[1]Sheet1!$A:$J,10,0),FIND("_",VLOOKUP($E603,[1]Sheet1!$A:$J,10,0))-1)&amp;$G603))</f>
        <v>yinhunxianzi_skill041</v>
      </c>
      <c r="J603" s="45" t="str">
        <f>IF($I603="","",VLOOKUP($I603,技能描述!$A:$C,3,0))</f>
        <v>引魂仙子召唤咒魂诅咒敌军，对范围内敌军造成2次自身攻击力@s的法伤，并降低敌人攻速@s，持续3秒</v>
      </c>
      <c r="K603" s="45" t="str">
        <f>IF($I603="","",INDEX([2]Sheet1!$1:$1048576,MATCH($I603,[2]Sheet1!$A:$A,0),MATCH("description_damage",[2]Sheet1!$2:$2,0)))</f>
        <v>120707,9020</v>
      </c>
      <c r="L603" s="80" t="str">
        <f>IF($K603="","",IF(LEN($K603)-LEN(SUBSTITUTE($K603,",",""))=0,VLOOKUP(INT($K603),[3]Sheet1!$A:$C,3,0),VLOOKUP(INT(LEFT($K603,FIND(",",$K603)-1)),[3]Sheet1!$A:$C,3,0)))</f>
        <v>2|2|0.5|0|0|0</v>
      </c>
      <c r="M603" s="80" t="str">
        <f t="shared" si="59"/>
        <v>50%</v>
      </c>
      <c r="N603" s="45" t="str">
        <f>IF(LEN($K603)-LEN(SUBSTITUTE($K603,",",""))=1,VLOOKUP(INT(RIGHT($K603,LEN($K603)-FIND(",",$K603))),[3]Sheet1!$A:$C,3,0),"")</f>
        <v>4|3|0.2|0|1</v>
      </c>
      <c r="O603" s="45" t="str">
        <f t="shared" si="56"/>
        <v>20%</v>
      </c>
      <c r="P603" s="45" t="str">
        <f t="shared" si="52"/>
        <v>引魂仙子召唤咒魂诅咒敌军，对范围内敌军造成2次自身攻击力50%的法伤，并降低敌人攻速@s，持续3秒</v>
      </c>
      <c r="Q603" s="45" t="str">
        <f t="shared" si="57"/>
        <v>引魂仙子召唤咒魂诅咒敌军，对范围内敌军造成2次自身攻击力50%的法伤，并降低敌人攻速20%，持续3秒</v>
      </c>
      <c r="R603" s="45"/>
      <c r="S603" s="45" t="str">
        <f>IF(ISERROR($Q603),"进阶+"&amp;COUNTIF($E$194:$E603,$E603)&amp;"："&amp;"找ZC配技能","进阶+"&amp;COUNTIF($E$194:$E603,$E603)&amp;"："&amp;VLOOKUP(COUNTIF($E$194:$E603,$E603),$L$184:$R$193,IF(H603=1,4,IF(H603=4,3,2))+IF(INDEX([1]Sheet1!$1:$1048576,MATCH($E603,[1]Sheet1!$A:$A,0),MATCH("zizhi",[1]Sheet1!$2:$2,0))&gt;=13,0,3),0)&amp;IF($Q603="","","（"&amp;$Q603&amp;"）"))</f>
        <v>进阶+10：增强AI2技能（引魂仙子召唤咒魂诅咒敌军，对范围内敌军造成2次自身攻击力50%的法伤，并降低敌人攻速20%，持续3秒）</v>
      </c>
      <c r="T603" s="1"/>
      <c r="U603" s="1"/>
      <c r="V603" s="2" t="str">
        <f>VLOOKUP(COUNTIF($E$194:$E603,$E603),$L$184:$X$193,IF(H603=1,4,IF(H603=4,3,2))+IF(INDEX([1]Sheet1!$1:$1048576,MATCH($E603,[1]Sheet1!$A:$A,0),MATCH("zizhi",[1]Sheet1!$2:$2,0))&gt;=13,0,3)+6,0)</f>
        <v>[]</v>
      </c>
      <c r="W603" s="2" t="str">
        <f t="shared" si="55"/>
        <v>进阶+10：增强AI2技能（引魂仙子召唤咒魂诅咒敌军，对范围内敌军造成2次自身攻击力50%的法伤，并降低敌人攻速20%，持续3秒）</v>
      </c>
      <c r="X603" s="45" t="str">
        <f t="shared" si="53"/>
        <v>[]</v>
      </c>
      <c r="Y603" s="2"/>
      <c r="Z603" s="2"/>
      <c r="AA603" s="2"/>
    </row>
    <row r="604" spans="1:27">
      <c r="A604" s="10">
        <f>E604*100+COUNTIF($E$194:$E604,$E604)</f>
        <v>113901</v>
      </c>
      <c r="B604" s="68" t="s">
        <v>310</v>
      </c>
      <c r="C604" s="50">
        <v>11050</v>
      </c>
      <c r="D604" s="10" t="str">
        <f t="shared" si="58"/>
        <v>[]</v>
      </c>
      <c r="E604" s="45">
        <f>INDEX($I:$I,MATCH($E603,$I:$I,0)+IF(COUNTIF($E$194:$E603,$E603)&lt;=VLOOKUP($E603,$I$134:$K$193,3,0)-1,0,1),0)</f>
        <v>1139</v>
      </c>
      <c r="F604" s="45" t="str">
        <f t="shared" si="54"/>
        <v>金钱豹王</v>
      </c>
      <c r="H604" s="45">
        <f>VLOOKUP($E604,[1]Sheet1!$A:$G,7,0)</f>
        <v>3</v>
      </c>
      <c r="I604" s="45" t="str">
        <f>IF($G604="","",IF(COUNTIF(技能描述!$D:$D,$F604)&gt;0,VLOOKUP($F604&amp;$G604,技能描述!$A:$C,3,0),LEFT(VLOOKUP($E604,[1]Sheet1!$A:$J,10,0),FIND("_",VLOOKUP($E604,[1]Sheet1!$A:$J,10,0))-1)&amp;$G604))</f>
        <v/>
      </c>
      <c r="J604" s="45" t="str">
        <f>IF($I604="","",VLOOKUP($I604,技能描述!$A:$C,3,0))</f>
        <v/>
      </c>
      <c r="K604" s="45" t="str">
        <f>IF($I604="","",INDEX([2]Sheet1!$1:$1048576,MATCH($I604,[2]Sheet1!$A:$A,0),MATCH("description_damage",[2]Sheet1!$2:$2,0)))</f>
        <v/>
      </c>
      <c r="L604" s="80" t="str">
        <f>IF($K604="","",IF(LEN($K604)-LEN(SUBSTITUTE($K604,",",""))=0,VLOOKUP(INT($K604),[3]Sheet1!$A:$C,3,0),VLOOKUP(INT(LEFT($K604,FIND(",",$K604)-1)),[3]Sheet1!$A:$C,3,0)))</f>
        <v/>
      </c>
      <c r="M604" s="80" t="str">
        <f t="shared" si="59"/>
        <v/>
      </c>
      <c r="N604" s="45" t="str">
        <f>IF(LEN($K604)-LEN(SUBSTITUTE($K604,",",""))=1,VLOOKUP(INT(RIGHT($K604,LEN($K604)-FIND(",",$K604))),[3]Sheet1!$A:$C,3,0),"")</f>
        <v/>
      </c>
      <c r="O604" s="45" t="str">
        <f t="shared" si="56"/>
        <v/>
      </c>
      <c r="P604" s="45" t="str">
        <f t="shared" si="52"/>
        <v/>
      </c>
      <c r="Q604" s="45" t="str">
        <f t="shared" si="57"/>
        <v/>
      </c>
      <c r="R604" s="45"/>
      <c r="S604" s="45" t="str">
        <f>IF(ISERROR($Q604),"进阶+"&amp;COUNTIF($E$194:$E604,$E604)&amp;"："&amp;"找ZC配技能","进阶+"&amp;COUNTIF($E$194:$E604,$E604)&amp;"："&amp;VLOOKUP(COUNTIF($E$194:$E604,$E604),$L$184:$R$193,IF(H604=1,4,IF(H604=4,3,2))+IF(INDEX([1]Sheet1!$1:$1048576,MATCH($E604,[1]Sheet1!$A:$A,0),MATCH("zizhi",[1]Sheet1!$2:$2,0))&gt;=13,0,3),0)&amp;IF($Q604="","","（"&amp;$Q604&amp;"）"))</f>
        <v>进阶+1：攻击提高10%</v>
      </c>
      <c r="T604" s="1"/>
      <c r="U604" s="1"/>
      <c r="V604" s="2">
        <f>VLOOKUP(COUNTIF($E$194:$E604,$E604),$L$184:$X$193,IF(H604=1,4,IF(H604=4,3,2))+IF(INDEX([1]Sheet1!$1:$1048576,MATCH($E604,[1]Sheet1!$A:$A,0),MATCH("zizhi",[1]Sheet1!$2:$2,0))&gt;=13,0,3)+6,0)</f>
        <v>11050</v>
      </c>
      <c r="W604" s="2" t="str">
        <f t="shared" si="55"/>
        <v>进阶+1：攻击提高10%</v>
      </c>
      <c r="X604" s="45">
        <f t="shared" si="53"/>
        <v>11050</v>
      </c>
      <c r="Y604" s="2"/>
      <c r="Z604" s="2"/>
      <c r="AA604" s="2"/>
    </row>
    <row r="605" spans="1:27">
      <c r="A605" s="10">
        <f>E605*100+COUNTIF($E$194:$E605,$E605)</f>
        <v>113902</v>
      </c>
      <c r="B605" s="68" t="s">
        <v>361</v>
      </c>
      <c r="C605" s="50" t="s">
        <v>2</v>
      </c>
      <c r="D605" s="10">
        <f t="shared" si="58"/>
        <v>1</v>
      </c>
      <c r="E605" s="45">
        <f>INDEX($I:$I,MATCH($E604,$I:$I,0)+IF(COUNTIF($E$194:$E604,$E604)&lt;=VLOOKUP($E604,$I$134:$K$193,3,0)-1,0,1),0)</f>
        <v>1139</v>
      </c>
      <c r="F605" s="45" t="str">
        <f t="shared" si="54"/>
        <v>金钱豹王</v>
      </c>
      <c r="G605" s="45" t="s">
        <v>216</v>
      </c>
      <c r="H605" s="45">
        <f>VLOOKUP($E605,[1]Sheet1!$A:$G,7,0)</f>
        <v>3</v>
      </c>
      <c r="I605" s="45" t="str">
        <f>IF($G605="","",IF(COUNTIF(技能描述!$D:$D,$F605)&gt;0,VLOOKUP($F605&amp;$G605,技能描述!$A:$C,3,0),LEFT(VLOOKUP($E605,[1]Sheet1!$A:$J,10,0),FIND("_",VLOOKUP($E605,[1]Sheet1!$A:$J,10,0))-1)&amp;$G605))</f>
        <v>jinqianbaowang_skill03</v>
      </c>
      <c r="J605" s="45" t="str">
        <f>IF($I605="","",VLOOKUP($I605,技能描述!$A:$C,3,0))</f>
        <v>进入战斗场景时，增加自身@s的暴击率</v>
      </c>
      <c r="K605" s="45" t="str">
        <f>IF($I605="","",INDEX([2]Sheet1!$1:$1048576,MATCH($I605,[2]Sheet1!$A:$A,0),MATCH("description_damage",[2]Sheet1!$2:$2,0)))</f>
        <v>9020</v>
      </c>
      <c r="L605" s="80" t="str">
        <f>IF($K605="","",IF(LEN($K605)-LEN(SUBSTITUTE($K605,",",""))=0,VLOOKUP(INT($K605),[3]Sheet1!$A:$C,3,0),VLOOKUP(INT(LEFT($K605,FIND(",",$K605)-1)),[3]Sheet1!$A:$C,3,0)))</f>
        <v>4|3|0.2|0|1</v>
      </c>
      <c r="M605" s="80" t="str">
        <f t="shared" si="59"/>
        <v>20%</v>
      </c>
      <c r="N605" s="45" t="str">
        <f>IF(LEN($K605)-LEN(SUBSTITUTE($K605,",",""))=1,VLOOKUP(INT(RIGHT($K605,LEN($K605)-FIND(",",$K605))),[3]Sheet1!$A:$C,3,0),"")</f>
        <v/>
      </c>
      <c r="O605" s="45" t="str">
        <f t="shared" si="56"/>
        <v/>
      </c>
      <c r="P605" s="45" t="str">
        <f t="shared" si="52"/>
        <v>进入战斗场景时，增加自身20%的暴击率</v>
      </c>
      <c r="Q605" s="45" t="str">
        <f t="shared" si="57"/>
        <v>进入战斗场景时，增加自身20%的暴击率</v>
      </c>
      <c r="R605" s="45"/>
      <c r="S605" s="45" t="str">
        <f>IF(ISERROR($Q605),"进阶+"&amp;COUNTIF($E$194:$E605,$E605)&amp;"："&amp;"找ZC配技能","进阶+"&amp;COUNTIF($E$194:$E605,$E605)&amp;"："&amp;VLOOKUP(COUNTIF($E$194:$E605,$E605),$L$184:$R$193,IF(H605=1,4,IF(H605=4,3,2))+IF(INDEX([1]Sheet1!$1:$1048576,MATCH($E605,[1]Sheet1!$A:$A,0),MATCH("zizhi",[1]Sheet1!$2:$2,0))&gt;=13,0,3),0)&amp;IF($Q605="","","（"&amp;$Q605&amp;"）"))</f>
        <v>进阶+2：激活被动技能（进入战斗场景时，增加自身20%的暴击率）</v>
      </c>
      <c r="T605" s="1"/>
      <c r="U605" s="1"/>
      <c r="V605" s="2" t="str">
        <f>VLOOKUP(COUNTIF($E$194:$E605,$E605),$L$184:$X$193,IF(H605=1,4,IF(H605=4,3,2))+IF(INDEX([1]Sheet1!$1:$1048576,MATCH($E605,[1]Sheet1!$A:$A,0),MATCH("zizhi",[1]Sheet1!$2:$2,0))&gt;=13,0,3)+6,0)</f>
        <v>[]</v>
      </c>
      <c r="W605" s="2" t="str">
        <f t="shared" si="55"/>
        <v>进阶+2：激活被动技能（进入战斗场景时，增加自身20%的暴击率）</v>
      </c>
      <c r="X605" s="45" t="str">
        <f t="shared" si="53"/>
        <v>[]</v>
      </c>
      <c r="Y605" s="2"/>
      <c r="Z605" s="2"/>
      <c r="AA605" s="2"/>
    </row>
    <row r="606" spans="1:27">
      <c r="A606" s="10">
        <f>E606*100+COUNTIF($E$194:$E606,$E606)</f>
        <v>113903</v>
      </c>
      <c r="B606" s="68" t="s">
        <v>312</v>
      </c>
      <c r="C606" s="50" t="s">
        <v>127</v>
      </c>
      <c r="D606" s="10" t="str">
        <f t="shared" si="58"/>
        <v>[]</v>
      </c>
      <c r="E606" s="45">
        <f>INDEX($I:$I,MATCH($E605,$I:$I,0)+IF(COUNTIF($E$194:$E605,$E605)&lt;=VLOOKUP($E605,$I$134:$K$193,3,0)-1,0,1),0)</f>
        <v>1139</v>
      </c>
      <c r="F606" s="45" t="str">
        <f t="shared" si="54"/>
        <v>金钱豹王</v>
      </c>
      <c r="H606" s="45">
        <f>VLOOKUP($E606,[1]Sheet1!$A:$G,7,0)</f>
        <v>3</v>
      </c>
      <c r="I606" s="45" t="str">
        <f>IF($G606="","",IF(COUNTIF(技能描述!$D:$D,$F606)&gt;0,VLOOKUP($F606&amp;$G606,技能描述!$A:$C,3,0),LEFT(VLOOKUP($E606,[1]Sheet1!$A:$J,10,0),FIND("_",VLOOKUP($E606,[1]Sheet1!$A:$J,10,0))-1)&amp;$G606))</f>
        <v/>
      </c>
      <c r="J606" s="45" t="str">
        <f>IF($I606="","",VLOOKUP($I606,技能描述!$A:$C,3,0))</f>
        <v/>
      </c>
      <c r="K606" s="45" t="str">
        <f>IF($I606="","",INDEX([2]Sheet1!$1:$1048576,MATCH($I606,[2]Sheet1!$A:$A,0),MATCH("description_damage",[2]Sheet1!$2:$2,0)))</f>
        <v/>
      </c>
      <c r="L606" s="80" t="str">
        <f>IF($K606="","",IF(LEN($K606)-LEN(SUBSTITUTE($K606,",",""))=0,VLOOKUP(INT($K606),[3]Sheet1!$A:$C,3,0),VLOOKUP(INT(LEFT($K606,FIND(",",$K606)-1)),[3]Sheet1!$A:$C,3,0)))</f>
        <v/>
      </c>
      <c r="M606" s="80" t="str">
        <f t="shared" si="59"/>
        <v/>
      </c>
      <c r="N606" s="45" t="str">
        <f>IF(LEN($K606)-LEN(SUBSTITUTE($K606,",",""))=1,VLOOKUP(INT(RIGHT($K606,LEN($K606)-FIND(",",$K606))),[3]Sheet1!$A:$C,3,0),"")</f>
        <v/>
      </c>
      <c r="O606" s="45" t="str">
        <f t="shared" si="56"/>
        <v/>
      </c>
      <c r="P606" s="45" t="str">
        <f t="shared" si="52"/>
        <v/>
      </c>
      <c r="Q606" s="45" t="str">
        <f t="shared" si="57"/>
        <v/>
      </c>
      <c r="R606" s="45"/>
      <c r="S606" s="45" t="str">
        <f>IF(ISERROR($Q606),"进阶+"&amp;COUNTIF($E$194:$E606,$E606)&amp;"："&amp;"找ZC配技能","进阶+"&amp;COUNTIF($E$194:$E606,$E606)&amp;"："&amp;VLOOKUP(COUNTIF($E$194:$E606,$E606),$L$184:$R$193,IF(H606=1,4,IF(H606=4,3,2))+IF(INDEX([1]Sheet1!$1:$1048576,MATCH($E606,[1]Sheet1!$A:$A,0),MATCH("zizhi",[1]Sheet1!$2:$2,0))&gt;=13,0,3),0)&amp;IF($Q606="","","（"&amp;$Q606&amp;"）"))</f>
        <v>进阶+3：攻击提高10%</v>
      </c>
      <c r="T606" s="1"/>
      <c r="U606" s="1"/>
      <c r="V606" s="2" t="str">
        <f>VLOOKUP(COUNTIF($E$194:$E606,$E606),$L$184:$X$193,IF(H606=1,4,IF(H606=4,3,2))+IF(INDEX([1]Sheet1!$1:$1048576,MATCH($E606,[1]Sheet1!$A:$A,0),MATCH("zizhi",[1]Sheet1!$2:$2,0))&gt;=13,0,3)+6,0)</f>
        <v>11050</v>
      </c>
      <c r="W606" s="2" t="str">
        <f t="shared" si="55"/>
        <v>进阶+3：攻击提高10%</v>
      </c>
      <c r="X606" s="45" t="str">
        <f t="shared" si="53"/>
        <v>11050</v>
      </c>
      <c r="Y606" s="2"/>
      <c r="Z606" s="2"/>
      <c r="AA606" s="2"/>
    </row>
    <row r="607" spans="1:27" ht="33">
      <c r="A607" s="10">
        <f>E607*100+COUNTIF($E$194:$E607,$E607)</f>
        <v>113904</v>
      </c>
      <c r="B607" s="68" t="s">
        <v>1885</v>
      </c>
      <c r="C607" s="50" t="s">
        <v>2</v>
      </c>
      <c r="D607" s="10">
        <f t="shared" si="58"/>
        <v>1</v>
      </c>
      <c r="E607" s="45">
        <f>INDEX($I:$I,MATCH($E606,$I:$I,0)+IF(COUNTIF($E$194:$E606,$E606)&lt;=VLOOKUP($E606,$I$134:$K$193,3,0)-1,0,1),0)</f>
        <v>1139</v>
      </c>
      <c r="F607" s="45" t="str">
        <f t="shared" si="54"/>
        <v>金钱豹王</v>
      </c>
      <c r="G607" s="45" t="s">
        <v>217</v>
      </c>
      <c r="H607" s="45">
        <f>VLOOKUP($E607,[1]Sheet1!$A:$G,7,0)</f>
        <v>3</v>
      </c>
      <c r="I607" s="45" t="str">
        <f>IF($G607="","",IF(COUNTIF(技能描述!$D:$D,$F607)&gt;0,VLOOKUP($F607&amp;$G607,技能描述!$A:$C,3,0),LEFT(VLOOKUP($E607,[1]Sheet1!$A:$J,10,0),FIND("_",VLOOKUP($E607,[1]Sheet1!$A:$J,10,0))-1)&amp;$G607))</f>
        <v>jinqianbaowang_skill04</v>
      </c>
      <c r="J607" s="45" t="str">
        <f>IF($I607="","",VLOOKUP($I607,技能描述!$A:$C,3,0))</f>
        <v>金钱豹王跳向目标并发动连环攻击，对目标造成7次自身攻击力@s的伤害</v>
      </c>
      <c r="K607" s="45" t="str">
        <f>IF($I607="","",INDEX([2]Sheet1!$1:$1048576,MATCH($I607,[2]Sheet1!$A:$A,0),MATCH("description_damage",[2]Sheet1!$2:$2,0)))</f>
        <v>113904</v>
      </c>
      <c r="L607" s="80" t="str">
        <f>IF($K607="","",IF(LEN($K607)-LEN(SUBSTITUTE($K607,",",""))=0,VLOOKUP(INT($K607),[3]Sheet1!$A:$C,3,0),VLOOKUP(INT(LEFT($K607,FIND(",",$K607)-1)),[3]Sheet1!$A:$C,3,0)))</f>
        <v>2|1|0.39|0|0|0</v>
      </c>
      <c r="M607" s="80" t="str">
        <f t="shared" si="59"/>
        <v>39%</v>
      </c>
      <c r="N607" s="45" t="str">
        <f>IF(LEN($K607)-LEN(SUBSTITUTE($K607,",",""))=1,VLOOKUP(INT(RIGHT($K607,LEN($K607)-FIND(",",$K607))),[3]Sheet1!$A:$C,3,0),"")</f>
        <v/>
      </c>
      <c r="O607" s="45" t="str">
        <f t="shared" si="56"/>
        <v/>
      </c>
      <c r="P607" s="45" t="str">
        <f t="shared" si="52"/>
        <v>金钱豹王跳向目标并发动连环攻击，对目标造成7次自身攻击力39%的伤害</v>
      </c>
      <c r="Q607" s="45" t="str">
        <f t="shared" si="57"/>
        <v>金钱豹王跳向目标并发动连环攻击，对目标造成7次自身攻击力39%的伤害</v>
      </c>
      <c r="R607" s="45"/>
      <c r="S607" s="45" t="str">
        <f>IF(ISERROR($Q607),"进阶+"&amp;COUNTIF($E$194:$E607,$E607)&amp;"："&amp;"找ZC配技能","进阶+"&amp;COUNTIF($E$194:$E607,$E607)&amp;"："&amp;VLOOKUP(COUNTIF($E$194:$E607,$E607),$L$184:$R$193,IF(H607=1,4,IF(H607=4,3,2))+IF(INDEX([1]Sheet1!$1:$1048576,MATCH($E607,[1]Sheet1!$A:$A,0),MATCH("zizhi",[1]Sheet1!$2:$2,0))&gt;=13,0,3),0)&amp;IF($Q607="","","（"&amp;$Q607&amp;"）"))</f>
        <v>进阶+4：激活AI2技能（金钱豹王跳向目标并发动连环攻击，对目标造成7次自身攻击力39%的伤害）</v>
      </c>
      <c r="T607" s="1"/>
      <c r="U607" s="1"/>
      <c r="V607" s="2" t="str">
        <f>VLOOKUP(COUNTIF($E$194:$E607,$E607),$L$184:$X$193,IF(H607=1,4,IF(H607=4,3,2))+IF(INDEX([1]Sheet1!$1:$1048576,MATCH($E607,[1]Sheet1!$A:$A,0),MATCH("zizhi",[1]Sheet1!$2:$2,0))&gt;=13,0,3)+6,0)</f>
        <v>[]</v>
      </c>
      <c r="W607" s="2" t="str">
        <f t="shared" si="55"/>
        <v>进阶+4：激活AI2技能（金钱豹王跳向目标并发动连环攻击，对目标造成7次自身攻击力39%的伤害）</v>
      </c>
      <c r="X607" s="45" t="str">
        <f t="shared" si="53"/>
        <v>[]</v>
      </c>
      <c r="Y607" s="2"/>
      <c r="Z607" s="2"/>
      <c r="AA607" s="2"/>
    </row>
    <row r="608" spans="1:27">
      <c r="A608" s="10">
        <f>E608*100+COUNTIF($E$194:$E608,$E608)</f>
        <v>113905</v>
      </c>
      <c r="B608" s="68" t="s">
        <v>323</v>
      </c>
      <c r="C608" s="50" t="s">
        <v>140</v>
      </c>
      <c r="D608" s="10" t="str">
        <f t="shared" si="58"/>
        <v>[]</v>
      </c>
      <c r="E608" s="45">
        <f>INDEX($I:$I,MATCH($E607,$I:$I,0)+IF(COUNTIF($E$194:$E607,$E607)&lt;=VLOOKUP($E607,$I$134:$K$193,3,0)-1,0,1),0)</f>
        <v>1139</v>
      </c>
      <c r="F608" s="45" t="str">
        <f t="shared" si="54"/>
        <v>金钱豹王</v>
      </c>
      <c r="H608" s="45">
        <f>VLOOKUP($E608,[1]Sheet1!$A:$G,7,0)</f>
        <v>3</v>
      </c>
      <c r="I608" s="45" t="str">
        <f>IF($G608="","",IF(COUNTIF(技能描述!$D:$D,$F608)&gt;0,VLOOKUP($F608&amp;$G608,技能描述!$A:$C,3,0),LEFT(VLOOKUP($E608,[1]Sheet1!$A:$J,10,0),FIND("_",VLOOKUP($E608,[1]Sheet1!$A:$J,10,0))-1)&amp;$G608))</f>
        <v/>
      </c>
      <c r="J608" s="45" t="str">
        <f>IF($I608="","",VLOOKUP($I608,技能描述!$A:$C,3,0))</f>
        <v/>
      </c>
      <c r="K608" s="45" t="str">
        <f>IF($I608="","",INDEX([2]Sheet1!$1:$1048576,MATCH($I608,[2]Sheet1!$A:$A,0),MATCH("description_damage",[2]Sheet1!$2:$2,0)))</f>
        <v/>
      </c>
      <c r="L608" s="80" t="str">
        <f>IF($K608="","",IF(LEN($K608)-LEN(SUBSTITUTE($K608,",",""))=0,VLOOKUP(INT($K608),[3]Sheet1!$A:$C,3,0),VLOOKUP(INT(LEFT($K608,FIND(",",$K608)-1)),[3]Sheet1!$A:$C,3,0)))</f>
        <v/>
      </c>
      <c r="M608" s="80" t="str">
        <f t="shared" si="59"/>
        <v/>
      </c>
      <c r="N608" s="45" t="str">
        <f>IF(LEN($K608)-LEN(SUBSTITUTE($K608,",",""))=1,VLOOKUP(INT(RIGHT($K608,LEN($K608)-FIND(",",$K608))),[3]Sheet1!$A:$C,3,0),"")</f>
        <v/>
      </c>
      <c r="O608" s="45" t="str">
        <f t="shared" si="56"/>
        <v/>
      </c>
      <c r="P608" s="45" t="str">
        <f t="shared" si="52"/>
        <v/>
      </c>
      <c r="Q608" s="45" t="str">
        <f t="shared" si="57"/>
        <v/>
      </c>
      <c r="R608" s="45"/>
      <c r="S608" s="45" t="str">
        <f>IF(ISERROR($Q608),"进阶+"&amp;COUNTIF($E$194:$E608,$E608)&amp;"："&amp;"找ZC配技能","进阶+"&amp;COUNTIF($E$194:$E608,$E608)&amp;"："&amp;VLOOKUP(COUNTIF($E$194:$E608,$E608),$L$184:$R$193,IF(H608=1,4,IF(H608=4,3,2))+IF(INDEX([1]Sheet1!$1:$1048576,MATCH($E608,[1]Sheet1!$A:$A,0),MATCH("zizhi",[1]Sheet1!$2:$2,0))&gt;=13,0,3),0)&amp;IF($Q608="","","（"&amp;$Q608&amp;"）"))</f>
        <v>进阶+5：生命，防御提高10%</v>
      </c>
      <c r="T608" s="1"/>
      <c r="U608" s="1"/>
      <c r="V608" s="2" t="str">
        <f>VLOOKUP(COUNTIF($E$194:$E608,$E608),$L$184:$X$193,IF(H608=1,4,IF(H608=4,3,2))+IF(INDEX([1]Sheet1!$1:$1048576,MATCH($E608,[1]Sheet1!$A:$A,0),MATCH("zizhi",[1]Sheet1!$2:$2,0))&gt;=13,0,3)+6,0)</f>
        <v>11090,6502,6512</v>
      </c>
      <c r="W608" s="2" t="str">
        <f t="shared" si="55"/>
        <v>进阶+5：生命，防御提高10%</v>
      </c>
      <c r="X608" s="45" t="str">
        <f t="shared" si="53"/>
        <v>11090,6502,6512</v>
      </c>
      <c r="Y608" s="2"/>
      <c r="Z608" s="2"/>
      <c r="AA608" s="2"/>
    </row>
    <row r="609" spans="1:27">
      <c r="A609" s="10">
        <f>E609*100+COUNTIF($E$194:$E609,$E609)</f>
        <v>113906</v>
      </c>
      <c r="B609" s="68" t="s">
        <v>314</v>
      </c>
      <c r="C609" s="50" t="s">
        <v>241</v>
      </c>
      <c r="D609" s="10" t="str">
        <f t="shared" si="58"/>
        <v>[]</v>
      </c>
      <c r="E609" s="45">
        <f>INDEX($I:$I,MATCH($E608,$I:$I,0)+IF(COUNTIF($E$194:$E608,$E608)&lt;=VLOOKUP($E608,$I$134:$K$193,3,0)-1,0,1),0)</f>
        <v>1139</v>
      </c>
      <c r="F609" s="45" t="str">
        <f t="shared" si="54"/>
        <v>金钱豹王</v>
      </c>
      <c r="H609" s="45">
        <f>VLOOKUP($E609,[1]Sheet1!$A:$G,7,0)</f>
        <v>3</v>
      </c>
      <c r="I609" s="45" t="str">
        <f>IF($G609="","",IF(COUNTIF(技能描述!$D:$D,$F609)&gt;0,VLOOKUP($F609&amp;$G609,技能描述!$A:$C,3,0),LEFT(VLOOKUP($E609,[1]Sheet1!$A:$J,10,0),FIND("_",VLOOKUP($E609,[1]Sheet1!$A:$J,10,0))-1)&amp;$G609))</f>
        <v/>
      </c>
      <c r="J609" s="45" t="str">
        <f>IF($I609="","",VLOOKUP($I609,技能描述!$A:$C,3,0))</f>
        <v/>
      </c>
      <c r="K609" s="45" t="str">
        <f>IF($I609="","",INDEX([2]Sheet1!$1:$1048576,MATCH($I609,[2]Sheet1!$A:$A,0),MATCH("description_damage",[2]Sheet1!$2:$2,0)))</f>
        <v/>
      </c>
      <c r="L609" s="80" t="str">
        <f>IF($K609="","",IF(LEN($K609)-LEN(SUBSTITUTE($K609,",",""))=0,VLOOKUP(INT($K609),[3]Sheet1!$A:$C,3,0),VLOOKUP(INT(LEFT($K609,FIND(",",$K609)-1)),[3]Sheet1!$A:$C,3,0)))</f>
        <v/>
      </c>
      <c r="M609" s="80" t="str">
        <f t="shared" si="59"/>
        <v/>
      </c>
      <c r="N609" s="45" t="str">
        <f>IF(LEN($K609)-LEN(SUBSTITUTE($K609,",",""))=1,VLOOKUP(INT(RIGHT($K609,LEN($K609)-FIND(",",$K609))),[3]Sheet1!$A:$C,3,0),"")</f>
        <v/>
      </c>
      <c r="O609" s="45" t="str">
        <f t="shared" si="56"/>
        <v/>
      </c>
      <c r="P609" s="45" t="str">
        <f t="shared" si="52"/>
        <v/>
      </c>
      <c r="Q609" s="45" t="str">
        <f t="shared" si="57"/>
        <v/>
      </c>
      <c r="R609" s="45"/>
      <c r="S609" s="45" t="str">
        <f>IF(ISERROR($Q609),"进阶+"&amp;COUNTIF($E$194:$E609,$E609)&amp;"："&amp;"找ZC配技能","进阶+"&amp;COUNTIF($E$194:$E609,$E609)&amp;"："&amp;VLOOKUP(COUNTIF($E$194:$E609,$E609),$L$184:$R$193,IF(H609=1,4,IF(H609=4,3,2))+IF(INDEX([1]Sheet1!$1:$1048576,MATCH($E609,[1]Sheet1!$A:$A,0),MATCH("zizhi",[1]Sheet1!$2:$2,0))&gt;=13,0,3),0)&amp;IF($Q609="","","（"&amp;$Q609&amp;"）"))</f>
        <v>进阶+6：暴击提高20%</v>
      </c>
      <c r="T609" s="1"/>
      <c r="U609" s="1"/>
      <c r="V609" s="2" t="str">
        <f>VLOOKUP(COUNTIF($E$194:$E609,$E609),$L$184:$X$193,IF(H609=1,4,IF(H609=4,3,2))+IF(INDEX([1]Sheet1!$1:$1048576,MATCH($E609,[1]Sheet1!$A:$A,0),MATCH("zizhi",[1]Sheet1!$2:$2,0))&gt;=13,0,3)+6,0)</f>
        <v>11080</v>
      </c>
      <c r="W609" s="2" t="str">
        <f t="shared" si="55"/>
        <v>进阶+6：暴击提高20%</v>
      </c>
      <c r="X609" s="45" t="str">
        <f t="shared" si="53"/>
        <v>11080</v>
      </c>
      <c r="Y609" s="2"/>
      <c r="Z609" s="2"/>
      <c r="AA609" s="2"/>
    </row>
    <row r="610" spans="1:27">
      <c r="A610" s="10">
        <f>E610*100+COUNTIF($E$194:$E610,$E610)</f>
        <v>113907</v>
      </c>
      <c r="B610" s="68" t="s">
        <v>359</v>
      </c>
      <c r="C610" s="50" t="s">
        <v>353</v>
      </c>
      <c r="D610" s="10" t="str">
        <f t="shared" si="58"/>
        <v>[]</v>
      </c>
      <c r="E610" s="45">
        <f>INDEX($I:$I,MATCH($E609,$I:$I,0)+IF(COUNTIF($E$194:$E609,$E609)&lt;=VLOOKUP($E609,$I$134:$K$193,3,0)-1,0,1),0)</f>
        <v>1139</v>
      </c>
      <c r="F610" s="45" t="str">
        <f t="shared" si="54"/>
        <v>金钱豹王</v>
      </c>
      <c r="H610" s="45">
        <f>VLOOKUP($E610,[1]Sheet1!$A:$G,7,0)</f>
        <v>3</v>
      </c>
      <c r="I610" s="45" t="str">
        <f>IF($G610="","",IF(COUNTIF(技能描述!$D:$D,$F610)&gt;0,VLOOKUP($F610&amp;$G610,技能描述!$A:$C,3,0),LEFT(VLOOKUP($E610,[1]Sheet1!$A:$J,10,0),FIND("_",VLOOKUP($E610,[1]Sheet1!$A:$J,10,0))-1)&amp;$G610))</f>
        <v/>
      </c>
      <c r="J610" s="45" t="str">
        <f>IF($I610="","",VLOOKUP($I610,技能描述!$A:$C,3,0))</f>
        <v/>
      </c>
      <c r="K610" s="45" t="str">
        <f>IF($I610="","",INDEX([2]Sheet1!$1:$1048576,MATCH($I610,[2]Sheet1!$A:$A,0),MATCH("description_damage",[2]Sheet1!$2:$2,0)))</f>
        <v/>
      </c>
      <c r="L610" s="80" t="str">
        <f>IF($K610="","",IF(LEN($K610)-LEN(SUBSTITUTE($K610,",",""))=0,VLOOKUP(INT($K610),[3]Sheet1!$A:$C,3,0),VLOOKUP(INT(LEFT($K610,FIND(",",$K610)-1)),[3]Sheet1!$A:$C,3,0)))</f>
        <v/>
      </c>
      <c r="M610" s="80" t="str">
        <f t="shared" si="59"/>
        <v/>
      </c>
      <c r="N610" s="45" t="str">
        <f>IF(LEN($K610)-LEN(SUBSTITUTE($K610,",",""))=1,VLOOKUP(INT(RIGHT($K610,LEN($K610)-FIND(",",$K610))),[3]Sheet1!$A:$C,3,0),"")</f>
        <v/>
      </c>
      <c r="O610" s="45" t="str">
        <f t="shared" si="56"/>
        <v/>
      </c>
      <c r="P610" s="45" t="str">
        <f t="shared" si="52"/>
        <v/>
      </c>
      <c r="Q610" s="45" t="str">
        <f t="shared" si="57"/>
        <v/>
      </c>
      <c r="R610" s="45"/>
      <c r="S610" s="45" t="str">
        <f>IF(ISERROR($Q610),"进阶+"&amp;COUNTIF($E$194:$E610,$E610)&amp;"："&amp;"找ZC配技能","进阶+"&amp;COUNTIF($E$194:$E610,$E610)&amp;"："&amp;VLOOKUP(COUNTIF($E$194:$E610,$E610),$L$184:$R$193,IF(H610=1,4,IF(H610=4,3,2))+IF(INDEX([1]Sheet1!$1:$1048576,MATCH($E610,[1]Sheet1!$A:$A,0),MATCH("zizhi",[1]Sheet1!$2:$2,0))&gt;=13,0,3),0)&amp;IF($Q610="","","（"&amp;$Q610&amp;"）"))</f>
        <v>进阶+7：全队攻击提高10%</v>
      </c>
      <c r="T610" s="1"/>
      <c r="U610" s="1"/>
      <c r="V610" s="2" t="str">
        <f>VLOOKUP(COUNTIF($E$194:$E610,$E610),$L$184:$X$193,IF(H610=1,4,IF(H610=4,3,2))+IF(INDEX([1]Sheet1!$1:$1048576,MATCH($E610,[1]Sheet1!$A:$A,0),MATCH("zizhi",[1]Sheet1!$2:$2,0))&gt;=13,0,3)+6,0)</f>
        <v>58010</v>
      </c>
      <c r="W610" s="2" t="str">
        <f t="shared" si="55"/>
        <v>进阶+7：全队攻击提高10%</v>
      </c>
      <c r="X610" s="45" t="str">
        <f t="shared" si="53"/>
        <v>58010</v>
      </c>
      <c r="Y610" s="2"/>
      <c r="Z610" s="2"/>
      <c r="AA610" s="2"/>
    </row>
    <row r="611" spans="1:27">
      <c r="A611" s="10">
        <f>E611*100+COUNTIF($E$194:$E611,$E611)</f>
        <v>113908</v>
      </c>
      <c r="B611" s="68" t="s">
        <v>316</v>
      </c>
      <c r="C611" s="50" t="s">
        <v>153</v>
      </c>
      <c r="D611" s="10" t="str">
        <f t="shared" si="58"/>
        <v>[]</v>
      </c>
      <c r="E611" s="45">
        <f>INDEX($I:$I,MATCH($E610,$I:$I,0)+IF(COUNTIF($E$194:$E610,$E610)&lt;=VLOOKUP($E610,$I$134:$K$193,3,0)-1,0,1),0)</f>
        <v>1139</v>
      </c>
      <c r="F611" s="45" t="str">
        <f t="shared" si="54"/>
        <v>金钱豹王</v>
      </c>
      <c r="H611" s="45">
        <f>VLOOKUP($E611,[1]Sheet1!$A:$G,7,0)</f>
        <v>3</v>
      </c>
      <c r="I611" s="45" t="str">
        <f>IF($G611="","",IF(COUNTIF(技能描述!$D:$D,$F611)&gt;0,VLOOKUP($F611&amp;$G611,技能描述!$A:$C,3,0),LEFT(VLOOKUP($E611,[1]Sheet1!$A:$J,10,0),FIND("_",VLOOKUP($E611,[1]Sheet1!$A:$J,10,0))-1)&amp;$G611))</f>
        <v/>
      </c>
      <c r="J611" s="45" t="str">
        <f>IF($I611="","",VLOOKUP($I611,技能描述!$A:$C,3,0))</f>
        <v/>
      </c>
      <c r="K611" s="45" t="str">
        <f>IF($I611="","",INDEX([2]Sheet1!$1:$1048576,MATCH($I611,[2]Sheet1!$A:$A,0),MATCH("description_damage",[2]Sheet1!$2:$2,0)))</f>
        <v/>
      </c>
      <c r="L611" s="80" t="str">
        <f>IF($K611="","",IF(LEN($K611)-LEN(SUBSTITUTE($K611,",",""))=0,VLOOKUP(INT($K611),[3]Sheet1!$A:$C,3,0),VLOOKUP(INT(LEFT($K611,FIND(",",$K611)-1)),[3]Sheet1!$A:$C,3,0)))</f>
        <v/>
      </c>
      <c r="M611" s="80" t="str">
        <f t="shared" si="59"/>
        <v/>
      </c>
      <c r="N611" s="45" t="str">
        <f>IF(LEN($K611)-LEN(SUBSTITUTE($K611,",",""))=1,VLOOKUP(INT(RIGHT($K611,LEN($K611)-FIND(",",$K611))),[3]Sheet1!$A:$C,3,0),"")</f>
        <v/>
      </c>
      <c r="O611" s="45" t="str">
        <f t="shared" si="56"/>
        <v/>
      </c>
      <c r="P611" s="45" t="str">
        <f t="shared" si="52"/>
        <v/>
      </c>
      <c r="Q611" s="45" t="str">
        <f t="shared" si="57"/>
        <v/>
      </c>
      <c r="R611" s="45"/>
      <c r="S611" s="45" t="str">
        <f>IF(ISERROR($Q611),"进阶+"&amp;COUNTIF($E$194:$E611,$E611)&amp;"："&amp;"找ZC配技能","进阶+"&amp;COUNTIF($E$194:$E611,$E611)&amp;"："&amp;VLOOKUP(COUNTIF($E$194:$E611,$E611),$L$184:$R$193,IF(H611=1,4,IF(H611=4,3,2))+IF(INDEX([1]Sheet1!$1:$1048576,MATCH($E611,[1]Sheet1!$A:$A,0),MATCH("zizhi",[1]Sheet1!$2:$2,0))&gt;=13,0,3),0)&amp;IF($Q611="","","（"&amp;$Q611&amp;"）"))</f>
        <v>进阶+8：命中提高15%</v>
      </c>
      <c r="T611" s="1"/>
      <c r="U611" s="1"/>
      <c r="V611" s="2" t="str">
        <f>VLOOKUP(COUNTIF($E$194:$E611,$E611),$L$184:$X$193,IF(H611=1,4,IF(H611=4,3,2))+IF(INDEX([1]Sheet1!$1:$1048576,MATCH($E611,[1]Sheet1!$A:$A,0),MATCH("zizhi",[1]Sheet1!$2:$2,0))&gt;=13,0,3)+6,0)</f>
        <v>11035</v>
      </c>
      <c r="W611" s="2" t="str">
        <f t="shared" si="55"/>
        <v>进阶+8：命中提高15%</v>
      </c>
      <c r="X611" s="45" t="str">
        <f t="shared" si="53"/>
        <v>11035</v>
      </c>
      <c r="Y611" s="2"/>
      <c r="Z611" s="2"/>
      <c r="AA611" s="2"/>
    </row>
    <row r="612" spans="1:27">
      <c r="A612" s="10">
        <f>E612*100+COUNTIF($E$194:$E612,$E612)</f>
        <v>114001</v>
      </c>
      <c r="B612" s="68" t="s">
        <v>310</v>
      </c>
      <c r="C612" s="50">
        <v>11050</v>
      </c>
      <c r="D612" s="10" t="str">
        <f t="shared" si="58"/>
        <v>[]</v>
      </c>
      <c r="E612" s="45">
        <f>INDEX($I:$I,MATCH($E611,$I:$I,0)+IF(COUNTIF($E$194:$E611,$E611)&lt;=VLOOKUP($E611,$I$134:$K$193,3,0)-1,0,1),0)</f>
        <v>1140</v>
      </c>
      <c r="F612" s="45" t="str">
        <f t="shared" si="54"/>
        <v>墨鱼精</v>
      </c>
      <c r="H612" s="45">
        <f>VLOOKUP($E612,[1]Sheet1!$A:$G,7,0)</f>
        <v>3</v>
      </c>
      <c r="I612" s="45" t="str">
        <f>IF($G612="","",IF(COUNTIF(技能描述!$D:$D,$F612)&gt;0,VLOOKUP($F612&amp;$G612,技能描述!$A:$C,3,0),LEFT(VLOOKUP($E612,[1]Sheet1!$A:$J,10,0),FIND("_",VLOOKUP($E612,[1]Sheet1!$A:$J,10,0))-1)&amp;$G612))</f>
        <v/>
      </c>
      <c r="J612" s="45" t="str">
        <f>IF($I612="","",VLOOKUP($I612,技能描述!$A:$C,3,0))</f>
        <v/>
      </c>
      <c r="K612" s="45" t="str">
        <f>IF($I612="","",INDEX([2]Sheet1!$1:$1048576,MATCH($I612,[2]Sheet1!$A:$A,0),MATCH("description_damage",[2]Sheet1!$2:$2,0)))</f>
        <v/>
      </c>
      <c r="L612" s="80" t="str">
        <f>IF($K612="","",IF(LEN($K612)-LEN(SUBSTITUTE($K612,",",""))=0,VLOOKUP(INT($K612),[3]Sheet1!$A:$C,3,0),VLOOKUP(INT(LEFT($K612,FIND(",",$K612)-1)),[3]Sheet1!$A:$C,3,0)))</f>
        <v/>
      </c>
      <c r="M612" s="80" t="str">
        <f t="shared" si="59"/>
        <v/>
      </c>
      <c r="N612" s="45" t="str">
        <f>IF(LEN($K612)-LEN(SUBSTITUTE($K612,",",""))=1,VLOOKUP(INT(RIGHT($K612,LEN($K612)-FIND(",",$K612))),[3]Sheet1!$A:$C,3,0),"")</f>
        <v/>
      </c>
      <c r="O612" s="45" t="str">
        <f t="shared" si="56"/>
        <v/>
      </c>
      <c r="P612" s="45" t="str">
        <f t="shared" si="52"/>
        <v/>
      </c>
      <c r="Q612" s="45" t="str">
        <f t="shared" si="57"/>
        <v/>
      </c>
      <c r="R612" s="45"/>
      <c r="S612" s="45" t="str">
        <f>IF(ISERROR($Q612),"进阶+"&amp;COUNTIF($E$194:$E612,$E612)&amp;"："&amp;"找ZC配技能","进阶+"&amp;COUNTIF($E$194:$E612,$E612)&amp;"："&amp;VLOOKUP(COUNTIF($E$194:$E612,$E612),$L$184:$R$193,IF(H612=1,4,IF(H612=4,3,2))+IF(INDEX([1]Sheet1!$1:$1048576,MATCH($E612,[1]Sheet1!$A:$A,0),MATCH("zizhi",[1]Sheet1!$2:$2,0))&gt;=13,0,3),0)&amp;IF($Q612="","","（"&amp;$Q612&amp;"）"))</f>
        <v>进阶+1：攻击提高10%</v>
      </c>
      <c r="T612" s="1"/>
      <c r="U612" s="1"/>
      <c r="V612" s="2">
        <f>VLOOKUP(COUNTIF($E$194:$E612,$E612),$L$184:$X$193,IF(H612=1,4,IF(H612=4,3,2))+IF(INDEX([1]Sheet1!$1:$1048576,MATCH($E612,[1]Sheet1!$A:$A,0),MATCH("zizhi",[1]Sheet1!$2:$2,0))&gt;=13,0,3)+6,0)</f>
        <v>11050</v>
      </c>
      <c r="W612" s="2" t="str">
        <f t="shared" si="55"/>
        <v>进阶+1：攻击提高10%</v>
      </c>
      <c r="X612" s="45">
        <f t="shared" si="53"/>
        <v>11050</v>
      </c>
      <c r="Y612" s="2"/>
      <c r="Z612" s="2"/>
      <c r="AA612" s="2"/>
    </row>
    <row r="613" spans="1:27">
      <c r="A613" s="10">
        <f>E613*100+COUNTIF($E$194:$E613,$E613)</f>
        <v>114002</v>
      </c>
      <c r="B613" s="68" t="s">
        <v>362</v>
      </c>
      <c r="C613" s="50" t="s">
        <v>2</v>
      </c>
      <c r="D613" s="10">
        <f t="shared" si="58"/>
        <v>1</v>
      </c>
      <c r="E613" s="45">
        <f>INDEX($I:$I,MATCH($E612,$I:$I,0)+IF(COUNTIF($E$194:$E612,$E612)&lt;=VLOOKUP($E612,$I$134:$K$193,3,0)-1,0,1),0)</f>
        <v>1140</v>
      </c>
      <c r="F613" s="45" t="str">
        <f t="shared" si="54"/>
        <v>墨鱼精</v>
      </c>
      <c r="G613" s="45" t="s">
        <v>216</v>
      </c>
      <c r="H613" s="45">
        <f>VLOOKUP($E613,[1]Sheet1!$A:$G,7,0)</f>
        <v>3</v>
      </c>
      <c r="I613" s="45" t="str">
        <f>IF($G613="","",IF(COUNTIF(技能描述!$D:$D,$F613)&gt;0,VLOOKUP($F613&amp;$G613,技能描述!$A:$C,3,0),LEFT(VLOOKUP($E613,[1]Sheet1!$A:$J,10,0),FIND("_",VLOOKUP($E613,[1]Sheet1!$A:$J,10,0))-1)&amp;$G613))</f>
        <v>moyujing_skill03</v>
      </c>
      <c r="J613" s="45" t="str">
        <f>IF($I613="","",VLOOKUP($I613,技能描述!$A:$C,3,0))</f>
        <v>进入战斗场景时，增加自身@s的命中率</v>
      </c>
      <c r="K613" s="45" t="str">
        <f>IF($I613="","",INDEX([2]Sheet1!$1:$1048576,MATCH($I613,[2]Sheet1!$A:$A,0),MATCH("description_damage",[2]Sheet1!$2:$2,0)))</f>
        <v>9010</v>
      </c>
      <c r="L613" s="80" t="str">
        <f>IF($K613="","",IF(LEN($K613)-LEN(SUBSTITUTE($K613,",",""))=0,VLOOKUP(INT($K613),[3]Sheet1!$A:$C,3,0),VLOOKUP(INT(LEFT($K613,FIND(",",$K613)-1)),[3]Sheet1!$A:$C,3,0)))</f>
        <v>4|3|0.1|0|1</v>
      </c>
      <c r="M613" s="80" t="str">
        <f t="shared" si="59"/>
        <v>10%</v>
      </c>
      <c r="N613" s="45" t="str">
        <f>IF(LEN($K613)-LEN(SUBSTITUTE($K613,",",""))=1,VLOOKUP(INT(RIGHT($K613,LEN($K613)-FIND(",",$K613))),[3]Sheet1!$A:$C,3,0),"")</f>
        <v/>
      </c>
      <c r="O613" s="45" t="str">
        <f t="shared" si="56"/>
        <v/>
      </c>
      <c r="P613" s="45" t="str">
        <f t="shared" si="52"/>
        <v>进入战斗场景时，增加自身10%的命中率</v>
      </c>
      <c r="Q613" s="45" t="str">
        <f t="shared" si="57"/>
        <v>进入战斗场景时，增加自身10%的命中率</v>
      </c>
      <c r="R613" s="45"/>
      <c r="S613" s="45" t="str">
        <f>IF(ISERROR($Q613),"进阶+"&amp;COUNTIF($E$194:$E613,$E613)&amp;"："&amp;"找ZC配技能","进阶+"&amp;COUNTIF($E$194:$E613,$E613)&amp;"："&amp;VLOOKUP(COUNTIF($E$194:$E613,$E613),$L$184:$R$193,IF(H613=1,4,IF(H613=4,3,2))+IF(INDEX([1]Sheet1!$1:$1048576,MATCH($E613,[1]Sheet1!$A:$A,0),MATCH("zizhi",[1]Sheet1!$2:$2,0))&gt;=13,0,3),0)&amp;IF($Q613="","","（"&amp;$Q613&amp;"）"))</f>
        <v>进阶+2：激活被动技能（进入战斗场景时，增加自身10%的命中率）</v>
      </c>
      <c r="T613" s="1"/>
      <c r="U613" s="1"/>
      <c r="V613" s="2" t="str">
        <f>VLOOKUP(COUNTIF($E$194:$E613,$E613),$L$184:$X$193,IF(H613=1,4,IF(H613=4,3,2))+IF(INDEX([1]Sheet1!$1:$1048576,MATCH($E613,[1]Sheet1!$A:$A,0),MATCH("zizhi",[1]Sheet1!$2:$2,0))&gt;=13,0,3)+6,0)</f>
        <v>[]</v>
      </c>
      <c r="W613" s="2" t="str">
        <f t="shared" si="55"/>
        <v>进阶+2：激活被动技能（进入战斗场景时，增加自身10%的命中率）</v>
      </c>
      <c r="X613" s="45" t="str">
        <f t="shared" si="53"/>
        <v>[]</v>
      </c>
      <c r="Y613" s="2"/>
      <c r="Z613" s="2"/>
      <c r="AA613" s="2"/>
    </row>
    <row r="614" spans="1:27">
      <c r="A614" s="10">
        <f>E614*100+COUNTIF($E$194:$E614,$E614)</f>
        <v>114003</v>
      </c>
      <c r="B614" s="68" t="s">
        <v>312</v>
      </c>
      <c r="C614" s="50" t="s">
        <v>127</v>
      </c>
      <c r="D614" s="10" t="str">
        <f t="shared" si="58"/>
        <v>[]</v>
      </c>
      <c r="E614" s="45">
        <f>INDEX($I:$I,MATCH($E613,$I:$I,0)+IF(COUNTIF($E$194:$E613,$E613)&lt;=VLOOKUP($E613,$I$134:$K$193,3,0)-1,0,1),0)</f>
        <v>1140</v>
      </c>
      <c r="F614" s="45" t="str">
        <f t="shared" si="54"/>
        <v>墨鱼精</v>
      </c>
      <c r="H614" s="45">
        <f>VLOOKUP($E614,[1]Sheet1!$A:$G,7,0)</f>
        <v>3</v>
      </c>
      <c r="I614" s="45" t="str">
        <f>IF($G614="","",IF(COUNTIF(技能描述!$D:$D,$F614)&gt;0,VLOOKUP($F614&amp;$G614,技能描述!$A:$C,3,0),LEFT(VLOOKUP($E614,[1]Sheet1!$A:$J,10,0),FIND("_",VLOOKUP($E614,[1]Sheet1!$A:$J,10,0))-1)&amp;$G614))</f>
        <v/>
      </c>
      <c r="J614" s="45" t="str">
        <f>IF($I614="","",VLOOKUP($I614,技能描述!$A:$C,3,0))</f>
        <v/>
      </c>
      <c r="K614" s="45" t="str">
        <f>IF($I614="","",INDEX([2]Sheet1!$1:$1048576,MATCH($I614,[2]Sheet1!$A:$A,0),MATCH("description_damage",[2]Sheet1!$2:$2,0)))</f>
        <v/>
      </c>
      <c r="L614" s="80" t="str">
        <f>IF($K614="","",IF(LEN($K614)-LEN(SUBSTITUTE($K614,",",""))=0,VLOOKUP(INT($K614),[3]Sheet1!$A:$C,3,0),VLOOKUP(INT(LEFT($K614,FIND(",",$K614)-1)),[3]Sheet1!$A:$C,3,0)))</f>
        <v/>
      </c>
      <c r="M614" s="80" t="str">
        <f t="shared" si="59"/>
        <v/>
      </c>
      <c r="N614" s="45" t="str">
        <f>IF(LEN($K614)-LEN(SUBSTITUTE($K614,",",""))=1,VLOOKUP(INT(RIGHT($K614,LEN($K614)-FIND(",",$K614))),[3]Sheet1!$A:$C,3,0),"")</f>
        <v/>
      </c>
      <c r="O614" s="45" t="str">
        <f t="shared" si="56"/>
        <v/>
      </c>
      <c r="P614" s="45" t="str">
        <f t="shared" si="52"/>
        <v/>
      </c>
      <c r="Q614" s="45" t="str">
        <f t="shared" si="57"/>
        <v/>
      </c>
      <c r="R614" s="45"/>
      <c r="S614" s="45" t="str">
        <f>IF(ISERROR($Q614),"进阶+"&amp;COUNTIF($E$194:$E614,$E614)&amp;"："&amp;"找ZC配技能","进阶+"&amp;COUNTIF($E$194:$E614,$E614)&amp;"："&amp;VLOOKUP(COUNTIF($E$194:$E614,$E614),$L$184:$R$193,IF(H614=1,4,IF(H614=4,3,2))+IF(INDEX([1]Sheet1!$1:$1048576,MATCH($E614,[1]Sheet1!$A:$A,0),MATCH("zizhi",[1]Sheet1!$2:$2,0))&gt;=13,0,3),0)&amp;IF($Q614="","","（"&amp;$Q614&amp;"）"))</f>
        <v>进阶+3：攻击提高10%</v>
      </c>
      <c r="T614" s="1"/>
      <c r="U614" s="1"/>
      <c r="V614" s="2" t="str">
        <f>VLOOKUP(COUNTIF($E$194:$E614,$E614),$L$184:$X$193,IF(H614=1,4,IF(H614=4,3,2))+IF(INDEX([1]Sheet1!$1:$1048576,MATCH($E614,[1]Sheet1!$A:$A,0),MATCH("zizhi",[1]Sheet1!$2:$2,0))&gt;=13,0,3)+6,0)</f>
        <v>11050</v>
      </c>
      <c r="W614" s="2" t="str">
        <f t="shared" si="55"/>
        <v>进阶+3：攻击提高10%</v>
      </c>
      <c r="X614" s="45" t="str">
        <f t="shared" si="53"/>
        <v>11050</v>
      </c>
      <c r="Y614" s="2"/>
      <c r="Z614" s="2"/>
      <c r="AA614" s="2"/>
    </row>
    <row r="615" spans="1:27" ht="33">
      <c r="A615" s="10">
        <f>E615*100+COUNTIF($E$194:$E615,$E615)</f>
        <v>114004</v>
      </c>
      <c r="B615" s="68" t="s">
        <v>1886</v>
      </c>
      <c r="C615" s="50" t="s">
        <v>2</v>
      </c>
      <c r="D615" s="10">
        <f t="shared" si="58"/>
        <v>1</v>
      </c>
      <c r="E615" s="45">
        <f>INDEX($I:$I,MATCH($E614,$I:$I,0)+IF(COUNTIF($E$194:$E614,$E614)&lt;=VLOOKUP($E614,$I$134:$K$193,3,0)-1,0,1),0)</f>
        <v>1140</v>
      </c>
      <c r="F615" s="45" t="str">
        <f t="shared" si="54"/>
        <v>墨鱼精</v>
      </c>
      <c r="G615" s="45" t="s">
        <v>217</v>
      </c>
      <c r="H615" s="45">
        <f>VLOOKUP($E615,[1]Sheet1!$A:$G,7,0)</f>
        <v>3</v>
      </c>
      <c r="I615" s="45" t="str">
        <f>IF($G615="","",IF(COUNTIF(技能描述!$D:$D,$F615)&gt;0,VLOOKUP($F615&amp;$G615,技能描述!$A:$C,3,0),LEFT(VLOOKUP($E615,[1]Sheet1!$A:$J,10,0),FIND("_",VLOOKUP($E615,[1]Sheet1!$A:$J,10,0))-1)&amp;$G615))</f>
        <v>moyujing_skill04</v>
      </c>
      <c r="J615" s="45" t="str">
        <f>IF($I615="","",VLOOKUP($I615,技能描述!$A:$C,3,0))</f>
        <v>墨鱼精对单个敌军发动刺杀，连续对目标造成4次自身攻击力@s的伤害</v>
      </c>
      <c r="K615" s="45" t="str">
        <f>IF($I615="","",INDEX([2]Sheet1!$1:$1048576,MATCH($I615,[2]Sheet1!$A:$A,0),MATCH("description_damage",[2]Sheet1!$2:$2,0)))</f>
        <v>114004</v>
      </c>
      <c r="L615" s="80" t="str">
        <f>IF($K615="","",IF(LEN($K615)-LEN(SUBSTITUTE($K615,",",""))=0,VLOOKUP(INT($K615),[3]Sheet1!$A:$C,3,0),VLOOKUP(INT(LEFT($K615,FIND(",",$K615)-1)),[3]Sheet1!$A:$C,3,0)))</f>
        <v>2|1|0.34|0|0|0</v>
      </c>
      <c r="M615" s="80" t="str">
        <f t="shared" si="59"/>
        <v>34%</v>
      </c>
      <c r="N615" s="45" t="str">
        <f>IF(LEN($K615)-LEN(SUBSTITUTE($K615,",",""))=1,VLOOKUP(INT(RIGHT($K615,LEN($K615)-FIND(",",$K615))),[3]Sheet1!$A:$C,3,0),"")</f>
        <v/>
      </c>
      <c r="O615" s="45" t="str">
        <f t="shared" si="56"/>
        <v/>
      </c>
      <c r="P615" s="45" t="str">
        <f t="shared" si="52"/>
        <v>墨鱼精对单个敌军发动刺杀，连续对目标造成4次自身攻击力34%的伤害</v>
      </c>
      <c r="Q615" s="45" t="str">
        <f t="shared" si="57"/>
        <v>墨鱼精对单个敌军发动刺杀，连续对目标造成4次自身攻击力34%的伤害</v>
      </c>
      <c r="R615" s="45"/>
      <c r="S615" s="45" t="str">
        <f>IF(ISERROR($Q615),"进阶+"&amp;COUNTIF($E$194:$E615,$E615)&amp;"："&amp;"找ZC配技能","进阶+"&amp;COUNTIF($E$194:$E615,$E615)&amp;"："&amp;VLOOKUP(COUNTIF($E$194:$E615,$E615),$L$184:$R$193,IF(H615=1,4,IF(H615=4,3,2))+IF(INDEX([1]Sheet1!$1:$1048576,MATCH($E615,[1]Sheet1!$A:$A,0),MATCH("zizhi",[1]Sheet1!$2:$2,0))&gt;=13,0,3),0)&amp;IF($Q615="","","（"&amp;$Q615&amp;"）"))</f>
        <v>进阶+4：激活AI2技能（墨鱼精对单个敌军发动刺杀，连续对目标造成4次自身攻击力34%的伤害）</v>
      </c>
      <c r="T615" s="1"/>
      <c r="U615" s="1"/>
      <c r="V615" s="2" t="str">
        <f>VLOOKUP(COUNTIF($E$194:$E615,$E615),$L$184:$X$193,IF(H615=1,4,IF(H615=4,3,2))+IF(INDEX([1]Sheet1!$1:$1048576,MATCH($E615,[1]Sheet1!$A:$A,0),MATCH("zizhi",[1]Sheet1!$2:$2,0))&gt;=13,0,3)+6,0)</f>
        <v>[]</v>
      </c>
      <c r="W615" s="2" t="str">
        <f t="shared" si="55"/>
        <v>进阶+4：激活AI2技能（墨鱼精对单个敌军发动刺杀，连续对目标造成4次自身攻击力34%的伤害）</v>
      </c>
      <c r="X615" s="45" t="str">
        <f t="shared" si="53"/>
        <v>[]</v>
      </c>
      <c r="Y615" s="2"/>
      <c r="Z615" s="2"/>
      <c r="AA615" s="2"/>
    </row>
    <row r="616" spans="1:27">
      <c r="A616" s="10">
        <f>E616*100+COUNTIF($E$194:$E616,$E616)</f>
        <v>114005</v>
      </c>
      <c r="B616" s="68" t="s">
        <v>323</v>
      </c>
      <c r="C616" s="50" t="s">
        <v>140</v>
      </c>
      <c r="D616" s="10" t="str">
        <f t="shared" si="58"/>
        <v>[]</v>
      </c>
      <c r="E616" s="45">
        <f>INDEX($I:$I,MATCH($E615,$I:$I,0)+IF(COUNTIF($E$194:$E615,$E615)&lt;=VLOOKUP($E615,$I$134:$K$193,3,0)-1,0,1),0)</f>
        <v>1140</v>
      </c>
      <c r="F616" s="45" t="str">
        <f t="shared" si="54"/>
        <v>墨鱼精</v>
      </c>
      <c r="H616" s="45">
        <f>VLOOKUP($E616,[1]Sheet1!$A:$G,7,0)</f>
        <v>3</v>
      </c>
      <c r="I616" s="45" t="str">
        <f>IF($G616="","",IF(COUNTIF(技能描述!$D:$D,$F616)&gt;0,VLOOKUP($F616&amp;$G616,技能描述!$A:$C,3,0),LEFT(VLOOKUP($E616,[1]Sheet1!$A:$J,10,0),FIND("_",VLOOKUP($E616,[1]Sheet1!$A:$J,10,0))-1)&amp;$G616))</f>
        <v/>
      </c>
      <c r="J616" s="45" t="str">
        <f>IF($I616="","",VLOOKUP($I616,技能描述!$A:$C,3,0))</f>
        <v/>
      </c>
      <c r="K616" s="45" t="str">
        <f>IF($I616="","",INDEX([2]Sheet1!$1:$1048576,MATCH($I616,[2]Sheet1!$A:$A,0),MATCH("description_damage",[2]Sheet1!$2:$2,0)))</f>
        <v/>
      </c>
      <c r="L616" s="80" t="str">
        <f>IF($K616="","",IF(LEN($K616)-LEN(SUBSTITUTE($K616,",",""))=0,VLOOKUP(INT($K616),[3]Sheet1!$A:$C,3,0),VLOOKUP(INT(LEFT($K616,FIND(",",$K616)-1)),[3]Sheet1!$A:$C,3,0)))</f>
        <v/>
      </c>
      <c r="M616" s="80" t="str">
        <f t="shared" si="59"/>
        <v/>
      </c>
      <c r="N616" s="45" t="str">
        <f>IF(LEN($K616)-LEN(SUBSTITUTE($K616,",",""))=1,VLOOKUP(INT(RIGHT($K616,LEN($K616)-FIND(",",$K616))),[3]Sheet1!$A:$C,3,0),"")</f>
        <v/>
      </c>
      <c r="O616" s="45" t="str">
        <f t="shared" si="56"/>
        <v/>
      </c>
      <c r="P616" s="45" t="str">
        <f t="shared" si="52"/>
        <v/>
      </c>
      <c r="Q616" s="45" t="str">
        <f t="shared" si="57"/>
        <v/>
      </c>
      <c r="R616" s="45"/>
      <c r="S616" s="45" t="str">
        <f>IF(ISERROR($Q616),"进阶+"&amp;COUNTIF($E$194:$E616,$E616)&amp;"："&amp;"找ZC配技能","进阶+"&amp;COUNTIF($E$194:$E616,$E616)&amp;"："&amp;VLOOKUP(COUNTIF($E$194:$E616,$E616),$L$184:$R$193,IF(H616=1,4,IF(H616=4,3,2))+IF(INDEX([1]Sheet1!$1:$1048576,MATCH($E616,[1]Sheet1!$A:$A,0),MATCH("zizhi",[1]Sheet1!$2:$2,0))&gt;=13,0,3),0)&amp;IF($Q616="","","（"&amp;$Q616&amp;"）"))</f>
        <v>进阶+5：生命，防御提高10%</v>
      </c>
      <c r="T616" s="1"/>
      <c r="U616" s="1"/>
      <c r="V616" s="2" t="str">
        <f>VLOOKUP(COUNTIF($E$194:$E616,$E616),$L$184:$X$193,IF(H616=1,4,IF(H616=4,3,2))+IF(INDEX([1]Sheet1!$1:$1048576,MATCH($E616,[1]Sheet1!$A:$A,0),MATCH("zizhi",[1]Sheet1!$2:$2,0))&gt;=13,0,3)+6,0)</f>
        <v>11090,6502,6512</v>
      </c>
      <c r="W616" s="2" t="str">
        <f t="shared" si="55"/>
        <v>进阶+5：生命，防御提高10%</v>
      </c>
      <c r="X616" s="45" t="str">
        <f t="shared" si="53"/>
        <v>11090,6502,6512</v>
      </c>
      <c r="Y616" s="2"/>
      <c r="Z616" s="2"/>
      <c r="AA616" s="2"/>
    </row>
    <row r="617" spans="1:27">
      <c r="A617" s="10">
        <f>E617*100+COUNTIF($E$194:$E617,$E617)</f>
        <v>114006</v>
      </c>
      <c r="B617" s="68" t="s">
        <v>314</v>
      </c>
      <c r="C617" s="50" t="s">
        <v>241</v>
      </c>
      <c r="D617" s="10" t="str">
        <f t="shared" si="58"/>
        <v>[]</v>
      </c>
      <c r="E617" s="45">
        <f>INDEX($I:$I,MATCH($E616,$I:$I,0)+IF(COUNTIF($E$194:$E616,$E616)&lt;=VLOOKUP($E616,$I$134:$K$193,3,0)-1,0,1),0)</f>
        <v>1140</v>
      </c>
      <c r="F617" s="45" t="str">
        <f t="shared" si="54"/>
        <v>墨鱼精</v>
      </c>
      <c r="H617" s="45">
        <f>VLOOKUP($E617,[1]Sheet1!$A:$G,7,0)</f>
        <v>3</v>
      </c>
      <c r="I617" s="45" t="str">
        <f>IF($G617="","",IF(COUNTIF(技能描述!$D:$D,$F617)&gt;0,VLOOKUP($F617&amp;$G617,技能描述!$A:$C,3,0),LEFT(VLOOKUP($E617,[1]Sheet1!$A:$J,10,0),FIND("_",VLOOKUP($E617,[1]Sheet1!$A:$J,10,0))-1)&amp;$G617))</f>
        <v/>
      </c>
      <c r="J617" s="45" t="str">
        <f>IF($I617="","",VLOOKUP($I617,技能描述!$A:$C,3,0))</f>
        <v/>
      </c>
      <c r="K617" s="45" t="str">
        <f>IF($I617="","",INDEX([2]Sheet1!$1:$1048576,MATCH($I617,[2]Sheet1!$A:$A,0),MATCH("description_damage",[2]Sheet1!$2:$2,0)))</f>
        <v/>
      </c>
      <c r="L617" s="80" t="str">
        <f>IF($K617="","",IF(LEN($K617)-LEN(SUBSTITUTE($K617,",",""))=0,VLOOKUP(INT($K617),[3]Sheet1!$A:$C,3,0),VLOOKUP(INT(LEFT($K617,FIND(",",$K617)-1)),[3]Sheet1!$A:$C,3,0)))</f>
        <v/>
      </c>
      <c r="M617" s="80" t="str">
        <f t="shared" si="59"/>
        <v/>
      </c>
      <c r="N617" s="45" t="str">
        <f>IF(LEN($K617)-LEN(SUBSTITUTE($K617,",",""))=1,VLOOKUP(INT(RIGHT($K617,LEN($K617)-FIND(",",$K617))),[3]Sheet1!$A:$C,3,0),"")</f>
        <v/>
      </c>
      <c r="O617" s="45" t="str">
        <f t="shared" si="56"/>
        <v/>
      </c>
      <c r="P617" s="45" t="str">
        <f t="shared" si="52"/>
        <v/>
      </c>
      <c r="Q617" s="45" t="str">
        <f t="shared" si="57"/>
        <v/>
      </c>
      <c r="R617" s="45"/>
      <c r="S617" s="45" t="str">
        <f>IF(ISERROR($Q617),"进阶+"&amp;COUNTIF($E$194:$E617,$E617)&amp;"："&amp;"找ZC配技能","进阶+"&amp;COUNTIF($E$194:$E617,$E617)&amp;"："&amp;VLOOKUP(COUNTIF($E$194:$E617,$E617),$L$184:$R$193,IF(H617=1,4,IF(H617=4,3,2))+IF(INDEX([1]Sheet1!$1:$1048576,MATCH($E617,[1]Sheet1!$A:$A,0),MATCH("zizhi",[1]Sheet1!$2:$2,0))&gt;=13,0,3),0)&amp;IF($Q617="","","（"&amp;$Q617&amp;"）"))</f>
        <v>进阶+6：暴击提高20%</v>
      </c>
      <c r="T617" s="1"/>
      <c r="U617" s="1"/>
      <c r="V617" s="2" t="str">
        <f>VLOOKUP(COUNTIF($E$194:$E617,$E617),$L$184:$X$193,IF(H617=1,4,IF(H617=4,3,2))+IF(INDEX([1]Sheet1!$1:$1048576,MATCH($E617,[1]Sheet1!$A:$A,0),MATCH("zizhi",[1]Sheet1!$2:$2,0))&gt;=13,0,3)+6,0)</f>
        <v>11080</v>
      </c>
      <c r="W617" s="2" t="str">
        <f t="shared" si="55"/>
        <v>进阶+6：暴击提高20%</v>
      </c>
      <c r="X617" s="45" t="str">
        <f t="shared" si="53"/>
        <v>11080</v>
      </c>
      <c r="Y617" s="2"/>
      <c r="Z617" s="2"/>
      <c r="AA617" s="2"/>
    </row>
    <row r="618" spans="1:27">
      <c r="A618" s="10">
        <f>E618*100+COUNTIF($E$194:$E618,$E618)</f>
        <v>114007</v>
      </c>
      <c r="B618" s="68" t="s">
        <v>359</v>
      </c>
      <c r="C618" s="50" t="s">
        <v>353</v>
      </c>
      <c r="D618" s="10" t="str">
        <f t="shared" si="58"/>
        <v>[]</v>
      </c>
      <c r="E618" s="45">
        <f>INDEX($I:$I,MATCH($E617,$I:$I,0)+IF(COUNTIF($E$194:$E617,$E617)&lt;=VLOOKUP($E617,$I$134:$K$193,3,0)-1,0,1),0)</f>
        <v>1140</v>
      </c>
      <c r="F618" s="45" t="str">
        <f t="shared" si="54"/>
        <v>墨鱼精</v>
      </c>
      <c r="H618" s="45">
        <f>VLOOKUP($E618,[1]Sheet1!$A:$G,7,0)</f>
        <v>3</v>
      </c>
      <c r="I618" s="45" t="str">
        <f>IF($G618="","",IF(COUNTIF(技能描述!$D:$D,$F618)&gt;0,VLOOKUP($F618&amp;$G618,技能描述!$A:$C,3,0),LEFT(VLOOKUP($E618,[1]Sheet1!$A:$J,10,0),FIND("_",VLOOKUP($E618,[1]Sheet1!$A:$J,10,0))-1)&amp;$G618))</f>
        <v/>
      </c>
      <c r="J618" s="45" t="str">
        <f>IF($I618="","",VLOOKUP($I618,技能描述!$A:$C,3,0))</f>
        <v/>
      </c>
      <c r="K618" s="45" t="str">
        <f>IF($I618="","",INDEX([2]Sheet1!$1:$1048576,MATCH($I618,[2]Sheet1!$A:$A,0),MATCH("description_damage",[2]Sheet1!$2:$2,0)))</f>
        <v/>
      </c>
      <c r="L618" s="80" t="str">
        <f>IF($K618="","",IF(LEN($K618)-LEN(SUBSTITUTE($K618,",",""))=0,VLOOKUP(INT($K618),[3]Sheet1!$A:$C,3,0),VLOOKUP(INT(LEFT($K618,FIND(",",$K618)-1)),[3]Sheet1!$A:$C,3,0)))</f>
        <v/>
      </c>
      <c r="M618" s="80" t="str">
        <f t="shared" si="59"/>
        <v/>
      </c>
      <c r="N618" s="45" t="str">
        <f>IF(LEN($K618)-LEN(SUBSTITUTE($K618,",",""))=1,VLOOKUP(INT(RIGHT($K618,LEN($K618)-FIND(",",$K618))),[3]Sheet1!$A:$C,3,0),"")</f>
        <v/>
      </c>
      <c r="O618" s="45" t="str">
        <f t="shared" si="56"/>
        <v/>
      </c>
      <c r="P618" s="45" t="str">
        <f t="shared" si="52"/>
        <v/>
      </c>
      <c r="Q618" s="45" t="str">
        <f t="shared" si="57"/>
        <v/>
      </c>
      <c r="R618" s="45"/>
      <c r="S618" s="45" t="str">
        <f>IF(ISERROR($Q618),"进阶+"&amp;COUNTIF($E$194:$E618,$E618)&amp;"："&amp;"找ZC配技能","进阶+"&amp;COUNTIF($E$194:$E618,$E618)&amp;"："&amp;VLOOKUP(COUNTIF($E$194:$E618,$E618),$L$184:$R$193,IF(H618=1,4,IF(H618=4,3,2))+IF(INDEX([1]Sheet1!$1:$1048576,MATCH($E618,[1]Sheet1!$A:$A,0),MATCH("zizhi",[1]Sheet1!$2:$2,0))&gt;=13,0,3),0)&amp;IF($Q618="","","（"&amp;$Q618&amp;"）"))</f>
        <v>进阶+7：全队攻击提高10%</v>
      </c>
      <c r="T618" s="1"/>
      <c r="U618" s="1"/>
      <c r="V618" s="2" t="str">
        <f>VLOOKUP(COUNTIF($E$194:$E618,$E618),$L$184:$X$193,IF(H618=1,4,IF(H618=4,3,2))+IF(INDEX([1]Sheet1!$1:$1048576,MATCH($E618,[1]Sheet1!$A:$A,0),MATCH("zizhi",[1]Sheet1!$2:$2,0))&gt;=13,0,3)+6,0)</f>
        <v>58010</v>
      </c>
      <c r="W618" s="2" t="str">
        <f t="shared" si="55"/>
        <v>进阶+7：全队攻击提高10%</v>
      </c>
      <c r="X618" s="45" t="str">
        <f t="shared" si="53"/>
        <v>58010</v>
      </c>
      <c r="Y618" s="2"/>
      <c r="Z618" s="2"/>
      <c r="AA618" s="2"/>
    </row>
    <row r="619" spans="1:27">
      <c r="A619" s="10">
        <f>E619*100+COUNTIF($E$194:$E619,$E619)</f>
        <v>114008</v>
      </c>
      <c r="B619" s="68" t="s">
        <v>316</v>
      </c>
      <c r="C619" s="50" t="s">
        <v>153</v>
      </c>
      <c r="D619" s="10" t="str">
        <f t="shared" si="58"/>
        <v>[]</v>
      </c>
      <c r="E619" s="45">
        <f>INDEX($I:$I,MATCH($E618,$I:$I,0)+IF(COUNTIF($E$194:$E618,$E618)&lt;=VLOOKUP($E618,$I$134:$K$193,3,0)-1,0,1),0)</f>
        <v>1140</v>
      </c>
      <c r="F619" s="45" t="str">
        <f t="shared" si="54"/>
        <v>墨鱼精</v>
      </c>
      <c r="H619" s="45">
        <f>VLOOKUP($E619,[1]Sheet1!$A:$G,7,0)</f>
        <v>3</v>
      </c>
      <c r="I619" s="45" t="str">
        <f>IF($G619="","",IF(COUNTIF(技能描述!$D:$D,$F619)&gt;0,VLOOKUP($F619&amp;$G619,技能描述!$A:$C,3,0),LEFT(VLOOKUP($E619,[1]Sheet1!$A:$J,10,0),FIND("_",VLOOKUP($E619,[1]Sheet1!$A:$J,10,0))-1)&amp;$G619))</f>
        <v/>
      </c>
      <c r="J619" s="45" t="str">
        <f>IF($I619="","",VLOOKUP($I619,技能描述!$A:$C,3,0))</f>
        <v/>
      </c>
      <c r="K619" s="45" t="str">
        <f>IF($I619="","",INDEX([2]Sheet1!$1:$1048576,MATCH($I619,[2]Sheet1!$A:$A,0),MATCH("description_damage",[2]Sheet1!$2:$2,0)))</f>
        <v/>
      </c>
      <c r="L619" s="80" t="str">
        <f>IF($K619="","",IF(LEN($K619)-LEN(SUBSTITUTE($K619,",",""))=0,VLOOKUP(INT($K619),[3]Sheet1!$A:$C,3,0),VLOOKUP(INT(LEFT($K619,FIND(",",$K619)-1)),[3]Sheet1!$A:$C,3,0)))</f>
        <v/>
      </c>
      <c r="M619" s="80" t="str">
        <f t="shared" si="59"/>
        <v/>
      </c>
      <c r="N619" s="45" t="str">
        <f>IF(LEN($K619)-LEN(SUBSTITUTE($K619,",",""))=1,VLOOKUP(INT(RIGHT($K619,LEN($K619)-FIND(",",$K619))),[3]Sheet1!$A:$C,3,0),"")</f>
        <v/>
      </c>
      <c r="O619" s="45" t="str">
        <f t="shared" si="56"/>
        <v/>
      </c>
      <c r="P619" s="45" t="str">
        <f t="shared" si="52"/>
        <v/>
      </c>
      <c r="Q619" s="45" t="str">
        <f t="shared" si="57"/>
        <v/>
      </c>
      <c r="R619" s="45"/>
      <c r="S619" s="45" t="str">
        <f>IF(ISERROR($Q619),"进阶+"&amp;COUNTIF($E$194:$E619,$E619)&amp;"："&amp;"找ZC配技能","进阶+"&amp;COUNTIF($E$194:$E619,$E619)&amp;"："&amp;VLOOKUP(COUNTIF($E$194:$E619,$E619),$L$184:$R$193,IF(H619=1,4,IF(H619=4,3,2))+IF(INDEX([1]Sheet1!$1:$1048576,MATCH($E619,[1]Sheet1!$A:$A,0),MATCH("zizhi",[1]Sheet1!$2:$2,0))&gt;=13,0,3),0)&amp;IF($Q619="","","（"&amp;$Q619&amp;"）"))</f>
        <v>进阶+8：命中提高15%</v>
      </c>
      <c r="T619" s="1"/>
      <c r="U619" s="1"/>
      <c r="V619" s="2" t="str">
        <f>VLOOKUP(COUNTIF($E$194:$E619,$E619),$L$184:$X$193,IF(H619=1,4,IF(H619=4,3,2))+IF(INDEX([1]Sheet1!$1:$1048576,MATCH($E619,[1]Sheet1!$A:$A,0),MATCH("zizhi",[1]Sheet1!$2:$2,0))&gt;=13,0,3)+6,0)</f>
        <v>11035</v>
      </c>
      <c r="W619" s="2" t="str">
        <f t="shared" si="55"/>
        <v>进阶+8：命中提高15%</v>
      </c>
      <c r="X619" s="45" t="str">
        <f t="shared" si="53"/>
        <v>11035</v>
      </c>
      <c r="Y619" s="2"/>
      <c r="Z619" s="2"/>
      <c r="AA619" s="2"/>
    </row>
    <row r="620" spans="1:27">
      <c r="A620" s="10">
        <f>E620*100+COUNTIF($E$194:$E620,$E620)</f>
        <v>110701</v>
      </c>
      <c r="B620" s="68" t="s">
        <v>319</v>
      </c>
      <c r="C620" s="50" t="s">
        <v>2086</v>
      </c>
      <c r="D620" s="10" t="str">
        <f t="shared" si="58"/>
        <v>[]</v>
      </c>
      <c r="E620" s="45">
        <f>INDEX($I:$I,MATCH($E619,$I:$I,0)+IF(COUNTIF($E$194:$E619,$E619)&lt;=VLOOKUP($E619,$I$134:$K$193,3,0)-1,0,1),0)</f>
        <v>1107</v>
      </c>
      <c r="F620" s="45" t="str">
        <f t="shared" si="54"/>
        <v>赤脚大仙</v>
      </c>
      <c r="H620" s="45">
        <f>VLOOKUP($E620,[1]Sheet1!$A:$G,7,0)</f>
        <v>4</v>
      </c>
      <c r="I620" s="45" t="str">
        <f>IF($G620="","",IF(COUNTIF(技能描述!$D:$D,$F620)&gt;0,VLOOKUP($F620&amp;$G620,技能描述!$A:$C,3,0),LEFT(VLOOKUP($E620,[1]Sheet1!$A:$J,10,0),FIND("_",VLOOKUP($E620,[1]Sheet1!$A:$J,10,0))-1)&amp;$G620))</f>
        <v/>
      </c>
      <c r="J620" s="45" t="str">
        <f>IF($I620="","",VLOOKUP($I620,技能描述!$A:$C,3,0))</f>
        <v/>
      </c>
      <c r="K620" s="45" t="str">
        <f>IF($I620="","",INDEX([2]Sheet1!$1:$1048576,MATCH($I620,[2]Sheet1!$A:$A,0),MATCH("description_damage",[2]Sheet1!$2:$2,0)))</f>
        <v/>
      </c>
      <c r="L620" s="80" t="str">
        <f>IF($K620="","",IF(LEN($K620)-LEN(SUBSTITUTE($K620,",",""))=0,VLOOKUP(INT($K620),[3]Sheet1!$A:$C,3,0),VLOOKUP(INT(LEFT($K620,FIND(",",$K620)-1)),[3]Sheet1!$A:$C,3,0)))</f>
        <v/>
      </c>
      <c r="M620" s="80" t="str">
        <f t="shared" si="59"/>
        <v/>
      </c>
      <c r="N620" s="45" t="str">
        <f>IF(LEN($K620)-LEN(SUBSTITUTE($K620,",",""))=1,VLOOKUP(INT(RIGHT($K620,LEN($K620)-FIND(",",$K620))),[3]Sheet1!$A:$C,3,0),"")</f>
        <v/>
      </c>
      <c r="O620" s="45" t="str">
        <f t="shared" si="56"/>
        <v/>
      </c>
      <c r="P620" s="45" t="str">
        <f t="shared" si="52"/>
        <v/>
      </c>
      <c r="Q620" s="45" t="str">
        <f t="shared" si="57"/>
        <v/>
      </c>
      <c r="R620" s="45"/>
      <c r="S620" s="45" t="str">
        <f>IF(ISERROR($Q620),"进阶+"&amp;COUNTIF($E$194:$E620,$E620)&amp;"："&amp;"找ZC配技能","进阶+"&amp;COUNTIF($E$194:$E620,$E620)&amp;"："&amp;VLOOKUP(COUNTIF($E$194:$E620,$E620),$L$184:$R$193,IF(H620=1,4,IF(H620=4,3,2))+IF(INDEX([1]Sheet1!$1:$1048576,MATCH($E620,[1]Sheet1!$A:$A,0),MATCH("zizhi",[1]Sheet1!$2:$2,0))&gt;=13,0,3),0)&amp;IF($Q620="","","（"&amp;$Q620&amp;"）"))</f>
        <v>进阶+1：生命提高10%</v>
      </c>
      <c r="T620" s="1"/>
      <c r="U620" s="1"/>
      <c r="V620" s="2" t="str">
        <f>VLOOKUP(COUNTIF($E$194:$E620,$E620),$L$184:$X$193,IF(H620=1,4,IF(H620=4,3,2))+IF(INDEX([1]Sheet1!$1:$1048576,MATCH($E620,[1]Sheet1!$A:$A,0),MATCH("zizhi",[1]Sheet1!$2:$2,0))&gt;=13,0,3)+6,0)</f>
        <v>11090</v>
      </c>
      <c r="W620" s="2" t="str">
        <f t="shared" si="55"/>
        <v>进阶+1：生命提高10%</v>
      </c>
      <c r="X620" s="45" t="str">
        <f t="shared" si="53"/>
        <v>11090</v>
      </c>
      <c r="Y620" s="2"/>
      <c r="Z620" s="2"/>
      <c r="AA620" s="2"/>
    </row>
    <row r="621" spans="1:27">
      <c r="A621" s="10">
        <f>E621*100+COUNTIF($E$194:$E621,$E621)</f>
        <v>110702</v>
      </c>
      <c r="B621" s="68" t="s">
        <v>346</v>
      </c>
      <c r="C621" s="50" t="s">
        <v>2</v>
      </c>
      <c r="D621" s="10">
        <f t="shared" si="58"/>
        <v>1</v>
      </c>
      <c r="E621" s="45">
        <f>INDEX($I:$I,MATCH($E620,$I:$I,0)+IF(COUNTIF($E$194:$E620,$E620)&lt;=VLOOKUP($E620,$I$134:$K$193,3,0)-1,0,1),0)</f>
        <v>1107</v>
      </c>
      <c r="F621" s="45" t="str">
        <f t="shared" si="54"/>
        <v>赤脚大仙</v>
      </c>
      <c r="G621" s="45" t="s">
        <v>216</v>
      </c>
      <c r="H621" s="45">
        <f>VLOOKUP($E621,[1]Sheet1!$A:$G,7,0)</f>
        <v>4</v>
      </c>
      <c r="I621" s="45" t="str">
        <f>IF($G621="","",IF(COUNTIF(技能描述!$D:$D,$F621)&gt;0,VLOOKUP($F621&amp;$G621,技能描述!$A:$C,3,0),LEFT(VLOOKUP($E621,[1]Sheet1!$A:$J,10,0),FIND("_",VLOOKUP($E621,[1]Sheet1!$A:$J,10,0))-1)&amp;$G621))</f>
        <v>chijiaodaxian_skill03</v>
      </c>
      <c r="J621" s="45" t="str">
        <f>IF($I621="","",VLOOKUP($I621,技能描述!$A:$C,3,0))</f>
        <v>进入战斗场景时，提升自身生命值@s</v>
      </c>
      <c r="K621" s="45" t="str">
        <f>IF($I621="","",INDEX([2]Sheet1!$1:$1048576,MATCH($I621,[2]Sheet1!$A:$A,0),MATCH("description_damage",[2]Sheet1!$2:$2,0)))</f>
        <v>9020</v>
      </c>
      <c r="L621" s="80" t="str">
        <f>IF($K621="","",IF(LEN($K621)-LEN(SUBSTITUTE($K621,",",""))=0,VLOOKUP(INT($K621),[3]Sheet1!$A:$C,3,0),VLOOKUP(INT(LEFT($K621,FIND(",",$K621)-1)),[3]Sheet1!$A:$C,3,0)))</f>
        <v>4|3|0.2|0|1</v>
      </c>
      <c r="M621" s="80" t="str">
        <f t="shared" si="59"/>
        <v>20%</v>
      </c>
      <c r="N621" s="45" t="str">
        <f>IF(LEN($K621)-LEN(SUBSTITUTE($K621,",",""))=1,VLOOKUP(INT(RIGHT($K621,LEN($K621)-FIND(",",$K621))),[3]Sheet1!$A:$C,3,0),"")</f>
        <v/>
      </c>
      <c r="O621" s="45" t="str">
        <f t="shared" si="56"/>
        <v/>
      </c>
      <c r="P621" s="45" t="str">
        <f t="shared" si="52"/>
        <v>进入战斗场景时，提升自身生命值20%</v>
      </c>
      <c r="Q621" s="45" t="str">
        <f t="shared" si="57"/>
        <v>进入战斗场景时，提升自身生命值20%</v>
      </c>
      <c r="R621" s="45"/>
      <c r="S621" s="45" t="str">
        <f>IF(ISERROR($Q621),"进阶+"&amp;COUNTIF($E$194:$E621,$E621)&amp;"："&amp;"找ZC配技能","进阶+"&amp;COUNTIF($E$194:$E621,$E621)&amp;"："&amp;VLOOKUP(COUNTIF($E$194:$E621,$E621),$L$184:$R$193,IF(H621=1,4,IF(H621=4,3,2))+IF(INDEX([1]Sheet1!$1:$1048576,MATCH($E621,[1]Sheet1!$A:$A,0),MATCH("zizhi",[1]Sheet1!$2:$2,0))&gt;=13,0,3),0)&amp;IF($Q621="","","（"&amp;$Q621&amp;"）"))</f>
        <v>进阶+2：激活被动技能（进入战斗场景时，提升自身生命值20%）</v>
      </c>
      <c r="T621" s="1"/>
      <c r="U621" s="1"/>
      <c r="V621" s="2" t="str">
        <f>VLOOKUP(COUNTIF($E$194:$E621,$E621),$L$184:$X$193,IF(H621=1,4,IF(H621=4,3,2))+IF(INDEX([1]Sheet1!$1:$1048576,MATCH($E621,[1]Sheet1!$A:$A,0),MATCH("zizhi",[1]Sheet1!$2:$2,0))&gt;=13,0,3)+6,0)</f>
        <v>[]</v>
      </c>
      <c r="W621" s="2" t="str">
        <f t="shared" si="55"/>
        <v>进阶+2：激活被动技能（进入战斗场景时，提升自身生命值20%）</v>
      </c>
      <c r="X621" s="45" t="str">
        <f t="shared" si="53"/>
        <v>[]</v>
      </c>
      <c r="Y621" s="2"/>
      <c r="Z621" s="2"/>
      <c r="AA621" s="2"/>
    </row>
    <row r="622" spans="1:27">
      <c r="A622" s="10">
        <f>E622*100+COUNTIF($E$194:$E622,$E622)</f>
        <v>110703</v>
      </c>
      <c r="B622" s="68" t="s">
        <v>324</v>
      </c>
      <c r="C622" s="50" t="s">
        <v>140</v>
      </c>
      <c r="D622" s="10" t="str">
        <f t="shared" si="58"/>
        <v>[]</v>
      </c>
      <c r="E622" s="45">
        <f>INDEX($I:$I,MATCH($E621,$I:$I,0)+IF(COUNTIF($E$194:$E621,$E621)&lt;=VLOOKUP($E621,$I$134:$K$193,3,0)-1,0,1),0)</f>
        <v>1107</v>
      </c>
      <c r="F622" s="45" t="str">
        <f t="shared" si="54"/>
        <v>赤脚大仙</v>
      </c>
      <c r="H622" s="45">
        <f>VLOOKUP($E622,[1]Sheet1!$A:$G,7,0)</f>
        <v>4</v>
      </c>
      <c r="I622" s="45" t="str">
        <f>IF($G622="","",IF(COUNTIF(技能描述!$D:$D,$F622)&gt;0,VLOOKUP($F622&amp;$G622,技能描述!$A:$C,3,0),LEFT(VLOOKUP($E622,[1]Sheet1!$A:$J,10,0),FIND("_",VLOOKUP($E622,[1]Sheet1!$A:$J,10,0))-1)&amp;$G622))</f>
        <v/>
      </c>
      <c r="J622" s="45" t="str">
        <f>IF($I622="","",VLOOKUP($I622,技能描述!$A:$C,3,0))</f>
        <v/>
      </c>
      <c r="K622" s="45" t="str">
        <f>IF($I622="","",INDEX([2]Sheet1!$1:$1048576,MATCH($I622,[2]Sheet1!$A:$A,0),MATCH("description_damage",[2]Sheet1!$2:$2,0)))</f>
        <v/>
      </c>
      <c r="L622" s="80" t="str">
        <f>IF($K622="","",IF(LEN($K622)-LEN(SUBSTITUTE($K622,",",""))=0,VLOOKUP(INT($K622),[3]Sheet1!$A:$C,3,0),VLOOKUP(INT(LEFT($K622,FIND(",",$K622)-1)),[3]Sheet1!$A:$C,3,0)))</f>
        <v/>
      </c>
      <c r="M622" s="80" t="str">
        <f t="shared" si="59"/>
        <v/>
      </c>
      <c r="N622" s="45" t="str">
        <f>IF(LEN($K622)-LEN(SUBSTITUTE($K622,",",""))=1,VLOOKUP(INT(RIGHT($K622,LEN($K622)-FIND(",",$K622))),[3]Sheet1!$A:$C,3,0),"")</f>
        <v/>
      </c>
      <c r="O622" s="45" t="str">
        <f t="shared" si="56"/>
        <v/>
      </c>
      <c r="P622" s="45" t="str">
        <f t="shared" si="52"/>
        <v/>
      </c>
      <c r="Q622" s="45" t="str">
        <f t="shared" si="57"/>
        <v/>
      </c>
      <c r="R622" s="45"/>
      <c r="S622" s="45" t="str">
        <f>IF(ISERROR($Q622),"进阶+"&amp;COUNTIF($E$194:$E622,$E622)&amp;"："&amp;"找ZC配技能","进阶+"&amp;COUNTIF($E$194:$E622,$E622)&amp;"："&amp;VLOOKUP(COUNTIF($E$194:$E622,$E622),$L$184:$R$193,IF(H622=1,4,IF(H622=4,3,2))+IF(INDEX([1]Sheet1!$1:$1048576,MATCH($E622,[1]Sheet1!$A:$A,0),MATCH("zizhi",[1]Sheet1!$2:$2,0))&gt;=13,0,3),0)&amp;IF($Q622="","","（"&amp;$Q622&amp;"）"))</f>
        <v>进阶+3：生命，防御提高10%</v>
      </c>
      <c r="T622" s="1"/>
      <c r="U622" s="1"/>
      <c r="V622" s="2" t="str">
        <f>VLOOKUP(COUNTIF($E$194:$E622,$E622),$L$184:$X$193,IF(H622=1,4,IF(H622=4,3,2))+IF(INDEX([1]Sheet1!$1:$1048576,MATCH($E622,[1]Sheet1!$A:$A,0),MATCH("zizhi",[1]Sheet1!$2:$2,0))&gt;=13,0,3)+6,0)</f>
        <v>11090,6502,6512</v>
      </c>
      <c r="W622" s="2" t="str">
        <f t="shared" si="55"/>
        <v>进阶+3：生命，防御提高10%</v>
      </c>
      <c r="X622" s="45" t="str">
        <f t="shared" si="53"/>
        <v>11090,6502,6512</v>
      </c>
      <c r="Y622" s="2"/>
      <c r="Z622" s="2"/>
      <c r="AA622" s="2"/>
    </row>
    <row r="623" spans="1:27" ht="33">
      <c r="A623" s="10">
        <f>E623*100+COUNTIF($E$194:$E623,$E623)</f>
        <v>110704</v>
      </c>
      <c r="B623" s="68" t="s">
        <v>2083</v>
      </c>
      <c r="C623" s="50" t="s">
        <v>2</v>
      </c>
      <c r="D623" s="10">
        <f t="shared" si="58"/>
        <v>1</v>
      </c>
      <c r="E623" s="45">
        <f>INDEX($I:$I,MATCH($E622,$I:$I,0)+IF(COUNTIF($E$194:$E622,$E622)&lt;=VLOOKUP($E622,$I$134:$K$193,3,0)-1,0,1),0)</f>
        <v>1107</v>
      </c>
      <c r="F623" s="45" t="str">
        <f t="shared" si="54"/>
        <v>赤脚大仙</v>
      </c>
      <c r="G623" s="45" t="s">
        <v>217</v>
      </c>
      <c r="H623" s="45">
        <f>VLOOKUP($E623,[1]Sheet1!$A:$G,7,0)</f>
        <v>4</v>
      </c>
      <c r="I623" s="45" t="str">
        <f>IF($G623="","",IF(COUNTIF(技能描述!$D:$D,$F623)&gt;0,VLOOKUP($F623&amp;$G623,技能描述!$A:$C,3,0),LEFT(VLOOKUP($E623,[1]Sheet1!$A:$J,10,0),FIND("_",VLOOKUP($E623,[1]Sheet1!$A:$J,10,0))-1)&amp;$G623))</f>
        <v>chijiaodaxian_skill04</v>
      </c>
      <c r="J623" s="45" t="str">
        <f>IF($I623="","",VLOOKUP($I623,技能描述!$A:$C,3,0))</f>
        <v>赤脚大仙，跳向目标发动连续攻击，对范围内敌人进行3次攻击,造成自身攻击力@s的法伤</v>
      </c>
      <c r="K623" s="45" t="str">
        <f>IF($I623="","",INDEX([2]Sheet1!$1:$1048576,MATCH($I623,[2]Sheet1!$A:$A,0),MATCH("description_damage",[2]Sheet1!$2:$2,0)))</f>
        <v>110704</v>
      </c>
      <c r="L623" s="80" t="str">
        <f>IF($K623="","",IF(LEN($K623)-LEN(SUBSTITUTE($K623,",",""))=0,VLOOKUP(INT($K623),[3]Sheet1!$A:$C,3,0),VLOOKUP(INT(LEFT($K623,FIND(",",$K623)-1)),[3]Sheet1!$A:$C,3,0)))</f>
        <v>2|2|0.95|0|0|0</v>
      </c>
      <c r="M623" s="80" t="str">
        <f t="shared" si="59"/>
        <v>95%</v>
      </c>
      <c r="N623" s="45" t="str">
        <f>IF(LEN($K623)-LEN(SUBSTITUTE($K623,",",""))=1,VLOOKUP(INT(RIGHT($K623,LEN($K623)-FIND(",",$K623))),[3]Sheet1!$A:$C,3,0),"")</f>
        <v/>
      </c>
      <c r="O623" s="45" t="str">
        <f t="shared" si="56"/>
        <v/>
      </c>
      <c r="P623" s="45" t="str">
        <f t="shared" si="52"/>
        <v>赤脚大仙，跳向目标发动连续攻击，对范围内敌人进行3次攻击,造成自身攻击力95%的法伤</v>
      </c>
      <c r="Q623" s="45" t="str">
        <f t="shared" si="57"/>
        <v>赤脚大仙，跳向目标发动连续攻击，对范围内敌人进行3次攻击,造成自身攻击力95%的法伤</v>
      </c>
      <c r="R623" s="45"/>
      <c r="S623" s="45" t="str">
        <f>IF(ISERROR($Q623),"进阶+"&amp;COUNTIF($E$194:$E623,$E623)&amp;"："&amp;"找ZC配技能","进阶+"&amp;COUNTIF($E$194:$E623,$E623)&amp;"："&amp;VLOOKUP(COUNTIF($E$194:$E623,$E623),$L$184:$R$193,IF(H623=1,4,IF(H623=4,3,2))+IF(INDEX([1]Sheet1!$1:$1048576,MATCH($E623,[1]Sheet1!$A:$A,0),MATCH("zizhi",[1]Sheet1!$2:$2,0))&gt;=13,0,3),0)&amp;IF($Q623="","","（"&amp;$Q623&amp;"）"))</f>
        <v>进阶+4：激活AI2技能（赤脚大仙，跳向目标发动连续攻击，对范围内敌人进行3次攻击,造成自身攻击力95%的法伤）</v>
      </c>
      <c r="T623" s="1"/>
      <c r="U623" s="1"/>
      <c r="V623" s="2" t="str">
        <f>VLOOKUP(COUNTIF($E$194:$E623,$E623),$L$184:$X$193,IF(H623=1,4,IF(H623=4,3,2))+IF(INDEX([1]Sheet1!$1:$1048576,MATCH($E623,[1]Sheet1!$A:$A,0),MATCH("zizhi",[1]Sheet1!$2:$2,0))&gt;=13,0,3)+6,0)</f>
        <v>[]</v>
      </c>
      <c r="W623" s="2" t="str">
        <f t="shared" si="55"/>
        <v>进阶+4：激活AI2技能（赤脚大仙，跳向目标发动连续攻击，对范围内敌人进行3次攻击,造成自身攻击力95%的法伤）</v>
      </c>
      <c r="X623" s="45" t="str">
        <f t="shared" si="53"/>
        <v>[]</v>
      </c>
      <c r="Y623" s="2"/>
      <c r="Z623" s="2"/>
      <c r="AA623" s="2"/>
    </row>
    <row r="624" spans="1:27">
      <c r="A624" s="10">
        <f>E624*100+COUNTIF($E$194:$E624,$E624)</f>
        <v>110705</v>
      </c>
      <c r="B624" s="68" t="s">
        <v>320</v>
      </c>
      <c r="C624" s="50" t="s">
        <v>239</v>
      </c>
      <c r="D624" s="10" t="str">
        <f t="shared" si="58"/>
        <v>[]</v>
      </c>
      <c r="E624" s="45">
        <f>INDEX($I:$I,MATCH($E623,$I:$I,0)+IF(COUNTIF($E$194:$E623,$E623)&lt;=VLOOKUP($E623,$I$134:$K$193,3,0)-1,0,1),0)</f>
        <v>1107</v>
      </c>
      <c r="F624" s="45" t="str">
        <f t="shared" si="54"/>
        <v>赤脚大仙</v>
      </c>
      <c r="H624" s="45">
        <f>VLOOKUP($E624,[1]Sheet1!$A:$G,7,0)</f>
        <v>4</v>
      </c>
      <c r="I624" s="45" t="str">
        <f>IF($G624="","",IF(COUNTIF(技能描述!$D:$D,$F624)&gt;0,VLOOKUP($F624&amp;$G624,技能描述!$A:$C,3,0),LEFT(VLOOKUP($E624,[1]Sheet1!$A:$J,10,0),FIND("_",VLOOKUP($E624,[1]Sheet1!$A:$J,10,0))-1)&amp;$G624))</f>
        <v/>
      </c>
      <c r="J624" s="45" t="str">
        <f>IF($I624="","",VLOOKUP($I624,技能描述!$A:$C,3,0))</f>
        <v/>
      </c>
      <c r="K624" s="45" t="str">
        <f>IF($I624="","",INDEX([2]Sheet1!$1:$1048576,MATCH($I624,[2]Sheet1!$A:$A,0),MATCH("description_damage",[2]Sheet1!$2:$2,0)))</f>
        <v/>
      </c>
      <c r="L624" s="80" t="str">
        <f>IF($K624="","",IF(LEN($K624)-LEN(SUBSTITUTE($K624,",",""))=0,VLOOKUP(INT($K624),[3]Sheet1!$A:$C,3,0),VLOOKUP(INT(LEFT($K624,FIND(",",$K624)-1)),[3]Sheet1!$A:$C,3,0)))</f>
        <v/>
      </c>
      <c r="M624" s="80" t="str">
        <f t="shared" si="59"/>
        <v/>
      </c>
      <c r="N624" s="45" t="str">
        <f>IF(LEN($K624)-LEN(SUBSTITUTE($K624,",",""))=1,VLOOKUP(INT(RIGHT($K624,LEN($K624)-FIND(",",$K624))),[3]Sheet1!$A:$C,3,0),"")</f>
        <v/>
      </c>
      <c r="O624" s="45" t="str">
        <f t="shared" si="56"/>
        <v/>
      </c>
      <c r="P624" s="45" t="str">
        <f t="shared" si="52"/>
        <v/>
      </c>
      <c r="Q624" s="45" t="str">
        <f t="shared" si="57"/>
        <v/>
      </c>
      <c r="R624" s="45"/>
      <c r="S624" s="45" t="str">
        <f>IF(ISERROR($Q624),"进阶+"&amp;COUNTIF($E$194:$E624,$E624)&amp;"："&amp;"找ZC配技能","进阶+"&amp;COUNTIF($E$194:$E624,$E624)&amp;"："&amp;VLOOKUP(COUNTIF($E$194:$E624,$E624),$L$184:$R$193,IF(H624=1,4,IF(H624=4,3,2))+IF(INDEX([1]Sheet1!$1:$1048576,MATCH($E624,[1]Sheet1!$A:$A,0),MATCH("zizhi",[1]Sheet1!$2:$2,0))&gt;=13,0,3),0)&amp;IF($Q624="","","（"&amp;$Q624&amp;"）"))</f>
        <v>进阶+5：攻击提高15%</v>
      </c>
      <c r="T624" s="1"/>
      <c r="U624" s="1"/>
      <c r="V624" s="2" t="str">
        <f>VLOOKUP(COUNTIF($E$194:$E624,$E624),$L$184:$X$193,IF(H624=1,4,IF(H624=4,3,2))+IF(INDEX([1]Sheet1!$1:$1048576,MATCH($E624,[1]Sheet1!$A:$A,0),MATCH("zizhi",[1]Sheet1!$2:$2,0))&gt;=13,0,3)+6,0)</f>
        <v>11055</v>
      </c>
      <c r="W624" s="2" t="str">
        <f t="shared" si="55"/>
        <v>进阶+5：攻击提高15%</v>
      </c>
      <c r="X624" s="45" t="str">
        <f t="shared" si="53"/>
        <v>11055</v>
      </c>
      <c r="Y624" s="2"/>
      <c r="Z624" s="2"/>
      <c r="AA624" s="2"/>
    </row>
    <row r="625" spans="1:27" ht="33">
      <c r="A625" s="10">
        <f>E625*100+COUNTIF($E$194:$E625,$E625)</f>
        <v>110706</v>
      </c>
      <c r="B625" s="68" t="s">
        <v>2070</v>
      </c>
      <c r="C625" s="50" t="s">
        <v>2</v>
      </c>
      <c r="D625" s="10">
        <f t="shared" si="58"/>
        <v>1</v>
      </c>
      <c r="E625" s="45">
        <f>INDEX($I:$I,MATCH($E624,$I:$I,0)+IF(COUNTIF($E$194:$E624,$E624)&lt;=VLOOKUP($E624,$I$134:$K$193,3,0)-1,0,1),0)</f>
        <v>1107</v>
      </c>
      <c r="F625" s="45" t="str">
        <f t="shared" si="54"/>
        <v>赤脚大仙</v>
      </c>
      <c r="G625" s="45" t="s">
        <v>218</v>
      </c>
      <c r="H625" s="45">
        <f>VLOOKUP($E625,[1]Sheet1!$A:$G,7,0)</f>
        <v>4</v>
      </c>
      <c r="I625" s="45" t="str">
        <f>IF($G625="","",IF(COUNTIF(技能描述!$D:$D,$F625)&gt;0,VLOOKUP($F625&amp;$G625,技能描述!$A:$C,3,0),LEFT(VLOOKUP($E625,[1]Sheet1!$A:$J,10,0),FIND("_",VLOOKUP($E625,[1]Sheet1!$A:$J,10,0))-1)&amp;$G625))</f>
        <v>chijiaodaxian_skill011</v>
      </c>
      <c r="J625" s="45" t="str">
        <f>IF($I625="","",VLOOKUP($I625,技能描述!$A:$C,3,0))</f>
        <v>召唤赤脚大仙神兵，对范围内敌人进行2次攻击,造成主角攻击力@s的法伤，并降低命中率@s，持续3秒</v>
      </c>
      <c r="K625" s="45" t="str">
        <f>IF($I625="","",INDEX([2]Sheet1!$1:$1048576,MATCH($I625,[2]Sheet1!$A:$A,0),MATCH("description_damage",[2]Sheet1!$2:$2,0)))</f>
        <v>110705,9010</v>
      </c>
      <c r="L625" s="80" t="str">
        <f>IF($K625="","",IF(LEN($K625)-LEN(SUBSTITUTE($K625,",",""))=0,VLOOKUP(INT($K625),[3]Sheet1!$A:$C,3,0),VLOOKUP(INT(LEFT($K625,FIND(",",$K625)-1)),[3]Sheet1!$A:$C,3,0)))</f>
        <v>2|2|1.71|0|0|0</v>
      </c>
      <c r="M625" s="80" t="str">
        <f t="shared" si="59"/>
        <v>171%</v>
      </c>
      <c r="N625" s="45" t="str">
        <f>IF(LEN($K625)-LEN(SUBSTITUTE($K625,",",""))=1,VLOOKUP(INT(RIGHT($K625,LEN($K625)-FIND(",",$K625))),[3]Sheet1!$A:$C,3,0),"")</f>
        <v>4|3|0.1|0|1</v>
      </c>
      <c r="O625" s="45" t="str">
        <f t="shared" si="56"/>
        <v>10%</v>
      </c>
      <c r="P625" s="45" t="str">
        <f t="shared" si="52"/>
        <v>召唤赤脚大仙神兵，对范围内敌人进行2次攻击,造成主角攻击力171%的法伤，并降低命中率@s，持续3秒</v>
      </c>
      <c r="Q625" s="45" t="str">
        <f t="shared" si="57"/>
        <v>召唤赤脚大仙神兵，对范围内敌人进行2次攻击,造成主角攻击力171%的法伤，并降低命中率10%，持续3秒</v>
      </c>
      <c r="R625" s="45"/>
      <c r="S625" s="45" t="str">
        <f>IF(ISERROR($Q625),"进阶+"&amp;COUNTIF($E$194:$E625,$E625)&amp;"："&amp;"找ZC配技能","进阶+"&amp;COUNTIF($E$194:$E625,$E625)&amp;"："&amp;VLOOKUP(COUNTIF($E$194:$E625,$E625),$L$184:$R$193,IF(H625=1,4,IF(H625=4,3,2))+IF(INDEX([1]Sheet1!$1:$1048576,MATCH($E625,[1]Sheet1!$A:$A,0),MATCH("zizhi",[1]Sheet1!$2:$2,0))&gt;=13,0,3),0)&amp;IF($Q625="","","（"&amp;$Q625&amp;"）"))</f>
        <v>进阶+6：增强主角技能（召唤赤脚大仙神兵，对范围内敌人进行2次攻击,造成主角攻击力171%的法伤，并降低命中率10%，持续3秒）</v>
      </c>
      <c r="T625" s="1"/>
      <c r="U625" s="1"/>
      <c r="V625" s="2" t="str">
        <f>VLOOKUP(COUNTIF($E$194:$E625,$E625),$L$184:$X$193,IF(H625=1,4,IF(H625=4,3,2))+IF(INDEX([1]Sheet1!$1:$1048576,MATCH($E625,[1]Sheet1!$A:$A,0),MATCH("zizhi",[1]Sheet1!$2:$2,0))&gt;=13,0,3)+6,0)</f>
        <v>[]</v>
      </c>
      <c r="W625" s="2" t="str">
        <f t="shared" si="55"/>
        <v>进阶+6：增强主角技能（召唤赤脚大仙神兵，对范围内敌人进行2次攻击,造成主角攻击力171%的法伤，并降低命中率10%，持续3秒）</v>
      </c>
      <c r="X625" s="45" t="str">
        <f t="shared" si="53"/>
        <v>[]</v>
      </c>
      <c r="Y625" s="2"/>
      <c r="Z625" s="2"/>
      <c r="AA625" s="2"/>
    </row>
    <row r="626" spans="1:27">
      <c r="A626" s="10">
        <f>E626*100+COUNTIF($E$194:$E626,$E626)</f>
        <v>110707</v>
      </c>
      <c r="B626" s="68" t="s">
        <v>360</v>
      </c>
      <c r="C626" s="50" t="s">
        <v>354</v>
      </c>
      <c r="D626" s="10" t="str">
        <f t="shared" si="58"/>
        <v>[]</v>
      </c>
      <c r="E626" s="45">
        <f>INDEX($I:$I,MATCH($E625,$I:$I,0)+IF(COUNTIF($E$194:$E625,$E625)&lt;=VLOOKUP($E625,$I$134:$K$193,3,0)-1,0,1),0)</f>
        <v>1107</v>
      </c>
      <c r="F626" s="45" t="str">
        <f t="shared" si="54"/>
        <v>赤脚大仙</v>
      </c>
      <c r="H626" s="45">
        <f>VLOOKUP($E626,[1]Sheet1!$A:$G,7,0)</f>
        <v>4</v>
      </c>
      <c r="I626" s="45" t="str">
        <f>IF($G626="","",IF(COUNTIF(技能描述!$D:$D,$F626)&gt;0,VLOOKUP($F626&amp;$G626,技能描述!$A:$C,3,0),LEFT(VLOOKUP($E626,[1]Sheet1!$A:$J,10,0),FIND("_",VLOOKUP($E626,[1]Sheet1!$A:$J,10,0))-1)&amp;$G626))</f>
        <v/>
      </c>
      <c r="J626" s="45" t="str">
        <f>IF($I626="","",VLOOKUP($I626,技能描述!$A:$C,3,0))</f>
        <v/>
      </c>
      <c r="K626" s="45" t="str">
        <f>IF($I626="","",INDEX([2]Sheet1!$1:$1048576,MATCH($I626,[2]Sheet1!$A:$A,0),MATCH("description_damage",[2]Sheet1!$2:$2,0)))</f>
        <v/>
      </c>
      <c r="L626" s="80" t="str">
        <f>IF($K626="","",IF(LEN($K626)-LEN(SUBSTITUTE($K626,",",""))=0,VLOOKUP(INT($K626),[3]Sheet1!$A:$C,3,0),VLOOKUP(INT(LEFT($K626,FIND(",",$K626)-1)),[3]Sheet1!$A:$C,3,0)))</f>
        <v/>
      </c>
      <c r="M626" s="80" t="str">
        <f t="shared" si="59"/>
        <v/>
      </c>
      <c r="N626" s="45" t="str">
        <f>IF(LEN($K626)-LEN(SUBSTITUTE($K626,",",""))=1,VLOOKUP(INT(RIGHT($K626,LEN($K626)-FIND(",",$K626))),[3]Sheet1!$A:$C,3,0),"")</f>
        <v/>
      </c>
      <c r="O626" s="45" t="str">
        <f t="shared" si="56"/>
        <v/>
      </c>
      <c r="P626" s="45" t="str">
        <f t="shared" si="52"/>
        <v/>
      </c>
      <c r="Q626" s="45" t="str">
        <f t="shared" si="57"/>
        <v/>
      </c>
      <c r="R626" s="45"/>
      <c r="S626" s="45" t="str">
        <f>IF(ISERROR($Q626),"进阶+"&amp;COUNTIF($E$194:$E626,$E626)&amp;"："&amp;"找ZC配技能","进阶+"&amp;COUNTIF($E$194:$E626,$E626)&amp;"："&amp;VLOOKUP(COUNTIF($E$194:$E626,$E626),$L$184:$R$193,IF(H626=1,4,IF(H626=4,3,2))+IF(INDEX([1]Sheet1!$1:$1048576,MATCH($E626,[1]Sheet1!$A:$A,0),MATCH("zizhi",[1]Sheet1!$2:$2,0))&gt;=13,0,3),0)&amp;IF($Q626="","","（"&amp;$Q626&amp;"）"))</f>
        <v>进阶+7：全队生命，防御提高10%</v>
      </c>
      <c r="T626" s="1"/>
      <c r="U626" s="1"/>
      <c r="V626" s="2" t="str">
        <f>VLOOKUP(COUNTIF($E$194:$E626,$E626),$L$184:$X$193,IF(H626=1,4,IF(H626=4,3,2))+IF(INDEX([1]Sheet1!$1:$1048576,MATCH($E626,[1]Sheet1!$A:$A,0),MATCH("zizhi",[1]Sheet1!$2:$2,0))&gt;=13,0,3)+6,0)</f>
        <v>57010,59010,60010</v>
      </c>
      <c r="W626" s="2" t="str">
        <f t="shared" si="55"/>
        <v>进阶+7：全队生命，防御提高10%</v>
      </c>
      <c r="X626" s="45" t="str">
        <f t="shared" si="53"/>
        <v>57010,59010,60010</v>
      </c>
      <c r="Y626" s="2"/>
      <c r="Z626" s="2"/>
      <c r="AA626" s="2"/>
    </row>
    <row r="627" spans="1:27" ht="33">
      <c r="A627" s="10">
        <f>E627*100+COUNTIF($E$194:$E627,$E627)</f>
        <v>110708</v>
      </c>
      <c r="B627" s="68" t="s">
        <v>2071</v>
      </c>
      <c r="C627" s="50" t="s">
        <v>2</v>
      </c>
      <c r="D627" s="10">
        <f t="shared" si="58"/>
        <v>1</v>
      </c>
      <c r="E627" s="45">
        <f>INDEX($I:$I,MATCH($E626,$I:$I,0)+IF(COUNTIF($E$194:$E626,$E626)&lt;=VLOOKUP($E626,$I$134:$K$193,3,0)-1,0,1),0)</f>
        <v>1107</v>
      </c>
      <c r="F627" s="45" t="str">
        <f t="shared" si="54"/>
        <v>赤脚大仙</v>
      </c>
      <c r="G627" s="45" t="s">
        <v>219</v>
      </c>
      <c r="H627" s="45">
        <f>VLOOKUP($E627,[1]Sheet1!$A:$G,7,0)</f>
        <v>4</v>
      </c>
      <c r="I627" s="45" t="str">
        <f>IF($G627="","",IF(COUNTIF(技能描述!$D:$D,$F627)&gt;0,VLOOKUP($F627&amp;$G627,技能描述!$A:$C,3,0),LEFT(VLOOKUP($E627,[1]Sheet1!$A:$J,10,0),FIND("_",VLOOKUP($E627,[1]Sheet1!$A:$J,10,0))-1)&amp;$G627))</f>
        <v>chijiaodaxian_skill021</v>
      </c>
      <c r="J627" s="45" t="str">
        <f>IF($I627="","",VLOOKUP($I627,技能描述!$A:$C,3,0))</f>
        <v>赤脚大仙爆发自身真元之力，治疗自身，每0.5秒恢复自身生命值上限2%的生命值，持续2秒</v>
      </c>
      <c r="K627" s="45" t="str">
        <f>IF($I627="","",INDEX([2]Sheet1!$1:$1048576,MATCH($I627,[2]Sheet1!$A:$A,0),MATCH("description_damage",[2]Sheet1!$2:$2,0)))</f>
        <v>9003</v>
      </c>
      <c r="L627" s="80" t="str">
        <f>IF($K627="","",IF(LEN($K627)-LEN(SUBSTITUTE($K627,",",""))=0,VLOOKUP(INT($K627),[3]Sheet1!$A:$C,3,0),VLOOKUP(INT(LEFT($K627,FIND(",",$K627)-1)),[3]Sheet1!$A:$C,3,0)))</f>
        <v>4|3|0.03|0|1</v>
      </c>
      <c r="M627" s="80" t="str">
        <f t="shared" si="59"/>
        <v>3%</v>
      </c>
      <c r="N627" s="45" t="str">
        <f>IF(LEN($K627)-LEN(SUBSTITUTE($K627,",",""))=1,VLOOKUP(INT(RIGHT($K627,LEN($K627)-FIND(",",$K627))),[3]Sheet1!$A:$C,3,0),"")</f>
        <v/>
      </c>
      <c r="O627" s="45" t="str">
        <f t="shared" si="56"/>
        <v/>
      </c>
      <c r="P627" s="45" t="str">
        <f t="shared" si="52"/>
        <v>赤脚大仙爆发自身真元之力，治疗自身，每0.5秒恢复自身生命值上限2%的生命值，持续2秒</v>
      </c>
      <c r="Q627" s="45" t="str">
        <f t="shared" si="57"/>
        <v>赤脚大仙爆发自身真元之力，治疗自身，每0.5秒恢复自身生命值上限2%的生命值，持续2秒</v>
      </c>
      <c r="R627" s="45"/>
      <c r="S627" s="45" t="str">
        <f>IF(ISERROR($Q627),"进阶+"&amp;COUNTIF($E$194:$E627,$E627)&amp;"："&amp;"找ZC配技能","进阶+"&amp;COUNTIF($E$194:$E627,$E627)&amp;"："&amp;VLOOKUP(COUNTIF($E$194:$E627,$E627),$L$184:$R$193,IF(H627=1,4,IF(H627=4,3,2))+IF(INDEX([1]Sheet1!$1:$1048576,MATCH($E627,[1]Sheet1!$A:$A,0),MATCH("zizhi",[1]Sheet1!$2:$2,0))&gt;=13,0,3),0)&amp;IF($Q627="","","（"&amp;$Q627&amp;"）"))</f>
        <v>进阶+8：增强AI1技能（赤脚大仙爆发自身真元之力，治疗自身，每0.5秒恢复自身生命值上限2%的生命值，持续2秒）</v>
      </c>
      <c r="T627" s="1"/>
      <c r="U627" s="1"/>
      <c r="V627" s="2" t="str">
        <f>VLOOKUP(COUNTIF($E$194:$E627,$E627),$L$184:$X$193,IF(H627=1,4,IF(H627=4,3,2))+IF(INDEX([1]Sheet1!$1:$1048576,MATCH($E627,[1]Sheet1!$A:$A,0),MATCH("zizhi",[1]Sheet1!$2:$2,0))&gt;=13,0,3)+6,0)</f>
        <v>[]</v>
      </c>
      <c r="W627" s="2" t="str">
        <f t="shared" si="55"/>
        <v>进阶+8：增强AI1技能（赤脚大仙爆发自身真元之力，治疗自身，每0.5秒恢复自身生命值上限2%的生命值，持续2秒）</v>
      </c>
      <c r="X627" s="45" t="str">
        <f t="shared" si="53"/>
        <v>[]</v>
      </c>
      <c r="Y627" s="2"/>
      <c r="Z627" s="2"/>
      <c r="AA627" s="2"/>
    </row>
    <row r="628" spans="1:27">
      <c r="A628" s="10">
        <f>E628*100+COUNTIF($E$194:$E628,$E628)</f>
        <v>110709</v>
      </c>
      <c r="B628" s="68" t="s">
        <v>1902</v>
      </c>
      <c r="C628" s="50" t="s">
        <v>357</v>
      </c>
      <c r="D628" s="10" t="str">
        <f t="shared" si="58"/>
        <v>[]</v>
      </c>
      <c r="E628" s="45">
        <f>INDEX($I:$I,MATCH($E627,$I:$I,0)+IF(COUNTIF($E$194:$E627,$E627)&lt;=VLOOKUP($E627,$I$134:$K$193,3,0)-1,0,1),0)</f>
        <v>1107</v>
      </c>
      <c r="F628" s="45" t="str">
        <f t="shared" si="54"/>
        <v>赤脚大仙</v>
      </c>
      <c r="H628" s="45">
        <f>VLOOKUP($E628,[1]Sheet1!$A:$G,7,0)</f>
        <v>4</v>
      </c>
      <c r="I628" s="45" t="str">
        <f>IF($G628="","",IF(COUNTIF(技能描述!$D:$D,$F628)&gt;0,VLOOKUP($F628&amp;$G628,技能描述!$A:$C,3,0),LEFT(VLOOKUP($E628,[1]Sheet1!$A:$J,10,0),FIND("_",VLOOKUP($E628,[1]Sheet1!$A:$J,10,0))-1)&amp;$G628))</f>
        <v/>
      </c>
      <c r="J628" s="45" t="str">
        <f>IF($I628="","",VLOOKUP($I628,技能描述!$A:$C,3,0))</f>
        <v/>
      </c>
      <c r="K628" s="45" t="str">
        <f>IF($I628="","",INDEX([2]Sheet1!$1:$1048576,MATCH($I628,[2]Sheet1!$A:$A,0),MATCH("description_damage",[2]Sheet1!$2:$2,0)))</f>
        <v/>
      </c>
      <c r="L628" s="80" t="str">
        <f>IF($K628="","",IF(LEN($K628)-LEN(SUBSTITUTE($K628,",",""))=0,VLOOKUP(INT($K628),[3]Sheet1!$A:$C,3,0),VLOOKUP(INT(LEFT($K628,FIND(",",$K628)-1)),[3]Sheet1!$A:$C,3,0)))</f>
        <v/>
      </c>
      <c r="M628" s="80" t="str">
        <f t="shared" si="59"/>
        <v/>
      </c>
      <c r="N628" s="45" t="str">
        <f>IF(LEN($K628)-LEN(SUBSTITUTE($K628,",",""))=1,VLOOKUP(INT(RIGHT($K628,LEN($K628)-FIND(",",$K628))),[3]Sheet1!$A:$C,3,0),"")</f>
        <v/>
      </c>
      <c r="O628" s="45" t="str">
        <f t="shared" si="56"/>
        <v/>
      </c>
      <c r="P628" s="45" t="str">
        <f t="shared" si="52"/>
        <v/>
      </c>
      <c r="Q628" s="45" t="str">
        <f t="shared" si="57"/>
        <v/>
      </c>
      <c r="R628" s="45"/>
      <c r="S628" s="45" t="str">
        <f>IF(ISERROR($Q628),"进阶+"&amp;COUNTIF($E$194:$E628,$E628)&amp;"："&amp;"找ZC配技能","进阶+"&amp;COUNTIF($E$194:$E628,$E628)&amp;"："&amp;VLOOKUP(COUNTIF($E$194:$E628,$E628),$L$184:$R$193,IF(H628=1,4,IF(H628=4,3,2))+IF(INDEX([1]Sheet1!$1:$1048576,MATCH($E628,[1]Sheet1!$A:$A,0),MATCH("zizhi",[1]Sheet1!$2:$2,0))&gt;=13,0,3),0)&amp;IF($Q628="","","（"&amp;$Q628&amp;"）"))</f>
        <v>进阶+9：全队生命，防御提高15%</v>
      </c>
      <c r="T628" s="1"/>
      <c r="U628" s="1"/>
      <c r="V628" s="2" t="str">
        <f>VLOOKUP(COUNTIF($E$194:$E628,$E628),$L$184:$X$193,IF(H628=1,4,IF(H628=4,3,2))+IF(INDEX([1]Sheet1!$1:$1048576,MATCH($E628,[1]Sheet1!$A:$A,0),MATCH("zizhi",[1]Sheet1!$2:$2,0))&gt;=13,0,3)+6,0)</f>
        <v>57015,59015,60015</v>
      </c>
      <c r="W628" s="2" t="str">
        <f t="shared" si="55"/>
        <v>进阶+9：全队生命，防御提高15%</v>
      </c>
      <c r="X628" s="45" t="str">
        <f t="shared" si="53"/>
        <v>57015,59015,60015</v>
      </c>
      <c r="Y628" s="2"/>
      <c r="Z628" s="2"/>
      <c r="AA628" s="2"/>
    </row>
    <row r="629" spans="1:27" ht="33">
      <c r="A629" s="10">
        <f>E629*100+COUNTIF($E$194:$E629,$E629)</f>
        <v>110710</v>
      </c>
      <c r="B629" s="68" t="s">
        <v>2084</v>
      </c>
      <c r="C629" s="50" t="s">
        <v>2</v>
      </c>
      <c r="D629" s="10">
        <f t="shared" si="58"/>
        <v>1</v>
      </c>
      <c r="E629" s="45">
        <f>INDEX($I:$I,MATCH($E628,$I:$I,0)+IF(COUNTIF($E$194:$E628,$E628)&lt;=VLOOKUP($E628,$I$134:$K$193,3,0)-1,0,1),0)</f>
        <v>1107</v>
      </c>
      <c r="F629" s="45" t="str">
        <f t="shared" si="54"/>
        <v>赤脚大仙</v>
      </c>
      <c r="G629" s="45" t="s">
        <v>220</v>
      </c>
      <c r="H629" s="45">
        <f>VLOOKUP($E629,[1]Sheet1!$A:$G,7,0)</f>
        <v>4</v>
      </c>
      <c r="I629" s="45" t="str">
        <f>IF($G629="","",IF(COUNTIF(技能描述!$D:$D,$F629)&gt;0,VLOOKUP($F629&amp;$G629,技能描述!$A:$C,3,0),LEFT(VLOOKUP($E629,[1]Sheet1!$A:$J,10,0),FIND("_",VLOOKUP($E629,[1]Sheet1!$A:$J,10,0))-1)&amp;$G629))</f>
        <v>chijiaodaxian_skill041</v>
      </c>
      <c r="J629" s="45" t="str">
        <f>IF($I629="","",VLOOKUP($I629,技能描述!$A:$C,3,0))</f>
        <v>赤脚大仙，跳向目标发动连续攻击，对范围内敌人进行3次攻击,造成自身攻击力@s的法伤</v>
      </c>
      <c r="K629" s="45" t="str">
        <f>IF($I629="","",INDEX([2]Sheet1!$1:$1048576,MATCH($I629,[2]Sheet1!$A:$A,0),MATCH("description_damage",[2]Sheet1!$2:$2,0)))</f>
        <v>110707</v>
      </c>
      <c r="L629" s="80" t="str">
        <f>IF($K629="","",IF(LEN($K629)-LEN(SUBSTITUTE($K629,",",""))=0,VLOOKUP(INT($K629),[3]Sheet1!$A:$C,3,0),VLOOKUP(INT(LEFT($K629,FIND(",",$K629)-1)),[3]Sheet1!$A:$C,3,0)))</f>
        <v>2|2|1.14|0|0|0</v>
      </c>
      <c r="M629" s="80" t="str">
        <f t="shared" si="59"/>
        <v>114%</v>
      </c>
      <c r="N629" s="45" t="str">
        <f>IF(LEN($K629)-LEN(SUBSTITUTE($K629,",",""))=1,VLOOKUP(INT(RIGHT($K629,LEN($K629)-FIND(",",$K629))),[3]Sheet1!$A:$C,3,0),"")</f>
        <v/>
      </c>
      <c r="O629" s="45" t="str">
        <f t="shared" si="56"/>
        <v/>
      </c>
      <c r="P629" s="45" t="str">
        <f t="shared" si="52"/>
        <v>赤脚大仙，跳向目标发动连续攻击，对范围内敌人进行3次攻击,造成自身攻击力114%的法伤</v>
      </c>
      <c r="Q629" s="45" t="str">
        <f t="shared" si="57"/>
        <v>赤脚大仙，跳向目标发动连续攻击，对范围内敌人进行3次攻击,造成自身攻击力114%的法伤</v>
      </c>
      <c r="R629" s="45"/>
      <c r="S629" s="45" t="str">
        <f>IF(ISERROR($Q629),"进阶+"&amp;COUNTIF($E$194:$E629,$E629)&amp;"："&amp;"找ZC配技能","进阶+"&amp;COUNTIF($E$194:$E629,$E629)&amp;"："&amp;VLOOKUP(COUNTIF($E$194:$E629,$E629),$L$184:$R$193,IF(H629=1,4,IF(H629=4,3,2))+IF(INDEX([1]Sheet1!$1:$1048576,MATCH($E629,[1]Sheet1!$A:$A,0),MATCH("zizhi",[1]Sheet1!$2:$2,0))&gt;=13,0,3),0)&amp;IF($Q629="","","（"&amp;$Q629&amp;"）"))</f>
        <v>进阶+10：增强AI2技能（赤脚大仙，跳向目标发动连续攻击，对范围内敌人进行3次攻击,造成自身攻击力114%的法伤）</v>
      </c>
      <c r="T629" s="1"/>
      <c r="U629" s="1"/>
      <c r="V629" s="2" t="str">
        <f>VLOOKUP(COUNTIF($E$194:$E629,$E629),$L$184:$X$193,IF(H629=1,4,IF(H629=4,3,2))+IF(INDEX([1]Sheet1!$1:$1048576,MATCH($E629,[1]Sheet1!$A:$A,0),MATCH("zizhi",[1]Sheet1!$2:$2,0))&gt;=13,0,3)+6,0)</f>
        <v>[]</v>
      </c>
      <c r="W629" s="2" t="str">
        <f t="shared" si="55"/>
        <v>进阶+10：增强AI2技能（赤脚大仙，跳向目标发动连续攻击，对范围内敌人进行3次攻击,造成自身攻击力114%的法伤）</v>
      </c>
      <c r="X629" s="45" t="str">
        <f t="shared" si="53"/>
        <v>[]</v>
      </c>
      <c r="Y629" s="2"/>
      <c r="Z629" s="2"/>
      <c r="AA629" s="2"/>
    </row>
    <row r="630" spans="1:27">
      <c r="A630" s="10">
        <f>E630*100+COUNTIF($E$194:$E630,$E630)</f>
        <v>113401</v>
      </c>
      <c r="B630" s="68" t="s">
        <v>319</v>
      </c>
      <c r="C630" s="50">
        <v>11090</v>
      </c>
      <c r="D630" s="10" t="str">
        <f t="shared" si="58"/>
        <v>[]</v>
      </c>
      <c r="E630" s="45">
        <f>INDEX($I:$I,MATCH($E629,$I:$I,0)+IF(COUNTIF($E$194:$E629,$E629)&lt;=VLOOKUP($E629,$I$134:$K$193,3,0)-1,0,1),0)</f>
        <v>1134</v>
      </c>
      <c r="F630" s="45" t="str">
        <f t="shared" si="54"/>
        <v>泾河龙王</v>
      </c>
      <c r="H630" s="45">
        <f>VLOOKUP($E630,[1]Sheet1!$A:$G,7,0)</f>
        <v>4</v>
      </c>
      <c r="I630" s="45" t="str">
        <f>IF($G630="","",IF(COUNTIF(技能描述!$D:$D,$F630)&gt;0,VLOOKUP($F630&amp;$G630,技能描述!$A:$C,3,0),LEFT(VLOOKUP($E630,[1]Sheet1!$A:$J,10,0),FIND("_",VLOOKUP($E630,[1]Sheet1!$A:$J,10,0))-1)&amp;$G630))</f>
        <v/>
      </c>
      <c r="J630" s="45" t="str">
        <f>IF($I630="","",VLOOKUP($I630,技能描述!$A:$C,3,0))</f>
        <v/>
      </c>
      <c r="K630" s="45" t="str">
        <f>IF($I630="","",INDEX([2]Sheet1!$1:$1048576,MATCH($I630,[2]Sheet1!$A:$A,0),MATCH("description_damage",[2]Sheet1!$2:$2,0)))</f>
        <v/>
      </c>
      <c r="L630" s="80" t="str">
        <f>IF($K630="","",IF(LEN($K630)-LEN(SUBSTITUTE($K630,",",""))=0,VLOOKUP(INT($K630),[3]Sheet1!$A:$C,3,0),VLOOKUP(INT(LEFT($K630,FIND(",",$K630)-1)),[3]Sheet1!$A:$C,3,0)))</f>
        <v/>
      </c>
      <c r="M630" s="80" t="str">
        <f t="shared" si="59"/>
        <v/>
      </c>
      <c r="N630" s="45" t="str">
        <f>IF(LEN($K630)-LEN(SUBSTITUTE($K630,",",""))=1,VLOOKUP(INT(RIGHT($K630,LEN($K630)-FIND(",",$K630))),[3]Sheet1!$A:$C,3,0),"")</f>
        <v/>
      </c>
      <c r="O630" s="45" t="str">
        <f t="shared" si="56"/>
        <v/>
      </c>
      <c r="P630" s="45" t="str">
        <f t="shared" si="52"/>
        <v/>
      </c>
      <c r="Q630" s="45" t="str">
        <f t="shared" si="57"/>
        <v/>
      </c>
      <c r="R630" s="45"/>
      <c r="S630" s="45" t="str">
        <f>IF(ISERROR($Q630),"进阶+"&amp;COUNTIF($E$194:$E630,$E630)&amp;"："&amp;"找ZC配技能","进阶+"&amp;COUNTIF($E$194:$E630,$E630)&amp;"："&amp;VLOOKUP(COUNTIF($E$194:$E630,$E630),$L$184:$R$193,IF(H630=1,4,IF(H630=4,3,2))+IF(INDEX([1]Sheet1!$1:$1048576,MATCH($E630,[1]Sheet1!$A:$A,0),MATCH("zizhi",[1]Sheet1!$2:$2,0))&gt;=13,0,3),0)&amp;IF($Q630="","","（"&amp;$Q630&amp;"）"))</f>
        <v>进阶+1：生命提高10%</v>
      </c>
      <c r="T630" s="1"/>
      <c r="U630" s="1"/>
      <c r="V630" s="2">
        <f>VLOOKUP(COUNTIF($E$194:$E630,$E630),$L$184:$X$193,IF(H630=1,4,IF(H630=4,3,2))+IF(INDEX([1]Sheet1!$1:$1048576,MATCH($E630,[1]Sheet1!$A:$A,0),MATCH("zizhi",[1]Sheet1!$2:$2,0))&gt;=13,0,3)+6,0)</f>
        <v>11090</v>
      </c>
      <c r="W630" s="2" t="str">
        <f t="shared" si="55"/>
        <v>进阶+1：生命提高10%</v>
      </c>
      <c r="X630" s="45">
        <f t="shared" si="53"/>
        <v>11090</v>
      </c>
      <c r="Y630" s="2"/>
      <c r="Z630" s="2"/>
      <c r="AA630" s="2"/>
    </row>
    <row r="631" spans="1:27">
      <c r="A631" s="10">
        <f>E631*100+COUNTIF($E$194:$E631,$E631)</f>
        <v>113402</v>
      </c>
      <c r="B631" s="68" t="s">
        <v>363</v>
      </c>
      <c r="C631" s="50" t="s">
        <v>2</v>
      </c>
      <c r="D631" s="10">
        <f t="shared" si="58"/>
        <v>1</v>
      </c>
      <c r="E631" s="45">
        <f>INDEX($I:$I,MATCH($E630,$I:$I,0)+IF(COUNTIF($E$194:$E630,$E630)&lt;=VLOOKUP($E630,$I$134:$K$193,3,0)-1,0,1),0)</f>
        <v>1134</v>
      </c>
      <c r="F631" s="45" t="str">
        <f t="shared" si="54"/>
        <v>泾河龙王</v>
      </c>
      <c r="G631" s="45" t="s">
        <v>216</v>
      </c>
      <c r="H631" s="45">
        <f>VLOOKUP($E631,[1]Sheet1!$A:$G,7,0)</f>
        <v>4</v>
      </c>
      <c r="I631" s="45" t="str">
        <f>IF($G631="","",IF(COUNTIF(技能描述!$D:$D,$F631)&gt;0,VLOOKUP($F631&amp;$G631,技能描述!$A:$C,3,0),LEFT(VLOOKUP($E631,[1]Sheet1!$A:$J,10,0),FIND("_",VLOOKUP($E631,[1]Sheet1!$A:$J,10,0))-1)&amp;$G631))</f>
        <v>jinghelongwang_skill03</v>
      </c>
      <c r="J631" s="45" t="str">
        <f>IF($I631="","",VLOOKUP($I631,技能描述!$A:$C,3,0))</f>
        <v>进入战斗场景时，增加全体@s生命上限</v>
      </c>
      <c r="K631" s="45" t="str">
        <f>IF($I631="","",INDEX([2]Sheet1!$1:$1048576,MATCH($I631,[2]Sheet1!$A:$A,0),MATCH("description_damage",[2]Sheet1!$2:$2,0)))</f>
        <v>9010</v>
      </c>
      <c r="L631" s="80" t="str">
        <f>IF($K631="","",IF(LEN($K631)-LEN(SUBSTITUTE($K631,",",""))=0,VLOOKUP(INT($K631),[3]Sheet1!$A:$C,3,0),VLOOKUP(INT(LEFT($K631,FIND(",",$K631)-1)),[3]Sheet1!$A:$C,3,0)))</f>
        <v>4|3|0.1|0|1</v>
      </c>
      <c r="M631" s="80" t="str">
        <f t="shared" si="59"/>
        <v>10%</v>
      </c>
      <c r="N631" s="45" t="str">
        <f>IF(LEN($K631)-LEN(SUBSTITUTE($K631,",",""))=1,VLOOKUP(INT(RIGHT($K631,LEN($K631)-FIND(",",$K631))),[3]Sheet1!$A:$C,3,0),"")</f>
        <v/>
      </c>
      <c r="O631" s="45" t="str">
        <f t="shared" si="56"/>
        <v/>
      </c>
      <c r="P631" s="45" t="str">
        <f t="shared" si="52"/>
        <v>进入战斗场景时，增加全体10%生命上限</v>
      </c>
      <c r="Q631" s="45" t="str">
        <f t="shared" si="57"/>
        <v>进入战斗场景时，增加全体10%生命上限</v>
      </c>
      <c r="R631" s="45"/>
      <c r="S631" s="45" t="str">
        <f>IF(ISERROR($Q631),"进阶+"&amp;COUNTIF($E$194:$E631,$E631)&amp;"："&amp;"找ZC配技能","进阶+"&amp;COUNTIF($E$194:$E631,$E631)&amp;"："&amp;VLOOKUP(COUNTIF($E$194:$E631,$E631),$L$184:$R$193,IF(H631=1,4,IF(H631=4,3,2))+IF(INDEX([1]Sheet1!$1:$1048576,MATCH($E631,[1]Sheet1!$A:$A,0),MATCH("zizhi",[1]Sheet1!$2:$2,0))&gt;=13,0,3),0)&amp;IF($Q631="","","（"&amp;$Q631&amp;"）"))</f>
        <v>进阶+2：激活被动技能（进入战斗场景时，增加全体10%生命上限）</v>
      </c>
      <c r="T631" s="1"/>
      <c r="U631" s="1"/>
      <c r="V631" s="2" t="str">
        <f>VLOOKUP(COUNTIF($E$194:$E631,$E631),$L$184:$X$193,IF(H631=1,4,IF(H631=4,3,2))+IF(INDEX([1]Sheet1!$1:$1048576,MATCH($E631,[1]Sheet1!$A:$A,0),MATCH("zizhi",[1]Sheet1!$2:$2,0))&gt;=13,0,3)+6,0)</f>
        <v>[]</v>
      </c>
      <c r="W631" s="2" t="str">
        <f t="shared" si="55"/>
        <v>进阶+2：激活被动技能（进入战斗场景时，增加全体10%生命上限）</v>
      </c>
      <c r="X631" s="45" t="str">
        <f t="shared" si="53"/>
        <v>[]</v>
      </c>
      <c r="Y631" s="2"/>
      <c r="Z631" s="2"/>
      <c r="AA631" s="2"/>
    </row>
    <row r="632" spans="1:27">
      <c r="A632" s="10">
        <f>E632*100+COUNTIF($E$194:$E632,$E632)</f>
        <v>113403</v>
      </c>
      <c r="B632" s="68" t="s">
        <v>324</v>
      </c>
      <c r="C632" s="50" t="s">
        <v>140</v>
      </c>
      <c r="D632" s="10" t="str">
        <f t="shared" si="58"/>
        <v>[]</v>
      </c>
      <c r="E632" s="45">
        <f>INDEX($I:$I,MATCH($E631,$I:$I,0)+IF(COUNTIF($E$194:$E631,$E631)&lt;=VLOOKUP($E631,$I$134:$K$193,3,0)-1,0,1),0)</f>
        <v>1134</v>
      </c>
      <c r="F632" s="45" t="str">
        <f t="shared" si="54"/>
        <v>泾河龙王</v>
      </c>
      <c r="H632" s="45">
        <f>VLOOKUP($E632,[1]Sheet1!$A:$G,7,0)</f>
        <v>4</v>
      </c>
      <c r="I632" s="45" t="str">
        <f>IF($G632="","",IF(COUNTIF(技能描述!$D:$D,$F632)&gt;0,VLOOKUP($F632&amp;$G632,技能描述!$A:$C,3,0),LEFT(VLOOKUP($E632,[1]Sheet1!$A:$J,10,0),FIND("_",VLOOKUP($E632,[1]Sheet1!$A:$J,10,0))-1)&amp;$G632))</f>
        <v/>
      </c>
      <c r="J632" s="45" t="str">
        <f>IF($I632="","",VLOOKUP($I632,技能描述!$A:$C,3,0))</f>
        <v/>
      </c>
      <c r="K632" s="45" t="str">
        <f>IF($I632="","",INDEX([2]Sheet1!$1:$1048576,MATCH($I632,[2]Sheet1!$A:$A,0),MATCH("description_damage",[2]Sheet1!$2:$2,0)))</f>
        <v/>
      </c>
      <c r="L632" s="80" t="str">
        <f>IF($K632="","",IF(LEN($K632)-LEN(SUBSTITUTE($K632,",",""))=0,VLOOKUP(INT($K632),[3]Sheet1!$A:$C,3,0),VLOOKUP(INT(LEFT($K632,FIND(",",$K632)-1)),[3]Sheet1!$A:$C,3,0)))</f>
        <v/>
      </c>
      <c r="M632" s="80" t="str">
        <f t="shared" si="59"/>
        <v/>
      </c>
      <c r="N632" s="45" t="str">
        <f>IF(LEN($K632)-LEN(SUBSTITUTE($K632,",",""))=1,VLOOKUP(INT(RIGHT($K632,LEN($K632)-FIND(",",$K632))),[3]Sheet1!$A:$C,3,0),"")</f>
        <v/>
      </c>
      <c r="O632" s="45" t="str">
        <f t="shared" si="56"/>
        <v/>
      </c>
      <c r="P632" s="45" t="str">
        <f t="shared" si="52"/>
        <v/>
      </c>
      <c r="Q632" s="45" t="str">
        <f t="shared" si="57"/>
        <v/>
      </c>
      <c r="R632" s="45"/>
      <c r="S632" s="45" t="str">
        <f>IF(ISERROR($Q632),"进阶+"&amp;COUNTIF($E$194:$E632,$E632)&amp;"："&amp;"找ZC配技能","进阶+"&amp;COUNTIF($E$194:$E632,$E632)&amp;"："&amp;VLOOKUP(COUNTIF($E$194:$E632,$E632),$L$184:$R$193,IF(H632=1,4,IF(H632=4,3,2))+IF(INDEX([1]Sheet1!$1:$1048576,MATCH($E632,[1]Sheet1!$A:$A,0),MATCH("zizhi",[1]Sheet1!$2:$2,0))&gt;=13,0,3),0)&amp;IF($Q632="","","（"&amp;$Q632&amp;"）"))</f>
        <v>进阶+3：生命，防御提高10%</v>
      </c>
      <c r="T632" s="1"/>
      <c r="U632" s="1"/>
      <c r="V632" s="2" t="str">
        <f>VLOOKUP(COUNTIF($E$194:$E632,$E632),$L$184:$X$193,IF(H632=1,4,IF(H632=4,3,2))+IF(INDEX([1]Sheet1!$1:$1048576,MATCH($E632,[1]Sheet1!$A:$A,0),MATCH("zizhi",[1]Sheet1!$2:$2,0))&gt;=13,0,3)+6,0)</f>
        <v>11090,6502,6512</v>
      </c>
      <c r="W632" s="2" t="str">
        <f t="shared" si="55"/>
        <v>进阶+3：生命，防御提高10%</v>
      </c>
      <c r="X632" s="45" t="str">
        <f t="shared" si="53"/>
        <v>11090,6502,6512</v>
      </c>
      <c r="Y632" s="2"/>
      <c r="Z632" s="2"/>
      <c r="AA632" s="2"/>
    </row>
    <row r="633" spans="1:27" ht="33">
      <c r="A633" s="10">
        <f>E633*100+COUNTIF($E$194:$E633,$E633)</f>
        <v>113404</v>
      </c>
      <c r="B633" s="68" t="s">
        <v>1887</v>
      </c>
      <c r="C633" s="50" t="s">
        <v>2</v>
      </c>
      <c r="D633" s="10">
        <f t="shared" si="58"/>
        <v>1</v>
      </c>
      <c r="E633" s="45">
        <f>INDEX($I:$I,MATCH($E632,$I:$I,0)+IF(COUNTIF($E$194:$E632,$E632)&lt;=VLOOKUP($E632,$I$134:$K$193,3,0)-1,0,1),0)</f>
        <v>1134</v>
      </c>
      <c r="F633" s="45" t="str">
        <f t="shared" si="54"/>
        <v>泾河龙王</v>
      </c>
      <c r="G633" s="45" t="s">
        <v>217</v>
      </c>
      <c r="H633" s="45">
        <f>VLOOKUP($E633,[1]Sheet1!$A:$G,7,0)</f>
        <v>4</v>
      </c>
      <c r="I633" s="45" t="str">
        <f>IF($G633="","",IF(COUNTIF(技能描述!$D:$D,$F633)&gt;0,VLOOKUP($F633&amp;$G633,技能描述!$A:$C,3,0),LEFT(VLOOKUP($E633,[1]Sheet1!$A:$J,10,0),FIND("_",VLOOKUP($E633,[1]Sheet1!$A:$J,10,0))-1)&amp;$G633))</f>
        <v>jinghelongwang_skill04</v>
      </c>
      <c r="J633" s="45" t="str">
        <f>IF($I633="","",VLOOKUP($I633,技能描述!$A:$C,3,0))</f>
        <v>泾河龙王对附近目标造成自身攻击力@s的伤害，并击退目标</v>
      </c>
      <c r="K633" s="45" t="str">
        <f>IF($I633="","",INDEX([2]Sheet1!$1:$1048576,MATCH($I633,[2]Sheet1!$A:$A,0),MATCH("description_damage",[2]Sheet1!$2:$2,0)))</f>
        <v>113404</v>
      </c>
      <c r="L633" s="80" t="str">
        <f>IF($K633="","",IF(LEN($K633)-LEN(SUBSTITUTE($K633,",",""))=0,VLOOKUP(INT($K633),[3]Sheet1!$A:$C,3,0),VLOOKUP(INT(LEFT($K633,FIND(",",$K633)-1)),[3]Sheet1!$A:$C,3,0)))</f>
        <v>2|1|1.35|0|0|0</v>
      </c>
      <c r="M633" s="80" t="str">
        <f t="shared" si="59"/>
        <v>135%</v>
      </c>
      <c r="N633" s="45" t="str">
        <f>IF(LEN($K633)-LEN(SUBSTITUTE($K633,",",""))=1,VLOOKUP(INT(RIGHT($K633,LEN($K633)-FIND(",",$K633))),[3]Sheet1!$A:$C,3,0),"")</f>
        <v/>
      </c>
      <c r="O633" s="45" t="str">
        <f t="shared" si="56"/>
        <v/>
      </c>
      <c r="P633" s="45" t="str">
        <f t="shared" si="52"/>
        <v>泾河龙王对附近目标造成自身攻击力135%的伤害，并击退目标</v>
      </c>
      <c r="Q633" s="45" t="str">
        <f t="shared" si="57"/>
        <v>泾河龙王对附近目标造成自身攻击力135%的伤害，并击退目标</v>
      </c>
      <c r="R633" s="45"/>
      <c r="S633" s="45" t="str">
        <f>IF(ISERROR($Q633),"进阶+"&amp;COUNTIF($E$194:$E633,$E633)&amp;"："&amp;"找ZC配技能","进阶+"&amp;COUNTIF($E$194:$E633,$E633)&amp;"："&amp;VLOOKUP(COUNTIF($E$194:$E633,$E633),$L$184:$R$193,IF(H633=1,4,IF(H633=4,3,2))+IF(INDEX([1]Sheet1!$1:$1048576,MATCH($E633,[1]Sheet1!$A:$A,0),MATCH("zizhi",[1]Sheet1!$2:$2,0))&gt;=13,0,3),0)&amp;IF($Q633="","","（"&amp;$Q633&amp;"）"))</f>
        <v>进阶+4：激活AI2技能（泾河龙王对附近目标造成自身攻击力135%的伤害，并击退目标）</v>
      </c>
      <c r="T633" s="1"/>
      <c r="U633" s="1"/>
      <c r="V633" s="2" t="str">
        <f>VLOOKUP(COUNTIF($E$194:$E633,$E633),$L$184:$X$193,IF(H633=1,4,IF(H633=4,3,2))+IF(INDEX([1]Sheet1!$1:$1048576,MATCH($E633,[1]Sheet1!$A:$A,0),MATCH("zizhi",[1]Sheet1!$2:$2,0))&gt;=13,0,3)+6,0)</f>
        <v>[]</v>
      </c>
      <c r="W633" s="2" t="str">
        <f t="shared" si="55"/>
        <v>进阶+4：激活AI2技能（泾河龙王对附近目标造成自身攻击力135%的伤害，并击退目标）</v>
      </c>
      <c r="X633" s="45" t="str">
        <f t="shared" si="53"/>
        <v>[]</v>
      </c>
      <c r="Y633" s="2"/>
      <c r="Z633" s="2"/>
      <c r="AA633" s="2"/>
    </row>
    <row r="634" spans="1:27">
      <c r="A634" s="10">
        <f>E634*100+COUNTIF($E$194:$E634,$E634)</f>
        <v>113405</v>
      </c>
      <c r="B634" s="68" t="s">
        <v>320</v>
      </c>
      <c r="C634" s="50" t="s">
        <v>239</v>
      </c>
      <c r="D634" s="10" t="str">
        <f t="shared" si="58"/>
        <v>[]</v>
      </c>
      <c r="E634" s="45">
        <f>INDEX($I:$I,MATCH($E633,$I:$I,0)+IF(COUNTIF($E$194:$E633,$E633)&lt;=VLOOKUP($E633,$I$134:$K$193,3,0)-1,0,1),0)</f>
        <v>1134</v>
      </c>
      <c r="F634" s="45" t="str">
        <f t="shared" si="54"/>
        <v>泾河龙王</v>
      </c>
      <c r="H634" s="45">
        <f>VLOOKUP($E634,[1]Sheet1!$A:$G,7,0)</f>
        <v>4</v>
      </c>
      <c r="I634" s="45" t="str">
        <f>IF($G634="","",IF(COUNTIF(技能描述!$D:$D,$F634)&gt;0,VLOOKUP($F634&amp;$G634,技能描述!$A:$C,3,0),LEFT(VLOOKUP($E634,[1]Sheet1!$A:$J,10,0),FIND("_",VLOOKUP($E634,[1]Sheet1!$A:$J,10,0))-1)&amp;$G634))</f>
        <v/>
      </c>
      <c r="J634" s="45" t="str">
        <f>IF($I634="","",VLOOKUP($I634,技能描述!$A:$C,3,0))</f>
        <v/>
      </c>
      <c r="K634" s="45" t="str">
        <f>IF($I634="","",INDEX([2]Sheet1!$1:$1048576,MATCH($I634,[2]Sheet1!$A:$A,0),MATCH("description_damage",[2]Sheet1!$2:$2,0)))</f>
        <v/>
      </c>
      <c r="L634" s="80" t="str">
        <f>IF($K634="","",IF(LEN($K634)-LEN(SUBSTITUTE($K634,",",""))=0,VLOOKUP(INT($K634),[3]Sheet1!$A:$C,3,0),VLOOKUP(INT(LEFT($K634,FIND(",",$K634)-1)),[3]Sheet1!$A:$C,3,0)))</f>
        <v/>
      </c>
      <c r="M634" s="80" t="str">
        <f t="shared" si="59"/>
        <v/>
      </c>
      <c r="N634" s="45" t="str">
        <f>IF(LEN($K634)-LEN(SUBSTITUTE($K634,",",""))=1,VLOOKUP(INT(RIGHT($K634,LEN($K634)-FIND(",",$K634))),[3]Sheet1!$A:$C,3,0),"")</f>
        <v/>
      </c>
      <c r="O634" s="45" t="str">
        <f t="shared" si="56"/>
        <v/>
      </c>
      <c r="P634" s="45" t="str">
        <f t="shared" si="52"/>
        <v/>
      </c>
      <c r="Q634" s="45" t="str">
        <f t="shared" si="57"/>
        <v/>
      </c>
      <c r="R634" s="45"/>
      <c r="S634" s="45" t="str">
        <f>IF(ISERROR($Q634),"进阶+"&amp;COUNTIF($E$194:$E634,$E634)&amp;"："&amp;"找ZC配技能","进阶+"&amp;COUNTIF($E$194:$E634,$E634)&amp;"："&amp;VLOOKUP(COUNTIF($E$194:$E634,$E634),$L$184:$R$193,IF(H634=1,4,IF(H634=4,3,2))+IF(INDEX([1]Sheet1!$1:$1048576,MATCH($E634,[1]Sheet1!$A:$A,0),MATCH("zizhi",[1]Sheet1!$2:$2,0))&gt;=13,0,3),0)&amp;IF($Q634="","","（"&amp;$Q634&amp;"）"))</f>
        <v>进阶+5：攻击提高15%</v>
      </c>
      <c r="T634" s="1"/>
      <c r="U634" s="1"/>
      <c r="V634" s="2" t="str">
        <f>VLOOKUP(COUNTIF($E$194:$E634,$E634),$L$184:$X$193,IF(H634=1,4,IF(H634=4,3,2))+IF(INDEX([1]Sheet1!$1:$1048576,MATCH($E634,[1]Sheet1!$A:$A,0),MATCH("zizhi",[1]Sheet1!$2:$2,0))&gt;=13,0,3)+6,0)</f>
        <v>11055</v>
      </c>
      <c r="W634" s="2" t="str">
        <f t="shared" si="55"/>
        <v>进阶+5：攻击提高15%</v>
      </c>
      <c r="X634" s="45" t="str">
        <f t="shared" si="53"/>
        <v>11055</v>
      </c>
      <c r="Y634" s="2"/>
      <c r="Z634" s="2"/>
      <c r="AA634" s="2"/>
    </row>
    <row r="635" spans="1:27">
      <c r="A635" s="10">
        <f>E635*100+COUNTIF($E$194:$E635,$E635)</f>
        <v>113406</v>
      </c>
      <c r="B635" s="68" t="s">
        <v>321</v>
      </c>
      <c r="C635" s="50" t="s">
        <v>255</v>
      </c>
      <c r="D635" s="10" t="str">
        <f t="shared" si="58"/>
        <v>[]</v>
      </c>
      <c r="E635" s="45">
        <f>INDEX($I:$I,MATCH($E634,$I:$I,0)+IF(COUNTIF($E$194:$E634,$E634)&lt;=VLOOKUP($E634,$I$134:$K$193,3,0)-1,0,1),0)</f>
        <v>1134</v>
      </c>
      <c r="F635" s="45" t="str">
        <f t="shared" si="54"/>
        <v>泾河龙王</v>
      </c>
      <c r="H635" s="45">
        <f>VLOOKUP($E635,[1]Sheet1!$A:$G,7,0)</f>
        <v>4</v>
      </c>
      <c r="I635" s="45" t="str">
        <f>IF($G635="","",IF(COUNTIF(技能描述!$D:$D,$F635)&gt;0,VLOOKUP($F635&amp;$G635,技能描述!$A:$C,3,0),LEFT(VLOOKUP($E635,[1]Sheet1!$A:$J,10,0),FIND("_",VLOOKUP($E635,[1]Sheet1!$A:$J,10,0))-1)&amp;$G635))</f>
        <v/>
      </c>
      <c r="J635" s="45" t="str">
        <f>IF($I635="","",VLOOKUP($I635,技能描述!$A:$C,3,0))</f>
        <v/>
      </c>
      <c r="K635" s="45" t="str">
        <f>IF($I635="","",INDEX([2]Sheet1!$1:$1048576,MATCH($I635,[2]Sheet1!$A:$A,0),MATCH("description_damage",[2]Sheet1!$2:$2,0)))</f>
        <v/>
      </c>
      <c r="L635" s="80" t="str">
        <f>IF($K635="","",IF(LEN($K635)-LEN(SUBSTITUTE($K635,",",""))=0,VLOOKUP(INT($K635),[3]Sheet1!$A:$C,3,0),VLOOKUP(INT(LEFT($K635,FIND(",",$K635)-1)),[3]Sheet1!$A:$C,3,0)))</f>
        <v/>
      </c>
      <c r="M635" s="80" t="str">
        <f t="shared" si="59"/>
        <v/>
      </c>
      <c r="N635" s="45" t="str">
        <f>IF(LEN($K635)-LEN(SUBSTITUTE($K635,",",""))=1,VLOOKUP(INT(RIGHT($K635,LEN($K635)-FIND(",",$K635))),[3]Sheet1!$A:$C,3,0),"")</f>
        <v/>
      </c>
      <c r="O635" s="45" t="str">
        <f t="shared" si="56"/>
        <v/>
      </c>
      <c r="P635" s="45" t="str">
        <f t="shared" si="52"/>
        <v/>
      </c>
      <c r="Q635" s="45" t="str">
        <f t="shared" si="57"/>
        <v/>
      </c>
      <c r="R635" s="45"/>
      <c r="S635" s="45" t="str">
        <f>IF(ISERROR($Q635),"进阶+"&amp;COUNTIF($E$194:$E635,$E635)&amp;"："&amp;"找ZC配技能","进阶+"&amp;COUNTIF($E$194:$E635,$E635)&amp;"："&amp;VLOOKUP(COUNTIF($E$194:$E635,$E635),$L$184:$R$193,IF(H635=1,4,IF(H635=4,3,2))+IF(INDEX([1]Sheet1!$1:$1048576,MATCH($E635,[1]Sheet1!$A:$A,0),MATCH("zizhi",[1]Sheet1!$2:$2,0))&gt;=13,0,3),0)&amp;IF($Q635="","","（"&amp;$Q635&amp;"）"))</f>
        <v>进阶+6：抗暴提高20%</v>
      </c>
      <c r="T635" s="1"/>
      <c r="U635" s="1"/>
      <c r="V635" s="2" t="str">
        <f>VLOOKUP(COUNTIF($E$194:$E635,$E635),$L$184:$X$193,IF(H635=1,4,IF(H635=4,3,2))+IF(INDEX([1]Sheet1!$1:$1048576,MATCH($E635,[1]Sheet1!$A:$A,0),MATCH("zizhi",[1]Sheet1!$2:$2,0))&gt;=13,0,3)+6,0)</f>
        <v>11160</v>
      </c>
      <c r="W635" s="2" t="str">
        <f t="shared" si="55"/>
        <v>进阶+6：抗暴提高20%</v>
      </c>
      <c r="X635" s="45" t="str">
        <f t="shared" si="53"/>
        <v>11160</v>
      </c>
      <c r="Y635" s="2"/>
      <c r="Z635" s="2"/>
      <c r="AA635" s="2"/>
    </row>
    <row r="636" spans="1:27">
      <c r="A636" s="10">
        <f>E636*100+COUNTIF($E$194:$E636,$E636)</f>
        <v>113407</v>
      </c>
      <c r="B636" s="68" t="s">
        <v>360</v>
      </c>
      <c r="C636" s="50" t="s">
        <v>354</v>
      </c>
      <c r="D636" s="10" t="str">
        <f t="shared" si="58"/>
        <v>[]</v>
      </c>
      <c r="E636" s="45">
        <f>INDEX($I:$I,MATCH($E635,$I:$I,0)+IF(COUNTIF($E$194:$E635,$E635)&lt;=VLOOKUP($E635,$I$134:$K$193,3,0)-1,0,1),0)</f>
        <v>1134</v>
      </c>
      <c r="F636" s="45" t="str">
        <f t="shared" si="54"/>
        <v>泾河龙王</v>
      </c>
      <c r="H636" s="45">
        <f>VLOOKUP($E636,[1]Sheet1!$A:$G,7,0)</f>
        <v>4</v>
      </c>
      <c r="I636" s="45" t="str">
        <f>IF($G636="","",IF(COUNTIF(技能描述!$D:$D,$F636)&gt;0,VLOOKUP($F636&amp;$G636,技能描述!$A:$C,3,0),LEFT(VLOOKUP($E636,[1]Sheet1!$A:$J,10,0),FIND("_",VLOOKUP($E636,[1]Sheet1!$A:$J,10,0))-1)&amp;$G636))</f>
        <v/>
      </c>
      <c r="J636" s="45" t="str">
        <f>IF($I636="","",VLOOKUP($I636,技能描述!$A:$C,3,0))</f>
        <v/>
      </c>
      <c r="K636" s="45" t="str">
        <f>IF($I636="","",INDEX([2]Sheet1!$1:$1048576,MATCH($I636,[2]Sheet1!$A:$A,0),MATCH("description_damage",[2]Sheet1!$2:$2,0)))</f>
        <v/>
      </c>
      <c r="L636" s="80" t="str">
        <f>IF($K636="","",IF(LEN($K636)-LEN(SUBSTITUTE($K636,",",""))=0,VLOOKUP(INT($K636),[3]Sheet1!$A:$C,3,0),VLOOKUP(INT(LEFT($K636,FIND(",",$K636)-1)),[3]Sheet1!$A:$C,3,0)))</f>
        <v/>
      </c>
      <c r="M636" s="80" t="str">
        <f t="shared" si="59"/>
        <v/>
      </c>
      <c r="N636" s="45" t="str">
        <f>IF(LEN($K636)-LEN(SUBSTITUTE($K636,",",""))=1,VLOOKUP(INT(RIGHT($K636,LEN($K636)-FIND(",",$K636))),[3]Sheet1!$A:$C,3,0),"")</f>
        <v/>
      </c>
      <c r="O636" s="45" t="str">
        <f t="shared" si="56"/>
        <v/>
      </c>
      <c r="P636" s="45" t="str">
        <f t="shared" si="52"/>
        <v/>
      </c>
      <c r="Q636" s="45" t="str">
        <f t="shared" si="57"/>
        <v/>
      </c>
      <c r="R636" s="45"/>
      <c r="S636" s="45" t="str">
        <f>IF(ISERROR($Q636),"进阶+"&amp;COUNTIF($E$194:$E636,$E636)&amp;"："&amp;"找ZC配技能","进阶+"&amp;COUNTIF($E$194:$E636,$E636)&amp;"："&amp;VLOOKUP(COUNTIF($E$194:$E636,$E636),$L$184:$R$193,IF(H636=1,4,IF(H636=4,3,2))+IF(INDEX([1]Sheet1!$1:$1048576,MATCH($E636,[1]Sheet1!$A:$A,0),MATCH("zizhi",[1]Sheet1!$2:$2,0))&gt;=13,0,3),0)&amp;IF($Q636="","","（"&amp;$Q636&amp;"）"))</f>
        <v>进阶+7：全队生命，防御提高10%</v>
      </c>
      <c r="T636" s="1"/>
      <c r="U636" s="1"/>
      <c r="V636" s="2" t="str">
        <f>VLOOKUP(COUNTIF($E$194:$E636,$E636),$L$184:$X$193,IF(H636=1,4,IF(H636=4,3,2))+IF(INDEX([1]Sheet1!$1:$1048576,MATCH($E636,[1]Sheet1!$A:$A,0),MATCH("zizhi",[1]Sheet1!$2:$2,0))&gt;=13,0,3)+6,0)</f>
        <v>57010,59010,60010</v>
      </c>
      <c r="W636" s="2" t="str">
        <f t="shared" si="55"/>
        <v>进阶+7：全队生命，防御提高10%</v>
      </c>
      <c r="X636" s="45" t="str">
        <f t="shared" si="53"/>
        <v>57010,59010,60010</v>
      </c>
      <c r="Y636" s="2"/>
      <c r="Z636" s="2"/>
      <c r="AA636" s="2"/>
    </row>
    <row r="637" spans="1:27">
      <c r="A637" s="10">
        <f>E637*100+COUNTIF($E$194:$E637,$E637)</f>
        <v>113408</v>
      </c>
      <c r="B637" s="68" t="s">
        <v>322</v>
      </c>
      <c r="C637" s="50" t="s">
        <v>254</v>
      </c>
      <c r="D637" s="10" t="str">
        <f t="shared" si="58"/>
        <v>[]</v>
      </c>
      <c r="E637" s="45">
        <f>INDEX($I:$I,MATCH($E636,$I:$I,0)+IF(COUNTIF($E$194:$E636,$E636)&lt;=VLOOKUP($E636,$I$134:$K$193,3,0)-1,0,1),0)</f>
        <v>1134</v>
      </c>
      <c r="F637" s="45" t="str">
        <f t="shared" si="54"/>
        <v>泾河龙王</v>
      </c>
      <c r="H637" s="45">
        <f>VLOOKUP($E637,[1]Sheet1!$A:$G,7,0)</f>
        <v>4</v>
      </c>
      <c r="I637" s="45" t="str">
        <f>IF($G637="","",IF(COUNTIF(技能描述!$D:$D,$F637)&gt;0,VLOOKUP($F637&amp;$G637,技能描述!$A:$C,3,0),LEFT(VLOOKUP($E637,[1]Sheet1!$A:$J,10,0),FIND("_",VLOOKUP($E637,[1]Sheet1!$A:$J,10,0))-1)&amp;$G637))</f>
        <v/>
      </c>
      <c r="J637" s="45" t="str">
        <f>IF($I637="","",VLOOKUP($I637,技能描述!$A:$C,3,0))</f>
        <v/>
      </c>
      <c r="K637" s="45" t="str">
        <f>IF($I637="","",INDEX([2]Sheet1!$1:$1048576,MATCH($I637,[2]Sheet1!$A:$A,0),MATCH("description_damage",[2]Sheet1!$2:$2,0)))</f>
        <v/>
      </c>
      <c r="L637" s="80" t="str">
        <f>IF($K637="","",IF(LEN($K637)-LEN(SUBSTITUTE($K637,",",""))=0,VLOOKUP(INT($K637),[3]Sheet1!$A:$C,3,0),VLOOKUP(INT(LEFT($K637,FIND(",",$K637)-1)),[3]Sheet1!$A:$C,3,0)))</f>
        <v/>
      </c>
      <c r="M637" s="80" t="str">
        <f t="shared" si="59"/>
        <v/>
      </c>
      <c r="N637" s="45" t="str">
        <f>IF(LEN($K637)-LEN(SUBSTITUTE($K637,",",""))=1,VLOOKUP(INT(RIGHT($K637,LEN($K637)-FIND(",",$K637))),[3]Sheet1!$A:$C,3,0),"")</f>
        <v/>
      </c>
      <c r="O637" s="45" t="str">
        <f t="shared" si="56"/>
        <v/>
      </c>
      <c r="P637" s="45" t="str">
        <f t="shared" si="52"/>
        <v/>
      </c>
      <c r="Q637" s="45" t="str">
        <f t="shared" si="57"/>
        <v/>
      </c>
      <c r="R637" s="45"/>
      <c r="S637" s="45" t="str">
        <f>IF(ISERROR($Q637),"进阶+"&amp;COUNTIF($E$194:$E637,$E637)&amp;"："&amp;"找ZC配技能","进阶+"&amp;COUNTIF($E$194:$E637,$E637)&amp;"："&amp;VLOOKUP(COUNTIF($E$194:$E637,$E637),$L$184:$R$193,IF(H637=1,4,IF(H637=4,3,2))+IF(INDEX([1]Sheet1!$1:$1048576,MATCH($E637,[1]Sheet1!$A:$A,0),MATCH("zizhi",[1]Sheet1!$2:$2,0))&gt;=13,0,3),0)&amp;IF($Q637="","","（"&amp;$Q637&amp;"）"))</f>
        <v>进阶+8：闪避提高15%</v>
      </c>
      <c r="T637" s="1"/>
      <c r="U637" s="1"/>
      <c r="V637" s="2" t="str">
        <f>VLOOKUP(COUNTIF($E$194:$E637,$E637),$L$184:$X$193,IF(H637=1,4,IF(H637=4,3,2))+IF(INDEX([1]Sheet1!$1:$1048576,MATCH($E637,[1]Sheet1!$A:$A,0),MATCH("zizhi",[1]Sheet1!$2:$2,0))&gt;=13,0,3)+6,0)</f>
        <v>11115</v>
      </c>
      <c r="W637" s="2" t="str">
        <f t="shared" si="55"/>
        <v>进阶+8：闪避提高15%</v>
      </c>
      <c r="X637" s="45" t="str">
        <f t="shared" si="53"/>
        <v>11115</v>
      </c>
      <c r="Y637" s="2"/>
      <c r="Z637" s="2"/>
      <c r="AA637" s="2"/>
    </row>
    <row r="638" spans="1:27">
      <c r="A638" s="10">
        <f>E638*100+COUNTIF($E$194:$E638,$E638)</f>
        <v>120601</v>
      </c>
      <c r="B638" s="68" t="s">
        <v>310</v>
      </c>
      <c r="C638" s="50">
        <v>11050</v>
      </c>
      <c r="D638" s="10" t="str">
        <f t="shared" si="58"/>
        <v>[]</v>
      </c>
      <c r="E638" s="45">
        <f>INDEX($I:$I,MATCH($E637,$I:$I,0)+IF(COUNTIF($E$194:$E637,$E637)&lt;=VLOOKUP($E637,$I$134:$K$193,3,0)-1,0,1),0)</f>
        <v>1206</v>
      </c>
      <c r="F638" s="45" t="str">
        <f t="shared" si="54"/>
        <v>牛头</v>
      </c>
      <c r="H638" s="45">
        <f>VLOOKUP($E638,[1]Sheet1!$A:$G,7,0)</f>
        <v>3</v>
      </c>
      <c r="I638" s="45" t="str">
        <f>IF($G638="","",IF(COUNTIF(技能描述!$D:$D,$F638)&gt;0,VLOOKUP($F638&amp;$G638,技能描述!$A:$C,3,0),LEFT(VLOOKUP($E638,[1]Sheet1!$A:$J,10,0),FIND("_",VLOOKUP($E638,[1]Sheet1!$A:$J,10,0))-1)&amp;$G638))</f>
        <v/>
      </c>
      <c r="J638" s="45" t="str">
        <f>IF($I638="","",VLOOKUP($I638,技能描述!$A:$C,3,0))</f>
        <v/>
      </c>
      <c r="K638" s="45" t="str">
        <f>IF($I638="","",INDEX([2]Sheet1!$1:$1048576,MATCH($I638,[2]Sheet1!$A:$A,0),MATCH("description_damage",[2]Sheet1!$2:$2,0)))</f>
        <v/>
      </c>
      <c r="L638" s="80" t="str">
        <f>IF($K638="","",IF(LEN($K638)-LEN(SUBSTITUTE($K638,",",""))=0,VLOOKUP(INT($K638),[3]Sheet1!$A:$C,3,0),VLOOKUP(INT(LEFT($K638,FIND(",",$K638)-1)),[3]Sheet1!$A:$C,3,0)))</f>
        <v/>
      </c>
      <c r="M638" s="80" t="str">
        <f t="shared" si="59"/>
        <v/>
      </c>
      <c r="N638" s="45" t="str">
        <f>IF(LEN($K638)-LEN(SUBSTITUTE($K638,",",""))=1,VLOOKUP(INT(RIGHT($K638,LEN($K638)-FIND(",",$K638))),[3]Sheet1!$A:$C,3,0),"")</f>
        <v/>
      </c>
      <c r="O638" s="45" t="str">
        <f t="shared" si="56"/>
        <v/>
      </c>
      <c r="P638" s="45" t="str">
        <f t="shared" si="52"/>
        <v/>
      </c>
      <c r="Q638" s="45" t="str">
        <f t="shared" si="57"/>
        <v/>
      </c>
      <c r="R638" s="45"/>
      <c r="S638" s="45" t="str">
        <f>IF(ISERROR($Q638),"进阶+"&amp;COUNTIF($E$194:$E638,$E638)&amp;"："&amp;"找ZC配技能","进阶+"&amp;COUNTIF($E$194:$E638,$E638)&amp;"："&amp;VLOOKUP(COUNTIF($E$194:$E638,$E638),$L$184:$R$193,IF(H638=1,4,IF(H638=4,3,2))+IF(INDEX([1]Sheet1!$1:$1048576,MATCH($E638,[1]Sheet1!$A:$A,0),MATCH("zizhi",[1]Sheet1!$2:$2,0))&gt;=13,0,3),0)&amp;IF($Q638="","","（"&amp;$Q638&amp;"）"))</f>
        <v>进阶+1：攻击提高10%</v>
      </c>
      <c r="T638" s="1"/>
      <c r="U638" s="1"/>
      <c r="V638" s="2">
        <f>VLOOKUP(COUNTIF($E$194:$E638,$E638),$L$184:$X$193,IF(H638=1,4,IF(H638=4,3,2))+IF(INDEX([1]Sheet1!$1:$1048576,MATCH($E638,[1]Sheet1!$A:$A,0),MATCH("zizhi",[1]Sheet1!$2:$2,0))&gt;=13,0,3)+6,0)</f>
        <v>11050</v>
      </c>
      <c r="W638" s="2" t="str">
        <f t="shared" si="55"/>
        <v>进阶+1：攻击提高10%</v>
      </c>
      <c r="X638" s="45">
        <f t="shared" si="53"/>
        <v>11050</v>
      </c>
      <c r="Y638" s="2"/>
      <c r="Z638" s="2"/>
      <c r="AA638" s="2"/>
    </row>
    <row r="639" spans="1:27">
      <c r="A639" s="10">
        <f>E639*100+COUNTIF($E$194:$E639,$E639)</f>
        <v>120602</v>
      </c>
      <c r="B639" s="68" t="s">
        <v>364</v>
      </c>
      <c r="C639" s="50" t="s">
        <v>2</v>
      </c>
      <c r="D639" s="10">
        <f t="shared" si="58"/>
        <v>1</v>
      </c>
      <c r="E639" s="45">
        <f>INDEX($I:$I,MATCH($E638,$I:$I,0)+IF(COUNTIF($E$194:$E638,$E638)&lt;=VLOOKUP($E638,$I$134:$K$193,3,0)-1,0,1),0)</f>
        <v>1206</v>
      </c>
      <c r="F639" s="45" t="str">
        <f t="shared" si="54"/>
        <v>牛头</v>
      </c>
      <c r="G639" s="45" t="s">
        <v>216</v>
      </c>
      <c r="H639" s="45">
        <f>VLOOKUP($E639,[1]Sheet1!$A:$G,7,0)</f>
        <v>3</v>
      </c>
      <c r="I639" s="45" t="str">
        <f>IF($G639="","",IF(COUNTIF(技能描述!$D:$D,$F639)&gt;0,VLOOKUP($F639&amp;$G639,技能描述!$A:$C,3,0),LEFT(VLOOKUP($E639,[1]Sheet1!$A:$J,10,0),FIND("_",VLOOKUP($E639,[1]Sheet1!$A:$J,10,0))-1)&amp;$G639))</f>
        <v>niutou_skill03</v>
      </c>
      <c r="J639" s="45" t="str">
        <f>IF($I639="","",VLOOKUP($I639,技能描述!$A:$C,3,0))</f>
        <v>进入战斗场景时，增加自身@s的闪避率</v>
      </c>
      <c r="K639" s="45" t="str">
        <f>IF($I639="","",INDEX([2]Sheet1!$1:$1048576,MATCH($I639,[2]Sheet1!$A:$A,0),MATCH("description_damage",[2]Sheet1!$2:$2,0)))</f>
        <v>9020</v>
      </c>
      <c r="L639" s="80" t="str">
        <f>IF($K639="","",IF(LEN($K639)-LEN(SUBSTITUTE($K639,",",""))=0,VLOOKUP(INT($K639),[3]Sheet1!$A:$C,3,0),VLOOKUP(INT(LEFT($K639,FIND(",",$K639)-1)),[3]Sheet1!$A:$C,3,0)))</f>
        <v>4|3|0.2|0|1</v>
      </c>
      <c r="M639" s="80" t="str">
        <f t="shared" si="59"/>
        <v>20%</v>
      </c>
      <c r="N639" s="45" t="str">
        <f>IF(LEN($K639)-LEN(SUBSTITUTE($K639,",",""))=1,VLOOKUP(INT(RIGHT($K639,LEN($K639)-FIND(",",$K639))),[3]Sheet1!$A:$C,3,0),"")</f>
        <v/>
      </c>
      <c r="O639" s="45" t="str">
        <f t="shared" si="56"/>
        <v/>
      </c>
      <c r="P639" s="45" t="str">
        <f t="shared" si="52"/>
        <v>进入战斗场景时，增加自身20%的闪避率</v>
      </c>
      <c r="Q639" s="45" t="str">
        <f t="shared" si="57"/>
        <v>进入战斗场景时，增加自身20%的闪避率</v>
      </c>
      <c r="R639" s="45"/>
      <c r="S639" s="45" t="str">
        <f>IF(ISERROR($Q639),"进阶+"&amp;COUNTIF($E$194:$E639,$E639)&amp;"："&amp;"找ZC配技能","进阶+"&amp;COUNTIF($E$194:$E639,$E639)&amp;"："&amp;VLOOKUP(COUNTIF($E$194:$E639,$E639),$L$184:$R$193,IF(H639=1,4,IF(H639=4,3,2))+IF(INDEX([1]Sheet1!$1:$1048576,MATCH($E639,[1]Sheet1!$A:$A,0),MATCH("zizhi",[1]Sheet1!$2:$2,0))&gt;=13,0,3),0)&amp;IF($Q639="","","（"&amp;$Q639&amp;"）"))</f>
        <v>进阶+2：激活被动技能（进入战斗场景时，增加自身20%的闪避率）</v>
      </c>
      <c r="T639" s="1"/>
      <c r="U639" s="1"/>
      <c r="V639" s="2" t="str">
        <f>VLOOKUP(COUNTIF($E$194:$E639,$E639),$L$184:$X$193,IF(H639=1,4,IF(H639=4,3,2))+IF(INDEX([1]Sheet1!$1:$1048576,MATCH($E639,[1]Sheet1!$A:$A,0),MATCH("zizhi",[1]Sheet1!$2:$2,0))&gt;=13,0,3)+6,0)</f>
        <v>[]</v>
      </c>
      <c r="W639" s="2" t="str">
        <f t="shared" si="55"/>
        <v>进阶+2：激活被动技能（进入战斗场景时，增加自身20%的闪避率）</v>
      </c>
      <c r="X639" s="45" t="str">
        <f t="shared" si="53"/>
        <v>[]</v>
      </c>
      <c r="Y639" s="2"/>
      <c r="Z639" s="2"/>
      <c r="AA639" s="2"/>
    </row>
    <row r="640" spans="1:27">
      <c r="A640" s="10">
        <f>E640*100+COUNTIF($E$194:$E640,$E640)</f>
        <v>120603</v>
      </c>
      <c r="B640" s="68" t="s">
        <v>312</v>
      </c>
      <c r="C640" s="50" t="s">
        <v>127</v>
      </c>
      <c r="D640" s="10" t="str">
        <f t="shared" si="58"/>
        <v>[]</v>
      </c>
      <c r="E640" s="45">
        <f>INDEX($I:$I,MATCH($E639,$I:$I,0)+IF(COUNTIF($E$194:$E639,$E639)&lt;=VLOOKUP($E639,$I$134:$K$193,3,0)-1,0,1),0)</f>
        <v>1206</v>
      </c>
      <c r="F640" s="45" t="str">
        <f t="shared" si="54"/>
        <v>牛头</v>
      </c>
      <c r="H640" s="45">
        <f>VLOOKUP($E640,[1]Sheet1!$A:$G,7,0)</f>
        <v>3</v>
      </c>
      <c r="I640" s="45" t="str">
        <f>IF($G640="","",IF(COUNTIF(技能描述!$D:$D,$F640)&gt;0,VLOOKUP($F640&amp;$G640,技能描述!$A:$C,3,0),LEFT(VLOOKUP($E640,[1]Sheet1!$A:$J,10,0),FIND("_",VLOOKUP($E640,[1]Sheet1!$A:$J,10,0))-1)&amp;$G640))</f>
        <v/>
      </c>
      <c r="J640" s="45" t="str">
        <f>IF($I640="","",VLOOKUP($I640,技能描述!$A:$C,3,0))</f>
        <v/>
      </c>
      <c r="K640" s="45" t="str">
        <f>IF($I640="","",INDEX([2]Sheet1!$1:$1048576,MATCH($I640,[2]Sheet1!$A:$A,0),MATCH("description_damage",[2]Sheet1!$2:$2,0)))</f>
        <v/>
      </c>
      <c r="L640" s="80" t="str">
        <f>IF($K640="","",IF(LEN($K640)-LEN(SUBSTITUTE($K640,",",""))=0,VLOOKUP(INT($K640),[3]Sheet1!$A:$C,3,0),VLOOKUP(INT(LEFT($K640,FIND(",",$K640)-1)),[3]Sheet1!$A:$C,3,0)))</f>
        <v/>
      </c>
      <c r="M640" s="80" t="str">
        <f t="shared" si="59"/>
        <v/>
      </c>
      <c r="N640" s="45" t="str">
        <f>IF(LEN($K640)-LEN(SUBSTITUTE($K640,",",""))=1,VLOOKUP(INT(RIGHT($K640,LEN($K640)-FIND(",",$K640))),[3]Sheet1!$A:$C,3,0),"")</f>
        <v/>
      </c>
      <c r="O640" s="45" t="str">
        <f t="shared" si="56"/>
        <v/>
      </c>
      <c r="P640" s="45" t="str">
        <f t="shared" si="52"/>
        <v/>
      </c>
      <c r="Q640" s="45" t="str">
        <f t="shared" si="57"/>
        <v/>
      </c>
      <c r="R640" s="45"/>
      <c r="S640" s="45" t="str">
        <f>IF(ISERROR($Q640),"进阶+"&amp;COUNTIF($E$194:$E640,$E640)&amp;"："&amp;"找ZC配技能","进阶+"&amp;COUNTIF($E$194:$E640,$E640)&amp;"："&amp;VLOOKUP(COUNTIF($E$194:$E640,$E640),$L$184:$R$193,IF(H640=1,4,IF(H640=4,3,2))+IF(INDEX([1]Sheet1!$1:$1048576,MATCH($E640,[1]Sheet1!$A:$A,0),MATCH("zizhi",[1]Sheet1!$2:$2,0))&gt;=13,0,3),0)&amp;IF($Q640="","","（"&amp;$Q640&amp;"）"))</f>
        <v>进阶+3：攻击提高10%</v>
      </c>
      <c r="T640" s="1"/>
      <c r="U640" s="1"/>
      <c r="V640" s="2" t="str">
        <f>VLOOKUP(COUNTIF($E$194:$E640,$E640),$L$184:$X$193,IF(H640=1,4,IF(H640=4,3,2))+IF(INDEX([1]Sheet1!$1:$1048576,MATCH($E640,[1]Sheet1!$A:$A,0),MATCH("zizhi",[1]Sheet1!$2:$2,0))&gt;=13,0,3)+6,0)</f>
        <v>11050</v>
      </c>
      <c r="W640" s="2" t="str">
        <f t="shared" si="55"/>
        <v>进阶+3：攻击提高10%</v>
      </c>
      <c r="X640" s="45" t="str">
        <f t="shared" si="53"/>
        <v>11050</v>
      </c>
      <c r="Y640" s="2"/>
      <c r="Z640" s="2"/>
      <c r="AA640" s="2"/>
    </row>
    <row r="641" spans="1:27" ht="33">
      <c r="A641" s="10">
        <f>E641*100+COUNTIF($E$194:$E641,$E641)</f>
        <v>120604</v>
      </c>
      <c r="B641" s="68" t="s">
        <v>1888</v>
      </c>
      <c r="C641" s="50" t="s">
        <v>2</v>
      </c>
      <c r="D641" s="10">
        <f t="shared" si="58"/>
        <v>1</v>
      </c>
      <c r="E641" s="45">
        <f>INDEX($I:$I,MATCH($E640,$I:$I,0)+IF(COUNTIF($E$194:$E640,$E640)&lt;=VLOOKUP($E640,$I$134:$K$193,3,0)-1,0,1),0)</f>
        <v>1206</v>
      </c>
      <c r="F641" s="45" t="str">
        <f t="shared" si="54"/>
        <v>牛头</v>
      </c>
      <c r="G641" s="45" t="s">
        <v>217</v>
      </c>
      <c r="H641" s="45">
        <f>VLOOKUP($E641,[1]Sheet1!$A:$G,7,0)</f>
        <v>3</v>
      </c>
      <c r="I641" s="45" t="str">
        <f>IF($G641="","",IF(COUNTIF(技能描述!$D:$D,$F641)&gt;0,VLOOKUP($F641&amp;$G641,技能描述!$A:$C,3,0),LEFT(VLOOKUP($E641,[1]Sheet1!$A:$J,10,0),FIND("_",VLOOKUP($E641,[1]Sheet1!$A:$J,10,0))-1)&amp;$G641))</f>
        <v>niutou_skill04</v>
      </c>
      <c r="J641" s="45" t="str">
        <f>IF($I641="","",VLOOKUP($I641,技能描述!$A:$C,3,0))</f>
        <v>牛头挥舞拳头连续攻击目标，对命中目标造成自身攻击力@s的伤害，并击飞</v>
      </c>
      <c r="K641" s="45" t="str">
        <f>IF($I641="","",INDEX([2]Sheet1!$1:$1048576,MATCH($I641,[2]Sheet1!$A:$A,0),MATCH("description_damage",[2]Sheet1!$2:$2,0)))</f>
        <v>120604</v>
      </c>
      <c r="L641" s="80" t="str">
        <f>IF($K641="","",IF(LEN($K641)-LEN(SUBSTITUTE($K641,",",""))=0,VLOOKUP(INT($K641),[3]Sheet1!$A:$C,3,0),VLOOKUP(INT(LEFT($K641,FIND(",",$K641)-1)),[3]Sheet1!$A:$C,3,0)))</f>
        <v>2|1|0.45|0|0|0</v>
      </c>
      <c r="M641" s="80" t="str">
        <f t="shared" si="59"/>
        <v>45%</v>
      </c>
      <c r="N641" s="45" t="str">
        <f>IF(LEN($K641)-LEN(SUBSTITUTE($K641,",",""))=1,VLOOKUP(INT(RIGHT($K641,LEN($K641)-FIND(",",$K641))),[3]Sheet1!$A:$C,3,0),"")</f>
        <v/>
      </c>
      <c r="O641" s="45" t="str">
        <f t="shared" si="56"/>
        <v/>
      </c>
      <c r="P641" s="45" t="str">
        <f t="shared" si="52"/>
        <v>牛头挥舞拳头连续攻击目标，对命中目标造成自身攻击力45%的伤害，并击飞</v>
      </c>
      <c r="Q641" s="45" t="str">
        <f t="shared" si="57"/>
        <v>牛头挥舞拳头连续攻击目标，对命中目标造成自身攻击力45%的伤害，并击飞</v>
      </c>
      <c r="R641" s="45"/>
      <c r="S641" s="45" t="str">
        <f>IF(ISERROR($Q641),"进阶+"&amp;COUNTIF($E$194:$E641,$E641)&amp;"："&amp;"找ZC配技能","进阶+"&amp;COUNTIF($E$194:$E641,$E641)&amp;"："&amp;VLOOKUP(COUNTIF($E$194:$E641,$E641),$L$184:$R$193,IF(H641=1,4,IF(H641=4,3,2))+IF(INDEX([1]Sheet1!$1:$1048576,MATCH($E641,[1]Sheet1!$A:$A,0),MATCH("zizhi",[1]Sheet1!$2:$2,0))&gt;=13,0,3),0)&amp;IF($Q641="","","（"&amp;$Q641&amp;"）"))</f>
        <v>进阶+4：激活AI2技能（牛头挥舞拳头连续攻击目标，对命中目标造成自身攻击力45%的伤害，并击飞）</v>
      </c>
      <c r="T641" s="1"/>
      <c r="U641" s="1"/>
      <c r="V641" s="2" t="str">
        <f>VLOOKUP(COUNTIF($E$194:$E641,$E641),$L$184:$X$193,IF(H641=1,4,IF(H641=4,3,2))+IF(INDEX([1]Sheet1!$1:$1048576,MATCH($E641,[1]Sheet1!$A:$A,0),MATCH("zizhi",[1]Sheet1!$2:$2,0))&gt;=13,0,3)+6,0)</f>
        <v>[]</v>
      </c>
      <c r="W641" s="2" t="str">
        <f t="shared" si="55"/>
        <v>进阶+4：激活AI2技能（牛头挥舞拳头连续攻击目标，对命中目标造成自身攻击力45%的伤害，并击飞）</v>
      </c>
      <c r="X641" s="45" t="str">
        <f t="shared" si="53"/>
        <v>[]</v>
      </c>
      <c r="Y641" s="2"/>
      <c r="Z641" s="2"/>
      <c r="AA641" s="2"/>
    </row>
    <row r="642" spans="1:27">
      <c r="A642" s="10">
        <f>E642*100+COUNTIF($E$194:$E642,$E642)</f>
        <v>120605</v>
      </c>
      <c r="B642" s="68" t="s">
        <v>323</v>
      </c>
      <c r="C642" s="50" t="s">
        <v>140</v>
      </c>
      <c r="D642" s="10" t="str">
        <f t="shared" si="58"/>
        <v>[]</v>
      </c>
      <c r="E642" s="45">
        <f>INDEX($I:$I,MATCH($E641,$I:$I,0)+IF(COUNTIF($E$194:$E641,$E641)&lt;=VLOOKUP($E641,$I$134:$K$193,3,0)-1,0,1),0)</f>
        <v>1206</v>
      </c>
      <c r="F642" s="45" t="str">
        <f t="shared" si="54"/>
        <v>牛头</v>
      </c>
      <c r="H642" s="45">
        <f>VLOOKUP($E642,[1]Sheet1!$A:$G,7,0)</f>
        <v>3</v>
      </c>
      <c r="I642" s="45" t="str">
        <f>IF($G642="","",IF(COUNTIF(技能描述!$D:$D,$F642)&gt;0,VLOOKUP($F642&amp;$G642,技能描述!$A:$C,3,0),LEFT(VLOOKUP($E642,[1]Sheet1!$A:$J,10,0),FIND("_",VLOOKUP($E642,[1]Sheet1!$A:$J,10,0))-1)&amp;$G642))</f>
        <v/>
      </c>
      <c r="J642" s="45" t="str">
        <f>IF($I642="","",VLOOKUP($I642,技能描述!$A:$C,3,0))</f>
        <v/>
      </c>
      <c r="K642" s="45" t="str">
        <f>IF($I642="","",INDEX([2]Sheet1!$1:$1048576,MATCH($I642,[2]Sheet1!$A:$A,0),MATCH("description_damage",[2]Sheet1!$2:$2,0)))</f>
        <v/>
      </c>
      <c r="L642" s="80" t="str">
        <f>IF($K642="","",IF(LEN($K642)-LEN(SUBSTITUTE($K642,",",""))=0,VLOOKUP(INT($K642),[3]Sheet1!$A:$C,3,0),VLOOKUP(INT(LEFT($K642,FIND(",",$K642)-1)),[3]Sheet1!$A:$C,3,0)))</f>
        <v/>
      </c>
      <c r="M642" s="80" t="str">
        <f t="shared" si="59"/>
        <v/>
      </c>
      <c r="N642" s="45" t="str">
        <f>IF(LEN($K642)-LEN(SUBSTITUTE($K642,",",""))=1,VLOOKUP(INT(RIGHT($K642,LEN($K642)-FIND(",",$K642))),[3]Sheet1!$A:$C,3,0),"")</f>
        <v/>
      </c>
      <c r="O642" s="45" t="str">
        <f t="shared" si="56"/>
        <v/>
      </c>
      <c r="P642" s="45" t="str">
        <f t="shared" ref="P642:P705" si="60">IF($M642="","",IF(ISERROR(FIND("@s",$J642)),$J642,LEFT(J642,FIND("@s",$J642)-1)&amp;$M642&amp;RIGHT($J642,LEN($J642)-FIND("@s",$J642)-1)))</f>
        <v/>
      </c>
      <c r="Q642" s="45" t="str">
        <f t="shared" si="57"/>
        <v/>
      </c>
      <c r="R642" s="45"/>
      <c r="S642" s="45" t="str">
        <f>IF(ISERROR($Q642),"进阶+"&amp;COUNTIF($E$194:$E642,$E642)&amp;"："&amp;"找ZC配技能","进阶+"&amp;COUNTIF($E$194:$E642,$E642)&amp;"："&amp;VLOOKUP(COUNTIF($E$194:$E642,$E642),$L$184:$R$193,IF(H642=1,4,IF(H642=4,3,2))+IF(INDEX([1]Sheet1!$1:$1048576,MATCH($E642,[1]Sheet1!$A:$A,0),MATCH("zizhi",[1]Sheet1!$2:$2,0))&gt;=13,0,3),0)&amp;IF($Q642="","","（"&amp;$Q642&amp;"）"))</f>
        <v>进阶+5：生命，防御提高10%</v>
      </c>
      <c r="T642" s="1"/>
      <c r="U642" s="1"/>
      <c r="V642" s="2" t="str">
        <f>VLOOKUP(COUNTIF($E$194:$E642,$E642),$L$184:$X$193,IF(H642=1,4,IF(H642=4,3,2))+IF(INDEX([1]Sheet1!$1:$1048576,MATCH($E642,[1]Sheet1!$A:$A,0),MATCH("zizhi",[1]Sheet1!$2:$2,0))&gt;=13,0,3)+6,0)</f>
        <v>11090,6502,6512</v>
      </c>
      <c r="W642" s="2" t="str">
        <f t="shared" si="55"/>
        <v>进阶+5：生命，防御提高10%</v>
      </c>
      <c r="X642" s="45" t="str">
        <f t="shared" ref="X642:X705" si="61">IF(ISERROR(FIND("找ZC配技能",$S642)),$V642,$W$184)</f>
        <v>11090,6502,6512</v>
      </c>
      <c r="Y642" s="2"/>
      <c r="Z642" s="2"/>
      <c r="AA642" s="2"/>
    </row>
    <row r="643" spans="1:27">
      <c r="A643" s="10">
        <f>E643*100+COUNTIF($E$194:$E643,$E643)</f>
        <v>120606</v>
      </c>
      <c r="B643" s="68" t="s">
        <v>314</v>
      </c>
      <c r="C643" s="50" t="s">
        <v>241</v>
      </c>
      <c r="D643" s="10" t="str">
        <f t="shared" si="58"/>
        <v>[]</v>
      </c>
      <c r="E643" s="45">
        <f>INDEX($I:$I,MATCH($E642,$I:$I,0)+IF(COUNTIF($E$194:$E642,$E642)&lt;=VLOOKUP($E642,$I$134:$K$193,3,0)-1,0,1),0)</f>
        <v>1206</v>
      </c>
      <c r="F643" s="45" t="str">
        <f t="shared" ref="F643:F706" si="62">VLOOKUP($E643,$I$134:$K$193,2,0)</f>
        <v>牛头</v>
      </c>
      <c r="H643" s="45">
        <f>VLOOKUP($E643,[1]Sheet1!$A:$G,7,0)</f>
        <v>3</v>
      </c>
      <c r="I643" s="45" t="str">
        <f>IF($G643="","",IF(COUNTIF(技能描述!$D:$D,$F643)&gt;0,VLOOKUP($F643&amp;$G643,技能描述!$A:$C,3,0),LEFT(VLOOKUP($E643,[1]Sheet1!$A:$J,10,0),FIND("_",VLOOKUP($E643,[1]Sheet1!$A:$J,10,0))-1)&amp;$G643))</f>
        <v/>
      </c>
      <c r="J643" s="45" t="str">
        <f>IF($I643="","",VLOOKUP($I643,技能描述!$A:$C,3,0))</f>
        <v/>
      </c>
      <c r="K643" s="45" t="str">
        <f>IF($I643="","",INDEX([2]Sheet1!$1:$1048576,MATCH($I643,[2]Sheet1!$A:$A,0),MATCH("description_damage",[2]Sheet1!$2:$2,0)))</f>
        <v/>
      </c>
      <c r="L643" s="80" t="str">
        <f>IF($K643="","",IF(LEN($K643)-LEN(SUBSTITUTE($K643,",",""))=0,VLOOKUP(INT($K643),[3]Sheet1!$A:$C,3,0),VLOOKUP(INT(LEFT($K643,FIND(",",$K643)-1)),[3]Sheet1!$A:$C,3,0)))</f>
        <v/>
      </c>
      <c r="M643" s="80" t="str">
        <f t="shared" si="59"/>
        <v/>
      </c>
      <c r="N643" s="45" t="str">
        <f>IF(LEN($K643)-LEN(SUBSTITUTE($K643,",",""))=1,VLOOKUP(INT(RIGHT($K643,LEN($K643)-FIND(",",$K643))),[3]Sheet1!$A:$C,3,0),"")</f>
        <v/>
      </c>
      <c r="O643" s="45" t="str">
        <f t="shared" si="56"/>
        <v/>
      </c>
      <c r="P643" s="45" t="str">
        <f t="shared" si="60"/>
        <v/>
      </c>
      <c r="Q643" s="45" t="str">
        <f t="shared" si="57"/>
        <v/>
      </c>
      <c r="R643" s="45"/>
      <c r="S643" s="45" t="str">
        <f>IF(ISERROR($Q643),"进阶+"&amp;COUNTIF($E$194:$E643,$E643)&amp;"："&amp;"找ZC配技能","进阶+"&amp;COUNTIF($E$194:$E643,$E643)&amp;"："&amp;VLOOKUP(COUNTIF($E$194:$E643,$E643),$L$184:$R$193,IF(H643=1,4,IF(H643=4,3,2))+IF(INDEX([1]Sheet1!$1:$1048576,MATCH($E643,[1]Sheet1!$A:$A,0),MATCH("zizhi",[1]Sheet1!$2:$2,0))&gt;=13,0,3),0)&amp;IF($Q643="","","（"&amp;$Q643&amp;"）"))</f>
        <v>进阶+6：暴击提高20%</v>
      </c>
      <c r="T643" s="1"/>
      <c r="U643" s="1"/>
      <c r="V643" s="2" t="str">
        <f>VLOOKUP(COUNTIF($E$194:$E643,$E643),$L$184:$X$193,IF(H643=1,4,IF(H643=4,3,2))+IF(INDEX([1]Sheet1!$1:$1048576,MATCH($E643,[1]Sheet1!$A:$A,0),MATCH("zizhi",[1]Sheet1!$2:$2,0))&gt;=13,0,3)+6,0)</f>
        <v>11080</v>
      </c>
      <c r="W643" s="2" t="str">
        <f t="shared" ref="W643:W706" si="63">IF(ISERROR(FIND("找ZC配技能",$S643)),$S643,"进阶+"&amp;INT(RIGHT($A643,2))&amp;":生命提高10%")</f>
        <v>进阶+6：暴击提高20%</v>
      </c>
      <c r="X643" s="45" t="str">
        <f t="shared" si="61"/>
        <v>11080</v>
      </c>
      <c r="Y643" s="2"/>
      <c r="Z643" s="2"/>
      <c r="AA643" s="2"/>
    </row>
    <row r="644" spans="1:27">
      <c r="A644" s="10">
        <f>E644*100+COUNTIF($E$194:$E644,$E644)</f>
        <v>120607</v>
      </c>
      <c r="B644" s="68" t="s">
        <v>359</v>
      </c>
      <c r="C644" s="50" t="s">
        <v>353</v>
      </c>
      <c r="D644" s="10" t="str">
        <f t="shared" si="58"/>
        <v>[]</v>
      </c>
      <c r="E644" s="45">
        <f>INDEX($I:$I,MATCH($E643,$I:$I,0)+IF(COUNTIF($E$194:$E643,$E643)&lt;=VLOOKUP($E643,$I$134:$K$193,3,0)-1,0,1),0)</f>
        <v>1206</v>
      </c>
      <c r="F644" s="45" t="str">
        <f t="shared" si="62"/>
        <v>牛头</v>
      </c>
      <c r="H644" s="45">
        <f>VLOOKUP($E644,[1]Sheet1!$A:$G,7,0)</f>
        <v>3</v>
      </c>
      <c r="I644" s="45" t="str">
        <f>IF($G644="","",IF(COUNTIF(技能描述!$D:$D,$F644)&gt;0,VLOOKUP($F644&amp;$G644,技能描述!$A:$C,3,0),LEFT(VLOOKUP($E644,[1]Sheet1!$A:$J,10,0),FIND("_",VLOOKUP($E644,[1]Sheet1!$A:$J,10,0))-1)&amp;$G644))</f>
        <v/>
      </c>
      <c r="J644" s="45" t="str">
        <f>IF($I644="","",VLOOKUP($I644,技能描述!$A:$C,3,0))</f>
        <v/>
      </c>
      <c r="K644" s="45" t="str">
        <f>IF($I644="","",INDEX([2]Sheet1!$1:$1048576,MATCH($I644,[2]Sheet1!$A:$A,0),MATCH("description_damage",[2]Sheet1!$2:$2,0)))</f>
        <v/>
      </c>
      <c r="L644" s="80" t="str">
        <f>IF($K644="","",IF(LEN($K644)-LEN(SUBSTITUTE($K644,",",""))=0,VLOOKUP(INT($K644),[3]Sheet1!$A:$C,3,0),VLOOKUP(INT(LEFT($K644,FIND(",",$K644)-1)),[3]Sheet1!$A:$C,3,0)))</f>
        <v/>
      </c>
      <c r="M644" s="80" t="str">
        <f t="shared" si="59"/>
        <v/>
      </c>
      <c r="N644" s="45" t="str">
        <f>IF(LEN($K644)-LEN(SUBSTITUTE($K644,",",""))=1,VLOOKUP(INT(RIGHT($K644,LEN($K644)-FIND(",",$K644))),[3]Sheet1!$A:$C,3,0),"")</f>
        <v/>
      </c>
      <c r="O644" s="45" t="str">
        <f t="shared" ref="O644:O707" si="64">IF($N644="","",LEFT(RIGHT($N644,LEN($N644)-4),FIND("|",RIGHT($N644,LEN($N644)-4))-1)*100&amp;"%")</f>
        <v/>
      </c>
      <c r="P644" s="45" t="str">
        <f t="shared" si="60"/>
        <v/>
      </c>
      <c r="Q644" s="45" t="str">
        <f t="shared" ref="Q644:Q707" si="65">IF($O644="",$P644,SUBSTITUTE($P644,"@s",$O644))</f>
        <v/>
      </c>
      <c r="R644" s="45"/>
      <c r="S644" s="45" t="str">
        <f>IF(ISERROR($Q644),"进阶+"&amp;COUNTIF($E$194:$E644,$E644)&amp;"："&amp;"找ZC配技能","进阶+"&amp;COUNTIF($E$194:$E644,$E644)&amp;"："&amp;VLOOKUP(COUNTIF($E$194:$E644,$E644),$L$184:$R$193,IF(H644=1,4,IF(H644=4,3,2))+IF(INDEX([1]Sheet1!$1:$1048576,MATCH($E644,[1]Sheet1!$A:$A,0),MATCH("zizhi",[1]Sheet1!$2:$2,0))&gt;=13,0,3),0)&amp;IF($Q644="","","（"&amp;$Q644&amp;"）"))</f>
        <v>进阶+7：全队攻击提高10%</v>
      </c>
      <c r="T644" s="1"/>
      <c r="U644" s="1"/>
      <c r="V644" s="2" t="str">
        <f>VLOOKUP(COUNTIF($E$194:$E644,$E644),$L$184:$X$193,IF(H644=1,4,IF(H644=4,3,2))+IF(INDEX([1]Sheet1!$1:$1048576,MATCH($E644,[1]Sheet1!$A:$A,0),MATCH("zizhi",[1]Sheet1!$2:$2,0))&gt;=13,0,3)+6,0)</f>
        <v>58010</v>
      </c>
      <c r="W644" s="2" t="str">
        <f t="shared" si="63"/>
        <v>进阶+7：全队攻击提高10%</v>
      </c>
      <c r="X644" s="45" t="str">
        <f t="shared" si="61"/>
        <v>58010</v>
      </c>
      <c r="Y644" s="2"/>
      <c r="Z644" s="2"/>
      <c r="AA644" s="2"/>
    </row>
    <row r="645" spans="1:27">
      <c r="A645" s="10">
        <f>E645*100+COUNTIF($E$194:$E645,$E645)</f>
        <v>120608</v>
      </c>
      <c r="B645" s="68" t="s">
        <v>316</v>
      </c>
      <c r="C645" s="50" t="s">
        <v>153</v>
      </c>
      <c r="D645" s="10" t="str">
        <f t="shared" ref="D645:D708" si="66">IF(ISERROR(FIND("技能",$B645)),"[]",1)</f>
        <v>[]</v>
      </c>
      <c r="E645" s="45">
        <f>INDEX($I:$I,MATCH($E644,$I:$I,0)+IF(COUNTIF($E$194:$E644,$E644)&lt;=VLOOKUP($E644,$I$134:$K$193,3,0)-1,0,1),0)</f>
        <v>1206</v>
      </c>
      <c r="F645" s="45" t="str">
        <f t="shared" si="62"/>
        <v>牛头</v>
      </c>
      <c r="H645" s="45">
        <f>VLOOKUP($E645,[1]Sheet1!$A:$G,7,0)</f>
        <v>3</v>
      </c>
      <c r="I645" s="45" t="str">
        <f>IF($G645="","",IF(COUNTIF(技能描述!$D:$D,$F645)&gt;0,VLOOKUP($F645&amp;$G645,技能描述!$A:$C,3,0),LEFT(VLOOKUP($E645,[1]Sheet1!$A:$J,10,0),FIND("_",VLOOKUP($E645,[1]Sheet1!$A:$J,10,0))-1)&amp;$G645))</f>
        <v/>
      </c>
      <c r="J645" s="45" t="str">
        <f>IF($I645="","",VLOOKUP($I645,技能描述!$A:$C,3,0))</f>
        <v/>
      </c>
      <c r="K645" s="45" t="str">
        <f>IF($I645="","",INDEX([2]Sheet1!$1:$1048576,MATCH($I645,[2]Sheet1!$A:$A,0),MATCH("description_damage",[2]Sheet1!$2:$2,0)))</f>
        <v/>
      </c>
      <c r="L645" s="80" t="str">
        <f>IF($K645="","",IF(LEN($K645)-LEN(SUBSTITUTE($K645,",",""))=0,VLOOKUP(INT($K645),[3]Sheet1!$A:$C,3,0),VLOOKUP(INT(LEFT($K645,FIND(",",$K645)-1)),[3]Sheet1!$A:$C,3,0)))</f>
        <v/>
      </c>
      <c r="M645" s="80" t="str">
        <f t="shared" ref="M645:M708" si="67">IF($L645="","",LEFT(RIGHT($L645,LEN($L645)-4),FIND("|",RIGHT($L645,LEN($L645)-4))-1)*100&amp;"%")</f>
        <v/>
      </c>
      <c r="N645" s="45" t="str">
        <f>IF(LEN($K645)-LEN(SUBSTITUTE($K645,",",""))=1,VLOOKUP(INT(RIGHT($K645,LEN($K645)-FIND(",",$K645))),[3]Sheet1!$A:$C,3,0),"")</f>
        <v/>
      </c>
      <c r="O645" s="45" t="str">
        <f t="shared" si="64"/>
        <v/>
      </c>
      <c r="P645" s="45" t="str">
        <f t="shared" si="60"/>
        <v/>
      </c>
      <c r="Q645" s="45" t="str">
        <f t="shared" si="65"/>
        <v/>
      </c>
      <c r="R645" s="45"/>
      <c r="S645" s="45" t="str">
        <f>IF(ISERROR($Q645),"进阶+"&amp;COUNTIF($E$194:$E645,$E645)&amp;"："&amp;"找ZC配技能","进阶+"&amp;COUNTIF($E$194:$E645,$E645)&amp;"："&amp;VLOOKUP(COUNTIF($E$194:$E645,$E645),$L$184:$R$193,IF(H645=1,4,IF(H645=4,3,2))+IF(INDEX([1]Sheet1!$1:$1048576,MATCH($E645,[1]Sheet1!$A:$A,0),MATCH("zizhi",[1]Sheet1!$2:$2,0))&gt;=13,0,3),0)&amp;IF($Q645="","","（"&amp;$Q645&amp;"）"))</f>
        <v>进阶+8：命中提高15%</v>
      </c>
      <c r="T645" s="1"/>
      <c r="U645" s="1"/>
      <c r="V645" s="2" t="str">
        <f>VLOOKUP(COUNTIF($E$194:$E645,$E645),$L$184:$X$193,IF(H645=1,4,IF(H645=4,3,2))+IF(INDEX([1]Sheet1!$1:$1048576,MATCH($E645,[1]Sheet1!$A:$A,0),MATCH("zizhi",[1]Sheet1!$2:$2,0))&gt;=13,0,3)+6,0)</f>
        <v>11035</v>
      </c>
      <c r="W645" s="2" t="str">
        <f t="shared" si="63"/>
        <v>进阶+8：命中提高15%</v>
      </c>
      <c r="X645" s="45" t="str">
        <f t="shared" si="61"/>
        <v>11035</v>
      </c>
      <c r="Y645" s="2"/>
      <c r="Z645" s="2"/>
      <c r="AA645" s="2"/>
    </row>
    <row r="646" spans="1:27">
      <c r="A646" s="10">
        <f>E646*100+COUNTIF($E$194:$E646,$E646)</f>
        <v>113001</v>
      </c>
      <c r="B646" s="68" t="s">
        <v>319</v>
      </c>
      <c r="C646" s="50">
        <v>11090</v>
      </c>
      <c r="D646" s="10" t="str">
        <f t="shared" si="66"/>
        <v>[]</v>
      </c>
      <c r="E646" s="45">
        <f>INDEX($I:$I,MATCH($E645,$I:$I,0)+IF(COUNTIF($E$194:$E645,$E645)&lt;=VLOOKUP($E645,$I$134:$K$193,3,0)-1,0,1),0)</f>
        <v>1130</v>
      </c>
      <c r="F646" s="45" t="str">
        <f t="shared" si="62"/>
        <v>地藏王</v>
      </c>
      <c r="H646" s="45">
        <f>VLOOKUP($E646,[1]Sheet1!$A:$G,7,0)</f>
        <v>4</v>
      </c>
      <c r="I646" s="45" t="str">
        <f>IF($G646="","",IF(COUNTIF(技能描述!$D:$D,$F646)&gt;0,VLOOKUP($F646&amp;$G646,技能描述!$A:$C,3,0),LEFT(VLOOKUP($E646,[1]Sheet1!$A:$J,10,0),FIND("_",VLOOKUP($E646,[1]Sheet1!$A:$J,10,0))-1)&amp;$G646))</f>
        <v/>
      </c>
      <c r="J646" s="45" t="str">
        <f>IF($I646="","",VLOOKUP($I646,技能描述!$A:$C,3,0))</f>
        <v/>
      </c>
      <c r="K646" s="45" t="str">
        <f>IF($I646="","",INDEX([2]Sheet1!$1:$1048576,MATCH($I646,[2]Sheet1!$A:$A,0),MATCH("description_damage",[2]Sheet1!$2:$2,0)))</f>
        <v/>
      </c>
      <c r="L646" s="80" t="str">
        <f>IF($K646="","",IF(LEN($K646)-LEN(SUBSTITUTE($K646,",",""))=0,VLOOKUP(INT($K646),[3]Sheet1!$A:$C,3,0),VLOOKUP(INT(LEFT($K646,FIND(",",$K646)-1)),[3]Sheet1!$A:$C,3,0)))</f>
        <v/>
      </c>
      <c r="M646" s="80" t="str">
        <f t="shared" si="67"/>
        <v/>
      </c>
      <c r="N646" s="45" t="str">
        <f>IF(LEN($K646)-LEN(SUBSTITUTE($K646,",",""))=1,VLOOKUP(INT(RIGHT($K646,LEN($K646)-FIND(",",$K646))),[3]Sheet1!$A:$C,3,0),"")</f>
        <v/>
      </c>
      <c r="O646" s="45" t="str">
        <f t="shared" si="64"/>
        <v/>
      </c>
      <c r="P646" s="45" t="str">
        <f t="shared" si="60"/>
        <v/>
      </c>
      <c r="Q646" s="45" t="str">
        <f t="shared" si="65"/>
        <v/>
      </c>
      <c r="R646" s="45"/>
      <c r="S646" s="45" t="str">
        <f>IF(ISERROR($Q646),"进阶+"&amp;COUNTIF($E$194:$E646,$E646)&amp;"："&amp;"找ZC配技能","进阶+"&amp;COUNTIF($E$194:$E646,$E646)&amp;"："&amp;VLOOKUP(COUNTIF($E$194:$E646,$E646),$L$184:$R$193,IF(H646=1,4,IF(H646=4,3,2))+IF(INDEX([1]Sheet1!$1:$1048576,MATCH($E646,[1]Sheet1!$A:$A,0),MATCH("zizhi",[1]Sheet1!$2:$2,0))&gt;=13,0,3),0)&amp;IF($Q646="","","（"&amp;$Q646&amp;"）"))</f>
        <v>进阶+1：生命提高10%</v>
      </c>
      <c r="T646" s="1"/>
      <c r="U646" s="1"/>
      <c r="V646" s="2">
        <f>VLOOKUP(COUNTIF($E$194:$E646,$E646),$L$184:$X$193,IF(H646=1,4,IF(H646=4,3,2))+IF(INDEX([1]Sheet1!$1:$1048576,MATCH($E646,[1]Sheet1!$A:$A,0),MATCH("zizhi",[1]Sheet1!$2:$2,0))&gt;=13,0,3)+6,0)</f>
        <v>11090</v>
      </c>
      <c r="W646" s="2" t="str">
        <f t="shared" si="63"/>
        <v>进阶+1：生命提高10%</v>
      </c>
      <c r="X646" s="45">
        <f t="shared" si="61"/>
        <v>11090</v>
      </c>
      <c r="Y646" s="2"/>
      <c r="Z646" s="2"/>
      <c r="AA646" s="2"/>
    </row>
    <row r="647" spans="1:27">
      <c r="A647" s="10">
        <f>E647*100+COUNTIF($E$194:$E647,$E647)</f>
        <v>113002</v>
      </c>
      <c r="B647" s="68" t="s">
        <v>365</v>
      </c>
      <c r="C647" s="50" t="s">
        <v>2</v>
      </c>
      <c r="D647" s="10">
        <f t="shared" si="66"/>
        <v>1</v>
      </c>
      <c r="E647" s="45">
        <f>INDEX($I:$I,MATCH($E646,$I:$I,0)+IF(COUNTIF($E$194:$E646,$E646)&lt;=VLOOKUP($E646,$I$134:$K$193,3,0)-1,0,1),0)</f>
        <v>1130</v>
      </c>
      <c r="F647" s="45" t="str">
        <f t="shared" si="62"/>
        <v>地藏王</v>
      </c>
      <c r="G647" s="45" t="s">
        <v>216</v>
      </c>
      <c r="H647" s="45">
        <f>VLOOKUP($E647,[1]Sheet1!$A:$G,7,0)</f>
        <v>4</v>
      </c>
      <c r="I647" s="45" t="str">
        <f>IF($G647="","",IF(COUNTIF(技能描述!$D:$D,$F647)&gt;0,VLOOKUP($F647&amp;$G647,技能描述!$A:$C,3,0),LEFT(VLOOKUP($E647,[1]Sheet1!$A:$J,10,0),FIND("_",VLOOKUP($E647,[1]Sheet1!$A:$J,10,0))-1)&amp;$G647))</f>
        <v>dizangwang_skill03</v>
      </c>
      <c r="J647" s="45" t="str">
        <f>IF($I647="","",VLOOKUP($I647,技能描述!$A:$C,3,0))</f>
        <v>进入战斗场景时，提高全队@s的生命上限</v>
      </c>
      <c r="K647" s="45" t="str">
        <f>IF($I647="","",INDEX([2]Sheet1!$1:$1048576,MATCH($I647,[2]Sheet1!$A:$A,0),MATCH("description_damage",[2]Sheet1!$2:$2,0)))</f>
        <v>9010</v>
      </c>
      <c r="L647" s="80" t="str">
        <f>IF($K647="","",IF(LEN($K647)-LEN(SUBSTITUTE($K647,",",""))=0,VLOOKUP(INT($K647),[3]Sheet1!$A:$C,3,0),VLOOKUP(INT(LEFT($K647,FIND(",",$K647)-1)),[3]Sheet1!$A:$C,3,0)))</f>
        <v>4|3|0.1|0|1</v>
      </c>
      <c r="M647" s="80" t="str">
        <f t="shared" si="67"/>
        <v>10%</v>
      </c>
      <c r="N647" s="45" t="str">
        <f>IF(LEN($K647)-LEN(SUBSTITUTE($K647,",",""))=1,VLOOKUP(INT(RIGHT($K647,LEN($K647)-FIND(",",$K647))),[3]Sheet1!$A:$C,3,0),"")</f>
        <v/>
      </c>
      <c r="O647" s="45" t="str">
        <f t="shared" si="64"/>
        <v/>
      </c>
      <c r="P647" s="45" t="str">
        <f t="shared" si="60"/>
        <v>进入战斗场景时，提高全队10%的生命上限</v>
      </c>
      <c r="Q647" s="45" t="str">
        <f t="shared" si="65"/>
        <v>进入战斗场景时，提高全队10%的生命上限</v>
      </c>
      <c r="R647" s="45"/>
      <c r="S647" s="45" t="str">
        <f>IF(ISERROR($Q647),"进阶+"&amp;COUNTIF($E$194:$E647,$E647)&amp;"："&amp;"找ZC配技能","进阶+"&amp;COUNTIF($E$194:$E647,$E647)&amp;"："&amp;VLOOKUP(COUNTIF($E$194:$E647,$E647),$L$184:$R$193,IF(H647=1,4,IF(H647=4,3,2))+IF(INDEX([1]Sheet1!$1:$1048576,MATCH($E647,[1]Sheet1!$A:$A,0),MATCH("zizhi",[1]Sheet1!$2:$2,0))&gt;=13,0,3),0)&amp;IF($Q647="","","（"&amp;$Q647&amp;"）"))</f>
        <v>进阶+2：激活被动技能（进入战斗场景时，提高全队10%的生命上限）</v>
      </c>
      <c r="T647" s="1"/>
      <c r="U647" s="1"/>
      <c r="V647" s="2" t="str">
        <f>VLOOKUP(COUNTIF($E$194:$E647,$E647),$L$184:$X$193,IF(H647=1,4,IF(H647=4,3,2))+IF(INDEX([1]Sheet1!$1:$1048576,MATCH($E647,[1]Sheet1!$A:$A,0),MATCH("zizhi",[1]Sheet1!$2:$2,0))&gt;=13,0,3)+6,0)</f>
        <v>[]</v>
      </c>
      <c r="W647" s="2" t="str">
        <f t="shared" si="63"/>
        <v>进阶+2：激活被动技能（进入战斗场景时，提高全队10%的生命上限）</v>
      </c>
      <c r="X647" s="45" t="str">
        <f t="shared" si="61"/>
        <v>[]</v>
      </c>
      <c r="Y647" s="2"/>
      <c r="Z647" s="2"/>
      <c r="AA647" s="2"/>
    </row>
    <row r="648" spans="1:27">
      <c r="A648" s="10">
        <f>E648*100+COUNTIF($E$194:$E648,$E648)</f>
        <v>113003</v>
      </c>
      <c r="B648" s="68" t="s">
        <v>324</v>
      </c>
      <c r="C648" s="50" t="s">
        <v>140</v>
      </c>
      <c r="D648" s="10" t="str">
        <f t="shared" si="66"/>
        <v>[]</v>
      </c>
      <c r="E648" s="45">
        <f>INDEX($I:$I,MATCH($E647,$I:$I,0)+IF(COUNTIF($E$194:$E647,$E647)&lt;=VLOOKUP($E647,$I$134:$K$193,3,0)-1,0,1),0)</f>
        <v>1130</v>
      </c>
      <c r="F648" s="45" t="str">
        <f t="shared" si="62"/>
        <v>地藏王</v>
      </c>
      <c r="H648" s="45">
        <f>VLOOKUP($E648,[1]Sheet1!$A:$G,7,0)</f>
        <v>4</v>
      </c>
      <c r="I648" s="45" t="str">
        <f>IF($G648="","",IF(COUNTIF(技能描述!$D:$D,$F648)&gt;0,VLOOKUP($F648&amp;$G648,技能描述!$A:$C,3,0),LEFT(VLOOKUP($E648,[1]Sheet1!$A:$J,10,0),FIND("_",VLOOKUP($E648,[1]Sheet1!$A:$J,10,0))-1)&amp;$G648))</f>
        <v/>
      </c>
      <c r="J648" s="45" t="str">
        <f>IF($I648="","",VLOOKUP($I648,技能描述!$A:$C,3,0))</f>
        <v/>
      </c>
      <c r="K648" s="45" t="str">
        <f>IF($I648="","",INDEX([2]Sheet1!$1:$1048576,MATCH($I648,[2]Sheet1!$A:$A,0),MATCH("description_damage",[2]Sheet1!$2:$2,0)))</f>
        <v/>
      </c>
      <c r="L648" s="80" t="str">
        <f>IF($K648="","",IF(LEN($K648)-LEN(SUBSTITUTE($K648,",",""))=0,VLOOKUP(INT($K648),[3]Sheet1!$A:$C,3,0),VLOOKUP(INT(LEFT($K648,FIND(",",$K648)-1)),[3]Sheet1!$A:$C,3,0)))</f>
        <v/>
      </c>
      <c r="M648" s="80" t="str">
        <f t="shared" si="67"/>
        <v/>
      </c>
      <c r="N648" s="45" t="str">
        <f>IF(LEN($K648)-LEN(SUBSTITUTE($K648,",",""))=1,VLOOKUP(INT(RIGHT($K648,LEN($K648)-FIND(",",$K648))),[3]Sheet1!$A:$C,3,0),"")</f>
        <v/>
      </c>
      <c r="O648" s="45" t="str">
        <f t="shared" si="64"/>
        <v/>
      </c>
      <c r="P648" s="45" t="str">
        <f t="shared" si="60"/>
        <v/>
      </c>
      <c r="Q648" s="45" t="str">
        <f t="shared" si="65"/>
        <v/>
      </c>
      <c r="R648" s="45"/>
      <c r="S648" s="45" t="str">
        <f>IF(ISERROR($Q648),"进阶+"&amp;COUNTIF($E$194:$E648,$E648)&amp;"："&amp;"找ZC配技能","进阶+"&amp;COUNTIF($E$194:$E648,$E648)&amp;"："&amp;VLOOKUP(COUNTIF($E$194:$E648,$E648),$L$184:$R$193,IF(H648=1,4,IF(H648=4,3,2))+IF(INDEX([1]Sheet1!$1:$1048576,MATCH($E648,[1]Sheet1!$A:$A,0),MATCH("zizhi",[1]Sheet1!$2:$2,0))&gt;=13,0,3),0)&amp;IF($Q648="","","（"&amp;$Q648&amp;"）"))</f>
        <v>进阶+3：生命，防御提高10%</v>
      </c>
      <c r="T648" s="1"/>
      <c r="U648" s="1"/>
      <c r="V648" s="2" t="str">
        <f>VLOOKUP(COUNTIF($E$194:$E648,$E648),$L$184:$X$193,IF(H648=1,4,IF(H648=4,3,2))+IF(INDEX([1]Sheet1!$1:$1048576,MATCH($E648,[1]Sheet1!$A:$A,0),MATCH("zizhi",[1]Sheet1!$2:$2,0))&gt;=13,0,3)+6,0)</f>
        <v>11090,6502,6512</v>
      </c>
      <c r="W648" s="2" t="str">
        <f t="shared" si="63"/>
        <v>进阶+3：生命，防御提高10%</v>
      </c>
      <c r="X648" s="45" t="str">
        <f t="shared" si="61"/>
        <v>11090,6502,6512</v>
      </c>
      <c r="Y648" s="2"/>
      <c r="Z648" s="2"/>
      <c r="AA648" s="2"/>
    </row>
    <row r="649" spans="1:27" ht="33">
      <c r="A649" s="10">
        <f>E649*100+COUNTIF($E$194:$E649,$E649)</f>
        <v>113004</v>
      </c>
      <c r="B649" s="68" t="s">
        <v>1889</v>
      </c>
      <c r="C649" s="50" t="s">
        <v>2</v>
      </c>
      <c r="D649" s="10">
        <f t="shared" si="66"/>
        <v>1</v>
      </c>
      <c r="E649" s="45">
        <f>INDEX($I:$I,MATCH($E648,$I:$I,0)+IF(COUNTIF($E$194:$E648,$E648)&lt;=VLOOKUP($E648,$I$134:$K$193,3,0)-1,0,1),0)</f>
        <v>1130</v>
      </c>
      <c r="F649" s="45" t="str">
        <f t="shared" si="62"/>
        <v>地藏王</v>
      </c>
      <c r="G649" s="45" t="s">
        <v>217</v>
      </c>
      <c r="H649" s="45">
        <f>VLOOKUP($E649,[1]Sheet1!$A:$G,7,0)</f>
        <v>4</v>
      </c>
      <c r="I649" s="45" t="str">
        <f>IF($G649="","",IF(COUNTIF(技能描述!$D:$D,$F649)&gt;0,VLOOKUP($F649&amp;$G649,技能描述!$A:$C,3,0),LEFT(VLOOKUP($E649,[1]Sheet1!$A:$J,10,0),FIND("_",VLOOKUP($E649,[1]Sheet1!$A:$J,10,0))-1)&amp;$G649))</f>
        <v>dizangwang_skill04</v>
      </c>
      <c r="J649" s="45" t="str">
        <f>IF($I649="","",VLOOKUP($I649,技能描述!$A:$C,3,0))</f>
        <v>地藏王念起梵音咒，对命中目标造成自身攻击力@s的伤害，并降低@s攻击力</v>
      </c>
      <c r="K649" s="45" t="str">
        <f>IF($I649="","",INDEX([2]Sheet1!$1:$1048576,MATCH($I649,[2]Sheet1!$A:$A,0),MATCH("description_damage",[2]Sheet1!$2:$2,0)))</f>
        <v>113004,9010</v>
      </c>
      <c r="L649" s="80" t="str">
        <f>IF($K649="","",IF(LEN($K649)-LEN(SUBSTITUTE($K649,",",""))=0,VLOOKUP(INT($K649),[3]Sheet1!$A:$C,3,0),VLOOKUP(INT(LEFT($K649,FIND(",",$K649)-1)),[3]Sheet1!$A:$C,3,0)))</f>
        <v>2|1|1.35|0|0|0</v>
      </c>
      <c r="M649" s="80" t="str">
        <f t="shared" si="67"/>
        <v>135%</v>
      </c>
      <c r="N649" s="45" t="str">
        <f>IF(LEN($K649)-LEN(SUBSTITUTE($K649,",",""))=1,VLOOKUP(INT(RIGHT($K649,LEN($K649)-FIND(",",$K649))),[3]Sheet1!$A:$C,3,0),"")</f>
        <v>4|3|0.1|0|1</v>
      </c>
      <c r="O649" s="45" t="str">
        <f t="shared" si="64"/>
        <v>10%</v>
      </c>
      <c r="P649" s="45" t="str">
        <f t="shared" si="60"/>
        <v>地藏王念起梵音咒，对命中目标造成自身攻击力135%的伤害，并降低@s攻击力</v>
      </c>
      <c r="Q649" s="45" t="str">
        <f t="shared" si="65"/>
        <v>地藏王念起梵音咒，对命中目标造成自身攻击力135%的伤害，并降低10%攻击力</v>
      </c>
      <c r="R649" s="45"/>
      <c r="S649" s="45" t="str">
        <f>IF(ISERROR($Q649),"进阶+"&amp;COUNTIF($E$194:$E649,$E649)&amp;"："&amp;"找ZC配技能","进阶+"&amp;COUNTIF($E$194:$E649,$E649)&amp;"："&amp;VLOOKUP(COUNTIF($E$194:$E649,$E649),$L$184:$R$193,IF(H649=1,4,IF(H649=4,3,2))+IF(INDEX([1]Sheet1!$1:$1048576,MATCH($E649,[1]Sheet1!$A:$A,0),MATCH("zizhi",[1]Sheet1!$2:$2,0))&gt;=13,0,3),0)&amp;IF($Q649="","","（"&amp;$Q649&amp;"）"))</f>
        <v>进阶+4：激活AI2技能（地藏王念起梵音咒，对命中目标造成自身攻击力135%的伤害，并降低10%攻击力）</v>
      </c>
      <c r="T649" s="1"/>
      <c r="U649" s="1"/>
      <c r="V649" s="2" t="str">
        <f>VLOOKUP(COUNTIF($E$194:$E649,$E649),$L$184:$X$193,IF(H649=1,4,IF(H649=4,3,2))+IF(INDEX([1]Sheet1!$1:$1048576,MATCH($E649,[1]Sheet1!$A:$A,0),MATCH("zizhi",[1]Sheet1!$2:$2,0))&gt;=13,0,3)+6,0)</f>
        <v>[]</v>
      </c>
      <c r="W649" s="2" t="str">
        <f t="shared" si="63"/>
        <v>进阶+4：激活AI2技能（地藏王念起梵音咒，对命中目标造成自身攻击力135%的伤害，并降低10%攻击力）</v>
      </c>
      <c r="X649" s="45" t="str">
        <f t="shared" si="61"/>
        <v>[]</v>
      </c>
      <c r="Y649" s="2"/>
      <c r="Z649" s="2"/>
      <c r="AA649" s="2"/>
    </row>
    <row r="650" spans="1:27">
      <c r="A650" s="10">
        <f>E650*100+COUNTIF($E$194:$E650,$E650)</f>
        <v>113005</v>
      </c>
      <c r="B650" s="68" t="s">
        <v>320</v>
      </c>
      <c r="C650" s="50" t="s">
        <v>239</v>
      </c>
      <c r="D650" s="10" t="str">
        <f t="shared" si="66"/>
        <v>[]</v>
      </c>
      <c r="E650" s="45">
        <f>INDEX($I:$I,MATCH($E649,$I:$I,0)+IF(COUNTIF($E$194:$E649,$E649)&lt;=VLOOKUP($E649,$I$134:$K$193,3,0)-1,0,1),0)</f>
        <v>1130</v>
      </c>
      <c r="F650" s="45" t="str">
        <f t="shared" si="62"/>
        <v>地藏王</v>
      </c>
      <c r="H650" s="45">
        <f>VLOOKUP($E650,[1]Sheet1!$A:$G,7,0)</f>
        <v>4</v>
      </c>
      <c r="I650" s="45" t="str">
        <f>IF($G650="","",IF(COUNTIF(技能描述!$D:$D,$F650)&gt;0,VLOOKUP($F650&amp;$G650,技能描述!$A:$C,3,0),LEFT(VLOOKUP($E650,[1]Sheet1!$A:$J,10,0),FIND("_",VLOOKUP($E650,[1]Sheet1!$A:$J,10,0))-1)&amp;$G650))</f>
        <v/>
      </c>
      <c r="J650" s="45" t="str">
        <f>IF($I650="","",VLOOKUP($I650,技能描述!$A:$C,3,0))</f>
        <v/>
      </c>
      <c r="K650" s="45" t="str">
        <f>IF($I650="","",INDEX([2]Sheet1!$1:$1048576,MATCH($I650,[2]Sheet1!$A:$A,0),MATCH("description_damage",[2]Sheet1!$2:$2,0)))</f>
        <v/>
      </c>
      <c r="L650" s="80" t="str">
        <f>IF($K650="","",IF(LEN($K650)-LEN(SUBSTITUTE($K650,",",""))=0,VLOOKUP(INT($K650),[3]Sheet1!$A:$C,3,0),VLOOKUP(INT(LEFT($K650,FIND(",",$K650)-1)),[3]Sheet1!$A:$C,3,0)))</f>
        <v/>
      </c>
      <c r="M650" s="80" t="str">
        <f t="shared" si="67"/>
        <v/>
      </c>
      <c r="N650" s="45" t="str">
        <f>IF(LEN($K650)-LEN(SUBSTITUTE($K650,",",""))=1,VLOOKUP(INT(RIGHT($K650,LEN($K650)-FIND(",",$K650))),[3]Sheet1!$A:$C,3,0),"")</f>
        <v/>
      </c>
      <c r="O650" s="45" t="str">
        <f t="shared" si="64"/>
        <v/>
      </c>
      <c r="P650" s="45" t="str">
        <f t="shared" si="60"/>
        <v/>
      </c>
      <c r="Q650" s="45" t="str">
        <f t="shared" si="65"/>
        <v/>
      </c>
      <c r="R650" s="45"/>
      <c r="S650" s="45" t="str">
        <f>IF(ISERROR($Q650),"进阶+"&amp;COUNTIF($E$194:$E650,$E650)&amp;"："&amp;"找ZC配技能","进阶+"&amp;COUNTIF($E$194:$E650,$E650)&amp;"："&amp;VLOOKUP(COUNTIF($E$194:$E650,$E650),$L$184:$R$193,IF(H650=1,4,IF(H650=4,3,2))+IF(INDEX([1]Sheet1!$1:$1048576,MATCH($E650,[1]Sheet1!$A:$A,0),MATCH("zizhi",[1]Sheet1!$2:$2,0))&gt;=13,0,3),0)&amp;IF($Q650="","","（"&amp;$Q650&amp;"）"))</f>
        <v>进阶+5：攻击提高15%</v>
      </c>
      <c r="T650" s="1"/>
      <c r="U650" s="1"/>
      <c r="V650" s="2" t="str">
        <f>VLOOKUP(COUNTIF($E$194:$E650,$E650),$L$184:$X$193,IF(H650=1,4,IF(H650=4,3,2))+IF(INDEX([1]Sheet1!$1:$1048576,MATCH($E650,[1]Sheet1!$A:$A,0),MATCH("zizhi",[1]Sheet1!$2:$2,0))&gt;=13,0,3)+6,0)</f>
        <v>11055</v>
      </c>
      <c r="W650" s="2" t="str">
        <f t="shared" si="63"/>
        <v>进阶+5：攻击提高15%</v>
      </c>
      <c r="X650" s="45" t="str">
        <f t="shared" si="61"/>
        <v>11055</v>
      </c>
      <c r="Y650" s="2"/>
      <c r="Z650" s="2"/>
      <c r="AA650" s="2"/>
    </row>
    <row r="651" spans="1:27">
      <c r="A651" s="10">
        <f>E651*100+COUNTIF($E$194:$E651,$E651)</f>
        <v>113006</v>
      </c>
      <c r="B651" s="68" t="s">
        <v>321</v>
      </c>
      <c r="C651" s="50" t="s">
        <v>255</v>
      </c>
      <c r="D651" s="10" t="str">
        <f t="shared" si="66"/>
        <v>[]</v>
      </c>
      <c r="E651" s="45">
        <f>INDEX($I:$I,MATCH($E650,$I:$I,0)+IF(COUNTIF($E$194:$E650,$E650)&lt;=VLOOKUP($E650,$I$134:$K$193,3,0)-1,0,1),0)</f>
        <v>1130</v>
      </c>
      <c r="F651" s="45" t="str">
        <f t="shared" si="62"/>
        <v>地藏王</v>
      </c>
      <c r="H651" s="45">
        <f>VLOOKUP($E651,[1]Sheet1!$A:$G,7,0)</f>
        <v>4</v>
      </c>
      <c r="I651" s="45" t="str">
        <f>IF($G651="","",IF(COUNTIF(技能描述!$D:$D,$F651)&gt;0,VLOOKUP($F651&amp;$G651,技能描述!$A:$C,3,0),LEFT(VLOOKUP($E651,[1]Sheet1!$A:$J,10,0),FIND("_",VLOOKUP($E651,[1]Sheet1!$A:$J,10,0))-1)&amp;$G651))</f>
        <v/>
      </c>
      <c r="J651" s="45" t="str">
        <f>IF($I651="","",VLOOKUP($I651,技能描述!$A:$C,3,0))</f>
        <v/>
      </c>
      <c r="K651" s="45" t="str">
        <f>IF($I651="","",INDEX([2]Sheet1!$1:$1048576,MATCH($I651,[2]Sheet1!$A:$A,0),MATCH("description_damage",[2]Sheet1!$2:$2,0)))</f>
        <v/>
      </c>
      <c r="L651" s="80" t="str">
        <f>IF($K651="","",IF(LEN($K651)-LEN(SUBSTITUTE($K651,",",""))=0,VLOOKUP(INT($K651),[3]Sheet1!$A:$C,3,0),VLOOKUP(INT(LEFT($K651,FIND(",",$K651)-1)),[3]Sheet1!$A:$C,3,0)))</f>
        <v/>
      </c>
      <c r="M651" s="80" t="str">
        <f t="shared" si="67"/>
        <v/>
      </c>
      <c r="N651" s="45" t="str">
        <f>IF(LEN($K651)-LEN(SUBSTITUTE($K651,",",""))=1,VLOOKUP(INT(RIGHT($K651,LEN($K651)-FIND(",",$K651))),[3]Sheet1!$A:$C,3,0),"")</f>
        <v/>
      </c>
      <c r="O651" s="45" t="str">
        <f t="shared" si="64"/>
        <v/>
      </c>
      <c r="P651" s="45" t="str">
        <f t="shared" si="60"/>
        <v/>
      </c>
      <c r="Q651" s="45" t="str">
        <f t="shared" si="65"/>
        <v/>
      </c>
      <c r="R651" s="45"/>
      <c r="S651" s="45" t="str">
        <f>IF(ISERROR($Q651),"进阶+"&amp;COUNTIF($E$194:$E651,$E651)&amp;"："&amp;"找ZC配技能","进阶+"&amp;COUNTIF($E$194:$E651,$E651)&amp;"："&amp;VLOOKUP(COUNTIF($E$194:$E651,$E651),$L$184:$R$193,IF(H651=1,4,IF(H651=4,3,2))+IF(INDEX([1]Sheet1!$1:$1048576,MATCH($E651,[1]Sheet1!$A:$A,0),MATCH("zizhi",[1]Sheet1!$2:$2,0))&gt;=13,0,3),0)&amp;IF($Q651="","","（"&amp;$Q651&amp;"）"))</f>
        <v>进阶+6：抗暴提高20%</v>
      </c>
      <c r="T651" s="1"/>
      <c r="U651" s="1"/>
      <c r="V651" s="2" t="str">
        <f>VLOOKUP(COUNTIF($E$194:$E651,$E651),$L$184:$X$193,IF(H651=1,4,IF(H651=4,3,2))+IF(INDEX([1]Sheet1!$1:$1048576,MATCH($E651,[1]Sheet1!$A:$A,0),MATCH("zizhi",[1]Sheet1!$2:$2,0))&gt;=13,0,3)+6,0)</f>
        <v>11160</v>
      </c>
      <c r="W651" s="2" t="str">
        <f t="shared" si="63"/>
        <v>进阶+6：抗暴提高20%</v>
      </c>
      <c r="X651" s="45" t="str">
        <f t="shared" si="61"/>
        <v>11160</v>
      </c>
      <c r="Y651" s="2"/>
      <c r="Z651" s="2"/>
      <c r="AA651" s="2"/>
    </row>
    <row r="652" spans="1:27">
      <c r="A652" s="10">
        <f>E652*100+COUNTIF($E$194:$E652,$E652)</f>
        <v>113007</v>
      </c>
      <c r="B652" s="68" t="s">
        <v>360</v>
      </c>
      <c r="C652" s="50" t="s">
        <v>354</v>
      </c>
      <c r="D652" s="10" t="str">
        <f t="shared" si="66"/>
        <v>[]</v>
      </c>
      <c r="E652" s="45">
        <f>INDEX($I:$I,MATCH($E651,$I:$I,0)+IF(COUNTIF($E$194:$E651,$E651)&lt;=VLOOKUP($E651,$I$134:$K$193,3,0)-1,0,1),0)</f>
        <v>1130</v>
      </c>
      <c r="F652" s="45" t="str">
        <f t="shared" si="62"/>
        <v>地藏王</v>
      </c>
      <c r="H652" s="45">
        <f>VLOOKUP($E652,[1]Sheet1!$A:$G,7,0)</f>
        <v>4</v>
      </c>
      <c r="I652" s="45" t="str">
        <f>IF($G652="","",IF(COUNTIF(技能描述!$D:$D,$F652)&gt;0,VLOOKUP($F652&amp;$G652,技能描述!$A:$C,3,0),LEFT(VLOOKUP($E652,[1]Sheet1!$A:$J,10,0),FIND("_",VLOOKUP($E652,[1]Sheet1!$A:$J,10,0))-1)&amp;$G652))</f>
        <v/>
      </c>
      <c r="J652" s="45" t="str">
        <f>IF($I652="","",VLOOKUP($I652,技能描述!$A:$C,3,0))</f>
        <v/>
      </c>
      <c r="K652" s="45" t="str">
        <f>IF($I652="","",INDEX([2]Sheet1!$1:$1048576,MATCH($I652,[2]Sheet1!$A:$A,0),MATCH("description_damage",[2]Sheet1!$2:$2,0)))</f>
        <v/>
      </c>
      <c r="L652" s="80" t="str">
        <f>IF($K652="","",IF(LEN($K652)-LEN(SUBSTITUTE($K652,",",""))=0,VLOOKUP(INT($K652),[3]Sheet1!$A:$C,3,0),VLOOKUP(INT(LEFT($K652,FIND(",",$K652)-1)),[3]Sheet1!$A:$C,3,0)))</f>
        <v/>
      </c>
      <c r="M652" s="80" t="str">
        <f t="shared" si="67"/>
        <v/>
      </c>
      <c r="N652" s="45" t="str">
        <f>IF(LEN($K652)-LEN(SUBSTITUTE($K652,",",""))=1,VLOOKUP(INT(RIGHT($K652,LEN($K652)-FIND(",",$K652))),[3]Sheet1!$A:$C,3,0),"")</f>
        <v/>
      </c>
      <c r="O652" s="45" t="str">
        <f t="shared" si="64"/>
        <v/>
      </c>
      <c r="P652" s="45" t="str">
        <f t="shared" si="60"/>
        <v/>
      </c>
      <c r="Q652" s="45" t="str">
        <f t="shared" si="65"/>
        <v/>
      </c>
      <c r="R652" s="45"/>
      <c r="S652" s="45" t="str">
        <f>IF(ISERROR($Q652),"进阶+"&amp;COUNTIF($E$194:$E652,$E652)&amp;"："&amp;"找ZC配技能","进阶+"&amp;COUNTIF($E$194:$E652,$E652)&amp;"："&amp;VLOOKUP(COUNTIF($E$194:$E652,$E652),$L$184:$R$193,IF(H652=1,4,IF(H652=4,3,2))+IF(INDEX([1]Sheet1!$1:$1048576,MATCH($E652,[1]Sheet1!$A:$A,0),MATCH("zizhi",[1]Sheet1!$2:$2,0))&gt;=13,0,3),0)&amp;IF($Q652="","","（"&amp;$Q652&amp;"）"))</f>
        <v>进阶+7：全队生命，防御提高10%</v>
      </c>
      <c r="T652" s="1"/>
      <c r="U652" s="1"/>
      <c r="V652" s="2" t="str">
        <f>VLOOKUP(COUNTIF($E$194:$E652,$E652),$L$184:$X$193,IF(H652=1,4,IF(H652=4,3,2))+IF(INDEX([1]Sheet1!$1:$1048576,MATCH($E652,[1]Sheet1!$A:$A,0),MATCH("zizhi",[1]Sheet1!$2:$2,0))&gt;=13,0,3)+6,0)</f>
        <v>57010,59010,60010</v>
      </c>
      <c r="W652" s="2" t="str">
        <f t="shared" si="63"/>
        <v>进阶+7：全队生命，防御提高10%</v>
      </c>
      <c r="X652" s="45" t="str">
        <f t="shared" si="61"/>
        <v>57010,59010,60010</v>
      </c>
      <c r="Y652" s="2"/>
      <c r="Z652" s="2"/>
      <c r="AA652" s="2"/>
    </row>
    <row r="653" spans="1:27">
      <c r="A653" s="10">
        <f>E653*100+COUNTIF($E$194:$E653,$E653)</f>
        <v>113008</v>
      </c>
      <c r="B653" s="68" t="s">
        <v>322</v>
      </c>
      <c r="C653" s="50" t="s">
        <v>254</v>
      </c>
      <c r="D653" s="10" t="str">
        <f t="shared" si="66"/>
        <v>[]</v>
      </c>
      <c r="E653" s="45">
        <f>INDEX($I:$I,MATCH($E652,$I:$I,0)+IF(COUNTIF($E$194:$E652,$E652)&lt;=VLOOKUP($E652,$I$134:$K$193,3,0)-1,0,1),0)</f>
        <v>1130</v>
      </c>
      <c r="F653" s="45" t="str">
        <f t="shared" si="62"/>
        <v>地藏王</v>
      </c>
      <c r="H653" s="45">
        <f>VLOOKUP($E653,[1]Sheet1!$A:$G,7,0)</f>
        <v>4</v>
      </c>
      <c r="I653" s="45" t="str">
        <f>IF($G653="","",IF(COUNTIF(技能描述!$D:$D,$F653)&gt;0,VLOOKUP($F653&amp;$G653,技能描述!$A:$C,3,0),LEFT(VLOOKUP($E653,[1]Sheet1!$A:$J,10,0),FIND("_",VLOOKUP($E653,[1]Sheet1!$A:$J,10,0))-1)&amp;$G653))</f>
        <v/>
      </c>
      <c r="J653" s="45" t="str">
        <f>IF($I653="","",VLOOKUP($I653,技能描述!$A:$C,3,0))</f>
        <v/>
      </c>
      <c r="K653" s="45" t="str">
        <f>IF($I653="","",INDEX([2]Sheet1!$1:$1048576,MATCH($I653,[2]Sheet1!$A:$A,0),MATCH("description_damage",[2]Sheet1!$2:$2,0)))</f>
        <v/>
      </c>
      <c r="L653" s="80" t="str">
        <f>IF($K653="","",IF(LEN($K653)-LEN(SUBSTITUTE($K653,",",""))=0,VLOOKUP(INT($K653),[3]Sheet1!$A:$C,3,0),VLOOKUP(INT(LEFT($K653,FIND(",",$K653)-1)),[3]Sheet1!$A:$C,3,0)))</f>
        <v/>
      </c>
      <c r="M653" s="80" t="str">
        <f t="shared" si="67"/>
        <v/>
      </c>
      <c r="N653" s="45" t="str">
        <f>IF(LEN($K653)-LEN(SUBSTITUTE($K653,",",""))=1,VLOOKUP(INT(RIGHT($K653,LEN($K653)-FIND(",",$K653))),[3]Sheet1!$A:$C,3,0),"")</f>
        <v/>
      </c>
      <c r="O653" s="45" t="str">
        <f t="shared" si="64"/>
        <v/>
      </c>
      <c r="P653" s="45" t="str">
        <f t="shared" si="60"/>
        <v/>
      </c>
      <c r="Q653" s="45" t="str">
        <f t="shared" si="65"/>
        <v/>
      </c>
      <c r="R653" s="45"/>
      <c r="S653" s="45" t="str">
        <f>IF(ISERROR($Q653),"进阶+"&amp;COUNTIF($E$194:$E653,$E653)&amp;"："&amp;"找ZC配技能","进阶+"&amp;COUNTIF($E$194:$E653,$E653)&amp;"："&amp;VLOOKUP(COUNTIF($E$194:$E653,$E653),$L$184:$R$193,IF(H653=1,4,IF(H653=4,3,2))+IF(INDEX([1]Sheet1!$1:$1048576,MATCH($E653,[1]Sheet1!$A:$A,0),MATCH("zizhi",[1]Sheet1!$2:$2,0))&gt;=13,0,3),0)&amp;IF($Q653="","","（"&amp;$Q653&amp;"）"))</f>
        <v>进阶+8：闪避提高15%</v>
      </c>
      <c r="T653" s="1"/>
      <c r="U653" s="1"/>
      <c r="V653" s="2" t="str">
        <f>VLOOKUP(COUNTIF($E$194:$E653,$E653),$L$184:$X$193,IF(H653=1,4,IF(H653=4,3,2))+IF(INDEX([1]Sheet1!$1:$1048576,MATCH($E653,[1]Sheet1!$A:$A,0),MATCH("zizhi",[1]Sheet1!$2:$2,0))&gt;=13,0,3)+6,0)</f>
        <v>11115</v>
      </c>
      <c r="W653" s="2" t="str">
        <f t="shared" si="63"/>
        <v>进阶+8：闪避提高15%</v>
      </c>
      <c r="X653" s="45" t="str">
        <f t="shared" si="61"/>
        <v>11115</v>
      </c>
      <c r="Y653" s="2"/>
      <c r="Z653" s="2"/>
      <c r="AA653" s="2"/>
    </row>
    <row r="654" spans="1:27">
      <c r="A654" s="10">
        <f>E654*100+COUNTIF($E$194:$E654,$E654)</f>
        <v>120301</v>
      </c>
      <c r="B654" s="68" t="s">
        <v>310</v>
      </c>
      <c r="C654" s="50">
        <v>11050</v>
      </c>
      <c r="D654" s="10" t="str">
        <f t="shared" si="66"/>
        <v>[]</v>
      </c>
      <c r="E654" s="45">
        <f>INDEX($I:$I,MATCH($E653,$I:$I,0)+IF(COUNTIF($E$194:$E653,$E653)&lt;=VLOOKUP($E653,$I$134:$K$193,3,0)-1,0,1),0)</f>
        <v>1203</v>
      </c>
      <c r="F654" s="45" t="str">
        <f t="shared" si="62"/>
        <v>鬼使黑</v>
      </c>
      <c r="H654" s="45">
        <f>VLOOKUP($E654,[1]Sheet1!$A:$G,7,0)</f>
        <v>2</v>
      </c>
      <c r="I654" s="45" t="str">
        <f>IF($G654="","",IF(COUNTIF(技能描述!$D:$D,$F654)&gt;0,VLOOKUP($F654&amp;$G654,技能描述!$A:$C,3,0),LEFT(VLOOKUP($E654,[1]Sheet1!$A:$J,10,0),FIND("_",VLOOKUP($E654,[1]Sheet1!$A:$J,10,0))-1)&amp;$G654))</f>
        <v/>
      </c>
      <c r="J654" s="45" t="str">
        <f>IF($I654="","",VLOOKUP($I654,技能描述!$A:$C,3,0))</f>
        <v/>
      </c>
      <c r="K654" s="45" t="str">
        <f>IF($I654="","",INDEX([2]Sheet1!$1:$1048576,MATCH($I654,[2]Sheet1!$A:$A,0),MATCH("description_damage",[2]Sheet1!$2:$2,0)))</f>
        <v/>
      </c>
      <c r="L654" s="80" t="str">
        <f>IF($K654="","",IF(LEN($K654)-LEN(SUBSTITUTE($K654,",",""))=0,VLOOKUP(INT($K654),[3]Sheet1!$A:$C,3,0),VLOOKUP(INT(LEFT($K654,FIND(",",$K654)-1)),[3]Sheet1!$A:$C,3,0)))</f>
        <v/>
      </c>
      <c r="M654" s="80" t="str">
        <f t="shared" si="67"/>
        <v/>
      </c>
      <c r="N654" s="45" t="str">
        <f>IF(LEN($K654)-LEN(SUBSTITUTE($K654,",",""))=1,VLOOKUP(INT(RIGHT($K654,LEN($K654)-FIND(",",$K654))),[3]Sheet1!$A:$C,3,0),"")</f>
        <v/>
      </c>
      <c r="O654" s="45" t="str">
        <f t="shared" si="64"/>
        <v/>
      </c>
      <c r="P654" s="45" t="str">
        <f t="shared" si="60"/>
        <v/>
      </c>
      <c r="Q654" s="45" t="str">
        <f t="shared" si="65"/>
        <v/>
      </c>
      <c r="R654" s="45"/>
      <c r="S654" s="45" t="str">
        <f>IF(ISERROR($Q654),"进阶+"&amp;COUNTIF($E$194:$E654,$E654)&amp;"："&amp;"找ZC配技能","进阶+"&amp;COUNTIF($E$194:$E654,$E654)&amp;"："&amp;VLOOKUP(COUNTIF($E$194:$E654,$E654),$L$184:$R$193,IF(H654=1,4,IF(H654=4,3,2))+IF(INDEX([1]Sheet1!$1:$1048576,MATCH($E654,[1]Sheet1!$A:$A,0),MATCH("zizhi",[1]Sheet1!$2:$2,0))&gt;=13,0,3),0)&amp;IF($Q654="","","（"&amp;$Q654&amp;"）"))</f>
        <v>进阶+1：攻击提高10%</v>
      </c>
      <c r="T654" s="1"/>
      <c r="U654" s="1"/>
      <c r="V654" s="2">
        <f>VLOOKUP(COUNTIF($E$194:$E654,$E654),$L$184:$X$193,IF(H654=1,4,IF(H654=4,3,2))+IF(INDEX([1]Sheet1!$1:$1048576,MATCH($E654,[1]Sheet1!$A:$A,0),MATCH("zizhi",[1]Sheet1!$2:$2,0))&gt;=13,0,3)+6,0)</f>
        <v>11050</v>
      </c>
      <c r="W654" s="2" t="str">
        <f t="shared" si="63"/>
        <v>进阶+1：攻击提高10%</v>
      </c>
      <c r="X654" s="45">
        <f t="shared" si="61"/>
        <v>11050</v>
      </c>
      <c r="Y654" s="2"/>
      <c r="Z654" s="2"/>
      <c r="AA654" s="2"/>
    </row>
    <row r="655" spans="1:27">
      <c r="A655" s="10">
        <f>E655*100+COUNTIF($E$194:$E655,$E655)</f>
        <v>120302</v>
      </c>
      <c r="B655" s="68" t="s">
        <v>366</v>
      </c>
      <c r="C655" s="50" t="s">
        <v>2</v>
      </c>
      <c r="D655" s="10">
        <f t="shared" si="66"/>
        <v>1</v>
      </c>
      <c r="E655" s="45">
        <f>INDEX($I:$I,MATCH($E654,$I:$I,0)+IF(COUNTIF($E$194:$E654,$E654)&lt;=VLOOKUP($E654,$I$134:$K$193,3,0)-1,0,1),0)</f>
        <v>1203</v>
      </c>
      <c r="F655" s="45" t="str">
        <f t="shared" si="62"/>
        <v>鬼使黑</v>
      </c>
      <c r="G655" s="45" t="s">
        <v>216</v>
      </c>
      <c r="H655" s="45">
        <f>VLOOKUP($E655,[1]Sheet1!$A:$G,7,0)</f>
        <v>2</v>
      </c>
      <c r="I655" s="45" t="str">
        <f>IF($G655="","",IF(COUNTIF(技能描述!$D:$D,$F655)&gt;0,VLOOKUP($F655&amp;$G655,技能描述!$A:$C,3,0),LEFT(VLOOKUP($E655,[1]Sheet1!$A:$J,10,0),FIND("_",VLOOKUP($E655,[1]Sheet1!$A:$J,10,0))-1)&amp;$G655))</f>
        <v>guishihei_skill03</v>
      </c>
      <c r="J655" s="45" t="str">
        <f>IF($I655="","",VLOOKUP($I655,技能描述!$A:$C,3,0))</f>
        <v>进入战斗场景时，增加自身@s的闪避率</v>
      </c>
      <c r="K655" s="45" t="str">
        <f>IF($I655="","",INDEX([2]Sheet1!$1:$1048576,MATCH($I655,[2]Sheet1!$A:$A,0),MATCH("description_damage",[2]Sheet1!$2:$2,0)))</f>
        <v>9015</v>
      </c>
      <c r="L655" s="80" t="str">
        <f>IF($K655="","",IF(LEN($K655)-LEN(SUBSTITUTE($K655,",",""))=0,VLOOKUP(INT($K655),[3]Sheet1!$A:$C,3,0),VLOOKUP(INT(LEFT($K655,FIND(",",$K655)-1)),[3]Sheet1!$A:$C,3,0)))</f>
        <v>4|3|0.15|0|1</v>
      </c>
      <c r="M655" s="80" t="str">
        <f t="shared" si="67"/>
        <v>15%</v>
      </c>
      <c r="N655" s="45" t="str">
        <f>IF(LEN($K655)-LEN(SUBSTITUTE($K655,",",""))=1,VLOOKUP(INT(RIGHT($K655,LEN($K655)-FIND(",",$K655))),[3]Sheet1!$A:$C,3,0),"")</f>
        <v/>
      </c>
      <c r="O655" s="45" t="str">
        <f t="shared" si="64"/>
        <v/>
      </c>
      <c r="P655" s="45" t="str">
        <f t="shared" si="60"/>
        <v>进入战斗场景时，增加自身15%的闪避率</v>
      </c>
      <c r="Q655" s="45" t="str">
        <f t="shared" si="65"/>
        <v>进入战斗场景时，增加自身15%的闪避率</v>
      </c>
      <c r="R655" s="45"/>
      <c r="S655" s="45" t="str">
        <f>IF(ISERROR($Q655),"进阶+"&amp;COUNTIF($E$194:$E655,$E655)&amp;"："&amp;"找ZC配技能","进阶+"&amp;COUNTIF($E$194:$E655,$E655)&amp;"："&amp;VLOOKUP(COUNTIF($E$194:$E655,$E655),$L$184:$R$193,IF(H655=1,4,IF(H655=4,3,2))+IF(INDEX([1]Sheet1!$1:$1048576,MATCH($E655,[1]Sheet1!$A:$A,0),MATCH("zizhi",[1]Sheet1!$2:$2,0))&gt;=13,0,3),0)&amp;IF($Q655="","","（"&amp;$Q655&amp;"）"))</f>
        <v>进阶+2：激活被动技能（进入战斗场景时，增加自身15%的闪避率）</v>
      </c>
      <c r="T655" s="1"/>
      <c r="U655" s="1"/>
      <c r="V655" s="2" t="str">
        <f>VLOOKUP(COUNTIF($E$194:$E655,$E655),$L$184:$X$193,IF(H655=1,4,IF(H655=4,3,2))+IF(INDEX([1]Sheet1!$1:$1048576,MATCH($E655,[1]Sheet1!$A:$A,0),MATCH("zizhi",[1]Sheet1!$2:$2,0))&gt;=13,0,3)+6,0)</f>
        <v>[]</v>
      </c>
      <c r="W655" s="2" t="str">
        <f t="shared" si="63"/>
        <v>进阶+2：激活被动技能（进入战斗场景时，增加自身15%的闪避率）</v>
      </c>
      <c r="X655" s="45" t="str">
        <f t="shared" si="61"/>
        <v>[]</v>
      </c>
      <c r="Y655" s="2"/>
      <c r="Z655" s="2"/>
      <c r="AA655" s="2"/>
    </row>
    <row r="656" spans="1:27">
      <c r="A656" s="10">
        <f>E656*100+COUNTIF($E$194:$E656,$E656)</f>
        <v>120303</v>
      </c>
      <c r="B656" s="68" t="s">
        <v>312</v>
      </c>
      <c r="C656" s="50" t="s">
        <v>127</v>
      </c>
      <c r="D656" s="10" t="str">
        <f t="shared" si="66"/>
        <v>[]</v>
      </c>
      <c r="E656" s="45">
        <f>INDEX($I:$I,MATCH($E655,$I:$I,0)+IF(COUNTIF($E$194:$E655,$E655)&lt;=VLOOKUP($E655,$I$134:$K$193,3,0)-1,0,1),0)</f>
        <v>1203</v>
      </c>
      <c r="F656" s="45" t="str">
        <f t="shared" si="62"/>
        <v>鬼使黑</v>
      </c>
      <c r="H656" s="45">
        <f>VLOOKUP($E656,[1]Sheet1!$A:$G,7,0)</f>
        <v>2</v>
      </c>
      <c r="I656" s="45" t="str">
        <f>IF($G656="","",IF(COUNTIF(技能描述!$D:$D,$F656)&gt;0,VLOOKUP($F656&amp;$G656,技能描述!$A:$C,3,0),LEFT(VLOOKUP($E656,[1]Sheet1!$A:$J,10,0),FIND("_",VLOOKUP($E656,[1]Sheet1!$A:$J,10,0))-1)&amp;$G656))</f>
        <v/>
      </c>
      <c r="J656" s="45" t="str">
        <f>IF($I656="","",VLOOKUP($I656,技能描述!$A:$C,3,0))</f>
        <v/>
      </c>
      <c r="K656" s="45" t="str">
        <f>IF($I656="","",INDEX([2]Sheet1!$1:$1048576,MATCH($I656,[2]Sheet1!$A:$A,0),MATCH("description_damage",[2]Sheet1!$2:$2,0)))</f>
        <v/>
      </c>
      <c r="L656" s="80" t="str">
        <f>IF($K656="","",IF(LEN($K656)-LEN(SUBSTITUTE($K656,",",""))=0,VLOOKUP(INT($K656),[3]Sheet1!$A:$C,3,0),VLOOKUP(INT(LEFT($K656,FIND(",",$K656)-1)),[3]Sheet1!$A:$C,3,0)))</f>
        <v/>
      </c>
      <c r="M656" s="80" t="str">
        <f t="shared" si="67"/>
        <v/>
      </c>
      <c r="N656" s="45" t="str">
        <f>IF(LEN($K656)-LEN(SUBSTITUTE($K656,",",""))=1,VLOOKUP(INT(RIGHT($K656,LEN($K656)-FIND(",",$K656))),[3]Sheet1!$A:$C,3,0),"")</f>
        <v/>
      </c>
      <c r="O656" s="45" t="str">
        <f t="shared" si="64"/>
        <v/>
      </c>
      <c r="P656" s="45" t="str">
        <f t="shared" si="60"/>
        <v/>
      </c>
      <c r="Q656" s="45" t="str">
        <f t="shared" si="65"/>
        <v/>
      </c>
      <c r="R656" s="45"/>
      <c r="S656" s="45" t="str">
        <f>IF(ISERROR($Q656),"进阶+"&amp;COUNTIF($E$194:$E656,$E656)&amp;"："&amp;"找ZC配技能","进阶+"&amp;COUNTIF($E$194:$E656,$E656)&amp;"："&amp;VLOOKUP(COUNTIF($E$194:$E656,$E656),$L$184:$R$193,IF(H656=1,4,IF(H656=4,3,2))+IF(INDEX([1]Sheet1!$1:$1048576,MATCH($E656,[1]Sheet1!$A:$A,0),MATCH("zizhi",[1]Sheet1!$2:$2,0))&gt;=13,0,3),0)&amp;IF($Q656="","","（"&amp;$Q656&amp;"）"))</f>
        <v>进阶+3：攻击提高10%</v>
      </c>
      <c r="T656" s="1"/>
      <c r="U656" s="1"/>
      <c r="V656" s="2" t="str">
        <f>VLOOKUP(COUNTIF($E$194:$E656,$E656),$L$184:$X$193,IF(H656=1,4,IF(H656=4,3,2))+IF(INDEX([1]Sheet1!$1:$1048576,MATCH($E656,[1]Sheet1!$A:$A,0),MATCH("zizhi",[1]Sheet1!$2:$2,0))&gt;=13,0,3)+6,0)</f>
        <v>11050</v>
      </c>
      <c r="W656" s="2" t="str">
        <f t="shared" si="63"/>
        <v>进阶+3：攻击提高10%</v>
      </c>
      <c r="X656" s="45" t="str">
        <f t="shared" si="61"/>
        <v>11050</v>
      </c>
      <c r="Y656" s="2"/>
      <c r="Z656" s="2"/>
      <c r="AA656" s="2"/>
    </row>
    <row r="657" spans="1:27" ht="33">
      <c r="A657" s="10">
        <f>E657*100+COUNTIF($E$194:$E657,$E657)</f>
        <v>120304</v>
      </c>
      <c r="B657" s="68" t="s">
        <v>1890</v>
      </c>
      <c r="C657" s="50" t="s">
        <v>2</v>
      </c>
      <c r="D657" s="10">
        <f t="shared" si="66"/>
        <v>1</v>
      </c>
      <c r="E657" s="45">
        <f>INDEX($I:$I,MATCH($E656,$I:$I,0)+IF(COUNTIF($E$194:$E656,$E656)&lt;=VLOOKUP($E656,$I$134:$K$193,3,0)-1,0,1),0)</f>
        <v>1203</v>
      </c>
      <c r="F657" s="45" t="str">
        <f t="shared" si="62"/>
        <v>鬼使黑</v>
      </c>
      <c r="G657" s="45" t="s">
        <v>217</v>
      </c>
      <c r="H657" s="45">
        <f>VLOOKUP($E657,[1]Sheet1!$A:$G,7,0)</f>
        <v>2</v>
      </c>
      <c r="I657" s="45" t="str">
        <f>IF($G657="","",IF(COUNTIF(技能描述!$D:$D,$F657)&gt;0,VLOOKUP($F657&amp;$G657,技能描述!$A:$C,3,0),LEFT(VLOOKUP($E657,[1]Sheet1!$A:$J,10,0),FIND("_",VLOOKUP($E657,[1]Sheet1!$A:$J,10,0))-1)&amp;$G657))</f>
        <v>guishihei_skill04</v>
      </c>
      <c r="J657" s="45" t="str">
        <f>IF($I657="","",VLOOKUP($I657,技能描述!$A:$C,3,0))</f>
        <v>鬼使黑凝聚法力冲向目标，对路径上的目标造成自身攻击力@s的伤害</v>
      </c>
      <c r="K657" s="45" t="str">
        <f>IF($I657="","",INDEX([2]Sheet1!$1:$1048576,MATCH($I657,[2]Sheet1!$A:$A,0),MATCH("description_damage",[2]Sheet1!$2:$2,0)))</f>
        <v>120305</v>
      </c>
      <c r="L657" s="80" t="str">
        <f>IF($K657="","",IF(LEN($K657)-LEN(SUBSTITUTE($K657,",",""))=0,VLOOKUP(INT($K657),[3]Sheet1!$A:$C,3,0),VLOOKUP(INT(LEFT($K657,FIND(",",$K657)-1)),[3]Sheet1!$A:$C,3,0)))</f>
        <v>2|1|1.35|0|0|0</v>
      </c>
      <c r="M657" s="80" t="str">
        <f t="shared" si="67"/>
        <v>135%</v>
      </c>
      <c r="N657" s="45" t="str">
        <f>IF(LEN($K657)-LEN(SUBSTITUTE($K657,",",""))=1,VLOOKUP(INT(RIGHT($K657,LEN($K657)-FIND(",",$K657))),[3]Sheet1!$A:$C,3,0),"")</f>
        <v/>
      </c>
      <c r="O657" s="45" t="str">
        <f t="shared" si="64"/>
        <v/>
      </c>
      <c r="P657" s="45" t="str">
        <f t="shared" si="60"/>
        <v>鬼使黑凝聚法力冲向目标，对路径上的目标造成自身攻击力135%的伤害</v>
      </c>
      <c r="Q657" s="45" t="str">
        <f t="shared" si="65"/>
        <v>鬼使黑凝聚法力冲向目标，对路径上的目标造成自身攻击力135%的伤害</v>
      </c>
      <c r="R657" s="45"/>
      <c r="S657" s="45" t="str">
        <f>IF(ISERROR($Q657),"进阶+"&amp;COUNTIF($E$194:$E657,$E657)&amp;"："&amp;"找ZC配技能","进阶+"&amp;COUNTIF($E$194:$E657,$E657)&amp;"："&amp;VLOOKUP(COUNTIF($E$194:$E657,$E657),$L$184:$R$193,IF(H657=1,4,IF(H657=4,3,2))+IF(INDEX([1]Sheet1!$1:$1048576,MATCH($E657,[1]Sheet1!$A:$A,0),MATCH("zizhi",[1]Sheet1!$2:$2,0))&gt;=13,0,3),0)&amp;IF($Q657="","","（"&amp;$Q657&amp;"）"))</f>
        <v>进阶+4：激活AI2技能（鬼使黑凝聚法力冲向目标，对路径上的目标造成自身攻击力135%的伤害）</v>
      </c>
      <c r="T657" s="1"/>
      <c r="U657" s="1"/>
      <c r="V657" s="2" t="str">
        <f>VLOOKUP(COUNTIF($E$194:$E657,$E657),$L$184:$X$193,IF(H657=1,4,IF(H657=4,3,2))+IF(INDEX([1]Sheet1!$1:$1048576,MATCH($E657,[1]Sheet1!$A:$A,0),MATCH("zizhi",[1]Sheet1!$2:$2,0))&gt;=13,0,3)+6,0)</f>
        <v>[]</v>
      </c>
      <c r="W657" s="2" t="str">
        <f t="shared" si="63"/>
        <v>进阶+4：激活AI2技能（鬼使黑凝聚法力冲向目标，对路径上的目标造成自身攻击力135%的伤害）</v>
      </c>
      <c r="X657" s="45" t="str">
        <f t="shared" si="61"/>
        <v>[]</v>
      </c>
      <c r="Y657" s="2"/>
      <c r="Z657" s="2"/>
      <c r="AA657" s="2"/>
    </row>
    <row r="658" spans="1:27">
      <c r="A658" s="10">
        <f>E658*100+COUNTIF($E$194:$E658,$E658)</f>
        <v>120305</v>
      </c>
      <c r="B658" s="68" t="s">
        <v>323</v>
      </c>
      <c r="C658" s="50" t="s">
        <v>140</v>
      </c>
      <c r="D658" s="10" t="str">
        <f t="shared" si="66"/>
        <v>[]</v>
      </c>
      <c r="E658" s="45">
        <f>INDEX($I:$I,MATCH($E657,$I:$I,0)+IF(COUNTIF($E$194:$E657,$E657)&lt;=VLOOKUP($E657,$I$134:$K$193,3,0)-1,0,1),0)</f>
        <v>1203</v>
      </c>
      <c r="F658" s="45" t="str">
        <f t="shared" si="62"/>
        <v>鬼使黑</v>
      </c>
      <c r="H658" s="45">
        <f>VLOOKUP($E658,[1]Sheet1!$A:$G,7,0)</f>
        <v>2</v>
      </c>
      <c r="I658" s="45" t="str">
        <f>IF($G658="","",IF(COUNTIF(技能描述!$D:$D,$F658)&gt;0,VLOOKUP($F658&amp;$G658,技能描述!$A:$C,3,0),LEFT(VLOOKUP($E658,[1]Sheet1!$A:$J,10,0),FIND("_",VLOOKUP($E658,[1]Sheet1!$A:$J,10,0))-1)&amp;$G658))</f>
        <v/>
      </c>
      <c r="J658" s="45" t="str">
        <f>IF($I658="","",VLOOKUP($I658,技能描述!$A:$C,3,0))</f>
        <v/>
      </c>
      <c r="K658" s="45" t="str">
        <f>IF($I658="","",INDEX([2]Sheet1!$1:$1048576,MATCH($I658,[2]Sheet1!$A:$A,0),MATCH("description_damage",[2]Sheet1!$2:$2,0)))</f>
        <v/>
      </c>
      <c r="L658" s="80" t="str">
        <f>IF($K658="","",IF(LEN($K658)-LEN(SUBSTITUTE($K658,",",""))=0,VLOOKUP(INT($K658),[3]Sheet1!$A:$C,3,0),VLOOKUP(INT(LEFT($K658,FIND(",",$K658)-1)),[3]Sheet1!$A:$C,3,0)))</f>
        <v/>
      </c>
      <c r="M658" s="80" t="str">
        <f t="shared" si="67"/>
        <v/>
      </c>
      <c r="N658" s="45" t="str">
        <f>IF(LEN($K658)-LEN(SUBSTITUTE($K658,",",""))=1,VLOOKUP(INT(RIGHT($K658,LEN($K658)-FIND(",",$K658))),[3]Sheet1!$A:$C,3,0),"")</f>
        <v/>
      </c>
      <c r="O658" s="45" t="str">
        <f t="shared" si="64"/>
        <v/>
      </c>
      <c r="P658" s="45" t="str">
        <f t="shared" si="60"/>
        <v/>
      </c>
      <c r="Q658" s="45" t="str">
        <f t="shared" si="65"/>
        <v/>
      </c>
      <c r="R658" s="45"/>
      <c r="S658" s="45" t="str">
        <f>IF(ISERROR($Q658),"进阶+"&amp;COUNTIF($E$194:$E658,$E658)&amp;"："&amp;"找ZC配技能","进阶+"&amp;COUNTIF($E$194:$E658,$E658)&amp;"："&amp;VLOOKUP(COUNTIF($E$194:$E658,$E658),$L$184:$R$193,IF(H658=1,4,IF(H658=4,3,2))+IF(INDEX([1]Sheet1!$1:$1048576,MATCH($E658,[1]Sheet1!$A:$A,0),MATCH("zizhi",[1]Sheet1!$2:$2,0))&gt;=13,0,3),0)&amp;IF($Q658="","","（"&amp;$Q658&amp;"）"))</f>
        <v>进阶+5：生命，防御提高10%</v>
      </c>
      <c r="T658" s="1"/>
      <c r="U658" s="1"/>
      <c r="V658" s="2" t="str">
        <f>VLOOKUP(COUNTIF($E$194:$E658,$E658),$L$184:$X$193,IF(H658=1,4,IF(H658=4,3,2))+IF(INDEX([1]Sheet1!$1:$1048576,MATCH($E658,[1]Sheet1!$A:$A,0),MATCH("zizhi",[1]Sheet1!$2:$2,0))&gt;=13,0,3)+6,0)</f>
        <v>11090,6502,6512</v>
      </c>
      <c r="W658" s="2" t="str">
        <f t="shared" si="63"/>
        <v>进阶+5：生命，防御提高10%</v>
      </c>
      <c r="X658" s="45" t="str">
        <f t="shared" si="61"/>
        <v>11090,6502,6512</v>
      </c>
      <c r="Y658" s="2"/>
      <c r="Z658" s="2"/>
      <c r="AA658" s="2"/>
    </row>
    <row r="659" spans="1:27">
      <c r="A659" s="10">
        <f>E659*100+COUNTIF($E$194:$E659,$E659)</f>
        <v>120306</v>
      </c>
      <c r="B659" s="68" t="s">
        <v>314</v>
      </c>
      <c r="C659" s="50" t="s">
        <v>241</v>
      </c>
      <c r="D659" s="10" t="str">
        <f t="shared" si="66"/>
        <v>[]</v>
      </c>
      <c r="E659" s="45">
        <f>INDEX($I:$I,MATCH($E658,$I:$I,0)+IF(COUNTIF($E$194:$E658,$E658)&lt;=VLOOKUP($E658,$I$134:$K$193,3,0)-1,0,1),0)</f>
        <v>1203</v>
      </c>
      <c r="F659" s="45" t="str">
        <f t="shared" si="62"/>
        <v>鬼使黑</v>
      </c>
      <c r="H659" s="45">
        <f>VLOOKUP($E659,[1]Sheet1!$A:$G,7,0)</f>
        <v>2</v>
      </c>
      <c r="I659" s="45" t="str">
        <f>IF($G659="","",IF(COUNTIF(技能描述!$D:$D,$F659)&gt;0,VLOOKUP($F659&amp;$G659,技能描述!$A:$C,3,0),LEFT(VLOOKUP($E659,[1]Sheet1!$A:$J,10,0),FIND("_",VLOOKUP($E659,[1]Sheet1!$A:$J,10,0))-1)&amp;$G659))</f>
        <v/>
      </c>
      <c r="J659" s="45" t="str">
        <f>IF($I659="","",VLOOKUP($I659,技能描述!$A:$C,3,0))</f>
        <v/>
      </c>
      <c r="K659" s="45" t="str">
        <f>IF($I659="","",INDEX([2]Sheet1!$1:$1048576,MATCH($I659,[2]Sheet1!$A:$A,0),MATCH("description_damage",[2]Sheet1!$2:$2,0)))</f>
        <v/>
      </c>
      <c r="L659" s="80" t="str">
        <f>IF($K659="","",IF(LEN($K659)-LEN(SUBSTITUTE($K659,",",""))=0,VLOOKUP(INT($K659),[3]Sheet1!$A:$C,3,0),VLOOKUP(INT(LEFT($K659,FIND(",",$K659)-1)),[3]Sheet1!$A:$C,3,0)))</f>
        <v/>
      </c>
      <c r="M659" s="80" t="str">
        <f t="shared" si="67"/>
        <v/>
      </c>
      <c r="N659" s="45" t="str">
        <f>IF(LEN($K659)-LEN(SUBSTITUTE($K659,",",""))=1,VLOOKUP(INT(RIGHT($K659,LEN($K659)-FIND(",",$K659))),[3]Sheet1!$A:$C,3,0),"")</f>
        <v/>
      </c>
      <c r="O659" s="45" t="str">
        <f t="shared" si="64"/>
        <v/>
      </c>
      <c r="P659" s="45" t="str">
        <f t="shared" si="60"/>
        <v/>
      </c>
      <c r="Q659" s="45" t="str">
        <f t="shared" si="65"/>
        <v/>
      </c>
      <c r="R659" s="45"/>
      <c r="S659" s="45" t="str">
        <f>IF(ISERROR($Q659),"进阶+"&amp;COUNTIF($E$194:$E659,$E659)&amp;"："&amp;"找ZC配技能","进阶+"&amp;COUNTIF($E$194:$E659,$E659)&amp;"："&amp;VLOOKUP(COUNTIF($E$194:$E659,$E659),$L$184:$R$193,IF(H659=1,4,IF(H659=4,3,2))+IF(INDEX([1]Sheet1!$1:$1048576,MATCH($E659,[1]Sheet1!$A:$A,0),MATCH("zizhi",[1]Sheet1!$2:$2,0))&gt;=13,0,3),0)&amp;IF($Q659="","","（"&amp;$Q659&amp;"）"))</f>
        <v>进阶+6：暴击提高20%</v>
      </c>
      <c r="T659" s="1"/>
      <c r="U659" s="1"/>
      <c r="V659" s="2" t="str">
        <f>VLOOKUP(COUNTIF($E$194:$E659,$E659),$L$184:$X$193,IF(H659=1,4,IF(H659=4,3,2))+IF(INDEX([1]Sheet1!$1:$1048576,MATCH($E659,[1]Sheet1!$A:$A,0),MATCH("zizhi",[1]Sheet1!$2:$2,0))&gt;=13,0,3)+6,0)</f>
        <v>11080</v>
      </c>
      <c r="W659" s="2" t="str">
        <f t="shared" si="63"/>
        <v>进阶+6：暴击提高20%</v>
      </c>
      <c r="X659" s="45" t="str">
        <f t="shared" si="61"/>
        <v>11080</v>
      </c>
      <c r="Y659" s="2"/>
      <c r="Z659" s="2"/>
      <c r="AA659" s="2"/>
    </row>
    <row r="660" spans="1:27">
      <c r="A660" s="10">
        <f>E660*100+COUNTIF($E$194:$E660,$E660)</f>
        <v>120307</v>
      </c>
      <c r="B660" s="68" t="s">
        <v>359</v>
      </c>
      <c r="C660" s="50" t="s">
        <v>353</v>
      </c>
      <c r="D660" s="10" t="str">
        <f t="shared" si="66"/>
        <v>[]</v>
      </c>
      <c r="E660" s="45">
        <f>INDEX($I:$I,MATCH($E659,$I:$I,0)+IF(COUNTIF($E$194:$E659,$E659)&lt;=VLOOKUP($E659,$I$134:$K$193,3,0)-1,0,1),0)</f>
        <v>1203</v>
      </c>
      <c r="F660" s="45" t="str">
        <f t="shared" si="62"/>
        <v>鬼使黑</v>
      </c>
      <c r="H660" s="45">
        <f>VLOOKUP($E660,[1]Sheet1!$A:$G,7,0)</f>
        <v>2</v>
      </c>
      <c r="I660" s="45" t="str">
        <f>IF($G660="","",IF(COUNTIF(技能描述!$D:$D,$F660)&gt;0,VLOOKUP($F660&amp;$G660,技能描述!$A:$C,3,0),LEFT(VLOOKUP($E660,[1]Sheet1!$A:$J,10,0),FIND("_",VLOOKUP($E660,[1]Sheet1!$A:$J,10,0))-1)&amp;$G660))</f>
        <v/>
      </c>
      <c r="J660" s="45" t="str">
        <f>IF($I660="","",VLOOKUP($I660,技能描述!$A:$C,3,0))</f>
        <v/>
      </c>
      <c r="K660" s="45" t="str">
        <f>IF($I660="","",INDEX([2]Sheet1!$1:$1048576,MATCH($I660,[2]Sheet1!$A:$A,0),MATCH("description_damage",[2]Sheet1!$2:$2,0)))</f>
        <v/>
      </c>
      <c r="L660" s="80" t="str">
        <f>IF($K660="","",IF(LEN($K660)-LEN(SUBSTITUTE($K660,",",""))=0,VLOOKUP(INT($K660),[3]Sheet1!$A:$C,3,0),VLOOKUP(INT(LEFT($K660,FIND(",",$K660)-1)),[3]Sheet1!$A:$C,3,0)))</f>
        <v/>
      </c>
      <c r="M660" s="80" t="str">
        <f t="shared" si="67"/>
        <v/>
      </c>
      <c r="N660" s="45" t="str">
        <f>IF(LEN($K660)-LEN(SUBSTITUTE($K660,",",""))=1,VLOOKUP(INT(RIGHT($K660,LEN($K660)-FIND(",",$K660))),[3]Sheet1!$A:$C,3,0),"")</f>
        <v/>
      </c>
      <c r="O660" s="45" t="str">
        <f t="shared" si="64"/>
        <v/>
      </c>
      <c r="P660" s="45" t="str">
        <f t="shared" si="60"/>
        <v/>
      </c>
      <c r="Q660" s="45" t="str">
        <f t="shared" si="65"/>
        <v/>
      </c>
      <c r="R660" s="45"/>
      <c r="S660" s="45" t="str">
        <f>IF(ISERROR($Q660),"进阶+"&amp;COUNTIF($E$194:$E660,$E660)&amp;"："&amp;"找ZC配技能","进阶+"&amp;COUNTIF($E$194:$E660,$E660)&amp;"："&amp;VLOOKUP(COUNTIF($E$194:$E660,$E660),$L$184:$R$193,IF(H660=1,4,IF(H660=4,3,2))+IF(INDEX([1]Sheet1!$1:$1048576,MATCH($E660,[1]Sheet1!$A:$A,0),MATCH("zizhi",[1]Sheet1!$2:$2,0))&gt;=13,0,3),0)&amp;IF($Q660="","","（"&amp;$Q660&amp;"）"))</f>
        <v>进阶+7：全队攻击提高10%</v>
      </c>
      <c r="T660" s="1"/>
      <c r="U660" s="1"/>
      <c r="V660" s="2" t="str">
        <f>VLOOKUP(COUNTIF($E$194:$E660,$E660),$L$184:$X$193,IF(H660=1,4,IF(H660=4,3,2))+IF(INDEX([1]Sheet1!$1:$1048576,MATCH($E660,[1]Sheet1!$A:$A,0),MATCH("zizhi",[1]Sheet1!$2:$2,0))&gt;=13,0,3)+6,0)</f>
        <v>58010</v>
      </c>
      <c r="W660" s="2" t="str">
        <f t="shared" si="63"/>
        <v>进阶+7：全队攻击提高10%</v>
      </c>
      <c r="X660" s="45" t="str">
        <f t="shared" si="61"/>
        <v>58010</v>
      </c>
      <c r="Y660" s="2"/>
      <c r="Z660" s="2"/>
      <c r="AA660" s="2"/>
    </row>
    <row r="661" spans="1:27">
      <c r="A661" s="10">
        <f>E661*100+COUNTIF($E$194:$E661,$E661)</f>
        <v>120308</v>
      </c>
      <c r="B661" s="68" t="s">
        <v>316</v>
      </c>
      <c r="C661" s="50" t="s">
        <v>153</v>
      </c>
      <c r="D661" s="10" t="str">
        <f t="shared" si="66"/>
        <v>[]</v>
      </c>
      <c r="E661" s="45">
        <f>INDEX($I:$I,MATCH($E660,$I:$I,0)+IF(COUNTIF($E$194:$E660,$E660)&lt;=VLOOKUP($E660,$I$134:$K$193,3,0)-1,0,1),0)</f>
        <v>1203</v>
      </c>
      <c r="F661" s="45" t="str">
        <f t="shared" si="62"/>
        <v>鬼使黑</v>
      </c>
      <c r="H661" s="45">
        <f>VLOOKUP($E661,[1]Sheet1!$A:$G,7,0)</f>
        <v>2</v>
      </c>
      <c r="I661" s="45" t="str">
        <f>IF($G661="","",IF(COUNTIF(技能描述!$D:$D,$F661)&gt;0,VLOOKUP($F661&amp;$G661,技能描述!$A:$C,3,0),LEFT(VLOOKUP($E661,[1]Sheet1!$A:$J,10,0),FIND("_",VLOOKUP($E661,[1]Sheet1!$A:$J,10,0))-1)&amp;$G661))</f>
        <v/>
      </c>
      <c r="J661" s="45" t="str">
        <f>IF($I661="","",VLOOKUP($I661,技能描述!$A:$C,3,0))</f>
        <v/>
      </c>
      <c r="K661" s="45" t="str">
        <f>IF($I661="","",INDEX([2]Sheet1!$1:$1048576,MATCH($I661,[2]Sheet1!$A:$A,0),MATCH("description_damage",[2]Sheet1!$2:$2,0)))</f>
        <v/>
      </c>
      <c r="L661" s="80" t="str">
        <f>IF($K661="","",IF(LEN($K661)-LEN(SUBSTITUTE($K661,",",""))=0,VLOOKUP(INT($K661),[3]Sheet1!$A:$C,3,0),VLOOKUP(INT(LEFT($K661,FIND(",",$K661)-1)),[3]Sheet1!$A:$C,3,0)))</f>
        <v/>
      </c>
      <c r="M661" s="80" t="str">
        <f t="shared" si="67"/>
        <v/>
      </c>
      <c r="N661" s="45" t="str">
        <f>IF(LEN($K661)-LEN(SUBSTITUTE($K661,",",""))=1,VLOOKUP(INT(RIGHT($K661,LEN($K661)-FIND(",",$K661))),[3]Sheet1!$A:$C,3,0),"")</f>
        <v/>
      </c>
      <c r="O661" s="45" t="str">
        <f t="shared" si="64"/>
        <v/>
      </c>
      <c r="P661" s="45" t="str">
        <f t="shared" si="60"/>
        <v/>
      </c>
      <c r="Q661" s="45" t="str">
        <f t="shared" si="65"/>
        <v/>
      </c>
      <c r="R661" s="45"/>
      <c r="S661" s="45" t="str">
        <f>IF(ISERROR($Q661),"进阶+"&amp;COUNTIF($E$194:$E661,$E661)&amp;"："&amp;"找ZC配技能","进阶+"&amp;COUNTIF($E$194:$E661,$E661)&amp;"："&amp;VLOOKUP(COUNTIF($E$194:$E661,$E661),$L$184:$R$193,IF(H661=1,4,IF(H661=4,3,2))+IF(INDEX([1]Sheet1!$1:$1048576,MATCH($E661,[1]Sheet1!$A:$A,0),MATCH("zizhi",[1]Sheet1!$2:$2,0))&gt;=13,0,3),0)&amp;IF($Q661="","","（"&amp;$Q661&amp;"）"))</f>
        <v>进阶+8：命中提高15%</v>
      </c>
      <c r="T661" s="1"/>
      <c r="U661" s="1"/>
      <c r="V661" s="2" t="str">
        <f>VLOOKUP(COUNTIF($E$194:$E661,$E661),$L$184:$X$193,IF(H661=1,4,IF(H661=4,3,2))+IF(INDEX([1]Sheet1!$1:$1048576,MATCH($E661,[1]Sheet1!$A:$A,0),MATCH("zizhi",[1]Sheet1!$2:$2,0))&gt;=13,0,3)+6,0)</f>
        <v>11035</v>
      </c>
      <c r="W661" s="2" t="str">
        <f t="shared" si="63"/>
        <v>进阶+8：命中提高15%</v>
      </c>
      <c r="X661" s="45" t="str">
        <f t="shared" si="61"/>
        <v>11035</v>
      </c>
      <c r="Y661" s="2"/>
      <c r="Z661" s="2"/>
      <c r="AA661" s="2"/>
    </row>
    <row r="662" spans="1:27">
      <c r="A662" s="10">
        <f>E662*100+COUNTIF($E$194:$E662,$E662)</f>
        <v>120501</v>
      </c>
      <c r="B662" s="68" t="s">
        <v>310</v>
      </c>
      <c r="C662" s="50">
        <v>11050</v>
      </c>
      <c r="D662" s="10" t="str">
        <f t="shared" si="66"/>
        <v>[]</v>
      </c>
      <c r="E662" s="45">
        <f>INDEX($I:$I,MATCH($E661,$I:$I,0)+IF(COUNTIF($E$194:$E661,$E661)&lt;=VLOOKUP($E661,$I$134:$K$193,3,0)-1,0,1),0)</f>
        <v>1205</v>
      </c>
      <c r="F662" s="45" t="str">
        <f t="shared" si="62"/>
        <v>马面</v>
      </c>
      <c r="H662" s="45">
        <f>VLOOKUP($E662,[1]Sheet1!$A:$G,7,0)</f>
        <v>3</v>
      </c>
      <c r="I662" s="45" t="str">
        <f>IF($G662="","",IF(COUNTIF(技能描述!$D:$D,$F662)&gt;0,VLOOKUP($F662&amp;$G662,技能描述!$A:$C,3,0),LEFT(VLOOKUP($E662,[1]Sheet1!$A:$J,10,0),FIND("_",VLOOKUP($E662,[1]Sheet1!$A:$J,10,0))-1)&amp;$G662))</f>
        <v/>
      </c>
      <c r="J662" s="45" t="str">
        <f>IF($I662="","",VLOOKUP($I662,技能描述!$A:$C,3,0))</f>
        <v/>
      </c>
      <c r="K662" s="45" t="str">
        <f>IF($I662="","",INDEX([2]Sheet1!$1:$1048576,MATCH($I662,[2]Sheet1!$A:$A,0),MATCH("description_damage",[2]Sheet1!$2:$2,0)))</f>
        <v/>
      </c>
      <c r="L662" s="80" t="str">
        <f>IF($K662="","",IF(LEN($K662)-LEN(SUBSTITUTE($K662,",",""))=0,VLOOKUP(INT($K662),[3]Sheet1!$A:$C,3,0),VLOOKUP(INT(LEFT($K662,FIND(",",$K662)-1)),[3]Sheet1!$A:$C,3,0)))</f>
        <v/>
      </c>
      <c r="M662" s="80" t="str">
        <f t="shared" si="67"/>
        <v/>
      </c>
      <c r="N662" s="45" t="str">
        <f>IF(LEN($K662)-LEN(SUBSTITUTE($K662,",",""))=1,VLOOKUP(INT(RIGHT($K662,LEN($K662)-FIND(",",$K662))),[3]Sheet1!$A:$C,3,0),"")</f>
        <v/>
      </c>
      <c r="O662" s="45" t="str">
        <f t="shared" si="64"/>
        <v/>
      </c>
      <c r="P662" s="45" t="str">
        <f t="shared" si="60"/>
        <v/>
      </c>
      <c r="Q662" s="45" t="str">
        <f t="shared" si="65"/>
        <v/>
      </c>
      <c r="R662" s="45"/>
      <c r="S662" s="45" t="str">
        <f>IF(ISERROR($Q662),"进阶+"&amp;COUNTIF($E$194:$E662,$E662)&amp;"："&amp;"找ZC配技能","进阶+"&amp;COUNTIF($E$194:$E662,$E662)&amp;"："&amp;VLOOKUP(COUNTIF($E$194:$E662,$E662),$L$184:$R$193,IF(H662=1,4,IF(H662=4,3,2))+IF(INDEX([1]Sheet1!$1:$1048576,MATCH($E662,[1]Sheet1!$A:$A,0),MATCH("zizhi",[1]Sheet1!$2:$2,0))&gt;=13,0,3),0)&amp;IF($Q662="","","（"&amp;$Q662&amp;"）"))</f>
        <v>进阶+1：攻击提高10%</v>
      </c>
      <c r="T662" s="1"/>
      <c r="U662" s="1"/>
      <c r="V662" s="2">
        <f>VLOOKUP(COUNTIF($E$194:$E662,$E662),$L$184:$X$193,IF(H662=1,4,IF(H662=4,3,2))+IF(INDEX([1]Sheet1!$1:$1048576,MATCH($E662,[1]Sheet1!$A:$A,0),MATCH("zizhi",[1]Sheet1!$2:$2,0))&gt;=13,0,3)+6,0)</f>
        <v>11050</v>
      </c>
      <c r="W662" s="2" t="str">
        <f t="shared" si="63"/>
        <v>进阶+1：攻击提高10%</v>
      </c>
      <c r="X662" s="45">
        <f t="shared" si="61"/>
        <v>11050</v>
      </c>
      <c r="Y662" s="2"/>
      <c r="Z662" s="2"/>
      <c r="AA662" s="2"/>
    </row>
    <row r="663" spans="1:27">
      <c r="A663" s="10">
        <f>E663*100+COUNTIF($E$194:$E663,$E663)</f>
        <v>120502</v>
      </c>
      <c r="B663" s="68" t="s">
        <v>367</v>
      </c>
      <c r="C663" s="50" t="s">
        <v>2</v>
      </c>
      <c r="D663" s="10">
        <f t="shared" si="66"/>
        <v>1</v>
      </c>
      <c r="E663" s="45">
        <f>INDEX($I:$I,MATCH($E662,$I:$I,0)+IF(COUNTIF($E$194:$E662,$E662)&lt;=VLOOKUP($E662,$I$134:$K$193,3,0)-1,0,1),0)</f>
        <v>1205</v>
      </c>
      <c r="F663" s="45" t="str">
        <f t="shared" si="62"/>
        <v>马面</v>
      </c>
      <c r="G663" s="45" t="s">
        <v>216</v>
      </c>
      <c r="H663" s="45">
        <f>VLOOKUP($E663,[1]Sheet1!$A:$G,7,0)</f>
        <v>3</v>
      </c>
      <c r="I663" s="45" t="str">
        <f>IF($G663="","",IF(COUNTIF(技能描述!$D:$D,$F663)&gt;0,VLOOKUP($F663&amp;$G663,技能描述!$A:$C,3,0),LEFT(VLOOKUP($E663,[1]Sheet1!$A:$J,10,0),FIND("_",VLOOKUP($E663,[1]Sheet1!$A:$J,10,0))-1)&amp;$G663))</f>
        <v>mamian_skill03</v>
      </c>
      <c r="J663" s="45" t="str">
        <f>IF($I663="","",VLOOKUP($I663,技能描述!$A:$C,3,0))</f>
        <v>进入战斗场景时，增加自身@s的攻击速度</v>
      </c>
      <c r="K663" s="45" t="str">
        <f>IF($I663="","",INDEX([2]Sheet1!$1:$1048576,MATCH($I663,[2]Sheet1!$A:$A,0),MATCH("description_damage",[2]Sheet1!$2:$2,0)))</f>
        <v>9020</v>
      </c>
      <c r="L663" s="80" t="str">
        <f>IF($K663="","",IF(LEN($K663)-LEN(SUBSTITUTE($K663,",",""))=0,VLOOKUP(INT($K663),[3]Sheet1!$A:$C,3,0),VLOOKUP(INT(LEFT($K663,FIND(",",$K663)-1)),[3]Sheet1!$A:$C,3,0)))</f>
        <v>4|3|0.2|0|1</v>
      </c>
      <c r="M663" s="80" t="str">
        <f t="shared" si="67"/>
        <v>20%</v>
      </c>
      <c r="N663" s="45" t="str">
        <f>IF(LEN($K663)-LEN(SUBSTITUTE($K663,",",""))=1,VLOOKUP(INT(RIGHT($K663,LEN($K663)-FIND(",",$K663))),[3]Sheet1!$A:$C,3,0),"")</f>
        <v/>
      </c>
      <c r="O663" s="45" t="str">
        <f t="shared" si="64"/>
        <v/>
      </c>
      <c r="P663" s="45" t="str">
        <f t="shared" si="60"/>
        <v>进入战斗场景时，增加自身20%的攻击速度</v>
      </c>
      <c r="Q663" s="45" t="str">
        <f t="shared" si="65"/>
        <v>进入战斗场景时，增加自身20%的攻击速度</v>
      </c>
      <c r="R663" s="45"/>
      <c r="S663" s="45" t="str">
        <f>IF(ISERROR($Q663),"进阶+"&amp;COUNTIF($E$194:$E663,$E663)&amp;"："&amp;"找ZC配技能","进阶+"&amp;COUNTIF($E$194:$E663,$E663)&amp;"："&amp;VLOOKUP(COUNTIF($E$194:$E663,$E663),$L$184:$R$193,IF(H663=1,4,IF(H663=4,3,2))+IF(INDEX([1]Sheet1!$1:$1048576,MATCH($E663,[1]Sheet1!$A:$A,0),MATCH("zizhi",[1]Sheet1!$2:$2,0))&gt;=13,0,3),0)&amp;IF($Q663="","","（"&amp;$Q663&amp;"）"))</f>
        <v>进阶+2：激活被动技能（进入战斗场景时，增加自身20%的攻击速度）</v>
      </c>
      <c r="T663" s="1"/>
      <c r="U663" s="1"/>
      <c r="V663" s="2" t="str">
        <f>VLOOKUP(COUNTIF($E$194:$E663,$E663),$L$184:$X$193,IF(H663=1,4,IF(H663=4,3,2))+IF(INDEX([1]Sheet1!$1:$1048576,MATCH($E663,[1]Sheet1!$A:$A,0),MATCH("zizhi",[1]Sheet1!$2:$2,0))&gt;=13,0,3)+6,0)</f>
        <v>[]</v>
      </c>
      <c r="W663" s="2" t="str">
        <f t="shared" si="63"/>
        <v>进阶+2：激活被动技能（进入战斗场景时，增加自身20%的攻击速度）</v>
      </c>
      <c r="X663" s="45" t="str">
        <f t="shared" si="61"/>
        <v>[]</v>
      </c>
      <c r="Y663" s="2"/>
      <c r="Z663" s="2"/>
      <c r="AA663" s="2"/>
    </row>
    <row r="664" spans="1:27">
      <c r="A664" s="10">
        <f>E664*100+COUNTIF($E$194:$E664,$E664)</f>
        <v>120503</v>
      </c>
      <c r="B664" s="68" t="s">
        <v>312</v>
      </c>
      <c r="C664" s="50" t="s">
        <v>127</v>
      </c>
      <c r="D664" s="10" t="str">
        <f t="shared" si="66"/>
        <v>[]</v>
      </c>
      <c r="E664" s="45">
        <f>INDEX($I:$I,MATCH($E663,$I:$I,0)+IF(COUNTIF($E$194:$E663,$E663)&lt;=VLOOKUP($E663,$I$134:$K$193,3,0)-1,0,1),0)</f>
        <v>1205</v>
      </c>
      <c r="F664" s="45" t="str">
        <f t="shared" si="62"/>
        <v>马面</v>
      </c>
      <c r="H664" s="45">
        <f>VLOOKUP($E664,[1]Sheet1!$A:$G,7,0)</f>
        <v>3</v>
      </c>
      <c r="I664" s="45" t="str">
        <f>IF($G664="","",IF(COUNTIF(技能描述!$D:$D,$F664)&gt;0,VLOOKUP($F664&amp;$G664,技能描述!$A:$C,3,0),LEFT(VLOOKUP($E664,[1]Sheet1!$A:$J,10,0),FIND("_",VLOOKUP($E664,[1]Sheet1!$A:$J,10,0))-1)&amp;$G664))</f>
        <v/>
      </c>
      <c r="J664" s="45" t="str">
        <f>IF($I664="","",VLOOKUP($I664,技能描述!$A:$C,3,0))</f>
        <v/>
      </c>
      <c r="K664" s="45" t="str">
        <f>IF($I664="","",INDEX([2]Sheet1!$1:$1048576,MATCH($I664,[2]Sheet1!$A:$A,0),MATCH("description_damage",[2]Sheet1!$2:$2,0)))</f>
        <v/>
      </c>
      <c r="L664" s="80" t="str">
        <f>IF($K664="","",IF(LEN($K664)-LEN(SUBSTITUTE($K664,",",""))=0,VLOOKUP(INT($K664),[3]Sheet1!$A:$C,3,0),VLOOKUP(INT(LEFT($K664,FIND(",",$K664)-1)),[3]Sheet1!$A:$C,3,0)))</f>
        <v/>
      </c>
      <c r="M664" s="80" t="str">
        <f t="shared" si="67"/>
        <v/>
      </c>
      <c r="N664" s="45" t="str">
        <f>IF(LEN($K664)-LEN(SUBSTITUTE($K664,",",""))=1,VLOOKUP(INT(RIGHT($K664,LEN($K664)-FIND(",",$K664))),[3]Sheet1!$A:$C,3,0),"")</f>
        <v/>
      </c>
      <c r="O664" s="45" t="str">
        <f t="shared" si="64"/>
        <v/>
      </c>
      <c r="P664" s="45" t="str">
        <f t="shared" si="60"/>
        <v/>
      </c>
      <c r="Q664" s="45" t="str">
        <f t="shared" si="65"/>
        <v/>
      </c>
      <c r="R664" s="45"/>
      <c r="S664" s="45" t="str">
        <f>IF(ISERROR($Q664),"进阶+"&amp;COUNTIF($E$194:$E664,$E664)&amp;"："&amp;"找ZC配技能","进阶+"&amp;COUNTIF($E$194:$E664,$E664)&amp;"："&amp;VLOOKUP(COUNTIF($E$194:$E664,$E664),$L$184:$R$193,IF(H664=1,4,IF(H664=4,3,2))+IF(INDEX([1]Sheet1!$1:$1048576,MATCH($E664,[1]Sheet1!$A:$A,0),MATCH("zizhi",[1]Sheet1!$2:$2,0))&gt;=13,0,3),0)&amp;IF($Q664="","","（"&amp;$Q664&amp;"）"))</f>
        <v>进阶+3：攻击提高10%</v>
      </c>
      <c r="T664" s="1"/>
      <c r="U664" s="1"/>
      <c r="V664" s="2" t="str">
        <f>VLOOKUP(COUNTIF($E$194:$E664,$E664),$L$184:$X$193,IF(H664=1,4,IF(H664=4,3,2))+IF(INDEX([1]Sheet1!$1:$1048576,MATCH($E664,[1]Sheet1!$A:$A,0),MATCH("zizhi",[1]Sheet1!$2:$2,0))&gt;=13,0,3)+6,0)</f>
        <v>11050</v>
      </c>
      <c r="W664" s="2" t="str">
        <f t="shared" si="63"/>
        <v>进阶+3：攻击提高10%</v>
      </c>
      <c r="X664" s="45" t="str">
        <f t="shared" si="61"/>
        <v>11050</v>
      </c>
      <c r="Y664" s="2"/>
      <c r="Z664" s="2"/>
      <c r="AA664" s="2"/>
    </row>
    <row r="665" spans="1:27">
      <c r="A665" s="10">
        <f>E665*100+COUNTIF($E$194:$E665,$E665)</f>
        <v>120504</v>
      </c>
      <c r="B665" s="68" t="s">
        <v>347</v>
      </c>
      <c r="C665" s="50" t="s">
        <v>2</v>
      </c>
      <c r="D665" s="10">
        <f t="shared" si="66"/>
        <v>1</v>
      </c>
      <c r="E665" s="45">
        <f>INDEX($I:$I,MATCH($E664,$I:$I,0)+IF(COUNTIF($E$194:$E664,$E664)&lt;=VLOOKUP($E664,$I$134:$K$193,3,0)-1,0,1),0)</f>
        <v>1205</v>
      </c>
      <c r="F665" s="45" t="str">
        <f t="shared" si="62"/>
        <v>马面</v>
      </c>
      <c r="G665" s="45" t="s">
        <v>217</v>
      </c>
      <c r="H665" s="45">
        <f>VLOOKUP($E665,[1]Sheet1!$A:$G,7,0)</f>
        <v>3</v>
      </c>
      <c r="I665" s="45" t="str">
        <f>IF($G665="","",IF(COUNTIF(技能描述!$D:$D,$F665)&gt;0,VLOOKUP($F665&amp;$G665,技能描述!$A:$C,3,0),LEFT(VLOOKUP($E665,[1]Sheet1!$A:$J,10,0),FIND("_",VLOOKUP($E665,[1]Sheet1!$A:$J,10,0))-1)&amp;$G665))</f>
        <v>mamian_skill04</v>
      </c>
      <c r="J665" s="45" t="str">
        <f>IF($I665="","",VLOOKUP($I665,技能描述!$A:$C,3,0))</f>
        <v>对目标造成自身攻击力@s的伤害</v>
      </c>
      <c r="K665" s="45" t="str">
        <f>IF($I665="","",INDEX([2]Sheet1!$1:$1048576,MATCH($I665,[2]Sheet1!$A:$A,0),MATCH("description_damage",[2]Sheet1!$2:$2,0)))</f>
        <v>120504</v>
      </c>
      <c r="L665" s="80" t="str">
        <f>IF($K665="","",IF(LEN($K665)-LEN(SUBSTITUTE($K665,",",""))=0,VLOOKUP(INT($K665),[3]Sheet1!$A:$C,3,0),VLOOKUP(INT(LEFT($K665,FIND(",",$K665)-1)),[3]Sheet1!$A:$C,3,0)))</f>
        <v>2|1|1.35|0|0|0</v>
      </c>
      <c r="M665" s="80" t="str">
        <f t="shared" si="67"/>
        <v>135%</v>
      </c>
      <c r="N665" s="45" t="str">
        <f>IF(LEN($K665)-LEN(SUBSTITUTE($K665,",",""))=1,VLOOKUP(INT(RIGHT($K665,LEN($K665)-FIND(",",$K665))),[3]Sheet1!$A:$C,3,0),"")</f>
        <v/>
      </c>
      <c r="O665" s="45" t="str">
        <f t="shared" si="64"/>
        <v/>
      </c>
      <c r="P665" s="45" t="str">
        <f t="shared" si="60"/>
        <v>对目标造成自身攻击力135%的伤害</v>
      </c>
      <c r="Q665" s="45" t="str">
        <f t="shared" si="65"/>
        <v>对目标造成自身攻击力135%的伤害</v>
      </c>
      <c r="R665" s="45"/>
      <c r="S665" s="45" t="str">
        <f>IF(ISERROR($Q665),"进阶+"&amp;COUNTIF($E$194:$E665,$E665)&amp;"："&amp;"找ZC配技能","进阶+"&amp;COUNTIF($E$194:$E665,$E665)&amp;"："&amp;VLOOKUP(COUNTIF($E$194:$E665,$E665),$L$184:$R$193,IF(H665=1,4,IF(H665=4,3,2))+IF(INDEX([1]Sheet1!$1:$1048576,MATCH($E665,[1]Sheet1!$A:$A,0),MATCH("zizhi",[1]Sheet1!$2:$2,0))&gt;=13,0,3),0)&amp;IF($Q665="","","（"&amp;$Q665&amp;"）"))</f>
        <v>进阶+4：激活AI2技能（对目标造成自身攻击力135%的伤害）</v>
      </c>
      <c r="T665" s="1"/>
      <c r="U665" s="1"/>
      <c r="V665" s="2" t="str">
        <f>VLOOKUP(COUNTIF($E$194:$E665,$E665),$L$184:$X$193,IF(H665=1,4,IF(H665=4,3,2))+IF(INDEX([1]Sheet1!$1:$1048576,MATCH($E665,[1]Sheet1!$A:$A,0),MATCH("zizhi",[1]Sheet1!$2:$2,0))&gt;=13,0,3)+6,0)</f>
        <v>[]</v>
      </c>
      <c r="W665" s="2" t="str">
        <f t="shared" si="63"/>
        <v>进阶+4：激活AI2技能（对目标造成自身攻击力135%的伤害）</v>
      </c>
      <c r="X665" s="45" t="str">
        <f t="shared" si="61"/>
        <v>[]</v>
      </c>
      <c r="Y665" s="2"/>
      <c r="Z665" s="2"/>
      <c r="AA665" s="2"/>
    </row>
    <row r="666" spans="1:27">
      <c r="A666" s="10">
        <f>E666*100+COUNTIF($E$194:$E666,$E666)</f>
        <v>120505</v>
      </c>
      <c r="B666" s="68" t="s">
        <v>323</v>
      </c>
      <c r="C666" s="50" t="s">
        <v>140</v>
      </c>
      <c r="D666" s="10" t="str">
        <f t="shared" si="66"/>
        <v>[]</v>
      </c>
      <c r="E666" s="45">
        <f>INDEX($I:$I,MATCH($E665,$I:$I,0)+IF(COUNTIF($E$194:$E665,$E665)&lt;=VLOOKUP($E665,$I$134:$K$193,3,0)-1,0,1),0)</f>
        <v>1205</v>
      </c>
      <c r="F666" s="45" t="str">
        <f t="shared" si="62"/>
        <v>马面</v>
      </c>
      <c r="H666" s="45">
        <f>VLOOKUP($E666,[1]Sheet1!$A:$G,7,0)</f>
        <v>3</v>
      </c>
      <c r="I666" s="45" t="str">
        <f>IF($G666="","",IF(COUNTIF(技能描述!$D:$D,$F666)&gt;0,VLOOKUP($F666&amp;$G666,技能描述!$A:$C,3,0),LEFT(VLOOKUP($E666,[1]Sheet1!$A:$J,10,0),FIND("_",VLOOKUP($E666,[1]Sheet1!$A:$J,10,0))-1)&amp;$G666))</f>
        <v/>
      </c>
      <c r="J666" s="45" t="str">
        <f>IF($I666="","",VLOOKUP($I666,技能描述!$A:$C,3,0))</f>
        <v/>
      </c>
      <c r="K666" s="45" t="str">
        <f>IF($I666="","",INDEX([2]Sheet1!$1:$1048576,MATCH($I666,[2]Sheet1!$A:$A,0),MATCH("description_damage",[2]Sheet1!$2:$2,0)))</f>
        <v/>
      </c>
      <c r="L666" s="80" t="str">
        <f>IF($K666="","",IF(LEN($K666)-LEN(SUBSTITUTE($K666,",",""))=0,VLOOKUP(INT($K666),[3]Sheet1!$A:$C,3,0),VLOOKUP(INT(LEFT($K666,FIND(",",$K666)-1)),[3]Sheet1!$A:$C,3,0)))</f>
        <v/>
      </c>
      <c r="M666" s="80" t="str">
        <f t="shared" si="67"/>
        <v/>
      </c>
      <c r="N666" s="45" t="str">
        <f>IF(LEN($K666)-LEN(SUBSTITUTE($K666,",",""))=1,VLOOKUP(INT(RIGHT($K666,LEN($K666)-FIND(",",$K666))),[3]Sheet1!$A:$C,3,0),"")</f>
        <v/>
      </c>
      <c r="O666" s="45" t="str">
        <f t="shared" si="64"/>
        <v/>
      </c>
      <c r="P666" s="45" t="str">
        <f t="shared" si="60"/>
        <v/>
      </c>
      <c r="Q666" s="45" t="str">
        <f t="shared" si="65"/>
        <v/>
      </c>
      <c r="R666" s="45"/>
      <c r="S666" s="45" t="str">
        <f>IF(ISERROR($Q666),"进阶+"&amp;COUNTIF($E$194:$E666,$E666)&amp;"："&amp;"找ZC配技能","进阶+"&amp;COUNTIF($E$194:$E666,$E666)&amp;"："&amp;VLOOKUP(COUNTIF($E$194:$E666,$E666),$L$184:$R$193,IF(H666=1,4,IF(H666=4,3,2))+IF(INDEX([1]Sheet1!$1:$1048576,MATCH($E666,[1]Sheet1!$A:$A,0),MATCH("zizhi",[1]Sheet1!$2:$2,0))&gt;=13,0,3),0)&amp;IF($Q666="","","（"&amp;$Q666&amp;"）"))</f>
        <v>进阶+5：生命，防御提高10%</v>
      </c>
      <c r="T666" s="1"/>
      <c r="U666" s="1"/>
      <c r="V666" s="2" t="str">
        <f>VLOOKUP(COUNTIF($E$194:$E666,$E666),$L$184:$X$193,IF(H666=1,4,IF(H666=4,3,2))+IF(INDEX([1]Sheet1!$1:$1048576,MATCH($E666,[1]Sheet1!$A:$A,0),MATCH("zizhi",[1]Sheet1!$2:$2,0))&gt;=13,0,3)+6,0)</f>
        <v>11090,6502,6512</v>
      </c>
      <c r="W666" s="2" t="str">
        <f t="shared" si="63"/>
        <v>进阶+5：生命，防御提高10%</v>
      </c>
      <c r="X666" s="45" t="str">
        <f t="shared" si="61"/>
        <v>11090,6502,6512</v>
      </c>
      <c r="Y666" s="2"/>
      <c r="Z666" s="2"/>
      <c r="AA666" s="2"/>
    </row>
    <row r="667" spans="1:27">
      <c r="A667" s="10">
        <f>E667*100+COUNTIF($E$194:$E667,$E667)</f>
        <v>120506</v>
      </c>
      <c r="B667" s="68" t="s">
        <v>314</v>
      </c>
      <c r="C667" s="50" t="s">
        <v>241</v>
      </c>
      <c r="D667" s="10" t="str">
        <f t="shared" si="66"/>
        <v>[]</v>
      </c>
      <c r="E667" s="45">
        <f>INDEX($I:$I,MATCH($E666,$I:$I,0)+IF(COUNTIF($E$194:$E666,$E666)&lt;=VLOOKUP($E666,$I$134:$K$193,3,0)-1,0,1),0)</f>
        <v>1205</v>
      </c>
      <c r="F667" s="45" t="str">
        <f t="shared" si="62"/>
        <v>马面</v>
      </c>
      <c r="H667" s="45">
        <f>VLOOKUP($E667,[1]Sheet1!$A:$G,7,0)</f>
        <v>3</v>
      </c>
      <c r="I667" s="45" t="str">
        <f>IF($G667="","",IF(COUNTIF(技能描述!$D:$D,$F667)&gt;0,VLOOKUP($F667&amp;$G667,技能描述!$A:$C,3,0),LEFT(VLOOKUP($E667,[1]Sheet1!$A:$J,10,0),FIND("_",VLOOKUP($E667,[1]Sheet1!$A:$J,10,0))-1)&amp;$G667))</f>
        <v/>
      </c>
      <c r="J667" s="45" t="str">
        <f>IF($I667="","",VLOOKUP($I667,技能描述!$A:$C,3,0))</f>
        <v/>
      </c>
      <c r="K667" s="45" t="str">
        <f>IF($I667="","",INDEX([2]Sheet1!$1:$1048576,MATCH($I667,[2]Sheet1!$A:$A,0),MATCH("description_damage",[2]Sheet1!$2:$2,0)))</f>
        <v/>
      </c>
      <c r="L667" s="80" t="str">
        <f>IF($K667="","",IF(LEN($K667)-LEN(SUBSTITUTE($K667,",",""))=0,VLOOKUP(INT($K667),[3]Sheet1!$A:$C,3,0),VLOOKUP(INT(LEFT($K667,FIND(",",$K667)-1)),[3]Sheet1!$A:$C,3,0)))</f>
        <v/>
      </c>
      <c r="M667" s="80" t="str">
        <f t="shared" si="67"/>
        <v/>
      </c>
      <c r="N667" s="45" t="str">
        <f>IF(LEN($K667)-LEN(SUBSTITUTE($K667,",",""))=1,VLOOKUP(INT(RIGHT($K667,LEN($K667)-FIND(",",$K667))),[3]Sheet1!$A:$C,3,0),"")</f>
        <v/>
      </c>
      <c r="O667" s="45" t="str">
        <f t="shared" si="64"/>
        <v/>
      </c>
      <c r="P667" s="45" t="str">
        <f t="shared" si="60"/>
        <v/>
      </c>
      <c r="Q667" s="45" t="str">
        <f t="shared" si="65"/>
        <v/>
      </c>
      <c r="R667" s="45"/>
      <c r="S667" s="45" t="str">
        <f>IF(ISERROR($Q667),"进阶+"&amp;COUNTIF($E$194:$E667,$E667)&amp;"："&amp;"找ZC配技能","进阶+"&amp;COUNTIF($E$194:$E667,$E667)&amp;"："&amp;VLOOKUP(COUNTIF($E$194:$E667,$E667),$L$184:$R$193,IF(H667=1,4,IF(H667=4,3,2))+IF(INDEX([1]Sheet1!$1:$1048576,MATCH($E667,[1]Sheet1!$A:$A,0),MATCH("zizhi",[1]Sheet1!$2:$2,0))&gt;=13,0,3),0)&amp;IF($Q667="","","（"&amp;$Q667&amp;"）"))</f>
        <v>进阶+6：暴击提高20%</v>
      </c>
      <c r="T667" s="1"/>
      <c r="U667" s="1"/>
      <c r="V667" s="2" t="str">
        <f>VLOOKUP(COUNTIF($E$194:$E667,$E667),$L$184:$X$193,IF(H667=1,4,IF(H667=4,3,2))+IF(INDEX([1]Sheet1!$1:$1048576,MATCH($E667,[1]Sheet1!$A:$A,0),MATCH("zizhi",[1]Sheet1!$2:$2,0))&gt;=13,0,3)+6,0)</f>
        <v>11080</v>
      </c>
      <c r="W667" s="2" t="str">
        <f t="shared" si="63"/>
        <v>进阶+6：暴击提高20%</v>
      </c>
      <c r="X667" s="45" t="str">
        <f t="shared" si="61"/>
        <v>11080</v>
      </c>
      <c r="Y667" s="2"/>
      <c r="Z667" s="2"/>
      <c r="AA667" s="2"/>
    </row>
    <row r="668" spans="1:27">
      <c r="A668" s="10">
        <f>E668*100+COUNTIF($E$194:$E668,$E668)</f>
        <v>120507</v>
      </c>
      <c r="B668" s="68" t="s">
        <v>359</v>
      </c>
      <c r="C668" s="50" t="s">
        <v>353</v>
      </c>
      <c r="D668" s="10" t="str">
        <f t="shared" si="66"/>
        <v>[]</v>
      </c>
      <c r="E668" s="45">
        <f>INDEX($I:$I,MATCH($E667,$I:$I,0)+IF(COUNTIF($E$194:$E667,$E667)&lt;=VLOOKUP($E667,$I$134:$K$193,3,0)-1,0,1),0)</f>
        <v>1205</v>
      </c>
      <c r="F668" s="45" t="str">
        <f t="shared" si="62"/>
        <v>马面</v>
      </c>
      <c r="H668" s="45">
        <f>VLOOKUP($E668,[1]Sheet1!$A:$G,7,0)</f>
        <v>3</v>
      </c>
      <c r="I668" s="45" t="str">
        <f>IF($G668="","",IF(COUNTIF(技能描述!$D:$D,$F668)&gt;0,VLOOKUP($F668&amp;$G668,技能描述!$A:$C,3,0),LEFT(VLOOKUP($E668,[1]Sheet1!$A:$J,10,0),FIND("_",VLOOKUP($E668,[1]Sheet1!$A:$J,10,0))-1)&amp;$G668))</f>
        <v/>
      </c>
      <c r="J668" s="45" t="str">
        <f>IF($I668="","",VLOOKUP($I668,技能描述!$A:$C,3,0))</f>
        <v/>
      </c>
      <c r="K668" s="45" t="str">
        <f>IF($I668="","",INDEX([2]Sheet1!$1:$1048576,MATCH($I668,[2]Sheet1!$A:$A,0),MATCH("description_damage",[2]Sheet1!$2:$2,0)))</f>
        <v/>
      </c>
      <c r="L668" s="80" t="str">
        <f>IF($K668="","",IF(LEN($K668)-LEN(SUBSTITUTE($K668,",",""))=0,VLOOKUP(INT($K668),[3]Sheet1!$A:$C,3,0),VLOOKUP(INT(LEFT($K668,FIND(",",$K668)-1)),[3]Sheet1!$A:$C,3,0)))</f>
        <v/>
      </c>
      <c r="M668" s="80" t="str">
        <f t="shared" si="67"/>
        <v/>
      </c>
      <c r="N668" s="45" t="str">
        <f>IF(LEN($K668)-LEN(SUBSTITUTE($K668,",",""))=1,VLOOKUP(INT(RIGHT($K668,LEN($K668)-FIND(",",$K668))),[3]Sheet1!$A:$C,3,0),"")</f>
        <v/>
      </c>
      <c r="O668" s="45" t="str">
        <f t="shared" si="64"/>
        <v/>
      </c>
      <c r="P668" s="45" t="str">
        <f t="shared" si="60"/>
        <v/>
      </c>
      <c r="Q668" s="45" t="str">
        <f t="shared" si="65"/>
        <v/>
      </c>
      <c r="R668" s="45"/>
      <c r="S668" s="45" t="str">
        <f>IF(ISERROR($Q668),"进阶+"&amp;COUNTIF($E$194:$E668,$E668)&amp;"："&amp;"找ZC配技能","进阶+"&amp;COUNTIF($E$194:$E668,$E668)&amp;"："&amp;VLOOKUP(COUNTIF($E$194:$E668,$E668),$L$184:$R$193,IF(H668=1,4,IF(H668=4,3,2))+IF(INDEX([1]Sheet1!$1:$1048576,MATCH($E668,[1]Sheet1!$A:$A,0),MATCH("zizhi",[1]Sheet1!$2:$2,0))&gt;=13,0,3),0)&amp;IF($Q668="","","（"&amp;$Q668&amp;"）"))</f>
        <v>进阶+7：全队攻击提高10%</v>
      </c>
      <c r="T668" s="1"/>
      <c r="U668" s="1"/>
      <c r="V668" s="2" t="str">
        <f>VLOOKUP(COUNTIF($E$194:$E668,$E668),$L$184:$X$193,IF(H668=1,4,IF(H668=4,3,2))+IF(INDEX([1]Sheet1!$1:$1048576,MATCH($E668,[1]Sheet1!$A:$A,0),MATCH("zizhi",[1]Sheet1!$2:$2,0))&gt;=13,0,3)+6,0)</f>
        <v>58010</v>
      </c>
      <c r="W668" s="2" t="str">
        <f t="shared" si="63"/>
        <v>进阶+7：全队攻击提高10%</v>
      </c>
      <c r="X668" s="45" t="str">
        <f t="shared" si="61"/>
        <v>58010</v>
      </c>
      <c r="Y668" s="2"/>
      <c r="Z668" s="2"/>
      <c r="AA668" s="2"/>
    </row>
    <row r="669" spans="1:27">
      <c r="A669" s="10">
        <f>E669*100+COUNTIF($E$194:$E669,$E669)</f>
        <v>120508</v>
      </c>
      <c r="B669" s="68" t="s">
        <v>316</v>
      </c>
      <c r="C669" s="50" t="s">
        <v>153</v>
      </c>
      <c r="D669" s="10" t="str">
        <f t="shared" si="66"/>
        <v>[]</v>
      </c>
      <c r="E669" s="45">
        <f>INDEX($I:$I,MATCH($E668,$I:$I,0)+IF(COUNTIF($E$194:$E668,$E668)&lt;=VLOOKUP($E668,$I$134:$K$193,3,0)-1,0,1),0)</f>
        <v>1205</v>
      </c>
      <c r="F669" s="45" t="str">
        <f t="shared" si="62"/>
        <v>马面</v>
      </c>
      <c r="H669" s="45">
        <f>VLOOKUP($E669,[1]Sheet1!$A:$G,7,0)</f>
        <v>3</v>
      </c>
      <c r="I669" s="45" t="str">
        <f>IF($G669="","",IF(COUNTIF(技能描述!$D:$D,$F669)&gt;0,VLOOKUP($F669&amp;$G669,技能描述!$A:$C,3,0),LEFT(VLOOKUP($E669,[1]Sheet1!$A:$J,10,0),FIND("_",VLOOKUP($E669,[1]Sheet1!$A:$J,10,0))-1)&amp;$G669))</f>
        <v/>
      </c>
      <c r="J669" s="45" t="str">
        <f>IF($I669="","",VLOOKUP($I669,技能描述!$A:$C,3,0))</f>
        <v/>
      </c>
      <c r="K669" s="45" t="str">
        <f>IF($I669="","",INDEX([2]Sheet1!$1:$1048576,MATCH($I669,[2]Sheet1!$A:$A,0),MATCH("description_damage",[2]Sheet1!$2:$2,0)))</f>
        <v/>
      </c>
      <c r="L669" s="80" t="str">
        <f>IF($K669="","",IF(LEN($K669)-LEN(SUBSTITUTE($K669,",",""))=0,VLOOKUP(INT($K669),[3]Sheet1!$A:$C,3,0),VLOOKUP(INT(LEFT($K669,FIND(",",$K669)-1)),[3]Sheet1!$A:$C,3,0)))</f>
        <v/>
      </c>
      <c r="M669" s="80" t="str">
        <f t="shared" si="67"/>
        <v/>
      </c>
      <c r="N669" s="45" t="str">
        <f>IF(LEN($K669)-LEN(SUBSTITUTE($K669,",",""))=1,VLOOKUP(INT(RIGHT($K669,LEN($K669)-FIND(",",$K669))),[3]Sheet1!$A:$C,3,0),"")</f>
        <v/>
      </c>
      <c r="O669" s="45" t="str">
        <f t="shared" si="64"/>
        <v/>
      </c>
      <c r="P669" s="45" t="str">
        <f t="shared" si="60"/>
        <v/>
      </c>
      <c r="Q669" s="45" t="str">
        <f t="shared" si="65"/>
        <v/>
      </c>
      <c r="R669" s="45"/>
      <c r="S669" s="45" t="str">
        <f>IF(ISERROR($Q669),"进阶+"&amp;COUNTIF($E$194:$E669,$E669)&amp;"："&amp;"找ZC配技能","进阶+"&amp;COUNTIF($E$194:$E669,$E669)&amp;"："&amp;VLOOKUP(COUNTIF($E$194:$E669,$E669),$L$184:$R$193,IF(H669=1,4,IF(H669=4,3,2))+IF(INDEX([1]Sheet1!$1:$1048576,MATCH($E669,[1]Sheet1!$A:$A,0),MATCH("zizhi",[1]Sheet1!$2:$2,0))&gt;=13,0,3),0)&amp;IF($Q669="","","（"&amp;$Q669&amp;"）"))</f>
        <v>进阶+8：命中提高15%</v>
      </c>
      <c r="T669" s="1"/>
      <c r="U669" s="1"/>
      <c r="V669" s="2" t="str">
        <f>VLOOKUP(COUNTIF($E$194:$E669,$E669),$L$184:$X$193,IF(H669=1,4,IF(H669=4,3,2))+IF(INDEX([1]Sheet1!$1:$1048576,MATCH($E669,[1]Sheet1!$A:$A,0),MATCH("zizhi",[1]Sheet1!$2:$2,0))&gt;=13,0,3)+6,0)</f>
        <v>11035</v>
      </c>
      <c r="W669" s="2" t="str">
        <f t="shared" si="63"/>
        <v>进阶+8：命中提高15%</v>
      </c>
      <c r="X669" s="45" t="str">
        <f t="shared" si="61"/>
        <v>11035</v>
      </c>
      <c r="Y669" s="2"/>
      <c r="Z669" s="2"/>
      <c r="AA669" s="2"/>
    </row>
    <row r="670" spans="1:27">
      <c r="A670" s="10">
        <f>E670*100+COUNTIF($E$194:$E670,$E670)</f>
        <v>113301</v>
      </c>
      <c r="B670" s="68" t="s">
        <v>310</v>
      </c>
      <c r="C670" s="50">
        <v>11050</v>
      </c>
      <c r="D670" s="10" t="str">
        <f t="shared" si="66"/>
        <v>[]</v>
      </c>
      <c r="E670" s="45">
        <f>INDEX($I:$I,MATCH($E669,$I:$I,0)+IF(COUNTIF($E$194:$E669,$E669)&lt;=VLOOKUP($E669,$I$134:$K$193,3,0)-1,0,1),0)</f>
        <v>1133</v>
      </c>
      <c r="F670" s="45" t="str">
        <f t="shared" si="62"/>
        <v>雷公</v>
      </c>
      <c r="H670" s="45">
        <f>VLOOKUP($E670,[1]Sheet1!$A:$G,7,0)</f>
        <v>2</v>
      </c>
      <c r="I670" s="45" t="str">
        <f>IF($G670="","",IF(COUNTIF(技能描述!$D:$D,$F670)&gt;0,VLOOKUP($F670&amp;$G670,技能描述!$A:$C,3,0),LEFT(VLOOKUP($E670,[1]Sheet1!$A:$J,10,0),FIND("_",VLOOKUP($E670,[1]Sheet1!$A:$J,10,0))-1)&amp;$G670))</f>
        <v/>
      </c>
      <c r="J670" s="45" t="str">
        <f>IF($I670="","",VLOOKUP($I670,技能描述!$A:$C,3,0))</f>
        <v/>
      </c>
      <c r="K670" s="45" t="str">
        <f>IF($I670="","",INDEX([2]Sheet1!$1:$1048576,MATCH($I670,[2]Sheet1!$A:$A,0),MATCH("description_damage",[2]Sheet1!$2:$2,0)))</f>
        <v/>
      </c>
      <c r="L670" s="80" t="str">
        <f>IF($K670="","",IF(LEN($K670)-LEN(SUBSTITUTE($K670,",",""))=0,VLOOKUP(INT($K670),[3]Sheet1!$A:$C,3,0),VLOOKUP(INT(LEFT($K670,FIND(",",$K670)-1)),[3]Sheet1!$A:$C,3,0)))</f>
        <v/>
      </c>
      <c r="M670" s="80" t="str">
        <f t="shared" si="67"/>
        <v/>
      </c>
      <c r="N670" s="45" t="str">
        <f>IF(LEN($K670)-LEN(SUBSTITUTE($K670,",",""))=1,VLOOKUP(INT(RIGHT($K670,LEN($K670)-FIND(",",$K670))),[3]Sheet1!$A:$C,3,0),"")</f>
        <v/>
      </c>
      <c r="O670" s="45" t="str">
        <f t="shared" si="64"/>
        <v/>
      </c>
      <c r="P670" s="45" t="str">
        <f t="shared" si="60"/>
        <v/>
      </c>
      <c r="Q670" s="45" t="str">
        <f t="shared" si="65"/>
        <v/>
      </c>
      <c r="R670" s="45"/>
      <c r="S670" s="45" t="str">
        <f>IF(ISERROR($Q670),"进阶+"&amp;COUNTIF($E$194:$E670,$E670)&amp;"："&amp;"找ZC配技能","进阶+"&amp;COUNTIF($E$194:$E670,$E670)&amp;"："&amp;VLOOKUP(COUNTIF($E$194:$E670,$E670),$L$184:$R$193,IF(H670=1,4,IF(H670=4,3,2))+IF(INDEX([1]Sheet1!$1:$1048576,MATCH($E670,[1]Sheet1!$A:$A,0),MATCH("zizhi",[1]Sheet1!$2:$2,0))&gt;=13,0,3),0)&amp;IF($Q670="","","（"&amp;$Q670&amp;"）"))</f>
        <v>进阶+1：攻击提高10%</v>
      </c>
      <c r="T670" s="1"/>
      <c r="U670" s="1"/>
      <c r="V670" s="2">
        <f>VLOOKUP(COUNTIF($E$194:$E670,$E670),$L$184:$X$193,IF(H670=1,4,IF(H670=4,3,2))+IF(INDEX([1]Sheet1!$1:$1048576,MATCH($E670,[1]Sheet1!$A:$A,0),MATCH("zizhi",[1]Sheet1!$2:$2,0))&gt;=13,0,3)+6,0)</f>
        <v>11050</v>
      </c>
      <c r="W670" s="2" t="str">
        <f t="shared" si="63"/>
        <v>进阶+1：攻击提高10%</v>
      </c>
      <c r="X670" s="45">
        <f t="shared" si="61"/>
        <v>11050</v>
      </c>
      <c r="Y670" s="2"/>
      <c r="Z670" s="2"/>
      <c r="AA670" s="2"/>
    </row>
    <row r="671" spans="1:27" ht="33">
      <c r="A671" s="10">
        <f>E671*100+COUNTIF($E$194:$E671,$E671)</f>
        <v>113302</v>
      </c>
      <c r="B671" s="68" t="s">
        <v>368</v>
      </c>
      <c r="C671" s="50" t="s">
        <v>2</v>
      </c>
      <c r="D671" s="10">
        <f t="shared" si="66"/>
        <v>1</v>
      </c>
      <c r="E671" s="45">
        <f>INDEX($I:$I,MATCH($E670,$I:$I,0)+IF(COUNTIF($E$194:$E670,$E670)&lt;=VLOOKUP($E670,$I$134:$K$193,3,0)-1,0,1),0)</f>
        <v>1133</v>
      </c>
      <c r="F671" s="45" t="str">
        <f t="shared" si="62"/>
        <v>雷公</v>
      </c>
      <c r="G671" s="45" t="s">
        <v>216</v>
      </c>
      <c r="H671" s="45">
        <f>VLOOKUP($E671,[1]Sheet1!$A:$G,7,0)</f>
        <v>2</v>
      </c>
      <c r="I671" s="45" t="str">
        <f>IF($G671="","",IF(COUNTIF(技能描述!$D:$D,$F671)&gt;0,VLOOKUP($F671&amp;$G671,技能描述!$A:$C,3,0),LEFT(VLOOKUP($E671,[1]Sheet1!$A:$J,10,0),FIND("_",VLOOKUP($E671,[1]Sheet1!$A:$J,10,0))-1)&amp;$G671))</f>
        <v>leigong_skill03</v>
      </c>
      <c r="J671" s="45" t="str">
        <f>IF($I671="","",VLOOKUP($I671,技能描述!$A:$C,3,0))</f>
        <v>进入战斗场景时，攻击有@s的几率将目标眩晕1秒</v>
      </c>
      <c r="K671" s="45" t="str">
        <f>IF($I671="","",INDEX([2]Sheet1!$1:$1048576,MATCH($I671,[2]Sheet1!$A:$A,0),MATCH("description_damage",[2]Sheet1!$2:$2,0)))</f>
        <v>9010</v>
      </c>
      <c r="L671" s="80" t="str">
        <f>IF($K671="","",IF(LEN($K671)-LEN(SUBSTITUTE($K671,",",""))=0,VLOOKUP(INT($K671),[3]Sheet1!$A:$C,3,0),VLOOKUP(INT(LEFT($K671,FIND(",",$K671)-1)),[3]Sheet1!$A:$C,3,0)))</f>
        <v>4|3|0.1|0|1</v>
      </c>
      <c r="M671" s="80" t="str">
        <f t="shared" si="67"/>
        <v>10%</v>
      </c>
      <c r="N671" s="45" t="str">
        <f>IF(LEN($K671)-LEN(SUBSTITUTE($K671,",",""))=1,VLOOKUP(INT(RIGHT($K671,LEN($K671)-FIND(",",$K671))),[3]Sheet1!$A:$C,3,0),"")</f>
        <v/>
      </c>
      <c r="O671" s="45" t="str">
        <f t="shared" si="64"/>
        <v/>
      </c>
      <c r="P671" s="45" t="str">
        <f t="shared" si="60"/>
        <v>进入战斗场景时，攻击有10%的几率将目标眩晕1秒</v>
      </c>
      <c r="Q671" s="45" t="str">
        <f t="shared" si="65"/>
        <v>进入战斗场景时，攻击有10%的几率将目标眩晕1秒</v>
      </c>
      <c r="R671" s="45"/>
      <c r="S671" s="45" t="str">
        <f>IF(ISERROR($Q671),"进阶+"&amp;COUNTIF($E$194:$E671,$E671)&amp;"："&amp;"找ZC配技能","进阶+"&amp;COUNTIF($E$194:$E671,$E671)&amp;"："&amp;VLOOKUP(COUNTIF($E$194:$E671,$E671),$L$184:$R$193,IF(H671=1,4,IF(H671=4,3,2))+IF(INDEX([1]Sheet1!$1:$1048576,MATCH($E671,[1]Sheet1!$A:$A,0),MATCH("zizhi",[1]Sheet1!$2:$2,0))&gt;=13,0,3),0)&amp;IF($Q671="","","（"&amp;$Q671&amp;"）"))</f>
        <v>进阶+2：激活被动技能（进入战斗场景时，攻击有10%的几率将目标眩晕1秒）</v>
      </c>
      <c r="T671" s="1"/>
      <c r="U671" s="1"/>
      <c r="V671" s="2" t="str">
        <f>VLOOKUP(COUNTIF($E$194:$E671,$E671),$L$184:$X$193,IF(H671=1,4,IF(H671=4,3,2))+IF(INDEX([1]Sheet1!$1:$1048576,MATCH($E671,[1]Sheet1!$A:$A,0),MATCH("zizhi",[1]Sheet1!$2:$2,0))&gt;=13,0,3)+6,0)</f>
        <v>[]</v>
      </c>
      <c r="W671" s="2" t="str">
        <f t="shared" si="63"/>
        <v>进阶+2：激活被动技能（进入战斗场景时，攻击有10%的几率将目标眩晕1秒）</v>
      </c>
      <c r="X671" s="45" t="str">
        <f t="shared" si="61"/>
        <v>[]</v>
      </c>
      <c r="Y671" s="2"/>
      <c r="Z671" s="2"/>
      <c r="AA671" s="2"/>
    </row>
    <row r="672" spans="1:27">
      <c r="A672" s="10">
        <f>E672*100+COUNTIF($E$194:$E672,$E672)</f>
        <v>113303</v>
      </c>
      <c r="B672" s="68" t="s">
        <v>312</v>
      </c>
      <c r="C672" s="50" t="s">
        <v>127</v>
      </c>
      <c r="D672" s="10" t="str">
        <f t="shared" si="66"/>
        <v>[]</v>
      </c>
      <c r="E672" s="45">
        <f>INDEX($I:$I,MATCH($E671,$I:$I,0)+IF(COUNTIF($E$194:$E671,$E671)&lt;=VLOOKUP($E671,$I$134:$K$193,3,0)-1,0,1),0)</f>
        <v>1133</v>
      </c>
      <c r="F672" s="45" t="str">
        <f t="shared" si="62"/>
        <v>雷公</v>
      </c>
      <c r="H672" s="45">
        <f>VLOOKUP($E672,[1]Sheet1!$A:$G,7,0)</f>
        <v>2</v>
      </c>
      <c r="I672" s="45" t="str">
        <f>IF($G672="","",IF(COUNTIF(技能描述!$D:$D,$F672)&gt;0,VLOOKUP($F672&amp;$G672,技能描述!$A:$C,3,0),LEFT(VLOOKUP($E672,[1]Sheet1!$A:$J,10,0),FIND("_",VLOOKUP($E672,[1]Sheet1!$A:$J,10,0))-1)&amp;$G672))</f>
        <v/>
      </c>
      <c r="J672" s="45" t="str">
        <f>IF($I672="","",VLOOKUP($I672,技能描述!$A:$C,3,0))</f>
        <v/>
      </c>
      <c r="K672" s="45" t="str">
        <f>IF($I672="","",INDEX([2]Sheet1!$1:$1048576,MATCH($I672,[2]Sheet1!$A:$A,0),MATCH("description_damage",[2]Sheet1!$2:$2,0)))</f>
        <v/>
      </c>
      <c r="L672" s="80" t="str">
        <f>IF($K672="","",IF(LEN($K672)-LEN(SUBSTITUTE($K672,",",""))=0,VLOOKUP(INT($K672),[3]Sheet1!$A:$C,3,0),VLOOKUP(INT(LEFT($K672,FIND(",",$K672)-1)),[3]Sheet1!$A:$C,3,0)))</f>
        <v/>
      </c>
      <c r="M672" s="80" t="str">
        <f t="shared" si="67"/>
        <v/>
      </c>
      <c r="N672" s="45" t="str">
        <f>IF(LEN($K672)-LEN(SUBSTITUTE($K672,",",""))=1,VLOOKUP(INT(RIGHT($K672,LEN($K672)-FIND(",",$K672))),[3]Sheet1!$A:$C,3,0),"")</f>
        <v/>
      </c>
      <c r="O672" s="45" t="str">
        <f t="shared" si="64"/>
        <v/>
      </c>
      <c r="P672" s="45" t="str">
        <f t="shared" si="60"/>
        <v/>
      </c>
      <c r="Q672" s="45" t="str">
        <f t="shared" si="65"/>
        <v/>
      </c>
      <c r="R672" s="45"/>
      <c r="S672" s="45" t="str">
        <f>IF(ISERROR($Q672),"进阶+"&amp;COUNTIF($E$194:$E672,$E672)&amp;"："&amp;"找ZC配技能","进阶+"&amp;COUNTIF($E$194:$E672,$E672)&amp;"："&amp;VLOOKUP(COUNTIF($E$194:$E672,$E672),$L$184:$R$193,IF(H672=1,4,IF(H672=4,3,2))+IF(INDEX([1]Sheet1!$1:$1048576,MATCH($E672,[1]Sheet1!$A:$A,0),MATCH("zizhi",[1]Sheet1!$2:$2,0))&gt;=13,0,3),0)&amp;IF($Q672="","","（"&amp;$Q672&amp;"）"))</f>
        <v>进阶+3：攻击提高10%</v>
      </c>
      <c r="T672" s="1"/>
      <c r="U672" s="1"/>
      <c r="V672" s="2" t="str">
        <f>VLOOKUP(COUNTIF($E$194:$E672,$E672),$L$184:$X$193,IF(H672=1,4,IF(H672=4,3,2))+IF(INDEX([1]Sheet1!$1:$1048576,MATCH($E672,[1]Sheet1!$A:$A,0),MATCH("zizhi",[1]Sheet1!$2:$2,0))&gt;=13,0,3)+6,0)</f>
        <v>11050</v>
      </c>
      <c r="W672" s="2" t="str">
        <f t="shared" si="63"/>
        <v>进阶+3：攻击提高10%</v>
      </c>
      <c r="X672" s="45" t="str">
        <f t="shared" si="61"/>
        <v>11050</v>
      </c>
      <c r="Y672" s="2"/>
      <c r="Z672" s="2"/>
      <c r="AA672" s="2"/>
    </row>
    <row r="673" spans="1:27" ht="33">
      <c r="A673" s="10">
        <f>E673*100+COUNTIF($E$194:$E673,$E673)</f>
        <v>113304</v>
      </c>
      <c r="B673" s="68" t="s">
        <v>1891</v>
      </c>
      <c r="C673" s="50" t="s">
        <v>2</v>
      </c>
      <c r="D673" s="10">
        <f t="shared" si="66"/>
        <v>1</v>
      </c>
      <c r="E673" s="45">
        <f>INDEX($I:$I,MATCH($E672,$I:$I,0)+IF(COUNTIF($E$194:$E672,$E672)&lt;=VLOOKUP($E672,$I$134:$K$193,3,0)-1,0,1),0)</f>
        <v>1133</v>
      </c>
      <c r="F673" s="45" t="str">
        <f t="shared" si="62"/>
        <v>雷公</v>
      </c>
      <c r="G673" s="45" t="s">
        <v>217</v>
      </c>
      <c r="H673" s="45">
        <f>VLOOKUP($E673,[1]Sheet1!$A:$G,7,0)</f>
        <v>2</v>
      </c>
      <c r="I673" s="45" t="str">
        <f>IF($G673="","",IF(COUNTIF(技能描述!$D:$D,$F673)&gt;0,VLOOKUP($F673&amp;$G673,技能描述!$A:$C,3,0),LEFT(VLOOKUP($E673,[1]Sheet1!$A:$J,10,0),FIND("_",VLOOKUP($E673,[1]Sheet1!$A:$J,10,0))-1)&amp;$G673))</f>
        <v>leigong_skill04</v>
      </c>
      <c r="J673" s="45" t="str">
        <f>IF($I673="","",VLOOKUP($I673,技能描述!$A:$C,3,0))</f>
        <v>雷公举起神锤凝聚雷电之力后砸向敌军，对范围内目标造成自身攻击力@s的伤害</v>
      </c>
      <c r="K673" s="45" t="str">
        <f>IF($I673="","",INDEX([2]Sheet1!$1:$1048576,MATCH($I673,[2]Sheet1!$A:$A,0),MATCH("description_damage",[2]Sheet1!$2:$2,0)))</f>
        <v>113304</v>
      </c>
      <c r="L673" s="80" t="str">
        <f>IF($K673="","",IF(LEN($K673)-LEN(SUBSTITUTE($K673,",",""))=0,VLOOKUP(INT($K673),[3]Sheet1!$A:$C,3,0),VLOOKUP(INT(LEFT($K673,FIND(",",$K673)-1)),[3]Sheet1!$A:$C,3,0)))</f>
        <v>2|2|1.35|0|0|0</v>
      </c>
      <c r="M673" s="80" t="str">
        <f t="shared" si="67"/>
        <v>135%</v>
      </c>
      <c r="N673" s="45" t="str">
        <f>IF(LEN($K673)-LEN(SUBSTITUTE($K673,",",""))=1,VLOOKUP(INT(RIGHT($K673,LEN($K673)-FIND(",",$K673))),[3]Sheet1!$A:$C,3,0),"")</f>
        <v/>
      </c>
      <c r="O673" s="45" t="str">
        <f t="shared" si="64"/>
        <v/>
      </c>
      <c r="P673" s="45" t="str">
        <f t="shared" si="60"/>
        <v>雷公举起神锤凝聚雷电之力后砸向敌军，对范围内目标造成自身攻击力135%的伤害</v>
      </c>
      <c r="Q673" s="45" t="str">
        <f t="shared" si="65"/>
        <v>雷公举起神锤凝聚雷电之力后砸向敌军，对范围内目标造成自身攻击力135%的伤害</v>
      </c>
      <c r="R673" s="45"/>
      <c r="S673" s="45" t="str">
        <f>IF(ISERROR($Q673),"进阶+"&amp;COUNTIF($E$194:$E673,$E673)&amp;"："&amp;"找ZC配技能","进阶+"&amp;COUNTIF($E$194:$E673,$E673)&amp;"："&amp;VLOOKUP(COUNTIF($E$194:$E673,$E673),$L$184:$R$193,IF(H673=1,4,IF(H673=4,3,2))+IF(INDEX([1]Sheet1!$1:$1048576,MATCH($E673,[1]Sheet1!$A:$A,0),MATCH("zizhi",[1]Sheet1!$2:$2,0))&gt;=13,0,3),0)&amp;IF($Q673="","","（"&amp;$Q673&amp;"）"))</f>
        <v>进阶+4：激活AI2技能（雷公举起神锤凝聚雷电之力后砸向敌军，对范围内目标造成自身攻击力135%的伤害）</v>
      </c>
      <c r="T673" s="1"/>
      <c r="U673" s="1"/>
      <c r="V673" s="2" t="str">
        <f>VLOOKUP(COUNTIF($E$194:$E673,$E673),$L$184:$X$193,IF(H673=1,4,IF(H673=4,3,2))+IF(INDEX([1]Sheet1!$1:$1048576,MATCH($E673,[1]Sheet1!$A:$A,0),MATCH("zizhi",[1]Sheet1!$2:$2,0))&gt;=13,0,3)+6,0)</f>
        <v>[]</v>
      </c>
      <c r="W673" s="2" t="str">
        <f t="shared" si="63"/>
        <v>进阶+4：激活AI2技能（雷公举起神锤凝聚雷电之力后砸向敌军，对范围内目标造成自身攻击力135%的伤害）</v>
      </c>
      <c r="X673" s="45" t="str">
        <f t="shared" si="61"/>
        <v>[]</v>
      </c>
      <c r="Y673" s="2"/>
      <c r="Z673" s="2"/>
      <c r="AA673" s="2"/>
    </row>
    <row r="674" spans="1:27">
      <c r="A674" s="10">
        <f>E674*100+COUNTIF($E$194:$E674,$E674)</f>
        <v>113305</v>
      </c>
      <c r="B674" s="68" t="s">
        <v>323</v>
      </c>
      <c r="C674" s="50" t="s">
        <v>140</v>
      </c>
      <c r="D674" s="10" t="str">
        <f t="shared" si="66"/>
        <v>[]</v>
      </c>
      <c r="E674" s="45">
        <f>INDEX($I:$I,MATCH($E673,$I:$I,0)+IF(COUNTIF($E$194:$E673,$E673)&lt;=VLOOKUP($E673,$I$134:$K$193,3,0)-1,0,1),0)</f>
        <v>1133</v>
      </c>
      <c r="F674" s="45" t="str">
        <f t="shared" si="62"/>
        <v>雷公</v>
      </c>
      <c r="H674" s="45">
        <f>VLOOKUP($E674,[1]Sheet1!$A:$G,7,0)</f>
        <v>2</v>
      </c>
      <c r="I674" s="45" t="str">
        <f>IF($G674="","",IF(COUNTIF(技能描述!$D:$D,$F674)&gt;0,VLOOKUP($F674&amp;$G674,技能描述!$A:$C,3,0),LEFT(VLOOKUP($E674,[1]Sheet1!$A:$J,10,0),FIND("_",VLOOKUP($E674,[1]Sheet1!$A:$J,10,0))-1)&amp;$G674))</f>
        <v/>
      </c>
      <c r="J674" s="45" t="str">
        <f>IF($I674="","",VLOOKUP($I674,技能描述!$A:$C,3,0))</f>
        <v/>
      </c>
      <c r="K674" s="45" t="str">
        <f>IF($I674="","",INDEX([2]Sheet1!$1:$1048576,MATCH($I674,[2]Sheet1!$A:$A,0),MATCH("description_damage",[2]Sheet1!$2:$2,0)))</f>
        <v/>
      </c>
      <c r="L674" s="80" t="str">
        <f>IF($K674="","",IF(LEN($K674)-LEN(SUBSTITUTE($K674,",",""))=0,VLOOKUP(INT($K674),[3]Sheet1!$A:$C,3,0),VLOOKUP(INT(LEFT($K674,FIND(",",$K674)-1)),[3]Sheet1!$A:$C,3,0)))</f>
        <v/>
      </c>
      <c r="M674" s="80" t="str">
        <f t="shared" si="67"/>
        <v/>
      </c>
      <c r="N674" s="45" t="str">
        <f>IF(LEN($K674)-LEN(SUBSTITUTE($K674,",",""))=1,VLOOKUP(INT(RIGHT($K674,LEN($K674)-FIND(",",$K674))),[3]Sheet1!$A:$C,3,0),"")</f>
        <v/>
      </c>
      <c r="O674" s="45" t="str">
        <f t="shared" si="64"/>
        <v/>
      </c>
      <c r="P674" s="45" t="str">
        <f t="shared" si="60"/>
        <v/>
      </c>
      <c r="Q674" s="45" t="str">
        <f t="shared" si="65"/>
        <v/>
      </c>
      <c r="R674" s="45"/>
      <c r="S674" s="45" t="str">
        <f>IF(ISERROR($Q674),"进阶+"&amp;COUNTIF($E$194:$E674,$E674)&amp;"："&amp;"找ZC配技能","进阶+"&amp;COUNTIF($E$194:$E674,$E674)&amp;"："&amp;VLOOKUP(COUNTIF($E$194:$E674,$E674),$L$184:$R$193,IF(H674=1,4,IF(H674=4,3,2))+IF(INDEX([1]Sheet1!$1:$1048576,MATCH($E674,[1]Sheet1!$A:$A,0),MATCH("zizhi",[1]Sheet1!$2:$2,0))&gt;=13,0,3),0)&amp;IF($Q674="","","（"&amp;$Q674&amp;"）"))</f>
        <v>进阶+5：生命，防御提高10%</v>
      </c>
      <c r="T674" s="1"/>
      <c r="U674" s="1"/>
      <c r="V674" s="2" t="str">
        <f>VLOOKUP(COUNTIF($E$194:$E674,$E674),$L$184:$X$193,IF(H674=1,4,IF(H674=4,3,2))+IF(INDEX([1]Sheet1!$1:$1048576,MATCH($E674,[1]Sheet1!$A:$A,0),MATCH("zizhi",[1]Sheet1!$2:$2,0))&gt;=13,0,3)+6,0)</f>
        <v>11090,6502,6512</v>
      </c>
      <c r="W674" s="2" t="str">
        <f t="shared" si="63"/>
        <v>进阶+5：生命，防御提高10%</v>
      </c>
      <c r="X674" s="45" t="str">
        <f t="shared" si="61"/>
        <v>11090,6502,6512</v>
      </c>
      <c r="Y674" s="2"/>
      <c r="Z674" s="2"/>
      <c r="AA674" s="2"/>
    </row>
    <row r="675" spans="1:27">
      <c r="A675" s="10">
        <f>E675*100+COUNTIF($E$194:$E675,$E675)</f>
        <v>113306</v>
      </c>
      <c r="B675" s="68" t="s">
        <v>314</v>
      </c>
      <c r="C675" s="50" t="s">
        <v>241</v>
      </c>
      <c r="D675" s="10" t="str">
        <f t="shared" si="66"/>
        <v>[]</v>
      </c>
      <c r="E675" s="45">
        <f>INDEX($I:$I,MATCH($E674,$I:$I,0)+IF(COUNTIF($E$194:$E674,$E674)&lt;=VLOOKUP($E674,$I$134:$K$193,3,0)-1,0,1),0)</f>
        <v>1133</v>
      </c>
      <c r="F675" s="45" t="str">
        <f t="shared" si="62"/>
        <v>雷公</v>
      </c>
      <c r="H675" s="45">
        <f>VLOOKUP($E675,[1]Sheet1!$A:$G,7,0)</f>
        <v>2</v>
      </c>
      <c r="I675" s="45" t="str">
        <f>IF($G675="","",IF(COUNTIF(技能描述!$D:$D,$F675)&gt;0,VLOOKUP($F675&amp;$G675,技能描述!$A:$C,3,0),LEFT(VLOOKUP($E675,[1]Sheet1!$A:$J,10,0),FIND("_",VLOOKUP($E675,[1]Sheet1!$A:$J,10,0))-1)&amp;$G675))</f>
        <v/>
      </c>
      <c r="J675" s="45" t="str">
        <f>IF($I675="","",VLOOKUP($I675,技能描述!$A:$C,3,0))</f>
        <v/>
      </c>
      <c r="K675" s="45" t="str">
        <f>IF($I675="","",INDEX([2]Sheet1!$1:$1048576,MATCH($I675,[2]Sheet1!$A:$A,0),MATCH("description_damage",[2]Sheet1!$2:$2,0)))</f>
        <v/>
      </c>
      <c r="L675" s="80" t="str">
        <f>IF($K675="","",IF(LEN($K675)-LEN(SUBSTITUTE($K675,",",""))=0,VLOOKUP(INT($K675),[3]Sheet1!$A:$C,3,0),VLOOKUP(INT(LEFT($K675,FIND(",",$K675)-1)),[3]Sheet1!$A:$C,3,0)))</f>
        <v/>
      </c>
      <c r="M675" s="80" t="str">
        <f t="shared" si="67"/>
        <v/>
      </c>
      <c r="N675" s="45" t="str">
        <f>IF(LEN($K675)-LEN(SUBSTITUTE($K675,",",""))=1,VLOOKUP(INT(RIGHT($K675,LEN($K675)-FIND(",",$K675))),[3]Sheet1!$A:$C,3,0),"")</f>
        <v/>
      </c>
      <c r="O675" s="45" t="str">
        <f t="shared" si="64"/>
        <v/>
      </c>
      <c r="P675" s="45" t="str">
        <f t="shared" si="60"/>
        <v/>
      </c>
      <c r="Q675" s="45" t="str">
        <f t="shared" si="65"/>
        <v/>
      </c>
      <c r="R675" s="45"/>
      <c r="S675" s="45" t="str">
        <f>IF(ISERROR($Q675),"进阶+"&amp;COUNTIF($E$194:$E675,$E675)&amp;"："&amp;"找ZC配技能","进阶+"&amp;COUNTIF($E$194:$E675,$E675)&amp;"："&amp;VLOOKUP(COUNTIF($E$194:$E675,$E675),$L$184:$R$193,IF(H675=1,4,IF(H675=4,3,2))+IF(INDEX([1]Sheet1!$1:$1048576,MATCH($E675,[1]Sheet1!$A:$A,0),MATCH("zizhi",[1]Sheet1!$2:$2,0))&gt;=13,0,3),0)&amp;IF($Q675="","","（"&amp;$Q675&amp;"）"))</f>
        <v>进阶+6：暴击提高20%</v>
      </c>
      <c r="T675" s="1"/>
      <c r="U675" s="1"/>
      <c r="V675" s="2" t="str">
        <f>VLOOKUP(COUNTIF($E$194:$E675,$E675),$L$184:$X$193,IF(H675=1,4,IF(H675=4,3,2))+IF(INDEX([1]Sheet1!$1:$1048576,MATCH($E675,[1]Sheet1!$A:$A,0),MATCH("zizhi",[1]Sheet1!$2:$2,0))&gt;=13,0,3)+6,0)</f>
        <v>11080</v>
      </c>
      <c r="W675" s="2" t="str">
        <f t="shared" si="63"/>
        <v>进阶+6：暴击提高20%</v>
      </c>
      <c r="X675" s="45" t="str">
        <f t="shared" si="61"/>
        <v>11080</v>
      </c>
      <c r="Y675" s="2"/>
      <c r="Z675" s="2"/>
      <c r="AA675" s="2"/>
    </row>
    <row r="676" spans="1:27">
      <c r="A676" s="10">
        <f>E676*100+COUNTIF($E$194:$E676,$E676)</f>
        <v>113307</v>
      </c>
      <c r="B676" s="68" t="s">
        <v>359</v>
      </c>
      <c r="C676" s="50" t="s">
        <v>353</v>
      </c>
      <c r="D676" s="10" t="str">
        <f t="shared" si="66"/>
        <v>[]</v>
      </c>
      <c r="E676" s="45">
        <f>INDEX($I:$I,MATCH($E675,$I:$I,0)+IF(COUNTIF($E$194:$E675,$E675)&lt;=VLOOKUP($E675,$I$134:$K$193,3,0)-1,0,1),0)</f>
        <v>1133</v>
      </c>
      <c r="F676" s="45" t="str">
        <f t="shared" si="62"/>
        <v>雷公</v>
      </c>
      <c r="H676" s="45">
        <f>VLOOKUP($E676,[1]Sheet1!$A:$G,7,0)</f>
        <v>2</v>
      </c>
      <c r="I676" s="45" t="str">
        <f>IF($G676="","",IF(COUNTIF(技能描述!$D:$D,$F676)&gt;0,VLOOKUP($F676&amp;$G676,技能描述!$A:$C,3,0),LEFT(VLOOKUP($E676,[1]Sheet1!$A:$J,10,0),FIND("_",VLOOKUP($E676,[1]Sheet1!$A:$J,10,0))-1)&amp;$G676))</f>
        <v/>
      </c>
      <c r="J676" s="45" t="str">
        <f>IF($I676="","",VLOOKUP($I676,技能描述!$A:$C,3,0))</f>
        <v/>
      </c>
      <c r="K676" s="45" t="str">
        <f>IF($I676="","",INDEX([2]Sheet1!$1:$1048576,MATCH($I676,[2]Sheet1!$A:$A,0),MATCH("description_damage",[2]Sheet1!$2:$2,0)))</f>
        <v/>
      </c>
      <c r="L676" s="80" t="str">
        <f>IF($K676="","",IF(LEN($K676)-LEN(SUBSTITUTE($K676,",",""))=0,VLOOKUP(INT($K676),[3]Sheet1!$A:$C,3,0),VLOOKUP(INT(LEFT($K676,FIND(",",$K676)-1)),[3]Sheet1!$A:$C,3,0)))</f>
        <v/>
      </c>
      <c r="M676" s="80" t="str">
        <f t="shared" si="67"/>
        <v/>
      </c>
      <c r="N676" s="45" t="str">
        <f>IF(LEN($K676)-LEN(SUBSTITUTE($K676,",",""))=1,VLOOKUP(INT(RIGHT($K676,LEN($K676)-FIND(",",$K676))),[3]Sheet1!$A:$C,3,0),"")</f>
        <v/>
      </c>
      <c r="O676" s="45" t="str">
        <f t="shared" si="64"/>
        <v/>
      </c>
      <c r="P676" s="45" t="str">
        <f t="shared" si="60"/>
        <v/>
      </c>
      <c r="Q676" s="45" t="str">
        <f t="shared" si="65"/>
        <v/>
      </c>
      <c r="R676" s="45"/>
      <c r="S676" s="45" t="str">
        <f>IF(ISERROR($Q676),"进阶+"&amp;COUNTIF($E$194:$E676,$E676)&amp;"："&amp;"找ZC配技能","进阶+"&amp;COUNTIF($E$194:$E676,$E676)&amp;"："&amp;VLOOKUP(COUNTIF($E$194:$E676,$E676),$L$184:$R$193,IF(H676=1,4,IF(H676=4,3,2))+IF(INDEX([1]Sheet1!$1:$1048576,MATCH($E676,[1]Sheet1!$A:$A,0),MATCH("zizhi",[1]Sheet1!$2:$2,0))&gt;=13,0,3),0)&amp;IF($Q676="","","（"&amp;$Q676&amp;"）"))</f>
        <v>进阶+7：全队攻击提高10%</v>
      </c>
      <c r="T676" s="1"/>
      <c r="U676" s="1"/>
      <c r="V676" s="2" t="str">
        <f>VLOOKUP(COUNTIF($E$194:$E676,$E676),$L$184:$X$193,IF(H676=1,4,IF(H676=4,3,2))+IF(INDEX([1]Sheet1!$1:$1048576,MATCH($E676,[1]Sheet1!$A:$A,0),MATCH("zizhi",[1]Sheet1!$2:$2,0))&gt;=13,0,3)+6,0)</f>
        <v>58010</v>
      </c>
      <c r="W676" s="2" t="str">
        <f t="shared" si="63"/>
        <v>进阶+7：全队攻击提高10%</v>
      </c>
      <c r="X676" s="45" t="str">
        <f t="shared" si="61"/>
        <v>58010</v>
      </c>
      <c r="Y676" s="2"/>
      <c r="Z676" s="2"/>
      <c r="AA676" s="2"/>
    </row>
    <row r="677" spans="1:27">
      <c r="A677" s="10">
        <f>E677*100+COUNTIF($E$194:$E677,$E677)</f>
        <v>113308</v>
      </c>
      <c r="B677" s="68" t="s">
        <v>316</v>
      </c>
      <c r="C677" s="50" t="s">
        <v>153</v>
      </c>
      <c r="D677" s="10" t="str">
        <f t="shared" si="66"/>
        <v>[]</v>
      </c>
      <c r="E677" s="45">
        <f>INDEX($I:$I,MATCH($E676,$I:$I,0)+IF(COUNTIF($E$194:$E676,$E676)&lt;=VLOOKUP($E676,$I$134:$K$193,3,0)-1,0,1),0)</f>
        <v>1133</v>
      </c>
      <c r="F677" s="45" t="str">
        <f t="shared" si="62"/>
        <v>雷公</v>
      </c>
      <c r="H677" s="45">
        <f>VLOOKUP($E677,[1]Sheet1!$A:$G,7,0)</f>
        <v>2</v>
      </c>
      <c r="I677" s="45" t="str">
        <f>IF($G677="","",IF(COUNTIF(技能描述!$D:$D,$F677)&gt;0,VLOOKUP($F677&amp;$G677,技能描述!$A:$C,3,0),LEFT(VLOOKUP($E677,[1]Sheet1!$A:$J,10,0),FIND("_",VLOOKUP($E677,[1]Sheet1!$A:$J,10,0))-1)&amp;$G677))</f>
        <v/>
      </c>
      <c r="J677" s="45" t="str">
        <f>IF($I677="","",VLOOKUP($I677,技能描述!$A:$C,3,0))</f>
        <v/>
      </c>
      <c r="K677" s="45" t="str">
        <f>IF($I677="","",INDEX([2]Sheet1!$1:$1048576,MATCH($I677,[2]Sheet1!$A:$A,0),MATCH("description_damage",[2]Sheet1!$2:$2,0)))</f>
        <v/>
      </c>
      <c r="L677" s="80" t="str">
        <f>IF($K677="","",IF(LEN($K677)-LEN(SUBSTITUTE($K677,",",""))=0,VLOOKUP(INT($K677),[3]Sheet1!$A:$C,3,0),VLOOKUP(INT(LEFT($K677,FIND(",",$K677)-1)),[3]Sheet1!$A:$C,3,0)))</f>
        <v/>
      </c>
      <c r="M677" s="80" t="str">
        <f t="shared" si="67"/>
        <v/>
      </c>
      <c r="N677" s="45" t="str">
        <f>IF(LEN($K677)-LEN(SUBSTITUTE($K677,",",""))=1,VLOOKUP(INT(RIGHT($K677,LEN($K677)-FIND(",",$K677))),[3]Sheet1!$A:$C,3,0),"")</f>
        <v/>
      </c>
      <c r="O677" s="45" t="str">
        <f t="shared" si="64"/>
        <v/>
      </c>
      <c r="P677" s="45" t="str">
        <f t="shared" si="60"/>
        <v/>
      </c>
      <c r="Q677" s="45" t="str">
        <f t="shared" si="65"/>
        <v/>
      </c>
      <c r="R677" s="45"/>
      <c r="S677" s="45" t="str">
        <f>IF(ISERROR($Q677),"进阶+"&amp;COUNTIF($E$194:$E677,$E677)&amp;"："&amp;"找ZC配技能","进阶+"&amp;COUNTIF($E$194:$E677,$E677)&amp;"："&amp;VLOOKUP(COUNTIF($E$194:$E677,$E677),$L$184:$R$193,IF(H677=1,4,IF(H677=4,3,2))+IF(INDEX([1]Sheet1!$1:$1048576,MATCH($E677,[1]Sheet1!$A:$A,0),MATCH("zizhi",[1]Sheet1!$2:$2,0))&gt;=13,0,3),0)&amp;IF($Q677="","","（"&amp;$Q677&amp;"）"))</f>
        <v>进阶+8：命中提高15%</v>
      </c>
      <c r="T677" s="1"/>
      <c r="U677" s="1"/>
      <c r="V677" s="2" t="str">
        <f>VLOOKUP(COUNTIF($E$194:$E677,$E677),$L$184:$X$193,IF(H677=1,4,IF(H677=4,3,2))+IF(INDEX([1]Sheet1!$1:$1048576,MATCH($E677,[1]Sheet1!$A:$A,0),MATCH("zizhi",[1]Sheet1!$2:$2,0))&gt;=13,0,3)+6,0)</f>
        <v>11035</v>
      </c>
      <c r="W677" s="2" t="str">
        <f t="shared" si="63"/>
        <v>进阶+8：命中提高15%</v>
      </c>
      <c r="X677" s="45" t="str">
        <f t="shared" si="61"/>
        <v>11035</v>
      </c>
      <c r="Y677" s="2"/>
      <c r="Z677" s="2"/>
      <c r="AA677" s="2"/>
    </row>
    <row r="678" spans="1:27">
      <c r="A678" s="10">
        <f>E678*100+COUNTIF($E$194:$E678,$E678)</f>
        <v>120401</v>
      </c>
      <c r="B678" s="68" t="s">
        <v>310</v>
      </c>
      <c r="C678" s="50">
        <v>11050</v>
      </c>
      <c r="D678" s="10" t="str">
        <f t="shared" si="66"/>
        <v>[]</v>
      </c>
      <c r="E678" s="45">
        <f>INDEX($I:$I,MATCH($E677,$I:$I,0)+IF(COUNTIF($E$194:$E677,$E677)&lt;=VLOOKUP($E677,$I$134:$K$193,3,0)-1,0,1),0)</f>
        <v>1204</v>
      </c>
      <c r="F678" s="45" t="str">
        <f t="shared" si="62"/>
        <v>鬼使白</v>
      </c>
      <c r="H678" s="45">
        <f>VLOOKUP($E678,[1]Sheet1!$A:$G,7,0)</f>
        <v>2</v>
      </c>
      <c r="I678" s="45" t="str">
        <f>IF($G678="","",IF(COUNTIF(技能描述!$D:$D,$F678)&gt;0,VLOOKUP($F678&amp;$G678,技能描述!$A:$C,3,0),LEFT(VLOOKUP($E678,[1]Sheet1!$A:$J,10,0),FIND("_",VLOOKUP($E678,[1]Sheet1!$A:$J,10,0))-1)&amp;$G678))</f>
        <v/>
      </c>
      <c r="J678" s="45" t="str">
        <f>IF($I678="","",VLOOKUP($I678,技能描述!$A:$C,3,0))</f>
        <v/>
      </c>
      <c r="K678" s="45" t="str">
        <f>IF($I678="","",INDEX([2]Sheet1!$1:$1048576,MATCH($I678,[2]Sheet1!$A:$A,0),MATCH("description_damage",[2]Sheet1!$2:$2,0)))</f>
        <v/>
      </c>
      <c r="L678" s="80" t="str">
        <f>IF($K678="","",IF(LEN($K678)-LEN(SUBSTITUTE($K678,",",""))=0,VLOOKUP(INT($K678),[3]Sheet1!$A:$C,3,0),VLOOKUP(INT(LEFT($K678,FIND(",",$K678)-1)),[3]Sheet1!$A:$C,3,0)))</f>
        <v/>
      </c>
      <c r="M678" s="80" t="str">
        <f t="shared" si="67"/>
        <v/>
      </c>
      <c r="N678" s="45" t="str">
        <f>IF(LEN($K678)-LEN(SUBSTITUTE($K678,",",""))=1,VLOOKUP(INT(RIGHT($K678,LEN($K678)-FIND(",",$K678))),[3]Sheet1!$A:$C,3,0),"")</f>
        <v/>
      </c>
      <c r="O678" s="45" t="str">
        <f t="shared" si="64"/>
        <v/>
      </c>
      <c r="P678" s="45" t="str">
        <f t="shared" si="60"/>
        <v/>
      </c>
      <c r="Q678" s="45" t="str">
        <f t="shared" si="65"/>
        <v/>
      </c>
      <c r="R678" s="45"/>
      <c r="S678" s="45" t="str">
        <f>IF(ISERROR($Q678),"进阶+"&amp;COUNTIF($E$194:$E678,$E678)&amp;"："&amp;"找ZC配技能","进阶+"&amp;COUNTIF($E$194:$E678,$E678)&amp;"："&amp;VLOOKUP(COUNTIF($E$194:$E678,$E678),$L$184:$R$193,IF(H678=1,4,IF(H678=4,3,2))+IF(INDEX([1]Sheet1!$1:$1048576,MATCH($E678,[1]Sheet1!$A:$A,0),MATCH("zizhi",[1]Sheet1!$2:$2,0))&gt;=13,0,3),0)&amp;IF($Q678="","","（"&amp;$Q678&amp;"）"))</f>
        <v>进阶+1：攻击提高10%</v>
      </c>
      <c r="T678" s="1"/>
      <c r="U678" s="1"/>
      <c r="V678" s="2">
        <f>VLOOKUP(COUNTIF($E$194:$E678,$E678),$L$184:$X$193,IF(H678=1,4,IF(H678=4,3,2))+IF(INDEX([1]Sheet1!$1:$1048576,MATCH($E678,[1]Sheet1!$A:$A,0),MATCH("zizhi",[1]Sheet1!$2:$2,0))&gt;=13,0,3)+6,0)</f>
        <v>11050</v>
      </c>
      <c r="W678" s="2" t="str">
        <f t="shared" si="63"/>
        <v>进阶+1：攻击提高10%</v>
      </c>
      <c r="X678" s="45">
        <f t="shared" si="61"/>
        <v>11050</v>
      </c>
      <c r="Y678" s="2"/>
      <c r="Z678" s="2"/>
      <c r="AA678" s="2"/>
    </row>
    <row r="679" spans="1:27">
      <c r="A679" s="10">
        <f>E679*100+COUNTIF($E$194:$E679,$E679)</f>
        <v>120402</v>
      </c>
      <c r="B679" s="68" t="s">
        <v>369</v>
      </c>
      <c r="C679" s="50" t="s">
        <v>2</v>
      </c>
      <c r="D679" s="10">
        <f t="shared" si="66"/>
        <v>1</v>
      </c>
      <c r="E679" s="45">
        <f>INDEX($I:$I,MATCH($E678,$I:$I,0)+IF(COUNTIF($E$194:$E678,$E678)&lt;=VLOOKUP($E678,$I$134:$K$193,3,0)-1,0,1),0)</f>
        <v>1204</v>
      </c>
      <c r="F679" s="45" t="str">
        <f t="shared" si="62"/>
        <v>鬼使白</v>
      </c>
      <c r="G679" s="45" t="s">
        <v>216</v>
      </c>
      <c r="H679" s="45">
        <f>VLOOKUP($E679,[1]Sheet1!$A:$G,7,0)</f>
        <v>2</v>
      </c>
      <c r="I679" s="45" t="str">
        <f>IF($G679="","",IF(COUNTIF(技能描述!$D:$D,$F679)&gt;0,VLOOKUP($F679&amp;$G679,技能描述!$A:$C,3,0),LEFT(VLOOKUP($E679,[1]Sheet1!$A:$J,10,0),FIND("_",VLOOKUP($E679,[1]Sheet1!$A:$J,10,0))-1)&amp;$G679))</f>
        <v>guishibai_skill03</v>
      </c>
      <c r="J679" s="45" t="str">
        <f>IF($I679="","",VLOOKUP($I679,技能描述!$A:$C,3,0))</f>
        <v>进入战斗场景时，增加自身@s的闪避率</v>
      </c>
      <c r="K679" s="45" t="str">
        <f>IF($I679="","",INDEX([2]Sheet1!$1:$1048576,MATCH($I679,[2]Sheet1!$A:$A,0),MATCH("description_damage",[2]Sheet1!$2:$2,0)))</f>
        <v>9010</v>
      </c>
      <c r="L679" s="80" t="str">
        <f>IF($K679="","",IF(LEN($K679)-LEN(SUBSTITUTE($K679,",",""))=0,VLOOKUP(INT($K679),[3]Sheet1!$A:$C,3,0),VLOOKUP(INT(LEFT($K679,FIND(",",$K679)-1)),[3]Sheet1!$A:$C,3,0)))</f>
        <v>4|3|0.1|0|1</v>
      </c>
      <c r="M679" s="80" t="str">
        <f t="shared" si="67"/>
        <v>10%</v>
      </c>
      <c r="N679" s="45" t="str">
        <f>IF(LEN($K679)-LEN(SUBSTITUTE($K679,",",""))=1,VLOOKUP(INT(RIGHT($K679,LEN($K679)-FIND(",",$K679))),[3]Sheet1!$A:$C,3,0),"")</f>
        <v/>
      </c>
      <c r="O679" s="45" t="str">
        <f t="shared" si="64"/>
        <v/>
      </c>
      <c r="P679" s="45" t="str">
        <f t="shared" si="60"/>
        <v>进入战斗场景时，增加自身10%的闪避率</v>
      </c>
      <c r="Q679" s="45" t="str">
        <f t="shared" si="65"/>
        <v>进入战斗场景时，增加自身10%的闪避率</v>
      </c>
      <c r="R679" s="45"/>
      <c r="S679" s="45" t="str">
        <f>IF(ISERROR($Q679),"进阶+"&amp;COUNTIF($E$194:$E679,$E679)&amp;"："&amp;"找ZC配技能","进阶+"&amp;COUNTIF($E$194:$E679,$E679)&amp;"："&amp;VLOOKUP(COUNTIF($E$194:$E679,$E679),$L$184:$R$193,IF(H679=1,4,IF(H679=4,3,2))+IF(INDEX([1]Sheet1!$1:$1048576,MATCH($E679,[1]Sheet1!$A:$A,0),MATCH("zizhi",[1]Sheet1!$2:$2,0))&gt;=13,0,3),0)&amp;IF($Q679="","","（"&amp;$Q679&amp;"）"))</f>
        <v>进阶+2：激活被动技能（进入战斗场景时，增加自身10%的闪避率）</v>
      </c>
      <c r="T679" s="1"/>
      <c r="U679" s="1"/>
      <c r="V679" s="2" t="str">
        <f>VLOOKUP(COUNTIF($E$194:$E679,$E679),$L$184:$X$193,IF(H679=1,4,IF(H679=4,3,2))+IF(INDEX([1]Sheet1!$1:$1048576,MATCH($E679,[1]Sheet1!$A:$A,0),MATCH("zizhi",[1]Sheet1!$2:$2,0))&gt;=13,0,3)+6,0)</f>
        <v>[]</v>
      </c>
      <c r="W679" s="2" t="str">
        <f t="shared" si="63"/>
        <v>进阶+2：激活被动技能（进入战斗场景时，增加自身10%的闪避率）</v>
      </c>
      <c r="X679" s="45" t="str">
        <f t="shared" si="61"/>
        <v>[]</v>
      </c>
      <c r="Y679" s="2"/>
      <c r="Z679" s="2"/>
      <c r="AA679" s="2"/>
    </row>
    <row r="680" spans="1:27">
      <c r="A680" s="10">
        <f>E680*100+COUNTIF($E$194:$E680,$E680)</f>
        <v>120403</v>
      </c>
      <c r="B680" s="68" t="s">
        <v>312</v>
      </c>
      <c r="C680" s="50" t="s">
        <v>127</v>
      </c>
      <c r="D680" s="10" t="str">
        <f t="shared" si="66"/>
        <v>[]</v>
      </c>
      <c r="E680" s="45">
        <f>INDEX($I:$I,MATCH($E679,$I:$I,0)+IF(COUNTIF($E$194:$E679,$E679)&lt;=VLOOKUP($E679,$I$134:$K$193,3,0)-1,0,1),0)</f>
        <v>1204</v>
      </c>
      <c r="F680" s="45" t="str">
        <f t="shared" si="62"/>
        <v>鬼使白</v>
      </c>
      <c r="H680" s="45">
        <f>VLOOKUP($E680,[1]Sheet1!$A:$G,7,0)</f>
        <v>2</v>
      </c>
      <c r="I680" s="45" t="str">
        <f>IF($G680="","",IF(COUNTIF(技能描述!$D:$D,$F680)&gt;0,VLOOKUP($F680&amp;$G680,技能描述!$A:$C,3,0),LEFT(VLOOKUP($E680,[1]Sheet1!$A:$J,10,0),FIND("_",VLOOKUP($E680,[1]Sheet1!$A:$J,10,0))-1)&amp;$G680))</f>
        <v/>
      </c>
      <c r="J680" s="45" t="str">
        <f>IF($I680="","",VLOOKUP($I680,技能描述!$A:$C,3,0))</f>
        <v/>
      </c>
      <c r="K680" s="45" t="str">
        <f>IF($I680="","",INDEX([2]Sheet1!$1:$1048576,MATCH($I680,[2]Sheet1!$A:$A,0),MATCH("description_damage",[2]Sheet1!$2:$2,0)))</f>
        <v/>
      </c>
      <c r="L680" s="80" t="str">
        <f>IF($K680="","",IF(LEN($K680)-LEN(SUBSTITUTE($K680,",",""))=0,VLOOKUP(INT($K680),[3]Sheet1!$A:$C,3,0),VLOOKUP(INT(LEFT($K680,FIND(",",$K680)-1)),[3]Sheet1!$A:$C,3,0)))</f>
        <v/>
      </c>
      <c r="M680" s="80" t="str">
        <f t="shared" si="67"/>
        <v/>
      </c>
      <c r="N680" s="45" t="str">
        <f>IF(LEN($K680)-LEN(SUBSTITUTE($K680,",",""))=1,VLOOKUP(INT(RIGHT($K680,LEN($K680)-FIND(",",$K680))),[3]Sheet1!$A:$C,3,0),"")</f>
        <v/>
      </c>
      <c r="O680" s="45" t="str">
        <f t="shared" si="64"/>
        <v/>
      </c>
      <c r="P680" s="45" t="str">
        <f t="shared" si="60"/>
        <v/>
      </c>
      <c r="Q680" s="45" t="str">
        <f t="shared" si="65"/>
        <v/>
      </c>
      <c r="R680" s="45"/>
      <c r="S680" s="45" t="str">
        <f>IF(ISERROR($Q680),"进阶+"&amp;COUNTIF($E$194:$E680,$E680)&amp;"："&amp;"找ZC配技能","进阶+"&amp;COUNTIF($E$194:$E680,$E680)&amp;"："&amp;VLOOKUP(COUNTIF($E$194:$E680,$E680),$L$184:$R$193,IF(H680=1,4,IF(H680=4,3,2))+IF(INDEX([1]Sheet1!$1:$1048576,MATCH($E680,[1]Sheet1!$A:$A,0),MATCH("zizhi",[1]Sheet1!$2:$2,0))&gt;=13,0,3),0)&amp;IF($Q680="","","（"&amp;$Q680&amp;"）"))</f>
        <v>进阶+3：攻击提高10%</v>
      </c>
      <c r="T680" s="1"/>
      <c r="U680" s="1"/>
      <c r="V680" s="2" t="str">
        <f>VLOOKUP(COUNTIF($E$194:$E680,$E680),$L$184:$X$193,IF(H680=1,4,IF(H680=4,3,2))+IF(INDEX([1]Sheet1!$1:$1048576,MATCH($E680,[1]Sheet1!$A:$A,0),MATCH("zizhi",[1]Sheet1!$2:$2,0))&gt;=13,0,3)+6,0)</f>
        <v>11050</v>
      </c>
      <c r="W680" s="2" t="str">
        <f t="shared" si="63"/>
        <v>进阶+3：攻击提高10%</v>
      </c>
      <c r="X680" s="45" t="str">
        <f t="shared" si="61"/>
        <v>11050</v>
      </c>
      <c r="Y680" s="2"/>
      <c r="Z680" s="2"/>
      <c r="AA680" s="2"/>
    </row>
    <row r="681" spans="1:27" ht="33">
      <c r="A681" s="10">
        <f>E681*100+COUNTIF($E$194:$E681,$E681)</f>
        <v>120404</v>
      </c>
      <c r="B681" s="68" t="s">
        <v>1892</v>
      </c>
      <c r="C681" s="50" t="s">
        <v>2</v>
      </c>
      <c r="D681" s="10">
        <f t="shared" si="66"/>
        <v>1</v>
      </c>
      <c r="E681" s="45">
        <f>INDEX($I:$I,MATCH($E680,$I:$I,0)+IF(COUNTIF($E$194:$E680,$E680)&lt;=VLOOKUP($E680,$I$134:$K$193,3,0)-1,0,1),0)</f>
        <v>1204</v>
      </c>
      <c r="F681" s="45" t="str">
        <f t="shared" si="62"/>
        <v>鬼使白</v>
      </c>
      <c r="G681" s="45" t="s">
        <v>217</v>
      </c>
      <c r="H681" s="45">
        <f>VLOOKUP($E681,[1]Sheet1!$A:$G,7,0)</f>
        <v>2</v>
      </c>
      <c r="I681" s="45" t="str">
        <f>IF($G681="","",IF(COUNTIF(技能描述!$D:$D,$F681)&gt;0,VLOOKUP($F681&amp;$G681,技能描述!$A:$C,3,0),LEFT(VLOOKUP($E681,[1]Sheet1!$A:$J,10,0),FIND("_",VLOOKUP($E681,[1]Sheet1!$A:$J,10,0))-1)&amp;$G681))</f>
        <v>guishibai_skill04</v>
      </c>
      <c r="J681" s="45" t="str">
        <f>IF($I681="","",VLOOKUP($I681,技能描述!$A:$C,3,0))</f>
        <v>鬼使白对目标发射拘魂令对命中目标造成自身攻击力@s的伤害，并使目标无法行动</v>
      </c>
      <c r="K681" s="45" t="str">
        <f>IF($I681="","",INDEX([2]Sheet1!$1:$1048576,MATCH($I681,[2]Sheet1!$A:$A,0),MATCH("description_damage",[2]Sheet1!$2:$2,0)))</f>
        <v>120404</v>
      </c>
      <c r="L681" s="80" t="str">
        <f>IF($K681="","",IF(LEN($K681)-LEN(SUBSTITUTE($K681,",",""))=0,VLOOKUP(INT($K681),[3]Sheet1!$A:$C,3,0),VLOOKUP(INT(LEFT($K681,FIND(",",$K681)-1)),[3]Sheet1!$A:$C,3,0)))</f>
        <v>2|2|1.35|0|0|0</v>
      </c>
      <c r="M681" s="80" t="str">
        <f t="shared" si="67"/>
        <v>135%</v>
      </c>
      <c r="N681" s="45" t="str">
        <f>IF(LEN($K681)-LEN(SUBSTITUTE($K681,",",""))=1,VLOOKUP(INT(RIGHT($K681,LEN($K681)-FIND(",",$K681))),[3]Sheet1!$A:$C,3,0),"")</f>
        <v/>
      </c>
      <c r="O681" s="45" t="str">
        <f t="shared" si="64"/>
        <v/>
      </c>
      <c r="P681" s="45" t="str">
        <f t="shared" si="60"/>
        <v>鬼使白对目标发射拘魂令对命中目标造成自身攻击力135%的伤害，并使目标无法行动</v>
      </c>
      <c r="Q681" s="45" t="str">
        <f t="shared" si="65"/>
        <v>鬼使白对目标发射拘魂令对命中目标造成自身攻击力135%的伤害，并使目标无法行动</v>
      </c>
      <c r="R681" s="45"/>
      <c r="S681" s="45" t="str">
        <f>IF(ISERROR($Q681),"进阶+"&amp;COUNTIF($E$194:$E681,$E681)&amp;"："&amp;"找ZC配技能","进阶+"&amp;COUNTIF($E$194:$E681,$E681)&amp;"："&amp;VLOOKUP(COUNTIF($E$194:$E681,$E681),$L$184:$R$193,IF(H681=1,4,IF(H681=4,3,2))+IF(INDEX([1]Sheet1!$1:$1048576,MATCH($E681,[1]Sheet1!$A:$A,0),MATCH("zizhi",[1]Sheet1!$2:$2,0))&gt;=13,0,3),0)&amp;IF($Q681="","","（"&amp;$Q681&amp;"）"))</f>
        <v>进阶+4：激活AI2技能（鬼使白对目标发射拘魂令对命中目标造成自身攻击力135%的伤害，并使目标无法行动）</v>
      </c>
      <c r="T681" s="1"/>
      <c r="U681" s="1"/>
      <c r="V681" s="2" t="str">
        <f>VLOOKUP(COUNTIF($E$194:$E681,$E681),$L$184:$X$193,IF(H681=1,4,IF(H681=4,3,2))+IF(INDEX([1]Sheet1!$1:$1048576,MATCH($E681,[1]Sheet1!$A:$A,0),MATCH("zizhi",[1]Sheet1!$2:$2,0))&gt;=13,0,3)+6,0)</f>
        <v>[]</v>
      </c>
      <c r="W681" s="2" t="str">
        <f t="shared" si="63"/>
        <v>进阶+4：激活AI2技能（鬼使白对目标发射拘魂令对命中目标造成自身攻击力135%的伤害，并使目标无法行动）</v>
      </c>
      <c r="X681" s="45" t="str">
        <f t="shared" si="61"/>
        <v>[]</v>
      </c>
      <c r="Y681" s="2"/>
      <c r="Z681" s="2"/>
      <c r="AA681" s="2"/>
    </row>
    <row r="682" spans="1:27">
      <c r="A682" s="10">
        <f>E682*100+COUNTIF($E$194:$E682,$E682)</f>
        <v>120405</v>
      </c>
      <c r="B682" s="68" t="s">
        <v>323</v>
      </c>
      <c r="C682" s="50" t="s">
        <v>140</v>
      </c>
      <c r="D682" s="10" t="str">
        <f t="shared" si="66"/>
        <v>[]</v>
      </c>
      <c r="E682" s="45">
        <f>INDEX($I:$I,MATCH($E681,$I:$I,0)+IF(COUNTIF($E$194:$E681,$E681)&lt;=VLOOKUP($E681,$I$134:$K$193,3,0)-1,0,1),0)</f>
        <v>1204</v>
      </c>
      <c r="F682" s="45" t="str">
        <f t="shared" si="62"/>
        <v>鬼使白</v>
      </c>
      <c r="H682" s="45">
        <f>VLOOKUP($E682,[1]Sheet1!$A:$G,7,0)</f>
        <v>2</v>
      </c>
      <c r="I682" s="45" t="str">
        <f>IF($G682="","",IF(COUNTIF(技能描述!$D:$D,$F682)&gt;0,VLOOKUP($F682&amp;$G682,技能描述!$A:$C,3,0),LEFT(VLOOKUP($E682,[1]Sheet1!$A:$J,10,0),FIND("_",VLOOKUP($E682,[1]Sheet1!$A:$J,10,0))-1)&amp;$G682))</f>
        <v/>
      </c>
      <c r="J682" s="45" t="str">
        <f>IF($I682="","",VLOOKUP($I682,技能描述!$A:$C,3,0))</f>
        <v/>
      </c>
      <c r="K682" s="45" t="str">
        <f>IF($I682="","",INDEX([2]Sheet1!$1:$1048576,MATCH($I682,[2]Sheet1!$A:$A,0),MATCH("description_damage",[2]Sheet1!$2:$2,0)))</f>
        <v/>
      </c>
      <c r="L682" s="80" t="str">
        <f>IF($K682="","",IF(LEN($K682)-LEN(SUBSTITUTE($K682,",",""))=0,VLOOKUP(INT($K682),[3]Sheet1!$A:$C,3,0),VLOOKUP(INT(LEFT($K682,FIND(",",$K682)-1)),[3]Sheet1!$A:$C,3,0)))</f>
        <v/>
      </c>
      <c r="M682" s="80" t="str">
        <f t="shared" si="67"/>
        <v/>
      </c>
      <c r="N682" s="45" t="str">
        <f>IF(LEN($K682)-LEN(SUBSTITUTE($K682,",",""))=1,VLOOKUP(INT(RIGHT($K682,LEN($K682)-FIND(",",$K682))),[3]Sheet1!$A:$C,3,0),"")</f>
        <v/>
      </c>
      <c r="O682" s="45" t="str">
        <f t="shared" si="64"/>
        <v/>
      </c>
      <c r="P682" s="45" t="str">
        <f t="shared" si="60"/>
        <v/>
      </c>
      <c r="Q682" s="45" t="str">
        <f t="shared" si="65"/>
        <v/>
      </c>
      <c r="R682" s="45"/>
      <c r="S682" s="45" t="str">
        <f>IF(ISERROR($Q682),"进阶+"&amp;COUNTIF($E$194:$E682,$E682)&amp;"："&amp;"找ZC配技能","进阶+"&amp;COUNTIF($E$194:$E682,$E682)&amp;"："&amp;VLOOKUP(COUNTIF($E$194:$E682,$E682),$L$184:$R$193,IF(H682=1,4,IF(H682=4,3,2))+IF(INDEX([1]Sheet1!$1:$1048576,MATCH($E682,[1]Sheet1!$A:$A,0),MATCH("zizhi",[1]Sheet1!$2:$2,0))&gt;=13,0,3),0)&amp;IF($Q682="","","（"&amp;$Q682&amp;"）"))</f>
        <v>进阶+5：生命，防御提高10%</v>
      </c>
      <c r="T682" s="1"/>
      <c r="U682" s="1"/>
      <c r="V682" s="2" t="str">
        <f>VLOOKUP(COUNTIF($E$194:$E682,$E682),$L$184:$X$193,IF(H682=1,4,IF(H682=4,3,2))+IF(INDEX([1]Sheet1!$1:$1048576,MATCH($E682,[1]Sheet1!$A:$A,0),MATCH("zizhi",[1]Sheet1!$2:$2,0))&gt;=13,0,3)+6,0)</f>
        <v>11090,6502,6512</v>
      </c>
      <c r="W682" s="2" t="str">
        <f t="shared" si="63"/>
        <v>进阶+5：生命，防御提高10%</v>
      </c>
      <c r="X682" s="45" t="str">
        <f t="shared" si="61"/>
        <v>11090,6502,6512</v>
      </c>
      <c r="Y682" s="2"/>
      <c r="Z682" s="2"/>
      <c r="AA682" s="2"/>
    </row>
    <row r="683" spans="1:27">
      <c r="A683" s="10">
        <f>E683*100+COUNTIF($E$194:$E683,$E683)</f>
        <v>120406</v>
      </c>
      <c r="B683" s="68" t="s">
        <v>314</v>
      </c>
      <c r="C683" s="50" t="s">
        <v>241</v>
      </c>
      <c r="D683" s="10" t="str">
        <f t="shared" si="66"/>
        <v>[]</v>
      </c>
      <c r="E683" s="45">
        <f>INDEX($I:$I,MATCH($E682,$I:$I,0)+IF(COUNTIF($E$194:$E682,$E682)&lt;=VLOOKUP($E682,$I$134:$K$193,3,0)-1,0,1),0)</f>
        <v>1204</v>
      </c>
      <c r="F683" s="45" t="str">
        <f t="shared" si="62"/>
        <v>鬼使白</v>
      </c>
      <c r="H683" s="45">
        <f>VLOOKUP($E683,[1]Sheet1!$A:$G,7,0)</f>
        <v>2</v>
      </c>
      <c r="I683" s="45" t="str">
        <f>IF($G683="","",IF(COUNTIF(技能描述!$D:$D,$F683)&gt;0,VLOOKUP($F683&amp;$G683,技能描述!$A:$C,3,0),LEFT(VLOOKUP($E683,[1]Sheet1!$A:$J,10,0),FIND("_",VLOOKUP($E683,[1]Sheet1!$A:$J,10,0))-1)&amp;$G683))</f>
        <v/>
      </c>
      <c r="J683" s="45" t="str">
        <f>IF($I683="","",VLOOKUP($I683,技能描述!$A:$C,3,0))</f>
        <v/>
      </c>
      <c r="K683" s="45" t="str">
        <f>IF($I683="","",INDEX([2]Sheet1!$1:$1048576,MATCH($I683,[2]Sheet1!$A:$A,0),MATCH("description_damage",[2]Sheet1!$2:$2,0)))</f>
        <v/>
      </c>
      <c r="L683" s="80" t="str">
        <f>IF($K683="","",IF(LEN($K683)-LEN(SUBSTITUTE($K683,",",""))=0,VLOOKUP(INT($K683),[3]Sheet1!$A:$C,3,0),VLOOKUP(INT(LEFT($K683,FIND(",",$K683)-1)),[3]Sheet1!$A:$C,3,0)))</f>
        <v/>
      </c>
      <c r="M683" s="80" t="str">
        <f t="shared" si="67"/>
        <v/>
      </c>
      <c r="N683" s="45" t="str">
        <f>IF(LEN($K683)-LEN(SUBSTITUTE($K683,",",""))=1,VLOOKUP(INT(RIGHT($K683,LEN($K683)-FIND(",",$K683))),[3]Sheet1!$A:$C,3,0),"")</f>
        <v/>
      </c>
      <c r="O683" s="45" t="str">
        <f t="shared" si="64"/>
        <v/>
      </c>
      <c r="P683" s="45" t="str">
        <f t="shared" si="60"/>
        <v/>
      </c>
      <c r="Q683" s="45" t="str">
        <f t="shared" si="65"/>
        <v/>
      </c>
      <c r="R683" s="45"/>
      <c r="S683" s="45" t="str">
        <f>IF(ISERROR($Q683),"进阶+"&amp;COUNTIF($E$194:$E683,$E683)&amp;"："&amp;"找ZC配技能","进阶+"&amp;COUNTIF($E$194:$E683,$E683)&amp;"："&amp;VLOOKUP(COUNTIF($E$194:$E683,$E683),$L$184:$R$193,IF(H683=1,4,IF(H683=4,3,2))+IF(INDEX([1]Sheet1!$1:$1048576,MATCH($E683,[1]Sheet1!$A:$A,0),MATCH("zizhi",[1]Sheet1!$2:$2,0))&gt;=13,0,3),0)&amp;IF($Q683="","","（"&amp;$Q683&amp;"）"))</f>
        <v>进阶+6：暴击提高20%</v>
      </c>
      <c r="T683" s="1"/>
      <c r="U683" s="1"/>
      <c r="V683" s="2" t="str">
        <f>VLOOKUP(COUNTIF($E$194:$E683,$E683),$L$184:$X$193,IF(H683=1,4,IF(H683=4,3,2))+IF(INDEX([1]Sheet1!$1:$1048576,MATCH($E683,[1]Sheet1!$A:$A,0),MATCH("zizhi",[1]Sheet1!$2:$2,0))&gt;=13,0,3)+6,0)</f>
        <v>11080</v>
      </c>
      <c r="W683" s="2" t="str">
        <f t="shared" si="63"/>
        <v>进阶+6：暴击提高20%</v>
      </c>
      <c r="X683" s="45" t="str">
        <f t="shared" si="61"/>
        <v>11080</v>
      </c>
      <c r="Y683" s="2"/>
      <c r="Z683" s="2"/>
      <c r="AA683" s="2"/>
    </row>
    <row r="684" spans="1:27">
      <c r="A684" s="10">
        <f>E684*100+COUNTIF($E$194:$E684,$E684)</f>
        <v>120407</v>
      </c>
      <c r="B684" s="68" t="s">
        <v>359</v>
      </c>
      <c r="C684" s="50" t="s">
        <v>353</v>
      </c>
      <c r="D684" s="10" t="str">
        <f t="shared" si="66"/>
        <v>[]</v>
      </c>
      <c r="E684" s="45">
        <f>INDEX($I:$I,MATCH($E683,$I:$I,0)+IF(COUNTIF($E$194:$E683,$E683)&lt;=VLOOKUP($E683,$I$134:$K$193,3,0)-1,0,1),0)</f>
        <v>1204</v>
      </c>
      <c r="F684" s="45" t="str">
        <f t="shared" si="62"/>
        <v>鬼使白</v>
      </c>
      <c r="H684" s="45">
        <f>VLOOKUP($E684,[1]Sheet1!$A:$G,7,0)</f>
        <v>2</v>
      </c>
      <c r="I684" s="45" t="str">
        <f>IF($G684="","",IF(COUNTIF(技能描述!$D:$D,$F684)&gt;0,VLOOKUP($F684&amp;$G684,技能描述!$A:$C,3,0),LEFT(VLOOKUP($E684,[1]Sheet1!$A:$J,10,0),FIND("_",VLOOKUP($E684,[1]Sheet1!$A:$J,10,0))-1)&amp;$G684))</f>
        <v/>
      </c>
      <c r="J684" s="45" t="str">
        <f>IF($I684="","",VLOOKUP($I684,技能描述!$A:$C,3,0))</f>
        <v/>
      </c>
      <c r="K684" s="45" t="str">
        <f>IF($I684="","",INDEX([2]Sheet1!$1:$1048576,MATCH($I684,[2]Sheet1!$A:$A,0),MATCH("description_damage",[2]Sheet1!$2:$2,0)))</f>
        <v/>
      </c>
      <c r="L684" s="80" t="str">
        <f>IF($K684="","",IF(LEN($K684)-LEN(SUBSTITUTE($K684,",",""))=0,VLOOKUP(INT($K684),[3]Sheet1!$A:$C,3,0),VLOOKUP(INT(LEFT($K684,FIND(",",$K684)-1)),[3]Sheet1!$A:$C,3,0)))</f>
        <v/>
      </c>
      <c r="M684" s="80" t="str">
        <f t="shared" si="67"/>
        <v/>
      </c>
      <c r="N684" s="45" t="str">
        <f>IF(LEN($K684)-LEN(SUBSTITUTE($K684,",",""))=1,VLOOKUP(INT(RIGHT($K684,LEN($K684)-FIND(",",$K684))),[3]Sheet1!$A:$C,3,0),"")</f>
        <v/>
      </c>
      <c r="O684" s="45" t="str">
        <f t="shared" si="64"/>
        <v/>
      </c>
      <c r="P684" s="45" t="str">
        <f t="shared" si="60"/>
        <v/>
      </c>
      <c r="Q684" s="45" t="str">
        <f t="shared" si="65"/>
        <v/>
      </c>
      <c r="R684" s="45"/>
      <c r="S684" s="45" t="str">
        <f>IF(ISERROR($Q684),"进阶+"&amp;COUNTIF($E$194:$E684,$E684)&amp;"："&amp;"找ZC配技能","进阶+"&amp;COUNTIF($E$194:$E684,$E684)&amp;"："&amp;VLOOKUP(COUNTIF($E$194:$E684,$E684),$L$184:$R$193,IF(H684=1,4,IF(H684=4,3,2))+IF(INDEX([1]Sheet1!$1:$1048576,MATCH($E684,[1]Sheet1!$A:$A,0),MATCH("zizhi",[1]Sheet1!$2:$2,0))&gt;=13,0,3),0)&amp;IF($Q684="","","（"&amp;$Q684&amp;"）"))</f>
        <v>进阶+7：全队攻击提高10%</v>
      </c>
      <c r="T684" s="1"/>
      <c r="U684" s="1"/>
      <c r="V684" s="2" t="str">
        <f>VLOOKUP(COUNTIF($E$194:$E684,$E684),$L$184:$X$193,IF(H684=1,4,IF(H684=4,3,2))+IF(INDEX([1]Sheet1!$1:$1048576,MATCH($E684,[1]Sheet1!$A:$A,0),MATCH("zizhi",[1]Sheet1!$2:$2,0))&gt;=13,0,3)+6,0)</f>
        <v>58010</v>
      </c>
      <c r="W684" s="2" t="str">
        <f t="shared" si="63"/>
        <v>进阶+7：全队攻击提高10%</v>
      </c>
      <c r="X684" s="45" t="str">
        <f t="shared" si="61"/>
        <v>58010</v>
      </c>
      <c r="Y684" s="2"/>
      <c r="Z684" s="2"/>
      <c r="AA684" s="2"/>
    </row>
    <row r="685" spans="1:27">
      <c r="A685" s="10">
        <f>E685*100+COUNTIF($E$194:$E685,$E685)</f>
        <v>120408</v>
      </c>
      <c r="B685" s="68" t="s">
        <v>316</v>
      </c>
      <c r="C685" s="50" t="s">
        <v>153</v>
      </c>
      <c r="D685" s="10" t="str">
        <f t="shared" si="66"/>
        <v>[]</v>
      </c>
      <c r="E685" s="45">
        <f>INDEX($I:$I,MATCH($E684,$I:$I,0)+IF(COUNTIF($E$194:$E684,$E684)&lt;=VLOOKUP($E684,$I$134:$K$193,3,0)-1,0,1),0)</f>
        <v>1204</v>
      </c>
      <c r="F685" s="45" t="str">
        <f t="shared" si="62"/>
        <v>鬼使白</v>
      </c>
      <c r="H685" s="45">
        <f>VLOOKUP($E685,[1]Sheet1!$A:$G,7,0)</f>
        <v>2</v>
      </c>
      <c r="I685" s="45" t="str">
        <f>IF($G685="","",IF(COUNTIF(技能描述!$D:$D,$F685)&gt;0,VLOOKUP($F685&amp;$G685,技能描述!$A:$C,3,0),LEFT(VLOOKUP($E685,[1]Sheet1!$A:$J,10,0),FIND("_",VLOOKUP($E685,[1]Sheet1!$A:$J,10,0))-1)&amp;$G685))</f>
        <v/>
      </c>
      <c r="J685" s="45" t="str">
        <f>IF($I685="","",VLOOKUP($I685,技能描述!$A:$C,3,0))</f>
        <v/>
      </c>
      <c r="K685" s="45" t="str">
        <f>IF($I685="","",INDEX([2]Sheet1!$1:$1048576,MATCH($I685,[2]Sheet1!$A:$A,0),MATCH("description_damage",[2]Sheet1!$2:$2,0)))</f>
        <v/>
      </c>
      <c r="L685" s="80" t="str">
        <f>IF($K685="","",IF(LEN($K685)-LEN(SUBSTITUTE($K685,",",""))=0,VLOOKUP(INT($K685),[3]Sheet1!$A:$C,3,0),VLOOKUP(INT(LEFT($K685,FIND(",",$K685)-1)),[3]Sheet1!$A:$C,3,0)))</f>
        <v/>
      </c>
      <c r="M685" s="80" t="str">
        <f t="shared" si="67"/>
        <v/>
      </c>
      <c r="N685" s="45" t="str">
        <f>IF(LEN($K685)-LEN(SUBSTITUTE($K685,",",""))=1,VLOOKUP(INT(RIGHT($K685,LEN($K685)-FIND(",",$K685))),[3]Sheet1!$A:$C,3,0),"")</f>
        <v/>
      </c>
      <c r="O685" s="45" t="str">
        <f t="shared" si="64"/>
        <v/>
      </c>
      <c r="P685" s="45" t="str">
        <f t="shared" si="60"/>
        <v/>
      </c>
      <c r="Q685" s="45" t="str">
        <f t="shared" si="65"/>
        <v/>
      </c>
      <c r="R685" s="45"/>
      <c r="S685" s="45" t="str">
        <f>IF(ISERROR($Q685),"进阶+"&amp;COUNTIF($E$194:$E685,$E685)&amp;"："&amp;"找ZC配技能","进阶+"&amp;COUNTIF($E$194:$E685,$E685)&amp;"："&amp;VLOOKUP(COUNTIF($E$194:$E685,$E685),$L$184:$R$193,IF(H685=1,4,IF(H685=4,3,2))+IF(INDEX([1]Sheet1!$1:$1048576,MATCH($E685,[1]Sheet1!$A:$A,0),MATCH("zizhi",[1]Sheet1!$2:$2,0))&gt;=13,0,3),0)&amp;IF($Q685="","","（"&amp;$Q685&amp;"）"))</f>
        <v>进阶+8：命中提高15%</v>
      </c>
      <c r="T685" s="1"/>
      <c r="U685" s="1"/>
      <c r="V685" s="2" t="str">
        <f>VLOOKUP(COUNTIF($E$194:$E685,$E685),$L$184:$X$193,IF(H685=1,4,IF(H685=4,3,2))+IF(INDEX([1]Sheet1!$1:$1048576,MATCH($E685,[1]Sheet1!$A:$A,0),MATCH("zizhi",[1]Sheet1!$2:$2,0))&gt;=13,0,3)+6,0)</f>
        <v>11035</v>
      </c>
      <c r="W685" s="2" t="str">
        <f t="shared" si="63"/>
        <v>进阶+8：命中提高15%</v>
      </c>
      <c r="X685" s="45" t="str">
        <f t="shared" si="61"/>
        <v>11035</v>
      </c>
      <c r="Y685" s="2"/>
      <c r="Z685" s="2"/>
      <c r="AA685" s="2"/>
    </row>
    <row r="686" spans="1:27">
      <c r="A686" s="10">
        <f>E686*100+COUNTIF($E$194:$E686,$E686)</f>
        <v>112801</v>
      </c>
      <c r="B686" s="68" t="s">
        <v>319</v>
      </c>
      <c r="C686" s="50">
        <v>11090</v>
      </c>
      <c r="D686" s="10" t="str">
        <f t="shared" si="66"/>
        <v>[]</v>
      </c>
      <c r="E686" s="45">
        <f>INDEX($I:$I,MATCH($E685,$I:$I,0)+IF(COUNTIF($E$194:$E685,$E685)&lt;=VLOOKUP($E685,$I$134:$K$193,3,0)-1,0,1),0)</f>
        <v>1128</v>
      </c>
      <c r="F686" s="45" t="str">
        <f t="shared" si="62"/>
        <v>赛太岁</v>
      </c>
      <c r="H686" s="45">
        <f>VLOOKUP($E686,[1]Sheet1!$A:$G,7,0)</f>
        <v>1</v>
      </c>
      <c r="I686" s="45" t="str">
        <f>IF($G686="","",IF(COUNTIF(技能描述!$D:$D,$F686)&gt;0,VLOOKUP($F686&amp;$G686,技能描述!$A:$C,3,0),LEFT(VLOOKUP($E686,[1]Sheet1!$A:$J,10,0),FIND("_",VLOOKUP($E686,[1]Sheet1!$A:$J,10,0))-1)&amp;$G686))</f>
        <v/>
      </c>
      <c r="J686" s="45" t="str">
        <f>IF($I686="","",VLOOKUP($I686,技能描述!$A:$C,3,0))</f>
        <v/>
      </c>
      <c r="K686" s="45" t="str">
        <f>IF($I686="","",INDEX([2]Sheet1!$1:$1048576,MATCH($I686,[2]Sheet1!$A:$A,0),MATCH("description_damage",[2]Sheet1!$2:$2,0)))</f>
        <v/>
      </c>
      <c r="L686" s="80" t="str">
        <f>IF($K686="","",IF(LEN($K686)-LEN(SUBSTITUTE($K686,",",""))=0,VLOOKUP(INT($K686),[3]Sheet1!$A:$C,3,0),VLOOKUP(INT(LEFT($K686,FIND(",",$K686)-1)),[3]Sheet1!$A:$C,3,0)))</f>
        <v/>
      </c>
      <c r="M686" s="80" t="str">
        <f t="shared" si="67"/>
        <v/>
      </c>
      <c r="N686" s="45" t="str">
        <f>IF(LEN($K686)-LEN(SUBSTITUTE($K686,",",""))=1,VLOOKUP(INT(RIGHT($K686,LEN($K686)-FIND(",",$K686))),[3]Sheet1!$A:$C,3,0),"")</f>
        <v/>
      </c>
      <c r="O686" s="45" t="str">
        <f t="shared" si="64"/>
        <v/>
      </c>
      <c r="P686" s="45" t="str">
        <f t="shared" si="60"/>
        <v/>
      </c>
      <c r="Q686" s="45" t="str">
        <f t="shared" si="65"/>
        <v/>
      </c>
      <c r="R686" s="45"/>
      <c r="S686" s="45" t="str">
        <f>IF(ISERROR($Q686),"进阶+"&amp;COUNTIF($E$194:$E686,$E686)&amp;"："&amp;"找ZC配技能","进阶+"&amp;COUNTIF($E$194:$E686,$E686)&amp;"："&amp;VLOOKUP(COUNTIF($E$194:$E686,$E686),$L$184:$R$193,IF(H686=1,4,IF(H686=4,3,2))+IF(INDEX([1]Sheet1!$1:$1048576,MATCH($E686,[1]Sheet1!$A:$A,0),MATCH("zizhi",[1]Sheet1!$2:$2,0))&gt;=13,0,3),0)&amp;IF($Q686="","","（"&amp;$Q686&amp;"）"))</f>
        <v>进阶+1：生命提高10%</v>
      </c>
      <c r="T686" s="1"/>
      <c r="U686" s="1"/>
      <c r="V686" s="2">
        <f>VLOOKUP(COUNTIF($E$194:$E686,$E686),$L$184:$X$193,IF(H686=1,4,IF(H686=4,3,2))+IF(INDEX([1]Sheet1!$1:$1048576,MATCH($E686,[1]Sheet1!$A:$A,0),MATCH("zizhi",[1]Sheet1!$2:$2,0))&gt;=13,0,3)+6,0)</f>
        <v>11090</v>
      </c>
      <c r="W686" s="2" t="str">
        <f t="shared" si="63"/>
        <v>进阶+1：生命提高10%</v>
      </c>
      <c r="X686" s="45">
        <f t="shared" si="61"/>
        <v>11090</v>
      </c>
      <c r="Y686" s="2"/>
      <c r="Z686" s="2"/>
      <c r="AA686" s="2"/>
    </row>
    <row r="687" spans="1:27">
      <c r="A687" s="10">
        <f>E687*100+COUNTIF($E$194:$E687,$E687)</f>
        <v>112802</v>
      </c>
      <c r="B687" s="68" t="s">
        <v>369</v>
      </c>
      <c r="C687" s="50" t="s">
        <v>2</v>
      </c>
      <c r="D687" s="10">
        <f t="shared" si="66"/>
        <v>1</v>
      </c>
      <c r="E687" s="45">
        <f>INDEX($I:$I,MATCH($E686,$I:$I,0)+IF(COUNTIF($E$194:$E686,$E686)&lt;=VLOOKUP($E686,$I$134:$K$193,3,0)-1,0,1),0)</f>
        <v>1128</v>
      </c>
      <c r="F687" s="45" t="str">
        <f t="shared" si="62"/>
        <v>赛太岁</v>
      </c>
      <c r="G687" s="45" t="s">
        <v>216</v>
      </c>
      <c r="H687" s="45">
        <f>VLOOKUP($E687,[1]Sheet1!$A:$G,7,0)</f>
        <v>1</v>
      </c>
      <c r="I687" s="45" t="str">
        <f>IF($G687="","",IF(COUNTIF(技能描述!$D:$D,$F687)&gt;0,VLOOKUP($F687&amp;$G687,技能描述!$A:$C,3,0),LEFT(VLOOKUP($E687,[1]Sheet1!$A:$J,10,0),FIND("_",VLOOKUP($E687,[1]Sheet1!$A:$J,10,0))-1)&amp;$G687))</f>
        <v>saitaisui_skill03</v>
      </c>
      <c r="J687" s="45" t="str">
        <f>IF($I687="","",VLOOKUP($I687,技能描述!$A:$C,3,0))</f>
        <v>进入战斗场景时，增加自身@s的闪避率</v>
      </c>
      <c r="K687" s="45" t="str">
        <f>IF($I687="","",INDEX([2]Sheet1!$1:$1048576,MATCH($I687,[2]Sheet1!$A:$A,0),MATCH("description_damage",[2]Sheet1!$2:$2,0)))</f>
        <v>9010</v>
      </c>
      <c r="L687" s="80" t="str">
        <f>IF($K687="","",IF(LEN($K687)-LEN(SUBSTITUTE($K687,",",""))=0,VLOOKUP(INT($K687),[3]Sheet1!$A:$C,3,0),VLOOKUP(INT(LEFT($K687,FIND(",",$K687)-1)),[3]Sheet1!$A:$C,3,0)))</f>
        <v>4|3|0.1|0|1</v>
      </c>
      <c r="M687" s="80" t="str">
        <f t="shared" si="67"/>
        <v>10%</v>
      </c>
      <c r="N687" s="45" t="str">
        <f>IF(LEN($K687)-LEN(SUBSTITUTE($K687,",",""))=1,VLOOKUP(INT(RIGHT($K687,LEN($K687)-FIND(",",$K687))),[3]Sheet1!$A:$C,3,0),"")</f>
        <v/>
      </c>
      <c r="O687" s="45" t="str">
        <f t="shared" si="64"/>
        <v/>
      </c>
      <c r="P687" s="45" t="str">
        <f t="shared" si="60"/>
        <v>进入战斗场景时，增加自身10%的闪避率</v>
      </c>
      <c r="Q687" s="45" t="str">
        <f t="shared" si="65"/>
        <v>进入战斗场景时，增加自身10%的闪避率</v>
      </c>
      <c r="R687" s="45"/>
      <c r="S687" s="45" t="str">
        <f>IF(ISERROR($Q687),"进阶+"&amp;COUNTIF($E$194:$E687,$E687)&amp;"："&amp;"找ZC配技能","进阶+"&amp;COUNTIF($E$194:$E687,$E687)&amp;"："&amp;VLOOKUP(COUNTIF($E$194:$E687,$E687),$L$184:$R$193,IF(H687=1,4,IF(H687=4,3,2))+IF(INDEX([1]Sheet1!$1:$1048576,MATCH($E687,[1]Sheet1!$A:$A,0),MATCH("zizhi",[1]Sheet1!$2:$2,0))&gt;=13,0,3),0)&amp;IF($Q687="","","（"&amp;$Q687&amp;"）"))</f>
        <v>进阶+2：激活被动技能（进入战斗场景时，增加自身10%的闪避率）</v>
      </c>
      <c r="T687" s="1"/>
      <c r="U687" s="1"/>
      <c r="V687" s="2" t="str">
        <f>VLOOKUP(COUNTIF($E$194:$E687,$E687),$L$184:$X$193,IF(H687=1,4,IF(H687=4,3,2))+IF(INDEX([1]Sheet1!$1:$1048576,MATCH($E687,[1]Sheet1!$A:$A,0),MATCH("zizhi",[1]Sheet1!$2:$2,0))&gt;=13,0,3)+6,0)</f>
        <v>[]</v>
      </c>
      <c r="W687" s="2" t="str">
        <f t="shared" si="63"/>
        <v>进阶+2：激活被动技能（进入战斗场景时，增加自身10%的闪避率）</v>
      </c>
      <c r="X687" s="45" t="str">
        <f t="shared" si="61"/>
        <v>[]</v>
      </c>
      <c r="Y687" s="2"/>
      <c r="Z687" s="2"/>
      <c r="AA687" s="2"/>
    </row>
    <row r="688" spans="1:27">
      <c r="A688" s="10">
        <f>E688*100+COUNTIF($E$194:$E688,$E688)</f>
        <v>112803</v>
      </c>
      <c r="B688" s="68" t="s">
        <v>312</v>
      </c>
      <c r="C688" s="50" t="s">
        <v>127</v>
      </c>
      <c r="D688" s="10" t="str">
        <f t="shared" si="66"/>
        <v>[]</v>
      </c>
      <c r="E688" s="45">
        <f>INDEX($I:$I,MATCH($E687,$I:$I,0)+IF(COUNTIF($E$194:$E687,$E687)&lt;=VLOOKUP($E687,$I$134:$K$193,3,0)-1,0,1),0)</f>
        <v>1128</v>
      </c>
      <c r="F688" s="45" t="str">
        <f t="shared" si="62"/>
        <v>赛太岁</v>
      </c>
      <c r="H688" s="45">
        <f>VLOOKUP($E688,[1]Sheet1!$A:$G,7,0)</f>
        <v>1</v>
      </c>
      <c r="I688" s="45" t="str">
        <f>IF($G688="","",IF(COUNTIF(技能描述!$D:$D,$F688)&gt;0,VLOOKUP($F688&amp;$G688,技能描述!$A:$C,3,0),LEFT(VLOOKUP($E688,[1]Sheet1!$A:$J,10,0),FIND("_",VLOOKUP($E688,[1]Sheet1!$A:$J,10,0))-1)&amp;$G688))</f>
        <v/>
      </c>
      <c r="J688" s="45" t="str">
        <f>IF($I688="","",VLOOKUP($I688,技能描述!$A:$C,3,0))</f>
        <v/>
      </c>
      <c r="K688" s="45" t="str">
        <f>IF($I688="","",INDEX([2]Sheet1!$1:$1048576,MATCH($I688,[2]Sheet1!$A:$A,0),MATCH("description_damage",[2]Sheet1!$2:$2,0)))</f>
        <v/>
      </c>
      <c r="L688" s="80" t="str">
        <f>IF($K688="","",IF(LEN($K688)-LEN(SUBSTITUTE($K688,",",""))=0,VLOOKUP(INT($K688),[3]Sheet1!$A:$C,3,0),VLOOKUP(INT(LEFT($K688,FIND(",",$K688)-1)),[3]Sheet1!$A:$C,3,0)))</f>
        <v/>
      </c>
      <c r="M688" s="80" t="str">
        <f t="shared" si="67"/>
        <v/>
      </c>
      <c r="N688" s="45" t="str">
        <f>IF(LEN($K688)-LEN(SUBSTITUTE($K688,",",""))=1,VLOOKUP(INT(RIGHT($K688,LEN($K688)-FIND(",",$K688))),[3]Sheet1!$A:$C,3,0),"")</f>
        <v/>
      </c>
      <c r="O688" s="45" t="str">
        <f t="shared" si="64"/>
        <v/>
      </c>
      <c r="P688" s="45" t="str">
        <f t="shared" si="60"/>
        <v/>
      </c>
      <c r="Q688" s="45" t="str">
        <f t="shared" si="65"/>
        <v/>
      </c>
      <c r="R688" s="45"/>
      <c r="S688" s="45" t="str">
        <f>IF(ISERROR($Q688),"进阶+"&amp;COUNTIF($E$194:$E688,$E688)&amp;"："&amp;"找ZC配技能","进阶+"&amp;COUNTIF($E$194:$E688,$E688)&amp;"："&amp;VLOOKUP(COUNTIF($E$194:$E688,$E688),$L$184:$R$193,IF(H688=1,4,IF(H688=4,3,2))+IF(INDEX([1]Sheet1!$1:$1048576,MATCH($E688,[1]Sheet1!$A:$A,0),MATCH("zizhi",[1]Sheet1!$2:$2,0))&gt;=13,0,3),0)&amp;IF($Q688="","","（"&amp;$Q688&amp;"）"))</f>
        <v>进阶+3：攻击提高10%</v>
      </c>
      <c r="T688" s="1"/>
      <c r="U688" s="1"/>
      <c r="V688" s="2" t="str">
        <f>VLOOKUP(COUNTIF($E$194:$E688,$E688),$L$184:$X$193,IF(H688=1,4,IF(H688=4,3,2))+IF(INDEX([1]Sheet1!$1:$1048576,MATCH($E688,[1]Sheet1!$A:$A,0),MATCH("zizhi",[1]Sheet1!$2:$2,0))&gt;=13,0,3)+6,0)</f>
        <v>11050</v>
      </c>
      <c r="W688" s="2" t="str">
        <f t="shared" si="63"/>
        <v>进阶+3：攻击提高10%</v>
      </c>
      <c r="X688" s="45" t="str">
        <f t="shared" si="61"/>
        <v>11050</v>
      </c>
      <c r="Y688" s="2"/>
      <c r="Z688" s="2"/>
      <c r="AA688" s="2"/>
    </row>
    <row r="689" spans="1:27" ht="33">
      <c r="A689" s="10">
        <f>E689*100+COUNTIF($E$194:$E689,$E689)</f>
        <v>112804</v>
      </c>
      <c r="B689" s="68" t="s">
        <v>1893</v>
      </c>
      <c r="C689" s="50" t="s">
        <v>2</v>
      </c>
      <c r="D689" s="10">
        <f t="shared" si="66"/>
        <v>1</v>
      </c>
      <c r="E689" s="45">
        <f>INDEX($I:$I,MATCH($E688,$I:$I,0)+IF(COUNTIF($E$194:$E688,$E688)&lt;=VLOOKUP($E688,$I$134:$K$193,3,0)-1,0,1),0)</f>
        <v>1128</v>
      </c>
      <c r="F689" s="45" t="str">
        <f t="shared" si="62"/>
        <v>赛太岁</v>
      </c>
      <c r="G689" s="45" t="s">
        <v>217</v>
      </c>
      <c r="H689" s="45">
        <f>VLOOKUP($E689,[1]Sheet1!$A:$G,7,0)</f>
        <v>1</v>
      </c>
      <c r="I689" s="45" t="str">
        <f>IF($G689="","",IF(COUNTIF(技能描述!$D:$D,$F689)&gt;0,VLOOKUP($F689&amp;$G689,技能描述!$A:$C,3,0),LEFT(VLOOKUP($E689,[1]Sheet1!$A:$J,10,0),FIND("_",VLOOKUP($E689,[1]Sheet1!$A:$J,10,0))-1)&amp;$G689))</f>
        <v>saitaisui_skill04</v>
      </c>
      <c r="J689" s="45" t="str">
        <f>IF($I689="","",VLOOKUP($I689,技能描述!$A:$C,3,0))</f>
        <v>赛太岁释放火法，对前方目标造成自身攻击力@s的伤害</v>
      </c>
      <c r="K689" s="45" t="str">
        <f>IF($I689="","",INDEX([2]Sheet1!$1:$1048576,MATCH($I689,[2]Sheet1!$A:$A,0),MATCH("description_damage",[2]Sheet1!$2:$2,0)))</f>
        <v>112804</v>
      </c>
      <c r="L689" s="80" t="str">
        <f>IF($K689="","",IF(LEN($K689)-LEN(SUBSTITUTE($K689,",",""))=0,VLOOKUP(INT($K689),[3]Sheet1!$A:$C,3,0),VLOOKUP(INT(LEFT($K689,FIND(",",$K689)-1)),[3]Sheet1!$A:$C,3,0)))</f>
        <v>2|2|0.45|0|0|0</v>
      </c>
      <c r="M689" s="80" t="str">
        <f t="shared" si="67"/>
        <v>45%</v>
      </c>
      <c r="N689" s="45" t="str">
        <f>IF(LEN($K689)-LEN(SUBSTITUTE($K689,",",""))=1,VLOOKUP(INT(RIGHT($K689,LEN($K689)-FIND(",",$K689))),[3]Sheet1!$A:$C,3,0),"")</f>
        <v/>
      </c>
      <c r="O689" s="45" t="str">
        <f t="shared" si="64"/>
        <v/>
      </c>
      <c r="P689" s="45" t="str">
        <f t="shared" si="60"/>
        <v>赛太岁释放火法，对前方目标造成自身攻击力45%的伤害</v>
      </c>
      <c r="Q689" s="45" t="str">
        <f t="shared" si="65"/>
        <v>赛太岁释放火法，对前方目标造成自身攻击力45%的伤害</v>
      </c>
      <c r="R689" s="45"/>
      <c r="S689" s="45" t="str">
        <f>IF(ISERROR($Q689),"进阶+"&amp;COUNTIF($E$194:$E689,$E689)&amp;"："&amp;"找ZC配技能","进阶+"&amp;COUNTIF($E$194:$E689,$E689)&amp;"："&amp;VLOOKUP(COUNTIF($E$194:$E689,$E689),$L$184:$R$193,IF(H689=1,4,IF(H689=4,3,2))+IF(INDEX([1]Sheet1!$1:$1048576,MATCH($E689,[1]Sheet1!$A:$A,0),MATCH("zizhi",[1]Sheet1!$2:$2,0))&gt;=13,0,3),0)&amp;IF($Q689="","","（"&amp;$Q689&amp;"）"))</f>
        <v>进阶+4：激活AI2技能（赛太岁释放火法，对前方目标造成自身攻击力45%的伤害）</v>
      </c>
      <c r="T689" s="1"/>
      <c r="U689" s="1"/>
      <c r="V689" s="2" t="str">
        <f>VLOOKUP(COUNTIF($E$194:$E689,$E689),$L$184:$X$193,IF(H689=1,4,IF(H689=4,3,2))+IF(INDEX([1]Sheet1!$1:$1048576,MATCH($E689,[1]Sheet1!$A:$A,0),MATCH("zizhi",[1]Sheet1!$2:$2,0))&gt;=13,0,3)+6,0)</f>
        <v>[]</v>
      </c>
      <c r="W689" s="2" t="str">
        <f t="shared" si="63"/>
        <v>进阶+4：激活AI2技能（赛太岁释放火法，对前方目标造成自身攻击力45%的伤害）</v>
      </c>
      <c r="X689" s="45" t="str">
        <f t="shared" si="61"/>
        <v>[]</v>
      </c>
      <c r="Y689" s="2"/>
      <c r="Z689" s="2"/>
      <c r="AA689" s="2"/>
    </row>
    <row r="690" spans="1:27">
      <c r="A690" s="10">
        <f>E690*100+COUNTIF($E$194:$E690,$E690)</f>
        <v>112805</v>
      </c>
      <c r="B690" s="68" t="s">
        <v>323</v>
      </c>
      <c r="C690" s="50" t="s">
        <v>140</v>
      </c>
      <c r="D690" s="10" t="str">
        <f t="shared" si="66"/>
        <v>[]</v>
      </c>
      <c r="E690" s="45">
        <f>INDEX($I:$I,MATCH($E689,$I:$I,0)+IF(COUNTIF($E$194:$E689,$E689)&lt;=VLOOKUP($E689,$I$134:$K$193,3,0)-1,0,1),0)</f>
        <v>1128</v>
      </c>
      <c r="F690" s="45" t="str">
        <f t="shared" si="62"/>
        <v>赛太岁</v>
      </c>
      <c r="H690" s="45">
        <f>VLOOKUP($E690,[1]Sheet1!$A:$G,7,0)</f>
        <v>1</v>
      </c>
      <c r="I690" s="45" t="str">
        <f>IF($G690="","",IF(COUNTIF(技能描述!$D:$D,$F690)&gt;0,VLOOKUP($F690&amp;$G690,技能描述!$A:$C,3,0),LEFT(VLOOKUP($E690,[1]Sheet1!$A:$J,10,0),FIND("_",VLOOKUP($E690,[1]Sheet1!$A:$J,10,0))-1)&amp;$G690))</f>
        <v/>
      </c>
      <c r="J690" s="45" t="str">
        <f>IF($I690="","",VLOOKUP($I690,技能描述!$A:$C,3,0))</f>
        <v/>
      </c>
      <c r="K690" s="45" t="str">
        <f>IF($I690="","",INDEX([2]Sheet1!$1:$1048576,MATCH($I690,[2]Sheet1!$A:$A,0),MATCH("description_damage",[2]Sheet1!$2:$2,0)))</f>
        <v/>
      </c>
      <c r="L690" s="80" t="str">
        <f>IF($K690="","",IF(LEN($K690)-LEN(SUBSTITUTE($K690,",",""))=0,VLOOKUP(INT($K690),[3]Sheet1!$A:$C,3,0),VLOOKUP(INT(LEFT($K690,FIND(",",$K690)-1)),[3]Sheet1!$A:$C,3,0)))</f>
        <v/>
      </c>
      <c r="M690" s="80" t="str">
        <f t="shared" si="67"/>
        <v/>
      </c>
      <c r="N690" s="45" t="str">
        <f>IF(LEN($K690)-LEN(SUBSTITUTE($K690,",",""))=1,VLOOKUP(INT(RIGHT($K690,LEN($K690)-FIND(",",$K690))),[3]Sheet1!$A:$C,3,0),"")</f>
        <v/>
      </c>
      <c r="O690" s="45" t="str">
        <f t="shared" si="64"/>
        <v/>
      </c>
      <c r="P690" s="45" t="str">
        <f t="shared" si="60"/>
        <v/>
      </c>
      <c r="Q690" s="45" t="str">
        <f t="shared" si="65"/>
        <v/>
      </c>
      <c r="R690" s="45"/>
      <c r="S690" s="45" t="str">
        <f>IF(ISERROR($Q690),"进阶+"&amp;COUNTIF($E$194:$E690,$E690)&amp;"："&amp;"找ZC配技能","进阶+"&amp;COUNTIF($E$194:$E690,$E690)&amp;"："&amp;VLOOKUP(COUNTIF($E$194:$E690,$E690),$L$184:$R$193,IF(H690=1,4,IF(H690=4,3,2))+IF(INDEX([1]Sheet1!$1:$1048576,MATCH($E690,[1]Sheet1!$A:$A,0),MATCH("zizhi",[1]Sheet1!$2:$2,0))&gt;=13,0,3),0)&amp;IF($Q690="","","（"&amp;$Q690&amp;"）"))</f>
        <v>进阶+5：生命，防御提高10%</v>
      </c>
      <c r="T690" s="1"/>
      <c r="U690" s="1"/>
      <c r="V690" s="2" t="str">
        <f>VLOOKUP(COUNTIF($E$194:$E690,$E690),$L$184:$X$193,IF(H690=1,4,IF(H690=4,3,2))+IF(INDEX([1]Sheet1!$1:$1048576,MATCH($E690,[1]Sheet1!$A:$A,0),MATCH("zizhi",[1]Sheet1!$2:$2,0))&gt;=13,0,3)+6,0)</f>
        <v>11090,6502,6512</v>
      </c>
      <c r="W690" s="2" t="str">
        <f t="shared" si="63"/>
        <v>进阶+5：生命，防御提高10%</v>
      </c>
      <c r="X690" s="45" t="str">
        <f t="shared" si="61"/>
        <v>11090,6502,6512</v>
      </c>
      <c r="Y690" s="2"/>
      <c r="Z690" s="2"/>
      <c r="AA690" s="2"/>
    </row>
    <row r="691" spans="1:27">
      <c r="A691" s="10">
        <f>E691*100+COUNTIF($E$194:$E691,$E691)</f>
        <v>112806</v>
      </c>
      <c r="B691" s="68" t="s">
        <v>321</v>
      </c>
      <c r="C691" s="50" t="s">
        <v>255</v>
      </c>
      <c r="D691" s="10" t="str">
        <f t="shared" si="66"/>
        <v>[]</v>
      </c>
      <c r="E691" s="45">
        <f>INDEX($I:$I,MATCH($E690,$I:$I,0)+IF(COUNTIF($E$194:$E690,$E690)&lt;=VLOOKUP($E690,$I$134:$K$193,3,0)-1,0,1),0)</f>
        <v>1128</v>
      </c>
      <c r="F691" s="45" t="str">
        <f t="shared" si="62"/>
        <v>赛太岁</v>
      </c>
      <c r="H691" s="45">
        <f>VLOOKUP($E691,[1]Sheet1!$A:$G,7,0)</f>
        <v>1</v>
      </c>
      <c r="I691" s="45" t="str">
        <f>IF($G691="","",IF(COUNTIF(技能描述!$D:$D,$F691)&gt;0,VLOOKUP($F691&amp;$G691,技能描述!$A:$C,3,0),LEFT(VLOOKUP($E691,[1]Sheet1!$A:$J,10,0),FIND("_",VLOOKUP($E691,[1]Sheet1!$A:$J,10,0))-1)&amp;$G691))</f>
        <v/>
      </c>
      <c r="J691" s="45" t="str">
        <f>IF($I691="","",VLOOKUP($I691,技能描述!$A:$C,3,0))</f>
        <v/>
      </c>
      <c r="K691" s="45" t="str">
        <f>IF($I691="","",INDEX([2]Sheet1!$1:$1048576,MATCH($I691,[2]Sheet1!$A:$A,0),MATCH("description_damage",[2]Sheet1!$2:$2,0)))</f>
        <v/>
      </c>
      <c r="L691" s="80" t="str">
        <f>IF($K691="","",IF(LEN($K691)-LEN(SUBSTITUTE($K691,",",""))=0,VLOOKUP(INT($K691),[3]Sheet1!$A:$C,3,0),VLOOKUP(INT(LEFT($K691,FIND(",",$K691)-1)),[3]Sheet1!$A:$C,3,0)))</f>
        <v/>
      </c>
      <c r="M691" s="80" t="str">
        <f t="shared" si="67"/>
        <v/>
      </c>
      <c r="N691" s="45" t="str">
        <f>IF(LEN($K691)-LEN(SUBSTITUTE($K691,",",""))=1,VLOOKUP(INT(RIGHT($K691,LEN($K691)-FIND(",",$K691))),[3]Sheet1!$A:$C,3,0),"")</f>
        <v/>
      </c>
      <c r="O691" s="45" t="str">
        <f t="shared" si="64"/>
        <v/>
      </c>
      <c r="P691" s="45" t="str">
        <f t="shared" si="60"/>
        <v/>
      </c>
      <c r="Q691" s="45" t="str">
        <f t="shared" si="65"/>
        <v/>
      </c>
      <c r="R691" s="45"/>
      <c r="S691" s="45" t="str">
        <f>IF(ISERROR($Q691),"进阶+"&amp;COUNTIF($E$194:$E691,$E691)&amp;"："&amp;"找ZC配技能","进阶+"&amp;COUNTIF($E$194:$E691,$E691)&amp;"："&amp;VLOOKUP(COUNTIF($E$194:$E691,$E691),$L$184:$R$193,IF(H691=1,4,IF(H691=4,3,2))+IF(INDEX([1]Sheet1!$1:$1048576,MATCH($E691,[1]Sheet1!$A:$A,0),MATCH("zizhi",[1]Sheet1!$2:$2,0))&gt;=13,0,3),0)&amp;IF($Q691="","","（"&amp;$Q691&amp;"）"))</f>
        <v>进阶+6：抗暴提高20%</v>
      </c>
      <c r="T691" s="1"/>
      <c r="U691" s="1"/>
      <c r="V691" s="2" t="str">
        <f>VLOOKUP(COUNTIF($E$194:$E691,$E691),$L$184:$X$193,IF(H691=1,4,IF(H691=4,3,2))+IF(INDEX([1]Sheet1!$1:$1048576,MATCH($E691,[1]Sheet1!$A:$A,0),MATCH("zizhi",[1]Sheet1!$2:$2,0))&gt;=13,0,3)+6,0)</f>
        <v>11160</v>
      </c>
      <c r="W691" s="2" t="str">
        <f t="shared" si="63"/>
        <v>进阶+6：抗暴提高20%</v>
      </c>
      <c r="X691" s="45" t="str">
        <f t="shared" si="61"/>
        <v>11160</v>
      </c>
      <c r="Y691" s="2"/>
      <c r="Z691" s="2"/>
      <c r="AA691" s="2"/>
    </row>
    <row r="692" spans="1:27">
      <c r="A692" s="10">
        <f>E692*100+COUNTIF($E$194:$E692,$E692)</f>
        <v>112807</v>
      </c>
      <c r="B692" s="68" t="s">
        <v>360</v>
      </c>
      <c r="C692" s="50" t="s">
        <v>354</v>
      </c>
      <c r="D692" s="10" t="str">
        <f t="shared" si="66"/>
        <v>[]</v>
      </c>
      <c r="E692" s="45">
        <f>INDEX($I:$I,MATCH($E691,$I:$I,0)+IF(COUNTIF($E$194:$E691,$E691)&lt;=VLOOKUP($E691,$I$134:$K$193,3,0)-1,0,1),0)</f>
        <v>1128</v>
      </c>
      <c r="F692" s="45" t="str">
        <f t="shared" si="62"/>
        <v>赛太岁</v>
      </c>
      <c r="H692" s="45">
        <f>VLOOKUP($E692,[1]Sheet1!$A:$G,7,0)</f>
        <v>1</v>
      </c>
      <c r="I692" s="45" t="str">
        <f>IF($G692="","",IF(COUNTIF(技能描述!$D:$D,$F692)&gt;0,VLOOKUP($F692&amp;$G692,技能描述!$A:$C,3,0),LEFT(VLOOKUP($E692,[1]Sheet1!$A:$J,10,0),FIND("_",VLOOKUP($E692,[1]Sheet1!$A:$J,10,0))-1)&amp;$G692))</f>
        <v/>
      </c>
      <c r="J692" s="45" t="str">
        <f>IF($I692="","",VLOOKUP($I692,技能描述!$A:$C,3,0))</f>
        <v/>
      </c>
      <c r="K692" s="45" t="str">
        <f>IF($I692="","",INDEX([2]Sheet1!$1:$1048576,MATCH($I692,[2]Sheet1!$A:$A,0),MATCH("description_damage",[2]Sheet1!$2:$2,0)))</f>
        <v/>
      </c>
      <c r="L692" s="80" t="str">
        <f>IF($K692="","",IF(LEN($K692)-LEN(SUBSTITUTE($K692,",",""))=0,VLOOKUP(INT($K692),[3]Sheet1!$A:$C,3,0),VLOOKUP(INT(LEFT($K692,FIND(",",$K692)-1)),[3]Sheet1!$A:$C,3,0)))</f>
        <v/>
      </c>
      <c r="M692" s="80" t="str">
        <f t="shared" si="67"/>
        <v/>
      </c>
      <c r="N692" s="45" t="str">
        <f>IF(LEN($K692)-LEN(SUBSTITUTE($K692,",",""))=1,VLOOKUP(INT(RIGHT($K692,LEN($K692)-FIND(",",$K692))),[3]Sheet1!$A:$C,3,0),"")</f>
        <v/>
      </c>
      <c r="O692" s="45" t="str">
        <f t="shared" si="64"/>
        <v/>
      </c>
      <c r="P692" s="45" t="str">
        <f t="shared" si="60"/>
        <v/>
      </c>
      <c r="Q692" s="45" t="str">
        <f t="shared" si="65"/>
        <v/>
      </c>
      <c r="R692" s="45"/>
      <c r="S692" s="45" t="str">
        <f>IF(ISERROR($Q692),"进阶+"&amp;COUNTIF($E$194:$E692,$E692)&amp;"："&amp;"找ZC配技能","进阶+"&amp;COUNTIF($E$194:$E692,$E692)&amp;"："&amp;VLOOKUP(COUNTIF($E$194:$E692,$E692),$L$184:$R$193,IF(H692=1,4,IF(H692=4,3,2))+IF(INDEX([1]Sheet1!$1:$1048576,MATCH($E692,[1]Sheet1!$A:$A,0),MATCH("zizhi",[1]Sheet1!$2:$2,0))&gt;=13,0,3),0)&amp;IF($Q692="","","（"&amp;$Q692&amp;"）"))</f>
        <v>进阶+7：全队生命，防御提高10%</v>
      </c>
      <c r="T692" s="1"/>
      <c r="U692" s="1"/>
      <c r="V692" s="2" t="str">
        <f>VLOOKUP(COUNTIF($E$194:$E692,$E692),$L$184:$X$193,IF(H692=1,4,IF(H692=4,3,2))+IF(INDEX([1]Sheet1!$1:$1048576,MATCH($E692,[1]Sheet1!$A:$A,0),MATCH("zizhi",[1]Sheet1!$2:$2,0))&gt;=13,0,3)+6,0)</f>
        <v>57010,59010,60010</v>
      </c>
      <c r="W692" s="2" t="str">
        <f t="shared" si="63"/>
        <v>进阶+7：全队生命，防御提高10%</v>
      </c>
      <c r="X692" s="45" t="str">
        <f t="shared" si="61"/>
        <v>57010,59010,60010</v>
      </c>
      <c r="Y692" s="2"/>
      <c r="Z692" s="2"/>
      <c r="AA692" s="2"/>
    </row>
    <row r="693" spans="1:27">
      <c r="A693" s="10">
        <f>E693*100+COUNTIF($E$194:$E693,$E693)</f>
        <v>112808</v>
      </c>
      <c r="B693" s="68" t="s">
        <v>322</v>
      </c>
      <c r="C693" s="50" t="s">
        <v>254</v>
      </c>
      <c r="D693" s="10" t="str">
        <f t="shared" si="66"/>
        <v>[]</v>
      </c>
      <c r="E693" s="45">
        <f>INDEX($I:$I,MATCH($E692,$I:$I,0)+IF(COUNTIF($E$194:$E692,$E692)&lt;=VLOOKUP($E692,$I$134:$K$193,3,0)-1,0,1),0)</f>
        <v>1128</v>
      </c>
      <c r="F693" s="45" t="str">
        <f t="shared" si="62"/>
        <v>赛太岁</v>
      </c>
      <c r="H693" s="45">
        <f>VLOOKUP($E693,[1]Sheet1!$A:$G,7,0)</f>
        <v>1</v>
      </c>
      <c r="I693" s="45" t="str">
        <f>IF($G693="","",IF(COUNTIF(技能描述!$D:$D,$F693)&gt;0,VLOOKUP($F693&amp;$G693,技能描述!$A:$C,3,0),LEFT(VLOOKUP($E693,[1]Sheet1!$A:$J,10,0),FIND("_",VLOOKUP($E693,[1]Sheet1!$A:$J,10,0))-1)&amp;$G693))</f>
        <v/>
      </c>
      <c r="J693" s="45" t="str">
        <f>IF($I693="","",VLOOKUP($I693,技能描述!$A:$C,3,0))</f>
        <v/>
      </c>
      <c r="K693" s="45" t="str">
        <f>IF($I693="","",INDEX([2]Sheet1!$1:$1048576,MATCH($I693,[2]Sheet1!$A:$A,0),MATCH("description_damage",[2]Sheet1!$2:$2,0)))</f>
        <v/>
      </c>
      <c r="L693" s="80" t="str">
        <f>IF($K693="","",IF(LEN($K693)-LEN(SUBSTITUTE($K693,",",""))=0,VLOOKUP(INT($K693),[3]Sheet1!$A:$C,3,0),VLOOKUP(INT(LEFT($K693,FIND(",",$K693)-1)),[3]Sheet1!$A:$C,3,0)))</f>
        <v/>
      </c>
      <c r="M693" s="80" t="str">
        <f t="shared" si="67"/>
        <v/>
      </c>
      <c r="N693" s="45" t="str">
        <f>IF(LEN($K693)-LEN(SUBSTITUTE($K693,",",""))=1,VLOOKUP(INT(RIGHT($K693,LEN($K693)-FIND(",",$K693))),[3]Sheet1!$A:$C,3,0),"")</f>
        <v/>
      </c>
      <c r="O693" s="45" t="str">
        <f t="shared" si="64"/>
        <v/>
      </c>
      <c r="P693" s="45" t="str">
        <f t="shared" si="60"/>
        <v/>
      </c>
      <c r="Q693" s="45" t="str">
        <f t="shared" si="65"/>
        <v/>
      </c>
      <c r="R693" s="45"/>
      <c r="S693" s="45" t="str">
        <f>IF(ISERROR($Q693),"进阶+"&amp;COUNTIF($E$194:$E693,$E693)&amp;"："&amp;"找ZC配技能","进阶+"&amp;COUNTIF($E$194:$E693,$E693)&amp;"："&amp;VLOOKUP(COUNTIF($E$194:$E693,$E693),$L$184:$R$193,IF(H693=1,4,IF(H693=4,3,2))+IF(INDEX([1]Sheet1!$1:$1048576,MATCH($E693,[1]Sheet1!$A:$A,0),MATCH("zizhi",[1]Sheet1!$2:$2,0))&gt;=13,0,3),0)&amp;IF($Q693="","","（"&amp;$Q693&amp;"）"))</f>
        <v>进阶+8：闪避提高15%</v>
      </c>
      <c r="T693" s="1"/>
      <c r="U693" s="1"/>
      <c r="V693" s="2" t="str">
        <f>VLOOKUP(COUNTIF($E$194:$E693,$E693),$L$184:$X$193,IF(H693=1,4,IF(H693=4,3,2))+IF(INDEX([1]Sheet1!$1:$1048576,MATCH($E693,[1]Sheet1!$A:$A,0),MATCH("zizhi",[1]Sheet1!$2:$2,0))&gt;=13,0,3)+6,0)</f>
        <v>11115</v>
      </c>
      <c r="W693" s="2" t="str">
        <f t="shared" si="63"/>
        <v>进阶+8：闪避提高15%</v>
      </c>
      <c r="X693" s="45" t="str">
        <f t="shared" si="61"/>
        <v>11115</v>
      </c>
      <c r="Y693" s="2"/>
      <c r="Z693" s="2"/>
      <c r="AA693" s="2"/>
    </row>
    <row r="694" spans="1:27">
      <c r="A694" s="10">
        <f>E694*100+COUNTIF($E$194:$E694,$E694)</f>
        <v>111801</v>
      </c>
      <c r="B694" s="68" t="s">
        <v>310</v>
      </c>
      <c r="C694" s="50">
        <v>11050</v>
      </c>
      <c r="D694" s="10" t="str">
        <f t="shared" si="66"/>
        <v>[]</v>
      </c>
      <c r="E694" s="45">
        <f>INDEX($I:$I,MATCH($E693,$I:$I,0)+IF(COUNTIF($E$194:$E693,$E693)&lt;=VLOOKUP($E693,$I$134:$K$193,3,0)-1,0,1),0)</f>
        <v>1118</v>
      </c>
      <c r="F694" s="45" t="str">
        <f t="shared" si="62"/>
        <v>混沌</v>
      </c>
      <c r="H694" s="45">
        <f>VLOOKUP($E694,[1]Sheet1!$A:$G,7,0)</f>
        <v>3</v>
      </c>
      <c r="I694" s="45" t="str">
        <f>IF($G694="","",IF(COUNTIF(技能描述!$D:$D,$F694)&gt;0,VLOOKUP($F694&amp;$G694,技能描述!$A:$C,3,0),LEFT(VLOOKUP($E694,[1]Sheet1!$A:$J,10,0),FIND("_",VLOOKUP($E694,[1]Sheet1!$A:$J,10,0))-1)&amp;$G694))</f>
        <v/>
      </c>
      <c r="J694" s="45" t="str">
        <f>IF($I694="","",VLOOKUP($I694,技能描述!$A:$C,3,0))</f>
        <v/>
      </c>
      <c r="K694" s="45" t="str">
        <f>IF($I694="","",INDEX([2]Sheet1!$1:$1048576,MATCH($I694,[2]Sheet1!$A:$A,0),MATCH("description_damage",[2]Sheet1!$2:$2,0)))</f>
        <v/>
      </c>
      <c r="L694" s="80" t="str">
        <f>IF($K694="","",IF(LEN($K694)-LEN(SUBSTITUTE($K694,",",""))=0,VLOOKUP(INT($K694),[3]Sheet1!$A:$C,3,0),VLOOKUP(INT(LEFT($K694,FIND(",",$K694)-1)),[3]Sheet1!$A:$C,3,0)))</f>
        <v/>
      </c>
      <c r="M694" s="80" t="str">
        <f t="shared" si="67"/>
        <v/>
      </c>
      <c r="N694" s="45" t="str">
        <f>IF(LEN($K694)-LEN(SUBSTITUTE($K694,",",""))=1,VLOOKUP(INT(RIGHT($K694,LEN($K694)-FIND(",",$K694))),[3]Sheet1!$A:$C,3,0),"")</f>
        <v/>
      </c>
      <c r="O694" s="45" t="str">
        <f t="shared" si="64"/>
        <v/>
      </c>
      <c r="P694" s="45" t="str">
        <f t="shared" si="60"/>
        <v/>
      </c>
      <c r="Q694" s="45" t="str">
        <f t="shared" si="65"/>
        <v/>
      </c>
      <c r="R694" s="45"/>
      <c r="S694" s="45" t="str">
        <f>IF(ISERROR($Q694),"进阶+"&amp;COUNTIF($E$194:$E694,$E694)&amp;"："&amp;"找ZC配技能","进阶+"&amp;COUNTIF($E$194:$E694,$E694)&amp;"："&amp;VLOOKUP(COUNTIF($E$194:$E694,$E694),$L$184:$R$193,IF(H694=1,4,IF(H694=4,3,2))+IF(INDEX([1]Sheet1!$1:$1048576,MATCH($E694,[1]Sheet1!$A:$A,0),MATCH("zizhi",[1]Sheet1!$2:$2,0))&gt;=13,0,3),0)&amp;IF($Q694="","","（"&amp;$Q694&amp;"）"))</f>
        <v>进阶+1：攻击提高10%</v>
      </c>
      <c r="T694" s="1"/>
      <c r="U694" s="1"/>
      <c r="V694" s="2">
        <f>VLOOKUP(COUNTIF($E$194:$E694,$E694),$L$184:$X$193,IF(H694=1,4,IF(H694=4,3,2))+IF(INDEX([1]Sheet1!$1:$1048576,MATCH($E694,[1]Sheet1!$A:$A,0),MATCH("zizhi",[1]Sheet1!$2:$2,0))&gt;=13,0,3)+6,0)</f>
        <v>11050</v>
      </c>
      <c r="W694" s="2" t="str">
        <f t="shared" si="63"/>
        <v>进阶+1：攻击提高10%</v>
      </c>
      <c r="X694" s="45">
        <f t="shared" si="61"/>
        <v>11050</v>
      </c>
      <c r="Y694" s="2"/>
      <c r="Z694" s="2"/>
      <c r="AA694" s="2"/>
    </row>
    <row r="695" spans="1:27">
      <c r="A695" s="10">
        <f>E695*100+COUNTIF($E$194:$E695,$E695)</f>
        <v>111802</v>
      </c>
      <c r="B695" s="68" t="s">
        <v>325</v>
      </c>
      <c r="C695" s="50" t="s">
        <v>2</v>
      </c>
      <c r="D695" s="10">
        <f t="shared" si="66"/>
        <v>1</v>
      </c>
      <c r="E695" s="45">
        <f>INDEX($I:$I,MATCH($E694,$I:$I,0)+IF(COUNTIF($E$194:$E694,$E694)&lt;=VLOOKUP($E694,$I$134:$K$193,3,0)-1,0,1),0)</f>
        <v>1118</v>
      </c>
      <c r="F695" s="45" t="str">
        <f t="shared" si="62"/>
        <v>混沌</v>
      </c>
      <c r="G695" s="45" t="s">
        <v>216</v>
      </c>
      <c r="H695" s="45">
        <f>VLOOKUP($E695,[1]Sheet1!$A:$G,7,0)</f>
        <v>3</v>
      </c>
      <c r="I695" s="45" t="str">
        <f>IF($G695="","",IF(COUNTIF(技能描述!$D:$D,$F695)&gt;0,VLOOKUP($F695&amp;$G695,技能描述!$A:$C,3,0),LEFT(VLOOKUP($E695,[1]Sheet1!$A:$J,10,0),FIND("_",VLOOKUP($E695,[1]Sheet1!$A:$J,10,0))-1)&amp;$G695))</f>
        <v>hundun_skill03</v>
      </c>
      <c r="J695" s="45" t="str">
        <f>IF($I695="","",VLOOKUP($I695,技能描述!$A:$C,3,0))</f>
        <v>进入战斗场景时，增加全队@s的闪避</v>
      </c>
      <c r="K695" s="45" t="str">
        <f>IF($I695="","",INDEX([2]Sheet1!$1:$1048576,MATCH($I695,[2]Sheet1!$A:$A,0),MATCH("description_damage",[2]Sheet1!$2:$2,0)))</f>
        <v>9010</v>
      </c>
      <c r="L695" s="80" t="str">
        <f>IF($K695="","",IF(LEN($K695)-LEN(SUBSTITUTE($K695,",",""))=0,VLOOKUP(INT($K695),[3]Sheet1!$A:$C,3,0),VLOOKUP(INT(LEFT($K695,FIND(",",$K695)-1)),[3]Sheet1!$A:$C,3,0)))</f>
        <v>4|3|0.1|0|1</v>
      </c>
      <c r="M695" s="80" t="str">
        <f t="shared" si="67"/>
        <v>10%</v>
      </c>
      <c r="N695" s="45" t="str">
        <f>IF(LEN($K695)-LEN(SUBSTITUTE($K695,",",""))=1,VLOOKUP(INT(RIGHT($K695,LEN($K695)-FIND(",",$K695))),[3]Sheet1!$A:$C,3,0),"")</f>
        <v/>
      </c>
      <c r="O695" s="45" t="str">
        <f t="shared" si="64"/>
        <v/>
      </c>
      <c r="P695" s="45" t="str">
        <f t="shared" si="60"/>
        <v>进入战斗场景时，增加全队10%的闪避</v>
      </c>
      <c r="Q695" s="45" t="str">
        <f t="shared" si="65"/>
        <v>进入战斗场景时，增加全队10%的闪避</v>
      </c>
      <c r="R695" s="45"/>
      <c r="S695" s="45" t="str">
        <f>IF(ISERROR($Q695),"进阶+"&amp;COUNTIF($E$194:$E695,$E695)&amp;"："&amp;"找ZC配技能","进阶+"&amp;COUNTIF($E$194:$E695,$E695)&amp;"："&amp;VLOOKUP(COUNTIF($E$194:$E695,$E695),$L$184:$R$193,IF(H695=1,4,IF(H695=4,3,2))+IF(INDEX([1]Sheet1!$1:$1048576,MATCH($E695,[1]Sheet1!$A:$A,0),MATCH("zizhi",[1]Sheet1!$2:$2,0))&gt;=13,0,3),0)&amp;IF($Q695="","","（"&amp;$Q695&amp;"）"))</f>
        <v>进阶+2：激活被动技能（进入战斗场景时，增加全队10%的闪避）</v>
      </c>
      <c r="T695" s="1"/>
      <c r="U695" s="1"/>
      <c r="V695" s="2" t="str">
        <f>VLOOKUP(COUNTIF($E$194:$E695,$E695),$L$184:$X$193,IF(H695=1,4,IF(H695=4,3,2))+IF(INDEX([1]Sheet1!$1:$1048576,MATCH($E695,[1]Sheet1!$A:$A,0),MATCH("zizhi",[1]Sheet1!$2:$2,0))&gt;=13,0,3)+6,0)</f>
        <v>[]</v>
      </c>
      <c r="W695" s="2" t="str">
        <f t="shared" si="63"/>
        <v>进阶+2：激活被动技能（进入战斗场景时，增加全队10%的闪避）</v>
      </c>
      <c r="X695" s="45" t="str">
        <f t="shared" si="61"/>
        <v>[]</v>
      </c>
      <c r="Y695" s="2"/>
      <c r="Z695" s="2"/>
      <c r="AA695" s="2"/>
    </row>
    <row r="696" spans="1:27">
      <c r="A696" s="10">
        <f>E696*100+COUNTIF($E$194:$E696,$E696)</f>
        <v>111803</v>
      </c>
      <c r="B696" s="68" t="s">
        <v>312</v>
      </c>
      <c r="C696" s="50" t="s">
        <v>127</v>
      </c>
      <c r="D696" s="10" t="str">
        <f t="shared" si="66"/>
        <v>[]</v>
      </c>
      <c r="E696" s="45">
        <f>INDEX($I:$I,MATCH($E695,$I:$I,0)+IF(COUNTIF($E$194:$E695,$E695)&lt;=VLOOKUP($E695,$I$134:$K$193,3,0)-1,0,1),0)</f>
        <v>1118</v>
      </c>
      <c r="F696" s="45" t="str">
        <f t="shared" si="62"/>
        <v>混沌</v>
      </c>
      <c r="H696" s="45">
        <f>VLOOKUP($E696,[1]Sheet1!$A:$G,7,0)</f>
        <v>3</v>
      </c>
      <c r="I696" s="45" t="str">
        <f>IF($G696="","",IF(COUNTIF(技能描述!$D:$D,$F696)&gt;0,VLOOKUP($F696&amp;$G696,技能描述!$A:$C,3,0),LEFT(VLOOKUP($E696,[1]Sheet1!$A:$J,10,0),FIND("_",VLOOKUP($E696,[1]Sheet1!$A:$J,10,0))-1)&amp;$G696))</f>
        <v/>
      </c>
      <c r="J696" s="45" t="str">
        <f>IF($I696="","",VLOOKUP($I696,技能描述!$A:$C,3,0))</f>
        <v/>
      </c>
      <c r="K696" s="45" t="str">
        <f>IF($I696="","",INDEX([2]Sheet1!$1:$1048576,MATCH($I696,[2]Sheet1!$A:$A,0),MATCH("description_damage",[2]Sheet1!$2:$2,0)))</f>
        <v/>
      </c>
      <c r="L696" s="80" t="str">
        <f>IF($K696="","",IF(LEN($K696)-LEN(SUBSTITUTE($K696,",",""))=0,VLOOKUP(INT($K696),[3]Sheet1!$A:$C,3,0),VLOOKUP(INT(LEFT($K696,FIND(",",$K696)-1)),[3]Sheet1!$A:$C,3,0)))</f>
        <v/>
      </c>
      <c r="M696" s="80" t="str">
        <f t="shared" si="67"/>
        <v/>
      </c>
      <c r="N696" s="45" t="str">
        <f>IF(LEN($K696)-LEN(SUBSTITUTE($K696,",",""))=1,VLOOKUP(INT(RIGHT($K696,LEN($K696)-FIND(",",$K696))),[3]Sheet1!$A:$C,3,0),"")</f>
        <v/>
      </c>
      <c r="O696" s="45" t="str">
        <f t="shared" si="64"/>
        <v/>
      </c>
      <c r="P696" s="45" t="str">
        <f t="shared" si="60"/>
        <v/>
      </c>
      <c r="Q696" s="45" t="str">
        <f t="shared" si="65"/>
        <v/>
      </c>
      <c r="R696" s="45"/>
      <c r="S696" s="45" t="str">
        <f>IF(ISERROR($Q696),"进阶+"&amp;COUNTIF($E$194:$E696,$E696)&amp;"："&amp;"找ZC配技能","进阶+"&amp;COUNTIF($E$194:$E696,$E696)&amp;"："&amp;VLOOKUP(COUNTIF($E$194:$E696,$E696),$L$184:$R$193,IF(H696=1,4,IF(H696=4,3,2))+IF(INDEX([1]Sheet1!$1:$1048576,MATCH($E696,[1]Sheet1!$A:$A,0),MATCH("zizhi",[1]Sheet1!$2:$2,0))&gt;=13,0,3),0)&amp;IF($Q696="","","（"&amp;$Q696&amp;"）"))</f>
        <v>进阶+3：攻击提高10%</v>
      </c>
      <c r="T696" s="1"/>
      <c r="U696" s="1"/>
      <c r="V696" s="2" t="str">
        <f>VLOOKUP(COUNTIF($E$194:$E696,$E696),$L$184:$X$193,IF(H696=1,4,IF(H696=4,3,2))+IF(INDEX([1]Sheet1!$1:$1048576,MATCH($E696,[1]Sheet1!$A:$A,0),MATCH("zizhi",[1]Sheet1!$2:$2,0))&gt;=13,0,3)+6,0)</f>
        <v>11050</v>
      </c>
      <c r="W696" s="2" t="str">
        <f t="shared" si="63"/>
        <v>进阶+3：攻击提高10%</v>
      </c>
      <c r="X696" s="45" t="str">
        <f t="shared" si="61"/>
        <v>11050</v>
      </c>
      <c r="Y696" s="2"/>
      <c r="Z696" s="2"/>
      <c r="AA696" s="2"/>
    </row>
    <row r="697" spans="1:27" ht="33">
      <c r="A697" s="10">
        <f>E697*100+COUNTIF($E$194:$E697,$E697)</f>
        <v>111804</v>
      </c>
      <c r="B697" s="68" t="s">
        <v>1894</v>
      </c>
      <c r="C697" s="50" t="s">
        <v>2</v>
      </c>
      <c r="D697" s="10">
        <f t="shared" si="66"/>
        <v>1</v>
      </c>
      <c r="E697" s="45">
        <f>INDEX($I:$I,MATCH($E696,$I:$I,0)+IF(COUNTIF($E$194:$E696,$E696)&lt;=VLOOKUP($E696,$I$134:$K$193,3,0)-1,0,1),0)</f>
        <v>1118</v>
      </c>
      <c r="F697" s="45" t="str">
        <f t="shared" si="62"/>
        <v>混沌</v>
      </c>
      <c r="G697" s="45" t="s">
        <v>217</v>
      </c>
      <c r="H697" s="45">
        <f>VLOOKUP($E697,[1]Sheet1!$A:$G,7,0)</f>
        <v>3</v>
      </c>
      <c r="I697" s="45" t="str">
        <f>IF($G697="","",IF(COUNTIF(技能描述!$D:$D,$F697)&gt;0,VLOOKUP($F697&amp;$G697,技能描述!$A:$C,3,0),LEFT(VLOOKUP($E697,[1]Sheet1!$A:$J,10,0),FIND("_",VLOOKUP($E697,[1]Sheet1!$A:$J,10,0))-1)&amp;$G697))</f>
        <v>hundun_skill04</v>
      </c>
      <c r="J697" s="45" t="str">
        <f>IF($I697="","",VLOOKUP($I697,技能描述!$A:$C,3,0))</f>
        <v>混沌召唤巨大的地刺，对范围内目标造成自身攻击力@s的伤害</v>
      </c>
      <c r="K697" s="45" t="str">
        <f>IF($I697="","",INDEX([2]Sheet1!$1:$1048576,MATCH($I697,[2]Sheet1!$A:$A,0),MATCH("description_damage",[2]Sheet1!$2:$2,0)))</f>
        <v>111804</v>
      </c>
      <c r="L697" s="80" t="str">
        <f>IF($K697="","",IF(LEN($K697)-LEN(SUBSTITUTE($K697,",",""))=0,VLOOKUP(INT($K697),[3]Sheet1!$A:$C,3,0),VLOOKUP(INT(LEFT($K697,FIND(",",$K697)-1)),[3]Sheet1!$A:$C,3,0)))</f>
        <v>2|2|1.35|0|0|0</v>
      </c>
      <c r="M697" s="80" t="str">
        <f t="shared" si="67"/>
        <v>135%</v>
      </c>
      <c r="N697" s="45" t="str">
        <f>IF(LEN($K697)-LEN(SUBSTITUTE($K697,",",""))=1,VLOOKUP(INT(RIGHT($K697,LEN($K697)-FIND(",",$K697))),[3]Sheet1!$A:$C,3,0),"")</f>
        <v/>
      </c>
      <c r="O697" s="45" t="str">
        <f t="shared" si="64"/>
        <v/>
      </c>
      <c r="P697" s="45" t="str">
        <f t="shared" si="60"/>
        <v>混沌召唤巨大的地刺，对范围内目标造成自身攻击力135%的伤害</v>
      </c>
      <c r="Q697" s="45" t="str">
        <f t="shared" si="65"/>
        <v>混沌召唤巨大的地刺，对范围内目标造成自身攻击力135%的伤害</v>
      </c>
      <c r="R697" s="45"/>
      <c r="S697" s="45" t="str">
        <f>IF(ISERROR($Q697),"进阶+"&amp;COUNTIF($E$194:$E697,$E697)&amp;"："&amp;"找ZC配技能","进阶+"&amp;COUNTIF($E$194:$E697,$E697)&amp;"："&amp;VLOOKUP(COUNTIF($E$194:$E697,$E697),$L$184:$R$193,IF(H697=1,4,IF(H697=4,3,2))+IF(INDEX([1]Sheet1!$1:$1048576,MATCH($E697,[1]Sheet1!$A:$A,0),MATCH("zizhi",[1]Sheet1!$2:$2,0))&gt;=13,0,3),0)&amp;IF($Q697="","","（"&amp;$Q697&amp;"）"))</f>
        <v>进阶+4：激活AI2技能（混沌召唤巨大的地刺，对范围内目标造成自身攻击力135%的伤害）</v>
      </c>
      <c r="T697" s="1"/>
      <c r="U697" s="1"/>
      <c r="V697" s="2" t="str">
        <f>VLOOKUP(COUNTIF($E$194:$E697,$E697),$L$184:$X$193,IF(H697=1,4,IF(H697=4,3,2))+IF(INDEX([1]Sheet1!$1:$1048576,MATCH($E697,[1]Sheet1!$A:$A,0),MATCH("zizhi",[1]Sheet1!$2:$2,0))&gt;=13,0,3)+6,0)</f>
        <v>[]</v>
      </c>
      <c r="W697" s="2" t="str">
        <f t="shared" si="63"/>
        <v>进阶+4：激活AI2技能（混沌召唤巨大的地刺，对范围内目标造成自身攻击力135%的伤害）</v>
      </c>
      <c r="X697" s="45" t="str">
        <f t="shared" si="61"/>
        <v>[]</v>
      </c>
      <c r="Y697" s="2"/>
      <c r="Z697" s="2"/>
      <c r="AA697" s="2"/>
    </row>
    <row r="698" spans="1:27">
      <c r="A698" s="10">
        <f>E698*100+COUNTIF($E$194:$E698,$E698)</f>
        <v>111805</v>
      </c>
      <c r="B698" s="68" t="s">
        <v>323</v>
      </c>
      <c r="C698" s="50" t="s">
        <v>140</v>
      </c>
      <c r="D698" s="10" t="str">
        <f t="shared" si="66"/>
        <v>[]</v>
      </c>
      <c r="E698" s="45">
        <f>INDEX($I:$I,MATCH($E697,$I:$I,0)+IF(COUNTIF($E$194:$E697,$E697)&lt;=VLOOKUP($E697,$I$134:$K$193,3,0)-1,0,1),0)</f>
        <v>1118</v>
      </c>
      <c r="F698" s="45" t="str">
        <f t="shared" si="62"/>
        <v>混沌</v>
      </c>
      <c r="H698" s="45">
        <f>VLOOKUP($E698,[1]Sheet1!$A:$G,7,0)</f>
        <v>3</v>
      </c>
      <c r="I698" s="45" t="str">
        <f>IF($G698="","",IF(COUNTIF(技能描述!$D:$D,$F698)&gt;0,VLOOKUP($F698&amp;$G698,技能描述!$A:$C,3,0),LEFT(VLOOKUP($E698,[1]Sheet1!$A:$J,10,0),FIND("_",VLOOKUP($E698,[1]Sheet1!$A:$J,10,0))-1)&amp;$G698))</f>
        <v/>
      </c>
      <c r="J698" s="45" t="str">
        <f>IF($I698="","",VLOOKUP($I698,技能描述!$A:$C,3,0))</f>
        <v/>
      </c>
      <c r="K698" s="45" t="str">
        <f>IF($I698="","",INDEX([2]Sheet1!$1:$1048576,MATCH($I698,[2]Sheet1!$A:$A,0),MATCH("description_damage",[2]Sheet1!$2:$2,0)))</f>
        <v/>
      </c>
      <c r="L698" s="80" t="str">
        <f>IF($K698="","",IF(LEN($K698)-LEN(SUBSTITUTE($K698,",",""))=0,VLOOKUP(INT($K698),[3]Sheet1!$A:$C,3,0),VLOOKUP(INT(LEFT($K698,FIND(",",$K698)-1)),[3]Sheet1!$A:$C,3,0)))</f>
        <v/>
      </c>
      <c r="M698" s="80" t="str">
        <f t="shared" si="67"/>
        <v/>
      </c>
      <c r="N698" s="45" t="str">
        <f>IF(LEN($K698)-LEN(SUBSTITUTE($K698,",",""))=1,VLOOKUP(INT(RIGHT($K698,LEN($K698)-FIND(",",$K698))),[3]Sheet1!$A:$C,3,0),"")</f>
        <v/>
      </c>
      <c r="O698" s="45" t="str">
        <f t="shared" si="64"/>
        <v/>
      </c>
      <c r="P698" s="45" t="str">
        <f t="shared" si="60"/>
        <v/>
      </c>
      <c r="Q698" s="45" t="str">
        <f t="shared" si="65"/>
        <v/>
      </c>
      <c r="R698" s="45"/>
      <c r="S698" s="45" t="str">
        <f>IF(ISERROR($Q698),"进阶+"&amp;COUNTIF($E$194:$E698,$E698)&amp;"："&amp;"找ZC配技能","进阶+"&amp;COUNTIF($E$194:$E698,$E698)&amp;"："&amp;VLOOKUP(COUNTIF($E$194:$E698,$E698),$L$184:$R$193,IF(H698=1,4,IF(H698=4,3,2))+IF(INDEX([1]Sheet1!$1:$1048576,MATCH($E698,[1]Sheet1!$A:$A,0),MATCH("zizhi",[1]Sheet1!$2:$2,0))&gt;=13,0,3),0)&amp;IF($Q698="","","（"&amp;$Q698&amp;"）"))</f>
        <v>进阶+5：生命，防御提高10%</v>
      </c>
      <c r="T698" s="1"/>
      <c r="U698" s="1"/>
      <c r="V698" s="2" t="str">
        <f>VLOOKUP(COUNTIF($E$194:$E698,$E698),$L$184:$X$193,IF(H698=1,4,IF(H698=4,3,2))+IF(INDEX([1]Sheet1!$1:$1048576,MATCH($E698,[1]Sheet1!$A:$A,0),MATCH("zizhi",[1]Sheet1!$2:$2,0))&gt;=13,0,3)+6,0)</f>
        <v>11090,6502,6512</v>
      </c>
      <c r="W698" s="2" t="str">
        <f t="shared" si="63"/>
        <v>进阶+5：生命，防御提高10%</v>
      </c>
      <c r="X698" s="45" t="str">
        <f t="shared" si="61"/>
        <v>11090,6502,6512</v>
      </c>
      <c r="Y698" s="2"/>
      <c r="Z698" s="2"/>
      <c r="AA698" s="2"/>
    </row>
    <row r="699" spans="1:27">
      <c r="A699" s="10">
        <f>E699*100+COUNTIF($E$194:$E699,$E699)</f>
        <v>111806</v>
      </c>
      <c r="B699" s="68" t="s">
        <v>314</v>
      </c>
      <c r="C699" s="50" t="s">
        <v>241</v>
      </c>
      <c r="D699" s="10" t="str">
        <f t="shared" si="66"/>
        <v>[]</v>
      </c>
      <c r="E699" s="45">
        <f>INDEX($I:$I,MATCH($E698,$I:$I,0)+IF(COUNTIF($E$194:$E698,$E698)&lt;=VLOOKUP($E698,$I$134:$K$193,3,0)-1,0,1),0)</f>
        <v>1118</v>
      </c>
      <c r="F699" s="45" t="str">
        <f t="shared" si="62"/>
        <v>混沌</v>
      </c>
      <c r="H699" s="45">
        <f>VLOOKUP($E699,[1]Sheet1!$A:$G,7,0)</f>
        <v>3</v>
      </c>
      <c r="I699" s="45" t="str">
        <f>IF($G699="","",IF(COUNTIF(技能描述!$D:$D,$F699)&gt;0,VLOOKUP($F699&amp;$G699,技能描述!$A:$C,3,0),LEFT(VLOOKUP($E699,[1]Sheet1!$A:$J,10,0),FIND("_",VLOOKUP($E699,[1]Sheet1!$A:$J,10,0))-1)&amp;$G699))</f>
        <v/>
      </c>
      <c r="J699" s="45" t="str">
        <f>IF($I699="","",VLOOKUP($I699,技能描述!$A:$C,3,0))</f>
        <v/>
      </c>
      <c r="K699" s="45" t="str">
        <f>IF($I699="","",INDEX([2]Sheet1!$1:$1048576,MATCH($I699,[2]Sheet1!$A:$A,0),MATCH("description_damage",[2]Sheet1!$2:$2,0)))</f>
        <v/>
      </c>
      <c r="L699" s="80" t="str">
        <f>IF($K699="","",IF(LEN($K699)-LEN(SUBSTITUTE($K699,",",""))=0,VLOOKUP(INT($K699),[3]Sheet1!$A:$C,3,0),VLOOKUP(INT(LEFT($K699,FIND(",",$K699)-1)),[3]Sheet1!$A:$C,3,0)))</f>
        <v/>
      </c>
      <c r="M699" s="80" t="str">
        <f t="shared" si="67"/>
        <v/>
      </c>
      <c r="N699" s="45" t="str">
        <f>IF(LEN($K699)-LEN(SUBSTITUTE($K699,",",""))=1,VLOOKUP(INT(RIGHT($K699,LEN($K699)-FIND(",",$K699))),[3]Sheet1!$A:$C,3,0),"")</f>
        <v/>
      </c>
      <c r="O699" s="45" t="str">
        <f t="shared" si="64"/>
        <v/>
      </c>
      <c r="P699" s="45" t="str">
        <f t="shared" si="60"/>
        <v/>
      </c>
      <c r="Q699" s="45" t="str">
        <f t="shared" si="65"/>
        <v/>
      </c>
      <c r="R699" s="45"/>
      <c r="S699" s="45" t="str">
        <f>IF(ISERROR($Q699),"进阶+"&amp;COUNTIF($E$194:$E699,$E699)&amp;"："&amp;"找ZC配技能","进阶+"&amp;COUNTIF($E$194:$E699,$E699)&amp;"："&amp;VLOOKUP(COUNTIF($E$194:$E699,$E699),$L$184:$R$193,IF(H699=1,4,IF(H699=4,3,2))+IF(INDEX([1]Sheet1!$1:$1048576,MATCH($E699,[1]Sheet1!$A:$A,0),MATCH("zizhi",[1]Sheet1!$2:$2,0))&gt;=13,0,3),0)&amp;IF($Q699="","","（"&amp;$Q699&amp;"）"))</f>
        <v>进阶+6：暴击提高20%</v>
      </c>
      <c r="T699" s="1"/>
      <c r="U699" s="1"/>
      <c r="V699" s="2" t="str">
        <f>VLOOKUP(COUNTIF($E$194:$E699,$E699),$L$184:$X$193,IF(H699=1,4,IF(H699=4,3,2))+IF(INDEX([1]Sheet1!$1:$1048576,MATCH($E699,[1]Sheet1!$A:$A,0),MATCH("zizhi",[1]Sheet1!$2:$2,0))&gt;=13,0,3)+6,0)</f>
        <v>11080</v>
      </c>
      <c r="W699" s="2" t="str">
        <f t="shared" si="63"/>
        <v>进阶+6：暴击提高20%</v>
      </c>
      <c r="X699" s="45" t="str">
        <f t="shared" si="61"/>
        <v>11080</v>
      </c>
      <c r="Y699" s="2"/>
      <c r="Z699" s="2"/>
      <c r="AA699" s="2"/>
    </row>
    <row r="700" spans="1:27">
      <c r="A700" s="10">
        <f>E700*100+COUNTIF($E$194:$E700,$E700)</f>
        <v>111807</v>
      </c>
      <c r="B700" s="68" t="s">
        <v>359</v>
      </c>
      <c r="C700" s="50" t="s">
        <v>353</v>
      </c>
      <c r="D700" s="10" t="str">
        <f t="shared" si="66"/>
        <v>[]</v>
      </c>
      <c r="E700" s="45">
        <f>INDEX($I:$I,MATCH($E699,$I:$I,0)+IF(COUNTIF($E$194:$E699,$E699)&lt;=VLOOKUP($E699,$I$134:$K$193,3,0)-1,0,1),0)</f>
        <v>1118</v>
      </c>
      <c r="F700" s="45" t="str">
        <f t="shared" si="62"/>
        <v>混沌</v>
      </c>
      <c r="H700" s="45">
        <f>VLOOKUP($E700,[1]Sheet1!$A:$G,7,0)</f>
        <v>3</v>
      </c>
      <c r="I700" s="45" t="str">
        <f>IF($G700="","",IF(COUNTIF(技能描述!$D:$D,$F700)&gt;0,VLOOKUP($F700&amp;$G700,技能描述!$A:$C,3,0),LEFT(VLOOKUP($E700,[1]Sheet1!$A:$J,10,0),FIND("_",VLOOKUP($E700,[1]Sheet1!$A:$J,10,0))-1)&amp;$G700))</f>
        <v/>
      </c>
      <c r="J700" s="45" t="str">
        <f>IF($I700="","",VLOOKUP($I700,技能描述!$A:$C,3,0))</f>
        <v/>
      </c>
      <c r="K700" s="45" t="str">
        <f>IF($I700="","",INDEX([2]Sheet1!$1:$1048576,MATCH($I700,[2]Sheet1!$A:$A,0),MATCH("description_damage",[2]Sheet1!$2:$2,0)))</f>
        <v/>
      </c>
      <c r="L700" s="80" t="str">
        <f>IF($K700="","",IF(LEN($K700)-LEN(SUBSTITUTE($K700,",",""))=0,VLOOKUP(INT($K700),[3]Sheet1!$A:$C,3,0),VLOOKUP(INT(LEFT($K700,FIND(",",$K700)-1)),[3]Sheet1!$A:$C,3,0)))</f>
        <v/>
      </c>
      <c r="M700" s="80" t="str">
        <f t="shared" si="67"/>
        <v/>
      </c>
      <c r="N700" s="45" t="str">
        <f>IF(LEN($K700)-LEN(SUBSTITUTE($K700,",",""))=1,VLOOKUP(INT(RIGHT($K700,LEN($K700)-FIND(",",$K700))),[3]Sheet1!$A:$C,3,0),"")</f>
        <v/>
      </c>
      <c r="O700" s="45" t="str">
        <f t="shared" si="64"/>
        <v/>
      </c>
      <c r="P700" s="45" t="str">
        <f t="shared" si="60"/>
        <v/>
      </c>
      <c r="Q700" s="45" t="str">
        <f t="shared" si="65"/>
        <v/>
      </c>
      <c r="R700" s="45"/>
      <c r="S700" s="45" t="str">
        <f>IF(ISERROR($Q700),"进阶+"&amp;COUNTIF($E$194:$E700,$E700)&amp;"："&amp;"找ZC配技能","进阶+"&amp;COUNTIF($E$194:$E700,$E700)&amp;"："&amp;VLOOKUP(COUNTIF($E$194:$E700,$E700),$L$184:$R$193,IF(H700=1,4,IF(H700=4,3,2))+IF(INDEX([1]Sheet1!$1:$1048576,MATCH($E700,[1]Sheet1!$A:$A,0),MATCH("zizhi",[1]Sheet1!$2:$2,0))&gt;=13,0,3),0)&amp;IF($Q700="","","（"&amp;$Q700&amp;"）"))</f>
        <v>进阶+7：全队攻击提高10%</v>
      </c>
      <c r="T700" s="1"/>
      <c r="U700" s="1"/>
      <c r="V700" s="2" t="str">
        <f>VLOOKUP(COUNTIF($E$194:$E700,$E700),$L$184:$X$193,IF(H700=1,4,IF(H700=4,3,2))+IF(INDEX([1]Sheet1!$1:$1048576,MATCH($E700,[1]Sheet1!$A:$A,0),MATCH("zizhi",[1]Sheet1!$2:$2,0))&gt;=13,0,3)+6,0)</f>
        <v>58010</v>
      </c>
      <c r="W700" s="2" t="str">
        <f t="shared" si="63"/>
        <v>进阶+7：全队攻击提高10%</v>
      </c>
      <c r="X700" s="45" t="str">
        <f t="shared" si="61"/>
        <v>58010</v>
      </c>
      <c r="Y700" s="2"/>
      <c r="Z700" s="2"/>
      <c r="AA700" s="2"/>
    </row>
    <row r="701" spans="1:27">
      <c r="A701" s="10">
        <f>E701*100+COUNTIF($E$194:$E701,$E701)</f>
        <v>111808</v>
      </c>
      <c r="B701" s="68" t="s">
        <v>316</v>
      </c>
      <c r="C701" s="50" t="s">
        <v>153</v>
      </c>
      <c r="D701" s="10" t="str">
        <f t="shared" si="66"/>
        <v>[]</v>
      </c>
      <c r="E701" s="45">
        <f>INDEX($I:$I,MATCH($E700,$I:$I,0)+IF(COUNTIF($E$194:$E700,$E700)&lt;=VLOOKUP($E700,$I$134:$K$193,3,0)-1,0,1),0)</f>
        <v>1118</v>
      </c>
      <c r="F701" s="45" t="str">
        <f t="shared" si="62"/>
        <v>混沌</v>
      </c>
      <c r="H701" s="45">
        <f>VLOOKUP($E701,[1]Sheet1!$A:$G,7,0)</f>
        <v>3</v>
      </c>
      <c r="I701" s="45" t="str">
        <f>IF($G701="","",IF(COUNTIF(技能描述!$D:$D,$F701)&gt;0,VLOOKUP($F701&amp;$G701,技能描述!$A:$C,3,0),LEFT(VLOOKUP($E701,[1]Sheet1!$A:$J,10,0),FIND("_",VLOOKUP($E701,[1]Sheet1!$A:$J,10,0))-1)&amp;$G701))</f>
        <v/>
      </c>
      <c r="J701" s="45" t="str">
        <f>IF($I701="","",VLOOKUP($I701,技能描述!$A:$C,3,0))</f>
        <v/>
      </c>
      <c r="K701" s="45" t="str">
        <f>IF($I701="","",INDEX([2]Sheet1!$1:$1048576,MATCH($I701,[2]Sheet1!$A:$A,0),MATCH("description_damage",[2]Sheet1!$2:$2,0)))</f>
        <v/>
      </c>
      <c r="L701" s="80" t="str">
        <f>IF($K701="","",IF(LEN($K701)-LEN(SUBSTITUTE($K701,",",""))=0,VLOOKUP(INT($K701),[3]Sheet1!$A:$C,3,0),VLOOKUP(INT(LEFT($K701,FIND(",",$K701)-1)),[3]Sheet1!$A:$C,3,0)))</f>
        <v/>
      </c>
      <c r="M701" s="80" t="str">
        <f t="shared" si="67"/>
        <v/>
      </c>
      <c r="N701" s="45" t="str">
        <f>IF(LEN($K701)-LEN(SUBSTITUTE($K701,",",""))=1,VLOOKUP(INT(RIGHT($K701,LEN($K701)-FIND(",",$K701))),[3]Sheet1!$A:$C,3,0),"")</f>
        <v/>
      </c>
      <c r="O701" s="45" t="str">
        <f t="shared" si="64"/>
        <v/>
      </c>
      <c r="P701" s="45" t="str">
        <f t="shared" si="60"/>
        <v/>
      </c>
      <c r="Q701" s="45" t="str">
        <f t="shared" si="65"/>
        <v/>
      </c>
      <c r="R701" s="45"/>
      <c r="S701" s="45" t="str">
        <f>IF(ISERROR($Q701),"进阶+"&amp;COUNTIF($E$194:$E701,$E701)&amp;"："&amp;"找ZC配技能","进阶+"&amp;COUNTIF($E$194:$E701,$E701)&amp;"："&amp;VLOOKUP(COUNTIF($E$194:$E701,$E701),$L$184:$R$193,IF(H701=1,4,IF(H701=4,3,2))+IF(INDEX([1]Sheet1!$1:$1048576,MATCH($E701,[1]Sheet1!$A:$A,0),MATCH("zizhi",[1]Sheet1!$2:$2,0))&gt;=13,0,3),0)&amp;IF($Q701="","","（"&amp;$Q701&amp;"）"))</f>
        <v>进阶+8：命中提高15%</v>
      </c>
      <c r="T701" s="1">
        <f>IF($S701="找zc配技能",,)</f>
        <v>0</v>
      </c>
      <c r="U701" s="1"/>
      <c r="V701" s="2" t="str">
        <f>VLOOKUP(COUNTIF($E$194:$E701,$E701),$L$184:$X$193,IF(H701=1,4,IF(H701=4,3,2))+IF(INDEX([1]Sheet1!$1:$1048576,MATCH($E701,[1]Sheet1!$A:$A,0),MATCH("zizhi",[1]Sheet1!$2:$2,0))&gt;=13,0,3)+6,0)</f>
        <v>11035</v>
      </c>
      <c r="W701" s="2" t="str">
        <f t="shared" si="63"/>
        <v>进阶+8：命中提高15%</v>
      </c>
      <c r="X701" s="45" t="str">
        <f t="shared" si="61"/>
        <v>11035</v>
      </c>
      <c r="Y701" s="2"/>
      <c r="Z701" s="2"/>
      <c r="AA701" s="2"/>
    </row>
    <row r="702" spans="1:27">
      <c r="A702" s="10">
        <f>E702*100+COUNTIF($E$194:$E702,$E702)</f>
        <v>113601</v>
      </c>
      <c r="B702" s="68" t="s">
        <v>319</v>
      </c>
      <c r="C702" s="50">
        <v>11090</v>
      </c>
      <c r="D702" s="10" t="str">
        <f t="shared" si="66"/>
        <v>[]</v>
      </c>
      <c r="E702" s="45">
        <f>INDEX($I:$I,MATCH($E701,$I:$I,0)+IF(COUNTIF($E$194:$E701,$E701)&lt;=VLOOKUP($E701,$I$134:$K$193,3,0)-1,0,1),0)</f>
        <v>1136</v>
      </c>
      <c r="F702" s="45" t="str">
        <f t="shared" si="62"/>
        <v>白龙公主</v>
      </c>
      <c r="H702" s="45">
        <f>VLOOKUP($E702,[1]Sheet1!$A:$G,7,0)</f>
        <v>1</v>
      </c>
      <c r="I702" s="45" t="str">
        <f>IF($G702="","",IF(COUNTIF(技能描述!$D:$D,$F702)&gt;0,VLOOKUP($F702&amp;$G702,技能描述!$A:$C,3,0),LEFT(VLOOKUP($E702,[1]Sheet1!$A:$J,10,0),FIND("_",VLOOKUP($E702,[1]Sheet1!$A:$J,10,0))-1)&amp;$G702))</f>
        <v/>
      </c>
      <c r="J702" s="45" t="str">
        <f>IF($I702="","",VLOOKUP($I702,技能描述!$A:$C,3,0))</f>
        <v/>
      </c>
      <c r="K702" s="45" t="str">
        <f>IF($I702="","",INDEX([2]Sheet1!$1:$1048576,MATCH($I702,[2]Sheet1!$A:$A,0),MATCH("description_damage",[2]Sheet1!$2:$2,0)))</f>
        <v/>
      </c>
      <c r="L702" s="80" t="str">
        <f>IF($K702="","",IF(LEN($K702)-LEN(SUBSTITUTE($K702,",",""))=0,VLOOKUP(INT($K702),[3]Sheet1!$A:$C,3,0),VLOOKUP(INT(LEFT($K702,FIND(",",$K702)-1)),[3]Sheet1!$A:$C,3,0)))</f>
        <v/>
      </c>
      <c r="M702" s="80" t="str">
        <f t="shared" si="67"/>
        <v/>
      </c>
      <c r="N702" s="45" t="str">
        <f>IF(LEN($K702)-LEN(SUBSTITUTE($K702,",",""))=1,VLOOKUP(INT(RIGHT($K702,LEN($K702)-FIND(",",$K702))),[3]Sheet1!$A:$C,3,0),"")</f>
        <v/>
      </c>
      <c r="O702" s="45" t="str">
        <f t="shared" si="64"/>
        <v/>
      </c>
      <c r="P702" s="45" t="str">
        <f t="shared" si="60"/>
        <v/>
      </c>
      <c r="Q702" s="45" t="str">
        <f t="shared" si="65"/>
        <v/>
      </c>
      <c r="R702" s="45"/>
      <c r="S702" s="45" t="str">
        <f>IF(ISERROR($Q702),"进阶+"&amp;COUNTIF($E$194:$E702,$E702)&amp;"："&amp;"找ZC配技能","进阶+"&amp;COUNTIF($E$194:$E702,$E702)&amp;"："&amp;VLOOKUP(COUNTIF($E$194:$E702,$E702),$L$184:$R$193,IF(H702=1,4,IF(H702=4,3,2))+IF(INDEX([1]Sheet1!$1:$1048576,MATCH($E702,[1]Sheet1!$A:$A,0),MATCH("zizhi",[1]Sheet1!$2:$2,0))&gt;=13,0,3),0)&amp;IF($Q702="","","（"&amp;$Q702&amp;"）"))</f>
        <v>进阶+1：生命提高10%</v>
      </c>
      <c r="T702" s="1"/>
      <c r="U702" s="1"/>
      <c r="V702" s="2">
        <f>VLOOKUP(COUNTIF($E$194:$E702,$E702),$L$184:$X$193,IF(H702=1,4,IF(H702=4,3,2))+IF(INDEX([1]Sheet1!$1:$1048576,MATCH($E702,[1]Sheet1!$A:$A,0),MATCH("zizhi",[1]Sheet1!$2:$2,0))&gt;=13,0,3)+6,0)</f>
        <v>11090</v>
      </c>
      <c r="W702" s="2" t="str">
        <f t="shared" si="63"/>
        <v>进阶+1：生命提高10%</v>
      </c>
      <c r="X702" s="45">
        <f t="shared" si="61"/>
        <v>11090</v>
      </c>
      <c r="Y702" s="2"/>
      <c r="Z702" s="2"/>
      <c r="AA702" s="2"/>
    </row>
    <row r="703" spans="1:27">
      <c r="A703" s="10">
        <f>E703*100+COUNTIF($E$194:$E703,$E703)</f>
        <v>113602</v>
      </c>
      <c r="B703" s="68" t="s">
        <v>369</v>
      </c>
      <c r="C703" s="50" t="s">
        <v>2</v>
      </c>
      <c r="D703" s="10">
        <f t="shared" si="66"/>
        <v>1</v>
      </c>
      <c r="E703" s="45">
        <f>INDEX($I:$I,MATCH($E702,$I:$I,0)+IF(COUNTIF($E$194:$E702,$E702)&lt;=VLOOKUP($E702,$I$134:$K$193,3,0)-1,0,1),0)</f>
        <v>1136</v>
      </c>
      <c r="F703" s="45" t="str">
        <f t="shared" si="62"/>
        <v>白龙公主</v>
      </c>
      <c r="G703" s="45" t="s">
        <v>216</v>
      </c>
      <c r="H703" s="45">
        <f>VLOOKUP($E703,[1]Sheet1!$A:$G,7,0)</f>
        <v>1</v>
      </c>
      <c r="I703" s="45" t="str">
        <f>IF($G703="","",IF(COUNTIF(技能描述!$D:$D,$F703)&gt;0,VLOOKUP($F703&amp;$G703,技能描述!$A:$C,3,0),LEFT(VLOOKUP($E703,[1]Sheet1!$A:$J,10,0),FIND("_",VLOOKUP($E703,[1]Sheet1!$A:$J,10,0))-1)&amp;$G703))</f>
        <v>bailonggongzhu_skill03</v>
      </c>
      <c r="J703" s="45" t="str">
        <f>IF($I703="","",VLOOKUP($I703,技能描述!$A:$C,3,0))</f>
        <v>进入战斗场景时，增加自身@s的闪避率</v>
      </c>
      <c r="K703" s="45" t="str">
        <f>IF($I703="","",INDEX([2]Sheet1!$1:$1048576,MATCH($I703,[2]Sheet1!$A:$A,0),MATCH("description_damage",[2]Sheet1!$2:$2,0)))</f>
        <v>9010</v>
      </c>
      <c r="L703" s="80" t="str">
        <f>IF($K703="","",IF(LEN($K703)-LEN(SUBSTITUTE($K703,",",""))=0,VLOOKUP(INT($K703),[3]Sheet1!$A:$C,3,0),VLOOKUP(INT(LEFT($K703,FIND(",",$K703)-1)),[3]Sheet1!$A:$C,3,0)))</f>
        <v>4|3|0.1|0|1</v>
      </c>
      <c r="M703" s="80" t="str">
        <f t="shared" si="67"/>
        <v>10%</v>
      </c>
      <c r="N703" s="45" t="str">
        <f>IF(LEN($K703)-LEN(SUBSTITUTE($K703,",",""))=1,VLOOKUP(INT(RIGHT($K703,LEN($K703)-FIND(",",$K703))),[3]Sheet1!$A:$C,3,0),"")</f>
        <v/>
      </c>
      <c r="O703" s="45" t="str">
        <f t="shared" si="64"/>
        <v/>
      </c>
      <c r="P703" s="45" t="str">
        <f t="shared" si="60"/>
        <v>进入战斗场景时，增加自身10%的闪避率</v>
      </c>
      <c r="Q703" s="45" t="str">
        <f t="shared" si="65"/>
        <v>进入战斗场景时，增加自身10%的闪避率</v>
      </c>
      <c r="R703" s="45"/>
      <c r="S703" s="45" t="str">
        <f>IF(ISERROR($Q703),"进阶+"&amp;COUNTIF($E$194:$E703,$E703)&amp;"："&amp;"找ZC配技能","进阶+"&amp;COUNTIF($E$194:$E703,$E703)&amp;"："&amp;VLOOKUP(COUNTIF($E$194:$E703,$E703),$L$184:$R$193,IF(H703=1,4,IF(H703=4,3,2))+IF(INDEX([1]Sheet1!$1:$1048576,MATCH($E703,[1]Sheet1!$A:$A,0),MATCH("zizhi",[1]Sheet1!$2:$2,0))&gt;=13,0,3),0)&amp;IF($Q703="","","（"&amp;$Q703&amp;"）"))</f>
        <v>进阶+2：激活被动技能（进入战斗场景时，增加自身10%的闪避率）</v>
      </c>
      <c r="T703" s="1"/>
      <c r="U703" s="1"/>
      <c r="V703" s="2" t="str">
        <f>VLOOKUP(COUNTIF($E$194:$E703,$E703),$L$184:$X$193,IF(H703=1,4,IF(H703=4,3,2))+IF(INDEX([1]Sheet1!$1:$1048576,MATCH($E703,[1]Sheet1!$A:$A,0),MATCH("zizhi",[1]Sheet1!$2:$2,0))&gt;=13,0,3)+6,0)</f>
        <v>[]</v>
      </c>
      <c r="W703" s="2" t="str">
        <f t="shared" si="63"/>
        <v>进阶+2：激活被动技能（进入战斗场景时，增加自身10%的闪避率）</v>
      </c>
      <c r="X703" s="45" t="str">
        <f t="shared" si="61"/>
        <v>[]</v>
      </c>
      <c r="Y703" s="2"/>
      <c r="Z703" s="2"/>
      <c r="AA703" s="2"/>
    </row>
    <row r="704" spans="1:27">
      <c r="A704" s="10">
        <f>E704*100+COUNTIF($E$194:$E704,$E704)</f>
        <v>113603</v>
      </c>
      <c r="B704" s="68" t="s">
        <v>312</v>
      </c>
      <c r="C704" s="50" t="s">
        <v>127</v>
      </c>
      <c r="D704" s="10" t="str">
        <f t="shared" si="66"/>
        <v>[]</v>
      </c>
      <c r="E704" s="45">
        <f>INDEX($I:$I,MATCH($E703,$I:$I,0)+IF(COUNTIF($E$194:$E703,$E703)&lt;=VLOOKUP($E703,$I$134:$K$193,3,0)-1,0,1),0)</f>
        <v>1136</v>
      </c>
      <c r="F704" s="45" t="str">
        <f t="shared" si="62"/>
        <v>白龙公主</v>
      </c>
      <c r="H704" s="45">
        <f>VLOOKUP($E704,[1]Sheet1!$A:$G,7,0)</f>
        <v>1</v>
      </c>
      <c r="I704" s="45" t="str">
        <f>IF($G704="","",IF(COUNTIF(技能描述!$D:$D,$F704)&gt;0,VLOOKUP($F704&amp;$G704,技能描述!$A:$C,3,0),LEFT(VLOOKUP($E704,[1]Sheet1!$A:$J,10,0),FIND("_",VLOOKUP($E704,[1]Sheet1!$A:$J,10,0))-1)&amp;$G704))</f>
        <v/>
      </c>
      <c r="J704" s="45" t="str">
        <f>IF($I704="","",VLOOKUP($I704,技能描述!$A:$C,3,0))</f>
        <v/>
      </c>
      <c r="K704" s="45" t="str">
        <f>IF($I704="","",INDEX([2]Sheet1!$1:$1048576,MATCH($I704,[2]Sheet1!$A:$A,0),MATCH("description_damage",[2]Sheet1!$2:$2,0)))</f>
        <v/>
      </c>
      <c r="L704" s="80" t="str">
        <f>IF($K704="","",IF(LEN($K704)-LEN(SUBSTITUTE($K704,",",""))=0,VLOOKUP(INT($K704),[3]Sheet1!$A:$C,3,0),VLOOKUP(INT(LEFT($K704,FIND(",",$K704)-1)),[3]Sheet1!$A:$C,3,0)))</f>
        <v/>
      </c>
      <c r="M704" s="80" t="str">
        <f t="shared" si="67"/>
        <v/>
      </c>
      <c r="N704" s="45" t="str">
        <f>IF(LEN($K704)-LEN(SUBSTITUTE($K704,",",""))=1,VLOOKUP(INT(RIGHT($K704,LEN($K704)-FIND(",",$K704))),[3]Sheet1!$A:$C,3,0),"")</f>
        <v/>
      </c>
      <c r="O704" s="45" t="str">
        <f t="shared" si="64"/>
        <v/>
      </c>
      <c r="P704" s="45" t="str">
        <f t="shared" si="60"/>
        <v/>
      </c>
      <c r="Q704" s="45" t="str">
        <f t="shared" si="65"/>
        <v/>
      </c>
      <c r="R704" s="45"/>
      <c r="S704" s="45" t="str">
        <f>IF(ISERROR($Q704),"进阶+"&amp;COUNTIF($E$194:$E704,$E704)&amp;"："&amp;"找ZC配技能","进阶+"&amp;COUNTIF($E$194:$E704,$E704)&amp;"："&amp;VLOOKUP(COUNTIF($E$194:$E704,$E704),$L$184:$R$193,IF(H704=1,4,IF(H704=4,3,2))+IF(INDEX([1]Sheet1!$1:$1048576,MATCH($E704,[1]Sheet1!$A:$A,0),MATCH("zizhi",[1]Sheet1!$2:$2,0))&gt;=13,0,3),0)&amp;IF($Q704="","","（"&amp;$Q704&amp;"）"))</f>
        <v>进阶+3：攻击提高10%</v>
      </c>
      <c r="T704" s="1"/>
      <c r="U704" s="1"/>
      <c r="V704" s="2" t="str">
        <f>VLOOKUP(COUNTIF($E$194:$E704,$E704),$L$184:$X$193,IF(H704=1,4,IF(H704=4,3,2))+IF(INDEX([1]Sheet1!$1:$1048576,MATCH($E704,[1]Sheet1!$A:$A,0),MATCH("zizhi",[1]Sheet1!$2:$2,0))&gt;=13,0,3)+6,0)</f>
        <v>11050</v>
      </c>
      <c r="W704" s="2" t="str">
        <f t="shared" si="63"/>
        <v>进阶+3：攻击提高10%</v>
      </c>
      <c r="X704" s="45" t="str">
        <f t="shared" si="61"/>
        <v>11050</v>
      </c>
      <c r="Y704" s="2"/>
      <c r="Z704" s="2"/>
      <c r="AA704" s="2"/>
    </row>
    <row r="705" spans="1:27" ht="33">
      <c r="A705" s="10">
        <f>E705*100+COUNTIF($E$194:$E705,$E705)</f>
        <v>113604</v>
      </c>
      <c r="B705" s="68" t="s">
        <v>1895</v>
      </c>
      <c r="C705" s="50" t="s">
        <v>2</v>
      </c>
      <c r="D705" s="10">
        <f t="shared" si="66"/>
        <v>1</v>
      </c>
      <c r="E705" s="45">
        <f>INDEX($I:$I,MATCH($E704,$I:$I,0)+IF(COUNTIF($E$194:$E704,$E704)&lt;=VLOOKUP($E704,$I$134:$K$193,3,0)-1,0,1),0)</f>
        <v>1136</v>
      </c>
      <c r="F705" s="45" t="str">
        <f t="shared" si="62"/>
        <v>白龙公主</v>
      </c>
      <c r="G705" s="45" t="s">
        <v>217</v>
      </c>
      <c r="H705" s="45">
        <f>VLOOKUP($E705,[1]Sheet1!$A:$G,7,0)</f>
        <v>1</v>
      </c>
      <c r="I705" s="45" t="str">
        <f>IF($G705="","",IF(COUNTIF(技能描述!$D:$D,$F705)&gt;0,VLOOKUP($F705&amp;$G705,技能描述!$A:$C,3,0),LEFT(VLOOKUP($E705,[1]Sheet1!$A:$J,10,0),FIND("_",VLOOKUP($E705,[1]Sheet1!$A:$J,10,0))-1)&amp;$G705))</f>
        <v>bailonggongzhu_skill04</v>
      </c>
      <c r="J705" s="45" t="str">
        <f>IF($I705="","",VLOOKUP($I705,技能描述!$A:$C,3,0))</f>
        <v>白龙公主召唤冰刺，对范围内目标造成自身攻击力@s的伤害</v>
      </c>
      <c r="K705" s="45" t="str">
        <f>IF($I705="","",INDEX([2]Sheet1!$1:$1048576,MATCH($I705,[2]Sheet1!$A:$A,0),MATCH("description_damage",[2]Sheet1!$2:$2,0)))</f>
        <v>113604</v>
      </c>
      <c r="L705" s="80" t="str">
        <f>IF($K705="","",IF(LEN($K705)-LEN(SUBSTITUTE($K705,",",""))=0,VLOOKUP(INT($K705),[3]Sheet1!$A:$C,3,0),VLOOKUP(INT(LEFT($K705,FIND(",",$K705)-1)),[3]Sheet1!$A:$C,3,0)))</f>
        <v>2|2|1.35|0|0|0</v>
      </c>
      <c r="M705" s="80" t="str">
        <f t="shared" si="67"/>
        <v>135%</v>
      </c>
      <c r="N705" s="45" t="str">
        <f>IF(LEN($K705)-LEN(SUBSTITUTE($K705,",",""))=1,VLOOKUP(INT(RIGHT($K705,LEN($K705)-FIND(",",$K705))),[3]Sheet1!$A:$C,3,0),"")</f>
        <v/>
      </c>
      <c r="O705" s="45" t="str">
        <f t="shared" si="64"/>
        <v/>
      </c>
      <c r="P705" s="45" t="str">
        <f t="shared" si="60"/>
        <v>白龙公主召唤冰刺，对范围内目标造成自身攻击力135%的伤害</v>
      </c>
      <c r="Q705" s="45" t="str">
        <f t="shared" si="65"/>
        <v>白龙公主召唤冰刺，对范围内目标造成自身攻击力135%的伤害</v>
      </c>
      <c r="R705" s="45"/>
      <c r="S705" s="45" t="str">
        <f>IF(ISERROR($Q705),"进阶+"&amp;COUNTIF($E$194:$E705,$E705)&amp;"："&amp;"找ZC配技能","进阶+"&amp;COUNTIF($E$194:$E705,$E705)&amp;"："&amp;VLOOKUP(COUNTIF($E$194:$E705,$E705),$L$184:$R$193,IF(H705=1,4,IF(H705=4,3,2))+IF(INDEX([1]Sheet1!$1:$1048576,MATCH($E705,[1]Sheet1!$A:$A,0),MATCH("zizhi",[1]Sheet1!$2:$2,0))&gt;=13,0,3),0)&amp;IF($Q705="","","（"&amp;$Q705&amp;"）"))</f>
        <v>进阶+4：激活AI2技能（白龙公主召唤冰刺，对范围内目标造成自身攻击力135%的伤害）</v>
      </c>
      <c r="T705" s="1"/>
      <c r="U705" s="1"/>
      <c r="V705" s="2" t="str">
        <f>VLOOKUP(COUNTIF($E$194:$E705,$E705),$L$184:$X$193,IF(H705=1,4,IF(H705=4,3,2))+IF(INDEX([1]Sheet1!$1:$1048576,MATCH($E705,[1]Sheet1!$A:$A,0),MATCH("zizhi",[1]Sheet1!$2:$2,0))&gt;=13,0,3)+6,0)</f>
        <v>[]</v>
      </c>
      <c r="W705" s="2" t="str">
        <f t="shared" si="63"/>
        <v>进阶+4：激活AI2技能（白龙公主召唤冰刺，对范围内目标造成自身攻击力135%的伤害）</v>
      </c>
      <c r="X705" s="45" t="str">
        <f t="shared" si="61"/>
        <v>[]</v>
      </c>
      <c r="Y705" s="2"/>
      <c r="Z705" s="2"/>
      <c r="AA705" s="2"/>
    </row>
    <row r="706" spans="1:27">
      <c r="A706" s="10">
        <f>E706*100+COUNTIF($E$194:$E706,$E706)</f>
        <v>113605</v>
      </c>
      <c r="B706" s="68" t="s">
        <v>323</v>
      </c>
      <c r="C706" s="50" t="s">
        <v>140</v>
      </c>
      <c r="D706" s="10" t="str">
        <f t="shared" si="66"/>
        <v>[]</v>
      </c>
      <c r="E706" s="45">
        <f>INDEX($I:$I,MATCH($E705,$I:$I,0)+IF(COUNTIF($E$194:$E705,$E705)&lt;=VLOOKUP($E705,$I$134:$K$193,3,0)-1,0,1),0)</f>
        <v>1136</v>
      </c>
      <c r="F706" s="45" t="str">
        <f t="shared" si="62"/>
        <v>白龙公主</v>
      </c>
      <c r="H706" s="45">
        <f>VLOOKUP($E706,[1]Sheet1!$A:$G,7,0)</f>
        <v>1</v>
      </c>
      <c r="I706" s="45" t="str">
        <f>IF($G706="","",IF(COUNTIF(技能描述!$D:$D,$F706)&gt;0,VLOOKUP($F706&amp;$G706,技能描述!$A:$C,3,0),LEFT(VLOOKUP($E706,[1]Sheet1!$A:$J,10,0),FIND("_",VLOOKUP($E706,[1]Sheet1!$A:$J,10,0))-1)&amp;$G706))</f>
        <v/>
      </c>
      <c r="J706" s="45" t="str">
        <f>IF($I706="","",VLOOKUP($I706,技能描述!$A:$C,3,0))</f>
        <v/>
      </c>
      <c r="K706" s="45" t="str">
        <f>IF($I706="","",INDEX([2]Sheet1!$1:$1048576,MATCH($I706,[2]Sheet1!$A:$A,0),MATCH("description_damage",[2]Sheet1!$2:$2,0)))</f>
        <v/>
      </c>
      <c r="L706" s="80" t="str">
        <f>IF($K706="","",IF(LEN($K706)-LEN(SUBSTITUTE($K706,",",""))=0,VLOOKUP(INT($K706),[3]Sheet1!$A:$C,3,0),VLOOKUP(INT(LEFT($K706,FIND(",",$K706)-1)),[3]Sheet1!$A:$C,3,0)))</f>
        <v/>
      </c>
      <c r="M706" s="80" t="str">
        <f t="shared" si="67"/>
        <v/>
      </c>
      <c r="N706" s="45" t="str">
        <f>IF(LEN($K706)-LEN(SUBSTITUTE($K706,",",""))=1,VLOOKUP(INT(RIGHT($K706,LEN($K706)-FIND(",",$K706))),[3]Sheet1!$A:$C,3,0),"")</f>
        <v/>
      </c>
      <c r="O706" s="45" t="str">
        <f t="shared" si="64"/>
        <v/>
      </c>
      <c r="P706" s="45" t="str">
        <f t="shared" ref="P706:P755" si="68">IF($M706="","",IF(ISERROR(FIND("@s",$J706)),$J706,LEFT(J706,FIND("@s",$J706)-1)&amp;$M706&amp;RIGHT($J706,LEN($J706)-FIND("@s",$J706)-1)))</f>
        <v/>
      </c>
      <c r="Q706" s="45" t="str">
        <f t="shared" si="65"/>
        <v/>
      </c>
      <c r="R706" s="45"/>
      <c r="S706" s="45" t="str">
        <f>IF(ISERROR($Q706),"进阶+"&amp;COUNTIF($E$194:$E706,$E706)&amp;"："&amp;"找ZC配技能","进阶+"&amp;COUNTIF($E$194:$E706,$E706)&amp;"："&amp;VLOOKUP(COUNTIF($E$194:$E706,$E706),$L$184:$R$193,IF(H706=1,4,IF(H706=4,3,2))+IF(INDEX([1]Sheet1!$1:$1048576,MATCH($E706,[1]Sheet1!$A:$A,0),MATCH("zizhi",[1]Sheet1!$2:$2,0))&gt;=13,0,3),0)&amp;IF($Q706="","","（"&amp;$Q706&amp;"）"))</f>
        <v>进阶+5：生命，防御提高10%</v>
      </c>
      <c r="T706" s="1"/>
      <c r="U706" s="1"/>
      <c r="V706" s="2" t="str">
        <f>VLOOKUP(COUNTIF($E$194:$E706,$E706),$L$184:$X$193,IF(H706=1,4,IF(H706=4,3,2))+IF(INDEX([1]Sheet1!$1:$1048576,MATCH($E706,[1]Sheet1!$A:$A,0),MATCH("zizhi",[1]Sheet1!$2:$2,0))&gt;=13,0,3)+6,0)</f>
        <v>11090,6502,6512</v>
      </c>
      <c r="W706" s="2" t="str">
        <f t="shared" si="63"/>
        <v>进阶+5：生命，防御提高10%</v>
      </c>
      <c r="X706" s="45" t="str">
        <f t="shared" ref="X706:X757" si="69">IF(ISERROR(FIND("找ZC配技能",$S706)),$V706,$W$184)</f>
        <v>11090,6502,6512</v>
      </c>
      <c r="Y706" s="2"/>
      <c r="Z706" s="2"/>
      <c r="AA706" s="2"/>
    </row>
    <row r="707" spans="1:27">
      <c r="A707" s="10">
        <f>E707*100+COUNTIF($E$194:$E707,$E707)</f>
        <v>113606</v>
      </c>
      <c r="B707" s="68" t="s">
        <v>321</v>
      </c>
      <c r="C707" s="50" t="s">
        <v>255</v>
      </c>
      <c r="D707" s="10" t="str">
        <f t="shared" si="66"/>
        <v>[]</v>
      </c>
      <c r="E707" s="45">
        <f>INDEX($I:$I,MATCH($E706,$I:$I,0)+IF(COUNTIF($E$194:$E706,$E706)&lt;=VLOOKUP($E706,$I$134:$K$193,3,0)-1,0,1),0)</f>
        <v>1136</v>
      </c>
      <c r="F707" s="45" t="str">
        <f t="shared" ref="F707:F757" si="70">VLOOKUP($E707,$I$134:$K$193,2,0)</f>
        <v>白龙公主</v>
      </c>
      <c r="H707" s="45">
        <f>VLOOKUP($E707,[1]Sheet1!$A:$G,7,0)</f>
        <v>1</v>
      </c>
      <c r="I707" s="45" t="str">
        <f>IF($G707="","",IF(COUNTIF(技能描述!$D:$D,$F707)&gt;0,VLOOKUP($F707&amp;$G707,技能描述!$A:$C,3,0),LEFT(VLOOKUP($E707,[1]Sheet1!$A:$J,10,0),FIND("_",VLOOKUP($E707,[1]Sheet1!$A:$J,10,0))-1)&amp;$G707))</f>
        <v/>
      </c>
      <c r="J707" s="45" t="str">
        <f>IF($I707="","",VLOOKUP($I707,技能描述!$A:$C,3,0))</f>
        <v/>
      </c>
      <c r="K707" s="45" t="str">
        <f>IF($I707="","",INDEX([2]Sheet1!$1:$1048576,MATCH($I707,[2]Sheet1!$A:$A,0),MATCH("description_damage",[2]Sheet1!$2:$2,0)))</f>
        <v/>
      </c>
      <c r="L707" s="80" t="str">
        <f>IF($K707="","",IF(LEN($K707)-LEN(SUBSTITUTE($K707,",",""))=0,VLOOKUP(INT($K707),[3]Sheet1!$A:$C,3,0),VLOOKUP(INT(LEFT($K707,FIND(",",$K707)-1)),[3]Sheet1!$A:$C,3,0)))</f>
        <v/>
      </c>
      <c r="M707" s="80" t="str">
        <f t="shared" si="67"/>
        <v/>
      </c>
      <c r="N707" s="45" t="str">
        <f>IF(LEN($K707)-LEN(SUBSTITUTE($K707,",",""))=1,VLOOKUP(INT(RIGHT($K707,LEN($K707)-FIND(",",$K707))),[3]Sheet1!$A:$C,3,0),"")</f>
        <v/>
      </c>
      <c r="O707" s="45" t="str">
        <f t="shared" si="64"/>
        <v/>
      </c>
      <c r="P707" s="45" t="str">
        <f t="shared" si="68"/>
        <v/>
      </c>
      <c r="Q707" s="45" t="str">
        <f t="shared" si="65"/>
        <v/>
      </c>
      <c r="R707" s="45"/>
      <c r="S707" s="45" t="str">
        <f>IF(ISERROR($Q707),"进阶+"&amp;COUNTIF($E$194:$E707,$E707)&amp;"："&amp;"找ZC配技能","进阶+"&amp;COUNTIF($E$194:$E707,$E707)&amp;"："&amp;VLOOKUP(COUNTIF($E$194:$E707,$E707),$L$184:$R$193,IF(H707=1,4,IF(H707=4,3,2))+IF(INDEX([1]Sheet1!$1:$1048576,MATCH($E707,[1]Sheet1!$A:$A,0),MATCH("zizhi",[1]Sheet1!$2:$2,0))&gt;=13,0,3),0)&amp;IF($Q707="","","（"&amp;$Q707&amp;"）"))</f>
        <v>进阶+6：抗暴提高20%</v>
      </c>
      <c r="T707" s="1"/>
      <c r="U707" s="1"/>
      <c r="V707" s="2" t="str">
        <f>VLOOKUP(COUNTIF($E$194:$E707,$E707),$L$184:$X$193,IF(H707=1,4,IF(H707=4,3,2))+IF(INDEX([1]Sheet1!$1:$1048576,MATCH($E707,[1]Sheet1!$A:$A,0),MATCH("zizhi",[1]Sheet1!$2:$2,0))&gt;=13,0,3)+6,0)</f>
        <v>11160</v>
      </c>
      <c r="W707" s="2" t="str">
        <f t="shared" ref="W707:W757" si="71">IF(ISERROR(FIND("找ZC配技能",$S707)),$S707,"进阶+"&amp;INT(RIGHT($A707,2))&amp;":生命提高10%")</f>
        <v>进阶+6：抗暴提高20%</v>
      </c>
      <c r="X707" s="45" t="str">
        <f t="shared" si="69"/>
        <v>11160</v>
      </c>
      <c r="Y707" s="2"/>
      <c r="Z707" s="2"/>
      <c r="AA707" s="2"/>
    </row>
    <row r="708" spans="1:27">
      <c r="A708" s="10">
        <f>E708*100+COUNTIF($E$194:$E708,$E708)</f>
        <v>113607</v>
      </c>
      <c r="B708" s="68" t="s">
        <v>360</v>
      </c>
      <c r="C708" s="50" t="s">
        <v>354</v>
      </c>
      <c r="D708" s="10" t="str">
        <f t="shared" si="66"/>
        <v>[]</v>
      </c>
      <c r="E708" s="45">
        <f>INDEX($I:$I,MATCH($E707,$I:$I,0)+IF(COUNTIF($E$194:$E707,$E707)&lt;=VLOOKUP($E707,$I$134:$K$193,3,0)-1,0,1),0)</f>
        <v>1136</v>
      </c>
      <c r="F708" s="45" t="str">
        <f t="shared" si="70"/>
        <v>白龙公主</v>
      </c>
      <c r="H708" s="45">
        <f>VLOOKUP($E708,[1]Sheet1!$A:$G,7,0)</f>
        <v>1</v>
      </c>
      <c r="I708" s="45" t="str">
        <f>IF($G708="","",IF(COUNTIF(技能描述!$D:$D,$F708)&gt;0,VLOOKUP($F708&amp;$G708,技能描述!$A:$C,3,0),LEFT(VLOOKUP($E708,[1]Sheet1!$A:$J,10,0),FIND("_",VLOOKUP($E708,[1]Sheet1!$A:$J,10,0))-1)&amp;$G708))</f>
        <v/>
      </c>
      <c r="J708" s="45" t="str">
        <f>IF($I708="","",VLOOKUP($I708,技能描述!$A:$C,3,0))</f>
        <v/>
      </c>
      <c r="K708" s="45" t="str">
        <f>IF($I708="","",INDEX([2]Sheet1!$1:$1048576,MATCH($I708,[2]Sheet1!$A:$A,0),MATCH("description_damage",[2]Sheet1!$2:$2,0)))</f>
        <v/>
      </c>
      <c r="L708" s="80" t="str">
        <f>IF($K708="","",IF(LEN($K708)-LEN(SUBSTITUTE($K708,",",""))=0,VLOOKUP(INT($K708),[3]Sheet1!$A:$C,3,0),VLOOKUP(INT(LEFT($K708,FIND(",",$K708)-1)),[3]Sheet1!$A:$C,3,0)))</f>
        <v/>
      </c>
      <c r="M708" s="80" t="str">
        <f t="shared" si="67"/>
        <v/>
      </c>
      <c r="N708" s="45" t="str">
        <f>IF(LEN($K708)-LEN(SUBSTITUTE($K708,",",""))=1,VLOOKUP(INT(RIGHT($K708,LEN($K708)-FIND(",",$K708))),[3]Sheet1!$A:$C,3,0),"")</f>
        <v/>
      </c>
      <c r="O708" s="45" t="str">
        <f t="shared" ref="O708:O755" si="72">IF($N708="","",LEFT(RIGHT($N708,LEN($N708)-4),FIND("|",RIGHT($N708,LEN($N708)-4))-1)*100&amp;"%")</f>
        <v/>
      </c>
      <c r="P708" s="45" t="str">
        <f t="shared" si="68"/>
        <v/>
      </c>
      <c r="Q708" s="45" t="str">
        <f t="shared" ref="Q708:Q755" si="73">IF($O708="",$P708,SUBSTITUTE($P708,"@s",$O708))</f>
        <v/>
      </c>
      <c r="R708" s="45"/>
      <c r="S708" s="45" t="str">
        <f>IF(ISERROR($Q708),"进阶+"&amp;COUNTIF($E$194:$E708,$E708)&amp;"："&amp;"找ZC配技能","进阶+"&amp;COUNTIF($E$194:$E708,$E708)&amp;"："&amp;VLOOKUP(COUNTIF($E$194:$E708,$E708),$L$184:$R$193,IF(H708=1,4,IF(H708=4,3,2))+IF(INDEX([1]Sheet1!$1:$1048576,MATCH($E708,[1]Sheet1!$A:$A,0),MATCH("zizhi",[1]Sheet1!$2:$2,0))&gt;=13,0,3),0)&amp;IF($Q708="","","（"&amp;$Q708&amp;"）"))</f>
        <v>进阶+7：全队生命，防御提高10%</v>
      </c>
      <c r="T708" s="1"/>
      <c r="U708" s="1"/>
      <c r="V708" s="2" t="str">
        <f>VLOOKUP(COUNTIF($E$194:$E708,$E708),$L$184:$X$193,IF(H708=1,4,IF(H708=4,3,2))+IF(INDEX([1]Sheet1!$1:$1048576,MATCH($E708,[1]Sheet1!$A:$A,0),MATCH("zizhi",[1]Sheet1!$2:$2,0))&gt;=13,0,3)+6,0)</f>
        <v>57010,59010,60010</v>
      </c>
      <c r="W708" s="2" t="str">
        <f t="shared" si="71"/>
        <v>进阶+7：全队生命，防御提高10%</v>
      </c>
      <c r="X708" s="45" t="str">
        <f t="shared" si="69"/>
        <v>57010,59010,60010</v>
      </c>
      <c r="Y708" s="2"/>
      <c r="Z708" s="2"/>
      <c r="AA708" s="2"/>
    </row>
    <row r="709" spans="1:27">
      <c r="A709" s="10">
        <f>E709*100+COUNTIF($E$194:$E709,$E709)</f>
        <v>113608</v>
      </c>
      <c r="B709" s="68" t="s">
        <v>322</v>
      </c>
      <c r="C709" s="50" t="s">
        <v>254</v>
      </c>
      <c r="D709" s="10" t="str">
        <f t="shared" ref="D709:D757" si="74">IF(ISERROR(FIND("技能",$B709)),"[]",1)</f>
        <v>[]</v>
      </c>
      <c r="E709" s="45">
        <f>INDEX($I:$I,MATCH($E708,$I:$I,0)+IF(COUNTIF($E$194:$E708,$E708)&lt;=VLOOKUP($E708,$I$134:$K$193,3,0)-1,0,1),0)</f>
        <v>1136</v>
      </c>
      <c r="F709" s="45" t="str">
        <f t="shared" si="70"/>
        <v>白龙公主</v>
      </c>
      <c r="H709" s="45">
        <f>VLOOKUP($E709,[1]Sheet1!$A:$G,7,0)</f>
        <v>1</v>
      </c>
      <c r="I709" s="45" t="str">
        <f>IF($G709="","",IF(COUNTIF(技能描述!$D:$D,$F709)&gt;0,VLOOKUP($F709&amp;$G709,技能描述!$A:$C,3,0),LEFT(VLOOKUP($E709,[1]Sheet1!$A:$J,10,0),FIND("_",VLOOKUP($E709,[1]Sheet1!$A:$J,10,0))-1)&amp;$G709))</f>
        <v/>
      </c>
      <c r="J709" s="45" t="str">
        <f>IF($I709="","",VLOOKUP($I709,技能描述!$A:$C,3,0))</f>
        <v/>
      </c>
      <c r="K709" s="45" t="str">
        <f>IF($I709="","",INDEX([2]Sheet1!$1:$1048576,MATCH($I709,[2]Sheet1!$A:$A,0),MATCH("description_damage",[2]Sheet1!$2:$2,0)))</f>
        <v/>
      </c>
      <c r="L709" s="80" t="str">
        <f>IF($K709="","",IF(LEN($K709)-LEN(SUBSTITUTE($K709,",",""))=0,VLOOKUP(INT($K709),[3]Sheet1!$A:$C,3,0),VLOOKUP(INT(LEFT($K709,FIND(",",$K709)-1)),[3]Sheet1!$A:$C,3,0)))</f>
        <v/>
      </c>
      <c r="M709" s="80" t="str">
        <f t="shared" ref="M709:M755" si="75">IF($L709="","",LEFT(RIGHT($L709,LEN($L709)-4),FIND("|",RIGHT($L709,LEN($L709)-4))-1)*100&amp;"%")</f>
        <v/>
      </c>
      <c r="N709" s="45" t="str">
        <f>IF(LEN($K709)-LEN(SUBSTITUTE($K709,",",""))=1,VLOOKUP(INT(RIGHT($K709,LEN($K709)-FIND(",",$K709))),[3]Sheet1!$A:$C,3,0),"")</f>
        <v/>
      </c>
      <c r="O709" s="45" t="str">
        <f t="shared" si="72"/>
        <v/>
      </c>
      <c r="P709" s="45" t="str">
        <f t="shared" si="68"/>
        <v/>
      </c>
      <c r="Q709" s="45" t="str">
        <f t="shared" si="73"/>
        <v/>
      </c>
      <c r="R709" s="45"/>
      <c r="S709" s="45" t="str">
        <f>IF(ISERROR($Q709),"进阶+"&amp;COUNTIF($E$194:$E709,$E709)&amp;"："&amp;"找ZC配技能","进阶+"&amp;COUNTIF($E$194:$E709,$E709)&amp;"："&amp;VLOOKUP(COUNTIF($E$194:$E709,$E709),$L$184:$R$193,IF(H709=1,4,IF(H709=4,3,2))+IF(INDEX([1]Sheet1!$1:$1048576,MATCH($E709,[1]Sheet1!$A:$A,0),MATCH("zizhi",[1]Sheet1!$2:$2,0))&gt;=13,0,3),0)&amp;IF($Q709="","","（"&amp;$Q709&amp;"）"))</f>
        <v>进阶+8：闪避提高15%</v>
      </c>
      <c r="T709" s="1"/>
      <c r="U709" s="1"/>
      <c r="V709" s="2" t="str">
        <f>VLOOKUP(COUNTIF($E$194:$E709,$E709),$L$184:$X$193,IF(H709=1,4,IF(H709=4,3,2))+IF(INDEX([1]Sheet1!$1:$1048576,MATCH($E709,[1]Sheet1!$A:$A,0),MATCH("zizhi",[1]Sheet1!$2:$2,0))&gt;=13,0,3)+6,0)</f>
        <v>11115</v>
      </c>
      <c r="W709" s="2" t="str">
        <f t="shared" si="71"/>
        <v>进阶+8：闪避提高15%</v>
      </c>
      <c r="X709" s="45" t="str">
        <f t="shared" si="69"/>
        <v>11115</v>
      </c>
      <c r="Y709" s="2"/>
      <c r="Z709" s="2"/>
      <c r="AA709" s="2"/>
    </row>
    <row r="710" spans="1:27">
      <c r="A710" s="10">
        <f>E710*100+COUNTIF($E$194:$E710,$E710)</f>
        <v>114101</v>
      </c>
      <c r="B710" s="68" t="s">
        <v>319</v>
      </c>
      <c r="C710" s="50">
        <v>11090</v>
      </c>
      <c r="D710" s="10" t="str">
        <f t="shared" si="74"/>
        <v>[]</v>
      </c>
      <c r="E710" s="45">
        <f>INDEX($I:$I,MATCH($E709,$I:$I,0)+IF(COUNTIF($E$194:$E709,$E709)&lt;=VLOOKUP($E709,$I$134:$K$193,3,0)-1,0,1),0)</f>
        <v>1141</v>
      </c>
      <c r="F710" s="45" t="str">
        <f t="shared" si="70"/>
        <v>玉兔</v>
      </c>
      <c r="H710" s="45">
        <f>VLOOKUP($E710,[1]Sheet1!$A:$G,7,0)</f>
        <v>1</v>
      </c>
      <c r="I710" s="45" t="str">
        <f>IF($G710="","",IF(COUNTIF(技能描述!$D:$D,$F710)&gt;0,VLOOKUP($F710&amp;$G710,技能描述!$A:$C,3,0),LEFT(VLOOKUP($E710,[1]Sheet1!$A:$J,10,0),FIND("_",VLOOKUP($E710,[1]Sheet1!$A:$J,10,0))-1)&amp;$G710))</f>
        <v/>
      </c>
      <c r="J710" s="45" t="str">
        <f>IF($I710="","",VLOOKUP($I710,技能描述!$A:$C,3,0))</f>
        <v/>
      </c>
      <c r="K710" s="45" t="str">
        <f>IF($I710="","",INDEX([2]Sheet1!$1:$1048576,MATCH($I710,[2]Sheet1!$A:$A,0),MATCH("description_damage",[2]Sheet1!$2:$2,0)))</f>
        <v/>
      </c>
      <c r="L710" s="80" t="str">
        <f>IF($K710="","",IF(LEN($K710)-LEN(SUBSTITUTE($K710,",",""))=0,VLOOKUP(INT($K710),[3]Sheet1!$A:$C,3,0),VLOOKUP(INT(LEFT($K710,FIND(",",$K710)-1)),[3]Sheet1!$A:$C,3,0)))</f>
        <v/>
      </c>
      <c r="M710" s="80" t="str">
        <f t="shared" si="75"/>
        <v/>
      </c>
      <c r="N710" s="45" t="str">
        <f>IF(LEN($K710)-LEN(SUBSTITUTE($K710,",",""))=1,VLOOKUP(INT(RIGHT($K710,LEN($K710)-FIND(",",$K710))),[3]Sheet1!$A:$C,3,0),"")</f>
        <v/>
      </c>
      <c r="O710" s="45" t="str">
        <f t="shared" si="72"/>
        <v/>
      </c>
      <c r="P710" s="45" t="str">
        <f t="shared" si="68"/>
        <v/>
      </c>
      <c r="Q710" s="45" t="str">
        <f t="shared" si="73"/>
        <v/>
      </c>
      <c r="R710" s="45"/>
      <c r="S710" s="45" t="str">
        <f>IF(ISERROR($Q710),"进阶+"&amp;COUNTIF($E$194:$E710,$E710)&amp;"："&amp;"找ZC配技能","进阶+"&amp;COUNTIF($E$194:$E710,$E710)&amp;"："&amp;VLOOKUP(COUNTIF($E$194:$E710,$E710),$L$184:$R$193,IF(H710=1,4,IF(H710=4,3,2))+IF(INDEX([1]Sheet1!$1:$1048576,MATCH($E710,[1]Sheet1!$A:$A,0),MATCH("zizhi",[1]Sheet1!$2:$2,0))&gt;=13,0,3),0)&amp;IF($Q710="","","（"&amp;$Q710&amp;"）"))</f>
        <v>进阶+1：生命提高10%</v>
      </c>
      <c r="T710" s="1"/>
      <c r="U710" s="1"/>
      <c r="V710" s="2">
        <f>VLOOKUP(COUNTIF($E$194:$E710,$E710),$L$184:$X$193,IF(H710=1,4,IF(H710=4,3,2))+IF(INDEX([1]Sheet1!$1:$1048576,MATCH($E710,[1]Sheet1!$A:$A,0),MATCH("zizhi",[1]Sheet1!$2:$2,0))&gt;=13,0,3)+6,0)</f>
        <v>11090</v>
      </c>
      <c r="W710" s="2" t="str">
        <f t="shared" si="71"/>
        <v>进阶+1：生命提高10%</v>
      </c>
      <c r="X710" s="45">
        <f t="shared" si="69"/>
        <v>11090</v>
      </c>
      <c r="Y710" s="2"/>
      <c r="Z710" s="2"/>
      <c r="AA710" s="2"/>
    </row>
    <row r="711" spans="1:27">
      <c r="A711" s="10">
        <f>E711*100+COUNTIF($E$194:$E711,$E711)</f>
        <v>114102</v>
      </c>
      <c r="B711" s="68" t="s">
        <v>369</v>
      </c>
      <c r="C711" s="50" t="s">
        <v>2</v>
      </c>
      <c r="D711" s="10">
        <f t="shared" si="74"/>
        <v>1</v>
      </c>
      <c r="E711" s="45">
        <f>INDEX($I:$I,MATCH($E710,$I:$I,0)+IF(COUNTIF($E$194:$E710,$E710)&lt;=VLOOKUP($E710,$I$134:$K$193,3,0)-1,0,1),0)</f>
        <v>1141</v>
      </c>
      <c r="F711" s="45" t="str">
        <f t="shared" si="70"/>
        <v>玉兔</v>
      </c>
      <c r="G711" s="45" t="s">
        <v>216</v>
      </c>
      <c r="H711" s="45">
        <f>VLOOKUP($E711,[1]Sheet1!$A:$G,7,0)</f>
        <v>1</v>
      </c>
      <c r="I711" s="45" t="str">
        <f>IF($G711="","",IF(COUNTIF(技能描述!$D:$D,$F711)&gt;0,VLOOKUP($F711&amp;$G711,技能描述!$A:$C,3,0),LEFT(VLOOKUP($E711,[1]Sheet1!$A:$J,10,0),FIND("_",VLOOKUP($E711,[1]Sheet1!$A:$J,10,0))-1)&amp;$G711))</f>
        <v>yutu_skill03</v>
      </c>
      <c r="J711" s="45" t="str">
        <f>IF($I711="","",VLOOKUP($I711,技能描述!$A:$C,3,0))</f>
        <v>进入战斗场景时，增加自身@s的闪避率</v>
      </c>
      <c r="K711" s="45" t="str">
        <f>IF($I711="","",INDEX([2]Sheet1!$1:$1048576,MATCH($I711,[2]Sheet1!$A:$A,0),MATCH("description_damage",[2]Sheet1!$2:$2,0)))</f>
        <v>9010</v>
      </c>
      <c r="L711" s="80" t="str">
        <f>IF($K711="","",IF(LEN($K711)-LEN(SUBSTITUTE($K711,",",""))=0,VLOOKUP(INT($K711),[3]Sheet1!$A:$C,3,0),VLOOKUP(INT(LEFT($K711,FIND(",",$K711)-1)),[3]Sheet1!$A:$C,3,0)))</f>
        <v>4|3|0.1|0|1</v>
      </c>
      <c r="M711" s="80" t="str">
        <f t="shared" si="75"/>
        <v>10%</v>
      </c>
      <c r="N711" s="45" t="str">
        <f>IF(LEN($K711)-LEN(SUBSTITUTE($K711,",",""))=1,VLOOKUP(INT(RIGHT($K711,LEN($K711)-FIND(",",$K711))),[3]Sheet1!$A:$C,3,0),"")</f>
        <v/>
      </c>
      <c r="O711" s="45" t="str">
        <f t="shared" si="72"/>
        <v/>
      </c>
      <c r="P711" s="45" t="str">
        <f t="shared" si="68"/>
        <v>进入战斗场景时，增加自身10%的闪避率</v>
      </c>
      <c r="Q711" s="45" t="str">
        <f t="shared" si="73"/>
        <v>进入战斗场景时，增加自身10%的闪避率</v>
      </c>
      <c r="R711" s="45"/>
      <c r="S711" s="45" t="str">
        <f>IF(ISERROR($Q711),"进阶+"&amp;COUNTIF($E$194:$E711,$E711)&amp;"："&amp;"找ZC配技能","进阶+"&amp;COUNTIF($E$194:$E711,$E711)&amp;"："&amp;VLOOKUP(COUNTIF($E$194:$E711,$E711),$L$184:$R$193,IF(H711=1,4,IF(H711=4,3,2))+IF(INDEX([1]Sheet1!$1:$1048576,MATCH($E711,[1]Sheet1!$A:$A,0),MATCH("zizhi",[1]Sheet1!$2:$2,0))&gt;=13,0,3),0)&amp;IF($Q711="","","（"&amp;$Q711&amp;"）"))</f>
        <v>进阶+2：激活被动技能（进入战斗场景时，增加自身10%的闪避率）</v>
      </c>
      <c r="T711" s="1"/>
      <c r="U711" s="1"/>
      <c r="V711" s="2" t="str">
        <f>VLOOKUP(COUNTIF($E$194:$E711,$E711),$L$184:$X$193,IF(H711=1,4,IF(H711=4,3,2))+IF(INDEX([1]Sheet1!$1:$1048576,MATCH($E711,[1]Sheet1!$A:$A,0),MATCH("zizhi",[1]Sheet1!$2:$2,0))&gt;=13,0,3)+6,0)</f>
        <v>[]</v>
      </c>
      <c r="W711" s="2" t="str">
        <f t="shared" si="71"/>
        <v>进阶+2：激活被动技能（进入战斗场景时，增加自身10%的闪避率）</v>
      </c>
      <c r="X711" s="45" t="str">
        <f t="shared" si="69"/>
        <v>[]</v>
      </c>
      <c r="Y711" s="2"/>
      <c r="Z711" s="2"/>
      <c r="AA711" s="2"/>
    </row>
    <row r="712" spans="1:27">
      <c r="A712" s="10">
        <f>E712*100+COUNTIF($E$194:$E712,$E712)</f>
        <v>114103</v>
      </c>
      <c r="B712" s="68" t="s">
        <v>312</v>
      </c>
      <c r="C712" s="50" t="s">
        <v>127</v>
      </c>
      <c r="D712" s="10" t="str">
        <f t="shared" si="74"/>
        <v>[]</v>
      </c>
      <c r="E712" s="45">
        <f>INDEX($I:$I,MATCH($E711,$I:$I,0)+IF(COUNTIF($E$194:$E711,$E711)&lt;=VLOOKUP($E711,$I$134:$K$193,3,0)-1,0,1),0)</f>
        <v>1141</v>
      </c>
      <c r="F712" s="45" t="str">
        <f t="shared" si="70"/>
        <v>玉兔</v>
      </c>
      <c r="H712" s="45">
        <f>VLOOKUP($E712,[1]Sheet1!$A:$G,7,0)</f>
        <v>1</v>
      </c>
      <c r="I712" s="45" t="str">
        <f>IF($G712="","",IF(COUNTIF(技能描述!$D:$D,$F712)&gt;0,VLOOKUP($F712&amp;$G712,技能描述!$A:$C,3,0),LEFT(VLOOKUP($E712,[1]Sheet1!$A:$J,10,0),FIND("_",VLOOKUP($E712,[1]Sheet1!$A:$J,10,0))-1)&amp;$G712))</f>
        <v/>
      </c>
      <c r="J712" s="45" t="str">
        <f>IF($I712="","",VLOOKUP($I712,技能描述!$A:$C,3,0))</f>
        <v/>
      </c>
      <c r="K712" s="45" t="str">
        <f>IF($I712="","",INDEX([2]Sheet1!$1:$1048576,MATCH($I712,[2]Sheet1!$A:$A,0),MATCH("description_damage",[2]Sheet1!$2:$2,0)))</f>
        <v/>
      </c>
      <c r="L712" s="80" t="str">
        <f>IF($K712="","",IF(LEN($K712)-LEN(SUBSTITUTE($K712,",",""))=0,VLOOKUP(INT($K712),[3]Sheet1!$A:$C,3,0),VLOOKUP(INT(LEFT($K712,FIND(",",$K712)-1)),[3]Sheet1!$A:$C,3,0)))</f>
        <v/>
      </c>
      <c r="M712" s="80" t="str">
        <f t="shared" si="75"/>
        <v/>
      </c>
      <c r="N712" s="45" t="str">
        <f>IF(LEN($K712)-LEN(SUBSTITUTE($K712,",",""))=1,VLOOKUP(INT(RIGHT($K712,LEN($K712)-FIND(",",$K712))),[3]Sheet1!$A:$C,3,0),"")</f>
        <v/>
      </c>
      <c r="O712" s="45" t="str">
        <f t="shared" si="72"/>
        <v/>
      </c>
      <c r="P712" s="45" t="str">
        <f t="shared" si="68"/>
        <v/>
      </c>
      <c r="Q712" s="45" t="str">
        <f t="shared" si="73"/>
        <v/>
      </c>
      <c r="R712" s="45"/>
      <c r="S712" s="45" t="str">
        <f>IF(ISERROR($Q712),"进阶+"&amp;COUNTIF($E$194:$E712,$E712)&amp;"："&amp;"找ZC配技能","进阶+"&amp;COUNTIF($E$194:$E712,$E712)&amp;"："&amp;VLOOKUP(COUNTIF($E$194:$E712,$E712),$L$184:$R$193,IF(H712=1,4,IF(H712=4,3,2))+IF(INDEX([1]Sheet1!$1:$1048576,MATCH($E712,[1]Sheet1!$A:$A,0),MATCH("zizhi",[1]Sheet1!$2:$2,0))&gt;=13,0,3),0)&amp;IF($Q712="","","（"&amp;$Q712&amp;"）"))</f>
        <v>进阶+3：攻击提高10%</v>
      </c>
      <c r="T712" s="1"/>
      <c r="U712" s="1"/>
      <c r="V712" s="2" t="str">
        <f>VLOOKUP(COUNTIF($E$194:$E712,$E712),$L$184:$X$193,IF(H712=1,4,IF(H712=4,3,2))+IF(INDEX([1]Sheet1!$1:$1048576,MATCH($E712,[1]Sheet1!$A:$A,0),MATCH("zizhi",[1]Sheet1!$2:$2,0))&gt;=13,0,3)+6,0)</f>
        <v>11050</v>
      </c>
      <c r="W712" s="2" t="str">
        <f t="shared" si="71"/>
        <v>进阶+3：攻击提高10%</v>
      </c>
      <c r="X712" s="45" t="str">
        <f t="shared" si="69"/>
        <v>11050</v>
      </c>
      <c r="Y712" s="2"/>
      <c r="Z712" s="2"/>
      <c r="AA712" s="2"/>
    </row>
    <row r="713" spans="1:27" ht="33">
      <c r="A713" s="10">
        <f>E713*100+COUNTIF($E$194:$E713,$E713)</f>
        <v>114104</v>
      </c>
      <c r="B713" s="68" t="s">
        <v>1896</v>
      </c>
      <c r="C713" s="50" t="s">
        <v>2</v>
      </c>
      <c r="D713" s="10">
        <f t="shared" si="74"/>
        <v>1</v>
      </c>
      <c r="E713" s="45">
        <f>INDEX($I:$I,MATCH($E712,$I:$I,0)+IF(COUNTIF($E$194:$E712,$E712)&lt;=VLOOKUP($E712,$I$134:$K$193,3,0)-1,0,1),0)</f>
        <v>1141</v>
      </c>
      <c r="F713" s="45" t="str">
        <f t="shared" si="70"/>
        <v>玉兔</v>
      </c>
      <c r="G713" s="45" t="s">
        <v>217</v>
      </c>
      <c r="H713" s="45">
        <f>VLOOKUP($E713,[1]Sheet1!$A:$G,7,0)</f>
        <v>1</v>
      </c>
      <c r="I713" s="45" t="str">
        <f>IF($G713="","",IF(COUNTIF(技能描述!$D:$D,$F713)&gt;0,VLOOKUP($F713&amp;$G713,技能描述!$A:$C,3,0),LEFT(VLOOKUP($E713,[1]Sheet1!$A:$J,10,0),FIND("_",VLOOKUP($E713,[1]Sheet1!$A:$J,10,0))-1)&amp;$G713))</f>
        <v>yutu_skill04</v>
      </c>
      <c r="J713" s="45" t="str">
        <f>IF($I713="","",VLOOKUP($I713,技能描述!$A:$C,3,0))</f>
        <v>玉兔精召唤小旋风对目标造成5次自身攻击力@s的伤害</v>
      </c>
      <c r="K713" s="45" t="str">
        <f>IF($I713="","",INDEX([2]Sheet1!$1:$1048576,MATCH($I713,[2]Sheet1!$A:$A,0),MATCH("description_damage",[2]Sheet1!$2:$2,0)))</f>
        <v>114104</v>
      </c>
      <c r="L713" s="80" t="str">
        <f>IF($K713="","",IF(LEN($K713)-LEN(SUBSTITUTE($K713,",",""))=0,VLOOKUP(INT($K713),[3]Sheet1!$A:$C,3,0),VLOOKUP(INT(LEFT($K713,FIND(",",$K713)-1)),[3]Sheet1!$A:$C,3,0)))</f>
        <v>2|2|0.54|0|0|0</v>
      </c>
      <c r="M713" s="80" t="str">
        <f t="shared" si="75"/>
        <v>54%</v>
      </c>
      <c r="N713" s="45" t="str">
        <f>IF(LEN($K713)-LEN(SUBSTITUTE($K713,",",""))=1,VLOOKUP(INT(RIGHT($K713,LEN($K713)-FIND(",",$K713))),[3]Sheet1!$A:$C,3,0),"")</f>
        <v/>
      </c>
      <c r="O713" s="45" t="str">
        <f t="shared" si="72"/>
        <v/>
      </c>
      <c r="P713" s="45" t="str">
        <f t="shared" si="68"/>
        <v>玉兔精召唤小旋风对目标造成5次自身攻击力54%的伤害</v>
      </c>
      <c r="Q713" s="45" t="str">
        <f t="shared" si="73"/>
        <v>玉兔精召唤小旋风对目标造成5次自身攻击力54%的伤害</v>
      </c>
      <c r="R713" s="45"/>
      <c r="S713" s="45" t="str">
        <f>IF(ISERROR($Q713),"进阶+"&amp;COUNTIF($E$194:$E713,$E713)&amp;"："&amp;"找ZC配技能","进阶+"&amp;COUNTIF($E$194:$E713,$E713)&amp;"："&amp;VLOOKUP(COUNTIF($E$194:$E713,$E713),$L$184:$R$193,IF(H713=1,4,IF(H713=4,3,2))+IF(INDEX([1]Sheet1!$1:$1048576,MATCH($E713,[1]Sheet1!$A:$A,0),MATCH("zizhi",[1]Sheet1!$2:$2,0))&gt;=13,0,3),0)&amp;IF($Q713="","","（"&amp;$Q713&amp;"）"))</f>
        <v>进阶+4：激活AI2技能（玉兔精召唤小旋风对目标造成5次自身攻击力54%的伤害）</v>
      </c>
      <c r="T713" s="1"/>
      <c r="U713" s="1"/>
      <c r="V713" s="2" t="str">
        <f>VLOOKUP(COUNTIF($E$194:$E713,$E713),$L$184:$X$193,IF(H713=1,4,IF(H713=4,3,2))+IF(INDEX([1]Sheet1!$1:$1048576,MATCH($E713,[1]Sheet1!$A:$A,0),MATCH("zizhi",[1]Sheet1!$2:$2,0))&gt;=13,0,3)+6,0)</f>
        <v>[]</v>
      </c>
      <c r="W713" s="2" t="str">
        <f t="shared" si="71"/>
        <v>进阶+4：激活AI2技能（玉兔精召唤小旋风对目标造成5次自身攻击力54%的伤害）</v>
      </c>
      <c r="X713" s="45" t="str">
        <f t="shared" si="69"/>
        <v>[]</v>
      </c>
      <c r="Y713" s="2"/>
      <c r="Z713" s="2"/>
      <c r="AA713" s="2"/>
    </row>
    <row r="714" spans="1:27">
      <c r="A714" s="10">
        <f>E714*100+COUNTIF($E$194:$E714,$E714)</f>
        <v>114105</v>
      </c>
      <c r="B714" s="68" t="s">
        <v>323</v>
      </c>
      <c r="C714" s="50" t="s">
        <v>140</v>
      </c>
      <c r="D714" s="10" t="str">
        <f t="shared" si="74"/>
        <v>[]</v>
      </c>
      <c r="E714" s="45">
        <f>INDEX($I:$I,MATCH($E713,$I:$I,0)+IF(COUNTIF($E$194:$E713,$E713)&lt;=VLOOKUP($E713,$I$134:$K$193,3,0)-1,0,1),0)</f>
        <v>1141</v>
      </c>
      <c r="F714" s="45" t="str">
        <f t="shared" si="70"/>
        <v>玉兔</v>
      </c>
      <c r="H714" s="45">
        <f>VLOOKUP($E714,[1]Sheet1!$A:$G,7,0)</f>
        <v>1</v>
      </c>
      <c r="I714" s="45" t="str">
        <f>IF($G714="","",IF(COUNTIF(技能描述!$D:$D,$F714)&gt;0,VLOOKUP($F714&amp;$G714,技能描述!$A:$C,3,0),LEFT(VLOOKUP($E714,[1]Sheet1!$A:$J,10,0),FIND("_",VLOOKUP($E714,[1]Sheet1!$A:$J,10,0))-1)&amp;$G714))</f>
        <v/>
      </c>
      <c r="J714" s="45" t="str">
        <f>IF($I714="","",VLOOKUP($I714,技能描述!$A:$C,3,0))</f>
        <v/>
      </c>
      <c r="K714" s="45" t="str">
        <f>IF($I714="","",INDEX([2]Sheet1!$1:$1048576,MATCH($I714,[2]Sheet1!$A:$A,0),MATCH("description_damage",[2]Sheet1!$2:$2,0)))</f>
        <v/>
      </c>
      <c r="L714" s="80" t="str">
        <f>IF($K714="","",IF(LEN($K714)-LEN(SUBSTITUTE($K714,",",""))=0,VLOOKUP(INT($K714),[3]Sheet1!$A:$C,3,0),VLOOKUP(INT(LEFT($K714,FIND(",",$K714)-1)),[3]Sheet1!$A:$C,3,0)))</f>
        <v/>
      </c>
      <c r="M714" s="80" t="str">
        <f t="shared" si="75"/>
        <v/>
      </c>
      <c r="N714" s="45" t="str">
        <f>IF(LEN($K714)-LEN(SUBSTITUTE($K714,",",""))=1,VLOOKUP(INT(RIGHT($K714,LEN($K714)-FIND(",",$K714))),[3]Sheet1!$A:$C,3,0),"")</f>
        <v/>
      </c>
      <c r="O714" s="45" t="str">
        <f t="shared" si="72"/>
        <v/>
      </c>
      <c r="P714" s="45" t="str">
        <f t="shared" si="68"/>
        <v/>
      </c>
      <c r="Q714" s="45" t="str">
        <f t="shared" si="73"/>
        <v/>
      </c>
      <c r="R714" s="45"/>
      <c r="S714" s="45" t="str">
        <f>IF(ISERROR($Q714),"进阶+"&amp;COUNTIF($E$194:$E714,$E714)&amp;"："&amp;"找ZC配技能","进阶+"&amp;COUNTIF($E$194:$E714,$E714)&amp;"："&amp;VLOOKUP(COUNTIF($E$194:$E714,$E714),$L$184:$R$193,IF(H714=1,4,IF(H714=4,3,2))+IF(INDEX([1]Sheet1!$1:$1048576,MATCH($E714,[1]Sheet1!$A:$A,0),MATCH("zizhi",[1]Sheet1!$2:$2,0))&gt;=13,0,3),0)&amp;IF($Q714="","","（"&amp;$Q714&amp;"）"))</f>
        <v>进阶+5：生命，防御提高10%</v>
      </c>
      <c r="T714" s="1"/>
      <c r="U714" s="1"/>
      <c r="V714" s="2" t="str">
        <f>VLOOKUP(COUNTIF($E$194:$E714,$E714),$L$184:$X$193,IF(H714=1,4,IF(H714=4,3,2))+IF(INDEX([1]Sheet1!$1:$1048576,MATCH($E714,[1]Sheet1!$A:$A,0),MATCH("zizhi",[1]Sheet1!$2:$2,0))&gt;=13,0,3)+6,0)</f>
        <v>11090,6502,6512</v>
      </c>
      <c r="W714" s="2" t="str">
        <f t="shared" si="71"/>
        <v>进阶+5：生命，防御提高10%</v>
      </c>
      <c r="X714" s="45" t="str">
        <f t="shared" si="69"/>
        <v>11090,6502,6512</v>
      </c>
      <c r="Y714" s="2"/>
      <c r="Z714" s="2"/>
      <c r="AA714" s="2"/>
    </row>
    <row r="715" spans="1:27">
      <c r="A715" s="10">
        <f>E715*100+COUNTIF($E$194:$E715,$E715)</f>
        <v>114106</v>
      </c>
      <c r="B715" s="68" t="s">
        <v>321</v>
      </c>
      <c r="C715" s="50" t="s">
        <v>255</v>
      </c>
      <c r="D715" s="10" t="str">
        <f t="shared" si="74"/>
        <v>[]</v>
      </c>
      <c r="E715" s="45">
        <f>INDEX($I:$I,MATCH($E714,$I:$I,0)+IF(COUNTIF($E$194:$E714,$E714)&lt;=VLOOKUP($E714,$I$134:$K$193,3,0)-1,0,1),0)</f>
        <v>1141</v>
      </c>
      <c r="F715" s="45" t="str">
        <f t="shared" si="70"/>
        <v>玉兔</v>
      </c>
      <c r="H715" s="45">
        <f>VLOOKUP($E715,[1]Sheet1!$A:$G,7,0)</f>
        <v>1</v>
      </c>
      <c r="I715" s="45" t="str">
        <f>IF($G715="","",IF(COUNTIF(技能描述!$D:$D,$F715)&gt;0,VLOOKUP($F715&amp;$G715,技能描述!$A:$C,3,0),LEFT(VLOOKUP($E715,[1]Sheet1!$A:$J,10,0),FIND("_",VLOOKUP($E715,[1]Sheet1!$A:$J,10,0))-1)&amp;$G715))</f>
        <v/>
      </c>
      <c r="J715" s="45" t="str">
        <f>IF($I715="","",VLOOKUP($I715,技能描述!$A:$C,3,0))</f>
        <v/>
      </c>
      <c r="K715" s="45" t="str">
        <f>IF($I715="","",INDEX([2]Sheet1!$1:$1048576,MATCH($I715,[2]Sheet1!$A:$A,0),MATCH("description_damage",[2]Sheet1!$2:$2,0)))</f>
        <v/>
      </c>
      <c r="L715" s="80" t="str">
        <f>IF($K715="","",IF(LEN($K715)-LEN(SUBSTITUTE($K715,",",""))=0,VLOOKUP(INT($K715),[3]Sheet1!$A:$C,3,0),VLOOKUP(INT(LEFT($K715,FIND(",",$K715)-1)),[3]Sheet1!$A:$C,3,0)))</f>
        <v/>
      </c>
      <c r="M715" s="80" t="str">
        <f t="shared" si="75"/>
        <v/>
      </c>
      <c r="N715" s="45" t="str">
        <f>IF(LEN($K715)-LEN(SUBSTITUTE($K715,",",""))=1,VLOOKUP(INT(RIGHT($K715,LEN($K715)-FIND(",",$K715))),[3]Sheet1!$A:$C,3,0),"")</f>
        <v/>
      </c>
      <c r="O715" s="45" t="str">
        <f t="shared" si="72"/>
        <v/>
      </c>
      <c r="P715" s="45" t="str">
        <f t="shared" si="68"/>
        <v/>
      </c>
      <c r="Q715" s="45" t="str">
        <f t="shared" si="73"/>
        <v/>
      </c>
      <c r="R715" s="45"/>
      <c r="S715" s="45" t="str">
        <f>IF(ISERROR($Q715),"进阶+"&amp;COUNTIF($E$194:$E715,$E715)&amp;"："&amp;"找ZC配技能","进阶+"&amp;COUNTIF($E$194:$E715,$E715)&amp;"："&amp;VLOOKUP(COUNTIF($E$194:$E715,$E715),$L$184:$R$193,IF(H715=1,4,IF(H715=4,3,2))+IF(INDEX([1]Sheet1!$1:$1048576,MATCH($E715,[1]Sheet1!$A:$A,0),MATCH("zizhi",[1]Sheet1!$2:$2,0))&gt;=13,0,3),0)&amp;IF($Q715="","","（"&amp;$Q715&amp;"）"))</f>
        <v>进阶+6：抗暴提高20%</v>
      </c>
      <c r="T715" s="1"/>
      <c r="U715" s="1"/>
      <c r="V715" s="2" t="str">
        <f>VLOOKUP(COUNTIF($E$194:$E715,$E715),$L$184:$X$193,IF(H715=1,4,IF(H715=4,3,2))+IF(INDEX([1]Sheet1!$1:$1048576,MATCH($E715,[1]Sheet1!$A:$A,0),MATCH("zizhi",[1]Sheet1!$2:$2,0))&gt;=13,0,3)+6,0)</f>
        <v>11160</v>
      </c>
      <c r="W715" s="2" t="str">
        <f t="shared" si="71"/>
        <v>进阶+6：抗暴提高20%</v>
      </c>
      <c r="X715" s="45" t="str">
        <f t="shared" si="69"/>
        <v>11160</v>
      </c>
      <c r="Y715" s="2"/>
      <c r="Z715" s="2"/>
      <c r="AA715" s="2"/>
    </row>
    <row r="716" spans="1:27">
      <c r="A716" s="10">
        <f>E716*100+COUNTIF($E$194:$E716,$E716)</f>
        <v>114107</v>
      </c>
      <c r="B716" s="68" t="s">
        <v>360</v>
      </c>
      <c r="C716" s="50" t="s">
        <v>354</v>
      </c>
      <c r="D716" s="10" t="str">
        <f t="shared" si="74"/>
        <v>[]</v>
      </c>
      <c r="E716" s="45">
        <f>INDEX($I:$I,MATCH($E715,$I:$I,0)+IF(COUNTIF($E$194:$E715,$E715)&lt;=VLOOKUP($E715,$I$134:$K$193,3,0)-1,0,1),0)</f>
        <v>1141</v>
      </c>
      <c r="F716" s="45" t="str">
        <f t="shared" si="70"/>
        <v>玉兔</v>
      </c>
      <c r="H716" s="45">
        <f>VLOOKUP($E716,[1]Sheet1!$A:$G,7,0)</f>
        <v>1</v>
      </c>
      <c r="I716" s="45" t="str">
        <f>IF($G716="","",IF(COUNTIF(技能描述!$D:$D,$F716)&gt;0,VLOOKUP($F716&amp;$G716,技能描述!$A:$C,3,0),LEFT(VLOOKUP($E716,[1]Sheet1!$A:$J,10,0),FIND("_",VLOOKUP($E716,[1]Sheet1!$A:$J,10,0))-1)&amp;$G716))</f>
        <v/>
      </c>
      <c r="J716" s="45" t="str">
        <f>IF($I716="","",VLOOKUP($I716,技能描述!$A:$C,3,0))</f>
        <v/>
      </c>
      <c r="K716" s="45" t="str">
        <f>IF($I716="","",INDEX([2]Sheet1!$1:$1048576,MATCH($I716,[2]Sheet1!$A:$A,0),MATCH("description_damage",[2]Sheet1!$2:$2,0)))</f>
        <v/>
      </c>
      <c r="L716" s="80" t="str">
        <f>IF($K716="","",IF(LEN($K716)-LEN(SUBSTITUTE($K716,",",""))=0,VLOOKUP(INT($K716),[3]Sheet1!$A:$C,3,0),VLOOKUP(INT(LEFT($K716,FIND(",",$K716)-1)),[3]Sheet1!$A:$C,3,0)))</f>
        <v/>
      </c>
      <c r="M716" s="80" t="str">
        <f t="shared" si="75"/>
        <v/>
      </c>
      <c r="N716" s="45" t="str">
        <f>IF(LEN($K716)-LEN(SUBSTITUTE($K716,",",""))=1,VLOOKUP(INT(RIGHT($K716,LEN($K716)-FIND(",",$K716))),[3]Sheet1!$A:$C,3,0),"")</f>
        <v/>
      </c>
      <c r="O716" s="45" t="str">
        <f t="shared" si="72"/>
        <v/>
      </c>
      <c r="P716" s="45" t="str">
        <f t="shared" si="68"/>
        <v/>
      </c>
      <c r="Q716" s="45" t="str">
        <f t="shared" si="73"/>
        <v/>
      </c>
      <c r="R716" s="45"/>
      <c r="S716" s="45" t="str">
        <f>IF(ISERROR($Q716),"进阶+"&amp;COUNTIF($E$194:$E716,$E716)&amp;"："&amp;"找ZC配技能","进阶+"&amp;COUNTIF($E$194:$E716,$E716)&amp;"："&amp;VLOOKUP(COUNTIF($E$194:$E716,$E716),$L$184:$R$193,IF(H716=1,4,IF(H716=4,3,2))+IF(INDEX([1]Sheet1!$1:$1048576,MATCH($E716,[1]Sheet1!$A:$A,0),MATCH("zizhi",[1]Sheet1!$2:$2,0))&gt;=13,0,3),0)&amp;IF($Q716="","","（"&amp;$Q716&amp;"）"))</f>
        <v>进阶+7：全队生命，防御提高10%</v>
      </c>
      <c r="T716" s="1"/>
      <c r="U716" s="1"/>
      <c r="V716" s="2" t="str">
        <f>VLOOKUP(COUNTIF($E$194:$E716,$E716),$L$184:$X$193,IF(H716=1,4,IF(H716=4,3,2))+IF(INDEX([1]Sheet1!$1:$1048576,MATCH($E716,[1]Sheet1!$A:$A,0),MATCH("zizhi",[1]Sheet1!$2:$2,0))&gt;=13,0,3)+6,0)</f>
        <v>57010,59010,60010</v>
      </c>
      <c r="W716" s="2" t="str">
        <f t="shared" si="71"/>
        <v>进阶+7：全队生命，防御提高10%</v>
      </c>
      <c r="X716" s="45" t="str">
        <f t="shared" si="69"/>
        <v>57010,59010,60010</v>
      </c>
      <c r="Y716" s="2"/>
      <c r="Z716" s="2"/>
      <c r="AA716" s="2"/>
    </row>
    <row r="717" spans="1:27">
      <c r="A717" s="10">
        <f>E717*100+COUNTIF($E$194:$E717,$E717)</f>
        <v>114108</v>
      </c>
      <c r="B717" s="68" t="s">
        <v>322</v>
      </c>
      <c r="C717" s="50" t="s">
        <v>254</v>
      </c>
      <c r="D717" s="10" t="str">
        <f t="shared" si="74"/>
        <v>[]</v>
      </c>
      <c r="E717" s="45">
        <f>INDEX($I:$I,MATCH($E716,$I:$I,0)+IF(COUNTIF($E$194:$E716,$E716)&lt;=VLOOKUP($E716,$I$134:$K$193,3,0)-1,0,1),0)</f>
        <v>1141</v>
      </c>
      <c r="F717" s="45" t="str">
        <f t="shared" si="70"/>
        <v>玉兔</v>
      </c>
      <c r="H717" s="45">
        <f>VLOOKUP($E717,[1]Sheet1!$A:$G,7,0)</f>
        <v>1</v>
      </c>
      <c r="I717" s="45" t="str">
        <f>IF($G717="","",IF(COUNTIF(技能描述!$D:$D,$F717)&gt;0,VLOOKUP($F717&amp;$G717,技能描述!$A:$C,3,0),LEFT(VLOOKUP($E717,[1]Sheet1!$A:$J,10,0),FIND("_",VLOOKUP($E717,[1]Sheet1!$A:$J,10,0))-1)&amp;$G717))</f>
        <v/>
      </c>
      <c r="J717" s="45" t="str">
        <f>IF($I717="","",VLOOKUP($I717,技能描述!$A:$C,3,0))</f>
        <v/>
      </c>
      <c r="K717" s="45" t="str">
        <f>IF($I717="","",INDEX([2]Sheet1!$1:$1048576,MATCH($I717,[2]Sheet1!$A:$A,0),MATCH("description_damage",[2]Sheet1!$2:$2,0)))</f>
        <v/>
      </c>
      <c r="L717" s="80" t="str">
        <f>IF($K717="","",IF(LEN($K717)-LEN(SUBSTITUTE($K717,",",""))=0,VLOOKUP(INT($K717),[3]Sheet1!$A:$C,3,0),VLOOKUP(INT(LEFT($K717,FIND(",",$K717)-1)),[3]Sheet1!$A:$C,3,0)))</f>
        <v/>
      </c>
      <c r="M717" s="80" t="str">
        <f t="shared" si="75"/>
        <v/>
      </c>
      <c r="N717" s="45" t="str">
        <f>IF(LEN($K717)-LEN(SUBSTITUTE($K717,",",""))=1,VLOOKUP(INT(RIGHT($K717,LEN($K717)-FIND(",",$K717))),[3]Sheet1!$A:$C,3,0),"")</f>
        <v/>
      </c>
      <c r="O717" s="45" t="str">
        <f t="shared" si="72"/>
        <v/>
      </c>
      <c r="P717" s="45" t="str">
        <f t="shared" si="68"/>
        <v/>
      </c>
      <c r="Q717" s="45" t="str">
        <f t="shared" si="73"/>
        <v/>
      </c>
      <c r="R717" s="45"/>
      <c r="S717" s="45" t="str">
        <f>IF(ISERROR($Q717),"进阶+"&amp;COUNTIF($E$194:$E717,$E717)&amp;"："&amp;"找ZC配技能","进阶+"&amp;COUNTIF($E$194:$E717,$E717)&amp;"："&amp;VLOOKUP(COUNTIF($E$194:$E717,$E717),$L$184:$R$193,IF(H717=1,4,IF(H717=4,3,2))+IF(INDEX([1]Sheet1!$1:$1048576,MATCH($E717,[1]Sheet1!$A:$A,0),MATCH("zizhi",[1]Sheet1!$2:$2,0))&gt;=13,0,3),0)&amp;IF($Q717="","","（"&amp;$Q717&amp;"）"))</f>
        <v>进阶+8：闪避提高15%</v>
      </c>
      <c r="T717" s="1"/>
      <c r="U717" s="1"/>
      <c r="V717" s="2" t="str">
        <f>VLOOKUP(COUNTIF($E$194:$E717,$E717),$L$184:$X$193,IF(H717=1,4,IF(H717=4,3,2))+IF(INDEX([1]Sheet1!$1:$1048576,MATCH($E717,[1]Sheet1!$A:$A,0),MATCH("zizhi",[1]Sheet1!$2:$2,0))&gt;=13,0,3)+6,0)</f>
        <v>11115</v>
      </c>
      <c r="W717" s="2" t="str">
        <f t="shared" si="71"/>
        <v>进阶+8：闪避提高15%</v>
      </c>
      <c r="X717" s="45" t="str">
        <f t="shared" si="69"/>
        <v>11115</v>
      </c>
      <c r="Y717" s="2"/>
      <c r="Z717" s="2"/>
      <c r="AA717" s="2"/>
    </row>
    <row r="718" spans="1:27">
      <c r="A718" s="10">
        <f>E718*100+COUNTIF($E$194:$E718,$E718)</f>
        <v>113801</v>
      </c>
      <c r="B718" s="68" t="s">
        <v>310</v>
      </c>
      <c r="C718" s="50">
        <v>11050</v>
      </c>
      <c r="D718" s="10" t="str">
        <f t="shared" si="74"/>
        <v>[]</v>
      </c>
      <c r="E718" s="45">
        <f>INDEX($I:$I,MATCH($E717,$I:$I,0)+IF(COUNTIF($E$194:$E717,$E717)&lt;=VLOOKUP($E717,$I$134:$K$193,3,0)-1,0,1),0)</f>
        <v>1138</v>
      </c>
      <c r="F718" s="45" t="str">
        <f t="shared" si="70"/>
        <v>玉面夫人</v>
      </c>
      <c r="H718" s="45">
        <f>VLOOKUP($E718,[1]Sheet1!$A:$G,7,0)</f>
        <v>3</v>
      </c>
      <c r="I718" s="45" t="str">
        <f>IF($G718="","",IF(COUNTIF(技能描述!$D:$D,$F718)&gt;0,VLOOKUP($F718&amp;$G718,技能描述!$A:$C,3,0),LEFT(VLOOKUP($E718,[1]Sheet1!$A:$J,10,0),FIND("_",VLOOKUP($E718,[1]Sheet1!$A:$J,10,0))-1)&amp;$G718))</f>
        <v/>
      </c>
      <c r="J718" s="45" t="str">
        <f>IF($I718="","",VLOOKUP($I718,技能描述!$A:$C,3,0))</f>
        <v/>
      </c>
      <c r="K718" s="45" t="str">
        <f>IF($I718="","",INDEX([2]Sheet1!$1:$1048576,MATCH($I718,[2]Sheet1!$A:$A,0),MATCH("description_damage",[2]Sheet1!$2:$2,0)))</f>
        <v/>
      </c>
      <c r="L718" s="80" t="str">
        <f>IF($K718="","",IF(LEN($K718)-LEN(SUBSTITUTE($K718,",",""))=0,VLOOKUP(INT($K718),[3]Sheet1!$A:$C,3,0),VLOOKUP(INT(LEFT($K718,FIND(",",$K718)-1)),[3]Sheet1!$A:$C,3,0)))</f>
        <v/>
      </c>
      <c r="M718" s="80" t="str">
        <f t="shared" si="75"/>
        <v/>
      </c>
      <c r="N718" s="45" t="str">
        <f>IF(LEN($K718)-LEN(SUBSTITUTE($K718,",",""))=1,VLOOKUP(INT(RIGHT($K718,LEN($K718)-FIND(",",$K718))),[3]Sheet1!$A:$C,3,0),"")</f>
        <v/>
      </c>
      <c r="O718" s="45" t="str">
        <f t="shared" si="72"/>
        <v/>
      </c>
      <c r="P718" s="45" t="str">
        <f t="shared" si="68"/>
        <v/>
      </c>
      <c r="Q718" s="45" t="str">
        <f t="shared" si="73"/>
        <v/>
      </c>
      <c r="R718" s="45"/>
      <c r="S718" s="45" t="str">
        <f>IF(ISERROR($Q718),"进阶+"&amp;COUNTIF($E$194:$E718,$E718)&amp;"："&amp;"找ZC配技能","进阶+"&amp;COUNTIF($E$194:$E718,$E718)&amp;"："&amp;VLOOKUP(COUNTIF($E$194:$E718,$E718),$L$184:$R$193,IF(H718=1,4,IF(H718=4,3,2))+IF(INDEX([1]Sheet1!$1:$1048576,MATCH($E718,[1]Sheet1!$A:$A,0),MATCH("zizhi",[1]Sheet1!$2:$2,0))&gt;=13,0,3),0)&amp;IF($Q718="","","（"&amp;$Q718&amp;"）"))</f>
        <v>进阶+1：攻击提高10%</v>
      </c>
      <c r="T718" s="1"/>
      <c r="U718" s="1"/>
      <c r="V718" s="2">
        <f>VLOOKUP(COUNTIF($E$194:$E718,$E718),$L$184:$X$193,IF(H718=1,4,IF(H718=4,3,2))+IF(INDEX([1]Sheet1!$1:$1048576,MATCH($E718,[1]Sheet1!$A:$A,0),MATCH("zizhi",[1]Sheet1!$2:$2,0))&gt;=13,0,3)+6,0)</f>
        <v>11050</v>
      </c>
      <c r="W718" s="2" t="str">
        <f t="shared" si="71"/>
        <v>进阶+1：攻击提高10%</v>
      </c>
      <c r="X718" s="45">
        <f t="shared" si="69"/>
        <v>11050</v>
      </c>
      <c r="Y718" s="2"/>
      <c r="Z718" s="2"/>
      <c r="AA718" s="2"/>
    </row>
    <row r="719" spans="1:27">
      <c r="A719" s="10">
        <f>E719*100+COUNTIF($E$194:$E719,$E719)</f>
        <v>113802</v>
      </c>
      <c r="B719" s="68" t="s">
        <v>369</v>
      </c>
      <c r="C719" s="50" t="s">
        <v>2</v>
      </c>
      <c r="D719" s="10">
        <f t="shared" si="74"/>
        <v>1</v>
      </c>
      <c r="E719" s="45">
        <f>INDEX($I:$I,MATCH($E718,$I:$I,0)+IF(COUNTIF($E$194:$E718,$E718)&lt;=VLOOKUP($E718,$I$134:$K$193,3,0)-1,0,1),0)</f>
        <v>1138</v>
      </c>
      <c r="F719" s="45" t="str">
        <f t="shared" si="70"/>
        <v>玉面夫人</v>
      </c>
      <c r="G719" s="45" t="s">
        <v>216</v>
      </c>
      <c r="H719" s="45">
        <f>VLOOKUP($E719,[1]Sheet1!$A:$G,7,0)</f>
        <v>3</v>
      </c>
      <c r="I719" s="45" t="str">
        <f>IF($G719="","",IF(COUNTIF(技能描述!$D:$D,$F719)&gt;0,VLOOKUP($F719&amp;$G719,技能描述!$A:$C,3,0),LEFT(VLOOKUP($E719,[1]Sheet1!$A:$J,10,0),FIND("_",VLOOKUP($E719,[1]Sheet1!$A:$J,10,0))-1)&amp;$G719))</f>
        <v>yumianfuren_skill03</v>
      </c>
      <c r="J719" s="45" t="str">
        <f>IF($I719="","",VLOOKUP($I719,技能描述!$A:$C,3,0))</f>
        <v>进入战斗场景时，增加自身@s的闪避率</v>
      </c>
      <c r="K719" s="45" t="str">
        <f>IF($I719="","",INDEX([2]Sheet1!$1:$1048576,MATCH($I719,[2]Sheet1!$A:$A,0),MATCH("description_damage",[2]Sheet1!$2:$2,0)))</f>
        <v>9010</v>
      </c>
      <c r="L719" s="80" t="str">
        <f>IF($K719="","",IF(LEN($K719)-LEN(SUBSTITUTE($K719,",",""))=0,VLOOKUP(INT($K719),[3]Sheet1!$A:$C,3,0),VLOOKUP(INT(LEFT($K719,FIND(",",$K719)-1)),[3]Sheet1!$A:$C,3,0)))</f>
        <v>4|3|0.1|0|1</v>
      </c>
      <c r="M719" s="80" t="str">
        <f t="shared" si="75"/>
        <v>10%</v>
      </c>
      <c r="N719" s="45" t="str">
        <f>IF(LEN($K719)-LEN(SUBSTITUTE($K719,",",""))=1,VLOOKUP(INT(RIGHT($K719,LEN($K719)-FIND(",",$K719))),[3]Sheet1!$A:$C,3,0),"")</f>
        <v/>
      </c>
      <c r="O719" s="45" t="str">
        <f t="shared" si="72"/>
        <v/>
      </c>
      <c r="P719" s="45" t="str">
        <f t="shared" si="68"/>
        <v>进入战斗场景时，增加自身10%的闪避率</v>
      </c>
      <c r="Q719" s="45" t="str">
        <f t="shared" si="73"/>
        <v>进入战斗场景时，增加自身10%的闪避率</v>
      </c>
      <c r="R719" s="45"/>
      <c r="S719" s="45" t="str">
        <f>IF(ISERROR($Q719),"进阶+"&amp;COUNTIF($E$194:$E719,$E719)&amp;"："&amp;"找ZC配技能","进阶+"&amp;COUNTIF($E$194:$E719,$E719)&amp;"："&amp;VLOOKUP(COUNTIF($E$194:$E719,$E719),$L$184:$R$193,IF(H719=1,4,IF(H719=4,3,2))+IF(INDEX([1]Sheet1!$1:$1048576,MATCH($E719,[1]Sheet1!$A:$A,0),MATCH("zizhi",[1]Sheet1!$2:$2,0))&gt;=13,0,3),0)&amp;IF($Q719="","","（"&amp;$Q719&amp;"）"))</f>
        <v>进阶+2：激活被动技能（进入战斗场景时，增加自身10%的闪避率）</v>
      </c>
      <c r="T719" s="1"/>
      <c r="U719" s="1"/>
      <c r="V719" s="2" t="str">
        <f>VLOOKUP(COUNTIF($E$194:$E719,$E719),$L$184:$X$193,IF(H719=1,4,IF(H719=4,3,2))+IF(INDEX([1]Sheet1!$1:$1048576,MATCH($E719,[1]Sheet1!$A:$A,0),MATCH("zizhi",[1]Sheet1!$2:$2,0))&gt;=13,0,3)+6,0)</f>
        <v>[]</v>
      </c>
      <c r="W719" s="2" t="str">
        <f t="shared" si="71"/>
        <v>进阶+2：激活被动技能（进入战斗场景时，增加自身10%的闪避率）</v>
      </c>
      <c r="X719" s="45" t="str">
        <f t="shared" si="69"/>
        <v>[]</v>
      </c>
      <c r="Y719" s="2"/>
      <c r="Z719" s="2"/>
      <c r="AA719" s="2"/>
    </row>
    <row r="720" spans="1:27">
      <c r="A720" s="10">
        <f>E720*100+COUNTIF($E$194:$E720,$E720)</f>
        <v>113803</v>
      </c>
      <c r="B720" s="68" t="s">
        <v>312</v>
      </c>
      <c r="C720" s="50" t="s">
        <v>127</v>
      </c>
      <c r="D720" s="10" t="str">
        <f t="shared" si="74"/>
        <v>[]</v>
      </c>
      <c r="E720" s="45">
        <f>INDEX($I:$I,MATCH($E719,$I:$I,0)+IF(COUNTIF($E$194:$E719,$E719)&lt;=VLOOKUP($E719,$I$134:$K$193,3,0)-1,0,1),0)</f>
        <v>1138</v>
      </c>
      <c r="F720" s="45" t="str">
        <f t="shared" si="70"/>
        <v>玉面夫人</v>
      </c>
      <c r="H720" s="45">
        <f>VLOOKUP($E720,[1]Sheet1!$A:$G,7,0)</f>
        <v>3</v>
      </c>
      <c r="I720" s="45" t="str">
        <f>IF($G720="","",IF(COUNTIF(技能描述!$D:$D,$F720)&gt;0,VLOOKUP($F720&amp;$G720,技能描述!$A:$C,3,0),LEFT(VLOOKUP($E720,[1]Sheet1!$A:$J,10,0),FIND("_",VLOOKUP($E720,[1]Sheet1!$A:$J,10,0))-1)&amp;$G720))</f>
        <v/>
      </c>
      <c r="J720" s="45" t="str">
        <f>IF($I720="","",VLOOKUP($I720,技能描述!$A:$C,3,0))</f>
        <v/>
      </c>
      <c r="K720" s="45" t="str">
        <f>IF($I720="","",INDEX([2]Sheet1!$1:$1048576,MATCH($I720,[2]Sheet1!$A:$A,0),MATCH("description_damage",[2]Sheet1!$2:$2,0)))</f>
        <v/>
      </c>
      <c r="L720" s="80" t="str">
        <f>IF($K720="","",IF(LEN($K720)-LEN(SUBSTITUTE($K720,",",""))=0,VLOOKUP(INT($K720),[3]Sheet1!$A:$C,3,0),VLOOKUP(INT(LEFT($K720,FIND(",",$K720)-1)),[3]Sheet1!$A:$C,3,0)))</f>
        <v/>
      </c>
      <c r="M720" s="80" t="str">
        <f t="shared" si="75"/>
        <v/>
      </c>
      <c r="N720" s="45" t="str">
        <f>IF(LEN($K720)-LEN(SUBSTITUTE($K720,",",""))=1,VLOOKUP(INT(RIGHT($K720,LEN($K720)-FIND(",",$K720))),[3]Sheet1!$A:$C,3,0),"")</f>
        <v/>
      </c>
      <c r="O720" s="45" t="str">
        <f t="shared" si="72"/>
        <v/>
      </c>
      <c r="P720" s="45" t="str">
        <f t="shared" si="68"/>
        <v/>
      </c>
      <c r="Q720" s="45" t="str">
        <f t="shared" si="73"/>
        <v/>
      </c>
      <c r="R720" s="45"/>
      <c r="S720" s="45" t="str">
        <f>IF(ISERROR($Q720),"进阶+"&amp;COUNTIF($E$194:$E720,$E720)&amp;"："&amp;"找ZC配技能","进阶+"&amp;COUNTIF($E$194:$E720,$E720)&amp;"："&amp;VLOOKUP(COUNTIF($E$194:$E720,$E720),$L$184:$R$193,IF(H720=1,4,IF(H720=4,3,2))+IF(INDEX([1]Sheet1!$1:$1048576,MATCH($E720,[1]Sheet1!$A:$A,0),MATCH("zizhi",[1]Sheet1!$2:$2,0))&gt;=13,0,3),0)&amp;IF($Q720="","","（"&amp;$Q720&amp;"）"))</f>
        <v>进阶+3：攻击提高10%</v>
      </c>
      <c r="T720" s="1"/>
      <c r="U720" s="1"/>
      <c r="V720" s="2" t="str">
        <f>VLOOKUP(COUNTIF($E$194:$E720,$E720),$L$184:$X$193,IF(H720=1,4,IF(H720=4,3,2))+IF(INDEX([1]Sheet1!$1:$1048576,MATCH($E720,[1]Sheet1!$A:$A,0),MATCH("zizhi",[1]Sheet1!$2:$2,0))&gt;=13,0,3)+6,0)</f>
        <v>11050</v>
      </c>
      <c r="W720" s="2" t="str">
        <f t="shared" si="71"/>
        <v>进阶+3：攻击提高10%</v>
      </c>
      <c r="X720" s="45" t="str">
        <f t="shared" si="69"/>
        <v>11050</v>
      </c>
      <c r="Y720" s="2"/>
      <c r="Z720" s="2"/>
      <c r="AA720" s="2"/>
    </row>
    <row r="721" spans="1:27" ht="33">
      <c r="A721" s="10">
        <f>E721*100+COUNTIF($E$194:$E721,$E721)</f>
        <v>113804</v>
      </c>
      <c r="B721" s="68" t="s">
        <v>1897</v>
      </c>
      <c r="C721" s="50" t="s">
        <v>2</v>
      </c>
      <c r="D721" s="10">
        <f t="shared" si="74"/>
        <v>1</v>
      </c>
      <c r="E721" s="45">
        <f>INDEX($I:$I,MATCH($E720,$I:$I,0)+IF(COUNTIF($E$194:$E720,$E720)&lt;=VLOOKUP($E720,$I$134:$K$193,3,0)-1,0,1),0)</f>
        <v>1138</v>
      </c>
      <c r="F721" s="45" t="str">
        <f t="shared" si="70"/>
        <v>玉面夫人</v>
      </c>
      <c r="G721" s="45" t="s">
        <v>217</v>
      </c>
      <c r="H721" s="45">
        <f>VLOOKUP($E721,[1]Sheet1!$A:$G,7,0)</f>
        <v>3</v>
      </c>
      <c r="I721" s="45" t="str">
        <f>IF($G721="","",IF(COUNTIF(技能描述!$D:$D,$F721)&gt;0,VLOOKUP($F721&amp;$G721,技能描述!$A:$C,3,0),LEFT(VLOOKUP($E721,[1]Sheet1!$A:$J,10,0),FIND("_",VLOOKUP($E721,[1]Sheet1!$A:$J,10,0))-1)&amp;$G721))</f>
        <v>yumianfuren_skill04</v>
      </c>
      <c r="J721" s="45" t="str">
        <f>IF($I721="","",VLOOKUP($I721,技能描述!$A:$C,3,0))</f>
        <v>玉面夫人蓄力拉满弓，对目标发动致命一箭对命中目标造成自身攻击力@s的伤害,并击退对手</v>
      </c>
      <c r="K721" s="45" t="str">
        <f>IF($I721="","",INDEX([2]Sheet1!$1:$1048576,MATCH($I721,[2]Sheet1!$A:$A,0),MATCH("description_damage",[2]Sheet1!$2:$2,0)))</f>
        <v>113804</v>
      </c>
      <c r="L721" s="80" t="str">
        <f>IF($K721="","",IF(LEN($K721)-LEN(SUBSTITUTE($K721,",",""))=0,VLOOKUP(INT($K721),[3]Sheet1!$A:$C,3,0),VLOOKUP(INT(LEFT($K721,FIND(",",$K721)-1)),[3]Sheet1!$A:$C,3,0)))</f>
        <v>2|2|1.35|0|0|0</v>
      </c>
      <c r="M721" s="80" t="str">
        <f t="shared" si="75"/>
        <v>135%</v>
      </c>
      <c r="N721" s="45" t="str">
        <f>IF(LEN($K721)-LEN(SUBSTITUTE($K721,",",""))=1,VLOOKUP(INT(RIGHT($K721,LEN($K721)-FIND(",",$K721))),[3]Sheet1!$A:$C,3,0),"")</f>
        <v/>
      </c>
      <c r="O721" s="45" t="str">
        <f t="shared" si="72"/>
        <v/>
      </c>
      <c r="P721" s="45" t="str">
        <f t="shared" si="68"/>
        <v>玉面夫人蓄力拉满弓，对目标发动致命一箭对命中目标造成自身攻击力135%的伤害,并击退对手</v>
      </c>
      <c r="Q721" s="45" t="str">
        <f t="shared" si="73"/>
        <v>玉面夫人蓄力拉满弓，对目标发动致命一箭对命中目标造成自身攻击力135%的伤害,并击退对手</v>
      </c>
      <c r="R721" s="45"/>
      <c r="S721" s="45" t="str">
        <f>IF(ISERROR($Q721),"进阶+"&amp;COUNTIF($E$194:$E721,$E721)&amp;"："&amp;"找ZC配技能","进阶+"&amp;COUNTIF($E$194:$E721,$E721)&amp;"："&amp;VLOOKUP(COUNTIF($E$194:$E721,$E721),$L$184:$R$193,IF(H721=1,4,IF(H721=4,3,2))+IF(INDEX([1]Sheet1!$1:$1048576,MATCH($E721,[1]Sheet1!$A:$A,0),MATCH("zizhi",[1]Sheet1!$2:$2,0))&gt;=13,0,3),0)&amp;IF($Q721="","","（"&amp;$Q721&amp;"）"))</f>
        <v>进阶+4：激活AI2技能（玉面夫人蓄力拉满弓，对目标发动致命一箭对命中目标造成自身攻击力135%的伤害,并击退对手）</v>
      </c>
      <c r="T721" s="1"/>
      <c r="U721" s="1"/>
      <c r="V721" s="2" t="str">
        <f>VLOOKUP(COUNTIF($E$194:$E721,$E721),$L$184:$X$193,IF(H721=1,4,IF(H721=4,3,2))+IF(INDEX([1]Sheet1!$1:$1048576,MATCH($E721,[1]Sheet1!$A:$A,0),MATCH("zizhi",[1]Sheet1!$2:$2,0))&gt;=13,0,3)+6,0)</f>
        <v>[]</v>
      </c>
      <c r="W721" s="2" t="str">
        <f t="shared" si="71"/>
        <v>进阶+4：激活AI2技能（玉面夫人蓄力拉满弓，对目标发动致命一箭对命中目标造成自身攻击力135%的伤害,并击退对手）</v>
      </c>
      <c r="X721" s="45" t="str">
        <f t="shared" si="69"/>
        <v>[]</v>
      </c>
      <c r="Y721" s="2"/>
      <c r="Z721" s="2"/>
      <c r="AA721" s="2"/>
    </row>
    <row r="722" spans="1:27">
      <c r="A722" s="10">
        <f>E722*100+COUNTIF($E$194:$E722,$E722)</f>
        <v>113805</v>
      </c>
      <c r="B722" s="68" t="s">
        <v>323</v>
      </c>
      <c r="C722" s="50" t="s">
        <v>140</v>
      </c>
      <c r="D722" s="10" t="str">
        <f t="shared" si="74"/>
        <v>[]</v>
      </c>
      <c r="E722" s="45">
        <f>INDEX($I:$I,MATCH($E721,$I:$I,0)+IF(COUNTIF($E$194:$E721,$E721)&lt;=VLOOKUP($E721,$I$134:$K$193,3,0)-1,0,1),0)</f>
        <v>1138</v>
      </c>
      <c r="F722" s="45" t="str">
        <f t="shared" si="70"/>
        <v>玉面夫人</v>
      </c>
      <c r="H722" s="45">
        <f>VLOOKUP($E722,[1]Sheet1!$A:$G,7,0)</f>
        <v>3</v>
      </c>
      <c r="I722" s="45" t="str">
        <f>IF($G722="","",IF(COUNTIF(技能描述!$D:$D,$F722)&gt;0,VLOOKUP($F722&amp;$G722,技能描述!$A:$C,3,0),LEFT(VLOOKUP($E722,[1]Sheet1!$A:$J,10,0),FIND("_",VLOOKUP($E722,[1]Sheet1!$A:$J,10,0))-1)&amp;$G722))</f>
        <v/>
      </c>
      <c r="J722" s="45" t="str">
        <f>IF($I722="","",VLOOKUP($I722,技能描述!$A:$C,3,0))</f>
        <v/>
      </c>
      <c r="K722" s="45" t="str">
        <f>IF($I722="","",INDEX([2]Sheet1!$1:$1048576,MATCH($I722,[2]Sheet1!$A:$A,0),MATCH("description_damage",[2]Sheet1!$2:$2,0)))</f>
        <v/>
      </c>
      <c r="L722" s="80" t="str">
        <f>IF($K722="","",IF(LEN($K722)-LEN(SUBSTITUTE($K722,",",""))=0,VLOOKUP(INT($K722),[3]Sheet1!$A:$C,3,0),VLOOKUP(INT(LEFT($K722,FIND(",",$K722)-1)),[3]Sheet1!$A:$C,3,0)))</f>
        <v/>
      </c>
      <c r="M722" s="80" t="str">
        <f t="shared" si="75"/>
        <v/>
      </c>
      <c r="N722" s="45" t="str">
        <f>IF(LEN($K722)-LEN(SUBSTITUTE($K722,",",""))=1,VLOOKUP(INT(RIGHT($K722,LEN($K722)-FIND(",",$K722))),[3]Sheet1!$A:$C,3,0),"")</f>
        <v/>
      </c>
      <c r="O722" s="45" t="str">
        <f t="shared" si="72"/>
        <v/>
      </c>
      <c r="P722" s="45" t="str">
        <f t="shared" si="68"/>
        <v/>
      </c>
      <c r="Q722" s="45" t="str">
        <f t="shared" si="73"/>
        <v/>
      </c>
      <c r="R722" s="45"/>
      <c r="S722" s="45" t="str">
        <f>IF(ISERROR($Q722),"进阶+"&amp;COUNTIF($E$194:$E722,$E722)&amp;"："&amp;"找ZC配技能","进阶+"&amp;COUNTIF($E$194:$E722,$E722)&amp;"："&amp;VLOOKUP(COUNTIF($E$194:$E722,$E722),$L$184:$R$193,IF(H722=1,4,IF(H722=4,3,2))+IF(INDEX([1]Sheet1!$1:$1048576,MATCH($E722,[1]Sheet1!$A:$A,0),MATCH("zizhi",[1]Sheet1!$2:$2,0))&gt;=13,0,3),0)&amp;IF($Q722="","","（"&amp;$Q722&amp;"）"))</f>
        <v>进阶+5：生命，防御提高10%</v>
      </c>
      <c r="T722" s="1"/>
      <c r="U722" s="1"/>
      <c r="V722" s="2" t="str">
        <f>VLOOKUP(COUNTIF($E$194:$E722,$E722),$L$184:$X$193,IF(H722=1,4,IF(H722=4,3,2))+IF(INDEX([1]Sheet1!$1:$1048576,MATCH($E722,[1]Sheet1!$A:$A,0),MATCH("zizhi",[1]Sheet1!$2:$2,0))&gt;=13,0,3)+6,0)</f>
        <v>11090,6502,6512</v>
      </c>
      <c r="W722" s="2" t="str">
        <f t="shared" si="71"/>
        <v>进阶+5：生命，防御提高10%</v>
      </c>
      <c r="X722" s="45" t="str">
        <f t="shared" si="69"/>
        <v>11090,6502,6512</v>
      </c>
      <c r="Y722" s="2"/>
      <c r="Z722" s="2"/>
      <c r="AA722" s="2"/>
    </row>
    <row r="723" spans="1:27">
      <c r="A723" s="10">
        <f>E723*100+COUNTIF($E$194:$E723,$E723)</f>
        <v>113806</v>
      </c>
      <c r="B723" s="68" t="s">
        <v>314</v>
      </c>
      <c r="C723" s="50" t="s">
        <v>241</v>
      </c>
      <c r="D723" s="10" t="str">
        <f t="shared" si="74"/>
        <v>[]</v>
      </c>
      <c r="E723" s="45">
        <f>INDEX($I:$I,MATCH($E722,$I:$I,0)+IF(COUNTIF($E$194:$E722,$E722)&lt;=VLOOKUP($E722,$I$134:$K$193,3,0)-1,0,1),0)</f>
        <v>1138</v>
      </c>
      <c r="F723" s="45" t="str">
        <f t="shared" si="70"/>
        <v>玉面夫人</v>
      </c>
      <c r="H723" s="45">
        <f>VLOOKUP($E723,[1]Sheet1!$A:$G,7,0)</f>
        <v>3</v>
      </c>
      <c r="I723" s="45" t="str">
        <f>IF($G723="","",IF(COUNTIF(技能描述!$D:$D,$F723)&gt;0,VLOOKUP($F723&amp;$G723,技能描述!$A:$C,3,0),LEFT(VLOOKUP($E723,[1]Sheet1!$A:$J,10,0),FIND("_",VLOOKUP($E723,[1]Sheet1!$A:$J,10,0))-1)&amp;$G723))</f>
        <v/>
      </c>
      <c r="J723" s="45" t="str">
        <f>IF($I723="","",VLOOKUP($I723,技能描述!$A:$C,3,0))</f>
        <v/>
      </c>
      <c r="K723" s="45" t="str">
        <f>IF($I723="","",INDEX([2]Sheet1!$1:$1048576,MATCH($I723,[2]Sheet1!$A:$A,0),MATCH("description_damage",[2]Sheet1!$2:$2,0)))</f>
        <v/>
      </c>
      <c r="L723" s="80" t="str">
        <f>IF($K723="","",IF(LEN($K723)-LEN(SUBSTITUTE($K723,",",""))=0,VLOOKUP(INT($K723),[3]Sheet1!$A:$C,3,0),VLOOKUP(INT(LEFT($K723,FIND(",",$K723)-1)),[3]Sheet1!$A:$C,3,0)))</f>
        <v/>
      </c>
      <c r="M723" s="80" t="str">
        <f t="shared" si="75"/>
        <v/>
      </c>
      <c r="N723" s="45" t="str">
        <f>IF(LEN($K723)-LEN(SUBSTITUTE($K723,",",""))=1,VLOOKUP(INT(RIGHT($K723,LEN($K723)-FIND(",",$K723))),[3]Sheet1!$A:$C,3,0),"")</f>
        <v/>
      </c>
      <c r="O723" s="45" t="str">
        <f t="shared" si="72"/>
        <v/>
      </c>
      <c r="P723" s="45" t="str">
        <f t="shared" si="68"/>
        <v/>
      </c>
      <c r="Q723" s="45" t="str">
        <f t="shared" si="73"/>
        <v/>
      </c>
      <c r="R723" s="45"/>
      <c r="S723" s="45" t="str">
        <f>IF(ISERROR($Q723),"进阶+"&amp;COUNTIF($E$194:$E723,$E723)&amp;"："&amp;"找ZC配技能","进阶+"&amp;COUNTIF($E$194:$E723,$E723)&amp;"："&amp;VLOOKUP(COUNTIF($E$194:$E723,$E723),$L$184:$R$193,IF(H723=1,4,IF(H723=4,3,2))+IF(INDEX([1]Sheet1!$1:$1048576,MATCH($E723,[1]Sheet1!$A:$A,0),MATCH("zizhi",[1]Sheet1!$2:$2,0))&gt;=13,0,3),0)&amp;IF($Q723="","","（"&amp;$Q723&amp;"）"))</f>
        <v>进阶+6：暴击提高20%</v>
      </c>
      <c r="T723" s="1"/>
      <c r="U723" s="1"/>
      <c r="V723" s="2" t="str">
        <f>VLOOKUP(COUNTIF($E$194:$E723,$E723),$L$184:$X$193,IF(H723=1,4,IF(H723=4,3,2))+IF(INDEX([1]Sheet1!$1:$1048576,MATCH($E723,[1]Sheet1!$A:$A,0),MATCH("zizhi",[1]Sheet1!$2:$2,0))&gt;=13,0,3)+6,0)</f>
        <v>11080</v>
      </c>
      <c r="W723" s="2" t="str">
        <f t="shared" si="71"/>
        <v>进阶+6：暴击提高20%</v>
      </c>
      <c r="X723" s="45" t="str">
        <f t="shared" si="69"/>
        <v>11080</v>
      </c>
      <c r="Y723" s="2"/>
      <c r="Z723" s="2"/>
      <c r="AA723" s="2"/>
    </row>
    <row r="724" spans="1:27">
      <c r="A724" s="10">
        <f>E724*100+COUNTIF($E$194:$E724,$E724)</f>
        <v>113807</v>
      </c>
      <c r="B724" s="68" t="s">
        <v>359</v>
      </c>
      <c r="C724" s="50" t="s">
        <v>353</v>
      </c>
      <c r="D724" s="10" t="str">
        <f t="shared" si="74"/>
        <v>[]</v>
      </c>
      <c r="E724" s="45">
        <f>INDEX($I:$I,MATCH($E723,$I:$I,0)+IF(COUNTIF($E$194:$E723,$E723)&lt;=VLOOKUP($E723,$I$134:$K$193,3,0)-1,0,1),0)</f>
        <v>1138</v>
      </c>
      <c r="F724" s="45" t="str">
        <f t="shared" si="70"/>
        <v>玉面夫人</v>
      </c>
      <c r="H724" s="45">
        <f>VLOOKUP($E724,[1]Sheet1!$A:$G,7,0)</f>
        <v>3</v>
      </c>
      <c r="I724" s="45" t="str">
        <f>IF($G724="","",IF(COUNTIF(技能描述!$D:$D,$F724)&gt;0,VLOOKUP($F724&amp;$G724,技能描述!$A:$C,3,0),LEFT(VLOOKUP($E724,[1]Sheet1!$A:$J,10,0),FIND("_",VLOOKUP($E724,[1]Sheet1!$A:$J,10,0))-1)&amp;$G724))</f>
        <v/>
      </c>
      <c r="J724" s="45" t="str">
        <f>IF($I724="","",VLOOKUP($I724,技能描述!$A:$C,3,0))</f>
        <v/>
      </c>
      <c r="K724" s="45" t="str">
        <f>IF($I724="","",INDEX([2]Sheet1!$1:$1048576,MATCH($I724,[2]Sheet1!$A:$A,0),MATCH("description_damage",[2]Sheet1!$2:$2,0)))</f>
        <v/>
      </c>
      <c r="L724" s="80" t="str">
        <f>IF($K724="","",IF(LEN($K724)-LEN(SUBSTITUTE($K724,",",""))=0,VLOOKUP(INT($K724),[3]Sheet1!$A:$C,3,0),VLOOKUP(INT(LEFT($K724,FIND(",",$K724)-1)),[3]Sheet1!$A:$C,3,0)))</f>
        <v/>
      </c>
      <c r="M724" s="80" t="str">
        <f t="shared" si="75"/>
        <v/>
      </c>
      <c r="N724" s="45" t="str">
        <f>IF(LEN($K724)-LEN(SUBSTITUTE($K724,",",""))=1,VLOOKUP(INT(RIGHT($K724,LEN($K724)-FIND(",",$K724))),[3]Sheet1!$A:$C,3,0),"")</f>
        <v/>
      </c>
      <c r="O724" s="45" t="str">
        <f t="shared" si="72"/>
        <v/>
      </c>
      <c r="P724" s="45" t="str">
        <f t="shared" si="68"/>
        <v/>
      </c>
      <c r="Q724" s="45" t="str">
        <f t="shared" si="73"/>
        <v/>
      </c>
      <c r="R724" s="45"/>
      <c r="S724" s="45" t="str">
        <f>IF(ISERROR($Q724),"进阶+"&amp;COUNTIF($E$194:$E724,$E724)&amp;"："&amp;"找ZC配技能","进阶+"&amp;COUNTIF($E$194:$E724,$E724)&amp;"："&amp;VLOOKUP(COUNTIF($E$194:$E724,$E724),$L$184:$R$193,IF(H724=1,4,IF(H724=4,3,2))+IF(INDEX([1]Sheet1!$1:$1048576,MATCH($E724,[1]Sheet1!$A:$A,0),MATCH("zizhi",[1]Sheet1!$2:$2,0))&gt;=13,0,3),0)&amp;IF($Q724="","","（"&amp;$Q724&amp;"）"))</f>
        <v>进阶+7：全队攻击提高10%</v>
      </c>
      <c r="T724" s="1"/>
      <c r="U724" s="1"/>
      <c r="V724" s="2" t="str">
        <f>VLOOKUP(COUNTIF($E$194:$E724,$E724),$L$184:$X$193,IF(H724=1,4,IF(H724=4,3,2))+IF(INDEX([1]Sheet1!$1:$1048576,MATCH($E724,[1]Sheet1!$A:$A,0),MATCH("zizhi",[1]Sheet1!$2:$2,0))&gt;=13,0,3)+6,0)</f>
        <v>58010</v>
      </c>
      <c r="W724" s="2" t="str">
        <f t="shared" si="71"/>
        <v>进阶+7：全队攻击提高10%</v>
      </c>
      <c r="X724" s="45" t="str">
        <f t="shared" si="69"/>
        <v>58010</v>
      </c>
      <c r="Y724" s="2"/>
      <c r="Z724" s="2"/>
      <c r="AA724" s="2"/>
    </row>
    <row r="725" spans="1:27">
      <c r="A725" s="10">
        <f>E725*100+COUNTIF($E$194:$E725,$E725)</f>
        <v>113808</v>
      </c>
      <c r="B725" s="68" t="s">
        <v>316</v>
      </c>
      <c r="C725" s="50" t="s">
        <v>153</v>
      </c>
      <c r="D725" s="10" t="str">
        <f t="shared" si="74"/>
        <v>[]</v>
      </c>
      <c r="E725" s="45">
        <f>INDEX($I:$I,MATCH($E724,$I:$I,0)+IF(COUNTIF($E$194:$E724,$E724)&lt;=VLOOKUP($E724,$I$134:$K$193,3,0)-1,0,1),0)</f>
        <v>1138</v>
      </c>
      <c r="F725" s="45" t="str">
        <f t="shared" si="70"/>
        <v>玉面夫人</v>
      </c>
      <c r="H725" s="45">
        <f>VLOOKUP($E725,[1]Sheet1!$A:$G,7,0)</f>
        <v>3</v>
      </c>
      <c r="I725" s="45" t="str">
        <f>IF($G725="","",IF(COUNTIF(技能描述!$D:$D,$F725)&gt;0,VLOOKUP($F725&amp;$G725,技能描述!$A:$C,3,0),LEFT(VLOOKUP($E725,[1]Sheet1!$A:$J,10,0),FIND("_",VLOOKUP($E725,[1]Sheet1!$A:$J,10,0))-1)&amp;$G725))</f>
        <v/>
      </c>
      <c r="J725" s="45" t="str">
        <f>IF($I725="","",VLOOKUP($I725,技能描述!$A:$C,3,0))</f>
        <v/>
      </c>
      <c r="K725" s="45" t="str">
        <f>IF($I725="","",INDEX([2]Sheet1!$1:$1048576,MATCH($I725,[2]Sheet1!$A:$A,0),MATCH("description_damage",[2]Sheet1!$2:$2,0)))</f>
        <v/>
      </c>
      <c r="L725" s="80" t="str">
        <f>IF($K725="","",IF(LEN($K725)-LEN(SUBSTITUTE($K725,",",""))=0,VLOOKUP(INT($K725),[3]Sheet1!$A:$C,3,0),VLOOKUP(INT(LEFT($K725,FIND(",",$K725)-1)),[3]Sheet1!$A:$C,3,0)))</f>
        <v/>
      </c>
      <c r="M725" s="80" t="str">
        <f t="shared" si="75"/>
        <v/>
      </c>
      <c r="N725" s="45" t="str">
        <f>IF(LEN($K725)-LEN(SUBSTITUTE($K725,",",""))=1,VLOOKUP(INT(RIGHT($K725,LEN($K725)-FIND(",",$K725))),[3]Sheet1!$A:$C,3,0),"")</f>
        <v/>
      </c>
      <c r="O725" s="45" t="str">
        <f t="shared" si="72"/>
        <v/>
      </c>
      <c r="P725" s="45" t="str">
        <f t="shared" si="68"/>
        <v/>
      </c>
      <c r="Q725" s="45" t="str">
        <f t="shared" si="73"/>
        <v/>
      </c>
      <c r="R725" s="45"/>
      <c r="S725" s="45" t="str">
        <f>IF(ISERROR($Q725),"进阶+"&amp;COUNTIF($E$194:$E725,$E725)&amp;"："&amp;"找ZC配技能","进阶+"&amp;COUNTIF($E$194:$E725,$E725)&amp;"："&amp;VLOOKUP(COUNTIF($E$194:$E725,$E725),$L$184:$R$193,IF(H725=1,4,IF(H725=4,3,2))+IF(INDEX([1]Sheet1!$1:$1048576,MATCH($E725,[1]Sheet1!$A:$A,0),MATCH("zizhi",[1]Sheet1!$2:$2,0))&gt;=13,0,3),0)&amp;IF($Q725="","","（"&amp;$Q725&amp;"）"))</f>
        <v>进阶+8：命中提高15%</v>
      </c>
      <c r="T725" s="1"/>
      <c r="U725" s="1"/>
      <c r="V725" s="2" t="str">
        <f>VLOOKUP(COUNTIF($E$194:$E725,$E725),$L$184:$X$193,IF(H725=1,4,IF(H725=4,3,2))+IF(INDEX([1]Sheet1!$1:$1048576,MATCH($E725,[1]Sheet1!$A:$A,0),MATCH("zizhi",[1]Sheet1!$2:$2,0))&gt;=13,0,3)+6,0)</f>
        <v>11035</v>
      </c>
      <c r="W725" s="2" t="str">
        <f t="shared" si="71"/>
        <v>进阶+8：命中提高15%</v>
      </c>
      <c r="X725" s="45" t="str">
        <f t="shared" si="69"/>
        <v>11035</v>
      </c>
      <c r="Y725" s="2"/>
      <c r="Z725" s="2"/>
      <c r="AA725" s="2"/>
    </row>
    <row r="726" spans="1:27">
      <c r="A726" s="10">
        <f>E726*100+COUNTIF($E$194:$E726,$E726)</f>
        <v>115201</v>
      </c>
      <c r="B726" s="68" t="s">
        <v>319</v>
      </c>
      <c r="C726" s="50">
        <v>11090</v>
      </c>
      <c r="D726" s="10" t="str">
        <f t="shared" si="74"/>
        <v>[]</v>
      </c>
      <c r="E726" s="45">
        <f>INDEX($I:$I,MATCH($E725,$I:$I,0)+IF(COUNTIF($E$194:$E725,$E725)&lt;=VLOOKUP($E725,$I$134:$K$193,3,0)-1,0,1),0)</f>
        <v>1152</v>
      </c>
      <c r="F726" s="45" t="str">
        <f t="shared" si="70"/>
        <v>黑熊精</v>
      </c>
      <c r="H726" s="45">
        <f>VLOOKUP($E726,[1]Sheet1!$A:$G,7,0)</f>
        <v>4</v>
      </c>
      <c r="I726" s="45" t="str">
        <f>IF($G726="","",IF(COUNTIF(技能描述!$D:$D,$F726)&gt;0,VLOOKUP($F726&amp;$G726,技能描述!$A:$C,3,0),LEFT(VLOOKUP($E726,[1]Sheet1!$A:$J,10,0),FIND("_",VLOOKUP($E726,[1]Sheet1!$A:$J,10,0))-1)&amp;$G726))</f>
        <v/>
      </c>
      <c r="J726" s="45" t="str">
        <f>IF($I726="","",VLOOKUP($I726,技能描述!$A:$C,3,0))</f>
        <v/>
      </c>
      <c r="K726" s="45" t="str">
        <f>IF($I726="","",INDEX([2]Sheet1!$1:$1048576,MATCH($I726,[2]Sheet1!$A:$A,0),MATCH("description_damage",[2]Sheet1!$2:$2,0)))</f>
        <v/>
      </c>
      <c r="L726" s="80" t="str">
        <f>IF($K726="","",IF(LEN($K726)-LEN(SUBSTITUTE($K726,",",""))=0,VLOOKUP(INT($K726),[3]Sheet1!$A:$C,3,0),VLOOKUP(INT(LEFT($K726,FIND(",",$K726)-1)),[3]Sheet1!$A:$C,3,0)))</f>
        <v/>
      </c>
      <c r="M726" s="80" t="str">
        <f t="shared" si="75"/>
        <v/>
      </c>
      <c r="N726" s="45" t="str">
        <f>IF(LEN($K726)-LEN(SUBSTITUTE($K726,",",""))=1,VLOOKUP(INT(RIGHT($K726,LEN($K726)-FIND(",",$K726))),[3]Sheet1!$A:$C,3,0),"")</f>
        <v/>
      </c>
      <c r="O726" s="45" t="str">
        <f t="shared" si="72"/>
        <v/>
      </c>
      <c r="P726" s="45" t="str">
        <f t="shared" si="68"/>
        <v/>
      </c>
      <c r="Q726" s="45" t="str">
        <f t="shared" si="73"/>
        <v/>
      </c>
      <c r="R726" s="45"/>
      <c r="S726" s="45" t="str">
        <f>IF(ISERROR($Q726),"进阶+"&amp;COUNTIF($E$194:$E726,$E726)&amp;"："&amp;"找ZC配技能","进阶+"&amp;COUNTIF($E$194:$E726,$E726)&amp;"："&amp;VLOOKUP(COUNTIF($E$194:$E726,$E726),$L$184:$R$193,IF(H726=1,4,IF(H726=4,3,2))+IF(INDEX([1]Sheet1!$1:$1048576,MATCH($E726,[1]Sheet1!$A:$A,0),MATCH("zizhi",[1]Sheet1!$2:$2,0))&gt;=13,0,3),0)&amp;IF($Q726="","","（"&amp;$Q726&amp;"）"))</f>
        <v>进阶+1：生命提高10%</v>
      </c>
      <c r="T726" s="1"/>
      <c r="U726" s="1"/>
      <c r="V726" s="2">
        <f>VLOOKUP(COUNTIF($E$194:$E726,$E726),$L$184:$X$193,IF(H726=1,4,IF(H726=4,3,2))+IF(INDEX([1]Sheet1!$1:$1048576,MATCH($E726,[1]Sheet1!$A:$A,0),MATCH("zizhi",[1]Sheet1!$2:$2,0))&gt;=13,0,3)+6,0)</f>
        <v>11090</v>
      </c>
      <c r="W726" s="2" t="str">
        <f t="shared" si="71"/>
        <v>进阶+1：生命提高10%</v>
      </c>
      <c r="X726" s="45">
        <f t="shared" si="69"/>
        <v>11090</v>
      </c>
      <c r="Y726" s="2"/>
      <c r="Z726" s="2"/>
      <c r="AA726" s="2"/>
    </row>
    <row r="727" spans="1:27">
      <c r="A727" s="10">
        <f>E727*100+COUNTIF($E$194:$E727,$E727)</f>
        <v>115202</v>
      </c>
      <c r="B727" s="68" t="s">
        <v>369</v>
      </c>
      <c r="C727" s="50" t="s">
        <v>2</v>
      </c>
      <c r="D727" s="10">
        <f t="shared" si="74"/>
        <v>1</v>
      </c>
      <c r="E727" s="45">
        <f>INDEX($I:$I,MATCH($E726,$I:$I,0)+IF(COUNTIF($E$194:$E726,$E726)&lt;=VLOOKUP($E726,$I$134:$K$193,3,0)-1,0,1),0)</f>
        <v>1152</v>
      </c>
      <c r="F727" s="45" t="str">
        <f t="shared" si="70"/>
        <v>黑熊精</v>
      </c>
      <c r="G727" s="45" t="s">
        <v>216</v>
      </c>
      <c r="H727" s="45">
        <f>VLOOKUP($E727,[1]Sheet1!$A:$G,7,0)</f>
        <v>4</v>
      </c>
      <c r="I727" s="45" t="str">
        <f>IF($G727="","",IF(COUNTIF(技能描述!$D:$D,$F727)&gt;0,VLOOKUP($F727&amp;$G727,技能描述!$A:$C,3,0),LEFT(VLOOKUP($E727,[1]Sheet1!$A:$J,10,0),FIND("_",VLOOKUP($E727,[1]Sheet1!$A:$J,10,0))-1)&amp;$G727))</f>
        <v>saitaisui_skill03</v>
      </c>
      <c r="J727" s="45" t="str">
        <f>IF($I727="","",VLOOKUP($I727,技能描述!$A:$C,3,0))</f>
        <v>进入战斗场景时，增加自身@s的闪避率</v>
      </c>
      <c r="K727" s="45" t="str">
        <f>IF($I727="","",INDEX([2]Sheet1!$1:$1048576,MATCH($I727,[2]Sheet1!$A:$A,0),MATCH("description_damage",[2]Sheet1!$2:$2,0)))</f>
        <v>9010</v>
      </c>
      <c r="L727" s="80" t="str">
        <f>IF($K727="","",IF(LEN($K727)-LEN(SUBSTITUTE($K727,",",""))=0,VLOOKUP(INT($K727),[3]Sheet1!$A:$C,3,0),VLOOKUP(INT(LEFT($K727,FIND(",",$K727)-1)),[3]Sheet1!$A:$C,3,0)))</f>
        <v>4|3|0.1|0|1</v>
      </c>
      <c r="M727" s="80" t="str">
        <f t="shared" si="75"/>
        <v>10%</v>
      </c>
      <c r="N727" s="45" t="str">
        <f>IF(LEN($K727)-LEN(SUBSTITUTE($K727,",",""))=1,VLOOKUP(INT(RIGHT($K727,LEN($K727)-FIND(",",$K727))),[3]Sheet1!$A:$C,3,0),"")</f>
        <v/>
      </c>
      <c r="O727" s="45" t="str">
        <f t="shared" si="72"/>
        <v/>
      </c>
      <c r="P727" s="45" t="str">
        <f t="shared" si="68"/>
        <v>进入战斗场景时，增加自身10%的闪避率</v>
      </c>
      <c r="Q727" s="45" t="str">
        <f t="shared" si="73"/>
        <v>进入战斗场景时，增加自身10%的闪避率</v>
      </c>
      <c r="R727" s="45"/>
      <c r="S727" s="45" t="str">
        <f>IF(ISERROR($Q727),"进阶+"&amp;COUNTIF($E$194:$E727,$E727)&amp;"："&amp;"找ZC配技能","进阶+"&amp;COUNTIF($E$194:$E727,$E727)&amp;"："&amp;VLOOKUP(COUNTIF($E$194:$E727,$E727),$L$184:$R$193,IF(H727=1,4,IF(H727=4,3,2))+IF(INDEX([1]Sheet1!$1:$1048576,MATCH($E727,[1]Sheet1!$A:$A,0),MATCH("zizhi",[1]Sheet1!$2:$2,0))&gt;=13,0,3),0)&amp;IF($Q727="","","（"&amp;$Q727&amp;"）"))</f>
        <v>进阶+2：激活被动技能（进入战斗场景时，增加自身10%的闪避率）</v>
      </c>
      <c r="T727" s="1"/>
      <c r="U727" s="1"/>
      <c r="V727" s="2" t="str">
        <f>VLOOKUP(COUNTIF($E$194:$E727,$E727),$L$184:$X$193,IF(H727=1,4,IF(H727=4,3,2))+IF(INDEX([1]Sheet1!$1:$1048576,MATCH($E727,[1]Sheet1!$A:$A,0),MATCH("zizhi",[1]Sheet1!$2:$2,0))&gt;=13,0,3)+6,0)</f>
        <v>[]</v>
      </c>
      <c r="W727" s="2" t="str">
        <f t="shared" si="71"/>
        <v>进阶+2：激活被动技能（进入战斗场景时，增加自身10%的闪避率）</v>
      </c>
      <c r="X727" s="45" t="str">
        <f t="shared" si="69"/>
        <v>[]</v>
      </c>
      <c r="Y727" s="2"/>
      <c r="Z727" s="2"/>
      <c r="AA727" s="2"/>
    </row>
    <row r="728" spans="1:27">
      <c r="A728" s="10">
        <f>E728*100+COUNTIF($E$194:$E728,$E728)</f>
        <v>115203</v>
      </c>
      <c r="B728" s="68" t="s">
        <v>324</v>
      </c>
      <c r="C728" s="50" t="s">
        <v>140</v>
      </c>
      <c r="D728" s="10" t="str">
        <f t="shared" si="74"/>
        <v>[]</v>
      </c>
      <c r="E728" s="45">
        <f>INDEX($I:$I,MATCH($E727,$I:$I,0)+IF(COUNTIF($E$194:$E727,$E727)&lt;=VLOOKUP($E727,$I$134:$K$193,3,0)-1,0,1),0)</f>
        <v>1152</v>
      </c>
      <c r="F728" s="45" t="str">
        <f t="shared" si="70"/>
        <v>黑熊精</v>
      </c>
      <c r="H728" s="45">
        <f>VLOOKUP($E728,[1]Sheet1!$A:$G,7,0)</f>
        <v>4</v>
      </c>
      <c r="I728" s="45" t="str">
        <f>IF($G728="","",IF(COUNTIF(技能描述!$D:$D,$F728)&gt;0,VLOOKUP($F728&amp;$G728,技能描述!$A:$C,3,0),LEFT(VLOOKUP($E728,[1]Sheet1!$A:$J,10,0),FIND("_",VLOOKUP($E728,[1]Sheet1!$A:$J,10,0))-1)&amp;$G728))</f>
        <v/>
      </c>
      <c r="J728" s="45" t="str">
        <f>IF($I728="","",VLOOKUP($I728,技能描述!$A:$C,3,0))</f>
        <v/>
      </c>
      <c r="K728" s="45" t="str">
        <f>IF($I728="","",INDEX([2]Sheet1!$1:$1048576,MATCH($I728,[2]Sheet1!$A:$A,0),MATCH("description_damage",[2]Sheet1!$2:$2,0)))</f>
        <v/>
      </c>
      <c r="L728" s="80" t="str">
        <f>IF($K728="","",IF(LEN($K728)-LEN(SUBSTITUTE($K728,",",""))=0,VLOOKUP(INT($K728),[3]Sheet1!$A:$C,3,0),VLOOKUP(INT(LEFT($K728,FIND(",",$K728)-1)),[3]Sheet1!$A:$C,3,0)))</f>
        <v/>
      </c>
      <c r="M728" s="80" t="str">
        <f t="shared" si="75"/>
        <v/>
      </c>
      <c r="N728" s="45" t="str">
        <f>IF(LEN($K728)-LEN(SUBSTITUTE($K728,",",""))=1,VLOOKUP(INT(RIGHT($K728,LEN($K728)-FIND(",",$K728))),[3]Sheet1!$A:$C,3,0),"")</f>
        <v/>
      </c>
      <c r="O728" s="45" t="str">
        <f t="shared" si="72"/>
        <v/>
      </c>
      <c r="P728" s="45" t="str">
        <f t="shared" si="68"/>
        <v/>
      </c>
      <c r="Q728" s="45" t="str">
        <f t="shared" si="73"/>
        <v/>
      </c>
      <c r="R728" s="45"/>
      <c r="S728" s="45" t="str">
        <f>IF(ISERROR($Q728),"进阶+"&amp;COUNTIF($E$194:$E728,$E728)&amp;"："&amp;"找ZC配技能","进阶+"&amp;COUNTIF($E$194:$E728,$E728)&amp;"："&amp;VLOOKUP(COUNTIF($E$194:$E728,$E728),$L$184:$R$193,IF(H728=1,4,IF(H728=4,3,2))+IF(INDEX([1]Sheet1!$1:$1048576,MATCH($E728,[1]Sheet1!$A:$A,0),MATCH("zizhi",[1]Sheet1!$2:$2,0))&gt;=13,0,3),0)&amp;IF($Q728="","","（"&amp;$Q728&amp;"）"))</f>
        <v>进阶+3：生命，防御提高10%</v>
      </c>
      <c r="T728" s="1"/>
      <c r="U728" s="1"/>
      <c r="V728" s="2" t="str">
        <f>VLOOKUP(COUNTIF($E$194:$E728,$E728),$L$184:$X$193,IF(H728=1,4,IF(H728=4,3,2))+IF(INDEX([1]Sheet1!$1:$1048576,MATCH($E728,[1]Sheet1!$A:$A,0),MATCH("zizhi",[1]Sheet1!$2:$2,0))&gt;=13,0,3)+6,0)</f>
        <v>11090,6502,6512</v>
      </c>
      <c r="W728" s="2" t="str">
        <f t="shared" si="71"/>
        <v>进阶+3：生命，防御提高10%</v>
      </c>
      <c r="X728" s="45" t="str">
        <f t="shared" si="69"/>
        <v>11090,6502,6512</v>
      </c>
      <c r="Y728" s="2"/>
      <c r="Z728" s="2"/>
      <c r="AA728" s="2"/>
    </row>
    <row r="729" spans="1:27" ht="33">
      <c r="A729" s="10">
        <f>E729*100+COUNTIF($E$194:$E729,$E729)</f>
        <v>115204</v>
      </c>
      <c r="B729" s="68" t="s">
        <v>1893</v>
      </c>
      <c r="C729" s="50" t="s">
        <v>2</v>
      </c>
      <c r="D729" s="10">
        <f t="shared" si="74"/>
        <v>1</v>
      </c>
      <c r="E729" s="45">
        <f>INDEX($I:$I,MATCH($E728,$I:$I,0)+IF(COUNTIF($E$194:$E728,$E728)&lt;=VLOOKUP($E728,$I$134:$K$193,3,0)-1,0,1),0)</f>
        <v>1152</v>
      </c>
      <c r="F729" s="45" t="str">
        <f t="shared" si="70"/>
        <v>黑熊精</v>
      </c>
      <c r="G729" s="45" t="s">
        <v>217</v>
      </c>
      <c r="H729" s="45">
        <f>VLOOKUP($E729,[1]Sheet1!$A:$G,7,0)</f>
        <v>4</v>
      </c>
      <c r="I729" s="45" t="str">
        <f>IF($G729="","",IF(COUNTIF(技能描述!$D:$D,$F729)&gt;0,VLOOKUP($F729&amp;$G729,技能描述!$A:$C,3,0),LEFT(VLOOKUP($E729,[1]Sheet1!$A:$J,10,0),FIND("_",VLOOKUP($E729,[1]Sheet1!$A:$J,10,0))-1)&amp;$G729))</f>
        <v>saitaisui_skill04</v>
      </c>
      <c r="J729" s="45" t="str">
        <f>IF($I729="","",VLOOKUP($I729,技能描述!$A:$C,3,0))</f>
        <v>赛太岁释放火法，对前方目标造成自身攻击力@s的伤害</v>
      </c>
      <c r="K729" s="45" t="str">
        <f>IF($I729="","",INDEX([2]Sheet1!$1:$1048576,MATCH($I729,[2]Sheet1!$A:$A,0),MATCH("description_damage",[2]Sheet1!$2:$2,0)))</f>
        <v>112804</v>
      </c>
      <c r="L729" s="80" t="str">
        <f>IF($K729="","",IF(LEN($K729)-LEN(SUBSTITUTE($K729,",",""))=0,VLOOKUP(INT($K729),[3]Sheet1!$A:$C,3,0),VLOOKUP(INT(LEFT($K729,FIND(",",$K729)-1)),[3]Sheet1!$A:$C,3,0)))</f>
        <v>2|2|0.45|0|0|0</v>
      </c>
      <c r="M729" s="80" t="str">
        <f t="shared" si="75"/>
        <v>45%</v>
      </c>
      <c r="N729" s="45" t="str">
        <f>IF(LEN($K729)-LEN(SUBSTITUTE($K729,",",""))=1,VLOOKUP(INT(RIGHT($K729,LEN($K729)-FIND(",",$K729))),[3]Sheet1!$A:$C,3,0),"")</f>
        <v/>
      </c>
      <c r="O729" s="45" t="str">
        <f t="shared" si="72"/>
        <v/>
      </c>
      <c r="P729" s="45" t="str">
        <f t="shared" si="68"/>
        <v>赛太岁释放火法，对前方目标造成自身攻击力45%的伤害</v>
      </c>
      <c r="Q729" s="45" t="str">
        <f t="shared" si="73"/>
        <v>赛太岁释放火法，对前方目标造成自身攻击力45%的伤害</v>
      </c>
      <c r="R729" s="45"/>
      <c r="S729" s="45" t="str">
        <f>IF(ISERROR($Q729),"进阶+"&amp;COUNTIF($E$194:$E729,$E729)&amp;"："&amp;"找ZC配技能","进阶+"&amp;COUNTIF($E$194:$E729,$E729)&amp;"："&amp;VLOOKUP(COUNTIF($E$194:$E729,$E729),$L$184:$R$193,IF(H729=1,4,IF(H729=4,3,2))+IF(INDEX([1]Sheet1!$1:$1048576,MATCH($E729,[1]Sheet1!$A:$A,0),MATCH("zizhi",[1]Sheet1!$2:$2,0))&gt;=13,0,3),0)&amp;IF($Q729="","","（"&amp;$Q729&amp;"）"))</f>
        <v>进阶+4：激活AI2技能（赛太岁释放火法，对前方目标造成自身攻击力45%的伤害）</v>
      </c>
      <c r="T729" s="1"/>
      <c r="U729" s="1"/>
      <c r="V729" s="2" t="str">
        <f>VLOOKUP(COUNTIF($E$194:$E729,$E729),$L$184:$X$193,IF(H729=1,4,IF(H729=4,3,2))+IF(INDEX([1]Sheet1!$1:$1048576,MATCH($E729,[1]Sheet1!$A:$A,0),MATCH("zizhi",[1]Sheet1!$2:$2,0))&gt;=13,0,3)+6,0)</f>
        <v>[]</v>
      </c>
      <c r="W729" s="2" t="str">
        <f t="shared" si="71"/>
        <v>进阶+4：激活AI2技能（赛太岁释放火法，对前方目标造成自身攻击力45%的伤害）</v>
      </c>
      <c r="X729" s="45" t="str">
        <f t="shared" si="69"/>
        <v>[]</v>
      </c>
      <c r="Y729" s="2"/>
      <c r="Z729" s="2"/>
      <c r="AA729" s="2"/>
    </row>
    <row r="730" spans="1:27">
      <c r="A730" s="10">
        <f>E730*100+COUNTIF($E$194:$E730,$E730)</f>
        <v>115205</v>
      </c>
      <c r="B730" s="68" t="s">
        <v>320</v>
      </c>
      <c r="C730" s="50" t="s">
        <v>239</v>
      </c>
      <c r="D730" s="10" t="str">
        <f t="shared" si="74"/>
        <v>[]</v>
      </c>
      <c r="E730" s="45">
        <f>INDEX($I:$I,MATCH($E729,$I:$I,0)+IF(COUNTIF($E$194:$E729,$E729)&lt;=VLOOKUP($E729,$I$134:$K$193,3,0)-1,0,1),0)</f>
        <v>1152</v>
      </c>
      <c r="F730" s="45" t="str">
        <f t="shared" si="70"/>
        <v>黑熊精</v>
      </c>
      <c r="H730" s="45">
        <f>VLOOKUP($E730,[1]Sheet1!$A:$G,7,0)</f>
        <v>4</v>
      </c>
      <c r="I730" s="45" t="str">
        <f>IF($G730="","",IF(COUNTIF(技能描述!$D:$D,$F730)&gt;0,VLOOKUP($F730&amp;$G730,技能描述!$A:$C,3,0),LEFT(VLOOKUP($E730,[1]Sheet1!$A:$J,10,0),FIND("_",VLOOKUP($E730,[1]Sheet1!$A:$J,10,0))-1)&amp;$G730))</f>
        <v/>
      </c>
      <c r="J730" s="45" t="str">
        <f>IF($I730="","",VLOOKUP($I730,技能描述!$A:$C,3,0))</f>
        <v/>
      </c>
      <c r="K730" s="45" t="str">
        <f>IF($I730="","",INDEX([2]Sheet1!$1:$1048576,MATCH($I730,[2]Sheet1!$A:$A,0),MATCH("description_damage",[2]Sheet1!$2:$2,0)))</f>
        <v/>
      </c>
      <c r="L730" s="80" t="str">
        <f>IF($K730="","",IF(LEN($K730)-LEN(SUBSTITUTE($K730,",",""))=0,VLOOKUP(INT($K730),[3]Sheet1!$A:$C,3,0),VLOOKUP(INT(LEFT($K730,FIND(",",$K730)-1)),[3]Sheet1!$A:$C,3,0)))</f>
        <v/>
      </c>
      <c r="M730" s="80" t="str">
        <f t="shared" si="75"/>
        <v/>
      </c>
      <c r="N730" s="45" t="str">
        <f>IF(LEN($K730)-LEN(SUBSTITUTE($K730,",",""))=1,VLOOKUP(INT(RIGHT($K730,LEN($K730)-FIND(",",$K730))),[3]Sheet1!$A:$C,3,0),"")</f>
        <v/>
      </c>
      <c r="O730" s="45" t="str">
        <f t="shared" si="72"/>
        <v/>
      </c>
      <c r="P730" s="45" t="str">
        <f t="shared" si="68"/>
        <v/>
      </c>
      <c r="Q730" s="45" t="str">
        <f t="shared" si="73"/>
        <v/>
      </c>
      <c r="R730" s="45"/>
      <c r="S730" s="45" t="str">
        <f>IF(ISERROR($Q730),"进阶+"&amp;COUNTIF($E$194:$E730,$E730)&amp;"："&amp;"找ZC配技能","进阶+"&amp;COUNTIF($E$194:$E730,$E730)&amp;"："&amp;VLOOKUP(COUNTIF($E$194:$E730,$E730),$L$184:$R$193,IF(H730=1,4,IF(H730=4,3,2))+IF(INDEX([1]Sheet1!$1:$1048576,MATCH($E730,[1]Sheet1!$A:$A,0),MATCH("zizhi",[1]Sheet1!$2:$2,0))&gt;=13,0,3),0)&amp;IF($Q730="","","（"&amp;$Q730&amp;"）"))</f>
        <v>进阶+5：攻击提高15%</v>
      </c>
      <c r="T730" s="1"/>
      <c r="U730" s="1"/>
      <c r="V730" s="2" t="str">
        <f>VLOOKUP(COUNTIF($E$194:$E730,$E730),$L$184:$X$193,IF(H730=1,4,IF(H730=4,3,2))+IF(INDEX([1]Sheet1!$1:$1048576,MATCH($E730,[1]Sheet1!$A:$A,0),MATCH("zizhi",[1]Sheet1!$2:$2,0))&gt;=13,0,3)+6,0)</f>
        <v>11055</v>
      </c>
      <c r="W730" s="2" t="str">
        <f t="shared" si="71"/>
        <v>进阶+5：攻击提高15%</v>
      </c>
      <c r="X730" s="45" t="str">
        <f t="shared" si="69"/>
        <v>11055</v>
      </c>
      <c r="Y730" s="2"/>
      <c r="Z730" s="2"/>
      <c r="AA730" s="2"/>
    </row>
    <row r="731" spans="1:27">
      <c r="A731" s="10">
        <f>E731*100+COUNTIF($E$194:$E731,$E731)</f>
        <v>115206</v>
      </c>
      <c r="B731" s="68" t="s">
        <v>321</v>
      </c>
      <c r="C731" s="50" t="s">
        <v>255</v>
      </c>
      <c r="D731" s="10" t="str">
        <f t="shared" si="74"/>
        <v>[]</v>
      </c>
      <c r="E731" s="45">
        <f>INDEX($I:$I,MATCH($E730,$I:$I,0)+IF(COUNTIF($E$194:$E730,$E730)&lt;=VLOOKUP($E730,$I$134:$K$193,3,0)-1,0,1),0)</f>
        <v>1152</v>
      </c>
      <c r="F731" s="45" t="str">
        <f t="shared" si="70"/>
        <v>黑熊精</v>
      </c>
      <c r="H731" s="45">
        <f>VLOOKUP($E731,[1]Sheet1!$A:$G,7,0)</f>
        <v>4</v>
      </c>
      <c r="I731" s="45" t="str">
        <f>IF($G731="","",IF(COUNTIF(技能描述!$D:$D,$F731)&gt;0,VLOOKUP($F731&amp;$G731,技能描述!$A:$C,3,0),LEFT(VLOOKUP($E731,[1]Sheet1!$A:$J,10,0),FIND("_",VLOOKUP($E731,[1]Sheet1!$A:$J,10,0))-1)&amp;$G731))</f>
        <v/>
      </c>
      <c r="J731" s="45" t="str">
        <f>IF($I731="","",VLOOKUP($I731,技能描述!$A:$C,3,0))</f>
        <v/>
      </c>
      <c r="K731" s="45" t="str">
        <f>IF($I731="","",INDEX([2]Sheet1!$1:$1048576,MATCH($I731,[2]Sheet1!$A:$A,0),MATCH("description_damage",[2]Sheet1!$2:$2,0)))</f>
        <v/>
      </c>
      <c r="L731" s="80" t="str">
        <f>IF($K731="","",IF(LEN($K731)-LEN(SUBSTITUTE($K731,",",""))=0,VLOOKUP(INT($K731),[3]Sheet1!$A:$C,3,0),VLOOKUP(INT(LEFT($K731,FIND(",",$K731)-1)),[3]Sheet1!$A:$C,3,0)))</f>
        <v/>
      </c>
      <c r="M731" s="80" t="str">
        <f t="shared" si="75"/>
        <v/>
      </c>
      <c r="N731" s="45" t="str">
        <f>IF(LEN($K731)-LEN(SUBSTITUTE($K731,",",""))=1,VLOOKUP(INT(RIGHT($K731,LEN($K731)-FIND(",",$K731))),[3]Sheet1!$A:$C,3,0),"")</f>
        <v/>
      </c>
      <c r="O731" s="45" t="str">
        <f t="shared" si="72"/>
        <v/>
      </c>
      <c r="P731" s="45" t="str">
        <f t="shared" si="68"/>
        <v/>
      </c>
      <c r="Q731" s="45" t="str">
        <f t="shared" si="73"/>
        <v/>
      </c>
      <c r="R731" s="45"/>
      <c r="S731" s="45" t="str">
        <f>IF(ISERROR($Q731),"进阶+"&amp;COUNTIF($E$194:$E731,$E731)&amp;"："&amp;"找ZC配技能","进阶+"&amp;COUNTIF($E$194:$E731,$E731)&amp;"："&amp;VLOOKUP(COUNTIF($E$194:$E731,$E731),$L$184:$R$193,IF(H731=1,4,IF(H731=4,3,2))+IF(INDEX([1]Sheet1!$1:$1048576,MATCH($E731,[1]Sheet1!$A:$A,0),MATCH("zizhi",[1]Sheet1!$2:$2,0))&gt;=13,0,3),0)&amp;IF($Q731="","","（"&amp;$Q731&amp;"）"))</f>
        <v>进阶+6：抗暴提高20%</v>
      </c>
      <c r="T731" s="1"/>
      <c r="U731" s="1"/>
      <c r="V731" s="2" t="str">
        <f>VLOOKUP(COUNTIF($E$194:$E731,$E731),$L$184:$X$193,IF(H731=1,4,IF(H731=4,3,2))+IF(INDEX([1]Sheet1!$1:$1048576,MATCH($E731,[1]Sheet1!$A:$A,0),MATCH("zizhi",[1]Sheet1!$2:$2,0))&gt;=13,0,3)+6,0)</f>
        <v>11160</v>
      </c>
      <c r="W731" s="2" t="str">
        <f t="shared" si="71"/>
        <v>进阶+6：抗暴提高20%</v>
      </c>
      <c r="X731" s="45" t="str">
        <f t="shared" si="69"/>
        <v>11160</v>
      </c>
      <c r="Y731" s="2"/>
      <c r="Z731" s="2"/>
      <c r="AA731" s="2"/>
    </row>
    <row r="732" spans="1:27">
      <c r="A732" s="10">
        <f>E732*100+COUNTIF($E$194:$E732,$E732)</f>
        <v>115207</v>
      </c>
      <c r="B732" s="68" t="s">
        <v>360</v>
      </c>
      <c r="C732" s="50" t="s">
        <v>354</v>
      </c>
      <c r="D732" s="10" t="str">
        <f t="shared" si="74"/>
        <v>[]</v>
      </c>
      <c r="E732" s="45">
        <f>INDEX($I:$I,MATCH($E731,$I:$I,0)+IF(COUNTIF($E$194:$E731,$E731)&lt;=VLOOKUP($E731,$I$134:$K$193,3,0)-1,0,1),0)</f>
        <v>1152</v>
      </c>
      <c r="F732" s="45" t="str">
        <f t="shared" si="70"/>
        <v>黑熊精</v>
      </c>
      <c r="H732" s="45">
        <f>VLOOKUP($E732,[1]Sheet1!$A:$G,7,0)</f>
        <v>4</v>
      </c>
      <c r="I732" s="45" t="str">
        <f>IF($G732="","",IF(COUNTIF(技能描述!$D:$D,$F732)&gt;0,VLOOKUP($F732&amp;$G732,技能描述!$A:$C,3,0),LEFT(VLOOKUP($E732,[1]Sheet1!$A:$J,10,0),FIND("_",VLOOKUP($E732,[1]Sheet1!$A:$J,10,0))-1)&amp;$G732))</f>
        <v/>
      </c>
      <c r="J732" s="45" t="str">
        <f>IF($I732="","",VLOOKUP($I732,技能描述!$A:$C,3,0))</f>
        <v/>
      </c>
      <c r="K732" s="45" t="str">
        <f>IF($I732="","",INDEX([2]Sheet1!$1:$1048576,MATCH($I732,[2]Sheet1!$A:$A,0),MATCH("description_damage",[2]Sheet1!$2:$2,0)))</f>
        <v/>
      </c>
      <c r="L732" s="80" t="str">
        <f>IF($K732="","",IF(LEN($K732)-LEN(SUBSTITUTE($K732,",",""))=0,VLOOKUP(INT($K732),[3]Sheet1!$A:$C,3,0),VLOOKUP(INT(LEFT($K732,FIND(",",$K732)-1)),[3]Sheet1!$A:$C,3,0)))</f>
        <v/>
      </c>
      <c r="M732" s="80" t="str">
        <f t="shared" si="75"/>
        <v/>
      </c>
      <c r="N732" s="45" t="str">
        <f>IF(LEN($K732)-LEN(SUBSTITUTE($K732,",",""))=1,VLOOKUP(INT(RIGHT($K732,LEN($K732)-FIND(",",$K732))),[3]Sheet1!$A:$C,3,0),"")</f>
        <v/>
      </c>
      <c r="O732" s="45" t="str">
        <f t="shared" si="72"/>
        <v/>
      </c>
      <c r="P732" s="45" t="str">
        <f t="shared" si="68"/>
        <v/>
      </c>
      <c r="Q732" s="45" t="str">
        <f t="shared" si="73"/>
        <v/>
      </c>
      <c r="R732" s="45"/>
      <c r="S732" s="45" t="str">
        <f>IF(ISERROR($Q732),"进阶+"&amp;COUNTIF($E$194:$E732,$E732)&amp;"："&amp;"找ZC配技能","进阶+"&amp;COUNTIF($E$194:$E732,$E732)&amp;"："&amp;VLOOKUP(COUNTIF($E$194:$E732,$E732),$L$184:$R$193,IF(H732=1,4,IF(H732=4,3,2))+IF(INDEX([1]Sheet1!$1:$1048576,MATCH($E732,[1]Sheet1!$A:$A,0),MATCH("zizhi",[1]Sheet1!$2:$2,0))&gt;=13,0,3),0)&amp;IF($Q732="","","（"&amp;$Q732&amp;"）"))</f>
        <v>进阶+7：全队生命，防御提高10%</v>
      </c>
      <c r="T732" s="1"/>
      <c r="U732" s="1"/>
      <c r="V732" s="2" t="str">
        <f>VLOOKUP(COUNTIF($E$194:$E732,$E732),$L$184:$X$193,IF(H732=1,4,IF(H732=4,3,2))+IF(INDEX([1]Sheet1!$1:$1048576,MATCH($E732,[1]Sheet1!$A:$A,0),MATCH("zizhi",[1]Sheet1!$2:$2,0))&gt;=13,0,3)+6,0)</f>
        <v>57010,59010,60010</v>
      </c>
      <c r="W732" s="2" t="str">
        <f t="shared" si="71"/>
        <v>进阶+7：全队生命，防御提高10%</v>
      </c>
      <c r="X732" s="45" t="str">
        <f t="shared" si="69"/>
        <v>57010,59010,60010</v>
      </c>
      <c r="Y732" s="2"/>
      <c r="Z732" s="2"/>
      <c r="AA732" s="2"/>
    </row>
    <row r="733" spans="1:27">
      <c r="A733" s="10">
        <f>E733*100+COUNTIF($E$194:$E733,$E733)</f>
        <v>115208</v>
      </c>
      <c r="B733" s="68" t="s">
        <v>322</v>
      </c>
      <c r="C733" s="50" t="s">
        <v>254</v>
      </c>
      <c r="D733" s="10" t="str">
        <f t="shared" si="74"/>
        <v>[]</v>
      </c>
      <c r="E733" s="45">
        <f>INDEX($I:$I,MATCH($E732,$I:$I,0)+IF(COUNTIF($E$194:$E732,$E732)&lt;=VLOOKUP($E732,$I$134:$K$193,3,0)-1,0,1),0)</f>
        <v>1152</v>
      </c>
      <c r="F733" s="45" t="str">
        <f t="shared" si="70"/>
        <v>黑熊精</v>
      </c>
      <c r="H733" s="45">
        <f>VLOOKUP($E733,[1]Sheet1!$A:$G,7,0)</f>
        <v>4</v>
      </c>
      <c r="I733" s="45" t="str">
        <f>IF($G733="","",IF(COUNTIF(技能描述!$D:$D,$F733)&gt;0,VLOOKUP($F733&amp;$G733,技能描述!$A:$C,3,0),LEFT(VLOOKUP($E733,[1]Sheet1!$A:$J,10,0),FIND("_",VLOOKUP($E733,[1]Sheet1!$A:$J,10,0))-1)&amp;$G733))</f>
        <v/>
      </c>
      <c r="J733" s="45" t="str">
        <f>IF($I733="","",VLOOKUP($I733,技能描述!$A:$C,3,0))</f>
        <v/>
      </c>
      <c r="K733" s="45" t="str">
        <f>IF($I733="","",INDEX([2]Sheet1!$1:$1048576,MATCH($I733,[2]Sheet1!$A:$A,0),MATCH("description_damage",[2]Sheet1!$2:$2,0)))</f>
        <v/>
      </c>
      <c r="L733" s="80" t="str">
        <f>IF($K733="","",IF(LEN($K733)-LEN(SUBSTITUTE($K733,",",""))=0,VLOOKUP(INT($K733),[3]Sheet1!$A:$C,3,0),VLOOKUP(INT(LEFT($K733,FIND(",",$K733)-1)),[3]Sheet1!$A:$C,3,0)))</f>
        <v/>
      </c>
      <c r="M733" s="80" t="str">
        <f t="shared" si="75"/>
        <v/>
      </c>
      <c r="N733" s="45" t="str">
        <f>IF(LEN($K733)-LEN(SUBSTITUTE($K733,",",""))=1,VLOOKUP(INT(RIGHT($K733,LEN($K733)-FIND(",",$K733))),[3]Sheet1!$A:$C,3,0),"")</f>
        <v/>
      </c>
      <c r="O733" s="45" t="str">
        <f t="shared" si="72"/>
        <v/>
      </c>
      <c r="P733" s="45" t="str">
        <f t="shared" si="68"/>
        <v/>
      </c>
      <c r="Q733" s="45" t="str">
        <f t="shared" si="73"/>
        <v/>
      </c>
      <c r="R733" s="45"/>
      <c r="S733" s="45" t="str">
        <f>IF(ISERROR($Q733),"进阶+"&amp;COUNTIF($E$194:$E733,$E733)&amp;"："&amp;"找ZC配技能","进阶+"&amp;COUNTIF($E$194:$E733,$E733)&amp;"："&amp;VLOOKUP(COUNTIF($E$194:$E733,$E733),$L$184:$R$193,IF(H733=1,4,IF(H733=4,3,2))+IF(INDEX([1]Sheet1!$1:$1048576,MATCH($E733,[1]Sheet1!$A:$A,0),MATCH("zizhi",[1]Sheet1!$2:$2,0))&gt;=13,0,3),0)&amp;IF($Q733="","","（"&amp;$Q733&amp;"）"))</f>
        <v>进阶+8：闪避提高15%</v>
      </c>
      <c r="T733" s="1"/>
      <c r="U733" s="1"/>
      <c r="V733" s="2" t="str">
        <f>VLOOKUP(COUNTIF($E$194:$E733,$E733),$L$184:$X$193,IF(H733=1,4,IF(H733=4,3,2))+IF(INDEX([1]Sheet1!$1:$1048576,MATCH($E733,[1]Sheet1!$A:$A,0),MATCH("zizhi",[1]Sheet1!$2:$2,0))&gt;=13,0,3)+6,0)</f>
        <v>11115</v>
      </c>
      <c r="W733" s="2" t="str">
        <f t="shared" si="71"/>
        <v>进阶+8：闪避提高15%</v>
      </c>
      <c r="X733" s="45" t="str">
        <f t="shared" si="69"/>
        <v>11115</v>
      </c>
      <c r="Y733" s="2"/>
      <c r="Z733" s="2"/>
      <c r="AA733" s="2"/>
    </row>
    <row r="734" spans="1:27">
      <c r="A734" s="10">
        <f>E734*100+COUNTIF($E$194:$E734,$E734)</f>
        <v>119201</v>
      </c>
      <c r="B734" s="68" t="s">
        <v>310</v>
      </c>
      <c r="C734" s="50">
        <v>11050</v>
      </c>
      <c r="D734" s="10" t="str">
        <f t="shared" si="74"/>
        <v>[]</v>
      </c>
      <c r="E734" s="45">
        <f>INDEX($I:$I,MATCH($E733,$I:$I,0)+IF(COUNTIF($E$194:$E733,$E733)&lt;=VLOOKUP($E733,$I$134:$K$193,3,0)-1,0,1),0)</f>
        <v>1192</v>
      </c>
      <c r="F734" s="45" t="str">
        <f t="shared" si="70"/>
        <v>琴仙</v>
      </c>
      <c r="H734" s="45">
        <f>VLOOKUP($E734,[1]Sheet1!$A:$G,7,0)</f>
        <v>2</v>
      </c>
      <c r="I734" s="45" t="str">
        <f>IF($G734="","",IF(COUNTIF(技能描述!$D:$D,$F734)&gt;0,VLOOKUP($F734&amp;$G734,技能描述!$A:$C,3,0),LEFT(VLOOKUP($E734,[1]Sheet1!$A:$J,10,0),FIND("_",VLOOKUP($E734,[1]Sheet1!$A:$J,10,0))-1)&amp;$G734))</f>
        <v/>
      </c>
      <c r="J734" s="45" t="str">
        <f>IF($I734="","",VLOOKUP($I734,技能描述!$A:$C,3,0))</f>
        <v/>
      </c>
      <c r="K734" s="45" t="str">
        <f>IF($I734="","",INDEX([2]Sheet1!$1:$1048576,MATCH($I734,[2]Sheet1!$A:$A,0),MATCH("description_damage",[2]Sheet1!$2:$2,0)))</f>
        <v/>
      </c>
      <c r="L734" s="80" t="str">
        <f>IF($K734="","",IF(LEN($K734)-LEN(SUBSTITUTE($K734,",",""))=0,VLOOKUP(INT($K734),[3]Sheet1!$A:$C,3,0),VLOOKUP(INT(LEFT($K734,FIND(",",$K734)-1)),[3]Sheet1!$A:$C,3,0)))</f>
        <v/>
      </c>
      <c r="M734" s="80" t="str">
        <f t="shared" si="75"/>
        <v/>
      </c>
      <c r="N734" s="45" t="str">
        <f>IF(LEN($K734)-LEN(SUBSTITUTE($K734,",",""))=1,VLOOKUP(INT(RIGHT($K734,LEN($K734)-FIND(",",$K734))),[3]Sheet1!$A:$C,3,0),"")</f>
        <v/>
      </c>
      <c r="O734" s="45" t="str">
        <f t="shared" si="72"/>
        <v/>
      </c>
      <c r="P734" s="45" t="str">
        <f t="shared" si="68"/>
        <v/>
      </c>
      <c r="Q734" s="45" t="str">
        <f t="shared" si="73"/>
        <v/>
      </c>
      <c r="R734" s="45"/>
      <c r="S734" s="45" t="str">
        <f>IF(ISERROR($Q734),"进阶+"&amp;COUNTIF($E$194:$E734,$E734)&amp;"："&amp;"找ZC配技能","进阶+"&amp;COUNTIF($E$194:$E734,$E734)&amp;"："&amp;VLOOKUP(COUNTIF($E$194:$E734,$E734),$L$184:$R$193,IF(H734=1,4,IF(H734=4,3,2))+IF(INDEX([1]Sheet1!$1:$1048576,MATCH($E734,[1]Sheet1!$A:$A,0),MATCH("zizhi",[1]Sheet1!$2:$2,0))&gt;=13,0,3),0)&amp;IF($Q734="","","（"&amp;$Q734&amp;"）"))</f>
        <v>进阶+1：攻击提高10%</v>
      </c>
      <c r="T734" s="1"/>
      <c r="U734" s="1"/>
      <c r="V734" s="2">
        <f>VLOOKUP(COUNTIF($E$194:$E734,$E734),$L$184:$X$193,IF(H734=1,4,IF(H734=4,3,2))+IF(INDEX([1]Sheet1!$1:$1048576,MATCH($E734,[1]Sheet1!$A:$A,0),MATCH("zizhi",[1]Sheet1!$2:$2,0))&gt;=13,0,3)+6,0)</f>
        <v>11050</v>
      </c>
      <c r="W734" s="2" t="str">
        <f t="shared" si="71"/>
        <v>进阶+1：攻击提高10%</v>
      </c>
      <c r="X734" s="45">
        <f t="shared" si="69"/>
        <v>11050</v>
      </c>
      <c r="Y734" s="2"/>
      <c r="Z734" s="2"/>
      <c r="AA734" s="2"/>
    </row>
    <row r="735" spans="1:27" ht="33">
      <c r="A735" s="10">
        <f>E735*100+COUNTIF($E$194:$E735,$E735)</f>
        <v>119202</v>
      </c>
      <c r="B735" s="68" t="s">
        <v>368</v>
      </c>
      <c r="C735" s="50" t="s">
        <v>2</v>
      </c>
      <c r="D735" s="10">
        <f t="shared" si="74"/>
        <v>1</v>
      </c>
      <c r="E735" s="45">
        <f>INDEX($I:$I,MATCH($E734,$I:$I,0)+IF(COUNTIF($E$194:$E734,$E734)&lt;=VLOOKUP($E734,$I$134:$K$193,3,0)-1,0,1),0)</f>
        <v>1192</v>
      </c>
      <c r="F735" s="45" t="str">
        <f t="shared" si="70"/>
        <v>琴仙</v>
      </c>
      <c r="G735" s="45" t="s">
        <v>216</v>
      </c>
      <c r="H735" s="45">
        <f>VLOOKUP($E735,[1]Sheet1!$A:$G,7,0)</f>
        <v>2</v>
      </c>
      <c r="I735" s="45" t="str">
        <f>IF($G735="","",IF(COUNTIF(技能描述!$D:$D,$F735)&gt;0,VLOOKUP($F735&amp;$G735,技能描述!$A:$C,3,0),LEFT(VLOOKUP($E735,[1]Sheet1!$A:$J,10,0),FIND("_",VLOOKUP($E735,[1]Sheet1!$A:$J,10,0))-1)&amp;$G735))</f>
        <v>leigong_skill03</v>
      </c>
      <c r="J735" s="45" t="str">
        <f>IF($I735="","",VLOOKUP($I735,技能描述!$A:$C,3,0))</f>
        <v>进入战斗场景时，攻击有@s的几率将目标眩晕1秒</v>
      </c>
      <c r="K735" s="45" t="str">
        <f>IF($I735="","",INDEX([2]Sheet1!$1:$1048576,MATCH($I735,[2]Sheet1!$A:$A,0),MATCH("description_damage",[2]Sheet1!$2:$2,0)))</f>
        <v>9010</v>
      </c>
      <c r="L735" s="80" t="str">
        <f>IF($K735="","",IF(LEN($K735)-LEN(SUBSTITUTE($K735,",",""))=0,VLOOKUP(INT($K735),[3]Sheet1!$A:$C,3,0),VLOOKUP(INT(LEFT($K735,FIND(",",$K735)-1)),[3]Sheet1!$A:$C,3,0)))</f>
        <v>4|3|0.1|0|1</v>
      </c>
      <c r="M735" s="80" t="str">
        <f t="shared" si="75"/>
        <v>10%</v>
      </c>
      <c r="N735" s="45" t="str">
        <f>IF(LEN($K735)-LEN(SUBSTITUTE($K735,",",""))=1,VLOOKUP(INT(RIGHT($K735,LEN($K735)-FIND(",",$K735))),[3]Sheet1!$A:$C,3,0),"")</f>
        <v/>
      </c>
      <c r="O735" s="45" t="str">
        <f t="shared" si="72"/>
        <v/>
      </c>
      <c r="P735" s="45" t="str">
        <f t="shared" si="68"/>
        <v>进入战斗场景时，攻击有10%的几率将目标眩晕1秒</v>
      </c>
      <c r="Q735" s="45" t="str">
        <f t="shared" si="73"/>
        <v>进入战斗场景时，攻击有10%的几率将目标眩晕1秒</v>
      </c>
      <c r="R735" s="45"/>
      <c r="S735" s="45" t="str">
        <f>IF(ISERROR($Q735),"进阶+"&amp;COUNTIF($E$194:$E735,$E735)&amp;"："&amp;"找ZC配技能","进阶+"&amp;COUNTIF($E$194:$E735,$E735)&amp;"："&amp;VLOOKUP(COUNTIF($E$194:$E735,$E735),$L$184:$R$193,IF(H735=1,4,IF(H735=4,3,2))+IF(INDEX([1]Sheet1!$1:$1048576,MATCH($E735,[1]Sheet1!$A:$A,0),MATCH("zizhi",[1]Sheet1!$2:$2,0))&gt;=13,0,3),0)&amp;IF($Q735="","","（"&amp;$Q735&amp;"）"))</f>
        <v>进阶+2：激活被动技能（进入战斗场景时，攻击有10%的几率将目标眩晕1秒）</v>
      </c>
      <c r="T735" s="1"/>
      <c r="U735" s="1"/>
      <c r="V735" s="2" t="str">
        <f>VLOOKUP(COUNTIF($E$194:$E735,$E735),$L$184:$X$193,IF(H735=1,4,IF(H735=4,3,2))+IF(INDEX([1]Sheet1!$1:$1048576,MATCH($E735,[1]Sheet1!$A:$A,0),MATCH("zizhi",[1]Sheet1!$2:$2,0))&gt;=13,0,3)+6,0)</f>
        <v>[]</v>
      </c>
      <c r="W735" s="2" t="str">
        <f t="shared" si="71"/>
        <v>进阶+2：激活被动技能（进入战斗场景时，攻击有10%的几率将目标眩晕1秒）</v>
      </c>
      <c r="X735" s="45" t="str">
        <f t="shared" si="69"/>
        <v>[]</v>
      </c>
      <c r="Y735" s="2"/>
      <c r="Z735" s="2"/>
      <c r="AA735" s="2"/>
    </row>
    <row r="736" spans="1:27">
      <c r="A736" s="10">
        <f>E736*100+COUNTIF($E$194:$E736,$E736)</f>
        <v>119203</v>
      </c>
      <c r="B736" s="68" t="s">
        <v>312</v>
      </c>
      <c r="C736" s="50" t="s">
        <v>127</v>
      </c>
      <c r="D736" s="10" t="str">
        <f t="shared" si="74"/>
        <v>[]</v>
      </c>
      <c r="E736" s="45">
        <f>INDEX($I:$I,MATCH($E735,$I:$I,0)+IF(COUNTIF($E$194:$E735,$E735)&lt;=VLOOKUP($E735,$I$134:$K$193,3,0)-1,0,1),0)</f>
        <v>1192</v>
      </c>
      <c r="F736" s="45" t="str">
        <f t="shared" si="70"/>
        <v>琴仙</v>
      </c>
      <c r="H736" s="45">
        <f>VLOOKUP($E736,[1]Sheet1!$A:$G,7,0)</f>
        <v>2</v>
      </c>
      <c r="I736" s="45" t="str">
        <f>IF($G736="","",IF(COUNTIF(技能描述!$D:$D,$F736)&gt;0,VLOOKUP($F736&amp;$G736,技能描述!$A:$C,3,0),LEFT(VLOOKUP($E736,[1]Sheet1!$A:$J,10,0),FIND("_",VLOOKUP($E736,[1]Sheet1!$A:$J,10,0))-1)&amp;$G736))</f>
        <v/>
      </c>
      <c r="J736" s="45" t="str">
        <f>IF($I736="","",VLOOKUP($I736,技能描述!$A:$C,3,0))</f>
        <v/>
      </c>
      <c r="K736" s="45" t="str">
        <f>IF($I736="","",INDEX([2]Sheet1!$1:$1048576,MATCH($I736,[2]Sheet1!$A:$A,0),MATCH("description_damage",[2]Sheet1!$2:$2,0)))</f>
        <v/>
      </c>
      <c r="L736" s="80" t="str">
        <f>IF($K736="","",IF(LEN($K736)-LEN(SUBSTITUTE($K736,",",""))=0,VLOOKUP(INT($K736),[3]Sheet1!$A:$C,3,0),VLOOKUP(INT(LEFT($K736,FIND(",",$K736)-1)),[3]Sheet1!$A:$C,3,0)))</f>
        <v/>
      </c>
      <c r="M736" s="80" t="str">
        <f t="shared" si="75"/>
        <v/>
      </c>
      <c r="N736" s="45" t="str">
        <f>IF(LEN($K736)-LEN(SUBSTITUTE($K736,",",""))=1,VLOOKUP(INT(RIGHT($K736,LEN($K736)-FIND(",",$K736))),[3]Sheet1!$A:$C,3,0),"")</f>
        <v/>
      </c>
      <c r="O736" s="45" t="str">
        <f t="shared" si="72"/>
        <v/>
      </c>
      <c r="P736" s="45" t="str">
        <f t="shared" si="68"/>
        <v/>
      </c>
      <c r="Q736" s="45" t="str">
        <f t="shared" si="73"/>
        <v/>
      </c>
      <c r="R736" s="45"/>
      <c r="S736" s="45" t="str">
        <f>IF(ISERROR($Q736),"进阶+"&amp;COUNTIF($E$194:$E736,$E736)&amp;"："&amp;"找ZC配技能","进阶+"&amp;COUNTIF($E$194:$E736,$E736)&amp;"："&amp;VLOOKUP(COUNTIF($E$194:$E736,$E736),$L$184:$R$193,IF(H736=1,4,IF(H736=4,3,2))+IF(INDEX([1]Sheet1!$1:$1048576,MATCH($E736,[1]Sheet1!$A:$A,0),MATCH("zizhi",[1]Sheet1!$2:$2,0))&gt;=13,0,3),0)&amp;IF($Q736="","","（"&amp;$Q736&amp;"）"))</f>
        <v>进阶+3：攻击提高10%</v>
      </c>
      <c r="T736" s="1"/>
      <c r="U736" s="1"/>
      <c r="V736" s="2" t="str">
        <f>VLOOKUP(COUNTIF($E$194:$E736,$E736),$L$184:$X$193,IF(H736=1,4,IF(H736=4,3,2))+IF(INDEX([1]Sheet1!$1:$1048576,MATCH($E736,[1]Sheet1!$A:$A,0),MATCH("zizhi",[1]Sheet1!$2:$2,0))&gt;=13,0,3)+6,0)</f>
        <v>11050</v>
      </c>
      <c r="W736" s="2" t="str">
        <f t="shared" si="71"/>
        <v>进阶+3：攻击提高10%</v>
      </c>
      <c r="X736" s="45" t="str">
        <f t="shared" si="69"/>
        <v>11050</v>
      </c>
      <c r="Y736" s="2"/>
      <c r="Z736" s="2"/>
      <c r="AA736" s="2"/>
    </row>
    <row r="737" spans="1:27" ht="33">
      <c r="A737" s="10">
        <f>E737*100+COUNTIF($E$194:$E737,$E737)</f>
        <v>119204</v>
      </c>
      <c r="B737" s="68" t="s">
        <v>1891</v>
      </c>
      <c r="C737" s="50" t="s">
        <v>2</v>
      </c>
      <c r="D737" s="10">
        <f t="shared" si="74"/>
        <v>1</v>
      </c>
      <c r="E737" s="45">
        <f>INDEX($I:$I,MATCH($E736,$I:$I,0)+IF(COUNTIF($E$194:$E736,$E736)&lt;=VLOOKUP($E736,$I$134:$K$193,3,0)-1,0,1),0)</f>
        <v>1192</v>
      </c>
      <c r="F737" s="45" t="str">
        <f t="shared" si="70"/>
        <v>琴仙</v>
      </c>
      <c r="G737" s="45" t="s">
        <v>217</v>
      </c>
      <c r="H737" s="45">
        <f>VLOOKUP($E737,[1]Sheet1!$A:$G,7,0)</f>
        <v>2</v>
      </c>
      <c r="I737" s="45" t="str">
        <f>IF($G737="","",IF(COUNTIF(技能描述!$D:$D,$F737)&gt;0,VLOOKUP($F737&amp;$G737,技能描述!$A:$C,3,0),LEFT(VLOOKUP($E737,[1]Sheet1!$A:$J,10,0),FIND("_",VLOOKUP($E737,[1]Sheet1!$A:$J,10,0))-1)&amp;$G737))</f>
        <v>leigong_skill04</v>
      </c>
      <c r="J737" s="45" t="str">
        <f>IF($I737="","",VLOOKUP($I737,技能描述!$A:$C,3,0))</f>
        <v>雷公举起神锤凝聚雷电之力后砸向敌军，对范围内目标造成自身攻击力@s的伤害</v>
      </c>
      <c r="K737" s="45" t="str">
        <f>IF($I737="","",INDEX([2]Sheet1!$1:$1048576,MATCH($I737,[2]Sheet1!$A:$A,0),MATCH("description_damage",[2]Sheet1!$2:$2,0)))</f>
        <v>113304</v>
      </c>
      <c r="L737" s="80" t="str">
        <f>IF($K737="","",IF(LEN($K737)-LEN(SUBSTITUTE($K737,",",""))=0,VLOOKUP(INT($K737),[3]Sheet1!$A:$C,3,0),VLOOKUP(INT(LEFT($K737,FIND(",",$K737)-1)),[3]Sheet1!$A:$C,3,0)))</f>
        <v>2|2|1.35|0|0|0</v>
      </c>
      <c r="M737" s="80" t="str">
        <f t="shared" si="75"/>
        <v>135%</v>
      </c>
      <c r="N737" s="45" t="str">
        <f>IF(LEN($K737)-LEN(SUBSTITUTE($K737,",",""))=1,VLOOKUP(INT(RIGHT($K737,LEN($K737)-FIND(",",$K737))),[3]Sheet1!$A:$C,3,0),"")</f>
        <v/>
      </c>
      <c r="O737" s="45" t="str">
        <f t="shared" si="72"/>
        <v/>
      </c>
      <c r="P737" s="45" t="str">
        <f t="shared" si="68"/>
        <v>雷公举起神锤凝聚雷电之力后砸向敌军，对范围内目标造成自身攻击力135%的伤害</v>
      </c>
      <c r="Q737" s="45" t="str">
        <f t="shared" si="73"/>
        <v>雷公举起神锤凝聚雷电之力后砸向敌军，对范围内目标造成自身攻击力135%的伤害</v>
      </c>
      <c r="R737" s="45"/>
      <c r="S737" s="45" t="str">
        <f>IF(ISERROR($Q737),"进阶+"&amp;COUNTIF($E$194:$E737,$E737)&amp;"："&amp;"找ZC配技能","进阶+"&amp;COUNTIF($E$194:$E737,$E737)&amp;"："&amp;VLOOKUP(COUNTIF($E$194:$E737,$E737),$L$184:$R$193,IF(H737=1,4,IF(H737=4,3,2))+IF(INDEX([1]Sheet1!$1:$1048576,MATCH($E737,[1]Sheet1!$A:$A,0),MATCH("zizhi",[1]Sheet1!$2:$2,0))&gt;=13,0,3),0)&amp;IF($Q737="","","（"&amp;$Q737&amp;"）"))</f>
        <v>进阶+4：激活AI2技能（雷公举起神锤凝聚雷电之力后砸向敌军，对范围内目标造成自身攻击力135%的伤害）</v>
      </c>
      <c r="T737" s="1"/>
      <c r="U737" s="1"/>
      <c r="V737" s="2" t="str">
        <f>VLOOKUP(COUNTIF($E$194:$E737,$E737),$L$184:$X$193,IF(H737=1,4,IF(H737=4,3,2))+IF(INDEX([1]Sheet1!$1:$1048576,MATCH($E737,[1]Sheet1!$A:$A,0),MATCH("zizhi",[1]Sheet1!$2:$2,0))&gt;=13,0,3)+6,0)</f>
        <v>[]</v>
      </c>
      <c r="W737" s="2" t="str">
        <f t="shared" si="71"/>
        <v>进阶+4：激活AI2技能（雷公举起神锤凝聚雷电之力后砸向敌军，对范围内目标造成自身攻击力135%的伤害）</v>
      </c>
      <c r="X737" s="45" t="str">
        <f t="shared" si="69"/>
        <v>[]</v>
      </c>
      <c r="Y737" s="2"/>
      <c r="Z737" s="2"/>
      <c r="AA737" s="2"/>
    </row>
    <row r="738" spans="1:27">
      <c r="A738" s="10">
        <f>E738*100+COUNTIF($E$194:$E738,$E738)</f>
        <v>119205</v>
      </c>
      <c r="B738" s="68" t="s">
        <v>323</v>
      </c>
      <c r="C738" s="50" t="s">
        <v>140</v>
      </c>
      <c r="D738" s="10" t="str">
        <f t="shared" si="74"/>
        <v>[]</v>
      </c>
      <c r="E738" s="45">
        <f>INDEX($I:$I,MATCH($E737,$I:$I,0)+IF(COUNTIF($E$194:$E737,$E737)&lt;=VLOOKUP($E737,$I$134:$K$193,3,0)-1,0,1),0)</f>
        <v>1192</v>
      </c>
      <c r="F738" s="45" t="str">
        <f t="shared" si="70"/>
        <v>琴仙</v>
      </c>
      <c r="H738" s="45">
        <f>VLOOKUP($E738,[1]Sheet1!$A:$G,7,0)</f>
        <v>2</v>
      </c>
      <c r="I738" s="45" t="str">
        <f>IF($G738="","",IF(COUNTIF(技能描述!$D:$D,$F738)&gt;0,VLOOKUP($F738&amp;$G738,技能描述!$A:$C,3,0),LEFT(VLOOKUP($E738,[1]Sheet1!$A:$J,10,0),FIND("_",VLOOKUP($E738,[1]Sheet1!$A:$J,10,0))-1)&amp;$G738))</f>
        <v/>
      </c>
      <c r="J738" s="45" t="str">
        <f>IF($I738="","",VLOOKUP($I738,技能描述!$A:$C,3,0))</f>
        <v/>
      </c>
      <c r="K738" s="45" t="str">
        <f>IF($I738="","",INDEX([2]Sheet1!$1:$1048576,MATCH($I738,[2]Sheet1!$A:$A,0),MATCH("description_damage",[2]Sheet1!$2:$2,0)))</f>
        <v/>
      </c>
      <c r="L738" s="80" t="str">
        <f>IF($K738="","",IF(LEN($K738)-LEN(SUBSTITUTE($K738,",",""))=0,VLOOKUP(INT($K738),[3]Sheet1!$A:$C,3,0),VLOOKUP(INT(LEFT($K738,FIND(",",$K738)-1)),[3]Sheet1!$A:$C,3,0)))</f>
        <v/>
      </c>
      <c r="M738" s="80" t="str">
        <f t="shared" si="75"/>
        <v/>
      </c>
      <c r="N738" s="45" t="str">
        <f>IF(LEN($K738)-LEN(SUBSTITUTE($K738,",",""))=1,VLOOKUP(INT(RIGHT($K738,LEN($K738)-FIND(",",$K738))),[3]Sheet1!$A:$C,3,0),"")</f>
        <v/>
      </c>
      <c r="O738" s="45" t="str">
        <f t="shared" si="72"/>
        <v/>
      </c>
      <c r="P738" s="45" t="str">
        <f t="shared" si="68"/>
        <v/>
      </c>
      <c r="Q738" s="45" t="str">
        <f t="shared" si="73"/>
        <v/>
      </c>
      <c r="R738" s="45"/>
      <c r="S738" s="45" t="str">
        <f>IF(ISERROR($Q738),"进阶+"&amp;COUNTIF($E$194:$E738,$E738)&amp;"："&amp;"找ZC配技能","进阶+"&amp;COUNTIF($E$194:$E738,$E738)&amp;"："&amp;VLOOKUP(COUNTIF($E$194:$E738,$E738),$L$184:$R$193,IF(H738=1,4,IF(H738=4,3,2))+IF(INDEX([1]Sheet1!$1:$1048576,MATCH($E738,[1]Sheet1!$A:$A,0),MATCH("zizhi",[1]Sheet1!$2:$2,0))&gt;=13,0,3),0)&amp;IF($Q738="","","（"&amp;$Q738&amp;"）"))</f>
        <v>进阶+5：生命，防御提高10%</v>
      </c>
      <c r="T738" s="1"/>
      <c r="U738" s="1"/>
      <c r="V738" s="2" t="str">
        <f>VLOOKUP(COUNTIF($E$194:$E738,$E738),$L$184:$X$193,IF(H738=1,4,IF(H738=4,3,2))+IF(INDEX([1]Sheet1!$1:$1048576,MATCH($E738,[1]Sheet1!$A:$A,0),MATCH("zizhi",[1]Sheet1!$2:$2,0))&gt;=13,0,3)+6,0)</f>
        <v>11090,6502,6512</v>
      </c>
      <c r="W738" s="2" t="str">
        <f t="shared" si="71"/>
        <v>进阶+5：生命，防御提高10%</v>
      </c>
      <c r="X738" s="45" t="str">
        <f t="shared" si="69"/>
        <v>11090,6502,6512</v>
      </c>
      <c r="Y738" s="2"/>
      <c r="Z738" s="2"/>
      <c r="AA738" s="2"/>
    </row>
    <row r="739" spans="1:27">
      <c r="A739" s="10">
        <f>E739*100+COUNTIF($E$194:$E739,$E739)</f>
        <v>119206</v>
      </c>
      <c r="B739" s="68" t="s">
        <v>314</v>
      </c>
      <c r="C739" s="50" t="s">
        <v>241</v>
      </c>
      <c r="D739" s="10" t="str">
        <f t="shared" si="74"/>
        <v>[]</v>
      </c>
      <c r="E739" s="45">
        <f>INDEX($I:$I,MATCH($E738,$I:$I,0)+IF(COUNTIF($E$194:$E738,$E738)&lt;=VLOOKUP($E738,$I$134:$K$193,3,0)-1,0,1),0)</f>
        <v>1192</v>
      </c>
      <c r="F739" s="45" t="str">
        <f t="shared" si="70"/>
        <v>琴仙</v>
      </c>
      <c r="H739" s="45">
        <f>VLOOKUP($E739,[1]Sheet1!$A:$G,7,0)</f>
        <v>2</v>
      </c>
      <c r="I739" s="45" t="str">
        <f>IF($G739="","",IF(COUNTIF(技能描述!$D:$D,$F739)&gt;0,VLOOKUP($F739&amp;$G739,技能描述!$A:$C,3,0),LEFT(VLOOKUP($E739,[1]Sheet1!$A:$J,10,0),FIND("_",VLOOKUP($E739,[1]Sheet1!$A:$J,10,0))-1)&amp;$G739))</f>
        <v/>
      </c>
      <c r="J739" s="45" t="str">
        <f>IF($I739="","",VLOOKUP($I739,技能描述!$A:$C,3,0))</f>
        <v/>
      </c>
      <c r="K739" s="45" t="str">
        <f>IF($I739="","",INDEX([2]Sheet1!$1:$1048576,MATCH($I739,[2]Sheet1!$A:$A,0),MATCH("description_damage",[2]Sheet1!$2:$2,0)))</f>
        <v/>
      </c>
      <c r="L739" s="80" t="str">
        <f>IF($K739="","",IF(LEN($K739)-LEN(SUBSTITUTE($K739,",",""))=0,VLOOKUP(INT($K739),[3]Sheet1!$A:$C,3,0),VLOOKUP(INT(LEFT($K739,FIND(",",$K739)-1)),[3]Sheet1!$A:$C,3,0)))</f>
        <v/>
      </c>
      <c r="M739" s="80" t="str">
        <f t="shared" si="75"/>
        <v/>
      </c>
      <c r="N739" s="45" t="str">
        <f>IF(LEN($K739)-LEN(SUBSTITUTE($K739,",",""))=1,VLOOKUP(INT(RIGHT($K739,LEN($K739)-FIND(",",$K739))),[3]Sheet1!$A:$C,3,0),"")</f>
        <v/>
      </c>
      <c r="O739" s="45" t="str">
        <f t="shared" si="72"/>
        <v/>
      </c>
      <c r="P739" s="45" t="str">
        <f t="shared" si="68"/>
        <v/>
      </c>
      <c r="Q739" s="45" t="str">
        <f t="shared" si="73"/>
        <v/>
      </c>
      <c r="R739" s="45"/>
      <c r="S739" s="45" t="str">
        <f>IF(ISERROR($Q739),"进阶+"&amp;COUNTIF($E$194:$E739,$E739)&amp;"："&amp;"找ZC配技能","进阶+"&amp;COUNTIF($E$194:$E739,$E739)&amp;"："&amp;VLOOKUP(COUNTIF($E$194:$E739,$E739),$L$184:$R$193,IF(H739=1,4,IF(H739=4,3,2))+IF(INDEX([1]Sheet1!$1:$1048576,MATCH($E739,[1]Sheet1!$A:$A,0),MATCH("zizhi",[1]Sheet1!$2:$2,0))&gt;=13,0,3),0)&amp;IF($Q739="","","（"&amp;$Q739&amp;"）"))</f>
        <v>进阶+6：暴击提高20%</v>
      </c>
      <c r="T739" s="1"/>
      <c r="U739" s="1"/>
      <c r="V739" s="2" t="str">
        <f>VLOOKUP(COUNTIF($E$194:$E739,$E739),$L$184:$X$193,IF(H739=1,4,IF(H739=4,3,2))+IF(INDEX([1]Sheet1!$1:$1048576,MATCH($E739,[1]Sheet1!$A:$A,0),MATCH("zizhi",[1]Sheet1!$2:$2,0))&gt;=13,0,3)+6,0)</f>
        <v>11080</v>
      </c>
      <c r="W739" s="2" t="str">
        <f t="shared" si="71"/>
        <v>进阶+6：暴击提高20%</v>
      </c>
      <c r="X739" s="45" t="str">
        <f t="shared" si="69"/>
        <v>11080</v>
      </c>
      <c r="Y739" s="2"/>
      <c r="Z739" s="2"/>
      <c r="AA739" s="2"/>
    </row>
    <row r="740" spans="1:27">
      <c r="A740" s="10">
        <f>E740*100+COUNTIF($E$194:$E740,$E740)</f>
        <v>119207</v>
      </c>
      <c r="B740" s="68" t="s">
        <v>359</v>
      </c>
      <c r="C740" s="50" t="s">
        <v>353</v>
      </c>
      <c r="D740" s="10" t="str">
        <f t="shared" si="74"/>
        <v>[]</v>
      </c>
      <c r="E740" s="45">
        <f>INDEX($I:$I,MATCH($E739,$I:$I,0)+IF(COUNTIF($E$194:$E739,$E739)&lt;=VLOOKUP($E739,$I$134:$K$193,3,0)-1,0,1),0)</f>
        <v>1192</v>
      </c>
      <c r="F740" s="45" t="str">
        <f t="shared" si="70"/>
        <v>琴仙</v>
      </c>
      <c r="H740" s="45">
        <f>VLOOKUP($E740,[1]Sheet1!$A:$G,7,0)</f>
        <v>2</v>
      </c>
      <c r="I740" s="45" t="str">
        <f>IF($G740="","",IF(COUNTIF(技能描述!$D:$D,$F740)&gt;0,VLOOKUP($F740&amp;$G740,技能描述!$A:$C,3,0),LEFT(VLOOKUP($E740,[1]Sheet1!$A:$J,10,0),FIND("_",VLOOKUP($E740,[1]Sheet1!$A:$J,10,0))-1)&amp;$G740))</f>
        <v/>
      </c>
      <c r="J740" s="45" t="str">
        <f>IF($I740="","",VLOOKUP($I740,技能描述!$A:$C,3,0))</f>
        <v/>
      </c>
      <c r="K740" s="45" t="str">
        <f>IF($I740="","",INDEX([2]Sheet1!$1:$1048576,MATCH($I740,[2]Sheet1!$A:$A,0),MATCH("description_damage",[2]Sheet1!$2:$2,0)))</f>
        <v/>
      </c>
      <c r="L740" s="80" t="str">
        <f>IF($K740="","",IF(LEN($K740)-LEN(SUBSTITUTE($K740,",",""))=0,VLOOKUP(INT($K740),[3]Sheet1!$A:$C,3,0),VLOOKUP(INT(LEFT($K740,FIND(",",$K740)-1)),[3]Sheet1!$A:$C,3,0)))</f>
        <v/>
      </c>
      <c r="M740" s="80" t="str">
        <f t="shared" si="75"/>
        <v/>
      </c>
      <c r="N740" s="45" t="str">
        <f>IF(LEN($K740)-LEN(SUBSTITUTE($K740,",",""))=1,VLOOKUP(INT(RIGHT($K740,LEN($K740)-FIND(",",$K740))),[3]Sheet1!$A:$C,3,0),"")</f>
        <v/>
      </c>
      <c r="O740" s="45" t="str">
        <f t="shared" si="72"/>
        <v/>
      </c>
      <c r="P740" s="45" t="str">
        <f t="shared" si="68"/>
        <v/>
      </c>
      <c r="Q740" s="45" t="str">
        <f t="shared" si="73"/>
        <v/>
      </c>
      <c r="R740" s="45"/>
      <c r="S740" s="45" t="str">
        <f>IF(ISERROR($Q740),"进阶+"&amp;COUNTIF($E$194:$E740,$E740)&amp;"："&amp;"找ZC配技能","进阶+"&amp;COUNTIF($E$194:$E740,$E740)&amp;"："&amp;VLOOKUP(COUNTIF($E$194:$E740,$E740),$L$184:$R$193,IF(H740=1,4,IF(H740=4,3,2))+IF(INDEX([1]Sheet1!$1:$1048576,MATCH($E740,[1]Sheet1!$A:$A,0),MATCH("zizhi",[1]Sheet1!$2:$2,0))&gt;=13,0,3),0)&amp;IF($Q740="","","（"&amp;$Q740&amp;"）"))</f>
        <v>进阶+7：全队攻击提高10%</v>
      </c>
      <c r="T740" s="1"/>
      <c r="U740" s="1"/>
      <c r="V740" s="2" t="str">
        <f>VLOOKUP(COUNTIF($E$194:$E740,$E740),$L$184:$X$193,IF(H740=1,4,IF(H740=4,3,2))+IF(INDEX([1]Sheet1!$1:$1048576,MATCH($E740,[1]Sheet1!$A:$A,0),MATCH("zizhi",[1]Sheet1!$2:$2,0))&gt;=13,0,3)+6,0)</f>
        <v>58010</v>
      </c>
      <c r="W740" s="2" t="str">
        <f t="shared" si="71"/>
        <v>进阶+7：全队攻击提高10%</v>
      </c>
      <c r="X740" s="45" t="str">
        <f t="shared" si="69"/>
        <v>58010</v>
      </c>
      <c r="Y740" s="2"/>
      <c r="Z740" s="2"/>
      <c r="AA740" s="2"/>
    </row>
    <row r="741" spans="1:27">
      <c r="A741" s="10">
        <f>E741*100+COUNTIF($E$194:$E741,$E741)</f>
        <v>119208</v>
      </c>
      <c r="B741" s="68" t="s">
        <v>316</v>
      </c>
      <c r="C741" s="50" t="s">
        <v>153</v>
      </c>
      <c r="D741" s="10" t="str">
        <f t="shared" si="74"/>
        <v>[]</v>
      </c>
      <c r="E741" s="45">
        <f>INDEX($I:$I,MATCH($E740,$I:$I,0)+IF(COUNTIF($E$194:$E740,$E740)&lt;=VLOOKUP($E740,$I$134:$K$193,3,0)-1,0,1),0)</f>
        <v>1192</v>
      </c>
      <c r="F741" s="45" t="str">
        <f t="shared" si="70"/>
        <v>琴仙</v>
      </c>
      <c r="H741" s="45">
        <f>VLOOKUP($E741,[1]Sheet1!$A:$G,7,0)</f>
        <v>2</v>
      </c>
      <c r="I741" s="45" t="str">
        <f>IF($G741="","",IF(COUNTIF(技能描述!$D:$D,$F741)&gt;0,VLOOKUP($F741&amp;$G741,技能描述!$A:$C,3,0),LEFT(VLOOKUP($E741,[1]Sheet1!$A:$J,10,0),FIND("_",VLOOKUP($E741,[1]Sheet1!$A:$J,10,0))-1)&amp;$G741))</f>
        <v/>
      </c>
      <c r="J741" s="45" t="str">
        <f>IF($I741="","",VLOOKUP($I741,技能描述!$A:$C,3,0))</f>
        <v/>
      </c>
      <c r="K741" s="45" t="str">
        <f>IF($I741="","",INDEX([2]Sheet1!$1:$1048576,MATCH($I741,[2]Sheet1!$A:$A,0),MATCH("description_damage",[2]Sheet1!$2:$2,0)))</f>
        <v/>
      </c>
      <c r="L741" s="80" t="str">
        <f>IF($K741="","",IF(LEN($K741)-LEN(SUBSTITUTE($K741,",",""))=0,VLOOKUP(INT($K741),[3]Sheet1!$A:$C,3,0),VLOOKUP(INT(LEFT($K741,FIND(",",$K741)-1)),[3]Sheet1!$A:$C,3,0)))</f>
        <v/>
      </c>
      <c r="M741" s="80" t="str">
        <f t="shared" si="75"/>
        <v/>
      </c>
      <c r="N741" s="45" t="str">
        <f>IF(LEN($K741)-LEN(SUBSTITUTE($K741,",",""))=1,VLOOKUP(INT(RIGHT($K741,LEN($K741)-FIND(",",$K741))),[3]Sheet1!$A:$C,3,0),"")</f>
        <v/>
      </c>
      <c r="O741" s="45" t="str">
        <f t="shared" si="72"/>
        <v/>
      </c>
      <c r="P741" s="45" t="str">
        <f t="shared" si="68"/>
        <v/>
      </c>
      <c r="Q741" s="45" t="str">
        <f t="shared" si="73"/>
        <v/>
      </c>
      <c r="R741" s="45"/>
      <c r="S741" s="45" t="str">
        <f>IF(ISERROR($Q741),"进阶+"&amp;COUNTIF($E$194:$E741,$E741)&amp;"："&amp;"找ZC配技能","进阶+"&amp;COUNTIF($E$194:$E741,$E741)&amp;"："&amp;VLOOKUP(COUNTIF($E$194:$E741,$E741),$L$184:$R$193,IF(H741=1,4,IF(H741=4,3,2))+IF(INDEX([1]Sheet1!$1:$1048576,MATCH($E741,[1]Sheet1!$A:$A,0),MATCH("zizhi",[1]Sheet1!$2:$2,0))&gt;=13,0,3),0)&amp;IF($Q741="","","（"&amp;$Q741&amp;"）"))</f>
        <v>进阶+8：命中提高15%</v>
      </c>
      <c r="T741" s="1"/>
      <c r="U741" s="1"/>
      <c r="V741" s="2" t="str">
        <f>VLOOKUP(COUNTIF($E$194:$E741,$E741),$L$184:$X$193,IF(H741=1,4,IF(H741=4,3,2))+IF(INDEX([1]Sheet1!$1:$1048576,MATCH($E741,[1]Sheet1!$A:$A,0),MATCH("zizhi",[1]Sheet1!$2:$2,0))&gt;=13,0,3)+6,0)</f>
        <v>11035</v>
      </c>
      <c r="W741" s="2" t="str">
        <f t="shared" si="71"/>
        <v>进阶+8：命中提高15%</v>
      </c>
      <c r="X741" s="45" t="str">
        <f t="shared" si="69"/>
        <v>11035</v>
      </c>
      <c r="Y741" s="2"/>
      <c r="Z741" s="2"/>
      <c r="AA741" s="2"/>
    </row>
    <row r="742" spans="1:27">
      <c r="A742" s="10">
        <f>E742*100+COUNTIF($E$194:$E742,$E742)</f>
        <v>150401</v>
      </c>
      <c r="B742" s="68" t="s">
        <v>319</v>
      </c>
      <c r="C742" s="50">
        <v>11090</v>
      </c>
      <c r="D742" s="10" t="str">
        <f t="shared" si="74"/>
        <v>[]</v>
      </c>
      <c r="E742" s="45">
        <f>INDEX($I:$I,MATCH($E741,$I:$I,0)+IF(COUNTIF($E$194:$E741,$E741)&lt;=VLOOKUP($E741,$I$134:$K$193,3,0)-1,0,1),0)</f>
        <v>1504</v>
      </c>
      <c r="F742" s="45" t="str">
        <f t="shared" si="70"/>
        <v>蟹将</v>
      </c>
      <c r="H742" s="45">
        <f>VLOOKUP($E742,[1]Sheet1!$A:$G,7,0)</f>
        <v>4</v>
      </c>
      <c r="I742" s="45" t="str">
        <f>IF($G742="","",IF(COUNTIF(技能描述!$D:$D,$F742)&gt;0,VLOOKUP($F742&amp;$G742,技能描述!$A:$C,3,0),LEFT(VLOOKUP($E742,[1]Sheet1!$A:$J,10,0),FIND("_",VLOOKUP($E742,[1]Sheet1!$A:$J,10,0))-1)&amp;$G742))</f>
        <v/>
      </c>
      <c r="J742" s="45" t="str">
        <f>IF($I742="","",VLOOKUP($I742,技能描述!$A:$C,3,0))</f>
        <v/>
      </c>
      <c r="K742" s="45" t="str">
        <f>IF($I742="","",INDEX([2]Sheet1!$1:$1048576,MATCH($I742,[2]Sheet1!$A:$A,0),MATCH("description_damage",[2]Sheet1!$2:$2,0)))</f>
        <v/>
      </c>
      <c r="L742" s="80" t="str">
        <f>IF($K742="","",IF(LEN($K742)-LEN(SUBSTITUTE($K742,",",""))=0,VLOOKUP(INT($K742),[3]Sheet1!$A:$C,3,0),VLOOKUP(INT(LEFT($K742,FIND(",",$K742)-1)),[3]Sheet1!$A:$C,3,0)))</f>
        <v/>
      </c>
      <c r="M742" s="80" t="str">
        <f t="shared" si="75"/>
        <v/>
      </c>
      <c r="N742" s="45" t="str">
        <f>IF(LEN($K742)-LEN(SUBSTITUTE($K742,",",""))=1,VLOOKUP(INT(RIGHT($K742,LEN($K742)-FIND(",",$K742))),[3]Sheet1!$A:$C,3,0),"")</f>
        <v/>
      </c>
      <c r="O742" s="45" t="str">
        <f t="shared" si="72"/>
        <v/>
      </c>
      <c r="P742" s="45" t="str">
        <f t="shared" si="68"/>
        <v/>
      </c>
      <c r="Q742" s="45" t="str">
        <f t="shared" si="73"/>
        <v/>
      </c>
      <c r="R742" s="45"/>
      <c r="S742" s="45" t="str">
        <f>IF(ISERROR($Q742),"进阶+"&amp;COUNTIF($E$194:$E742,$E742)&amp;"："&amp;"找ZC配技能","进阶+"&amp;COUNTIF($E$194:$E742,$E742)&amp;"："&amp;VLOOKUP(COUNTIF($E$194:$E742,$E742),$L$184:$R$193,IF(H742=1,4,IF(H742=4,3,2))+IF(INDEX([1]Sheet1!$1:$1048576,MATCH($E742,[1]Sheet1!$A:$A,0),MATCH("zizhi",[1]Sheet1!$2:$2,0))&gt;=13,0,3),0)&amp;IF($Q742="","","（"&amp;$Q742&amp;"）"))</f>
        <v>进阶+1：生命提高10%</v>
      </c>
      <c r="T742" s="1"/>
      <c r="U742" s="1"/>
      <c r="V742" s="2">
        <f>VLOOKUP(COUNTIF($E$194:$E742,$E742),$L$184:$X$193,IF(H742=1,4,IF(H742=4,3,2))+IF(INDEX([1]Sheet1!$1:$1048576,MATCH($E742,[1]Sheet1!$A:$A,0),MATCH("zizhi",[1]Sheet1!$2:$2,0))&gt;=13,0,3)+6,0)</f>
        <v>11090</v>
      </c>
      <c r="W742" s="2" t="str">
        <f t="shared" si="71"/>
        <v>进阶+1：生命提高10%</v>
      </c>
      <c r="X742" s="45">
        <f t="shared" si="69"/>
        <v>11090</v>
      </c>
      <c r="Y742" s="2"/>
      <c r="Z742" s="2"/>
      <c r="AA742" s="2"/>
    </row>
    <row r="743" spans="1:27" ht="33">
      <c r="A743" s="10">
        <f>E743*100+COUNTIF($E$194:$E743,$E743)</f>
        <v>150402</v>
      </c>
      <c r="B743" s="68" t="s">
        <v>368</v>
      </c>
      <c r="C743" s="50" t="s">
        <v>2</v>
      </c>
      <c r="D743" s="10">
        <f t="shared" si="74"/>
        <v>1</v>
      </c>
      <c r="E743" s="45">
        <f>INDEX($I:$I,MATCH($E742,$I:$I,0)+IF(COUNTIF($E$194:$E742,$E742)&lt;=VLOOKUP($E742,$I$134:$K$193,3,0)-1,0,1),0)</f>
        <v>1504</v>
      </c>
      <c r="F743" s="45" t="str">
        <f t="shared" si="70"/>
        <v>蟹将</v>
      </c>
      <c r="G743" s="45" t="s">
        <v>216</v>
      </c>
      <c r="H743" s="45">
        <f>VLOOKUP($E743,[1]Sheet1!$A:$G,7,0)</f>
        <v>4</v>
      </c>
      <c r="I743" s="45" t="str">
        <f>IF($G743="","",IF(COUNTIF(技能描述!$D:$D,$F743)&gt;0,VLOOKUP($F743&amp;$G743,技能描述!$A:$C,3,0),LEFT(VLOOKUP($E743,[1]Sheet1!$A:$J,10,0),FIND("_",VLOOKUP($E743,[1]Sheet1!$A:$J,10,0))-1)&amp;$G743))</f>
        <v>leigong_skill03</v>
      </c>
      <c r="J743" s="45" t="str">
        <f>IF($I743="","",VLOOKUP($I743,技能描述!$A:$C,3,0))</f>
        <v>进入战斗场景时，攻击有@s的几率将目标眩晕1秒</v>
      </c>
      <c r="K743" s="45" t="str">
        <f>IF($I743="","",INDEX([2]Sheet1!$1:$1048576,MATCH($I743,[2]Sheet1!$A:$A,0),MATCH("description_damage",[2]Sheet1!$2:$2,0)))</f>
        <v>9010</v>
      </c>
      <c r="L743" s="80" t="str">
        <f>IF($K743="","",IF(LEN($K743)-LEN(SUBSTITUTE($K743,",",""))=0,VLOOKUP(INT($K743),[3]Sheet1!$A:$C,3,0),VLOOKUP(INT(LEFT($K743,FIND(",",$K743)-1)),[3]Sheet1!$A:$C,3,0)))</f>
        <v>4|3|0.1|0|1</v>
      </c>
      <c r="M743" s="80" t="str">
        <f t="shared" si="75"/>
        <v>10%</v>
      </c>
      <c r="N743" s="45" t="str">
        <f>IF(LEN($K743)-LEN(SUBSTITUTE($K743,",",""))=1,VLOOKUP(INT(RIGHT($K743,LEN($K743)-FIND(",",$K743))),[3]Sheet1!$A:$C,3,0),"")</f>
        <v/>
      </c>
      <c r="O743" s="45" t="str">
        <f t="shared" si="72"/>
        <v/>
      </c>
      <c r="P743" s="45" t="str">
        <f t="shared" si="68"/>
        <v>进入战斗场景时，攻击有10%的几率将目标眩晕1秒</v>
      </c>
      <c r="Q743" s="45" t="str">
        <f t="shared" si="73"/>
        <v>进入战斗场景时，攻击有10%的几率将目标眩晕1秒</v>
      </c>
      <c r="R743" s="45"/>
      <c r="S743" s="45" t="str">
        <f>IF(ISERROR($Q743),"进阶+"&amp;COUNTIF($E$194:$E743,$E743)&amp;"："&amp;"找ZC配技能","进阶+"&amp;COUNTIF($E$194:$E743,$E743)&amp;"："&amp;VLOOKUP(COUNTIF($E$194:$E743,$E743),$L$184:$R$193,IF(H743=1,4,IF(H743=4,3,2))+IF(INDEX([1]Sheet1!$1:$1048576,MATCH($E743,[1]Sheet1!$A:$A,0),MATCH("zizhi",[1]Sheet1!$2:$2,0))&gt;=13,0,3),0)&amp;IF($Q743="","","（"&amp;$Q743&amp;"）"))</f>
        <v>进阶+2：激活被动技能（进入战斗场景时，攻击有10%的几率将目标眩晕1秒）</v>
      </c>
      <c r="T743" s="1"/>
      <c r="U743" s="1"/>
      <c r="V743" s="2" t="str">
        <f>VLOOKUP(COUNTIF($E$194:$E743,$E743),$L$184:$X$193,IF(H743=1,4,IF(H743=4,3,2))+IF(INDEX([1]Sheet1!$1:$1048576,MATCH($E743,[1]Sheet1!$A:$A,0),MATCH("zizhi",[1]Sheet1!$2:$2,0))&gt;=13,0,3)+6,0)</f>
        <v>[]</v>
      </c>
      <c r="W743" s="2" t="str">
        <f t="shared" si="71"/>
        <v>进阶+2：激活被动技能（进入战斗场景时，攻击有10%的几率将目标眩晕1秒）</v>
      </c>
      <c r="X743" s="45" t="str">
        <f t="shared" si="69"/>
        <v>[]</v>
      </c>
      <c r="Y743" s="2"/>
      <c r="Z743" s="2"/>
      <c r="AA743" s="2"/>
    </row>
    <row r="744" spans="1:27">
      <c r="A744" s="10">
        <f>E744*100+COUNTIF($E$194:$E744,$E744)</f>
        <v>150403</v>
      </c>
      <c r="B744" s="68" t="s">
        <v>324</v>
      </c>
      <c r="C744" s="50" t="s">
        <v>140</v>
      </c>
      <c r="D744" s="10" t="str">
        <f t="shared" si="74"/>
        <v>[]</v>
      </c>
      <c r="E744" s="45">
        <f>INDEX($I:$I,MATCH($E743,$I:$I,0)+IF(COUNTIF($E$194:$E743,$E743)&lt;=VLOOKUP($E743,$I$134:$K$193,3,0)-1,0,1),0)</f>
        <v>1504</v>
      </c>
      <c r="F744" s="45" t="str">
        <f t="shared" si="70"/>
        <v>蟹将</v>
      </c>
      <c r="H744" s="45">
        <f>VLOOKUP($E744,[1]Sheet1!$A:$G,7,0)</f>
        <v>4</v>
      </c>
      <c r="I744" s="45" t="str">
        <f>IF($G744="","",IF(COUNTIF(技能描述!$D:$D,$F744)&gt;0,VLOOKUP($F744&amp;$G744,技能描述!$A:$C,3,0),LEFT(VLOOKUP($E744,[1]Sheet1!$A:$J,10,0),FIND("_",VLOOKUP($E744,[1]Sheet1!$A:$J,10,0))-1)&amp;$G744))</f>
        <v/>
      </c>
      <c r="J744" s="45" t="str">
        <f>IF($I744="","",VLOOKUP($I744,技能描述!$A:$C,3,0))</f>
        <v/>
      </c>
      <c r="K744" s="45" t="str">
        <f>IF($I744="","",INDEX([2]Sheet1!$1:$1048576,MATCH($I744,[2]Sheet1!$A:$A,0),MATCH("description_damage",[2]Sheet1!$2:$2,0)))</f>
        <v/>
      </c>
      <c r="L744" s="80" t="str">
        <f>IF($K744="","",IF(LEN($K744)-LEN(SUBSTITUTE($K744,",",""))=0,VLOOKUP(INT($K744),[3]Sheet1!$A:$C,3,0),VLOOKUP(INT(LEFT($K744,FIND(",",$K744)-1)),[3]Sheet1!$A:$C,3,0)))</f>
        <v/>
      </c>
      <c r="M744" s="80" t="str">
        <f t="shared" si="75"/>
        <v/>
      </c>
      <c r="N744" s="45" t="str">
        <f>IF(LEN($K744)-LEN(SUBSTITUTE($K744,",",""))=1,VLOOKUP(INT(RIGHT($K744,LEN($K744)-FIND(",",$K744))),[3]Sheet1!$A:$C,3,0),"")</f>
        <v/>
      </c>
      <c r="O744" s="45" t="str">
        <f t="shared" si="72"/>
        <v/>
      </c>
      <c r="P744" s="45" t="str">
        <f t="shared" si="68"/>
        <v/>
      </c>
      <c r="Q744" s="45" t="str">
        <f t="shared" si="73"/>
        <v/>
      </c>
      <c r="R744" s="45"/>
      <c r="S744" s="45" t="str">
        <f>IF(ISERROR($Q744),"进阶+"&amp;COUNTIF($E$194:$E744,$E744)&amp;"："&amp;"找ZC配技能","进阶+"&amp;COUNTIF($E$194:$E744,$E744)&amp;"："&amp;VLOOKUP(COUNTIF($E$194:$E744,$E744),$L$184:$R$193,IF(H744=1,4,IF(H744=4,3,2))+IF(INDEX([1]Sheet1!$1:$1048576,MATCH($E744,[1]Sheet1!$A:$A,0),MATCH("zizhi",[1]Sheet1!$2:$2,0))&gt;=13,0,3),0)&amp;IF($Q744="","","（"&amp;$Q744&amp;"）"))</f>
        <v>进阶+3：生命，防御提高10%</v>
      </c>
      <c r="T744" s="1"/>
      <c r="U744" s="1"/>
      <c r="V744" s="2" t="str">
        <f>VLOOKUP(COUNTIF($E$194:$E744,$E744),$L$184:$X$193,IF(H744=1,4,IF(H744=4,3,2))+IF(INDEX([1]Sheet1!$1:$1048576,MATCH($E744,[1]Sheet1!$A:$A,0),MATCH("zizhi",[1]Sheet1!$2:$2,0))&gt;=13,0,3)+6,0)</f>
        <v>11090,6502,6512</v>
      </c>
      <c r="W744" s="2" t="str">
        <f t="shared" si="71"/>
        <v>进阶+3：生命，防御提高10%</v>
      </c>
      <c r="X744" s="45" t="str">
        <f t="shared" si="69"/>
        <v>11090,6502,6512</v>
      </c>
      <c r="Y744" s="2"/>
      <c r="Z744" s="2"/>
      <c r="AA744" s="2"/>
    </row>
    <row r="745" spans="1:27" ht="33">
      <c r="A745" s="10">
        <f>E745*100+COUNTIF($E$194:$E745,$E745)</f>
        <v>150404</v>
      </c>
      <c r="B745" s="68" t="s">
        <v>1891</v>
      </c>
      <c r="C745" s="50" t="s">
        <v>2</v>
      </c>
      <c r="D745" s="10">
        <f t="shared" si="74"/>
        <v>1</v>
      </c>
      <c r="E745" s="45">
        <f>INDEX($I:$I,MATCH($E744,$I:$I,0)+IF(COUNTIF($E$194:$E744,$E744)&lt;=VLOOKUP($E744,$I$134:$K$193,3,0)-1,0,1),0)</f>
        <v>1504</v>
      </c>
      <c r="F745" s="45" t="str">
        <f t="shared" si="70"/>
        <v>蟹将</v>
      </c>
      <c r="G745" s="45" t="s">
        <v>217</v>
      </c>
      <c r="H745" s="45">
        <f>VLOOKUP($E745,[1]Sheet1!$A:$G,7,0)</f>
        <v>4</v>
      </c>
      <c r="I745" s="45" t="str">
        <f>IF($G745="","",IF(COUNTIF(技能描述!$D:$D,$F745)&gt;0,VLOOKUP($F745&amp;$G745,技能描述!$A:$C,3,0),LEFT(VLOOKUP($E745,[1]Sheet1!$A:$J,10,0),FIND("_",VLOOKUP($E745,[1]Sheet1!$A:$J,10,0))-1)&amp;$G745))</f>
        <v>leigong_skill04</v>
      </c>
      <c r="J745" s="45" t="str">
        <f>IF($I745="","",VLOOKUP($I745,技能描述!$A:$C,3,0))</f>
        <v>雷公举起神锤凝聚雷电之力后砸向敌军，对范围内目标造成自身攻击力@s的伤害</v>
      </c>
      <c r="K745" s="45" t="str">
        <f>IF($I745="","",INDEX([2]Sheet1!$1:$1048576,MATCH($I745,[2]Sheet1!$A:$A,0),MATCH("description_damage",[2]Sheet1!$2:$2,0)))</f>
        <v>113304</v>
      </c>
      <c r="L745" s="80" t="str">
        <f>IF($K745="","",IF(LEN($K745)-LEN(SUBSTITUTE($K745,",",""))=0,VLOOKUP(INT($K745),[3]Sheet1!$A:$C,3,0),VLOOKUP(INT(LEFT($K745,FIND(",",$K745)-1)),[3]Sheet1!$A:$C,3,0)))</f>
        <v>2|2|1.35|0|0|0</v>
      </c>
      <c r="M745" s="80" t="str">
        <f t="shared" si="75"/>
        <v>135%</v>
      </c>
      <c r="N745" s="45" t="str">
        <f>IF(LEN($K745)-LEN(SUBSTITUTE($K745,",",""))=1,VLOOKUP(INT(RIGHT($K745,LEN($K745)-FIND(",",$K745))),[3]Sheet1!$A:$C,3,0),"")</f>
        <v/>
      </c>
      <c r="O745" s="45" t="str">
        <f t="shared" si="72"/>
        <v/>
      </c>
      <c r="P745" s="45" t="str">
        <f t="shared" si="68"/>
        <v>雷公举起神锤凝聚雷电之力后砸向敌军，对范围内目标造成自身攻击力135%的伤害</v>
      </c>
      <c r="Q745" s="45" t="str">
        <f t="shared" si="73"/>
        <v>雷公举起神锤凝聚雷电之力后砸向敌军，对范围内目标造成自身攻击力135%的伤害</v>
      </c>
      <c r="R745" s="45"/>
      <c r="S745" s="45" t="str">
        <f>IF(ISERROR($Q745),"进阶+"&amp;COUNTIF($E$194:$E745,$E745)&amp;"："&amp;"找ZC配技能","进阶+"&amp;COUNTIF($E$194:$E745,$E745)&amp;"："&amp;VLOOKUP(COUNTIF($E$194:$E745,$E745),$L$184:$R$193,IF(H745=1,4,IF(H745=4,3,2))+IF(INDEX([1]Sheet1!$1:$1048576,MATCH($E745,[1]Sheet1!$A:$A,0),MATCH("zizhi",[1]Sheet1!$2:$2,0))&gt;=13,0,3),0)&amp;IF($Q745="","","（"&amp;$Q745&amp;"）"))</f>
        <v>进阶+4：激活AI2技能（雷公举起神锤凝聚雷电之力后砸向敌军，对范围内目标造成自身攻击力135%的伤害）</v>
      </c>
      <c r="T745" s="1"/>
      <c r="U745" s="1"/>
      <c r="V745" s="2" t="str">
        <f>VLOOKUP(COUNTIF($E$194:$E745,$E745),$L$184:$X$193,IF(H745=1,4,IF(H745=4,3,2))+IF(INDEX([1]Sheet1!$1:$1048576,MATCH($E745,[1]Sheet1!$A:$A,0),MATCH("zizhi",[1]Sheet1!$2:$2,0))&gt;=13,0,3)+6,0)</f>
        <v>[]</v>
      </c>
      <c r="W745" s="2" t="str">
        <f t="shared" si="71"/>
        <v>进阶+4：激活AI2技能（雷公举起神锤凝聚雷电之力后砸向敌军，对范围内目标造成自身攻击力135%的伤害）</v>
      </c>
      <c r="X745" s="45" t="str">
        <f t="shared" si="69"/>
        <v>[]</v>
      </c>
      <c r="Y745" s="2"/>
      <c r="Z745" s="2"/>
      <c r="AA745" s="2"/>
    </row>
    <row r="746" spans="1:27">
      <c r="A746" s="10">
        <f>E746*100+COUNTIF($E$194:$E746,$E746)</f>
        <v>150405</v>
      </c>
      <c r="B746" s="68" t="s">
        <v>320</v>
      </c>
      <c r="C746" s="50" t="s">
        <v>239</v>
      </c>
      <c r="D746" s="10" t="str">
        <f t="shared" si="74"/>
        <v>[]</v>
      </c>
      <c r="E746" s="45">
        <f>INDEX($I:$I,MATCH($E745,$I:$I,0)+IF(COUNTIF($E$194:$E745,$E745)&lt;=VLOOKUP($E745,$I$134:$K$193,3,0)-1,0,1),0)</f>
        <v>1504</v>
      </c>
      <c r="F746" s="45" t="str">
        <f t="shared" si="70"/>
        <v>蟹将</v>
      </c>
      <c r="H746" s="45">
        <f>VLOOKUP($E746,[1]Sheet1!$A:$G,7,0)</f>
        <v>4</v>
      </c>
      <c r="I746" s="45" t="str">
        <f>IF($G746="","",IF(COUNTIF(技能描述!$D:$D,$F746)&gt;0,VLOOKUP($F746&amp;$G746,技能描述!$A:$C,3,0),LEFT(VLOOKUP($E746,[1]Sheet1!$A:$J,10,0),FIND("_",VLOOKUP($E746,[1]Sheet1!$A:$J,10,0))-1)&amp;$G746))</f>
        <v/>
      </c>
      <c r="J746" s="45" t="str">
        <f>IF($I746="","",VLOOKUP($I746,技能描述!$A:$C,3,0))</f>
        <v/>
      </c>
      <c r="K746" s="45" t="str">
        <f>IF($I746="","",INDEX([2]Sheet1!$1:$1048576,MATCH($I746,[2]Sheet1!$A:$A,0),MATCH("description_damage",[2]Sheet1!$2:$2,0)))</f>
        <v/>
      </c>
      <c r="L746" s="80" t="str">
        <f>IF($K746="","",IF(LEN($K746)-LEN(SUBSTITUTE($K746,",",""))=0,VLOOKUP(INT($K746),[3]Sheet1!$A:$C,3,0),VLOOKUP(INT(LEFT($K746,FIND(",",$K746)-1)),[3]Sheet1!$A:$C,3,0)))</f>
        <v/>
      </c>
      <c r="M746" s="80" t="str">
        <f t="shared" si="75"/>
        <v/>
      </c>
      <c r="N746" s="45" t="str">
        <f>IF(LEN($K746)-LEN(SUBSTITUTE($K746,",",""))=1,VLOOKUP(INT(RIGHT($K746,LEN($K746)-FIND(",",$K746))),[3]Sheet1!$A:$C,3,0),"")</f>
        <v/>
      </c>
      <c r="O746" s="45" t="str">
        <f t="shared" si="72"/>
        <v/>
      </c>
      <c r="P746" s="45" t="str">
        <f t="shared" si="68"/>
        <v/>
      </c>
      <c r="Q746" s="45" t="str">
        <f t="shared" si="73"/>
        <v/>
      </c>
      <c r="R746" s="45"/>
      <c r="S746" s="45" t="str">
        <f>IF(ISERROR($Q746),"进阶+"&amp;COUNTIF($E$194:$E746,$E746)&amp;"："&amp;"找ZC配技能","进阶+"&amp;COUNTIF($E$194:$E746,$E746)&amp;"："&amp;VLOOKUP(COUNTIF($E$194:$E746,$E746),$L$184:$R$193,IF(H746=1,4,IF(H746=4,3,2))+IF(INDEX([1]Sheet1!$1:$1048576,MATCH($E746,[1]Sheet1!$A:$A,0),MATCH("zizhi",[1]Sheet1!$2:$2,0))&gt;=13,0,3),0)&amp;IF($Q746="","","（"&amp;$Q746&amp;"）"))</f>
        <v>进阶+5：攻击提高15%</v>
      </c>
      <c r="T746" s="1"/>
      <c r="U746" s="1"/>
      <c r="V746" s="2" t="str">
        <f>VLOOKUP(COUNTIF($E$194:$E746,$E746),$L$184:$X$193,IF(H746=1,4,IF(H746=4,3,2))+IF(INDEX([1]Sheet1!$1:$1048576,MATCH($E746,[1]Sheet1!$A:$A,0),MATCH("zizhi",[1]Sheet1!$2:$2,0))&gt;=13,0,3)+6,0)</f>
        <v>11055</v>
      </c>
      <c r="W746" s="2" t="str">
        <f t="shared" si="71"/>
        <v>进阶+5：攻击提高15%</v>
      </c>
      <c r="X746" s="45" t="str">
        <f t="shared" si="69"/>
        <v>11055</v>
      </c>
      <c r="Y746" s="2"/>
      <c r="Z746" s="2"/>
      <c r="AA746" s="2"/>
    </row>
    <row r="747" spans="1:27">
      <c r="A747" s="10">
        <f>E747*100+COUNTIF($E$194:$E747,$E747)</f>
        <v>150406</v>
      </c>
      <c r="B747" s="68" t="s">
        <v>321</v>
      </c>
      <c r="C747" s="50" t="s">
        <v>255</v>
      </c>
      <c r="D747" s="10" t="str">
        <f t="shared" si="74"/>
        <v>[]</v>
      </c>
      <c r="E747" s="45">
        <f>INDEX($I:$I,MATCH($E746,$I:$I,0)+IF(COUNTIF($E$194:$E746,$E746)&lt;=VLOOKUP($E746,$I$134:$K$193,3,0)-1,0,1),0)</f>
        <v>1504</v>
      </c>
      <c r="F747" s="45" t="str">
        <f t="shared" si="70"/>
        <v>蟹将</v>
      </c>
      <c r="H747" s="45">
        <f>VLOOKUP($E747,[1]Sheet1!$A:$G,7,0)</f>
        <v>4</v>
      </c>
      <c r="I747" s="45" t="str">
        <f>IF($G747="","",IF(COUNTIF(技能描述!$D:$D,$F747)&gt;0,VLOOKUP($F747&amp;$G747,技能描述!$A:$C,3,0),LEFT(VLOOKUP($E747,[1]Sheet1!$A:$J,10,0),FIND("_",VLOOKUP($E747,[1]Sheet1!$A:$J,10,0))-1)&amp;$G747))</f>
        <v/>
      </c>
      <c r="J747" s="45" t="str">
        <f>IF($I747="","",VLOOKUP($I747,技能描述!$A:$C,3,0))</f>
        <v/>
      </c>
      <c r="K747" s="45" t="str">
        <f>IF($I747="","",INDEX([2]Sheet1!$1:$1048576,MATCH($I747,[2]Sheet1!$A:$A,0),MATCH("description_damage",[2]Sheet1!$2:$2,0)))</f>
        <v/>
      </c>
      <c r="L747" s="80" t="str">
        <f>IF($K747="","",IF(LEN($K747)-LEN(SUBSTITUTE($K747,",",""))=0,VLOOKUP(INT($K747),[3]Sheet1!$A:$C,3,0),VLOOKUP(INT(LEFT($K747,FIND(",",$K747)-1)),[3]Sheet1!$A:$C,3,0)))</f>
        <v/>
      </c>
      <c r="M747" s="80" t="str">
        <f t="shared" si="75"/>
        <v/>
      </c>
      <c r="N747" s="45" t="str">
        <f>IF(LEN($K747)-LEN(SUBSTITUTE($K747,",",""))=1,VLOOKUP(INT(RIGHT($K747,LEN($K747)-FIND(",",$K747))),[3]Sheet1!$A:$C,3,0),"")</f>
        <v/>
      </c>
      <c r="O747" s="45" t="str">
        <f t="shared" si="72"/>
        <v/>
      </c>
      <c r="P747" s="45" t="str">
        <f t="shared" si="68"/>
        <v/>
      </c>
      <c r="Q747" s="45" t="str">
        <f t="shared" si="73"/>
        <v/>
      </c>
      <c r="R747" s="45"/>
      <c r="S747" s="45" t="str">
        <f>IF(ISERROR($Q747),"进阶+"&amp;COUNTIF($E$194:$E747,$E747)&amp;"："&amp;"找ZC配技能","进阶+"&amp;COUNTIF($E$194:$E747,$E747)&amp;"："&amp;VLOOKUP(COUNTIF($E$194:$E747,$E747),$L$184:$R$193,IF(H747=1,4,IF(H747=4,3,2))+IF(INDEX([1]Sheet1!$1:$1048576,MATCH($E747,[1]Sheet1!$A:$A,0),MATCH("zizhi",[1]Sheet1!$2:$2,0))&gt;=13,0,3),0)&amp;IF($Q747="","","（"&amp;$Q747&amp;"）"))</f>
        <v>进阶+6：抗暴提高20%</v>
      </c>
      <c r="T747" s="1"/>
      <c r="U747" s="1"/>
      <c r="V747" s="2" t="str">
        <f>VLOOKUP(COUNTIF($E$194:$E747,$E747),$L$184:$X$193,IF(H747=1,4,IF(H747=4,3,2))+IF(INDEX([1]Sheet1!$1:$1048576,MATCH($E747,[1]Sheet1!$A:$A,0),MATCH("zizhi",[1]Sheet1!$2:$2,0))&gt;=13,0,3)+6,0)</f>
        <v>11160</v>
      </c>
      <c r="W747" s="2" t="str">
        <f t="shared" si="71"/>
        <v>进阶+6：抗暴提高20%</v>
      </c>
      <c r="X747" s="45" t="str">
        <f t="shared" si="69"/>
        <v>11160</v>
      </c>
      <c r="Y747" s="2"/>
      <c r="Z747" s="2"/>
      <c r="AA747" s="2"/>
    </row>
    <row r="748" spans="1:27">
      <c r="A748" s="10">
        <f>E748*100+COUNTIF($E$194:$E748,$E748)</f>
        <v>150407</v>
      </c>
      <c r="B748" s="68" t="s">
        <v>360</v>
      </c>
      <c r="C748" s="50" t="s">
        <v>354</v>
      </c>
      <c r="D748" s="10" t="str">
        <f t="shared" si="74"/>
        <v>[]</v>
      </c>
      <c r="E748" s="45">
        <f>INDEX($I:$I,MATCH($E747,$I:$I,0)+IF(COUNTIF($E$194:$E747,$E747)&lt;=VLOOKUP($E747,$I$134:$K$193,3,0)-1,0,1),0)</f>
        <v>1504</v>
      </c>
      <c r="F748" s="45" t="str">
        <f t="shared" si="70"/>
        <v>蟹将</v>
      </c>
      <c r="H748" s="45">
        <f>VLOOKUP($E748,[1]Sheet1!$A:$G,7,0)</f>
        <v>4</v>
      </c>
      <c r="I748" s="45" t="str">
        <f>IF($G748="","",IF(COUNTIF(技能描述!$D:$D,$F748)&gt;0,VLOOKUP($F748&amp;$G748,技能描述!$A:$C,3,0),LEFT(VLOOKUP($E748,[1]Sheet1!$A:$J,10,0),FIND("_",VLOOKUP($E748,[1]Sheet1!$A:$J,10,0))-1)&amp;$G748))</f>
        <v/>
      </c>
      <c r="J748" s="45" t="str">
        <f>IF($I748="","",VLOOKUP($I748,技能描述!$A:$C,3,0))</f>
        <v/>
      </c>
      <c r="K748" s="45" t="str">
        <f>IF($I748="","",INDEX([2]Sheet1!$1:$1048576,MATCH($I748,[2]Sheet1!$A:$A,0),MATCH("description_damage",[2]Sheet1!$2:$2,0)))</f>
        <v/>
      </c>
      <c r="L748" s="80" t="str">
        <f>IF($K748="","",IF(LEN($K748)-LEN(SUBSTITUTE($K748,",",""))=0,VLOOKUP(INT($K748),[3]Sheet1!$A:$C,3,0),VLOOKUP(INT(LEFT($K748,FIND(",",$K748)-1)),[3]Sheet1!$A:$C,3,0)))</f>
        <v/>
      </c>
      <c r="M748" s="80" t="str">
        <f t="shared" si="75"/>
        <v/>
      </c>
      <c r="N748" s="45" t="str">
        <f>IF(LEN($K748)-LEN(SUBSTITUTE($K748,",",""))=1,VLOOKUP(INT(RIGHT($K748,LEN($K748)-FIND(",",$K748))),[3]Sheet1!$A:$C,3,0),"")</f>
        <v/>
      </c>
      <c r="O748" s="45" t="str">
        <f t="shared" si="72"/>
        <v/>
      </c>
      <c r="P748" s="45" t="str">
        <f t="shared" si="68"/>
        <v/>
      </c>
      <c r="Q748" s="45" t="str">
        <f t="shared" si="73"/>
        <v/>
      </c>
      <c r="R748" s="45"/>
      <c r="S748" s="45" t="str">
        <f>IF(ISERROR($Q748),"进阶+"&amp;COUNTIF($E$194:$E748,$E748)&amp;"："&amp;"找ZC配技能","进阶+"&amp;COUNTIF($E$194:$E748,$E748)&amp;"："&amp;VLOOKUP(COUNTIF($E$194:$E748,$E748),$L$184:$R$193,IF(H748=1,4,IF(H748=4,3,2))+IF(INDEX([1]Sheet1!$1:$1048576,MATCH($E748,[1]Sheet1!$A:$A,0),MATCH("zizhi",[1]Sheet1!$2:$2,0))&gt;=13,0,3),0)&amp;IF($Q748="","","（"&amp;$Q748&amp;"）"))</f>
        <v>进阶+7：全队生命，防御提高10%</v>
      </c>
      <c r="T748" s="1"/>
      <c r="U748" s="1"/>
      <c r="V748" s="2" t="str">
        <f>VLOOKUP(COUNTIF($E$194:$E748,$E748),$L$184:$X$193,IF(H748=1,4,IF(H748=4,3,2))+IF(INDEX([1]Sheet1!$1:$1048576,MATCH($E748,[1]Sheet1!$A:$A,0),MATCH("zizhi",[1]Sheet1!$2:$2,0))&gt;=13,0,3)+6,0)</f>
        <v>57010,59010,60010</v>
      </c>
      <c r="W748" s="2" t="str">
        <f t="shared" si="71"/>
        <v>进阶+7：全队生命，防御提高10%</v>
      </c>
      <c r="X748" s="45" t="str">
        <f t="shared" si="69"/>
        <v>57010,59010,60010</v>
      </c>
      <c r="Y748" s="2"/>
      <c r="Z748" s="2"/>
      <c r="AA748" s="2"/>
    </row>
    <row r="749" spans="1:27">
      <c r="A749" s="10">
        <f>E749*100+COUNTIF($E$194:$E749,$E749)</f>
        <v>150408</v>
      </c>
      <c r="B749" s="68" t="s">
        <v>322</v>
      </c>
      <c r="C749" s="50" t="s">
        <v>254</v>
      </c>
      <c r="D749" s="10" t="str">
        <f t="shared" si="74"/>
        <v>[]</v>
      </c>
      <c r="E749" s="45">
        <f>INDEX($I:$I,MATCH($E748,$I:$I,0)+IF(COUNTIF($E$194:$E748,$E748)&lt;=VLOOKUP($E748,$I$134:$K$193,3,0)-1,0,1),0)</f>
        <v>1504</v>
      </c>
      <c r="F749" s="45" t="str">
        <f t="shared" si="70"/>
        <v>蟹将</v>
      </c>
      <c r="H749" s="45">
        <f>VLOOKUP($E749,[1]Sheet1!$A:$G,7,0)</f>
        <v>4</v>
      </c>
      <c r="I749" s="45" t="str">
        <f>IF($G749="","",IF(COUNTIF(技能描述!$D:$D,$F749)&gt;0,VLOOKUP($F749&amp;$G749,技能描述!$A:$C,3,0),LEFT(VLOOKUP($E749,[1]Sheet1!$A:$J,10,0),FIND("_",VLOOKUP($E749,[1]Sheet1!$A:$J,10,0))-1)&amp;$G749))</f>
        <v/>
      </c>
      <c r="J749" s="45" t="str">
        <f>IF($I749="","",VLOOKUP($I749,技能描述!$A:$C,3,0))</f>
        <v/>
      </c>
      <c r="K749" s="45" t="str">
        <f>IF($I749="","",INDEX([2]Sheet1!$1:$1048576,MATCH($I749,[2]Sheet1!$A:$A,0),MATCH("description_damage",[2]Sheet1!$2:$2,0)))</f>
        <v/>
      </c>
      <c r="L749" s="80" t="str">
        <f>IF($K749="","",IF(LEN($K749)-LEN(SUBSTITUTE($K749,",",""))=0,VLOOKUP(INT($K749),[3]Sheet1!$A:$C,3,0),VLOOKUP(INT(LEFT($K749,FIND(",",$K749)-1)),[3]Sheet1!$A:$C,3,0)))</f>
        <v/>
      </c>
      <c r="M749" s="80" t="str">
        <f t="shared" si="75"/>
        <v/>
      </c>
      <c r="N749" s="45" t="str">
        <f>IF(LEN($K749)-LEN(SUBSTITUTE($K749,",",""))=1,VLOOKUP(INT(RIGHT($K749,LEN($K749)-FIND(",",$K749))),[3]Sheet1!$A:$C,3,0),"")</f>
        <v/>
      </c>
      <c r="O749" s="45" t="str">
        <f t="shared" si="72"/>
        <v/>
      </c>
      <c r="P749" s="45" t="str">
        <f t="shared" si="68"/>
        <v/>
      </c>
      <c r="Q749" s="45" t="str">
        <f t="shared" si="73"/>
        <v/>
      </c>
      <c r="R749" s="45"/>
      <c r="S749" s="45" t="str">
        <f>IF(ISERROR($Q749),"进阶+"&amp;COUNTIF($E$194:$E749,$E749)&amp;"："&amp;"找ZC配技能","进阶+"&amp;COUNTIF($E$194:$E749,$E749)&amp;"："&amp;VLOOKUP(COUNTIF($E$194:$E749,$E749),$L$184:$R$193,IF(H749=1,4,IF(H749=4,3,2))+IF(INDEX([1]Sheet1!$1:$1048576,MATCH($E749,[1]Sheet1!$A:$A,0),MATCH("zizhi",[1]Sheet1!$2:$2,0))&gt;=13,0,3),0)&amp;IF($Q749="","","（"&amp;$Q749&amp;"）"))</f>
        <v>进阶+8：闪避提高15%</v>
      </c>
      <c r="T749" s="1"/>
      <c r="U749" s="1"/>
      <c r="V749" s="2" t="str">
        <f>VLOOKUP(COUNTIF($E$194:$E749,$E749),$L$184:$X$193,IF(H749=1,4,IF(H749=4,3,2))+IF(INDEX([1]Sheet1!$1:$1048576,MATCH($E749,[1]Sheet1!$A:$A,0),MATCH("zizhi",[1]Sheet1!$2:$2,0))&gt;=13,0,3)+6,0)</f>
        <v>11115</v>
      </c>
      <c r="W749" s="2" t="str">
        <f t="shared" si="71"/>
        <v>进阶+8：闪避提高15%</v>
      </c>
      <c r="X749" s="45" t="str">
        <f t="shared" si="69"/>
        <v>11115</v>
      </c>
      <c r="Y749" s="2"/>
      <c r="Z749" s="2"/>
      <c r="AA749" s="2"/>
    </row>
    <row r="750" spans="1:27">
      <c r="A750" s="10">
        <f>E750*100+COUNTIF($E$194:$E750,$E750)</f>
        <v>122601</v>
      </c>
      <c r="B750" s="68" t="s">
        <v>310</v>
      </c>
      <c r="C750" s="50">
        <v>11050</v>
      </c>
      <c r="D750" s="10" t="str">
        <f t="shared" si="74"/>
        <v>[]</v>
      </c>
      <c r="E750" s="45">
        <f>INDEX($I:$I,MATCH($E749,$I:$I,0)+IF(COUNTIF($E$194:$E749,$E749)&lt;=VLOOKUP($E749,$I$134:$K$193,3,0)-1,0,1),0)</f>
        <v>1226</v>
      </c>
      <c r="F750" s="45" t="str">
        <f t="shared" si="70"/>
        <v>扇子精</v>
      </c>
      <c r="H750" s="45">
        <f>VLOOKUP($E750,[1]Sheet1!$A:$G,7,0)</f>
        <v>2</v>
      </c>
      <c r="I750" s="45" t="str">
        <f>IF($G750="","",IF(COUNTIF(技能描述!$D:$D,$F750)&gt;0,VLOOKUP($F750&amp;$G750,技能描述!$A:$C,3,0),LEFT(VLOOKUP($E750,[1]Sheet1!$A:$J,10,0),FIND("_",VLOOKUP($E750,[1]Sheet1!$A:$J,10,0))-1)&amp;$G750))</f>
        <v/>
      </c>
      <c r="J750" s="45" t="str">
        <f>IF($I750="","",VLOOKUP($I750,技能描述!$A:$C,3,0))</f>
        <v/>
      </c>
      <c r="K750" s="45" t="str">
        <f>IF($I750="","",INDEX([2]Sheet1!$1:$1048576,MATCH($I750,[2]Sheet1!$A:$A,0),MATCH("description_damage",[2]Sheet1!$2:$2,0)))</f>
        <v/>
      </c>
      <c r="L750" s="80" t="str">
        <f>IF($K750="","",IF(LEN($K750)-LEN(SUBSTITUTE($K750,",",""))=0,VLOOKUP(INT($K750),[3]Sheet1!$A:$C,3,0),VLOOKUP(INT(LEFT($K750,FIND(",",$K750)-1)),[3]Sheet1!$A:$C,3,0)))</f>
        <v/>
      </c>
      <c r="M750" s="80" t="str">
        <f t="shared" si="75"/>
        <v/>
      </c>
      <c r="N750" s="45" t="str">
        <f>IF(LEN($K750)-LEN(SUBSTITUTE($K750,",",""))=1,VLOOKUP(INT(RIGHT($K750,LEN($K750)-FIND(",",$K750))),[3]Sheet1!$A:$C,3,0),"")</f>
        <v/>
      </c>
      <c r="O750" s="45" t="str">
        <f t="shared" si="72"/>
        <v/>
      </c>
      <c r="P750" s="45" t="str">
        <f t="shared" si="68"/>
        <v/>
      </c>
      <c r="Q750" s="45" t="str">
        <f t="shared" si="73"/>
        <v/>
      </c>
      <c r="R750" s="45"/>
      <c r="S750" s="45" t="str">
        <f>IF(ISERROR($Q750),"进阶+"&amp;COUNTIF($E$194:$E750,$E750)&amp;"："&amp;"找ZC配技能","进阶+"&amp;COUNTIF($E$194:$E750,$E750)&amp;"："&amp;VLOOKUP(COUNTIF($E$194:$E750,$E750),$L$184:$R$193,IF(H750=1,4,IF(H750=4,3,2))+IF(INDEX([1]Sheet1!$1:$1048576,MATCH($E750,[1]Sheet1!$A:$A,0),MATCH("zizhi",[1]Sheet1!$2:$2,0))&gt;=13,0,3),0)&amp;IF($Q750="","","（"&amp;$Q750&amp;"）"))</f>
        <v>进阶+1：攻击提高10%</v>
      </c>
      <c r="T750" s="1"/>
      <c r="U750" s="1"/>
      <c r="V750" s="2">
        <f>VLOOKUP(COUNTIF($E$194:$E750,$E750),$L$184:$X$193,IF(H750=1,4,IF(H750=4,3,2))+IF(INDEX([1]Sheet1!$1:$1048576,MATCH($E750,[1]Sheet1!$A:$A,0),MATCH("zizhi",[1]Sheet1!$2:$2,0))&gt;=13,0,3)+6,0)</f>
        <v>11050</v>
      </c>
      <c r="W750" s="2" t="str">
        <f t="shared" si="71"/>
        <v>进阶+1：攻击提高10%</v>
      </c>
      <c r="X750" s="45">
        <f t="shared" si="69"/>
        <v>11050</v>
      </c>
      <c r="Y750" s="2"/>
      <c r="Z750" s="2"/>
      <c r="AA750" s="2"/>
    </row>
    <row r="751" spans="1:27">
      <c r="A751" s="10">
        <f>E751*100+COUNTIF($E$194:$E751,$E751)</f>
        <v>122602</v>
      </c>
      <c r="B751" s="68" t="s">
        <v>370</v>
      </c>
      <c r="C751" s="50" t="s">
        <v>2</v>
      </c>
      <c r="D751" s="10">
        <f t="shared" si="74"/>
        <v>1</v>
      </c>
      <c r="E751" s="45">
        <f>INDEX($I:$I,MATCH($E750,$I:$I,0)+IF(COUNTIF($E$194:$E750,$E750)&lt;=VLOOKUP($E750,$I$134:$K$193,3,0)-1,0,1),0)</f>
        <v>1226</v>
      </c>
      <c r="F751" s="45" t="str">
        <f t="shared" si="70"/>
        <v>扇子精</v>
      </c>
      <c r="G751" s="45" t="s">
        <v>216</v>
      </c>
      <c r="H751" s="45">
        <f>VLOOKUP($E751,[1]Sheet1!$A:$G,7,0)</f>
        <v>2</v>
      </c>
      <c r="I751" s="45" t="str">
        <f>IF($G751="","",IF(COUNTIF(技能描述!$D:$D,$F751)&gt;0,VLOOKUP($F751&amp;$G751,技能描述!$A:$C,3,0),LEFT(VLOOKUP($E751,[1]Sheet1!$A:$J,10,0),FIND("_",VLOOKUP($E751,[1]Sheet1!$A:$J,10,0))-1)&amp;$G751))</f>
        <v>shanzijing_skill03</v>
      </c>
      <c r="J751" s="45" t="str">
        <f>IF($I751="","",VLOOKUP($I751,技能描述!$A:$C,3,0))</f>
        <v>进入战斗场景时，提高全队@s生命上限</v>
      </c>
      <c r="K751" s="45" t="str">
        <f>IF($I751="","",INDEX([2]Sheet1!$1:$1048576,MATCH($I751,[2]Sheet1!$A:$A,0),MATCH("description_damage",[2]Sheet1!$2:$2,0)))</f>
        <v>9010</v>
      </c>
      <c r="L751" s="80" t="str">
        <f>IF($K751="","",IF(LEN($K751)-LEN(SUBSTITUTE($K751,",",""))=0,VLOOKUP(INT($K751),[3]Sheet1!$A:$C,3,0),VLOOKUP(INT(LEFT($K751,FIND(",",$K751)-1)),[3]Sheet1!$A:$C,3,0)))</f>
        <v>4|3|0.1|0|1</v>
      </c>
      <c r="M751" s="80" t="str">
        <f t="shared" si="75"/>
        <v>10%</v>
      </c>
      <c r="N751" s="45" t="str">
        <f>IF(LEN($K751)-LEN(SUBSTITUTE($K751,",",""))=1,VLOOKUP(INT(RIGHT($K751,LEN($K751)-FIND(",",$K751))),[3]Sheet1!$A:$C,3,0),"")</f>
        <v/>
      </c>
      <c r="O751" s="45" t="str">
        <f t="shared" si="72"/>
        <v/>
      </c>
      <c r="P751" s="45" t="str">
        <f t="shared" si="68"/>
        <v>进入战斗场景时，提高全队10%生命上限</v>
      </c>
      <c r="Q751" s="45" t="str">
        <f t="shared" si="73"/>
        <v>进入战斗场景时，提高全队10%生命上限</v>
      </c>
      <c r="R751" s="45"/>
      <c r="S751" s="45" t="str">
        <f>IF(ISERROR($Q751),"进阶+"&amp;COUNTIF($E$194:$E751,$E751)&amp;"："&amp;"找ZC配技能","进阶+"&amp;COUNTIF($E$194:$E751,$E751)&amp;"："&amp;VLOOKUP(COUNTIF($E$194:$E751,$E751),$L$184:$R$193,IF(H751=1,4,IF(H751=4,3,2))+IF(INDEX([1]Sheet1!$1:$1048576,MATCH($E751,[1]Sheet1!$A:$A,0),MATCH("zizhi",[1]Sheet1!$2:$2,0))&gt;=13,0,3),0)&amp;IF($Q751="","","（"&amp;$Q751&amp;"）"))</f>
        <v>进阶+2：激活被动技能（进入战斗场景时，提高全队10%生命上限）</v>
      </c>
      <c r="T751" s="1"/>
      <c r="U751" s="1"/>
      <c r="V751" s="2" t="str">
        <f>VLOOKUP(COUNTIF($E$194:$E751,$E751),$L$184:$X$193,IF(H751=1,4,IF(H751=4,3,2))+IF(INDEX([1]Sheet1!$1:$1048576,MATCH($E751,[1]Sheet1!$A:$A,0),MATCH("zizhi",[1]Sheet1!$2:$2,0))&gt;=13,0,3)+6,0)</f>
        <v>[]</v>
      </c>
      <c r="W751" s="2" t="str">
        <f t="shared" si="71"/>
        <v>进阶+2：激活被动技能（进入战斗场景时，提高全队10%生命上限）</v>
      </c>
      <c r="X751" s="45" t="str">
        <f t="shared" si="69"/>
        <v>[]</v>
      </c>
      <c r="Y751" s="2"/>
      <c r="Z751" s="2"/>
      <c r="AA751" s="2"/>
    </row>
    <row r="752" spans="1:27">
      <c r="A752" s="10">
        <f>E752*100+COUNTIF($E$194:$E752,$E752)</f>
        <v>122603</v>
      </c>
      <c r="B752" s="68" t="s">
        <v>312</v>
      </c>
      <c r="C752" s="50" t="s">
        <v>127</v>
      </c>
      <c r="D752" s="10" t="str">
        <f t="shared" si="74"/>
        <v>[]</v>
      </c>
      <c r="E752" s="45">
        <f>INDEX($I:$I,MATCH($E751,$I:$I,0)+IF(COUNTIF($E$194:$E751,$E751)&lt;=VLOOKUP($E751,$I$134:$K$193,3,0)-1,0,1),0)</f>
        <v>1226</v>
      </c>
      <c r="F752" s="45" t="str">
        <f t="shared" si="70"/>
        <v>扇子精</v>
      </c>
      <c r="H752" s="45">
        <f>VLOOKUP($E752,[1]Sheet1!$A:$G,7,0)</f>
        <v>2</v>
      </c>
      <c r="I752" s="45" t="str">
        <f>IF($G752="","",IF(COUNTIF(技能描述!$D:$D,$F752)&gt;0,VLOOKUP($F752&amp;$G752,技能描述!$A:$C,3,0),LEFT(VLOOKUP($E752,[1]Sheet1!$A:$J,10,0),FIND("_",VLOOKUP($E752,[1]Sheet1!$A:$J,10,0))-1)&amp;$G752))</f>
        <v/>
      </c>
      <c r="J752" s="45" t="str">
        <f>IF($I752="","",VLOOKUP($I752,技能描述!$A:$C,3,0))</f>
        <v/>
      </c>
      <c r="K752" s="45" t="str">
        <f>IF($I752="","",INDEX([2]Sheet1!$1:$1048576,MATCH($I752,[2]Sheet1!$A:$A,0),MATCH("description_damage",[2]Sheet1!$2:$2,0)))</f>
        <v/>
      </c>
      <c r="L752" s="80" t="str">
        <f>IF($K752="","",IF(LEN($K752)-LEN(SUBSTITUTE($K752,",",""))=0,VLOOKUP(INT($K752),[3]Sheet1!$A:$C,3,0),VLOOKUP(INT(LEFT($K752,FIND(",",$K752)-1)),[3]Sheet1!$A:$C,3,0)))</f>
        <v/>
      </c>
      <c r="M752" s="80" t="str">
        <f t="shared" si="75"/>
        <v/>
      </c>
      <c r="N752" s="45" t="str">
        <f>IF(LEN($K752)-LEN(SUBSTITUTE($K752,",",""))=1,VLOOKUP(INT(RIGHT($K752,LEN($K752)-FIND(",",$K752))),[3]Sheet1!$A:$C,3,0),"")</f>
        <v/>
      </c>
      <c r="O752" s="45" t="str">
        <f t="shared" si="72"/>
        <v/>
      </c>
      <c r="P752" s="45" t="str">
        <f t="shared" si="68"/>
        <v/>
      </c>
      <c r="Q752" s="45" t="str">
        <f t="shared" si="73"/>
        <v/>
      </c>
      <c r="R752" s="45"/>
      <c r="S752" s="45" t="str">
        <f>IF(ISERROR($Q752),"进阶+"&amp;COUNTIF($E$194:$E752,$E752)&amp;"："&amp;"找ZC配技能","进阶+"&amp;COUNTIF($E$194:$E752,$E752)&amp;"："&amp;VLOOKUP(COUNTIF($E$194:$E752,$E752),$L$184:$R$193,IF(H752=1,4,IF(H752=4,3,2))+IF(INDEX([1]Sheet1!$1:$1048576,MATCH($E752,[1]Sheet1!$A:$A,0),MATCH("zizhi",[1]Sheet1!$2:$2,0))&gt;=13,0,3),0)&amp;IF($Q752="","","（"&amp;$Q752&amp;"）"))</f>
        <v>进阶+3：攻击提高10%</v>
      </c>
      <c r="T752" s="1"/>
      <c r="U752" s="1"/>
      <c r="V752" s="2" t="str">
        <f>VLOOKUP(COUNTIF($E$194:$E752,$E752),$L$184:$X$193,IF(H752=1,4,IF(H752=4,3,2))+IF(INDEX([1]Sheet1!$1:$1048576,MATCH($E752,[1]Sheet1!$A:$A,0),MATCH("zizhi",[1]Sheet1!$2:$2,0))&gt;=13,0,3)+6,0)</f>
        <v>11050</v>
      </c>
      <c r="W752" s="2" t="str">
        <f t="shared" si="71"/>
        <v>进阶+3：攻击提高10%</v>
      </c>
      <c r="X752" s="45" t="str">
        <f t="shared" si="69"/>
        <v>11050</v>
      </c>
      <c r="Y752" s="2"/>
      <c r="Z752" s="2"/>
      <c r="AA752" s="2"/>
    </row>
    <row r="753" spans="1:27" ht="33">
      <c r="A753" s="10">
        <f>E753*100+COUNTIF($E$194:$E753,$E753)</f>
        <v>122604</v>
      </c>
      <c r="B753" s="68" t="s">
        <v>1898</v>
      </c>
      <c r="C753" s="50" t="s">
        <v>2</v>
      </c>
      <c r="D753" s="10">
        <f t="shared" si="74"/>
        <v>1</v>
      </c>
      <c r="E753" s="45">
        <f>INDEX($I:$I,MATCH($E752,$I:$I,0)+IF(COUNTIF($E$194:$E752,$E752)&lt;=VLOOKUP($E752,$I$134:$K$193,3,0)-1,0,1),0)</f>
        <v>1226</v>
      </c>
      <c r="F753" s="45" t="str">
        <f t="shared" si="70"/>
        <v>扇子精</v>
      </c>
      <c r="G753" s="45" t="s">
        <v>217</v>
      </c>
      <c r="H753" s="45">
        <f>VLOOKUP($E753,[1]Sheet1!$A:$G,7,0)</f>
        <v>2</v>
      </c>
      <c r="I753" s="45" t="str">
        <f>IF($G753="","",IF(COUNTIF(技能描述!$D:$D,$F753)&gt;0,VLOOKUP($F753&amp;$G753,技能描述!$A:$C,3,0),LEFT(VLOOKUP($E753,[1]Sheet1!$A:$J,10,0),FIND("_",VLOOKUP($E753,[1]Sheet1!$A:$J,10,0))-1)&amp;$G753))</f>
        <v>shanzijing_skill04</v>
      </c>
      <c r="J753" s="45" t="str">
        <f>IF($I753="","",VLOOKUP($I753,技能描述!$A:$C,3,0))</f>
        <v>扇子精用扇子发射风团对命中的敌人造成自身攻击力@s的伤害</v>
      </c>
      <c r="K753" s="45" t="str">
        <f>IF($I753="","",INDEX([2]Sheet1!$1:$1048576,MATCH($I753,[2]Sheet1!$A:$A,0),MATCH("description_damage",[2]Sheet1!$2:$2,0)))</f>
        <v>122606</v>
      </c>
      <c r="L753" s="80" t="str">
        <f>IF($K753="","",IF(LEN($K753)-LEN(SUBSTITUTE($K753,",",""))=0,VLOOKUP(INT($K753),[3]Sheet1!$A:$C,3,0),VLOOKUP(INT(LEFT($K753,FIND(",",$K753)-1)),[3]Sheet1!$A:$C,3,0)))</f>
        <v>2|2|1.35|0|0|0</v>
      </c>
      <c r="M753" s="80" t="str">
        <f t="shared" si="75"/>
        <v>135%</v>
      </c>
      <c r="N753" s="45" t="str">
        <f>IF(LEN($K753)-LEN(SUBSTITUTE($K753,",",""))=1,VLOOKUP(INT(RIGHT($K753,LEN($K753)-FIND(",",$K753))),[3]Sheet1!$A:$C,3,0),"")</f>
        <v/>
      </c>
      <c r="O753" s="45" t="str">
        <f t="shared" si="72"/>
        <v/>
      </c>
      <c r="P753" s="45" t="str">
        <f t="shared" si="68"/>
        <v>扇子精用扇子发射风团对命中的敌人造成自身攻击力135%的伤害</v>
      </c>
      <c r="Q753" s="45" t="str">
        <f t="shared" si="73"/>
        <v>扇子精用扇子发射风团对命中的敌人造成自身攻击力135%的伤害</v>
      </c>
      <c r="R753" s="45"/>
      <c r="S753" s="45" t="str">
        <f>IF(ISERROR($Q753),"进阶+"&amp;COUNTIF($E$194:$E753,$E753)&amp;"："&amp;"找ZC配技能","进阶+"&amp;COUNTIF($E$194:$E753,$E753)&amp;"："&amp;VLOOKUP(COUNTIF($E$194:$E753,$E753),$L$184:$R$193,IF(H753=1,4,IF(H753=4,3,2))+IF(INDEX([1]Sheet1!$1:$1048576,MATCH($E753,[1]Sheet1!$A:$A,0),MATCH("zizhi",[1]Sheet1!$2:$2,0))&gt;=13,0,3),0)&amp;IF($Q753="","","（"&amp;$Q753&amp;"）"))</f>
        <v>进阶+4：激活AI2技能（扇子精用扇子发射风团对命中的敌人造成自身攻击力135%的伤害）</v>
      </c>
      <c r="T753" s="1"/>
      <c r="U753" s="1"/>
      <c r="V753" s="2" t="str">
        <f>VLOOKUP(COUNTIF($E$194:$E753,$E753),$L$184:$X$193,IF(H753=1,4,IF(H753=4,3,2))+IF(INDEX([1]Sheet1!$1:$1048576,MATCH($E753,[1]Sheet1!$A:$A,0),MATCH("zizhi",[1]Sheet1!$2:$2,0))&gt;=13,0,3)+6,0)</f>
        <v>[]</v>
      </c>
      <c r="W753" s="2" t="str">
        <f t="shared" si="71"/>
        <v>进阶+4：激活AI2技能（扇子精用扇子发射风团对命中的敌人造成自身攻击力135%的伤害）</v>
      </c>
      <c r="X753" s="45" t="str">
        <f t="shared" si="69"/>
        <v>[]</v>
      </c>
      <c r="Y753" s="2"/>
      <c r="Z753" s="2"/>
      <c r="AA753" s="2"/>
    </row>
    <row r="754" spans="1:27">
      <c r="A754" s="10">
        <f>E754*100+COUNTIF($E$194:$E754,$E754)</f>
        <v>122605</v>
      </c>
      <c r="B754" s="68" t="s">
        <v>323</v>
      </c>
      <c r="C754" s="50" t="s">
        <v>140</v>
      </c>
      <c r="D754" s="10" t="str">
        <f t="shared" si="74"/>
        <v>[]</v>
      </c>
      <c r="E754" s="45">
        <f>INDEX($I:$I,MATCH($E753,$I:$I,0)+IF(COUNTIF($E$194:$E753,$E753)&lt;=VLOOKUP($E753,$I$134:$K$193,3,0)-1,0,1),0)</f>
        <v>1226</v>
      </c>
      <c r="F754" s="45" t="str">
        <f t="shared" si="70"/>
        <v>扇子精</v>
      </c>
      <c r="H754" s="45">
        <f>VLOOKUP($E754,[1]Sheet1!$A:$G,7,0)</f>
        <v>2</v>
      </c>
      <c r="I754" s="45" t="str">
        <f>IF($G754="","",IF(COUNTIF(技能描述!$D:$D,$F754)&gt;0,VLOOKUP($F754&amp;$G754,技能描述!$A:$C,3,0),LEFT(VLOOKUP($E754,[1]Sheet1!$A:$J,10,0),FIND("_",VLOOKUP($E754,[1]Sheet1!$A:$J,10,0))-1)&amp;$G754))</f>
        <v/>
      </c>
      <c r="J754" s="45" t="str">
        <f>IF($I754="","",VLOOKUP($I754,技能描述!$A:$C,3,0))</f>
        <v/>
      </c>
      <c r="K754" s="45" t="str">
        <f>IF($I754="","",INDEX([2]Sheet1!$1:$1048576,MATCH($I754,[2]Sheet1!$A:$A,0),MATCH("description_damage",[2]Sheet1!$2:$2,0)))</f>
        <v/>
      </c>
      <c r="L754" s="80" t="str">
        <f>IF($K754="","",IF(LEN($K754)-LEN(SUBSTITUTE($K754,",",""))=0,VLOOKUP(INT($K754),[3]Sheet1!$A:$C,3,0),VLOOKUP(INT(LEFT($K754,FIND(",",$K754)-1)),[3]Sheet1!$A:$C,3,0)))</f>
        <v/>
      </c>
      <c r="M754" s="80" t="str">
        <f t="shared" si="75"/>
        <v/>
      </c>
      <c r="N754" s="45" t="str">
        <f>IF(LEN($K754)-LEN(SUBSTITUTE($K754,",",""))=1,VLOOKUP(INT(RIGHT($K754,LEN($K754)-FIND(",",$K754))),[3]Sheet1!$A:$C,3,0),"")</f>
        <v/>
      </c>
      <c r="O754" s="45" t="str">
        <f t="shared" si="72"/>
        <v/>
      </c>
      <c r="P754" s="45" t="str">
        <f t="shared" si="68"/>
        <v/>
      </c>
      <c r="Q754" s="45" t="str">
        <f t="shared" si="73"/>
        <v/>
      </c>
      <c r="R754" s="45"/>
      <c r="S754" s="45" t="str">
        <f>IF(ISERROR($Q754),"进阶+"&amp;COUNTIF($E$194:$E754,$E754)&amp;"："&amp;"找ZC配技能","进阶+"&amp;COUNTIF($E$194:$E754,$E754)&amp;"："&amp;VLOOKUP(COUNTIF($E$194:$E754,$E754),$L$184:$R$193,IF(H754=1,4,IF(H754=4,3,2))+IF(INDEX([1]Sheet1!$1:$1048576,MATCH($E754,[1]Sheet1!$A:$A,0),MATCH("zizhi",[1]Sheet1!$2:$2,0))&gt;=13,0,3),0)&amp;IF($Q754="","","（"&amp;$Q754&amp;"）"))</f>
        <v>进阶+5：生命，防御提高10%</v>
      </c>
      <c r="T754" s="1"/>
      <c r="U754" s="1"/>
      <c r="V754" s="2" t="str">
        <f>VLOOKUP(COUNTIF($E$194:$E754,$E754),$L$184:$X$193,IF(H754=1,4,IF(H754=4,3,2))+IF(INDEX([1]Sheet1!$1:$1048576,MATCH($E754,[1]Sheet1!$A:$A,0),MATCH("zizhi",[1]Sheet1!$2:$2,0))&gt;=13,0,3)+6,0)</f>
        <v>11090,6502,6512</v>
      </c>
      <c r="W754" s="2" t="str">
        <f t="shared" si="71"/>
        <v>进阶+5：生命，防御提高10%</v>
      </c>
      <c r="X754" s="45" t="str">
        <f t="shared" si="69"/>
        <v>11090,6502,6512</v>
      </c>
      <c r="Y754" s="2"/>
      <c r="Z754" s="2"/>
      <c r="AA754" s="2"/>
    </row>
    <row r="755" spans="1:27">
      <c r="A755" s="10">
        <f>E755*100+COUNTIF($E$194:$E755,$E755)</f>
        <v>122606</v>
      </c>
      <c r="B755" s="68" t="s">
        <v>314</v>
      </c>
      <c r="C755" s="50" t="s">
        <v>241</v>
      </c>
      <c r="D755" s="10" t="str">
        <f t="shared" si="74"/>
        <v>[]</v>
      </c>
      <c r="E755" s="45">
        <f>INDEX($I:$I,MATCH($E754,$I:$I,0)+IF(COUNTIF($E$194:$E754,$E754)&lt;=VLOOKUP($E754,$I$134:$K$193,3,0)-1,0,1),0)</f>
        <v>1226</v>
      </c>
      <c r="F755" s="45" t="str">
        <f t="shared" si="70"/>
        <v>扇子精</v>
      </c>
      <c r="H755" s="45">
        <f>VLOOKUP($E755,[1]Sheet1!$A:$G,7,0)</f>
        <v>2</v>
      </c>
      <c r="I755" s="45" t="str">
        <f>IF($G755="","",IF(COUNTIF(技能描述!$D:$D,$F755)&gt;0,VLOOKUP($F755&amp;$G755,技能描述!$A:$C,3,0),LEFT(VLOOKUP($E755,[1]Sheet1!$A:$J,10,0),FIND("_",VLOOKUP($E755,[1]Sheet1!$A:$J,10,0))-1)&amp;$G755))</f>
        <v/>
      </c>
      <c r="J755" s="45" t="str">
        <f>IF($I755="","",VLOOKUP($I755,技能描述!$A:$C,3,0))</f>
        <v/>
      </c>
      <c r="K755" s="45" t="str">
        <f>IF($I755="","",INDEX([2]Sheet1!$1:$1048576,MATCH($I755,[2]Sheet1!$A:$A,0),MATCH("description_damage",[2]Sheet1!$2:$2,0)))</f>
        <v/>
      </c>
      <c r="L755" s="80" t="str">
        <f>IF($K755="","",IF(LEN($K755)-LEN(SUBSTITUTE($K755,",",""))=0,VLOOKUP(INT($K755),[3]Sheet1!$A:$C,3,0),VLOOKUP(INT(LEFT($K755,FIND(",",$K755)-1)),[3]Sheet1!$A:$C,3,0)))</f>
        <v/>
      </c>
      <c r="M755" s="80" t="str">
        <f t="shared" si="75"/>
        <v/>
      </c>
      <c r="N755" s="45" t="str">
        <f>IF(LEN($K755)-LEN(SUBSTITUTE($K755,",",""))=1,VLOOKUP(INT(RIGHT($K755,LEN($K755)-FIND(",",$K755))),[3]Sheet1!$A:$C,3,0),"")</f>
        <v/>
      </c>
      <c r="O755" s="45" t="str">
        <f t="shared" si="72"/>
        <v/>
      </c>
      <c r="P755" s="45" t="str">
        <f t="shared" si="68"/>
        <v/>
      </c>
      <c r="Q755" s="45" t="str">
        <f t="shared" si="73"/>
        <v/>
      </c>
      <c r="R755" s="45"/>
      <c r="S755" s="45" t="str">
        <f>IF(ISERROR($Q755),"进阶+"&amp;COUNTIF($E$194:$E755,$E755)&amp;"："&amp;"找ZC配技能","进阶+"&amp;COUNTIF($E$194:$E755,$E755)&amp;"："&amp;VLOOKUP(COUNTIF($E$194:$E755,$E755),$L$184:$R$193,IF(H755=1,4,IF(H755=4,3,2))+IF(INDEX([1]Sheet1!$1:$1048576,MATCH($E755,[1]Sheet1!$A:$A,0),MATCH("zizhi",[1]Sheet1!$2:$2,0))&gt;=13,0,3),0)&amp;IF($Q755="","","（"&amp;$Q755&amp;"）"))</f>
        <v>进阶+6：暴击提高20%</v>
      </c>
      <c r="T755" s="1"/>
      <c r="U755" s="1"/>
      <c r="V755" s="2" t="str">
        <f>VLOOKUP(COUNTIF($E$194:$E755,$E755),$L$184:$X$193,IF(H755=1,4,IF(H755=4,3,2))+IF(INDEX([1]Sheet1!$1:$1048576,MATCH($E755,[1]Sheet1!$A:$A,0),MATCH("zizhi",[1]Sheet1!$2:$2,0))&gt;=13,0,3)+6,0)</f>
        <v>11080</v>
      </c>
      <c r="W755" s="2" t="str">
        <f t="shared" si="71"/>
        <v>进阶+6：暴击提高20%</v>
      </c>
      <c r="X755" s="45" t="str">
        <f t="shared" si="69"/>
        <v>11080</v>
      </c>
      <c r="Y755" s="2"/>
      <c r="Z755" s="2"/>
      <c r="AA755" s="2"/>
    </row>
    <row r="756" spans="1:27">
      <c r="A756" s="10">
        <f>E756*100+COUNTIF($E$194:$E756,$E756)</f>
        <v>122607</v>
      </c>
      <c r="B756" s="68" t="s">
        <v>359</v>
      </c>
      <c r="C756" s="50" t="s">
        <v>353</v>
      </c>
      <c r="D756" s="10" t="str">
        <f t="shared" si="74"/>
        <v>[]</v>
      </c>
      <c r="E756" s="45">
        <f>INDEX($I:$I,MATCH($E755,$I:$I,0)+IF(COUNTIF($E$194:$E755,$E755)&lt;=VLOOKUP($E755,$I$134:$K$193,3,0)-1,0,1),0)</f>
        <v>1226</v>
      </c>
      <c r="F756" s="45" t="str">
        <f t="shared" si="70"/>
        <v>扇子精</v>
      </c>
      <c r="H756" s="45">
        <f>VLOOKUP($E756,[1]Sheet1!$A:$G,7,0)</f>
        <v>2</v>
      </c>
      <c r="I756" s="45" t="str">
        <f>IF($G756="","",IF(COUNTIF(技能描述!$D:$D,$F756)&gt;0,VLOOKUP($F756&amp;$G756,技能描述!$A:$C,3,0),LEFT(VLOOKUP($E756,[1]Sheet1!$A:$J,10,0),FIND("_",VLOOKUP($E756,[1]Sheet1!$A:$J,10,0))-1)&amp;$G756))</f>
        <v/>
      </c>
      <c r="R756" s="45"/>
      <c r="S756" s="45" t="str">
        <f>IF(ISERROR($Q756),"进阶+"&amp;COUNTIF($E$194:$E756,$E756)&amp;"："&amp;"找ZC配技能","进阶+"&amp;COUNTIF($E$194:$E756,$E756)&amp;"："&amp;VLOOKUP(COUNTIF($E$194:$E756,$E756),$L$184:$R$193,IF(H756=1,4,IF(H756=4,3,2))+IF(INDEX([1]Sheet1!$1:$1048576,MATCH($E756,[1]Sheet1!$A:$A,0),MATCH("zizhi",[1]Sheet1!$2:$2,0))&gt;=13,0,3),0)&amp;IF($Q756="","","（"&amp;$Q756&amp;"）"))</f>
        <v>进阶+7：全队攻击提高10%</v>
      </c>
      <c r="T756" s="1"/>
      <c r="V756" s="2" t="str">
        <f>VLOOKUP(COUNTIF($E$194:$E756,$E756),$L$184:$X$193,IF(H756=1,4,IF(H756=4,3,2))+IF(INDEX([1]Sheet1!$1:$1048576,MATCH($E756,[1]Sheet1!$A:$A,0),MATCH("zizhi",[1]Sheet1!$2:$2,0))&gt;=13,0,3)+6,0)</f>
        <v>58010</v>
      </c>
      <c r="W756" s="2" t="str">
        <f t="shared" si="71"/>
        <v>进阶+7：全队攻击提高10%</v>
      </c>
      <c r="X756" s="45" t="str">
        <f t="shared" si="69"/>
        <v>58010</v>
      </c>
      <c r="Y756" s="2"/>
    </row>
    <row r="757" spans="1:27">
      <c r="A757" s="10">
        <f>E757*100+COUNTIF($E$194:$E757,$E757)</f>
        <v>122608</v>
      </c>
      <c r="B757" s="68" t="s">
        <v>316</v>
      </c>
      <c r="C757" s="50" t="s">
        <v>153</v>
      </c>
      <c r="D757" s="10" t="str">
        <f t="shared" si="74"/>
        <v>[]</v>
      </c>
      <c r="E757" s="45">
        <f>INDEX($I:$I,MATCH($E756,$I:$I,0)+IF(COUNTIF($E$194:$E756,$E756)&lt;=VLOOKUP($E756,$I$134:$K$193,3,0)-1,0,1),0)</f>
        <v>1226</v>
      </c>
      <c r="F757" s="45" t="str">
        <f t="shared" si="70"/>
        <v>扇子精</v>
      </c>
      <c r="H757" s="45">
        <f>VLOOKUP($E757,[1]Sheet1!$A:$G,7,0)</f>
        <v>2</v>
      </c>
      <c r="I757" s="45" t="str">
        <f>IF($G757="","",IF(COUNTIF(技能描述!$D:$D,$F757)&gt;0,VLOOKUP($F757&amp;$G757,技能描述!$A:$C,3,0),LEFT(VLOOKUP($E757,[1]Sheet1!$A:$J,10,0),FIND("_",VLOOKUP($E757,[1]Sheet1!$A:$J,10,0))-1)&amp;$G757))</f>
        <v/>
      </c>
      <c r="S757" s="45" t="str">
        <f>IF(ISERROR($Q757),"进阶+"&amp;COUNTIF($E$194:$E757,$E757)&amp;"："&amp;"找ZC配技能","进阶+"&amp;COUNTIF($E$194:$E757,$E757)&amp;"："&amp;VLOOKUP(COUNTIF($E$194:$E757,$E757),$L$184:$R$193,IF(H757=1,4,IF(H757=4,3,2))+IF(INDEX([1]Sheet1!$1:$1048576,MATCH($E757,[1]Sheet1!$A:$A,0),MATCH("zizhi",[1]Sheet1!$2:$2,0))&gt;=13,0,3),0)&amp;IF($Q757="","","（"&amp;$Q757&amp;"）"))</f>
        <v>进阶+8：命中提高15%</v>
      </c>
      <c r="V757" s="2" t="str">
        <f>VLOOKUP(COUNTIF($E$194:$E757,$E757),$L$184:$X$193,IF(H757=1,4,IF(H757=4,3,2))+IF(INDEX([1]Sheet1!$1:$1048576,MATCH($E757,[1]Sheet1!$A:$A,0),MATCH("zizhi",[1]Sheet1!$2:$2,0))&gt;=13,0,3)+6,0)</f>
        <v>11035</v>
      </c>
      <c r="W757" s="2" t="str">
        <f t="shared" si="71"/>
        <v>进阶+8：命中提高15%</v>
      </c>
      <c r="X757" s="45" t="str">
        <f t="shared" si="69"/>
        <v>11035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62"/>
  <sheetViews>
    <sheetView workbookViewId="0">
      <selection activeCell="B12" sqref="B12:F13"/>
    </sheetView>
  </sheetViews>
  <sheetFormatPr defaultRowHeight="16.5"/>
  <cols>
    <col min="1" max="1" width="8.125" style="5" bestFit="1" customWidth="1"/>
    <col min="2" max="2" width="33.125" style="5" bestFit="1" customWidth="1"/>
    <col min="3" max="3" width="20.75" style="9" bestFit="1" customWidth="1"/>
    <col min="4" max="4" width="22.25" style="2" customWidth="1"/>
    <col min="5" max="6" width="10.125" style="2" customWidth="1"/>
    <col min="7" max="7" width="19.75" style="1" bestFit="1" customWidth="1"/>
    <col min="8" max="8" width="25.25" style="1" bestFit="1" customWidth="1"/>
    <col min="9" max="9" width="19.5" style="1" bestFit="1" customWidth="1"/>
    <col min="10" max="10" width="21.75" style="1" bestFit="1" customWidth="1"/>
    <col min="11" max="11" width="9.25" style="1" bestFit="1" customWidth="1"/>
    <col min="12" max="12" width="15.375" style="1" bestFit="1" customWidth="1"/>
    <col min="13" max="13" width="15.125" style="1" bestFit="1" customWidth="1"/>
    <col min="14" max="16384" width="9" style="1"/>
  </cols>
  <sheetData>
    <row r="1" spans="1:13" ht="147.75" customHeight="1">
      <c r="A1" s="24" t="s">
        <v>3</v>
      </c>
      <c r="B1" s="24" t="s">
        <v>0</v>
      </c>
      <c r="C1" s="25" t="s">
        <v>4</v>
      </c>
      <c r="D1" s="25" t="s">
        <v>1</v>
      </c>
      <c r="E1" s="25"/>
      <c r="F1" s="25"/>
      <c r="G1" s="26" t="s">
        <v>71</v>
      </c>
      <c r="H1" s="26" t="s">
        <v>72</v>
      </c>
      <c r="I1" s="27" t="s">
        <v>68</v>
      </c>
      <c r="J1" s="27" t="s">
        <v>73</v>
      </c>
      <c r="K1" s="28" t="s">
        <v>69</v>
      </c>
      <c r="L1" s="27" t="s">
        <v>70</v>
      </c>
      <c r="M1" s="27" t="s">
        <v>74</v>
      </c>
    </row>
    <row r="2" spans="1:13" s="31" customFormat="1">
      <c r="A2" s="4" t="s">
        <v>5</v>
      </c>
      <c r="B2" s="4" t="s">
        <v>6</v>
      </c>
      <c r="C2" s="7" t="s">
        <v>7</v>
      </c>
      <c r="D2" s="7" t="s">
        <v>8</v>
      </c>
      <c r="E2" s="7"/>
      <c r="F2" s="7"/>
    </row>
    <row r="3" spans="1:13" s="31" customFormat="1">
      <c r="A3" s="4" t="s">
        <v>9</v>
      </c>
      <c r="B3" s="4" t="s">
        <v>10</v>
      </c>
      <c r="C3" s="8" t="s">
        <v>10</v>
      </c>
      <c r="D3" s="8" t="s">
        <v>10</v>
      </c>
      <c r="E3" s="32"/>
      <c r="F3" s="32"/>
      <c r="H3" s="31" t="s">
        <v>23</v>
      </c>
    </row>
    <row r="4" spans="1:13">
      <c r="A4" s="29">
        <v>10101</v>
      </c>
      <c r="B4" s="29" t="str">
        <f>VLOOKUP(A4,Sheet3!$A$51:$E$230,5,FALSE)</f>
        <v>生命|数值</v>
      </c>
      <c r="C4" s="30">
        <f t="shared" ref="C4:C35" si="0">IF(MID(B4,1,SEARCH("|",B4)-1)="防御",A4+30000&amp;","&amp;A4+35000,A4+30000)</f>
        <v>40101</v>
      </c>
      <c r="D4" s="29" t="s">
        <v>67</v>
      </c>
      <c r="E4" s="21" t="str">
        <f t="shared" ref="E4:E35" si="1">MID(B4,1,SEARCH("|",B4)-1)</f>
        <v>生命</v>
      </c>
      <c r="F4" s="21" t="str">
        <f t="shared" ref="F4:F35" si="2">MID(B4,SEARCH("|",B4)+1,5)</f>
        <v>数值</v>
      </c>
      <c r="G4" s="37">
        <f t="shared" ref="G4:G35" si="3">A4+30000</f>
        <v>40101</v>
      </c>
      <c r="H4" s="38" t="str">
        <f t="shared" ref="H4:H67" si="4">"进阶+"&amp;INT(MID(G4,4,2))&amp;"："&amp;IF(I4=2,"全体","")&amp;E4&amp;"提高"&amp;IF(K4&lt;1,K4*100,K4)&amp;IF(OR(F4="数值",F4="光环数值"),"","%")</f>
        <v>进阶+1：生命提高3000</v>
      </c>
      <c r="I4" s="37">
        <f t="shared" ref="I4:I67" si="5">IF(MID(F4,1,2)="光环",2,1)</f>
        <v>1</v>
      </c>
      <c r="J4" s="37">
        <f>VLOOKUP(E4,Sheet3!$I$57:$J$65,2,FALSE)</f>
        <v>1</v>
      </c>
      <c r="K4" s="37">
        <f>VLOOKUP(A4,Sheet3!$A$51:$E$230,4,FALSE)</f>
        <v>2999.9999999999995</v>
      </c>
      <c r="L4" s="37">
        <f t="shared" ref="L4:L67" si="6">IF(AND(J4&lt;5,F4="百分比"),1,0)</f>
        <v>0</v>
      </c>
      <c r="M4" s="37">
        <f t="shared" ref="M4:M67" si="7">IF(L4=0,1,5)</f>
        <v>1</v>
      </c>
    </row>
    <row r="5" spans="1:13">
      <c r="A5" s="10">
        <v>10102</v>
      </c>
      <c r="B5" s="10" t="str">
        <f>VLOOKUP(A5,Sheet3!$A$51:$E$230,5,FALSE)</f>
        <v>抗暴率|百分比</v>
      </c>
      <c r="C5" s="19">
        <f t="shared" si="0"/>
        <v>40102</v>
      </c>
      <c r="D5" s="10" t="s">
        <v>67</v>
      </c>
      <c r="E5" s="21" t="str">
        <f t="shared" si="1"/>
        <v>抗暴率</v>
      </c>
      <c r="F5" s="21" t="str">
        <f t="shared" si="2"/>
        <v>百分比</v>
      </c>
      <c r="G5" s="37">
        <f t="shared" si="3"/>
        <v>40102</v>
      </c>
      <c r="H5" s="38" t="str">
        <f t="shared" si="4"/>
        <v>进阶+2：抗暴率提高10%</v>
      </c>
      <c r="I5" s="37">
        <f t="shared" si="5"/>
        <v>1</v>
      </c>
      <c r="J5" s="37">
        <f>VLOOKUP(E5,Sheet3!$I$57:$J$65,2,FALSE)</f>
        <v>9</v>
      </c>
      <c r="K5" s="37">
        <f>VLOOKUP(A5,Sheet3!$A$51:$E$230,4,FALSE)</f>
        <v>0.1</v>
      </c>
      <c r="L5" s="37">
        <f t="shared" si="6"/>
        <v>0</v>
      </c>
      <c r="M5" s="37">
        <f t="shared" si="7"/>
        <v>1</v>
      </c>
    </row>
    <row r="6" spans="1:13">
      <c r="A6" s="10">
        <v>10103</v>
      </c>
      <c r="B6" s="10" t="str">
        <f>VLOOKUP(A6,Sheet3!$A$51:$E$230,5,FALSE)</f>
        <v>防御|数值</v>
      </c>
      <c r="C6" s="19" t="str">
        <f t="shared" si="0"/>
        <v>40103,45103</v>
      </c>
      <c r="D6" s="10" t="s">
        <v>67</v>
      </c>
      <c r="E6" s="21" t="str">
        <f t="shared" si="1"/>
        <v>防御</v>
      </c>
      <c r="F6" s="21" t="str">
        <f t="shared" si="2"/>
        <v>数值</v>
      </c>
      <c r="G6" s="37">
        <f t="shared" si="3"/>
        <v>40103</v>
      </c>
      <c r="H6" s="38" t="str">
        <f t="shared" si="4"/>
        <v>进阶+3：防御提高150</v>
      </c>
      <c r="I6" s="37">
        <f t="shared" si="5"/>
        <v>1</v>
      </c>
      <c r="J6" s="37">
        <f>VLOOKUP(E6,Sheet3!$I$57:$J$65,2,FALSE)</f>
        <v>4</v>
      </c>
      <c r="K6" s="37">
        <f>VLOOKUP(A6,Sheet3!$A$51:$E$230,4,FALSE)</f>
        <v>150</v>
      </c>
      <c r="L6" s="37">
        <f t="shared" si="6"/>
        <v>0</v>
      </c>
      <c r="M6" s="37">
        <f t="shared" si="7"/>
        <v>1</v>
      </c>
    </row>
    <row r="7" spans="1:13">
      <c r="A7" s="10">
        <v>10104</v>
      </c>
      <c r="B7" s="10" t="str">
        <f>VLOOKUP(A7,Sheet3!$A$51:$E$230,5,FALSE)</f>
        <v>伤害减免|百分比</v>
      </c>
      <c r="C7" s="19">
        <f t="shared" si="0"/>
        <v>40104</v>
      </c>
      <c r="D7" s="10" t="s">
        <v>67</v>
      </c>
      <c r="E7" s="21" t="str">
        <f t="shared" si="1"/>
        <v>伤害减免</v>
      </c>
      <c r="F7" s="21" t="str">
        <f t="shared" si="2"/>
        <v>百分比</v>
      </c>
      <c r="G7" s="1">
        <f t="shared" si="3"/>
        <v>40104</v>
      </c>
      <c r="H7" s="38" t="str">
        <f t="shared" si="4"/>
        <v>进阶+4：伤害减免提高10%</v>
      </c>
      <c r="I7" s="1">
        <f t="shared" si="5"/>
        <v>1</v>
      </c>
      <c r="J7" s="1">
        <f>VLOOKUP(E7,Sheet3!$I$57:$J$65,2,FALSE)</f>
        <v>10</v>
      </c>
      <c r="K7" s="1">
        <f>VLOOKUP(A7,Sheet3!$A$51:$E$230,4,FALSE)</f>
        <v>0.1</v>
      </c>
      <c r="L7" s="1">
        <f t="shared" si="6"/>
        <v>0</v>
      </c>
      <c r="M7" s="1">
        <f t="shared" si="7"/>
        <v>1</v>
      </c>
    </row>
    <row r="8" spans="1:13">
      <c r="A8" s="10">
        <v>10105</v>
      </c>
      <c r="B8" s="10" t="str">
        <f>VLOOKUP(A8,Sheet3!$A$51:$E$230,5,FALSE)</f>
        <v>攻击|数值</v>
      </c>
      <c r="C8" s="19">
        <f t="shared" si="0"/>
        <v>40105</v>
      </c>
      <c r="D8" s="10" t="s">
        <v>67</v>
      </c>
      <c r="E8" s="21" t="str">
        <f t="shared" si="1"/>
        <v>攻击</v>
      </c>
      <c r="F8" s="21" t="str">
        <f t="shared" si="2"/>
        <v>数值</v>
      </c>
      <c r="G8" s="1">
        <f t="shared" si="3"/>
        <v>40105</v>
      </c>
      <c r="H8" s="38" t="str">
        <f t="shared" si="4"/>
        <v>进阶+5：攻击提高300</v>
      </c>
      <c r="I8" s="1">
        <f t="shared" si="5"/>
        <v>1</v>
      </c>
      <c r="J8" s="1">
        <f>VLOOKUP(E8,Sheet3!$I$57:$J$65,2,FALSE)</f>
        <v>3</v>
      </c>
      <c r="K8" s="1">
        <f>VLOOKUP(A8,Sheet3!$A$51:$E$230,4,FALSE)</f>
        <v>300</v>
      </c>
      <c r="L8" s="1">
        <f t="shared" si="6"/>
        <v>0</v>
      </c>
      <c r="M8" s="1">
        <f t="shared" si="7"/>
        <v>1</v>
      </c>
    </row>
    <row r="9" spans="1:13">
      <c r="A9" s="10">
        <v>10106</v>
      </c>
      <c r="B9" s="10" t="str">
        <f>VLOOKUP(A9,Sheet3!$A$51:$E$230,5,FALSE)</f>
        <v>闪避率|百分比</v>
      </c>
      <c r="C9" s="19">
        <f t="shared" si="0"/>
        <v>40106</v>
      </c>
      <c r="D9" s="10" t="s">
        <v>67</v>
      </c>
      <c r="E9" s="21" t="str">
        <f t="shared" si="1"/>
        <v>闪避率</v>
      </c>
      <c r="F9" s="21" t="str">
        <f t="shared" si="2"/>
        <v>百分比</v>
      </c>
      <c r="G9" s="1">
        <f t="shared" si="3"/>
        <v>40106</v>
      </c>
      <c r="H9" s="38" t="str">
        <f t="shared" si="4"/>
        <v>进阶+6：闪避率提高15%</v>
      </c>
      <c r="I9" s="1">
        <f t="shared" si="5"/>
        <v>1</v>
      </c>
      <c r="J9" s="1">
        <f>VLOOKUP(E9,Sheet3!$I$57:$J$65,2,FALSE)</f>
        <v>7</v>
      </c>
      <c r="K9" s="1">
        <f>VLOOKUP(A9,Sheet3!$A$51:$E$230,4,FALSE)</f>
        <v>0.15</v>
      </c>
      <c r="L9" s="1">
        <f t="shared" si="6"/>
        <v>0</v>
      </c>
      <c r="M9" s="1">
        <f t="shared" si="7"/>
        <v>1</v>
      </c>
    </row>
    <row r="10" spans="1:13">
      <c r="A10" s="10">
        <v>10107</v>
      </c>
      <c r="B10" s="10" t="str">
        <f>VLOOKUP(A10,Sheet3!$A$51:$E$230,5,FALSE)</f>
        <v>防御|数值</v>
      </c>
      <c r="C10" s="19" t="str">
        <f t="shared" si="0"/>
        <v>40107,45107</v>
      </c>
      <c r="D10" s="10" t="s">
        <v>67</v>
      </c>
      <c r="E10" s="21" t="str">
        <f t="shared" si="1"/>
        <v>防御</v>
      </c>
      <c r="F10" s="21" t="str">
        <f t="shared" si="2"/>
        <v>数值</v>
      </c>
      <c r="G10" s="1">
        <f t="shared" si="3"/>
        <v>40107</v>
      </c>
      <c r="H10" s="38" t="str">
        <f t="shared" si="4"/>
        <v>进阶+7：防御提高850</v>
      </c>
      <c r="I10" s="1">
        <f t="shared" si="5"/>
        <v>1</v>
      </c>
      <c r="J10" s="1">
        <f>VLOOKUP(E10,Sheet3!$I$57:$J$65,2,FALSE)</f>
        <v>4</v>
      </c>
      <c r="K10" s="1">
        <f>VLOOKUP(A10,Sheet3!$A$51:$E$230,4,FALSE)</f>
        <v>850</v>
      </c>
      <c r="L10" s="1">
        <f t="shared" si="6"/>
        <v>0</v>
      </c>
      <c r="M10" s="1">
        <f t="shared" si="7"/>
        <v>1</v>
      </c>
    </row>
    <row r="11" spans="1:13">
      <c r="A11" s="10">
        <v>10108</v>
      </c>
      <c r="B11" s="10" t="str">
        <f>VLOOKUP(A11,Sheet3!$A$51:$E$230,5,FALSE)</f>
        <v>防御|百分比</v>
      </c>
      <c r="C11" s="19" t="str">
        <f t="shared" si="0"/>
        <v>40108,45108</v>
      </c>
      <c r="D11" s="10" t="s">
        <v>67</v>
      </c>
      <c r="E11" s="21" t="str">
        <f t="shared" si="1"/>
        <v>防御</v>
      </c>
      <c r="F11" s="21" t="str">
        <f t="shared" si="2"/>
        <v>百分比</v>
      </c>
      <c r="G11" s="1">
        <f t="shared" si="3"/>
        <v>40108</v>
      </c>
      <c r="H11" s="38" t="str">
        <f t="shared" si="4"/>
        <v>进阶+8：防御提高15%</v>
      </c>
      <c r="I11" s="1">
        <f t="shared" si="5"/>
        <v>1</v>
      </c>
      <c r="J11" s="1">
        <f>VLOOKUP(E11,Sheet3!$I$57:$J$65,2,FALSE)</f>
        <v>4</v>
      </c>
      <c r="K11" s="1">
        <f>VLOOKUP(A11,Sheet3!$A$51:$E$230,4,FALSE)</f>
        <v>0.15</v>
      </c>
      <c r="L11" s="1">
        <f t="shared" si="6"/>
        <v>1</v>
      </c>
      <c r="M11" s="1">
        <f t="shared" si="7"/>
        <v>5</v>
      </c>
    </row>
    <row r="12" spans="1:13">
      <c r="A12" s="10">
        <v>10109</v>
      </c>
      <c r="B12" s="10" t="str">
        <f>VLOOKUP(A12,Sheet3!$A$51:$E$230,5,FALSE)</f>
        <v>生命|数值</v>
      </c>
      <c r="C12" s="19">
        <f t="shared" si="0"/>
        <v>40109</v>
      </c>
      <c r="D12" s="10" t="s">
        <v>67</v>
      </c>
      <c r="E12" s="21" t="str">
        <f t="shared" si="1"/>
        <v>生命</v>
      </c>
      <c r="F12" s="21" t="str">
        <f t="shared" si="2"/>
        <v>数值</v>
      </c>
      <c r="G12" s="1">
        <f t="shared" si="3"/>
        <v>40109</v>
      </c>
      <c r="H12" s="38" t="str">
        <f t="shared" si="4"/>
        <v>进阶+9：生命提高72000</v>
      </c>
      <c r="I12" s="1">
        <f t="shared" si="5"/>
        <v>1</v>
      </c>
      <c r="J12" s="1">
        <f>VLOOKUP(E12,Sheet3!$I$57:$J$65,2,FALSE)</f>
        <v>1</v>
      </c>
      <c r="K12" s="1">
        <f>VLOOKUP(A12,Sheet3!$A$51:$E$230,4,FALSE)</f>
        <v>71999.999999999985</v>
      </c>
      <c r="L12" s="1">
        <f t="shared" si="6"/>
        <v>0</v>
      </c>
      <c r="M12" s="1">
        <f t="shared" si="7"/>
        <v>1</v>
      </c>
    </row>
    <row r="13" spans="1:13">
      <c r="A13" s="10">
        <v>10110</v>
      </c>
      <c r="B13" s="10" t="str">
        <f>VLOOKUP(A13,Sheet3!$A$51:$E$230,5,FALSE)</f>
        <v>生命|百分比</v>
      </c>
      <c r="C13" s="19">
        <f t="shared" si="0"/>
        <v>40110</v>
      </c>
      <c r="D13" s="10" t="s">
        <v>67</v>
      </c>
      <c r="E13" s="21" t="str">
        <f t="shared" si="1"/>
        <v>生命</v>
      </c>
      <c r="F13" s="21" t="str">
        <f t="shared" si="2"/>
        <v>百分比</v>
      </c>
      <c r="G13" s="1">
        <f t="shared" si="3"/>
        <v>40110</v>
      </c>
      <c r="H13" s="38" t="str">
        <f t="shared" si="4"/>
        <v>进阶+10：生命提高20%</v>
      </c>
      <c r="I13" s="1">
        <f t="shared" si="5"/>
        <v>1</v>
      </c>
      <c r="J13" s="1">
        <f>VLOOKUP(E13,Sheet3!$I$57:$J$65,2,FALSE)</f>
        <v>1</v>
      </c>
      <c r="K13" s="1">
        <f>VLOOKUP(A13,Sheet3!$A$51:$E$230,4,FALSE)</f>
        <v>0.2</v>
      </c>
      <c r="L13" s="1">
        <f t="shared" si="6"/>
        <v>1</v>
      </c>
      <c r="M13" s="1">
        <f t="shared" si="7"/>
        <v>5</v>
      </c>
    </row>
    <row r="14" spans="1:13">
      <c r="A14" s="10">
        <v>10111</v>
      </c>
      <c r="B14" s="10" t="str">
        <f>VLOOKUP(A14,Sheet3!$A$51:$E$230,5,FALSE)</f>
        <v>攻击|数值</v>
      </c>
      <c r="C14" s="19">
        <f t="shared" si="0"/>
        <v>40111</v>
      </c>
      <c r="D14" s="10" t="s">
        <v>67</v>
      </c>
      <c r="E14" s="21" t="str">
        <f t="shared" si="1"/>
        <v>攻击</v>
      </c>
      <c r="F14" s="21" t="str">
        <f t="shared" si="2"/>
        <v>数值</v>
      </c>
      <c r="G14" s="1">
        <f t="shared" si="3"/>
        <v>40111</v>
      </c>
      <c r="H14" s="38" t="str">
        <f t="shared" si="4"/>
        <v>进阶+11：攻击提高1200</v>
      </c>
      <c r="I14" s="1">
        <f t="shared" si="5"/>
        <v>1</v>
      </c>
      <c r="J14" s="1">
        <f>VLOOKUP(E14,Sheet3!$I$57:$J$65,2,FALSE)</f>
        <v>3</v>
      </c>
      <c r="K14" s="1">
        <f>VLOOKUP(A14,Sheet3!$A$51:$E$230,4,FALSE)</f>
        <v>1200</v>
      </c>
      <c r="L14" s="1">
        <f t="shared" si="6"/>
        <v>0</v>
      </c>
      <c r="M14" s="1">
        <f t="shared" si="7"/>
        <v>1</v>
      </c>
    </row>
    <row r="15" spans="1:13">
      <c r="A15" s="10">
        <v>10112</v>
      </c>
      <c r="B15" s="10" t="str">
        <f>VLOOKUP(A15,Sheet3!$A$51:$E$230,5,FALSE)</f>
        <v>攻击|百分比</v>
      </c>
      <c r="C15" s="19">
        <f t="shared" si="0"/>
        <v>40112</v>
      </c>
      <c r="D15" s="10" t="s">
        <v>67</v>
      </c>
      <c r="E15" s="21" t="str">
        <f t="shared" si="1"/>
        <v>攻击</v>
      </c>
      <c r="F15" s="21" t="str">
        <f t="shared" si="2"/>
        <v>百分比</v>
      </c>
      <c r="G15" s="1">
        <f t="shared" si="3"/>
        <v>40112</v>
      </c>
      <c r="H15" s="38" t="str">
        <f t="shared" si="4"/>
        <v>进阶+12：攻击提高10%</v>
      </c>
      <c r="I15" s="1">
        <f t="shared" si="5"/>
        <v>1</v>
      </c>
      <c r="J15" s="1">
        <f>VLOOKUP(E15,Sheet3!$I$57:$J$65,2,FALSE)</f>
        <v>3</v>
      </c>
      <c r="K15" s="1">
        <f>VLOOKUP(A15,Sheet3!$A$51:$E$230,4,FALSE)</f>
        <v>0.1</v>
      </c>
      <c r="L15" s="1">
        <f t="shared" si="6"/>
        <v>1</v>
      </c>
      <c r="M15" s="1">
        <f t="shared" si="7"/>
        <v>5</v>
      </c>
    </row>
    <row r="16" spans="1:13">
      <c r="A16" s="10">
        <v>10113</v>
      </c>
      <c r="B16" s="10" t="str">
        <f>VLOOKUP(A16,Sheet3!$A$51:$E$230,5,FALSE)</f>
        <v>防御|百分比</v>
      </c>
      <c r="C16" s="19" t="str">
        <f t="shared" si="0"/>
        <v>40113,45113</v>
      </c>
      <c r="D16" s="10" t="s">
        <v>67</v>
      </c>
      <c r="E16" s="21" t="str">
        <f t="shared" si="1"/>
        <v>防御</v>
      </c>
      <c r="F16" s="21" t="str">
        <f t="shared" si="2"/>
        <v>百分比</v>
      </c>
      <c r="G16" s="1">
        <f t="shared" si="3"/>
        <v>40113</v>
      </c>
      <c r="H16" s="38" t="str">
        <f t="shared" si="4"/>
        <v>进阶+13：防御提高25%</v>
      </c>
      <c r="I16" s="1">
        <f t="shared" si="5"/>
        <v>1</v>
      </c>
      <c r="J16" s="1">
        <f>VLOOKUP(E16,Sheet3!$I$57:$J$65,2,FALSE)</f>
        <v>4</v>
      </c>
      <c r="K16" s="1">
        <f>VLOOKUP(A16,Sheet3!$A$51:$E$230,4,FALSE)</f>
        <v>0.25</v>
      </c>
      <c r="L16" s="1">
        <f t="shared" si="6"/>
        <v>1</v>
      </c>
      <c r="M16" s="1">
        <f t="shared" si="7"/>
        <v>5</v>
      </c>
    </row>
    <row r="17" spans="1:13">
      <c r="A17" s="10">
        <v>10114</v>
      </c>
      <c r="B17" s="10" t="str">
        <f>VLOOKUP(A17,Sheet3!$A$51:$E$230,5,FALSE)</f>
        <v>攻击|百分比</v>
      </c>
      <c r="C17" s="19">
        <f t="shared" si="0"/>
        <v>40114</v>
      </c>
      <c r="D17" s="10" t="s">
        <v>67</v>
      </c>
      <c r="E17" s="21" t="str">
        <f t="shared" si="1"/>
        <v>攻击</v>
      </c>
      <c r="F17" s="21" t="str">
        <f t="shared" si="2"/>
        <v>百分比</v>
      </c>
      <c r="G17" s="1">
        <f t="shared" si="3"/>
        <v>40114</v>
      </c>
      <c r="H17" s="38" t="str">
        <f t="shared" si="4"/>
        <v>进阶+14：攻击提高20%</v>
      </c>
      <c r="I17" s="1">
        <f t="shared" si="5"/>
        <v>1</v>
      </c>
      <c r="J17" s="1">
        <f>VLOOKUP(E17,Sheet3!$I$57:$J$65,2,FALSE)</f>
        <v>3</v>
      </c>
      <c r="K17" s="1">
        <f>VLOOKUP(A17,Sheet3!$A$51:$E$230,4,FALSE)</f>
        <v>0.2</v>
      </c>
      <c r="L17" s="1">
        <f t="shared" si="6"/>
        <v>1</v>
      </c>
      <c r="M17" s="1">
        <f t="shared" si="7"/>
        <v>5</v>
      </c>
    </row>
    <row r="18" spans="1:13">
      <c r="A18" s="10">
        <v>10115</v>
      </c>
      <c r="B18" s="10" t="str">
        <f>VLOOKUP(A18,Sheet3!$A$51:$E$230,5,FALSE)</f>
        <v>生命|百分比</v>
      </c>
      <c r="C18" s="19">
        <f t="shared" si="0"/>
        <v>40115</v>
      </c>
      <c r="D18" s="10" t="s">
        <v>67</v>
      </c>
      <c r="E18" s="21" t="str">
        <f t="shared" si="1"/>
        <v>生命</v>
      </c>
      <c r="F18" s="21" t="str">
        <f t="shared" si="2"/>
        <v>百分比</v>
      </c>
      <c r="G18" s="1">
        <f t="shared" si="3"/>
        <v>40115</v>
      </c>
      <c r="H18" s="38" t="str">
        <f t="shared" si="4"/>
        <v>进阶+15：生命提高30%</v>
      </c>
      <c r="I18" s="1">
        <f t="shared" si="5"/>
        <v>1</v>
      </c>
      <c r="J18" s="1">
        <f>VLOOKUP(E18,Sheet3!$I$57:$J$65,2,FALSE)</f>
        <v>1</v>
      </c>
      <c r="K18" s="1">
        <f>VLOOKUP(A18,Sheet3!$A$51:$E$230,4,FALSE)</f>
        <v>0.3</v>
      </c>
      <c r="L18" s="1">
        <f t="shared" si="6"/>
        <v>1</v>
      </c>
      <c r="M18" s="1">
        <f t="shared" si="7"/>
        <v>5</v>
      </c>
    </row>
    <row r="19" spans="1:13">
      <c r="A19" s="10">
        <v>10201</v>
      </c>
      <c r="B19" s="10" t="str">
        <f>VLOOKUP(A19,Sheet3!$A$51:$E$230,5,FALSE)</f>
        <v>生命|数值</v>
      </c>
      <c r="C19" s="19">
        <f t="shared" si="0"/>
        <v>40201</v>
      </c>
      <c r="D19" s="10" t="s">
        <v>67</v>
      </c>
      <c r="E19" s="21" t="str">
        <f t="shared" si="1"/>
        <v>生命</v>
      </c>
      <c r="F19" s="21" t="str">
        <f t="shared" si="2"/>
        <v>数值</v>
      </c>
      <c r="G19" s="1">
        <f t="shared" si="3"/>
        <v>40201</v>
      </c>
      <c r="H19" s="38" t="str">
        <f t="shared" si="4"/>
        <v>进阶+1：生命提高3000</v>
      </c>
      <c r="I19" s="1">
        <f t="shared" si="5"/>
        <v>1</v>
      </c>
      <c r="J19" s="1">
        <f>VLOOKUP(E19,Sheet3!$I$57:$J$65,2,FALSE)</f>
        <v>1</v>
      </c>
      <c r="K19" s="1">
        <f>VLOOKUP(A19,Sheet3!$A$51:$E$230,4,FALSE)</f>
        <v>2999.9999999999995</v>
      </c>
      <c r="L19" s="1">
        <f t="shared" si="6"/>
        <v>0</v>
      </c>
      <c r="M19" s="1">
        <f t="shared" si="7"/>
        <v>1</v>
      </c>
    </row>
    <row r="20" spans="1:13">
      <c r="A20" s="10">
        <v>10202</v>
      </c>
      <c r="B20" s="10" t="str">
        <f>VLOOKUP(A20,Sheet3!$A$51:$E$230,5,FALSE)</f>
        <v>闪避率|百分比</v>
      </c>
      <c r="C20" s="19">
        <f t="shared" si="0"/>
        <v>40202</v>
      </c>
      <c r="D20" s="10" t="s">
        <v>67</v>
      </c>
      <c r="E20" s="21" t="str">
        <f t="shared" si="1"/>
        <v>闪避率</v>
      </c>
      <c r="F20" s="21" t="str">
        <f t="shared" si="2"/>
        <v>百分比</v>
      </c>
      <c r="G20" s="1">
        <f t="shared" si="3"/>
        <v>40202</v>
      </c>
      <c r="H20" s="38" t="str">
        <f t="shared" si="4"/>
        <v>进阶+2：闪避率提高5%</v>
      </c>
      <c r="I20" s="1">
        <f t="shared" si="5"/>
        <v>1</v>
      </c>
      <c r="J20" s="1">
        <f>VLOOKUP(E20,Sheet3!$I$57:$J$65,2,FALSE)</f>
        <v>7</v>
      </c>
      <c r="K20" s="1">
        <f>VLOOKUP(A20,Sheet3!$A$51:$E$230,4,FALSE)</f>
        <v>0.05</v>
      </c>
      <c r="L20" s="1">
        <f t="shared" si="6"/>
        <v>0</v>
      </c>
      <c r="M20" s="1">
        <f t="shared" si="7"/>
        <v>1</v>
      </c>
    </row>
    <row r="21" spans="1:13">
      <c r="A21" s="10">
        <v>10203</v>
      </c>
      <c r="B21" s="10" t="str">
        <f>VLOOKUP(A21,Sheet3!$A$51:$E$230,5,FALSE)</f>
        <v>防御|数值</v>
      </c>
      <c r="C21" s="19" t="str">
        <f t="shared" si="0"/>
        <v>40203,45203</v>
      </c>
      <c r="D21" s="10" t="s">
        <v>67</v>
      </c>
      <c r="E21" s="21" t="str">
        <f t="shared" si="1"/>
        <v>防御</v>
      </c>
      <c r="F21" s="21" t="str">
        <f t="shared" si="2"/>
        <v>数值</v>
      </c>
      <c r="G21" s="1">
        <f t="shared" si="3"/>
        <v>40203</v>
      </c>
      <c r="H21" s="38" t="str">
        <f t="shared" si="4"/>
        <v>进阶+3：防御提高150</v>
      </c>
      <c r="I21" s="1">
        <f t="shared" si="5"/>
        <v>1</v>
      </c>
      <c r="J21" s="1">
        <f>VLOOKUP(E21,Sheet3!$I$57:$J$65,2,FALSE)</f>
        <v>4</v>
      </c>
      <c r="K21" s="1">
        <f>VLOOKUP(A21,Sheet3!$A$51:$E$230,4,FALSE)</f>
        <v>150</v>
      </c>
      <c r="L21" s="1">
        <f t="shared" si="6"/>
        <v>0</v>
      </c>
      <c r="M21" s="1">
        <f t="shared" si="7"/>
        <v>1</v>
      </c>
    </row>
    <row r="22" spans="1:13">
      <c r="A22" s="10">
        <v>10204</v>
      </c>
      <c r="B22" s="10" t="str">
        <f>VLOOKUP(A22,Sheet3!$A$51:$E$230,5,FALSE)</f>
        <v>伤害减免|百分比</v>
      </c>
      <c r="C22" s="19">
        <f t="shared" si="0"/>
        <v>40204</v>
      </c>
      <c r="D22" s="10" t="s">
        <v>67</v>
      </c>
      <c r="E22" s="21" t="str">
        <f t="shared" si="1"/>
        <v>伤害减免</v>
      </c>
      <c r="F22" s="21" t="str">
        <f t="shared" si="2"/>
        <v>百分比</v>
      </c>
      <c r="G22" s="1">
        <f t="shared" si="3"/>
        <v>40204</v>
      </c>
      <c r="H22" s="38" t="str">
        <f t="shared" si="4"/>
        <v>进阶+4：伤害减免提高10%</v>
      </c>
      <c r="I22" s="1">
        <f t="shared" si="5"/>
        <v>1</v>
      </c>
      <c r="J22" s="1">
        <f>VLOOKUP(E22,Sheet3!$I$57:$J$65,2,FALSE)</f>
        <v>10</v>
      </c>
      <c r="K22" s="1">
        <f>VLOOKUP(A22,Sheet3!$A$51:$E$230,4,FALSE)</f>
        <v>0.1</v>
      </c>
      <c r="L22" s="1">
        <f t="shared" si="6"/>
        <v>0</v>
      </c>
      <c r="M22" s="1">
        <f t="shared" si="7"/>
        <v>1</v>
      </c>
    </row>
    <row r="23" spans="1:13">
      <c r="A23" s="10">
        <v>10205</v>
      </c>
      <c r="B23" s="10" t="str">
        <f>VLOOKUP(A23,Sheet3!$A$51:$E$230,5,FALSE)</f>
        <v>攻击|数值</v>
      </c>
      <c r="C23" s="19">
        <f t="shared" si="0"/>
        <v>40205</v>
      </c>
      <c r="D23" s="10" t="s">
        <v>67</v>
      </c>
      <c r="E23" s="21" t="str">
        <f t="shared" si="1"/>
        <v>攻击</v>
      </c>
      <c r="F23" s="21" t="str">
        <f t="shared" si="2"/>
        <v>数值</v>
      </c>
      <c r="G23" s="1">
        <f t="shared" si="3"/>
        <v>40205</v>
      </c>
      <c r="H23" s="38" t="str">
        <f t="shared" si="4"/>
        <v>进阶+5：攻击提高300</v>
      </c>
      <c r="I23" s="1">
        <f t="shared" si="5"/>
        <v>1</v>
      </c>
      <c r="J23" s="1">
        <f>VLOOKUP(E23,Sheet3!$I$57:$J$65,2,FALSE)</f>
        <v>3</v>
      </c>
      <c r="K23" s="1">
        <f>VLOOKUP(A23,Sheet3!$A$51:$E$230,4,FALSE)</f>
        <v>300</v>
      </c>
      <c r="L23" s="1">
        <f t="shared" si="6"/>
        <v>0</v>
      </c>
      <c r="M23" s="1">
        <f t="shared" si="7"/>
        <v>1</v>
      </c>
    </row>
    <row r="24" spans="1:13">
      <c r="A24" s="10">
        <v>10206</v>
      </c>
      <c r="B24" s="10" t="str">
        <f>VLOOKUP(A24,Sheet3!$A$51:$E$230,5,FALSE)</f>
        <v>抗暴率|百分比</v>
      </c>
      <c r="C24" s="19">
        <f t="shared" si="0"/>
        <v>40206</v>
      </c>
      <c r="D24" s="10" t="s">
        <v>67</v>
      </c>
      <c r="E24" s="21" t="str">
        <f t="shared" si="1"/>
        <v>抗暴率</v>
      </c>
      <c r="F24" s="21" t="str">
        <f t="shared" si="2"/>
        <v>百分比</v>
      </c>
      <c r="G24" s="1">
        <f t="shared" si="3"/>
        <v>40206</v>
      </c>
      <c r="H24" s="38" t="str">
        <f t="shared" si="4"/>
        <v>进阶+6：抗暴率提高30%</v>
      </c>
      <c r="I24" s="1">
        <f t="shared" si="5"/>
        <v>1</v>
      </c>
      <c r="J24" s="1">
        <f>VLOOKUP(E24,Sheet3!$I$57:$J$65,2,FALSE)</f>
        <v>9</v>
      </c>
      <c r="K24" s="1">
        <f>VLOOKUP(A24,Sheet3!$A$51:$E$230,4,FALSE)</f>
        <v>0.3</v>
      </c>
      <c r="L24" s="1">
        <f t="shared" si="6"/>
        <v>0</v>
      </c>
      <c r="M24" s="1">
        <f t="shared" si="7"/>
        <v>1</v>
      </c>
    </row>
    <row r="25" spans="1:13">
      <c r="A25" s="10">
        <v>10207</v>
      </c>
      <c r="B25" s="10" t="str">
        <f>VLOOKUP(A25,Sheet3!$A$51:$E$230,5,FALSE)</f>
        <v>防御|数值</v>
      </c>
      <c r="C25" s="19" t="str">
        <f t="shared" si="0"/>
        <v>40207,45207</v>
      </c>
      <c r="D25" s="10" t="s">
        <v>67</v>
      </c>
      <c r="E25" s="21" t="str">
        <f t="shared" si="1"/>
        <v>防御</v>
      </c>
      <c r="F25" s="21" t="str">
        <f t="shared" si="2"/>
        <v>数值</v>
      </c>
      <c r="G25" s="1">
        <f t="shared" si="3"/>
        <v>40207</v>
      </c>
      <c r="H25" s="38" t="str">
        <f t="shared" si="4"/>
        <v>进阶+7：防御提高850</v>
      </c>
      <c r="I25" s="1">
        <f t="shared" si="5"/>
        <v>1</v>
      </c>
      <c r="J25" s="1">
        <f>VLOOKUP(E25,Sheet3!$I$57:$J$65,2,FALSE)</f>
        <v>4</v>
      </c>
      <c r="K25" s="1">
        <f>VLOOKUP(A25,Sheet3!$A$51:$E$230,4,FALSE)</f>
        <v>850</v>
      </c>
      <c r="L25" s="1">
        <f t="shared" si="6"/>
        <v>0</v>
      </c>
      <c r="M25" s="1">
        <f t="shared" si="7"/>
        <v>1</v>
      </c>
    </row>
    <row r="26" spans="1:13">
      <c r="A26" s="10">
        <v>10208</v>
      </c>
      <c r="B26" s="10" t="str">
        <f>VLOOKUP(A26,Sheet3!$A$51:$E$230,5,FALSE)</f>
        <v>防御|百分比</v>
      </c>
      <c r="C26" s="19" t="str">
        <f t="shared" si="0"/>
        <v>40208,45208</v>
      </c>
      <c r="D26" s="10" t="s">
        <v>67</v>
      </c>
      <c r="E26" s="21" t="str">
        <f t="shared" si="1"/>
        <v>防御</v>
      </c>
      <c r="F26" s="21" t="str">
        <f t="shared" si="2"/>
        <v>百分比</v>
      </c>
      <c r="G26" s="1">
        <f t="shared" si="3"/>
        <v>40208</v>
      </c>
      <c r="H26" s="38" t="str">
        <f t="shared" si="4"/>
        <v>进阶+8：防御提高15%</v>
      </c>
      <c r="I26" s="1">
        <f t="shared" si="5"/>
        <v>1</v>
      </c>
      <c r="J26" s="1">
        <f>VLOOKUP(E26,Sheet3!$I$57:$J$65,2,FALSE)</f>
        <v>4</v>
      </c>
      <c r="K26" s="1">
        <f>VLOOKUP(A26,Sheet3!$A$51:$E$230,4,FALSE)</f>
        <v>0.15</v>
      </c>
      <c r="L26" s="1">
        <f t="shared" si="6"/>
        <v>1</v>
      </c>
      <c r="M26" s="1">
        <f t="shared" si="7"/>
        <v>5</v>
      </c>
    </row>
    <row r="27" spans="1:13">
      <c r="A27" s="10">
        <v>10209</v>
      </c>
      <c r="B27" s="10" t="str">
        <f>VLOOKUP(A27,Sheet3!$A$51:$E$230,5,FALSE)</f>
        <v>生命|数值</v>
      </c>
      <c r="C27" s="19">
        <f t="shared" si="0"/>
        <v>40209</v>
      </c>
      <c r="D27" s="10" t="s">
        <v>67</v>
      </c>
      <c r="E27" s="21" t="str">
        <f t="shared" si="1"/>
        <v>生命</v>
      </c>
      <c r="F27" s="21" t="str">
        <f t="shared" si="2"/>
        <v>数值</v>
      </c>
      <c r="G27" s="1">
        <f t="shared" si="3"/>
        <v>40209</v>
      </c>
      <c r="H27" s="38" t="str">
        <f t="shared" si="4"/>
        <v>进阶+9：生命提高72000</v>
      </c>
      <c r="I27" s="1">
        <f t="shared" si="5"/>
        <v>1</v>
      </c>
      <c r="J27" s="1">
        <f>VLOOKUP(E27,Sheet3!$I$57:$J$65,2,FALSE)</f>
        <v>1</v>
      </c>
      <c r="K27" s="1">
        <f>VLOOKUP(A27,Sheet3!$A$51:$E$230,4,FALSE)</f>
        <v>71999.999999999985</v>
      </c>
      <c r="L27" s="1">
        <f t="shared" si="6"/>
        <v>0</v>
      </c>
      <c r="M27" s="1">
        <f t="shared" si="7"/>
        <v>1</v>
      </c>
    </row>
    <row r="28" spans="1:13">
      <c r="A28" s="10">
        <v>10210</v>
      </c>
      <c r="B28" s="10" t="str">
        <f>VLOOKUP(A28,Sheet3!$A$51:$E$230,5,FALSE)</f>
        <v>生命|百分比</v>
      </c>
      <c r="C28" s="19">
        <f t="shared" si="0"/>
        <v>40210</v>
      </c>
      <c r="D28" s="10" t="s">
        <v>67</v>
      </c>
      <c r="E28" s="21" t="str">
        <f t="shared" si="1"/>
        <v>生命</v>
      </c>
      <c r="F28" s="21" t="str">
        <f t="shared" si="2"/>
        <v>百分比</v>
      </c>
      <c r="G28" s="1">
        <f t="shared" si="3"/>
        <v>40210</v>
      </c>
      <c r="H28" s="38" t="str">
        <f t="shared" si="4"/>
        <v>进阶+10：生命提高20%</v>
      </c>
      <c r="I28" s="1">
        <f t="shared" si="5"/>
        <v>1</v>
      </c>
      <c r="J28" s="1">
        <f>VLOOKUP(E28,Sheet3!$I$57:$J$65,2,FALSE)</f>
        <v>1</v>
      </c>
      <c r="K28" s="1">
        <f>VLOOKUP(A28,Sheet3!$A$51:$E$230,4,FALSE)</f>
        <v>0.2</v>
      </c>
      <c r="L28" s="1">
        <f t="shared" si="6"/>
        <v>1</v>
      </c>
      <c r="M28" s="1">
        <f t="shared" si="7"/>
        <v>5</v>
      </c>
    </row>
    <row r="29" spans="1:13">
      <c r="A29" s="10">
        <v>10211</v>
      </c>
      <c r="B29" s="10" t="str">
        <f>VLOOKUP(A29,Sheet3!$A$51:$E$230,5,FALSE)</f>
        <v>攻击|数值</v>
      </c>
      <c r="C29" s="19">
        <f t="shared" si="0"/>
        <v>40211</v>
      </c>
      <c r="D29" s="10" t="s">
        <v>67</v>
      </c>
      <c r="E29" s="21" t="str">
        <f t="shared" si="1"/>
        <v>攻击</v>
      </c>
      <c r="F29" s="21" t="str">
        <f t="shared" si="2"/>
        <v>数值</v>
      </c>
      <c r="G29" s="1">
        <f t="shared" si="3"/>
        <v>40211</v>
      </c>
      <c r="H29" s="38" t="str">
        <f t="shared" si="4"/>
        <v>进阶+11：攻击提高1200</v>
      </c>
      <c r="I29" s="1">
        <f t="shared" si="5"/>
        <v>1</v>
      </c>
      <c r="J29" s="1">
        <f>VLOOKUP(E29,Sheet3!$I$57:$J$65,2,FALSE)</f>
        <v>3</v>
      </c>
      <c r="K29" s="1">
        <f>VLOOKUP(A29,Sheet3!$A$51:$E$230,4,FALSE)</f>
        <v>1200</v>
      </c>
      <c r="L29" s="1">
        <f t="shared" si="6"/>
        <v>0</v>
      </c>
      <c r="M29" s="1">
        <f t="shared" si="7"/>
        <v>1</v>
      </c>
    </row>
    <row r="30" spans="1:13">
      <c r="A30" s="10">
        <v>10212</v>
      </c>
      <c r="B30" s="10" t="str">
        <f>VLOOKUP(A30,Sheet3!$A$51:$E$230,5,FALSE)</f>
        <v>攻击|百分比</v>
      </c>
      <c r="C30" s="19">
        <f t="shared" si="0"/>
        <v>40212</v>
      </c>
      <c r="D30" s="10" t="s">
        <v>67</v>
      </c>
      <c r="E30" s="21" t="str">
        <f t="shared" si="1"/>
        <v>攻击</v>
      </c>
      <c r="F30" s="21" t="str">
        <f t="shared" si="2"/>
        <v>百分比</v>
      </c>
      <c r="G30" s="1">
        <f t="shared" si="3"/>
        <v>40212</v>
      </c>
      <c r="H30" s="38" t="str">
        <f t="shared" si="4"/>
        <v>进阶+12：攻击提高10%</v>
      </c>
      <c r="I30" s="1">
        <f t="shared" si="5"/>
        <v>1</v>
      </c>
      <c r="J30" s="1">
        <f>VLOOKUP(E30,Sheet3!$I$57:$J$65,2,FALSE)</f>
        <v>3</v>
      </c>
      <c r="K30" s="1">
        <f>VLOOKUP(A30,Sheet3!$A$51:$E$230,4,FALSE)</f>
        <v>0.1</v>
      </c>
      <c r="L30" s="1">
        <f t="shared" si="6"/>
        <v>1</v>
      </c>
      <c r="M30" s="1">
        <f t="shared" si="7"/>
        <v>5</v>
      </c>
    </row>
    <row r="31" spans="1:13">
      <c r="A31" s="10">
        <v>10213</v>
      </c>
      <c r="B31" s="10" t="str">
        <f>VLOOKUP(A31,Sheet3!$A$51:$E$230,5,FALSE)</f>
        <v>防御|百分比</v>
      </c>
      <c r="C31" s="19" t="str">
        <f t="shared" si="0"/>
        <v>40213,45213</v>
      </c>
      <c r="D31" s="10" t="s">
        <v>67</v>
      </c>
      <c r="E31" s="21" t="str">
        <f t="shared" si="1"/>
        <v>防御</v>
      </c>
      <c r="F31" s="21" t="str">
        <f t="shared" si="2"/>
        <v>百分比</v>
      </c>
      <c r="G31" s="1">
        <f t="shared" si="3"/>
        <v>40213</v>
      </c>
      <c r="H31" s="38" t="str">
        <f t="shared" si="4"/>
        <v>进阶+13：防御提高25%</v>
      </c>
      <c r="I31" s="1">
        <f t="shared" si="5"/>
        <v>1</v>
      </c>
      <c r="J31" s="1">
        <f>VLOOKUP(E31,Sheet3!$I$57:$J$65,2,FALSE)</f>
        <v>4</v>
      </c>
      <c r="K31" s="1">
        <f>VLOOKUP(A31,Sheet3!$A$51:$E$230,4,FALSE)</f>
        <v>0.25</v>
      </c>
      <c r="L31" s="1">
        <f t="shared" si="6"/>
        <v>1</v>
      </c>
      <c r="M31" s="1">
        <f t="shared" si="7"/>
        <v>5</v>
      </c>
    </row>
    <row r="32" spans="1:13">
      <c r="A32" s="10">
        <v>10214</v>
      </c>
      <c r="B32" s="10" t="str">
        <f>VLOOKUP(A32,Sheet3!$A$51:$E$230,5,FALSE)</f>
        <v>攻击|百分比</v>
      </c>
      <c r="C32" s="19">
        <f t="shared" si="0"/>
        <v>40214</v>
      </c>
      <c r="D32" s="10" t="s">
        <v>67</v>
      </c>
      <c r="E32" s="21" t="str">
        <f t="shared" si="1"/>
        <v>攻击</v>
      </c>
      <c r="F32" s="21" t="str">
        <f t="shared" si="2"/>
        <v>百分比</v>
      </c>
      <c r="G32" s="1">
        <f t="shared" si="3"/>
        <v>40214</v>
      </c>
      <c r="H32" s="38" t="str">
        <f t="shared" si="4"/>
        <v>进阶+14：攻击提高20%</v>
      </c>
      <c r="I32" s="1">
        <f t="shared" si="5"/>
        <v>1</v>
      </c>
      <c r="J32" s="1">
        <f>VLOOKUP(E32,Sheet3!$I$57:$J$65,2,FALSE)</f>
        <v>3</v>
      </c>
      <c r="K32" s="1">
        <f>VLOOKUP(A32,Sheet3!$A$51:$E$230,4,FALSE)</f>
        <v>0.2</v>
      </c>
      <c r="L32" s="1">
        <f t="shared" si="6"/>
        <v>1</v>
      </c>
      <c r="M32" s="1">
        <f t="shared" si="7"/>
        <v>5</v>
      </c>
    </row>
    <row r="33" spans="1:13">
      <c r="A33" s="10">
        <v>10215</v>
      </c>
      <c r="B33" s="10" t="str">
        <f>VLOOKUP(A33,Sheet3!$A$51:$E$230,5,FALSE)</f>
        <v>生命|百分比</v>
      </c>
      <c r="C33" s="19">
        <f t="shared" si="0"/>
        <v>40215</v>
      </c>
      <c r="D33" s="10" t="s">
        <v>67</v>
      </c>
      <c r="E33" s="21" t="str">
        <f t="shared" si="1"/>
        <v>生命</v>
      </c>
      <c r="F33" s="21" t="str">
        <f t="shared" si="2"/>
        <v>百分比</v>
      </c>
      <c r="G33" s="1">
        <f t="shared" si="3"/>
        <v>40215</v>
      </c>
      <c r="H33" s="38" t="str">
        <f t="shared" si="4"/>
        <v>进阶+15：生命提高30%</v>
      </c>
      <c r="I33" s="1">
        <f t="shared" si="5"/>
        <v>1</v>
      </c>
      <c r="J33" s="1">
        <f>VLOOKUP(E33,Sheet3!$I$57:$J$65,2,FALSE)</f>
        <v>1</v>
      </c>
      <c r="K33" s="1">
        <f>VLOOKUP(A33,Sheet3!$A$51:$E$230,4,FALSE)</f>
        <v>0.3</v>
      </c>
      <c r="L33" s="1">
        <f t="shared" si="6"/>
        <v>1</v>
      </c>
      <c r="M33" s="1">
        <f t="shared" si="7"/>
        <v>5</v>
      </c>
    </row>
    <row r="34" spans="1:13">
      <c r="A34" s="10">
        <v>10301</v>
      </c>
      <c r="B34" s="10" t="str">
        <f>VLOOKUP(A34,Sheet3!$A$51:$E$230,5,FALSE)</f>
        <v>生命|数值</v>
      </c>
      <c r="C34" s="19">
        <f t="shared" si="0"/>
        <v>40301</v>
      </c>
      <c r="D34" s="10" t="s">
        <v>67</v>
      </c>
      <c r="E34" s="21" t="str">
        <f t="shared" si="1"/>
        <v>生命</v>
      </c>
      <c r="F34" s="21" t="str">
        <f t="shared" si="2"/>
        <v>数值</v>
      </c>
      <c r="G34" s="1">
        <f t="shared" si="3"/>
        <v>40301</v>
      </c>
      <c r="H34" s="38" t="str">
        <f t="shared" si="4"/>
        <v>进阶+1：生命提高3000</v>
      </c>
      <c r="I34" s="1">
        <f t="shared" si="5"/>
        <v>1</v>
      </c>
      <c r="J34" s="1">
        <f>VLOOKUP(E34,Sheet3!$I$57:$J$65,2,FALSE)</f>
        <v>1</v>
      </c>
      <c r="K34" s="1">
        <f>VLOOKUP(A34,Sheet3!$A$51:$E$230,4,FALSE)</f>
        <v>2999.9999999999995</v>
      </c>
      <c r="L34" s="1">
        <f t="shared" si="6"/>
        <v>0</v>
      </c>
      <c r="M34" s="1">
        <f t="shared" si="7"/>
        <v>1</v>
      </c>
    </row>
    <row r="35" spans="1:13">
      <c r="A35" s="10">
        <v>10302</v>
      </c>
      <c r="B35" s="10" t="str">
        <f>VLOOKUP(A35,Sheet3!$A$51:$E$230,5,FALSE)</f>
        <v>闪避率|百分比</v>
      </c>
      <c r="C35" s="19">
        <f t="shared" si="0"/>
        <v>40302</v>
      </c>
      <c r="D35" s="10" t="s">
        <v>67</v>
      </c>
      <c r="E35" s="21" t="str">
        <f t="shared" si="1"/>
        <v>闪避率</v>
      </c>
      <c r="F35" s="21" t="str">
        <f t="shared" si="2"/>
        <v>百分比</v>
      </c>
      <c r="G35" s="1">
        <f t="shared" si="3"/>
        <v>40302</v>
      </c>
      <c r="H35" s="38" t="str">
        <f t="shared" si="4"/>
        <v>进阶+2：闪避率提高5%</v>
      </c>
      <c r="I35" s="1">
        <f t="shared" si="5"/>
        <v>1</v>
      </c>
      <c r="J35" s="1">
        <f>VLOOKUP(E35,Sheet3!$I$57:$J$65,2,FALSE)</f>
        <v>7</v>
      </c>
      <c r="K35" s="1">
        <f>VLOOKUP(A35,Sheet3!$A$51:$E$230,4,FALSE)</f>
        <v>0.05</v>
      </c>
      <c r="L35" s="1">
        <f t="shared" si="6"/>
        <v>0</v>
      </c>
      <c r="M35" s="1">
        <f t="shared" si="7"/>
        <v>1</v>
      </c>
    </row>
    <row r="36" spans="1:13">
      <c r="A36" s="10">
        <v>10303</v>
      </c>
      <c r="B36" s="10" t="str">
        <f>VLOOKUP(A36,Sheet3!$A$51:$E$230,5,FALSE)</f>
        <v>防御|数值</v>
      </c>
      <c r="C36" s="19" t="str">
        <f t="shared" ref="C36:C67" si="8">IF(MID(B36,1,SEARCH("|",B36)-1)="防御",A36+30000&amp;","&amp;A36+35000,A36+30000)</f>
        <v>40303,45303</v>
      </c>
      <c r="D36" s="10" t="s">
        <v>67</v>
      </c>
      <c r="E36" s="21" t="str">
        <f t="shared" ref="E36:E67" si="9">MID(B36,1,SEARCH("|",B36)-1)</f>
        <v>防御</v>
      </c>
      <c r="F36" s="21" t="str">
        <f t="shared" ref="F36:F67" si="10">MID(B36,SEARCH("|",B36)+1,5)</f>
        <v>数值</v>
      </c>
      <c r="G36" s="1">
        <f t="shared" ref="G36:G67" si="11">A36+30000</f>
        <v>40303</v>
      </c>
      <c r="H36" s="38" t="str">
        <f t="shared" si="4"/>
        <v>进阶+3：防御提高150</v>
      </c>
      <c r="I36" s="1">
        <f t="shared" si="5"/>
        <v>1</v>
      </c>
      <c r="J36" s="1">
        <f>VLOOKUP(E36,Sheet3!$I$57:$J$65,2,FALSE)</f>
        <v>4</v>
      </c>
      <c r="K36" s="1">
        <f>VLOOKUP(A36,Sheet3!$A$51:$E$230,4,FALSE)</f>
        <v>150</v>
      </c>
      <c r="L36" s="1">
        <f t="shared" si="6"/>
        <v>0</v>
      </c>
      <c r="M36" s="1">
        <f t="shared" si="7"/>
        <v>1</v>
      </c>
    </row>
    <row r="37" spans="1:13">
      <c r="A37" s="10">
        <v>10304</v>
      </c>
      <c r="B37" s="10" t="str">
        <f>VLOOKUP(A37,Sheet3!$A$51:$E$230,5,FALSE)</f>
        <v>抗暴率|百分比</v>
      </c>
      <c r="C37" s="19">
        <f t="shared" si="8"/>
        <v>40304</v>
      </c>
      <c r="D37" s="10" t="s">
        <v>67</v>
      </c>
      <c r="E37" s="21" t="str">
        <f t="shared" si="9"/>
        <v>抗暴率</v>
      </c>
      <c r="F37" s="21" t="str">
        <f t="shared" si="10"/>
        <v>百分比</v>
      </c>
      <c r="G37" s="1">
        <f t="shared" si="11"/>
        <v>40304</v>
      </c>
      <c r="H37" s="38" t="str">
        <f t="shared" si="4"/>
        <v>进阶+4：抗暴率提高20%</v>
      </c>
      <c r="I37" s="1">
        <f t="shared" si="5"/>
        <v>1</v>
      </c>
      <c r="J37" s="1">
        <f>VLOOKUP(E37,Sheet3!$I$57:$J$65,2,FALSE)</f>
        <v>9</v>
      </c>
      <c r="K37" s="1">
        <f>VLOOKUP(A37,Sheet3!$A$51:$E$230,4,FALSE)</f>
        <v>0.2</v>
      </c>
      <c r="L37" s="1">
        <f t="shared" si="6"/>
        <v>0</v>
      </c>
      <c r="M37" s="1">
        <f t="shared" si="7"/>
        <v>1</v>
      </c>
    </row>
    <row r="38" spans="1:13">
      <c r="A38" s="10">
        <v>10305</v>
      </c>
      <c r="B38" s="10" t="str">
        <f>VLOOKUP(A38,Sheet3!$A$51:$E$230,5,FALSE)</f>
        <v>攻击|数值</v>
      </c>
      <c r="C38" s="19">
        <f t="shared" si="8"/>
        <v>40305</v>
      </c>
      <c r="D38" s="10" t="s">
        <v>67</v>
      </c>
      <c r="E38" s="21" t="str">
        <f t="shared" si="9"/>
        <v>攻击</v>
      </c>
      <c r="F38" s="21" t="str">
        <f t="shared" si="10"/>
        <v>数值</v>
      </c>
      <c r="G38" s="1">
        <f t="shared" si="11"/>
        <v>40305</v>
      </c>
      <c r="H38" s="38" t="str">
        <f t="shared" si="4"/>
        <v>进阶+5：攻击提高300</v>
      </c>
      <c r="I38" s="1">
        <f t="shared" si="5"/>
        <v>1</v>
      </c>
      <c r="J38" s="1">
        <f>VLOOKUP(E38,Sheet3!$I$57:$J$65,2,FALSE)</f>
        <v>3</v>
      </c>
      <c r="K38" s="1">
        <f>VLOOKUP(A38,Sheet3!$A$51:$E$230,4,FALSE)</f>
        <v>300</v>
      </c>
      <c r="L38" s="1">
        <f t="shared" si="6"/>
        <v>0</v>
      </c>
      <c r="M38" s="1">
        <f t="shared" si="7"/>
        <v>1</v>
      </c>
    </row>
    <row r="39" spans="1:13">
      <c r="A39" s="10">
        <v>10306</v>
      </c>
      <c r="B39" s="10" t="str">
        <f>VLOOKUP(A39,Sheet3!$A$51:$E$230,5,FALSE)</f>
        <v>伤害减免|百分比</v>
      </c>
      <c r="C39" s="19">
        <f t="shared" si="8"/>
        <v>40306</v>
      </c>
      <c r="D39" s="10" t="s">
        <v>67</v>
      </c>
      <c r="E39" s="21" t="str">
        <f t="shared" si="9"/>
        <v>伤害减免</v>
      </c>
      <c r="F39" s="21" t="str">
        <f t="shared" si="10"/>
        <v>百分比</v>
      </c>
      <c r="G39" s="1">
        <f t="shared" si="11"/>
        <v>40306</v>
      </c>
      <c r="H39" s="38" t="str">
        <f t="shared" si="4"/>
        <v>进阶+6：伤害减免提高15%</v>
      </c>
      <c r="I39" s="1">
        <f t="shared" si="5"/>
        <v>1</v>
      </c>
      <c r="J39" s="1">
        <f>VLOOKUP(E39,Sheet3!$I$57:$J$65,2,FALSE)</f>
        <v>10</v>
      </c>
      <c r="K39" s="1">
        <f>VLOOKUP(A39,Sheet3!$A$51:$E$230,4,FALSE)</f>
        <v>0.15</v>
      </c>
      <c r="L39" s="1">
        <f t="shared" si="6"/>
        <v>0</v>
      </c>
      <c r="M39" s="1">
        <f t="shared" si="7"/>
        <v>1</v>
      </c>
    </row>
    <row r="40" spans="1:13">
      <c r="A40" s="10">
        <v>10307</v>
      </c>
      <c r="B40" s="10" t="str">
        <f>VLOOKUP(A40,Sheet3!$A$51:$E$230,5,FALSE)</f>
        <v>防御|数值</v>
      </c>
      <c r="C40" s="19" t="str">
        <f t="shared" si="8"/>
        <v>40307,45307</v>
      </c>
      <c r="D40" s="10" t="s">
        <v>67</v>
      </c>
      <c r="E40" s="21" t="str">
        <f t="shared" si="9"/>
        <v>防御</v>
      </c>
      <c r="F40" s="21" t="str">
        <f t="shared" si="10"/>
        <v>数值</v>
      </c>
      <c r="G40" s="1">
        <f t="shared" si="11"/>
        <v>40307</v>
      </c>
      <c r="H40" s="38" t="str">
        <f t="shared" si="4"/>
        <v>进阶+7：防御提高850</v>
      </c>
      <c r="I40" s="1">
        <f t="shared" si="5"/>
        <v>1</v>
      </c>
      <c r="J40" s="1">
        <f>VLOOKUP(E40,Sheet3!$I$57:$J$65,2,FALSE)</f>
        <v>4</v>
      </c>
      <c r="K40" s="1">
        <f>VLOOKUP(A40,Sheet3!$A$51:$E$230,4,FALSE)</f>
        <v>850</v>
      </c>
      <c r="L40" s="1">
        <f t="shared" si="6"/>
        <v>0</v>
      </c>
      <c r="M40" s="1">
        <f t="shared" si="7"/>
        <v>1</v>
      </c>
    </row>
    <row r="41" spans="1:13">
      <c r="A41" s="10">
        <v>10308</v>
      </c>
      <c r="B41" s="10" t="str">
        <f>VLOOKUP(A41,Sheet3!$A$51:$E$230,5,FALSE)</f>
        <v>防御|百分比</v>
      </c>
      <c r="C41" s="19" t="str">
        <f t="shared" si="8"/>
        <v>40308,45308</v>
      </c>
      <c r="D41" s="10" t="s">
        <v>67</v>
      </c>
      <c r="E41" s="21" t="str">
        <f t="shared" si="9"/>
        <v>防御</v>
      </c>
      <c r="F41" s="21" t="str">
        <f t="shared" si="10"/>
        <v>百分比</v>
      </c>
      <c r="G41" s="1">
        <f t="shared" si="11"/>
        <v>40308</v>
      </c>
      <c r="H41" s="38" t="str">
        <f t="shared" si="4"/>
        <v>进阶+8：防御提高15%</v>
      </c>
      <c r="I41" s="1">
        <f t="shared" si="5"/>
        <v>1</v>
      </c>
      <c r="J41" s="1">
        <f>VLOOKUP(E41,Sheet3!$I$57:$J$65,2,FALSE)</f>
        <v>4</v>
      </c>
      <c r="K41" s="1">
        <f>VLOOKUP(A41,Sheet3!$A$51:$E$230,4,FALSE)</f>
        <v>0.15</v>
      </c>
      <c r="L41" s="1">
        <f t="shared" si="6"/>
        <v>1</v>
      </c>
      <c r="M41" s="1">
        <f t="shared" si="7"/>
        <v>5</v>
      </c>
    </row>
    <row r="42" spans="1:13">
      <c r="A42" s="10">
        <v>10309</v>
      </c>
      <c r="B42" s="10" t="str">
        <f>VLOOKUP(A42,Sheet3!$A$51:$E$230,5,FALSE)</f>
        <v>生命|数值</v>
      </c>
      <c r="C42" s="19">
        <f t="shared" si="8"/>
        <v>40309</v>
      </c>
      <c r="D42" s="10" t="s">
        <v>67</v>
      </c>
      <c r="E42" s="21" t="str">
        <f t="shared" si="9"/>
        <v>生命</v>
      </c>
      <c r="F42" s="21" t="str">
        <f t="shared" si="10"/>
        <v>数值</v>
      </c>
      <c r="G42" s="1">
        <f t="shared" si="11"/>
        <v>40309</v>
      </c>
      <c r="H42" s="38" t="str">
        <f t="shared" si="4"/>
        <v>进阶+9：生命提高72000</v>
      </c>
      <c r="I42" s="1">
        <f t="shared" si="5"/>
        <v>1</v>
      </c>
      <c r="J42" s="1">
        <f>VLOOKUP(E42,Sheet3!$I$57:$J$65,2,FALSE)</f>
        <v>1</v>
      </c>
      <c r="K42" s="1">
        <f>VLOOKUP(A42,Sheet3!$A$51:$E$230,4,FALSE)</f>
        <v>71999.999999999985</v>
      </c>
      <c r="L42" s="1">
        <f t="shared" si="6"/>
        <v>0</v>
      </c>
      <c r="M42" s="1">
        <f t="shared" si="7"/>
        <v>1</v>
      </c>
    </row>
    <row r="43" spans="1:13">
      <c r="A43" s="10">
        <v>10310</v>
      </c>
      <c r="B43" s="10" t="str">
        <f>VLOOKUP(A43,Sheet3!$A$51:$E$230,5,FALSE)</f>
        <v>生命|百分比</v>
      </c>
      <c r="C43" s="19">
        <f t="shared" si="8"/>
        <v>40310</v>
      </c>
      <c r="D43" s="10" t="s">
        <v>67</v>
      </c>
      <c r="E43" s="21" t="str">
        <f t="shared" si="9"/>
        <v>生命</v>
      </c>
      <c r="F43" s="21" t="str">
        <f t="shared" si="10"/>
        <v>百分比</v>
      </c>
      <c r="G43" s="1">
        <f t="shared" si="11"/>
        <v>40310</v>
      </c>
      <c r="H43" s="38" t="str">
        <f t="shared" si="4"/>
        <v>进阶+10：生命提高20%</v>
      </c>
      <c r="I43" s="1">
        <f t="shared" si="5"/>
        <v>1</v>
      </c>
      <c r="J43" s="1">
        <f>VLOOKUP(E43,Sheet3!$I$57:$J$65,2,FALSE)</f>
        <v>1</v>
      </c>
      <c r="K43" s="1">
        <f>VLOOKUP(A43,Sheet3!$A$51:$E$230,4,FALSE)</f>
        <v>0.2</v>
      </c>
      <c r="L43" s="1">
        <f t="shared" si="6"/>
        <v>1</v>
      </c>
      <c r="M43" s="1">
        <f t="shared" si="7"/>
        <v>5</v>
      </c>
    </row>
    <row r="44" spans="1:13">
      <c r="A44" s="10">
        <v>10311</v>
      </c>
      <c r="B44" s="10" t="str">
        <f>VLOOKUP(A44,Sheet3!$A$51:$E$230,5,FALSE)</f>
        <v>攻击|数值</v>
      </c>
      <c r="C44" s="19">
        <f t="shared" si="8"/>
        <v>40311</v>
      </c>
      <c r="D44" s="10" t="s">
        <v>67</v>
      </c>
      <c r="E44" s="21" t="str">
        <f t="shared" si="9"/>
        <v>攻击</v>
      </c>
      <c r="F44" s="21" t="str">
        <f t="shared" si="10"/>
        <v>数值</v>
      </c>
      <c r="G44" s="1">
        <f t="shared" si="11"/>
        <v>40311</v>
      </c>
      <c r="H44" s="38" t="str">
        <f t="shared" si="4"/>
        <v>进阶+11：攻击提高1200</v>
      </c>
      <c r="I44" s="1">
        <f t="shared" si="5"/>
        <v>1</v>
      </c>
      <c r="J44" s="1">
        <f>VLOOKUP(E44,Sheet3!$I$57:$J$65,2,FALSE)</f>
        <v>3</v>
      </c>
      <c r="K44" s="1">
        <f>VLOOKUP(A44,Sheet3!$A$51:$E$230,4,FALSE)</f>
        <v>1200</v>
      </c>
      <c r="L44" s="1">
        <f t="shared" si="6"/>
        <v>0</v>
      </c>
      <c r="M44" s="1">
        <f t="shared" si="7"/>
        <v>1</v>
      </c>
    </row>
    <row r="45" spans="1:13">
      <c r="A45" s="10">
        <v>10312</v>
      </c>
      <c r="B45" s="10" t="str">
        <f>VLOOKUP(A45,Sheet3!$A$51:$E$230,5,FALSE)</f>
        <v>攻击|百分比</v>
      </c>
      <c r="C45" s="19">
        <f t="shared" si="8"/>
        <v>40312</v>
      </c>
      <c r="D45" s="10" t="s">
        <v>67</v>
      </c>
      <c r="E45" s="21" t="str">
        <f t="shared" si="9"/>
        <v>攻击</v>
      </c>
      <c r="F45" s="21" t="str">
        <f t="shared" si="10"/>
        <v>百分比</v>
      </c>
      <c r="G45" s="1">
        <f t="shared" si="11"/>
        <v>40312</v>
      </c>
      <c r="H45" s="38" t="str">
        <f t="shared" si="4"/>
        <v>进阶+12：攻击提高10%</v>
      </c>
      <c r="I45" s="1">
        <f t="shared" si="5"/>
        <v>1</v>
      </c>
      <c r="J45" s="1">
        <f>VLOOKUP(E45,Sheet3!$I$57:$J$65,2,FALSE)</f>
        <v>3</v>
      </c>
      <c r="K45" s="1">
        <f>VLOOKUP(A45,Sheet3!$A$51:$E$230,4,FALSE)</f>
        <v>0.1</v>
      </c>
      <c r="L45" s="1">
        <f t="shared" si="6"/>
        <v>1</v>
      </c>
      <c r="M45" s="1">
        <f t="shared" si="7"/>
        <v>5</v>
      </c>
    </row>
    <row r="46" spans="1:13">
      <c r="A46" s="10">
        <v>10313</v>
      </c>
      <c r="B46" s="10" t="str">
        <f>VLOOKUP(A46,Sheet3!$A$51:$E$230,5,FALSE)</f>
        <v>防御|百分比</v>
      </c>
      <c r="C46" s="19" t="str">
        <f t="shared" si="8"/>
        <v>40313,45313</v>
      </c>
      <c r="D46" s="10" t="s">
        <v>67</v>
      </c>
      <c r="E46" s="21" t="str">
        <f t="shared" si="9"/>
        <v>防御</v>
      </c>
      <c r="F46" s="21" t="str">
        <f t="shared" si="10"/>
        <v>百分比</v>
      </c>
      <c r="G46" s="1">
        <f t="shared" si="11"/>
        <v>40313</v>
      </c>
      <c r="H46" s="38" t="str">
        <f t="shared" si="4"/>
        <v>进阶+13：防御提高25%</v>
      </c>
      <c r="I46" s="1">
        <f t="shared" si="5"/>
        <v>1</v>
      </c>
      <c r="J46" s="1">
        <f>VLOOKUP(E46,Sheet3!$I$57:$J$65,2,FALSE)</f>
        <v>4</v>
      </c>
      <c r="K46" s="1">
        <f>VLOOKUP(A46,Sheet3!$A$51:$E$230,4,FALSE)</f>
        <v>0.25</v>
      </c>
      <c r="L46" s="1">
        <f t="shared" si="6"/>
        <v>1</v>
      </c>
      <c r="M46" s="1">
        <f t="shared" si="7"/>
        <v>5</v>
      </c>
    </row>
    <row r="47" spans="1:13">
      <c r="A47" s="10">
        <v>10314</v>
      </c>
      <c r="B47" s="10" t="str">
        <f>VLOOKUP(A47,Sheet3!$A$51:$E$230,5,FALSE)</f>
        <v>攻击|百分比</v>
      </c>
      <c r="C47" s="19">
        <f t="shared" si="8"/>
        <v>40314</v>
      </c>
      <c r="D47" s="10" t="s">
        <v>67</v>
      </c>
      <c r="E47" s="21" t="str">
        <f t="shared" si="9"/>
        <v>攻击</v>
      </c>
      <c r="F47" s="21" t="str">
        <f t="shared" si="10"/>
        <v>百分比</v>
      </c>
      <c r="G47" s="1">
        <f t="shared" si="11"/>
        <v>40314</v>
      </c>
      <c r="H47" s="38" t="str">
        <f t="shared" si="4"/>
        <v>进阶+14：攻击提高20%</v>
      </c>
      <c r="I47" s="1">
        <f t="shared" si="5"/>
        <v>1</v>
      </c>
      <c r="J47" s="1">
        <f>VLOOKUP(E47,Sheet3!$I$57:$J$65,2,FALSE)</f>
        <v>3</v>
      </c>
      <c r="K47" s="1">
        <f>VLOOKUP(A47,Sheet3!$A$51:$E$230,4,FALSE)</f>
        <v>0.2</v>
      </c>
      <c r="L47" s="1">
        <f t="shared" si="6"/>
        <v>1</v>
      </c>
      <c r="M47" s="1">
        <f t="shared" si="7"/>
        <v>5</v>
      </c>
    </row>
    <row r="48" spans="1:13">
      <c r="A48" s="10">
        <v>10315</v>
      </c>
      <c r="B48" s="10" t="str">
        <f>VLOOKUP(A48,Sheet3!$A$51:$E$230,5,FALSE)</f>
        <v>生命|百分比</v>
      </c>
      <c r="C48" s="19">
        <f t="shared" si="8"/>
        <v>40315</v>
      </c>
      <c r="D48" s="10" t="s">
        <v>67</v>
      </c>
      <c r="E48" s="21" t="str">
        <f t="shared" si="9"/>
        <v>生命</v>
      </c>
      <c r="F48" s="21" t="str">
        <f t="shared" si="10"/>
        <v>百分比</v>
      </c>
      <c r="G48" s="1">
        <f t="shared" si="11"/>
        <v>40315</v>
      </c>
      <c r="H48" s="38" t="str">
        <f t="shared" si="4"/>
        <v>进阶+15：生命提高30%</v>
      </c>
      <c r="I48" s="1">
        <f t="shared" si="5"/>
        <v>1</v>
      </c>
      <c r="J48" s="1">
        <f>VLOOKUP(E48,Sheet3!$I$57:$J$65,2,FALSE)</f>
        <v>1</v>
      </c>
      <c r="K48" s="1">
        <f>VLOOKUP(A48,Sheet3!$A$51:$E$230,4,FALSE)</f>
        <v>0.3</v>
      </c>
      <c r="L48" s="1">
        <f t="shared" si="6"/>
        <v>1</v>
      </c>
      <c r="M48" s="1">
        <f t="shared" si="7"/>
        <v>5</v>
      </c>
    </row>
    <row r="49" spans="1:13">
      <c r="A49" s="10">
        <v>10401</v>
      </c>
      <c r="B49" s="10" t="str">
        <f>VLOOKUP(A49,Sheet3!$A$51:$E$230,5,FALSE)</f>
        <v>攻击|数值</v>
      </c>
      <c r="C49" s="19">
        <f t="shared" si="8"/>
        <v>40401</v>
      </c>
      <c r="D49" s="10" t="s">
        <v>67</v>
      </c>
      <c r="E49" s="21" t="str">
        <f t="shared" si="9"/>
        <v>攻击</v>
      </c>
      <c r="F49" s="21" t="str">
        <f t="shared" si="10"/>
        <v>数值</v>
      </c>
      <c r="G49" s="1">
        <f t="shared" si="11"/>
        <v>40401</v>
      </c>
      <c r="H49" s="38" t="str">
        <f t="shared" si="4"/>
        <v>进阶+1：攻击提高100</v>
      </c>
      <c r="I49" s="1">
        <f t="shared" si="5"/>
        <v>1</v>
      </c>
      <c r="J49" s="1">
        <f>VLOOKUP(E49,Sheet3!$I$57:$J$65,2,FALSE)</f>
        <v>3</v>
      </c>
      <c r="K49" s="1">
        <f>VLOOKUP(A49,Sheet3!$A$51:$E$230,4,FALSE)</f>
        <v>100</v>
      </c>
      <c r="L49" s="1">
        <f t="shared" si="6"/>
        <v>0</v>
      </c>
      <c r="M49" s="1">
        <f t="shared" si="7"/>
        <v>1</v>
      </c>
    </row>
    <row r="50" spans="1:13">
      <c r="A50" s="10">
        <v>10402</v>
      </c>
      <c r="B50" s="10" t="str">
        <f>VLOOKUP(A50,Sheet3!$A$51:$E$230,5,FALSE)</f>
        <v>暴击率|百分比</v>
      </c>
      <c r="C50" s="19">
        <f t="shared" si="8"/>
        <v>40402</v>
      </c>
      <c r="D50" s="10" t="s">
        <v>67</v>
      </c>
      <c r="E50" s="21" t="str">
        <f t="shared" si="9"/>
        <v>暴击率</v>
      </c>
      <c r="F50" s="21" t="str">
        <f t="shared" si="10"/>
        <v>百分比</v>
      </c>
      <c r="G50" s="1">
        <f t="shared" si="11"/>
        <v>40402</v>
      </c>
      <c r="H50" s="38" t="str">
        <f t="shared" si="4"/>
        <v>进阶+2：暴击率提高10%</v>
      </c>
      <c r="I50" s="1">
        <f t="shared" si="5"/>
        <v>1</v>
      </c>
      <c r="J50" s="1">
        <f>VLOOKUP(E50,Sheet3!$I$57:$J$65,2,FALSE)</f>
        <v>8</v>
      </c>
      <c r="K50" s="1">
        <f>VLOOKUP(A50,Sheet3!$A$51:$E$230,4,FALSE)</f>
        <v>0.1</v>
      </c>
      <c r="L50" s="1">
        <f t="shared" si="6"/>
        <v>0</v>
      </c>
      <c r="M50" s="1">
        <f t="shared" si="7"/>
        <v>1</v>
      </c>
    </row>
    <row r="51" spans="1:13">
      <c r="A51" s="10">
        <v>10403</v>
      </c>
      <c r="B51" s="10" t="str">
        <f>VLOOKUP(A51,Sheet3!$A$51:$E$230,5,FALSE)</f>
        <v>攻击|数值</v>
      </c>
      <c r="C51" s="19">
        <f t="shared" si="8"/>
        <v>40403</v>
      </c>
      <c r="D51" s="10" t="s">
        <v>67</v>
      </c>
      <c r="E51" s="21" t="str">
        <f t="shared" si="9"/>
        <v>攻击</v>
      </c>
      <c r="F51" s="21" t="str">
        <f t="shared" si="10"/>
        <v>数值</v>
      </c>
      <c r="G51" s="1">
        <f t="shared" si="11"/>
        <v>40403</v>
      </c>
      <c r="H51" s="38" t="str">
        <f t="shared" si="4"/>
        <v>进阶+3：攻击提高250</v>
      </c>
      <c r="I51" s="1">
        <f t="shared" si="5"/>
        <v>1</v>
      </c>
      <c r="J51" s="1">
        <f>VLOOKUP(E51,Sheet3!$I$57:$J$65,2,FALSE)</f>
        <v>3</v>
      </c>
      <c r="K51" s="1">
        <f>VLOOKUP(A51,Sheet3!$A$51:$E$230,4,FALSE)</f>
        <v>250</v>
      </c>
      <c r="L51" s="1">
        <f t="shared" si="6"/>
        <v>0</v>
      </c>
      <c r="M51" s="1">
        <f t="shared" si="7"/>
        <v>1</v>
      </c>
    </row>
    <row r="52" spans="1:13">
      <c r="A52" s="10">
        <v>10404</v>
      </c>
      <c r="B52" s="10" t="str">
        <f>VLOOKUP(A52,Sheet3!$A$51:$E$230,5,FALSE)</f>
        <v>伤害加成|百分比</v>
      </c>
      <c r="C52" s="19">
        <f t="shared" si="8"/>
        <v>40404</v>
      </c>
      <c r="D52" s="10" t="s">
        <v>67</v>
      </c>
      <c r="E52" s="21" t="str">
        <f t="shared" si="9"/>
        <v>伤害加成</v>
      </c>
      <c r="F52" s="21" t="str">
        <f t="shared" si="10"/>
        <v>百分比</v>
      </c>
      <c r="G52" s="1">
        <f t="shared" si="11"/>
        <v>40404</v>
      </c>
      <c r="H52" s="38" t="str">
        <f t="shared" si="4"/>
        <v>进阶+4：伤害加成提高10%</v>
      </c>
      <c r="I52" s="1">
        <f t="shared" si="5"/>
        <v>1</v>
      </c>
      <c r="J52" s="1">
        <f>VLOOKUP(E52,Sheet3!$I$57:$J$65,2,FALSE)</f>
        <v>11</v>
      </c>
      <c r="K52" s="1">
        <f>VLOOKUP(A52,Sheet3!$A$51:$E$230,4,FALSE)</f>
        <v>0.1</v>
      </c>
      <c r="L52" s="1">
        <f t="shared" si="6"/>
        <v>0</v>
      </c>
      <c r="M52" s="1">
        <f t="shared" si="7"/>
        <v>1</v>
      </c>
    </row>
    <row r="53" spans="1:13">
      <c r="A53" s="10">
        <v>10405</v>
      </c>
      <c r="B53" s="10" t="str">
        <f>VLOOKUP(A53,Sheet3!$A$51:$E$230,5,FALSE)</f>
        <v>攻击|数值</v>
      </c>
      <c r="C53" s="19">
        <f t="shared" si="8"/>
        <v>40405</v>
      </c>
      <c r="D53" s="10" t="s">
        <v>67</v>
      </c>
      <c r="E53" s="21" t="str">
        <f t="shared" si="9"/>
        <v>攻击</v>
      </c>
      <c r="F53" s="21" t="str">
        <f t="shared" si="10"/>
        <v>数值</v>
      </c>
      <c r="G53" s="1">
        <f t="shared" si="11"/>
        <v>40405</v>
      </c>
      <c r="H53" s="38" t="str">
        <f t="shared" si="4"/>
        <v>进阶+5：攻击提高400</v>
      </c>
      <c r="I53" s="1">
        <f t="shared" si="5"/>
        <v>1</v>
      </c>
      <c r="J53" s="1">
        <f>VLOOKUP(E53,Sheet3!$I$57:$J$65,2,FALSE)</f>
        <v>3</v>
      </c>
      <c r="K53" s="1">
        <f>VLOOKUP(A53,Sheet3!$A$51:$E$230,4,FALSE)</f>
        <v>400</v>
      </c>
      <c r="L53" s="1">
        <f t="shared" si="6"/>
        <v>0</v>
      </c>
      <c r="M53" s="1">
        <f t="shared" si="7"/>
        <v>1</v>
      </c>
    </row>
    <row r="54" spans="1:13">
      <c r="A54" s="10">
        <v>10406</v>
      </c>
      <c r="B54" s="10" t="str">
        <f>VLOOKUP(A54,Sheet3!$A$51:$E$230,5,FALSE)</f>
        <v>命中率|百分比</v>
      </c>
      <c r="C54" s="19">
        <f t="shared" si="8"/>
        <v>40406</v>
      </c>
      <c r="D54" s="10" t="s">
        <v>67</v>
      </c>
      <c r="E54" s="21" t="str">
        <f t="shared" si="9"/>
        <v>命中率</v>
      </c>
      <c r="F54" s="21" t="str">
        <f t="shared" si="10"/>
        <v>百分比</v>
      </c>
      <c r="G54" s="1">
        <f t="shared" si="11"/>
        <v>40406</v>
      </c>
      <c r="H54" s="38" t="str">
        <f t="shared" si="4"/>
        <v>进阶+6：命中率提高15%</v>
      </c>
      <c r="I54" s="1">
        <f t="shared" si="5"/>
        <v>1</v>
      </c>
      <c r="J54" s="1">
        <f>VLOOKUP(E54,Sheet3!$I$57:$J$65,2,FALSE)</f>
        <v>6</v>
      </c>
      <c r="K54" s="1">
        <f>VLOOKUP(A54,Sheet3!$A$51:$E$230,4,FALSE)</f>
        <v>0.15</v>
      </c>
      <c r="L54" s="1">
        <f t="shared" si="6"/>
        <v>0</v>
      </c>
      <c r="M54" s="1">
        <f t="shared" si="7"/>
        <v>1</v>
      </c>
    </row>
    <row r="55" spans="1:13">
      <c r="A55" s="10">
        <v>10407</v>
      </c>
      <c r="B55" s="10" t="str">
        <f>VLOOKUP(A55,Sheet3!$A$51:$E$230,5,FALSE)</f>
        <v>防御|数值</v>
      </c>
      <c r="C55" s="19" t="str">
        <f t="shared" si="8"/>
        <v>40407,45407</v>
      </c>
      <c r="D55" s="10" t="s">
        <v>67</v>
      </c>
      <c r="E55" s="21" t="str">
        <f t="shared" si="9"/>
        <v>防御</v>
      </c>
      <c r="F55" s="21" t="str">
        <f t="shared" si="10"/>
        <v>数值</v>
      </c>
      <c r="G55" s="1">
        <f t="shared" si="11"/>
        <v>40407</v>
      </c>
      <c r="H55" s="38" t="str">
        <f t="shared" si="4"/>
        <v>进阶+7：防御提高500</v>
      </c>
      <c r="I55" s="1">
        <f t="shared" si="5"/>
        <v>1</v>
      </c>
      <c r="J55" s="1">
        <f>VLOOKUP(E55,Sheet3!$I$57:$J$65,2,FALSE)</f>
        <v>4</v>
      </c>
      <c r="K55" s="1">
        <f>VLOOKUP(A55,Sheet3!$A$51:$E$230,4,FALSE)</f>
        <v>500</v>
      </c>
      <c r="L55" s="1">
        <f t="shared" si="6"/>
        <v>0</v>
      </c>
      <c r="M55" s="1">
        <f t="shared" si="7"/>
        <v>1</v>
      </c>
    </row>
    <row r="56" spans="1:13">
      <c r="A56" s="10">
        <v>10408</v>
      </c>
      <c r="B56" s="10" t="str">
        <f>VLOOKUP(A56,Sheet3!$A$51:$E$230,5,FALSE)</f>
        <v>攻击|百分比</v>
      </c>
      <c r="C56" s="19">
        <f t="shared" si="8"/>
        <v>40408</v>
      </c>
      <c r="D56" s="10" t="s">
        <v>67</v>
      </c>
      <c r="E56" s="21" t="str">
        <f t="shared" si="9"/>
        <v>攻击</v>
      </c>
      <c r="F56" s="21" t="str">
        <f t="shared" si="10"/>
        <v>百分比</v>
      </c>
      <c r="G56" s="1">
        <f t="shared" si="11"/>
        <v>40408</v>
      </c>
      <c r="H56" s="38" t="str">
        <f t="shared" si="4"/>
        <v>进阶+8：攻击提高10%</v>
      </c>
      <c r="I56" s="1">
        <f t="shared" si="5"/>
        <v>1</v>
      </c>
      <c r="J56" s="1">
        <f>VLOOKUP(E56,Sheet3!$I$57:$J$65,2,FALSE)</f>
        <v>3</v>
      </c>
      <c r="K56" s="1">
        <f>VLOOKUP(A56,Sheet3!$A$51:$E$230,4,FALSE)</f>
        <v>0.1</v>
      </c>
      <c r="L56" s="1">
        <f t="shared" si="6"/>
        <v>1</v>
      </c>
      <c r="M56" s="1">
        <f t="shared" si="7"/>
        <v>5</v>
      </c>
    </row>
    <row r="57" spans="1:13">
      <c r="A57" s="10">
        <v>10409</v>
      </c>
      <c r="B57" s="10" t="str">
        <f>VLOOKUP(A57,Sheet3!$A$51:$E$230,5,FALSE)</f>
        <v>生命|数值</v>
      </c>
      <c r="C57" s="19">
        <f t="shared" si="8"/>
        <v>40409</v>
      </c>
      <c r="D57" s="10" t="s">
        <v>67</v>
      </c>
      <c r="E57" s="21" t="str">
        <f t="shared" si="9"/>
        <v>生命</v>
      </c>
      <c r="F57" s="21" t="str">
        <f t="shared" si="10"/>
        <v>数值</v>
      </c>
      <c r="G57" s="1">
        <f t="shared" si="11"/>
        <v>40409</v>
      </c>
      <c r="H57" s="38" t="str">
        <f t="shared" si="4"/>
        <v>进阶+9：生命提高45000</v>
      </c>
      <c r="I57" s="1">
        <f t="shared" si="5"/>
        <v>1</v>
      </c>
      <c r="J57" s="1">
        <f>VLOOKUP(E57,Sheet3!$I$57:$J$65,2,FALSE)</f>
        <v>1</v>
      </c>
      <c r="K57" s="1">
        <f>VLOOKUP(A57,Sheet3!$A$51:$E$230,4,FALSE)</f>
        <v>44999.999999999993</v>
      </c>
      <c r="L57" s="1">
        <f t="shared" si="6"/>
        <v>0</v>
      </c>
      <c r="M57" s="1">
        <f t="shared" si="7"/>
        <v>1</v>
      </c>
    </row>
    <row r="58" spans="1:13">
      <c r="A58" s="10">
        <v>10410</v>
      </c>
      <c r="B58" s="10" t="str">
        <f>VLOOKUP(A58,Sheet3!$A$51:$E$230,5,FALSE)</f>
        <v>生命|百分比</v>
      </c>
      <c r="C58" s="19">
        <f t="shared" si="8"/>
        <v>40410</v>
      </c>
      <c r="D58" s="10" t="s">
        <v>67</v>
      </c>
      <c r="E58" s="21" t="str">
        <f t="shared" si="9"/>
        <v>生命</v>
      </c>
      <c r="F58" s="21" t="str">
        <f t="shared" si="10"/>
        <v>百分比</v>
      </c>
      <c r="G58" s="1">
        <f t="shared" si="11"/>
        <v>40410</v>
      </c>
      <c r="H58" s="38" t="str">
        <f t="shared" si="4"/>
        <v>进阶+10：生命提高10%</v>
      </c>
      <c r="I58" s="1">
        <f t="shared" si="5"/>
        <v>1</v>
      </c>
      <c r="J58" s="1">
        <f>VLOOKUP(E58,Sheet3!$I$57:$J$65,2,FALSE)</f>
        <v>1</v>
      </c>
      <c r="K58" s="1">
        <f>VLOOKUP(A58,Sheet3!$A$51:$E$230,4,FALSE)</f>
        <v>0.1</v>
      </c>
      <c r="L58" s="1">
        <f t="shared" si="6"/>
        <v>1</v>
      </c>
      <c r="M58" s="1">
        <f t="shared" si="7"/>
        <v>5</v>
      </c>
    </row>
    <row r="59" spans="1:13">
      <c r="A59" s="10">
        <v>10411</v>
      </c>
      <c r="B59" s="10" t="str">
        <f>VLOOKUP(A59,Sheet3!$A$51:$E$230,5,FALSE)</f>
        <v>攻击|数值</v>
      </c>
      <c r="C59" s="19">
        <f t="shared" si="8"/>
        <v>40411</v>
      </c>
      <c r="D59" s="10" t="s">
        <v>67</v>
      </c>
      <c r="E59" s="21" t="str">
        <f t="shared" si="9"/>
        <v>攻击</v>
      </c>
      <c r="F59" s="21" t="str">
        <f t="shared" si="10"/>
        <v>数值</v>
      </c>
      <c r="G59" s="1">
        <f t="shared" si="11"/>
        <v>40411</v>
      </c>
      <c r="H59" s="38" t="str">
        <f t="shared" si="4"/>
        <v>进阶+11：攻击提高1750</v>
      </c>
      <c r="I59" s="1">
        <f t="shared" si="5"/>
        <v>1</v>
      </c>
      <c r="J59" s="1">
        <f>VLOOKUP(E59,Sheet3!$I$57:$J$65,2,FALSE)</f>
        <v>3</v>
      </c>
      <c r="K59" s="1">
        <f>VLOOKUP(A59,Sheet3!$A$51:$E$230,4,FALSE)</f>
        <v>1750</v>
      </c>
      <c r="L59" s="1">
        <f t="shared" si="6"/>
        <v>0</v>
      </c>
      <c r="M59" s="1">
        <f t="shared" si="7"/>
        <v>1</v>
      </c>
    </row>
    <row r="60" spans="1:13">
      <c r="A60" s="10">
        <v>10412</v>
      </c>
      <c r="B60" s="10" t="str">
        <f>VLOOKUP(A60,Sheet3!$A$51:$E$230,5,FALSE)</f>
        <v>攻击|百分比</v>
      </c>
      <c r="C60" s="19">
        <f t="shared" si="8"/>
        <v>40412</v>
      </c>
      <c r="D60" s="10" t="s">
        <v>67</v>
      </c>
      <c r="E60" s="21" t="str">
        <f t="shared" si="9"/>
        <v>攻击</v>
      </c>
      <c r="F60" s="21" t="str">
        <f t="shared" si="10"/>
        <v>百分比</v>
      </c>
      <c r="G60" s="1">
        <f t="shared" si="11"/>
        <v>40412</v>
      </c>
      <c r="H60" s="38" t="str">
        <f t="shared" si="4"/>
        <v>进阶+12：攻击提高15%</v>
      </c>
      <c r="I60" s="1">
        <f t="shared" si="5"/>
        <v>1</v>
      </c>
      <c r="J60" s="1">
        <f>VLOOKUP(E60,Sheet3!$I$57:$J$65,2,FALSE)</f>
        <v>3</v>
      </c>
      <c r="K60" s="1">
        <f>VLOOKUP(A60,Sheet3!$A$51:$E$230,4,FALSE)</f>
        <v>0.15</v>
      </c>
      <c r="L60" s="1">
        <f t="shared" si="6"/>
        <v>1</v>
      </c>
      <c r="M60" s="1">
        <f t="shared" si="7"/>
        <v>5</v>
      </c>
    </row>
    <row r="61" spans="1:13">
      <c r="A61" s="10">
        <v>10413</v>
      </c>
      <c r="B61" s="10" t="str">
        <f>VLOOKUP(A61,Sheet3!$A$51:$E$230,5,FALSE)</f>
        <v>防御|百分比</v>
      </c>
      <c r="C61" s="19" t="str">
        <f t="shared" si="8"/>
        <v>40413,45413</v>
      </c>
      <c r="D61" s="10" t="s">
        <v>67</v>
      </c>
      <c r="E61" s="21" t="str">
        <f t="shared" si="9"/>
        <v>防御</v>
      </c>
      <c r="F61" s="21" t="str">
        <f t="shared" si="10"/>
        <v>百分比</v>
      </c>
      <c r="G61" s="1">
        <f t="shared" si="11"/>
        <v>40413</v>
      </c>
      <c r="H61" s="38" t="str">
        <f t="shared" si="4"/>
        <v>进阶+13：防御提高20%</v>
      </c>
      <c r="I61" s="1">
        <f t="shared" si="5"/>
        <v>1</v>
      </c>
      <c r="J61" s="1">
        <f>VLOOKUP(E61,Sheet3!$I$57:$J$65,2,FALSE)</f>
        <v>4</v>
      </c>
      <c r="K61" s="1">
        <f>VLOOKUP(A61,Sheet3!$A$51:$E$230,4,FALSE)</f>
        <v>0.2</v>
      </c>
      <c r="L61" s="1">
        <f t="shared" si="6"/>
        <v>1</v>
      </c>
      <c r="M61" s="1">
        <f t="shared" si="7"/>
        <v>5</v>
      </c>
    </row>
    <row r="62" spans="1:13">
      <c r="A62" s="10">
        <v>10414</v>
      </c>
      <c r="B62" s="10" t="str">
        <f>VLOOKUP(A62,Sheet3!$A$51:$E$230,5,FALSE)</f>
        <v>生命|百分比</v>
      </c>
      <c r="C62" s="19">
        <f t="shared" si="8"/>
        <v>40414</v>
      </c>
      <c r="D62" s="10" t="s">
        <v>67</v>
      </c>
      <c r="E62" s="21" t="str">
        <f t="shared" si="9"/>
        <v>生命</v>
      </c>
      <c r="F62" s="21" t="str">
        <f t="shared" si="10"/>
        <v>百分比</v>
      </c>
      <c r="G62" s="1">
        <f t="shared" si="11"/>
        <v>40414</v>
      </c>
      <c r="H62" s="38" t="str">
        <f t="shared" si="4"/>
        <v>进阶+14：生命提高20%</v>
      </c>
      <c r="I62" s="1">
        <f t="shared" si="5"/>
        <v>1</v>
      </c>
      <c r="J62" s="1">
        <f>VLOOKUP(E62,Sheet3!$I$57:$J$65,2,FALSE)</f>
        <v>1</v>
      </c>
      <c r="K62" s="1">
        <f>VLOOKUP(A62,Sheet3!$A$51:$E$230,4,FALSE)</f>
        <v>0.2</v>
      </c>
      <c r="L62" s="1">
        <f t="shared" si="6"/>
        <v>1</v>
      </c>
      <c r="M62" s="1">
        <f t="shared" si="7"/>
        <v>5</v>
      </c>
    </row>
    <row r="63" spans="1:13">
      <c r="A63" s="10">
        <v>10415</v>
      </c>
      <c r="B63" s="10" t="str">
        <f>VLOOKUP(A63,Sheet3!$A$51:$E$230,5,FALSE)</f>
        <v>攻击|百分比</v>
      </c>
      <c r="C63" s="19">
        <f t="shared" si="8"/>
        <v>40415</v>
      </c>
      <c r="D63" s="10" t="s">
        <v>67</v>
      </c>
      <c r="E63" s="21" t="str">
        <f t="shared" si="9"/>
        <v>攻击</v>
      </c>
      <c r="F63" s="21" t="str">
        <f t="shared" si="10"/>
        <v>百分比</v>
      </c>
      <c r="G63" s="1">
        <f t="shared" si="11"/>
        <v>40415</v>
      </c>
      <c r="H63" s="38" t="str">
        <f t="shared" si="4"/>
        <v>进阶+15：攻击提高25%</v>
      </c>
      <c r="I63" s="1">
        <f t="shared" si="5"/>
        <v>1</v>
      </c>
      <c r="J63" s="1">
        <f>VLOOKUP(E63,Sheet3!$I$57:$J$65,2,FALSE)</f>
        <v>3</v>
      </c>
      <c r="K63" s="1">
        <f>VLOOKUP(A63,Sheet3!$A$51:$E$230,4,FALSE)</f>
        <v>0.25</v>
      </c>
      <c r="L63" s="1">
        <f t="shared" si="6"/>
        <v>1</v>
      </c>
      <c r="M63" s="1">
        <f t="shared" si="7"/>
        <v>5</v>
      </c>
    </row>
    <row r="64" spans="1:13">
      <c r="A64" s="10">
        <v>10501</v>
      </c>
      <c r="B64" s="10" t="str">
        <f>VLOOKUP(A64,Sheet3!$A$51:$E$230,5,FALSE)</f>
        <v>攻击|数值</v>
      </c>
      <c r="C64" s="19">
        <f t="shared" si="8"/>
        <v>40501</v>
      </c>
      <c r="D64" s="10" t="s">
        <v>67</v>
      </c>
      <c r="E64" s="21" t="str">
        <f t="shared" si="9"/>
        <v>攻击</v>
      </c>
      <c r="F64" s="21" t="str">
        <f t="shared" si="10"/>
        <v>数值</v>
      </c>
      <c r="G64" s="1">
        <f t="shared" si="11"/>
        <v>40501</v>
      </c>
      <c r="H64" s="38" t="str">
        <f t="shared" si="4"/>
        <v>进阶+1：攻击提高100</v>
      </c>
      <c r="I64" s="1">
        <f t="shared" si="5"/>
        <v>1</v>
      </c>
      <c r="J64" s="1">
        <f>VLOOKUP(E64,Sheet3!$I$57:$J$65,2,FALSE)</f>
        <v>3</v>
      </c>
      <c r="K64" s="1">
        <f>VLOOKUP(A64,Sheet3!$A$51:$E$230,4,FALSE)</f>
        <v>100</v>
      </c>
      <c r="L64" s="1">
        <f t="shared" si="6"/>
        <v>0</v>
      </c>
      <c r="M64" s="1">
        <f t="shared" si="7"/>
        <v>1</v>
      </c>
    </row>
    <row r="65" spans="1:13">
      <c r="A65" s="10">
        <v>10502</v>
      </c>
      <c r="B65" s="10" t="str">
        <f>VLOOKUP(A65,Sheet3!$A$51:$E$230,5,FALSE)</f>
        <v>命中率|百分比</v>
      </c>
      <c r="C65" s="19">
        <f t="shared" si="8"/>
        <v>40502</v>
      </c>
      <c r="D65" s="10" t="s">
        <v>67</v>
      </c>
      <c r="E65" s="21" t="str">
        <f t="shared" si="9"/>
        <v>命中率</v>
      </c>
      <c r="F65" s="21" t="str">
        <f t="shared" si="10"/>
        <v>百分比</v>
      </c>
      <c r="G65" s="1">
        <f t="shared" si="11"/>
        <v>40502</v>
      </c>
      <c r="H65" s="38" t="str">
        <f t="shared" si="4"/>
        <v>进阶+2：命中率提高5%</v>
      </c>
      <c r="I65" s="1">
        <f t="shared" si="5"/>
        <v>1</v>
      </c>
      <c r="J65" s="1">
        <f>VLOOKUP(E65,Sheet3!$I$57:$J$65,2,FALSE)</f>
        <v>6</v>
      </c>
      <c r="K65" s="1">
        <f>VLOOKUP(A65,Sheet3!$A$51:$E$230,4,FALSE)</f>
        <v>0.05</v>
      </c>
      <c r="L65" s="1">
        <f t="shared" si="6"/>
        <v>0</v>
      </c>
      <c r="M65" s="1">
        <f t="shared" si="7"/>
        <v>1</v>
      </c>
    </row>
    <row r="66" spans="1:13">
      <c r="A66" s="10">
        <v>10503</v>
      </c>
      <c r="B66" s="10" t="str">
        <f>VLOOKUP(A66,Sheet3!$A$51:$E$230,5,FALSE)</f>
        <v>攻击|数值</v>
      </c>
      <c r="C66" s="19">
        <f t="shared" si="8"/>
        <v>40503</v>
      </c>
      <c r="D66" s="10" t="s">
        <v>67</v>
      </c>
      <c r="E66" s="21" t="str">
        <f t="shared" si="9"/>
        <v>攻击</v>
      </c>
      <c r="F66" s="21" t="str">
        <f t="shared" si="10"/>
        <v>数值</v>
      </c>
      <c r="G66" s="1">
        <f t="shared" si="11"/>
        <v>40503</v>
      </c>
      <c r="H66" s="38" t="str">
        <f t="shared" si="4"/>
        <v>进阶+3：攻击提高250</v>
      </c>
      <c r="I66" s="1">
        <f t="shared" si="5"/>
        <v>1</v>
      </c>
      <c r="J66" s="1">
        <f>VLOOKUP(E66,Sheet3!$I$57:$J$65,2,FALSE)</f>
        <v>3</v>
      </c>
      <c r="K66" s="1">
        <f>VLOOKUP(A66,Sheet3!$A$51:$E$230,4,FALSE)</f>
        <v>250</v>
      </c>
      <c r="L66" s="1">
        <f t="shared" si="6"/>
        <v>0</v>
      </c>
      <c r="M66" s="1">
        <f t="shared" si="7"/>
        <v>1</v>
      </c>
    </row>
    <row r="67" spans="1:13">
      <c r="A67" s="10">
        <v>10504</v>
      </c>
      <c r="B67" s="10" t="str">
        <f>VLOOKUP(A67,Sheet3!$A$51:$E$230,5,FALSE)</f>
        <v>伤害加成|百分比</v>
      </c>
      <c r="C67" s="19">
        <f t="shared" si="8"/>
        <v>40504</v>
      </c>
      <c r="D67" s="10" t="s">
        <v>67</v>
      </c>
      <c r="E67" s="21" t="str">
        <f t="shared" si="9"/>
        <v>伤害加成</v>
      </c>
      <c r="F67" s="21" t="str">
        <f t="shared" si="10"/>
        <v>百分比</v>
      </c>
      <c r="G67" s="1">
        <f t="shared" si="11"/>
        <v>40504</v>
      </c>
      <c r="H67" s="38" t="str">
        <f t="shared" si="4"/>
        <v>进阶+4：伤害加成提高10%</v>
      </c>
      <c r="I67" s="1">
        <f t="shared" si="5"/>
        <v>1</v>
      </c>
      <c r="J67" s="1">
        <f>VLOOKUP(E67,Sheet3!$I$57:$J$65,2,FALSE)</f>
        <v>11</v>
      </c>
      <c r="K67" s="1">
        <f>VLOOKUP(A67,Sheet3!$A$51:$E$230,4,FALSE)</f>
        <v>0.1</v>
      </c>
      <c r="L67" s="1">
        <f t="shared" si="6"/>
        <v>0</v>
      </c>
      <c r="M67" s="1">
        <f t="shared" si="7"/>
        <v>1</v>
      </c>
    </row>
    <row r="68" spans="1:13">
      <c r="A68" s="10">
        <v>10505</v>
      </c>
      <c r="B68" s="10" t="str">
        <f>VLOOKUP(A68,Sheet3!$A$51:$E$230,5,FALSE)</f>
        <v>攻击|数值</v>
      </c>
      <c r="C68" s="19">
        <f t="shared" ref="C68:C99" si="12">IF(MID(B68,1,SEARCH("|",B68)-1)="防御",A68+30000&amp;","&amp;A68+35000,A68+30000)</f>
        <v>40505</v>
      </c>
      <c r="D68" s="10" t="s">
        <v>67</v>
      </c>
      <c r="E68" s="21" t="str">
        <f t="shared" ref="E68:E99" si="13">MID(B68,1,SEARCH("|",B68)-1)</f>
        <v>攻击</v>
      </c>
      <c r="F68" s="21" t="str">
        <f t="shared" ref="F68:F99" si="14">MID(B68,SEARCH("|",B68)+1,5)</f>
        <v>数值</v>
      </c>
      <c r="G68" s="1">
        <f t="shared" ref="G68:G99" si="15">A68+30000</f>
        <v>40505</v>
      </c>
      <c r="H68" s="38" t="str">
        <f t="shared" ref="H68:H131" si="16">"进阶+"&amp;INT(MID(G68,4,2))&amp;"："&amp;IF(I68=2,"全体","")&amp;E68&amp;"提高"&amp;IF(K68&lt;1,K68*100,K68)&amp;IF(OR(F68="数值",F68="光环数值"),"","%")</f>
        <v>进阶+5：攻击提高400</v>
      </c>
      <c r="I68" s="1">
        <f t="shared" ref="I68:I131" si="17">IF(MID(F68,1,2)="光环",2,1)</f>
        <v>1</v>
      </c>
      <c r="J68" s="1">
        <f>VLOOKUP(E68,Sheet3!$I$57:$J$65,2,FALSE)</f>
        <v>3</v>
      </c>
      <c r="K68" s="1">
        <f>VLOOKUP(A68,Sheet3!$A$51:$E$230,4,FALSE)</f>
        <v>400</v>
      </c>
      <c r="L68" s="1">
        <f t="shared" ref="L68:L131" si="18">IF(AND(J68&lt;5,F68="百分比"),1,0)</f>
        <v>0</v>
      </c>
      <c r="M68" s="1">
        <f t="shared" ref="M68:M131" si="19">IF(L68=0,1,5)</f>
        <v>1</v>
      </c>
    </row>
    <row r="69" spans="1:13">
      <c r="A69" s="10">
        <v>10506</v>
      </c>
      <c r="B69" s="10" t="str">
        <f>VLOOKUP(A69,Sheet3!$A$51:$E$230,5,FALSE)</f>
        <v>暴击率|百分比</v>
      </c>
      <c r="C69" s="19">
        <f t="shared" si="12"/>
        <v>40506</v>
      </c>
      <c r="D69" s="10" t="s">
        <v>67</v>
      </c>
      <c r="E69" s="21" t="str">
        <f t="shared" si="13"/>
        <v>暴击率</v>
      </c>
      <c r="F69" s="21" t="str">
        <f t="shared" si="14"/>
        <v>百分比</v>
      </c>
      <c r="G69" s="1">
        <f t="shared" si="15"/>
        <v>40506</v>
      </c>
      <c r="H69" s="38" t="str">
        <f t="shared" si="16"/>
        <v>进阶+6：暴击率提高30%</v>
      </c>
      <c r="I69" s="1">
        <f t="shared" si="17"/>
        <v>1</v>
      </c>
      <c r="J69" s="1">
        <f>VLOOKUP(E69,Sheet3!$I$57:$J$65,2,FALSE)</f>
        <v>8</v>
      </c>
      <c r="K69" s="1">
        <f>VLOOKUP(A69,Sheet3!$A$51:$E$230,4,FALSE)</f>
        <v>0.3</v>
      </c>
      <c r="L69" s="1">
        <f t="shared" si="18"/>
        <v>0</v>
      </c>
      <c r="M69" s="1">
        <f t="shared" si="19"/>
        <v>1</v>
      </c>
    </row>
    <row r="70" spans="1:13">
      <c r="A70" s="10">
        <v>10507</v>
      </c>
      <c r="B70" s="10" t="str">
        <f>VLOOKUP(A70,Sheet3!$A$51:$E$230,5,FALSE)</f>
        <v>防御|数值</v>
      </c>
      <c r="C70" s="19" t="str">
        <f t="shared" si="12"/>
        <v>40507,45507</v>
      </c>
      <c r="D70" s="10" t="s">
        <v>67</v>
      </c>
      <c r="E70" s="21" t="str">
        <f t="shared" si="13"/>
        <v>防御</v>
      </c>
      <c r="F70" s="21" t="str">
        <f t="shared" si="14"/>
        <v>数值</v>
      </c>
      <c r="G70" s="1">
        <f t="shared" si="15"/>
        <v>40507</v>
      </c>
      <c r="H70" s="38" t="str">
        <f t="shared" si="16"/>
        <v>进阶+7：防御提高500</v>
      </c>
      <c r="I70" s="1">
        <f t="shared" si="17"/>
        <v>1</v>
      </c>
      <c r="J70" s="1">
        <f>VLOOKUP(E70,Sheet3!$I$57:$J$65,2,FALSE)</f>
        <v>4</v>
      </c>
      <c r="K70" s="1">
        <f>VLOOKUP(A70,Sheet3!$A$51:$E$230,4,FALSE)</f>
        <v>500</v>
      </c>
      <c r="L70" s="1">
        <f t="shared" si="18"/>
        <v>0</v>
      </c>
      <c r="M70" s="1">
        <f t="shared" si="19"/>
        <v>1</v>
      </c>
    </row>
    <row r="71" spans="1:13">
      <c r="A71" s="10">
        <v>10508</v>
      </c>
      <c r="B71" s="10" t="str">
        <f>VLOOKUP(A71,Sheet3!$A$51:$E$230,5,FALSE)</f>
        <v>攻击|百分比</v>
      </c>
      <c r="C71" s="19">
        <f t="shared" si="12"/>
        <v>40508</v>
      </c>
      <c r="D71" s="10" t="s">
        <v>67</v>
      </c>
      <c r="E71" s="21" t="str">
        <f t="shared" si="13"/>
        <v>攻击</v>
      </c>
      <c r="F71" s="21" t="str">
        <f t="shared" si="14"/>
        <v>百分比</v>
      </c>
      <c r="G71" s="1">
        <f t="shared" si="15"/>
        <v>40508</v>
      </c>
      <c r="H71" s="38" t="str">
        <f t="shared" si="16"/>
        <v>进阶+8：攻击提高10%</v>
      </c>
      <c r="I71" s="1">
        <f t="shared" si="17"/>
        <v>1</v>
      </c>
      <c r="J71" s="1">
        <f>VLOOKUP(E71,Sheet3!$I$57:$J$65,2,FALSE)</f>
        <v>3</v>
      </c>
      <c r="K71" s="1">
        <f>VLOOKUP(A71,Sheet3!$A$51:$E$230,4,FALSE)</f>
        <v>0.1</v>
      </c>
      <c r="L71" s="1">
        <f t="shared" si="18"/>
        <v>1</v>
      </c>
      <c r="M71" s="1">
        <f t="shared" si="19"/>
        <v>5</v>
      </c>
    </row>
    <row r="72" spans="1:13">
      <c r="A72" s="10">
        <v>10509</v>
      </c>
      <c r="B72" s="10" t="str">
        <f>VLOOKUP(A72,Sheet3!$A$51:$E$230,5,FALSE)</f>
        <v>生命|数值</v>
      </c>
      <c r="C72" s="19">
        <f t="shared" si="12"/>
        <v>40509</v>
      </c>
      <c r="D72" s="10" t="s">
        <v>67</v>
      </c>
      <c r="E72" s="21" t="str">
        <f t="shared" si="13"/>
        <v>生命</v>
      </c>
      <c r="F72" s="21" t="str">
        <f t="shared" si="14"/>
        <v>数值</v>
      </c>
      <c r="G72" s="1">
        <f t="shared" si="15"/>
        <v>40509</v>
      </c>
      <c r="H72" s="38" t="str">
        <f t="shared" si="16"/>
        <v>进阶+9：生命提高45000</v>
      </c>
      <c r="I72" s="1">
        <f t="shared" si="17"/>
        <v>1</v>
      </c>
      <c r="J72" s="1">
        <f>VLOOKUP(E72,Sheet3!$I$57:$J$65,2,FALSE)</f>
        <v>1</v>
      </c>
      <c r="K72" s="1">
        <f>VLOOKUP(A72,Sheet3!$A$51:$E$230,4,FALSE)</f>
        <v>44999.999999999993</v>
      </c>
      <c r="L72" s="1">
        <f t="shared" si="18"/>
        <v>0</v>
      </c>
      <c r="M72" s="1">
        <f t="shared" si="19"/>
        <v>1</v>
      </c>
    </row>
    <row r="73" spans="1:13">
      <c r="A73" s="10">
        <v>10510</v>
      </c>
      <c r="B73" s="10" t="str">
        <f>VLOOKUP(A73,Sheet3!$A$51:$E$230,5,FALSE)</f>
        <v>生命|百分比</v>
      </c>
      <c r="C73" s="19">
        <f t="shared" si="12"/>
        <v>40510</v>
      </c>
      <c r="D73" s="10" t="s">
        <v>67</v>
      </c>
      <c r="E73" s="21" t="str">
        <f t="shared" si="13"/>
        <v>生命</v>
      </c>
      <c r="F73" s="21" t="str">
        <f t="shared" si="14"/>
        <v>百分比</v>
      </c>
      <c r="G73" s="1">
        <f t="shared" si="15"/>
        <v>40510</v>
      </c>
      <c r="H73" s="38" t="str">
        <f t="shared" si="16"/>
        <v>进阶+10：生命提高10%</v>
      </c>
      <c r="I73" s="1">
        <f t="shared" si="17"/>
        <v>1</v>
      </c>
      <c r="J73" s="1">
        <f>VLOOKUP(E73,Sheet3!$I$57:$J$65,2,FALSE)</f>
        <v>1</v>
      </c>
      <c r="K73" s="1">
        <f>VLOOKUP(A73,Sheet3!$A$51:$E$230,4,FALSE)</f>
        <v>0.1</v>
      </c>
      <c r="L73" s="1">
        <f t="shared" si="18"/>
        <v>1</v>
      </c>
      <c r="M73" s="1">
        <f t="shared" si="19"/>
        <v>5</v>
      </c>
    </row>
    <row r="74" spans="1:13">
      <c r="A74" s="10">
        <v>10511</v>
      </c>
      <c r="B74" s="10" t="str">
        <f>VLOOKUP(A74,Sheet3!$A$51:$E$230,5,FALSE)</f>
        <v>攻击|数值</v>
      </c>
      <c r="C74" s="19">
        <f t="shared" si="12"/>
        <v>40511</v>
      </c>
      <c r="D74" s="10" t="s">
        <v>67</v>
      </c>
      <c r="E74" s="21" t="str">
        <f t="shared" si="13"/>
        <v>攻击</v>
      </c>
      <c r="F74" s="21" t="str">
        <f t="shared" si="14"/>
        <v>数值</v>
      </c>
      <c r="G74" s="1">
        <f t="shared" si="15"/>
        <v>40511</v>
      </c>
      <c r="H74" s="38" t="str">
        <f t="shared" si="16"/>
        <v>进阶+11：攻击提高1750</v>
      </c>
      <c r="I74" s="1">
        <f t="shared" si="17"/>
        <v>1</v>
      </c>
      <c r="J74" s="1">
        <f>VLOOKUP(E74,Sheet3!$I$57:$J$65,2,FALSE)</f>
        <v>3</v>
      </c>
      <c r="K74" s="1">
        <f>VLOOKUP(A74,Sheet3!$A$51:$E$230,4,FALSE)</f>
        <v>1750</v>
      </c>
      <c r="L74" s="1">
        <f t="shared" si="18"/>
        <v>0</v>
      </c>
      <c r="M74" s="1">
        <f t="shared" si="19"/>
        <v>1</v>
      </c>
    </row>
    <row r="75" spans="1:13">
      <c r="A75" s="10">
        <v>10512</v>
      </c>
      <c r="B75" s="10" t="str">
        <f>VLOOKUP(A75,Sheet3!$A$51:$E$230,5,FALSE)</f>
        <v>攻击|百分比</v>
      </c>
      <c r="C75" s="19">
        <f t="shared" si="12"/>
        <v>40512</v>
      </c>
      <c r="D75" s="10" t="s">
        <v>67</v>
      </c>
      <c r="E75" s="21" t="str">
        <f t="shared" si="13"/>
        <v>攻击</v>
      </c>
      <c r="F75" s="21" t="str">
        <f t="shared" si="14"/>
        <v>百分比</v>
      </c>
      <c r="G75" s="1">
        <f t="shared" si="15"/>
        <v>40512</v>
      </c>
      <c r="H75" s="38" t="str">
        <f t="shared" si="16"/>
        <v>进阶+12：攻击提高15%</v>
      </c>
      <c r="I75" s="1">
        <f t="shared" si="17"/>
        <v>1</v>
      </c>
      <c r="J75" s="1">
        <f>VLOOKUP(E75,Sheet3!$I$57:$J$65,2,FALSE)</f>
        <v>3</v>
      </c>
      <c r="K75" s="1">
        <f>VLOOKUP(A75,Sheet3!$A$51:$E$230,4,FALSE)</f>
        <v>0.15</v>
      </c>
      <c r="L75" s="1">
        <f t="shared" si="18"/>
        <v>1</v>
      </c>
      <c r="M75" s="1">
        <f t="shared" si="19"/>
        <v>5</v>
      </c>
    </row>
    <row r="76" spans="1:13">
      <c r="A76" s="10">
        <v>10513</v>
      </c>
      <c r="B76" s="10" t="str">
        <f>VLOOKUP(A76,Sheet3!$A$51:$E$230,5,FALSE)</f>
        <v>防御|百分比</v>
      </c>
      <c r="C76" s="19" t="str">
        <f t="shared" si="12"/>
        <v>40513,45513</v>
      </c>
      <c r="D76" s="10" t="s">
        <v>67</v>
      </c>
      <c r="E76" s="21" t="str">
        <f t="shared" si="13"/>
        <v>防御</v>
      </c>
      <c r="F76" s="21" t="str">
        <f t="shared" si="14"/>
        <v>百分比</v>
      </c>
      <c r="G76" s="1">
        <f t="shared" si="15"/>
        <v>40513</v>
      </c>
      <c r="H76" s="38" t="str">
        <f t="shared" si="16"/>
        <v>进阶+13：防御提高20%</v>
      </c>
      <c r="I76" s="1">
        <f t="shared" si="17"/>
        <v>1</v>
      </c>
      <c r="J76" s="1">
        <f>VLOOKUP(E76,Sheet3!$I$57:$J$65,2,FALSE)</f>
        <v>4</v>
      </c>
      <c r="K76" s="1">
        <f>VLOOKUP(A76,Sheet3!$A$51:$E$230,4,FALSE)</f>
        <v>0.2</v>
      </c>
      <c r="L76" s="1">
        <f t="shared" si="18"/>
        <v>1</v>
      </c>
      <c r="M76" s="1">
        <f t="shared" si="19"/>
        <v>5</v>
      </c>
    </row>
    <row r="77" spans="1:13">
      <c r="A77" s="10">
        <v>10514</v>
      </c>
      <c r="B77" s="10" t="str">
        <f>VLOOKUP(A77,Sheet3!$A$51:$E$230,5,FALSE)</f>
        <v>生命|百分比</v>
      </c>
      <c r="C77" s="19">
        <f t="shared" si="12"/>
        <v>40514</v>
      </c>
      <c r="D77" s="10" t="s">
        <v>67</v>
      </c>
      <c r="E77" s="21" t="str">
        <f t="shared" si="13"/>
        <v>生命</v>
      </c>
      <c r="F77" s="21" t="str">
        <f t="shared" si="14"/>
        <v>百分比</v>
      </c>
      <c r="G77" s="1">
        <f t="shared" si="15"/>
        <v>40514</v>
      </c>
      <c r="H77" s="38" t="str">
        <f t="shared" si="16"/>
        <v>进阶+14：生命提高20%</v>
      </c>
      <c r="I77" s="1">
        <f t="shared" si="17"/>
        <v>1</v>
      </c>
      <c r="J77" s="1">
        <f>VLOOKUP(E77,Sheet3!$I$57:$J$65,2,FALSE)</f>
        <v>1</v>
      </c>
      <c r="K77" s="1">
        <f>VLOOKUP(A77,Sheet3!$A$51:$E$230,4,FALSE)</f>
        <v>0.2</v>
      </c>
      <c r="L77" s="1">
        <f t="shared" si="18"/>
        <v>1</v>
      </c>
      <c r="M77" s="1">
        <f t="shared" si="19"/>
        <v>5</v>
      </c>
    </row>
    <row r="78" spans="1:13">
      <c r="A78" s="10">
        <v>10515</v>
      </c>
      <c r="B78" s="10" t="str">
        <f>VLOOKUP(A78,Sheet3!$A$51:$E$230,5,FALSE)</f>
        <v>攻击|百分比</v>
      </c>
      <c r="C78" s="19">
        <f t="shared" si="12"/>
        <v>40515</v>
      </c>
      <c r="D78" s="10" t="s">
        <v>67</v>
      </c>
      <c r="E78" s="21" t="str">
        <f t="shared" si="13"/>
        <v>攻击</v>
      </c>
      <c r="F78" s="21" t="str">
        <f t="shared" si="14"/>
        <v>百分比</v>
      </c>
      <c r="G78" s="1">
        <f t="shared" si="15"/>
        <v>40515</v>
      </c>
      <c r="H78" s="38" t="str">
        <f t="shared" si="16"/>
        <v>进阶+15：攻击提高25%</v>
      </c>
      <c r="I78" s="1">
        <f t="shared" si="17"/>
        <v>1</v>
      </c>
      <c r="J78" s="1">
        <f>VLOOKUP(E78,Sheet3!$I$57:$J$65,2,FALSE)</f>
        <v>3</v>
      </c>
      <c r="K78" s="1">
        <f>VLOOKUP(A78,Sheet3!$A$51:$E$230,4,FALSE)</f>
        <v>0.25</v>
      </c>
      <c r="L78" s="1">
        <f t="shared" si="18"/>
        <v>1</v>
      </c>
      <c r="M78" s="1">
        <f t="shared" si="19"/>
        <v>5</v>
      </c>
    </row>
    <row r="79" spans="1:13">
      <c r="A79" s="10">
        <v>10601</v>
      </c>
      <c r="B79" s="10" t="str">
        <f>VLOOKUP(A79,Sheet3!$A$51:$E$230,5,FALSE)</f>
        <v>攻击|数值</v>
      </c>
      <c r="C79" s="19">
        <f t="shared" si="12"/>
        <v>40601</v>
      </c>
      <c r="D79" s="10" t="s">
        <v>67</v>
      </c>
      <c r="E79" s="21" t="str">
        <f t="shared" si="13"/>
        <v>攻击</v>
      </c>
      <c r="F79" s="21" t="str">
        <f t="shared" si="14"/>
        <v>数值</v>
      </c>
      <c r="G79" s="1">
        <f t="shared" si="15"/>
        <v>40601</v>
      </c>
      <c r="H79" s="38" t="str">
        <f t="shared" si="16"/>
        <v>进阶+1：攻击提高100</v>
      </c>
      <c r="I79" s="1">
        <f t="shared" si="17"/>
        <v>1</v>
      </c>
      <c r="J79" s="1">
        <f>VLOOKUP(E79,Sheet3!$I$57:$J$65,2,FALSE)</f>
        <v>3</v>
      </c>
      <c r="K79" s="1">
        <f>VLOOKUP(A79,Sheet3!$A$51:$E$230,4,FALSE)</f>
        <v>100</v>
      </c>
      <c r="L79" s="1">
        <f t="shared" si="18"/>
        <v>0</v>
      </c>
      <c r="M79" s="1">
        <f t="shared" si="19"/>
        <v>1</v>
      </c>
    </row>
    <row r="80" spans="1:13">
      <c r="A80" s="10">
        <v>10602</v>
      </c>
      <c r="B80" s="10" t="str">
        <f>VLOOKUP(A80,Sheet3!$A$51:$E$230,5,FALSE)</f>
        <v>命中率|百分比</v>
      </c>
      <c r="C80" s="19">
        <f t="shared" si="12"/>
        <v>40602</v>
      </c>
      <c r="D80" s="10" t="s">
        <v>67</v>
      </c>
      <c r="E80" s="21" t="str">
        <f t="shared" si="13"/>
        <v>命中率</v>
      </c>
      <c r="F80" s="21" t="str">
        <f t="shared" si="14"/>
        <v>百分比</v>
      </c>
      <c r="G80" s="1">
        <f t="shared" si="15"/>
        <v>40602</v>
      </c>
      <c r="H80" s="38" t="str">
        <f t="shared" si="16"/>
        <v>进阶+2：命中率提高5%</v>
      </c>
      <c r="I80" s="1">
        <f t="shared" si="17"/>
        <v>1</v>
      </c>
      <c r="J80" s="1">
        <f>VLOOKUP(E80,Sheet3!$I$57:$J$65,2,FALSE)</f>
        <v>6</v>
      </c>
      <c r="K80" s="1">
        <f>VLOOKUP(A80,Sheet3!$A$51:$E$230,4,FALSE)</f>
        <v>0.05</v>
      </c>
      <c r="L80" s="1">
        <f t="shared" si="18"/>
        <v>0</v>
      </c>
      <c r="M80" s="1">
        <f t="shared" si="19"/>
        <v>1</v>
      </c>
    </row>
    <row r="81" spans="1:13">
      <c r="A81" s="10">
        <v>10603</v>
      </c>
      <c r="B81" s="10" t="str">
        <f>VLOOKUP(A81,Sheet3!$A$51:$E$230,5,FALSE)</f>
        <v>攻击|数值</v>
      </c>
      <c r="C81" s="19">
        <f t="shared" si="12"/>
        <v>40603</v>
      </c>
      <c r="D81" s="10" t="s">
        <v>67</v>
      </c>
      <c r="E81" s="21" t="str">
        <f t="shared" si="13"/>
        <v>攻击</v>
      </c>
      <c r="F81" s="21" t="str">
        <f t="shared" si="14"/>
        <v>数值</v>
      </c>
      <c r="G81" s="1">
        <f t="shared" si="15"/>
        <v>40603</v>
      </c>
      <c r="H81" s="38" t="str">
        <f t="shared" si="16"/>
        <v>进阶+3：攻击提高250</v>
      </c>
      <c r="I81" s="1">
        <f t="shared" si="17"/>
        <v>1</v>
      </c>
      <c r="J81" s="1">
        <f>VLOOKUP(E81,Sheet3!$I$57:$J$65,2,FALSE)</f>
        <v>3</v>
      </c>
      <c r="K81" s="1">
        <f>VLOOKUP(A81,Sheet3!$A$51:$E$230,4,FALSE)</f>
        <v>250</v>
      </c>
      <c r="L81" s="1">
        <f t="shared" si="18"/>
        <v>0</v>
      </c>
      <c r="M81" s="1">
        <f t="shared" si="19"/>
        <v>1</v>
      </c>
    </row>
    <row r="82" spans="1:13">
      <c r="A82" s="10">
        <v>10604</v>
      </c>
      <c r="B82" s="10" t="str">
        <f>VLOOKUP(A82,Sheet3!$A$51:$E$230,5,FALSE)</f>
        <v>暴击率|百分比</v>
      </c>
      <c r="C82" s="19">
        <f t="shared" si="12"/>
        <v>40604</v>
      </c>
      <c r="D82" s="10" t="s">
        <v>67</v>
      </c>
      <c r="E82" s="21" t="str">
        <f t="shared" si="13"/>
        <v>暴击率</v>
      </c>
      <c r="F82" s="21" t="str">
        <f t="shared" si="14"/>
        <v>百分比</v>
      </c>
      <c r="G82" s="1">
        <f t="shared" si="15"/>
        <v>40604</v>
      </c>
      <c r="H82" s="38" t="str">
        <f t="shared" si="16"/>
        <v>进阶+4：暴击率提高20%</v>
      </c>
      <c r="I82" s="1">
        <f t="shared" si="17"/>
        <v>1</v>
      </c>
      <c r="J82" s="1">
        <f>VLOOKUP(E82,Sheet3!$I$57:$J$65,2,FALSE)</f>
        <v>8</v>
      </c>
      <c r="K82" s="1">
        <f>VLOOKUP(A82,Sheet3!$A$51:$E$230,4,FALSE)</f>
        <v>0.2</v>
      </c>
      <c r="L82" s="1">
        <f t="shared" si="18"/>
        <v>0</v>
      </c>
      <c r="M82" s="1">
        <f t="shared" si="19"/>
        <v>1</v>
      </c>
    </row>
    <row r="83" spans="1:13">
      <c r="A83" s="10">
        <v>10605</v>
      </c>
      <c r="B83" s="10" t="str">
        <f>VLOOKUP(A83,Sheet3!$A$51:$E$230,5,FALSE)</f>
        <v>攻击|数值</v>
      </c>
      <c r="C83" s="19">
        <f t="shared" si="12"/>
        <v>40605</v>
      </c>
      <c r="D83" s="10" t="s">
        <v>67</v>
      </c>
      <c r="E83" s="21" t="str">
        <f t="shared" si="13"/>
        <v>攻击</v>
      </c>
      <c r="F83" s="21" t="str">
        <f t="shared" si="14"/>
        <v>数值</v>
      </c>
      <c r="G83" s="1">
        <f t="shared" si="15"/>
        <v>40605</v>
      </c>
      <c r="H83" s="38" t="str">
        <f t="shared" si="16"/>
        <v>进阶+5：攻击提高400</v>
      </c>
      <c r="I83" s="1">
        <f t="shared" si="17"/>
        <v>1</v>
      </c>
      <c r="J83" s="1">
        <f>VLOOKUP(E83,Sheet3!$I$57:$J$65,2,FALSE)</f>
        <v>3</v>
      </c>
      <c r="K83" s="1">
        <f>VLOOKUP(A83,Sheet3!$A$51:$E$230,4,FALSE)</f>
        <v>400</v>
      </c>
      <c r="L83" s="1">
        <f t="shared" si="18"/>
        <v>0</v>
      </c>
      <c r="M83" s="1">
        <f t="shared" si="19"/>
        <v>1</v>
      </c>
    </row>
    <row r="84" spans="1:13">
      <c r="A84" s="10">
        <v>10606</v>
      </c>
      <c r="B84" s="10" t="str">
        <f>VLOOKUP(A84,Sheet3!$A$51:$E$230,5,FALSE)</f>
        <v>伤害加成|百分比</v>
      </c>
      <c r="C84" s="19">
        <f t="shared" si="12"/>
        <v>40606</v>
      </c>
      <c r="D84" s="10" t="s">
        <v>67</v>
      </c>
      <c r="E84" s="21" t="str">
        <f t="shared" si="13"/>
        <v>伤害加成</v>
      </c>
      <c r="F84" s="21" t="str">
        <f t="shared" si="14"/>
        <v>百分比</v>
      </c>
      <c r="G84" s="1">
        <f t="shared" si="15"/>
        <v>40606</v>
      </c>
      <c r="H84" s="38" t="str">
        <f t="shared" si="16"/>
        <v>进阶+6：伤害加成提高15%</v>
      </c>
      <c r="I84" s="1">
        <f t="shared" si="17"/>
        <v>1</v>
      </c>
      <c r="J84" s="1">
        <f>VLOOKUP(E84,Sheet3!$I$57:$J$65,2,FALSE)</f>
        <v>11</v>
      </c>
      <c r="K84" s="1">
        <f>VLOOKUP(A84,Sheet3!$A$51:$E$230,4,FALSE)</f>
        <v>0.15</v>
      </c>
      <c r="L84" s="1">
        <f t="shared" si="18"/>
        <v>0</v>
      </c>
      <c r="M84" s="1">
        <f t="shared" si="19"/>
        <v>1</v>
      </c>
    </row>
    <row r="85" spans="1:13">
      <c r="A85" s="10">
        <v>10607</v>
      </c>
      <c r="B85" s="10" t="str">
        <f>VLOOKUP(A85,Sheet3!$A$51:$E$230,5,FALSE)</f>
        <v>防御|数值</v>
      </c>
      <c r="C85" s="19" t="str">
        <f t="shared" si="12"/>
        <v>40607,45607</v>
      </c>
      <c r="D85" s="10" t="s">
        <v>67</v>
      </c>
      <c r="E85" s="21" t="str">
        <f t="shared" si="13"/>
        <v>防御</v>
      </c>
      <c r="F85" s="21" t="str">
        <f t="shared" si="14"/>
        <v>数值</v>
      </c>
      <c r="G85" s="1">
        <f t="shared" si="15"/>
        <v>40607</v>
      </c>
      <c r="H85" s="38" t="str">
        <f t="shared" si="16"/>
        <v>进阶+7：防御提高500</v>
      </c>
      <c r="I85" s="1">
        <f t="shared" si="17"/>
        <v>1</v>
      </c>
      <c r="J85" s="1">
        <f>VLOOKUP(E85,Sheet3!$I$57:$J$65,2,FALSE)</f>
        <v>4</v>
      </c>
      <c r="K85" s="1">
        <f>VLOOKUP(A85,Sheet3!$A$51:$E$230,4,FALSE)</f>
        <v>500</v>
      </c>
      <c r="L85" s="1">
        <f t="shared" si="18"/>
        <v>0</v>
      </c>
      <c r="M85" s="1">
        <f t="shared" si="19"/>
        <v>1</v>
      </c>
    </row>
    <row r="86" spans="1:13">
      <c r="A86" s="10">
        <v>10608</v>
      </c>
      <c r="B86" s="10" t="str">
        <f>VLOOKUP(A86,Sheet3!$A$51:$E$230,5,FALSE)</f>
        <v>攻击|百分比</v>
      </c>
      <c r="C86" s="19">
        <f t="shared" si="12"/>
        <v>40608</v>
      </c>
      <c r="D86" s="10" t="s">
        <v>67</v>
      </c>
      <c r="E86" s="21" t="str">
        <f t="shared" si="13"/>
        <v>攻击</v>
      </c>
      <c r="F86" s="21" t="str">
        <f t="shared" si="14"/>
        <v>百分比</v>
      </c>
      <c r="G86" s="1">
        <f t="shared" si="15"/>
        <v>40608</v>
      </c>
      <c r="H86" s="38" t="str">
        <f t="shared" si="16"/>
        <v>进阶+8：攻击提高10%</v>
      </c>
      <c r="I86" s="1">
        <f t="shared" si="17"/>
        <v>1</v>
      </c>
      <c r="J86" s="1">
        <f>VLOOKUP(E86,Sheet3!$I$57:$J$65,2,FALSE)</f>
        <v>3</v>
      </c>
      <c r="K86" s="1">
        <f>VLOOKUP(A86,Sheet3!$A$51:$E$230,4,FALSE)</f>
        <v>0.1</v>
      </c>
      <c r="L86" s="1">
        <f t="shared" si="18"/>
        <v>1</v>
      </c>
      <c r="M86" s="1">
        <f t="shared" si="19"/>
        <v>5</v>
      </c>
    </row>
    <row r="87" spans="1:13">
      <c r="A87" s="10">
        <v>10609</v>
      </c>
      <c r="B87" s="10" t="str">
        <f>VLOOKUP(A87,Sheet3!$A$51:$E$230,5,FALSE)</f>
        <v>生命|数值</v>
      </c>
      <c r="C87" s="19">
        <f t="shared" si="12"/>
        <v>40609</v>
      </c>
      <c r="D87" s="10" t="s">
        <v>67</v>
      </c>
      <c r="E87" s="21" t="str">
        <f t="shared" si="13"/>
        <v>生命</v>
      </c>
      <c r="F87" s="21" t="str">
        <f t="shared" si="14"/>
        <v>数值</v>
      </c>
      <c r="G87" s="1">
        <f t="shared" si="15"/>
        <v>40609</v>
      </c>
      <c r="H87" s="38" t="str">
        <f t="shared" si="16"/>
        <v>进阶+9：生命提高45000</v>
      </c>
      <c r="I87" s="1">
        <f t="shared" si="17"/>
        <v>1</v>
      </c>
      <c r="J87" s="1">
        <f>VLOOKUP(E87,Sheet3!$I$57:$J$65,2,FALSE)</f>
        <v>1</v>
      </c>
      <c r="K87" s="1">
        <f>VLOOKUP(A87,Sheet3!$A$51:$E$230,4,FALSE)</f>
        <v>44999.999999999993</v>
      </c>
      <c r="L87" s="1">
        <f t="shared" si="18"/>
        <v>0</v>
      </c>
      <c r="M87" s="1">
        <f t="shared" si="19"/>
        <v>1</v>
      </c>
    </row>
    <row r="88" spans="1:13">
      <c r="A88" s="10">
        <v>10610</v>
      </c>
      <c r="B88" s="10" t="str">
        <f>VLOOKUP(A88,Sheet3!$A$51:$E$230,5,FALSE)</f>
        <v>生命|百分比</v>
      </c>
      <c r="C88" s="19">
        <f t="shared" si="12"/>
        <v>40610</v>
      </c>
      <c r="D88" s="10" t="s">
        <v>67</v>
      </c>
      <c r="E88" s="21" t="str">
        <f t="shared" si="13"/>
        <v>生命</v>
      </c>
      <c r="F88" s="21" t="str">
        <f t="shared" si="14"/>
        <v>百分比</v>
      </c>
      <c r="G88" s="1">
        <f t="shared" si="15"/>
        <v>40610</v>
      </c>
      <c r="H88" s="38" t="str">
        <f t="shared" si="16"/>
        <v>进阶+10：生命提高10%</v>
      </c>
      <c r="I88" s="1">
        <f t="shared" si="17"/>
        <v>1</v>
      </c>
      <c r="J88" s="1">
        <f>VLOOKUP(E88,Sheet3!$I$57:$J$65,2,FALSE)</f>
        <v>1</v>
      </c>
      <c r="K88" s="1">
        <f>VLOOKUP(A88,Sheet3!$A$51:$E$230,4,FALSE)</f>
        <v>0.1</v>
      </c>
      <c r="L88" s="1">
        <f t="shared" si="18"/>
        <v>1</v>
      </c>
      <c r="M88" s="1">
        <f t="shared" si="19"/>
        <v>5</v>
      </c>
    </row>
    <row r="89" spans="1:13">
      <c r="A89" s="10">
        <v>10611</v>
      </c>
      <c r="B89" s="10" t="str">
        <f>VLOOKUP(A89,Sheet3!$A$51:$E$230,5,FALSE)</f>
        <v>攻击|数值</v>
      </c>
      <c r="C89" s="19">
        <f t="shared" si="12"/>
        <v>40611</v>
      </c>
      <c r="D89" s="10" t="s">
        <v>67</v>
      </c>
      <c r="E89" s="21" t="str">
        <f t="shared" si="13"/>
        <v>攻击</v>
      </c>
      <c r="F89" s="21" t="str">
        <f t="shared" si="14"/>
        <v>数值</v>
      </c>
      <c r="G89" s="1">
        <f t="shared" si="15"/>
        <v>40611</v>
      </c>
      <c r="H89" s="38" t="str">
        <f t="shared" si="16"/>
        <v>进阶+11：攻击提高1750</v>
      </c>
      <c r="I89" s="1">
        <f t="shared" si="17"/>
        <v>1</v>
      </c>
      <c r="J89" s="1">
        <f>VLOOKUP(E89,Sheet3!$I$57:$J$65,2,FALSE)</f>
        <v>3</v>
      </c>
      <c r="K89" s="1">
        <f>VLOOKUP(A89,Sheet3!$A$51:$E$230,4,FALSE)</f>
        <v>1750</v>
      </c>
      <c r="L89" s="1">
        <f t="shared" si="18"/>
        <v>0</v>
      </c>
      <c r="M89" s="1">
        <f t="shared" si="19"/>
        <v>1</v>
      </c>
    </row>
    <row r="90" spans="1:13">
      <c r="A90" s="10">
        <v>10612</v>
      </c>
      <c r="B90" s="10" t="str">
        <f>VLOOKUP(A90,Sheet3!$A$51:$E$230,5,FALSE)</f>
        <v>攻击|百分比</v>
      </c>
      <c r="C90" s="19">
        <f t="shared" si="12"/>
        <v>40612</v>
      </c>
      <c r="D90" s="10" t="s">
        <v>67</v>
      </c>
      <c r="E90" s="21" t="str">
        <f t="shared" si="13"/>
        <v>攻击</v>
      </c>
      <c r="F90" s="21" t="str">
        <f t="shared" si="14"/>
        <v>百分比</v>
      </c>
      <c r="G90" s="1">
        <f t="shared" si="15"/>
        <v>40612</v>
      </c>
      <c r="H90" s="38" t="str">
        <f t="shared" si="16"/>
        <v>进阶+12：攻击提高15%</v>
      </c>
      <c r="I90" s="1">
        <f t="shared" si="17"/>
        <v>1</v>
      </c>
      <c r="J90" s="1">
        <f>VLOOKUP(E90,Sheet3!$I$57:$J$65,2,FALSE)</f>
        <v>3</v>
      </c>
      <c r="K90" s="1">
        <f>VLOOKUP(A90,Sheet3!$A$51:$E$230,4,FALSE)</f>
        <v>0.15</v>
      </c>
      <c r="L90" s="1">
        <f t="shared" si="18"/>
        <v>1</v>
      </c>
      <c r="M90" s="1">
        <f t="shared" si="19"/>
        <v>5</v>
      </c>
    </row>
    <row r="91" spans="1:13">
      <c r="A91" s="10">
        <v>10613</v>
      </c>
      <c r="B91" s="10" t="str">
        <f>VLOOKUP(A91,Sheet3!$A$51:$E$230,5,FALSE)</f>
        <v>防御|百分比</v>
      </c>
      <c r="C91" s="19" t="str">
        <f t="shared" si="12"/>
        <v>40613,45613</v>
      </c>
      <c r="D91" s="10" t="s">
        <v>67</v>
      </c>
      <c r="E91" s="21" t="str">
        <f t="shared" si="13"/>
        <v>防御</v>
      </c>
      <c r="F91" s="21" t="str">
        <f t="shared" si="14"/>
        <v>百分比</v>
      </c>
      <c r="G91" s="1">
        <f t="shared" si="15"/>
        <v>40613</v>
      </c>
      <c r="H91" s="38" t="str">
        <f t="shared" si="16"/>
        <v>进阶+13：防御提高20%</v>
      </c>
      <c r="I91" s="1">
        <f t="shared" si="17"/>
        <v>1</v>
      </c>
      <c r="J91" s="1">
        <f>VLOOKUP(E91,Sheet3!$I$57:$J$65,2,FALSE)</f>
        <v>4</v>
      </c>
      <c r="K91" s="1">
        <f>VLOOKUP(A91,Sheet3!$A$51:$E$230,4,FALSE)</f>
        <v>0.2</v>
      </c>
      <c r="L91" s="1">
        <f t="shared" si="18"/>
        <v>1</v>
      </c>
      <c r="M91" s="1">
        <f t="shared" si="19"/>
        <v>5</v>
      </c>
    </row>
    <row r="92" spans="1:13">
      <c r="A92" s="10">
        <v>10614</v>
      </c>
      <c r="B92" s="10" t="str">
        <f>VLOOKUP(A92,Sheet3!$A$51:$E$230,5,FALSE)</f>
        <v>生命|百分比</v>
      </c>
      <c r="C92" s="19">
        <f t="shared" si="12"/>
        <v>40614</v>
      </c>
      <c r="D92" s="10" t="s">
        <v>67</v>
      </c>
      <c r="E92" s="21" t="str">
        <f t="shared" si="13"/>
        <v>生命</v>
      </c>
      <c r="F92" s="21" t="str">
        <f t="shared" si="14"/>
        <v>百分比</v>
      </c>
      <c r="G92" s="1">
        <f t="shared" si="15"/>
        <v>40614</v>
      </c>
      <c r="H92" s="38" t="str">
        <f t="shared" si="16"/>
        <v>进阶+14：生命提高20%</v>
      </c>
      <c r="I92" s="1">
        <f t="shared" si="17"/>
        <v>1</v>
      </c>
      <c r="J92" s="1">
        <f>VLOOKUP(E92,Sheet3!$I$57:$J$65,2,FALSE)</f>
        <v>1</v>
      </c>
      <c r="K92" s="1">
        <f>VLOOKUP(A92,Sheet3!$A$51:$E$230,4,FALSE)</f>
        <v>0.2</v>
      </c>
      <c r="L92" s="1">
        <f t="shared" si="18"/>
        <v>1</v>
      </c>
      <c r="M92" s="1">
        <f t="shared" si="19"/>
        <v>5</v>
      </c>
    </row>
    <row r="93" spans="1:13">
      <c r="A93" s="10">
        <v>10615</v>
      </c>
      <c r="B93" s="10" t="str">
        <f>VLOOKUP(A93,Sheet3!$A$51:$E$230,5,FALSE)</f>
        <v>攻击|百分比</v>
      </c>
      <c r="C93" s="19">
        <f t="shared" si="12"/>
        <v>40615</v>
      </c>
      <c r="D93" s="10" t="s">
        <v>67</v>
      </c>
      <c r="E93" s="21" t="str">
        <f t="shared" si="13"/>
        <v>攻击</v>
      </c>
      <c r="F93" s="21" t="str">
        <f t="shared" si="14"/>
        <v>百分比</v>
      </c>
      <c r="G93" s="1">
        <f t="shared" si="15"/>
        <v>40615</v>
      </c>
      <c r="H93" s="38" t="str">
        <f t="shared" si="16"/>
        <v>进阶+15：攻击提高25%</v>
      </c>
      <c r="I93" s="1">
        <f t="shared" si="17"/>
        <v>1</v>
      </c>
      <c r="J93" s="1">
        <f>VLOOKUP(E93,Sheet3!$I$57:$J$65,2,FALSE)</f>
        <v>3</v>
      </c>
      <c r="K93" s="1">
        <f>VLOOKUP(A93,Sheet3!$A$51:$E$230,4,FALSE)</f>
        <v>0.25</v>
      </c>
      <c r="L93" s="1">
        <f t="shared" si="18"/>
        <v>1</v>
      </c>
      <c r="M93" s="1">
        <f t="shared" si="19"/>
        <v>5</v>
      </c>
    </row>
    <row r="94" spans="1:13">
      <c r="A94" s="10">
        <v>10701</v>
      </c>
      <c r="B94" s="10" t="str">
        <f>VLOOKUP(A94,Sheet3!$A$51:$E$230,5,FALSE)</f>
        <v>防御|数值</v>
      </c>
      <c r="C94" s="19" t="str">
        <f t="shared" si="12"/>
        <v>40701,45701</v>
      </c>
      <c r="D94" s="10" t="s">
        <v>67</v>
      </c>
      <c r="E94" s="21" t="str">
        <f t="shared" si="13"/>
        <v>防御</v>
      </c>
      <c r="F94" s="21" t="str">
        <f t="shared" si="14"/>
        <v>数值</v>
      </c>
      <c r="G94" s="1">
        <f t="shared" si="15"/>
        <v>40701</v>
      </c>
      <c r="H94" s="38" t="str">
        <f t="shared" si="16"/>
        <v>进阶+1：防御提高100</v>
      </c>
      <c r="I94" s="1">
        <f t="shared" si="17"/>
        <v>1</v>
      </c>
      <c r="J94" s="1">
        <f>VLOOKUP(E94,Sheet3!$I$57:$J$65,2,FALSE)</f>
        <v>4</v>
      </c>
      <c r="K94" s="1">
        <f>VLOOKUP(A94,Sheet3!$A$51:$E$230,4,FALSE)</f>
        <v>100</v>
      </c>
      <c r="L94" s="1">
        <f t="shared" si="18"/>
        <v>0</v>
      </c>
      <c r="M94" s="1">
        <f t="shared" si="19"/>
        <v>1</v>
      </c>
    </row>
    <row r="95" spans="1:13">
      <c r="A95" s="10">
        <v>10702</v>
      </c>
      <c r="B95" s="10" t="str">
        <f>VLOOKUP(A95,Sheet3!$A$51:$E$230,5,FALSE)</f>
        <v>抗暴率|百分比</v>
      </c>
      <c r="C95" s="19">
        <f t="shared" si="12"/>
        <v>40702</v>
      </c>
      <c r="D95" s="10" t="s">
        <v>67</v>
      </c>
      <c r="E95" s="21" t="str">
        <f t="shared" si="13"/>
        <v>抗暴率</v>
      </c>
      <c r="F95" s="21" t="str">
        <f t="shared" si="14"/>
        <v>百分比</v>
      </c>
      <c r="G95" s="1">
        <f t="shared" si="15"/>
        <v>40702</v>
      </c>
      <c r="H95" s="38" t="str">
        <f t="shared" si="16"/>
        <v>进阶+2：抗暴率提高10%</v>
      </c>
      <c r="I95" s="1">
        <f t="shared" si="17"/>
        <v>1</v>
      </c>
      <c r="J95" s="1">
        <f>VLOOKUP(E95,Sheet3!$I$57:$J$65,2,FALSE)</f>
        <v>9</v>
      </c>
      <c r="K95" s="1">
        <f>VLOOKUP(A95,Sheet3!$A$51:$E$230,4,FALSE)</f>
        <v>0.1</v>
      </c>
      <c r="L95" s="1">
        <f t="shared" si="18"/>
        <v>0</v>
      </c>
      <c r="M95" s="1">
        <f t="shared" si="19"/>
        <v>1</v>
      </c>
    </row>
    <row r="96" spans="1:13">
      <c r="A96" s="10">
        <v>10703</v>
      </c>
      <c r="B96" s="10" t="str">
        <f>VLOOKUP(A96,Sheet3!$A$51:$E$230,5,FALSE)</f>
        <v>生命|数值</v>
      </c>
      <c r="C96" s="19">
        <f t="shared" si="12"/>
        <v>40703</v>
      </c>
      <c r="D96" s="10" t="s">
        <v>67</v>
      </c>
      <c r="E96" s="21" t="str">
        <f t="shared" si="13"/>
        <v>生命</v>
      </c>
      <c r="F96" s="21" t="str">
        <f t="shared" si="14"/>
        <v>数值</v>
      </c>
      <c r="G96" s="1">
        <f t="shared" si="15"/>
        <v>40703</v>
      </c>
      <c r="H96" s="38" t="str">
        <f t="shared" si="16"/>
        <v>进阶+3：生命提高15000</v>
      </c>
      <c r="I96" s="1">
        <f t="shared" si="17"/>
        <v>1</v>
      </c>
      <c r="J96" s="1">
        <f>VLOOKUP(E96,Sheet3!$I$57:$J$65,2,FALSE)</f>
        <v>1</v>
      </c>
      <c r="K96" s="1">
        <f>VLOOKUP(A96,Sheet3!$A$51:$E$230,4,FALSE)</f>
        <v>14999.999999999998</v>
      </c>
      <c r="L96" s="1">
        <f t="shared" si="18"/>
        <v>0</v>
      </c>
      <c r="M96" s="1">
        <f t="shared" si="19"/>
        <v>1</v>
      </c>
    </row>
    <row r="97" spans="1:13">
      <c r="A97" s="10">
        <v>10704</v>
      </c>
      <c r="B97" s="10" t="str">
        <f>VLOOKUP(A97,Sheet3!$A$51:$E$230,5,FALSE)</f>
        <v>伤害减免|百分比</v>
      </c>
      <c r="C97" s="19">
        <f t="shared" si="12"/>
        <v>40704</v>
      </c>
      <c r="D97" s="10" t="s">
        <v>67</v>
      </c>
      <c r="E97" s="21" t="str">
        <f t="shared" si="13"/>
        <v>伤害减免</v>
      </c>
      <c r="F97" s="21" t="str">
        <f t="shared" si="14"/>
        <v>百分比</v>
      </c>
      <c r="G97" s="1">
        <f t="shared" si="15"/>
        <v>40704</v>
      </c>
      <c r="H97" s="38" t="str">
        <f t="shared" si="16"/>
        <v>进阶+4：伤害减免提高10%</v>
      </c>
      <c r="I97" s="1">
        <f t="shared" si="17"/>
        <v>1</v>
      </c>
      <c r="J97" s="1">
        <f>VLOOKUP(E97,Sheet3!$I$57:$J$65,2,FALSE)</f>
        <v>10</v>
      </c>
      <c r="K97" s="1">
        <f>VLOOKUP(A97,Sheet3!$A$51:$E$230,4,FALSE)</f>
        <v>0.1</v>
      </c>
      <c r="L97" s="1">
        <f t="shared" si="18"/>
        <v>0</v>
      </c>
      <c r="M97" s="1">
        <f t="shared" si="19"/>
        <v>1</v>
      </c>
    </row>
    <row r="98" spans="1:13">
      <c r="A98" s="10">
        <v>10705</v>
      </c>
      <c r="B98" s="10" t="str">
        <f>VLOOKUP(A98,Sheet3!$A$51:$E$230,5,FALSE)</f>
        <v>攻击|数值</v>
      </c>
      <c r="C98" s="19">
        <f t="shared" si="12"/>
        <v>40705</v>
      </c>
      <c r="D98" s="10" t="s">
        <v>67</v>
      </c>
      <c r="E98" s="21" t="str">
        <f t="shared" si="13"/>
        <v>攻击</v>
      </c>
      <c r="F98" s="21" t="str">
        <f t="shared" si="14"/>
        <v>数值</v>
      </c>
      <c r="G98" s="1">
        <f t="shared" si="15"/>
        <v>40705</v>
      </c>
      <c r="H98" s="38" t="str">
        <f t="shared" si="16"/>
        <v>进阶+5：攻击提高300</v>
      </c>
      <c r="I98" s="1">
        <f t="shared" si="17"/>
        <v>1</v>
      </c>
      <c r="J98" s="1">
        <f>VLOOKUP(E98,Sheet3!$I$57:$J$65,2,FALSE)</f>
        <v>3</v>
      </c>
      <c r="K98" s="1">
        <f>VLOOKUP(A98,Sheet3!$A$51:$E$230,4,FALSE)</f>
        <v>300</v>
      </c>
      <c r="L98" s="1">
        <f t="shared" si="18"/>
        <v>0</v>
      </c>
      <c r="M98" s="1">
        <f t="shared" si="19"/>
        <v>1</v>
      </c>
    </row>
    <row r="99" spans="1:13">
      <c r="A99" s="10">
        <v>10706</v>
      </c>
      <c r="B99" s="10" t="str">
        <f>VLOOKUP(A99,Sheet3!$A$51:$E$230,5,FALSE)</f>
        <v>闪避率|光环百分比</v>
      </c>
      <c r="C99" s="19">
        <f t="shared" si="12"/>
        <v>40706</v>
      </c>
      <c r="D99" s="10" t="s">
        <v>67</v>
      </c>
      <c r="E99" s="21" t="str">
        <f t="shared" si="13"/>
        <v>闪避率</v>
      </c>
      <c r="F99" s="21" t="str">
        <f t="shared" si="14"/>
        <v>光环百分比</v>
      </c>
      <c r="G99" s="1">
        <f t="shared" si="15"/>
        <v>40706</v>
      </c>
      <c r="H99" s="38" t="str">
        <f t="shared" si="16"/>
        <v>进阶+6：全体闪避率提高8%</v>
      </c>
      <c r="I99" s="1">
        <f t="shared" si="17"/>
        <v>2</v>
      </c>
      <c r="J99" s="1">
        <f>VLOOKUP(E99,Sheet3!$I$57:$J$65,2,FALSE)</f>
        <v>7</v>
      </c>
      <c r="K99" s="1">
        <f>VLOOKUP(A99,Sheet3!$A$51:$E$230,4,FALSE)</f>
        <v>0.08</v>
      </c>
      <c r="L99" s="1">
        <f t="shared" si="18"/>
        <v>0</v>
      </c>
      <c r="M99" s="1">
        <f t="shared" si="19"/>
        <v>1</v>
      </c>
    </row>
    <row r="100" spans="1:13">
      <c r="A100" s="10">
        <v>10707</v>
      </c>
      <c r="B100" s="10" t="str">
        <f>VLOOKUP(A100,Sheet3!$A$51:$E$230,5,FALSE)</f>
        <v>防御|光环数值</v>
      </c>
      <c r="C100" s="19" t="str">
        <f t="shared" ref="C100:C131" si="20">IF(MID(B100,1,SEARCH("|",B100)-1)="防御",A100+30000&amp;","&amp;A100+35000,A100+30000)</f>
        <v>40707,45707</v>
      </c>
      <c r="D100" s="10" t="s">
        <v>67</v>
      </c>
      <c r="E100" s="21" t="str">
        <f t="shared" ref="E100:E131" si="21">MID(B100,1,SEARCH("|",B100)-1)</f>
        <v>防御</v>
      </c>
      <c r="F100" s="21" t="str">
        <f t="shared" ref="F100:F131" si="22">MID(B100,SEARCH("|",B100)+1,5)</f>
        <v>光环数值</v>
      </c>
      <c r="G100" s="1">
        <f t="shared" ref="G100:G131" si="23">A100+30000</f>
        <v>40707</v>
      </c>
      <c r="H100" s="38" t="str">
        <f t="shared" si="16"/>
        <v>进阶+7：全体防御提高400</v>
      </c>
      <c r="I100" s="1">
        <f t="shared" si="17"/>
        <v>2</v>
      </c>
      <c r="J100" s="1">
        <f>VLOOKUP(E100,Sheet3!$I$57:$J$65,2,FALSE)</f>
        <v>4</v>
      </c>
      <c r="K100" s="1">
        <f>VLOOKUP(A100,Sheet3!$A$51:$E$230,4,FALSE)</f>
        <v>400</v>
      </c>
      <c r="L100" s="1">
        <f t="shared" si="18"/>
        <v>0</v>
      </c>
      <c r="M100" s="1">
        <f t="shared" si="19"/>
        <v>1</v>
      </c>
    </row>
    <row r="101" spans="1:13">
      <c r="A101" s="10">
        <v>10708</v>
      </c>
      <c r="B101" s="10" t="str">
        <f>VLOOKUP(A101,Sheet3!$A$51:$E$230,5,FALSE)</f>
        <v>防御|百分比</v>
      </c>
      <c r="C101" s="19" t="str">
        <f t="shared" si="20"/>
        <v>40708,45708</v>
      </c>
      <c r="D101" s="10" t="s">
        <v>67</v>
      </c>
      <c r="E101" s="21" t="str">
        <f t="shared" si="21"/>
        <v>防御</v>
      </c>
      <c r="F101" s="21" t="str">
        <f t="shared" si="22"/>
        <v>百分比</v>
      </c>
      <c r="G101" s="1">
        <f t="shared" si="23"/>
        <v>40708</v>
      </c>
      <c r="H101" s="38" t="str">
        <f t="shared" si="16"/>
        <v>进阶+8：防御提高10%</v>
      </c>
      <c r="I101" s="1">
        <f t="shared" si="17"/>
        <v>1</v>
      </c>
      <c r="J101" s="1">
        <f>VLOOKUP(E101,Sheet3!$I$57:$J$65,2,FALSE)</f>
        <v>4</v>
      </c>
      <c r="K101" s="1">
        <f>VLOOKUP(A101,Sheet3!$A$51:$E$230,4,FALSE)</f>
        <v>0.1</v>
      </c>
      <c r="L101" s="1">
        <f t="shared" si="18"/>
        <v>1</v>
      </c>
      <c r="M101" s="1">
        <f t="shared" si="19"/>
        <v>5</v>
      </c>
    </row>
    <row r="102" spans="1:13">
      <c r="A102" s="10">
        <v>10709</v>
      </c>
      <c r="B102" s="10" t="str">
        <f>VLOOKUP(A102,Sheet3!$A$51:$E$230,5,FALSE)</f>
        <v>生命|光环数值</v>
      </c>
      <c r="C102" s="19">
        <f t="shared" si="20"/>
        <v>40709</v>
      </c>
      <c r="D102" s="10" t="s">
        <v>67</v>
      </c>
      <c r="E102" s="21" t="str">
        <f t="shared" si="21"/>
        <v>生命</v>
      </c>
      <c r="F102" s="21" t="str">
        <f t="shared" si="22"/>
        <v>光环数值</v>
      </c>
      <c r="G102" s="1">
        <f t="shared" si="23"/>
        <v>40709</v>
      </c>
      <c r="H102" s="38" t="str">
        <f t="shared" si="16"/>
        <v>进阶+9：全体生命提高30000</v>
      </c>
      <c r="I102" s="1">
        <f t="shared" si="17"/>
        <v>2</v>
      </c>
      <c r="J102" s="1">
        <f>VLOOKUP(E102,Sheet3!$I$57:$J$65,2,FALSE)</f>
        <v>1</v>
      </c>
      <c r="K102" s="1">
        <f>VLOOKUP(A102,Sheet3!$A$51:$E$230,4,FALSE)</f>
        <v>29999.999999999996</v>
      </c>
      <c r="L102" s="1">
        <f t="shared" si="18"/>
        <v>0</v>
      </c>
      <c r="M102" s="1">
        <f t="shared" si="19"/>
        <v>1</v>
      </c>
    </row>
    <row r="103" spans="1:13">
      <c r="A103" s="10">
        <v>10710</v>
      </c>
      <c r="B103" s="10" t="str">
        <f>VLOOKUP(A103,Sheet3!$A$51:$E$230,5,FALSE)</f>
        <v>生命|百分比</v>
      </c>
      <c r="C103" s="19">
        <f t="shared" si="20"/>
        <v>40710</v>
      </c>
      <c r="D103" s="10" t="s">
        <v>67</v>
      </c>
      <c r="E103" s="21" t="str">
        <f t="shared" si="21"/>
        <v>生命</v>
      </c>
      <c r="F103" s="21" t="str">
        <f t="shared" si="22"/>
        <v>百分比</v>
      </c>
      <c r="G103" s="1">
        <f t="shared" si="23"/>
        <v>40710</v>
      </c>
      <c r="H103" s="38" t="str">
        <f t="shared" si="16"/>
        <v>进阶+10：生命提高15%</v>
      </c>
      <c r="I103" s="1">
        <f t="shared" si="17"/>
        <v>1</v>
      </c>
      <c r="J103" s="1">
        <f>VLOOKUP(E103,Sheet3!$I$57:$J$65,2,FALSE)</f>
        <v>1</v>
      </c>
      <c r="K103" s="1">
        <f>VLOOKUP(A103,Sheet3!$A$51:$E$230,4,FALSE)</f>
        <v>0.15</v>
      </c>
      <c r="L103" s="1">
        <f t="shared" si="18"/>
        <v>1</v>
      </c>
      <c r="M103" s="1">
        <f t="shared" si="19"/>
        <v>5</v>
      </c>
    </row>
    <row r="104" spans="1:13">
      <c r="A104" s="10">
        <v>10711</v>
      </c>
      <c r="B104" s="10" t="str">
        <f>VLOOKUP(A104,Sheet3!$A$51:$E$230,5,FALSE)</f>
        <v>攻击|光环数值</v>
      </c>
      <c r="C104" s="19">
        <f t="shared" si="20"/>
        <v>40711</v>
      </c>
      <c r="D104" s="10" t="s">
        <v>67</v>
      </c>
      <c r="E104" s="21" t="str">
        <f t="shared" si="21"/>
        <v>攻击</v>
      </c>
      <c r="F104" s="21" t="str">
        <f t="shared" si="22"/>
        <v>光环数值</v>
      </c>
      <c r="G104" s="1">
        <f t="shared" si="23"/>
        <v>40711</v>
      </c>
      <c r="H104" s="38" t="str">
        <f t="shared" si="16"/>
        <v>进阶+11：全体攻击提高600</v>
      </c>
      <c r="I104" s="1">
        <f t="shared" si="17"/>
        <v>2</v>
      </c>
      <c r="J104" s="1">
        <f>VLOOKUP(E104,Sheet3!$I$57:$J$65,2,FALSE)</f>
        <v>3</v>
      </c>
      <c r="K104" s="1">
        <f>VLOOKUP(A104,Sheet3!$A$51:$E$230,4,FALSE)</f>
        <v>600</v>
      </c>
      <c r="L104" s="1">
        <f t="shared" si="18"/>
        <v>0</v>
      </c>
      <c r="M104" s="1">
        <f t="shared" si="19"/>
        <v>1</v>
      </c>
    </row>
    <row r="105" spans="1:13">
      <c r="A105" s="10">
        <v>10712</v>
      </c>
      <c r="B105" s="10" t="str">
        <f>VLOOKUP(A105,Sheet3!$A$51:$E$230,5,FALSE)</f>
        <v>攻击|百分比</v>
      </c>
      <c r="C105" s="19">
        <f t="shared" si="20"/>
        <v>40712</v>
      </c>
      <c r="D105" s="10" t="s">
        <v>67</v>
      </c>
      <c r="E105" s="21" t="str">
        <f t="shared" si="21"/>
        <v>攻击</v>
      </c>
      <c r="F105" s="21" t="str">
        <f t="shared" si="22"/>
        <v>百分比</v>
      </c>
      <c r="G105" s="1">
        <f t="shared" si="23"/>
        <v>40712</v>
      </c>
      <c r="H105" s="38" t="str">
        <f t="shared" si="16"/>
        <v>进阶+12：攻击提高15%</v>
      </c>
      <c r="I105" s="1">
        <f t="shared" si="17"/>
        <v>1</v>
      </c>
      <c r="J105" s="1">
        <f>VLOOKUP(E105,Sheet3!$I$57:$J$65,2,FALSE)</f>
        <v>3</v>
      </c>
      <c r="K105" s="1">
        <f>VLOOKUP(A105,Sheet3!$A$51:$E$230,4,FALSE)</f>
        <v>0.15</v>
      </c>
      <c r="L105" s="1">
        <f t="shared" si="18"/>
        <v>1</v>
      </c>
      <c r="M105" s="1">
        <f t="shared" si="19"/>
        <v>5</v>
      </c>
    </row>
    <row r="106" spans="1:13">
      <c r="A106" s="10">
        <v>10713</v>
      </c>
      <c r="B106" s="10" t="str">
        <f>VLOOKUP(A106,Sheet3!$A$51:$E$230,5,FALSE)</f>
        <v>防御|百分比</v>
      </c>
      <c r="C106" s="19" t="str">
        <f t="shared" si="20"/>
        <v>40713,45713</v>
      </c>
      <c r="D106" s="10" t="s">
        <v>67</v>
      </c>
      <c r="E106" s="21" t="str">
        <f t="shared" si="21"/>
        <v>防御</v>
      </c>
      <c r="F106" s="21" t="str">
        <f t="shared" si="22"/>
        <v>百分比</v>
      </c>
      <c r="G106" s="1">
        <f t="shared" si="23"/>
        <v>40713</v>
      </c>
      <c r="H106" s="38" t="str">
        <f t="shared" si="16"/>
        <v>进阶+13：防御提高20%</v>
      </c>
      <c r="I106" s="1">
        <f t="shared" si="17"/>
        <v>1</v>
      </c>
      <c r="J106" s="1">
        <f>VLOOKUP(E106,Sheet3!$I$57:$J$65,2,FALSE)</f>
        <v>4</v>
      </c>
      <c r="K106" s="1">
        <f>VLOOKUP(A106,Sheet3!$A$51:$E$230,4,FALSE)</f>
        <v>0.2</v>
      </c>
      <c r="L106" s="1">
        <f t="shared" si="18"/>
        <v>1</v>
      </c>
      <c r="M106" s="1">
        <f t="shared" si="19"/>
        <v>5</v>
      </c>
    </row>
    <row r="107" spans="1:13">
      <c r="A107" s="10">
        <v>10714</v>
      </c>
      <c r="B107" s="10" t="str">
        <f>VLOOKUP(A107,Sheet3!$A$51:$E$230,5,FALSE)</f>
        <v>生命|百分比</v>
      </c>
      <c r="C107" s="19">
        <f t="shared" si="20"/>
        <v>40714</v>
      </c>
      <c r="D107" s="10" t="s">
        <v>67</v>
      </c>
      <c r="E107" s="21" t="str">
        <f t="shared" si="21"/>
        <v>生命</v>
      </c>
      <c r="F107" s="21" t="str">
        <f t="shared" si="22"/>
        <v>百分比</v>
      </c>
      <c r="G107" s="1">
        <f t="shared" si="23"/>
        <v>40714</v>
      </c>
      <c r="H107" s="38" t="str">
        <f t="shared" si="16"/>
        <v>进阶+14：生命提高25%</v>
      </c>
      <c r="I107" s="1">
        <f t="shared" si="17"/>
        <v>1</v>
      </c>
      <c r="J107" s="1">
        <f>VLOOKUP(E107,Sheet3!$I$57:$J$65,2,FALSE)</f>
        <v>1</v>
      </c>
      <c r="K107" s="1">
        <f>VLOOKUP(A107,Sheet3!$A$51:$E$230,4,FALSE)</f>
        <v>0.25</v>
      </c>
      <c r="L107" s="1">
        <f t="shared" si="18"/>
        <v>1</v>
      </c>
      <c r="M107" s="1">
        <f t="shared" si="19"/>
        <v>5</v>
      </c>
    </row>
    <row r="108" spans="1:13">
      <c r="A108" s="10">
        <v>10715</v>
      </c>
      <c r="B108" s="10" t="str">
        <f>VLOOKUP(A108,Sheet3!$A$51:$E$230,5,FALSE)</f>
        <v>攻击|百分比</v>
      </c>
      <c r="C108" s="19">
        <f t="shared" si="20"/>
        <v>40715</v>
      </c>
      <c r="D108" s="10" t="s">
        <v>67</v>
      </c>
      <c r="E108" s="21" t="str">
        <f t="shared" si="21"/>
        <v>攻击</v>
      </c>
      <c r="F108" s="21" t="str">
        <f t="shared" si="22"/>
        <v>百分比</v>
      </c>
      <c r="G108" s="1">
        <f t="shared" si="23"/>
        <v>40715</v>
      </c>
      <c r="H108" s="38" t="str">
        <f t="shared" si="16"/>
        <v>进阶+15：攻击提高25%</v>
      </c>
      <c r="I108" s="1">
        <f t="shared" si="17"/>
        <v>1</v>
      </c>
      <c r="J108" s="1">
        <f>VLOOKUP(E108,Sheet3!$I$57:$J$65,2,FALSE)</f>
        <v>3</v>
      </c>
      <c r="K108" s="1">
        <f>VLOOKUP(A108,Sheet3!$A$51:$E$230,4,FALSE)</f>
        <v>0.25</v>
      </c>
      <c r="L108" s="1">
        <f t="shared" si="18"/>
        <v>1</v>
      </c>
      <c r="M108" s="1">
        <f t="shared" si="19"/>
        <v>5</v>
      </c>
    </row>
    <row r="109" spans="1:13">
      <c r="A109" s="10">
        <v>10801</v>
      </c>
      <c r="B109" s="10" t="str">
        <f>VLOOKUP(A109,Sheet3!$A$51:$E$230,5,FALSE)</f>
        <v>防御|数值</v>
      </c>
      <c r="C109" s="19" t="str">
        <f t="shared" si="20"/>
        <v>40801,45801</v>
      </c>
      <c r="D109" s="10" t="s">
        <v>67</v>
      </c>
      <c r="E109" s="21" t="str">
        <f t="shared" si="21"/>
        <v>防御</v>
      </c>
      <c r="F109" s="21" t="str">
        <f t="shared" si="22"/>
        <v>数值</v>
      </c>
      <c r="G109" s="1">
        <f t="shared" si="23"/>
        <v>40801</v>
      </c>
      <c r="H109" s="38" t="str">
        <f t="shared" si="16"/>
        <v>进阶+1：防御提高100</v>
      </c>
      <c r="I109" s="1">
        <f t="shared" si="17"/>
        <v>1</v>
      </c>
      <c r="J109" s="1">
        <f>VLOOKUP(E109,Sheet3!$I$57:$J$65,2,FALSE)</f>
        <v>4</v>
      </c>
      <c r="K109" s="1">
        <f>VLOOKUP(A109,Sheet3!$A$51:$E$230,4,FALSE)</f>
        <v>100</v>
      </c>
      <c r="L109" s="1">
        <f t="shared" si="18"/>
        <v>0</v>
      </c>
      <c r="M109" s="1">
        <f t="shared" si="19"/>
        <v>1</v>
      </c>
    </row>
    <row r="110" spans="1:13">
      <c r="A110" s="10">
        <v>10802</v>
      </c>
      <c r="B110" s="10" t="str">
        <f>VLOOKUP(A110,Sheet3!$A$51:$E$230,5,FALSE)</f>
        <v>闪避率|百分比</v>
      </c>
      <c r="C110" s="19">
        <f t="shared" si="20"/>
        <v>40802</v>
      </c>
      <c r="D110" s="10" t="s">
        <v>67</v>
      </c>
      <c r="E110" s="21" t="str">
        <f t="shared" si="21"/>
        <v>闪避率</v>
      </c>
      <c r="F110" s="21" t="str">
        <f t="shared" si="22"/>
        <v>百分比</v>
      </c>
      <c r="G110" s="1">
        <f t="shared" si="23"/>
        <v>40802</v>
      </c>
      <c r="H110" s="38" t="str">
        <f t="shared" si="16"/>
        <v>进阶+2：闪避率提高5%</v>
      </c>
      <c r="I110" s="1">
        <f t="shared" si="17"/>
        <v>1</v>
      </c>
      <c r="J110" s="1">
        <f>VLOOKUP(E110,Sheet3!$I$57:$J$65,2,FALSE)</f>
        <v>7</v>
      </c>
      <c r="K110" s="1">
        <f>VLOOKUP(A110,Sheet3!$A$51:$E$230,4,FALSE)</f>
        <v>0.05</v>
      </c>
      <c r="L110" s="1">
        <f t="shared" si="18"/>
        <v>0</v>
      </c>
      <c r="M110" s="1">
        <f t="shared" si="19"/>
        <v>1</v>
      </c>
    </row>
    <row r="111" spans="1:13">
      <c r="A111" s="10">
        <v>10803</v>
      </c>
      <c r="B111" s="10" t="str">
        <f>VLOOKUP(A111,Sheet3!$A$51:$E$230,5,FALSE)</f>
        <v>生命|数值</v>
      </c>
      <c r="C111" s="19">
        <f t="shared" si="20"/>
        <v>40803</v>
      </c>
      <c r="D111" s="10" t="s">
        <v>67</v>
      </c>
      <c r="E111" s="21" t="str">
        <f t="shared" si="21"/>
        <v>生命</v>
      </c>
      <c r="F111" s="21" t="str">
        <f t="shared" si="22"/>
        <v>数值</v>
      </c>
      <c r="G111" s="1">
        <f t="shared" si="23"/>
        <v>40803</v>
      </c>
      <c r="H111" s="38" t="str">
        <f t="shared" si="16"/>
        <v>进阶+3：生命提高15000</v>
      </c>
      <c r="I111" s="1">
        <f t="shared" si="17"/>
        <v>1</v>
      </c>
      <c r="J111" s="1">
        <f>VLOOKUP(E111,Sheet3!$I$57:$J$65,2,FALSE)</f>
        <v>1</v>
      </c>
      <c r="K111" s="1">
        <f>VLOOKUP(A111,Sheet3!$A$51:$E$230,4,FALSE)</f>
        <v>14999.999999999998</v>
      </c>
      <c r="L111" s="1">
        <f t="shared" si="18"/>
        <v>0</v>
      </c>
      <c r="M111" s="1">
        <f t="shared" si="19"/>
        <v>1</v>
      </c>
    </row>
    <row r="112" spans="1:13">
      <c r="A112" s="10">
        <v>10804</v>
      </c>
      <c r="B112" s="10" t="str">
        <f>VLOOKUP(A112,Sheet3!$A$51:$E$230,5,FALSE)</f>
        <v>伤害减免|百分比</v>
      </c>
      <c r="C112" s="19">
        <f t="shared" si="20"/>
        <v>40804</v>
      </c>
      <c r="D112" s="10" t="s">
        <v>67</v>
      </c>
      <c r="E112" s="21" t="str">
        <f t="shared" si="21"/>
        <v>伤害减免</v>
      </c>
      <c r="F112" s="21" t="str">
        <f t="shared" si="22"/>
        <v>百分比</v>
      </c>
      <c r="G112" s="1">
        <f t="shared" si="23"/>
        <v>40804</v>
      </c>
      <c r="H112" s="38" t="str">
        <f t="shared" si="16"/>
        <v>进阶+4：伤害减免提高10%</v>
      </c>
      <c r="I112" s="1">
        <f t="shared" si="17"/>
        <v>1</v>
      </c>
      <c r="J112" s="1">
        <f>VLOOKUP(E112,Sheet3!$I$57:$J$65,2,FALSE)</f>
        <v>10</v>
      </c>
      <c r="K112" s="1">
        <f>VLOOKUP(A112,Sheet3!$A$51:$E$230,4,FALSE)</f>
        <v>0.1</v>
      </c>
      <c r="L112" s="1">
        <f t="shared" si="18"/>
        <v>0</v>
      </c>
      <c r="M112" s="1">
        <f t="shared" si="19"/>
        <v>1</v>
      </c>
    </row>
    <row r="113" spans="1:13">
      <c r="A113" s="10">
        <v>10805</v>
      </c>
      <c r="B113" s="10" t="str">
        <f>VLOOKUP(A113,Sheet3!$A$51:$E$230,5,FALSE)</f>
        <v>攻击|数值</v>
      </c>
      <c r="C113" s="19">
        <f t="shared" si="20"/>
        <v>40805</v>
      </c>
      <c r="D113" s="10" t="s">
        <v>67</v>
      </c>
      <c r="E113" s="21" t="str">
        <f t="shared" si="21"/>
        <v>攻击</v>
      </c>
      <c r="F113" s="21" t="str">
        <f t="shared" si="22"/>
        <v>数值</v>
      </c>
      <c r="G113" s="1">
        <f t="shared" si="23"/>
        <v>40805</v>
      </c>
      <c r="H113" s="38" t="str">
        <f t="shared" si="16"/>
        <v>进阶+5：攻击提高300</v>
      </c>
      <c r="I113" s="1">
        <f t="shared" si="17"/>
        <v>1</v>
      </c>
      <c r="J113" s="1">
        <f>VLOOKUP(E113,Sheet3!$I$57:$J$65,2,FALSE)</f>
        <v>3</v>
      </c>
      <c r="K113" s="1">
        <f>VLOOKUP(A113,Sheet3!$A$51:$E$230,4,FALSE)</f>
        <v>300</v>
      </c>
      <c r="L113" s="1">
        <f t="shared" si="18"/>
        <v>0</v>
      </c>
      <c r="M113" s="1">
        <f t="shared" si="19"/>
        <v>1</v>
      </c>
    </row>
    <row r="114" spans="1:13">
      <c r="A114" s="10">
        <v>10806</v>
      </c>
      <c r="B114" s="10" t="str">
        <f>VLOOKUP(A114,Sheet3!$A$51:$E$230,5,FALSE)</f>
        <v>抗暴率|光环百分比</v>
      </c>
      <c r="C114" s="19">
        <f t="shared" si="20"/>
        <v>40806</v>
      </c>
      <c r="D114" s="10" t="s">
        <v>67</v>
      </c>
      <c r="E114" s="21" t="str">
        <f t="shared" si="21"/>
        <v>抗暴率</v>
      </c>
      <c r="F114" s="21" t="str">
        <f t="shared" si="22"/>
        <v>光环百分比</v>
      </c>
      <c r="G114" s="1">
        <f t="shared" si="23"/>
        <v>40806</v>
      </c>
      <c r="H114" s="38" t="str">
        <f t="shared" si="16"/>
        <v>进阶+6：全体抗暴率提高16%</v>
      </c>
      <c r="I114" s="1">
        <f t="shared" si="17"/>
        <v>2</v>
      </c>
      <c r="J114" s="1">
        <f>VLOOKUP(E114,Sheet3!$I$57:$J$65,2,FALSE)</f>
        <v>9</v>
      </c>
      <c r="K114" s="1">
        <f>VLOOKUP(A114,Sheet3!$A$51:$E$230,4,FALSE)</f>
        <v>0.16</v>
      </c>
      <c r="L114" s="1">
        <f t="shared" si="18"/>
        <v>0</v>
      </c>
      <c r="M114" s="1">
        <f t="shared" si="19"/>
        <v>1</v>
      </c>
    </row>
    <row r="115" spans="1:13">
      <c r="A115" s="10">
        <v>10807</v>
      </c>
      <c r="B115" s="10" t="str">
        <f>VLOOKUP(A115,Sheet3!$A$51:$E$230,5,FALSE)</f>
        <v>防御|光环数值</v>
      </c>
      <c r="C115" s="19" t="str">
        <f t="shared" si="20"/>
        <v>40807,45807</v>
      </c>
      <c r="D115" s="10" t="s">
        <v>67</v>
      </c>
      <c r="E115" s="21" t="str">
        <f t="shared" si="21"/>
        <v>防御</v>
      </c>
      <c r="F115" s="21" t="str">
        <f t="shared" si="22"/>
        <v>光环数值</v>
      </c>
      <c r="G115" s="1">
        <f t="shared" si="23"/>
        <v>40807</v>
      </c>
      <c r="H115" s="38" t="str">
        <f t="shared" si="16"/>
        <v>进阶+7：全体防御提高400</v>
      </c>
      <c r="I115" s="1">
        <f t="shared" si="17"/>
        <v>2</v>
      </c>
      <c r="J115" s="1">
        <f>VLOOKUP(E115,Sheet3!$I$57:$J$65,2,FALSE)</f>
        <v>4</v>
      </c>
      <c r="K115" s="1">
        <f>VLOOKUP(A115,Sheet3!$A$51:$E$230,4,FALSE)</f>
        <v>400</v>
      </c>
      <c r="L115" s="1">
        <f t="shared" si="18"/>
        <v>0</v>
      </c>
      <c r="M115" s="1">
        <f t="shared" si="19"/>
        <v>1</v>
      </c>
    </row>
    <row r="116" spans="1:13">
      <c r="A116" s="10">
        <v>10808</v>
      </c>
      <c r="B116" s="10" t="str">
        <f>VLOOKUP(A116,Sheet3!$A$51:$E$230,5,FALSE)</f>
        <v>防御|百分比</v>
      </c>
      <c r="C116" s="19" t="str">
        <f t="shared" si="20"/>
        <v>40808,45808</v>
      </c>
      <c r="D116" s="10" t="s">
        <v>67</v>
      </c>
      <c r="E116" s="21" t="str">
        <f t="shared" si="21"/>
        <v>防御</v>
      </c>
      <c r="F116" s="21" t="str">
        <f t="shared" si="22"/>
        <v>百分比</v>
      </c>
      <c r="G116" s="1">
        <f t="shared" si="23"/>
        <v>40808</v>
      </c>
      <c r="H116" s="38" t="str">
        <f t="shared" si="16"/>
        <v>进阶+8：防御提高10%</v>
      </c>
      <c r="I116" s="1">
        <f t="shared" si="17"/>
        <v>1</v>
      </c>
      <c r="J116" s="1">
        <f>VLOOKUP(E116,Sheet3!$I$57:$J$65,2,FALSE)</f>
        <v>4</v>
      </c>
      <c r="K116" s="1">
        <f>VLOOKUP(A116,Sheet3!$A$51:$E$230,4,FALSE)</f>
        <v>0.1</v>
      </c>
      <c r="L116" s="1">
        <f t="shared" si="18"/>
        <v>1</v>
      </c>
      <c r="M116" s="1">
        <f t="shared" si="19"/>
        <v>5</v>
      </c>
    </row>
    <row r="117" spans="1:13">
      <c r="A117" s="10">
        <v>10809</v>
      </c>
      <c r="B117" s="10" t="str">
        <f>VLOOKUP(A117,Sheet3!$A$51:$E$230,5,FALSE)</f>
        <v>生命|光环数值</v>
      </c>
      <c r="C117" s="19">
        <f t="shared" si="20"/>
        <v>40809</v>
      </c>
      <c r="D117" s="10" t="s">
        <v>67</v>
      </c>
      <c r="E117" s="21" t="str">
        <f t="shared" si="21"/>
        <v>生命</v>
      </c>
      <c r="F117" s="21" t="str">
        <f t="shared" si="22"/>
        <v>光环数值</v>
      </c>
      <c r="G117" s="1">
        <f t="shared" si="23"/>
        <v>40809</v>
      </c>
      <c r="H117" s="38" t="str">
        <f t="shared" si="16"/>
        <v>进阶+9：全体生命提高30000</v>
      </c>
      <c r="I117" s="1">
        <f t="shared" si="17"/>
        <v>2</v>
      </c>
      <c r="J117" s="1">
        <f>VLOOKUP(E117,Sheet3!$I$57:$J$65,2,FALSE)</f>
        <v>1</v>
      </c>
      <c r="K117" s="1">
        <f>VLOOKUP(A117,Sheet3!$A$51:$E$230,4,FALSE)</f>
        <v>29999.999999999996</v>
      </c>
      <c r="L117" s="1">
        <f t="shared" si="18"/>
        <v>0</v>
      </c>
      <c r="M117" s="1">
        <f t="shared" si="19"/>
        <v>1</v>
      </c>
    </row>
    <row r="118" spans="1:13">
      <c r="A118" s="10">
        <v>10810</v>
      </c>
      <c r="B118" s="10" t="str">
        <f>VLOOKUP(A118,Sheet3!$A$51:$E$230,5,FALSE)</f>
        <v>生命|百分比</v>
      </c>
      <c r="C118" s="19">
        <f t="shared" si="20"/>
        <v>40810</v>
      </c>
      <c r="D118" s="10" t="s">
        <v>67</v>
      </c>
      <c r="E118" s="21" t="str">
        <f t="shared" si="21"/>
        <v>生命</v>
      </c>
      <c r="F118" s="21" t="str">
        <f t="shared" si="22"/>
        <v>百分比</v>
      </c>
      <c r="G118" s="1">
        <f t="shared" si="23"/>
        <v>40810</v>
      </c>
      <c r="H118" s="38" t="str">
        <f t="shared" si="16"/>
        <v>进阶+10：生命提高15%</v>
      </c>
      <c r="I118" s="1">
        <f t="shared" si="17"/>
        <v>1</v>
      </c>
      <c r="J118" s="1">
        <f>VLOOKUP(E118,Sheet3!$I$57:$J$65,2,FALSE)</f>
        <v>1</v>
      </c>
      <c r="K118" s="1">
        <f>VLOOKUP(A118,Sheet3!$A$51:$E$230,4,FALSE)</f>
        <v>0.15</v>
      </c>
      <c r="L118" s="1">
        <f t="shared" si="18"/>
        <v>1</v>
      </c>
      <c r="M118" s="1">
        <f t="shared" si="19"/>
        <v>5</v>
      </c>
    </row>
    <row r="119" spans="1:13">
      <c r="A119" s="10">
        <v>10811</v>
      </c>
      <c r="B119" s="10" t="str">
        <f>VLOOKUP(A119,Sheet3!$A$51:$E$230,5,FALSE)</f>
        <v>攻击|光环数值</v>
      </c>
      <c r="C119" s="19">
        <f t="shared" si="20"/>
        <v>40811</v>
      </c>
      <c r="D119" s="10" t="s">
        <v>67</v>
      </c>
      <c r="E119" s="21" t="str">
        <f t="shared" si="21"/>
        <v>攻击</v>
      </c>
      <c r="F119" s="21" t="str">
        <f t="shared" si="22"/>
        <v>光环数值</v>
      </c>
      <c r="G119" s="1">
        <f t="shared" si="23"/>
        <v>40811</v>
      </c>
      <c r="H119" s="38" t="str">
        <f t="shared" si="16"/>
        <v>进阶+11：全体攻击提高600</v>
      </c>
      <c r="I119" s="1">
        <f t="shared" si="17"/>
        <v>2</v>
      </c>
      <c r="J119" s="1">
        <f>VLOOKUP(E119,Sheet3!$I$57:$J$65,2,FALSE)</f>
        <v>3</v>
      </c>
      <c r="K119" s="1">
        <f>VLOOKUP(A119,Sheet3!$A$51:$E$230,4,FALSE)</f>
        <v>600</v>
      </c>
      <c r="L119" s="1">
        <f t="shared" si="18"/>
        <v>0</v>
      </c>
      <c r="M119" s="1">
        <f t="shared" si="19"/>
        <v>1</v>
      </c>
    </row>
    <row r="120" spans="1:13">
      <c r="A120" s="10">
        <v>10812</v>
      </c>
      <c r="B120" s="10" t="str">
        <f>VLOOKUP(A120,Sheet3!$A$51:$E$230,5,FALSE)</f>
        <v>攻击|百分比</v>
      </c>
      <c r="C120" s="19">
        <f t="shared" si="20"/>
        <v>40812</v>
      </c>
      <c r="D120" s="10" t="s">
        <v>67</v>
      </c>
      <c r="E120" s="21" t="str">
        <f t="shared" si="21"/>
        <v>攻击</v>
      </c>
      <c r="F120" s="21" t="str">
        <f t="shared" si="22"/>
        <v>百分比</v>
      </c>
      <c r="G120" s="1">
        <f t="shared" si="23"/>
        <v>40812</v>
      </c>
      <c r="H120" s="38" t="str">
        <f t="shared" si="16"/>
        <v>进阶+12：攻击提高15%</v>
      </c>
      <c r="I120" s="1">
        <f t="shared" si="17"/>
        <v>1</v>
      </c>
      <c r="J120" s="1">
        <f>VLOOKUP(E120,Sheet3!$I$57:$J$65,2,FALSE)</f>
        <v>3</v>
      </c>
      <c r="K120" s="1">
        <f>VLOOKUP(A120,Sheet3!$A$51:$E$230,4,FALSE)</f>
        <v>0.15</v>
      </c>
      <c r="L120" s="1">
        <f t="shared" si="18"/>
        <v>1</v>
      </c>
      <c r="M120" s="1">
        <f t="shared" si="19"/>
        <v>5</v>
      </c>
    </row>
    <row r="121" spans="1:13">
      <c r="A121" s="10">
        <v>10813</v>
      </c>
      <c r="B121" s="10" t="str">
        <f>VLOOKUP(A121,Sheet3!$A$51:$E$230,5,FALSE)</f>
        <v>防御|百分比</v>
      </c>
      <c r="C121" s="19" t="str">
        <f t="shared" si="20"/>
        <v>40813,45813</v>
      </c>
      <c r="D121" s="10" t="s">
        <v>67</v>
      </c>
      <c r="E121" s="21" t="str">
        <f t="shared" si="21"/>
        <v>防御</v>
      </c>
      <c r="F121" s="21" t="str">
        <f t="shared" si="22"/>
        <v>百分比</v>
      </c>
      <c r="G121" s="1">
        <f t="shared" si="23"/>
        <v>40813</v>
      </c>
      <c r="H121" s="38" t="str">
        <f t="shared" si="16"/>
        <v>进阶+13：防御提高20%</v>
      </c>
      <c r="I121" s="1">
        <f t="shared" si="17"/>
        <v>1</v>
      </c>
      <c r="J121" s="1">
        <f>VLOOKUP(E121,Sheet3!$I$57:$J$65,2,FALSE)</f>
        <v>4</v>
      </c>
      <c r="K121" s="1">
        <f>VLOOKUP(A121,Sheet3!$A$51:$E$230,4,FALSE)</f>
        <v>0.2</v>
      </c>
      <c r="L121" s="1">
        <f t="shared" si="18"/>
        <v>1</v>
      </c>
      <c r="M121" s="1">
        <f t="shared" si="19"/>
        <v>5</v>
      </c>
    </row>
    <row r="122" spans="1:13">
      <c r="A122" s="10">
        <v>10814</v>
      </c>
      <c r="B122" s="10" t="str">
        <f>VLOOKUP(A122,Sheet3!$A$51:$E$230,5,FALSE)</f>
        <v>生命|百分比</v>
      </c>
      <c r="C122" s="19">
        <f t="shared" si="20"/>
        <v>40814</v>
      </c>
      <c r="D122" s="10" t="s">
        <v>67</v>
      </c>
      <c r="E122" s="21" t="str">
        <f t="shared" si="21"/>
        <v>生命</v>
      </c>
      <c r="F122" s="21" t="str">
        <f t="shared" si="22"/>
        <v>百分比</v>
      </c>
      <c r="G122" s="1">
        <f t="shared" si="23"/>
        <v>40814</v>
      </c>
      <c r="H122" s="38" t="str">
        <f t="shared" si="16"/>
        <v>进阶+14：生命提高25%</v>
      </c>
      <c r="I122" s="1">
        <f t="shared" si="17"/>
        <v>1</v>
      </c>
      <c r="J122" s="1">
        <f>VLOOKUP(E122,Sheet3!$I$57:$J$65,2,FALSE)</f>
        <v>1</v>
      </c>
      <c r="K122" s="1">
        <f>VLOOKUP(A122,Sheet3!$A$51:$E$230,4,FALSE)</f>
        <v>0.25</v>
      </c>
      <c r="L122" s="1">
        <f t="shared" si="18"/>
        <v>1</v>
      </c>
      <c r="M122" s="1">
        <f t="shared" si="19"/>
        <v>5</v>
      </c>
    </row>
    <row r="123" spans="1:13">
      <c r="A123" s="10">
        <v>10815</v>
      </c>
      <c r="B123" s="10" t="str">
        <f>VLOOKUP(A123,Sheet3!$A$51:$E$230,5,FALSE)</f>
        <v>攻击|百分比</v>
      </c>
      <c r="C123" s="19">
        <f t="shared" si="20"/>
        <v>40815</v>
      </c>
      <c r="D123" s="10" t="s">
        <v>67</v>
      </c>
      <c r="E123" s="21" t="str">
        <f t="shared" si="21"/>
        <v>攻击</v>
      </c>
      <c r="F123" s="21" t="str">
        <f t="shared" si="22"/>
        <v>百分比</v>
      </c>
      <c r="G123" s="1">
        <f t="shared" si="23"/>
        <v>40815</v>
      </c>
      <c r="H123" s="38" t="str">
        <f t="shared" si="16"/>
        <v>进阶+15：攻击提高25%</v>
      </c>
      <c r="I123" s="1">
        <f t="shared" si="17"/>
        <v>1</v>
      </c>
      <c r="J123" s="1">
        <f>VLOOKUP(E123,Sheet3!$I$57:$J$65,2,FALSE)</f>
        <v>3</v>
      </c>
      <c r="K123" s="1">
        <f>VLOOKUP(A123,Sheet3!$A$51:$E$230,4,FALSE)</f>
        <v>0.25</v>
      </c>
      <c r="L123" s="1">
        <f t="shared" si="18"/>
        <v>1</v>
      </c>
      <c r="M123" s="1">
        <f t="shared" si="19"/>
        <v>5</v>
      </c>
    </row>
    <row r="124" spans="1:13">
      <c r="A124" s="10">
        <v>10901</v>
      </c>
      <c r="B124" s="10" t="str">
        <f>VLOOKUP(A124,Sheet3!$A$51:$E$230,5,FALSE)</f>
        <v>防御|数值</v>
      </c>
      <c r="C124" s="19" t="str">
        <f t="shared" si="20"/>
        <v>40901,45901</v>
      </c>
      <c r="D124" s="10" t="s">
        <v>67</v>
      </c>
      <c r="E124" s="21" t="str">
        <f t="shared" si="21"/>
        <v>防御</v>
      </c>
      <c r="F124" s="21" t="str">
        <f t="shared" si="22"/>
        <v>数值</v>
      </c>
      <c r="G124" s="1">
        <f t="shared" si="23"/>
        <v>40901</v>
      </c>
      <c r="H124" s="38" t="str">
        <f t="shared" si="16"/>
        <v>进阶+1：防御提高100</v>
      </c>
      <c r="I124" s="1">
        <f t="shared" si="17"/>
        <v>1</v>
      </c>
      <c r="J124" s="1">
        <f>VLOOKUP(E124,Sheet3!$I$57:$J$65,2,FALSE)</f>
        <v>4</v>
      </c>
      <c r="K124" s="1">
        <f>VLOOKUP(A124,Sheet3!$A$51:$E$230,4,FALSE)</f>
        <v>100</v>
      </c>
      <c r="L124" s="1">
        <f t="shared" si="18"/>
        <v>0</v>
      </c>
      <c r="M124" s="1">
        <f t="shared" si="19"/>
        <v>1</v>
      </c>
    </row>
    <row r="125" spans="1:13">
      <c r="A125" s="10">
        <v>10902</v>
      </c>
      <c r="B125" s="10" t="str">
        <f>VLOOKUP(A125,Sheet3!$A$51:$E$230,5,FALSE)</f>
        <v>闪避率|百分比</v>
      </c>
      <c r="C125" s="19">
        <f t="shared" si="20"/>
        <v>40902</v>
      </c>
      <c r="D125" s="10" t="s">
        <v>67</v>
      </c>
      <c r="E125" s="21" t="str">
        <f t="shared" si="21"/>
        <v>闪避率</v>
      </c>
      <c r="F125" s="21" t="str">
        <f t="shared" si="22"/>
        <v>百分比</v>
      </c>
      <c r="G125" s="1">
        <f t="shared" si="23"/>
        <v>40902</v>
      </c>
      <c r="H125" s="38" t="str">
        <f t="shared" si="16"/>
        <v>进阶+2：闪避率提高5%</v>
      </c>
      <c r="I125" s="1">
        <f t="shared" si="17"/>
        <v>1</v>
      </c>
      <c r="J125" s="1">
        <f>VLOOKUP(E125,Sheet3!$I$57:$J$65,2,FALSE)</f>
        <v>7</v>
      </c>
      <c r="K125" s="1">
        <f>VLOOKUP(A125,Sheet3!$A$51:$E$230,4,FALSE)</f>
        <v>0.05</v>
      </c>
      <c r="L125" s="1">
        <f t="shared" si="18"/>
        <v>0</v>
      </c>
      <c r="M125" s="1">
        <f t="shared" si="19"/>
        <v>1</v>
      </c>
    </row>
    <row r="126" spans="1:13">
      <c r="A126" s="10">
        <v>10903</v>
      </c>
      <c r="B126" s="10" t="str">
        <f>VLOOKUP(A126,Sheet3!$A$51:$E$230,5,FALSE)</f>
        <v>生命|数值</v>
      </c>
      <c r="C126" s="19">
        <f t="shared" si="20"/>
        <v>40903</v>
      </c>
      <c r="D126" s="10" t="s">
        <v>67</v>
      </c>
      <c r="E126" s="21" t="str">
        <f t="shared" si="21"/>
        <v>生命</v>
      </c>
      <c r="F126" s="21" t="str">
        <f t="shared" si="22"/>
        <v>数值</v>
      </c>
      <c r="G126" s="1">
        <f t="shared" si="23"/>
        <v>40903</v>
      </c>
      <c r="H126" s="38" t="str">
        <f t="shared" si="16"/>
        <v>进阶+3：生命提高15000</v>
      </c>
      <c r="I126" s="1">
        <f t="shared" si="17"/>
        <v>1</v>
      </c>
      <c r="J126" s="1">
        <f>VLOOKUP(E126,Sheet3!$I$57:$J$65,2,FALSE)</f>
        <v>1</v>
      </c>
      <c r="K126" s="1">
        <f>VLOOKUP(A126,Sheet3!$A$51:$E$230,4,FALSE)</f>
        <v>14999.999999999998</v>
      </c>
      <c r="L126" s="1">
        <f t="shared" si="18"/>
        <v>0</v>
      </c>
      <c r="M126" s="1">
        <f t="shared" si="19"/>
        <v>1</v>
      </c>
    </row>
    <row r="127" spans="1:13">
      <c r="A127" s="10">
        <v>10904</v>
      </c>
      <c r="B127" s="10" t="str">
        <f>VLOOKUP(A127,Sheet3!$A$51:$E$230,5,FALSE)</f>
        <v>抗暴率|百分比</v>
      </c>
      <c r="C127" s="19">
        <f t="shared" si="20"/>
        <v>40904</v>
      </c>
      <c r="D127" s="10" t="s">
        <v>67</v>
      </c>
      <c r="E127" s="21" t="str">
        <f t="shared" si="21"/>
        <v>抗暴率</v>
      </c>
      <c r="F127" s="21" t="str">
        <f t="shared" si="22"/>
        <v>百分比</v>
      </c>
      <c r="G127" s="1">
        <f t="shared" si="23"/>
        <v>40904</v>
      </c>
      <c r="H127" s="38" t="str">
        <f t="shared" si="16"/>
        <v>进阶+4：抗暴率提高20%</v>
      </c>
      <c r="I127" s="1">
        <f t="shared" si="17"/>
        <v>1</v>
      </c>
      <c r="J127" s="1">
        <f>VLOOKUP(E127,Sheet3!$I$57:$J$65,2,FALSE)</f>
        <v>9</v>
      </c>
      <c r="K127" s="1">
        <f>VLOOKUP(A127,Sheet3!$A$51:$E$230,4,FALSE)</f>
        <v>0.2</v>
      </c>
      <c r="L127" s="1">
        <f t="shared" si="18"/>
        <v>0</v>
      </c>
      <c r="M127" s="1">
        <f t="shared" si="19"/>
        <v>1</v>
      </c>
    </row>
    <row r="128" spans="1:13">
      <c r="A128" s="10">
        <v>10905</v>
      </c>
      <c r="B128" s="10" t="str">
        <f>VLOOKUP(A128,Sheet3!$A$51:$E$230,5,FALSE)</f>
        <v>攻击|数值</v>
      </c>
      <c r="C128" s="19">
        <f t="shared" si="20"/>
        <v>40905</v>
      </c>
      <c r="D128" s="10" t="s">
        <v>67</v>
      </c>
      <c r="E128" s="21" t="str">
        <f t="shared" si="21"/>
        <v>攻击</v>
      </c>
      <c r="F128" s="21" t="str">
        <f t="shared" si="22"/>
        <v>数值</v>
      </c>
      <c r="G128" s="1">
        <f t="shared" si="23"/>
        <v>40905</v>
      </c>
      <c r="H128" s="38" t="str">
        <f t="shared" si="16"/>
        <v>进阶+5：攻击提高300</v>
      </c>
      <c r="I128" s="1">
        <f t="shared" si="17"/>
        <v>1</v>
      </c>
      <c r="J128" s="1">
        <f>VLOOKUP(E128,Sheet3!$I$57:$J$65,2,FALSE)</f>
        <v>3</v>
      </c>
      <c r="K128" s="1">
        <f>VLOOKUP(A128,Sheet3!$A$51:$E$230,4,FALSE)</f>
        <v>300</v>
      </c>
      <c r="L128" s="1">
        <f t="shared" si="18"/>
        <v>0</v>
      </c>
      <c r="M128" s="1">
        <f t="shared" si="19"/>
        <v>1</v>
      </c>
    </row>
    <row r="129" spans="1:13">
      <c r="A129" s="10">
        <v>10906</v>
      </c>
      <c r="B129" s="10" t="str">
        <f>VLOOKUP(A129,Sheet3!$A$51:$E$230,5,FALSE)</f>
        <v>伤害减免|光环百分比</v>
      </c>
      <c r="C129" s="19">
        <f t="shared" si="20"/>
        <v>40906</v>
      </c>
      <c r="D129" s="10" t="s">
        <v>67</v>
      </c>
      <c r="E129" s="21" t="str">
        <f t="shared" si="21"/>
        <v>伤害减免</v>
      </c>
      <c r="F129" s="21" t="str">
        <f t="shared" si="22"/>
        <v>光环百分比</v>
      </c>
      <c r="G129" s="1">
        <f t="shared" si="23"/>
        <v>40906</v>
      </c>
      <c r="H129" s="38" t="str">
        <f t="shared" si="16"/>
        <v>进阶+6：全体伤害减免提高8%</v>
      </c>
      <c r="I129" s="1">
        <f t="shared" si="17"/>
        <v>2</v>
      </c>
      <c r="J129" s="1">
        <f>VLOOKUP(E129,Sheet3!$I$57:$J$65,2,FALSE)</f>
        <v>10</v>
      </c>
      <c r="K129" s="1">
        <f>VLOOKUP(A129,Sheet3!$A$51:$E$230,4,FALSE)</f>
        <v>0.08</v>
      </c>
      <c r="L129" s="1">
        <f t="shared" si="18"/>
        <v>0</v>
      </c>
      <c r="M129" s="1">
        <f t="shared" si="19"/>
        <v>1</v>
      </c>
    </row>
    <row r="130" spans="1:13">
      <c r="A130" s="10">
        <v>10907</v>
      </c>
      <c r="B130" s="10" t="str">
        <f>VLOOKUP(A130,Sheet3!$A$51:$E$230,5,FALSE)</f>
        <v>防御|光环数值</v>
      </c>
      <c r="C130" s="19" t="str">
        <f t="shared" si="20"/>
        <v>40907,45907</v>
      </c>
      <c r="D130" s="10" t="s">
        <v>67</v>
      </c>
      <c r="E130" s="21" t="str">
        <f t="shared" si="21"/>
        <v>防御</v>
      </c>
      <c r="F130" s="21" t="str">
        <f t="shared" si="22"/>
        <v>光环数值</v>
      </c>
      <c r="G130" s="1">
        <f t="shared" si="23"/>
        <v>40907</v>
      </c>
      <c r="H130" s="38" t="str">
        <f t="shared" si="16"/>
        <v>进阶+7：全体防御提高400</v>
      </c>
      <c r="I130" s="1">
        <f t="shared" si="17"/>
        <v>2</v>
      </c>
      <c r="J130" s="1">
        <f>VLOOKUP(E130,Sheet3!$I$57:$J$65,2,FALSE)</f>
        <v>4</v>
      </c>
      <c r="K130" s="1">
        <f>VLOOKUP(A130,Sheet3!$A$51:$E$230,4,FALSE)</f>
        <v>400</v>
      </c>
      <c r="L130" s="1">
        <f t="shared" si="18"/>
        <v>0</v>
      </c>
      <c r="M130" s="1">
        <f t="shared" si="19"/>
        <v>1</v>
      </c>
    </row>
    <row r="131" spans="1:13">
      <c r="A131" s="10">
        <v>10908</v>
      </c>
      <c r="B131" s="10" t="str">
        <f>VLOOKUP(A131,Sheet3!$A$51:$E$230,5,FALSE)</f>
        <v>防御|百分比</v>
      </c>
      <c r="C131" s="19" t="str">
        <f t="shared" si="20"/>
        <v>40908,45908</v>
      </c>
      <c r="D131" s="10" t="s">
        <v>67</v>
      </c>
      <c r="E131" s="21" t="str">
        <f t="shared" si="21"/>
        <v>防御</v>
      </c>
      <c r="F131" s="21" t="str">
        <f t="shared" si="22"/>
        <v>百分比</v>
      </c>
      <c r="G131" s="1">
        <f t="shared" si="23"/>
        <v>40908</v>
      </c>
      <c r="H131" s="38" t="str">
        <f t="shared" si="16"/>
        <v>进阶+8：防御提高10%</v>
      </c>
      <c r="I131" s="1">
        <f t="shared" si="17"/>
        <v>1</v>
      </c>
      <c r="J131" s="1">
        <f>VLOOKUP(E131,Sheet3!$I$57:$J$65,2,FALSE)</f>
        <v>4</v>
      </c>
      <c r="K131" s="1">
        <f>VLOOKUP(A131,Sheet3!$A$51:$E$230,4,FALSE)</f>
        <v>0.1</v>
      </c>
      <c r="L131" s="1">
        <f t="shared" si="18"/>
        <v>1</v>
      </c>
      <c r="M131" s="1">
        <f t="shared" si="19"/>
        <v>5</v>
      </c>
    </row>
    <row r="132" spans="1:13">
      <c r="A132" s="10">
        <v>10909</v>
      </c>
      <c r="B132" s="10" t="str">
        <f>VLOOKUP(A132,Sheet3!$A$51:$E$230,5,FALSE)</f>
        <v>生命|光环数值</v>
      </c>
      <c r="C132" s="19">
        <f t="shared" ref="C132:C163" si="24">IF(MID(B132,1,SEARCH("|",B132)-1)="防御",A132+30000&amp;","&amp;A132+35000,A132+30000)</f>
        <v>40909</v>
      </c>
      <c r="D132" s="10" t="s">
        <v>67</v>
      </c>
      <c r="E132" s="21" t="str">
        <f t="shared" ref="E132:E163" si="25">MID(B132,1,SEARCH("|",B132)-1)</f>
        <v>生命</v>
      </c>
      <c r="F132" s="21" t="str">
        <f t="shared" ref="F132:F163" si="26">MID(B132,SEARCH("|",B132)+1,5)</f>
        <v>光环数值</v>
      </c>
      <c r="G132" s="1">
        <f t="shared" ref="G132:G163" si="27">A132+30000</f>
        <v>40909</v>
      </c>
      <c r="H132" s="38" t="str">
        <f t="shared" ref="H132:H195" si="28">"进阶+"&amp;INT(MID(G132,4,2))&amp;"："&amp;IF(I132=2,"全体","")&amp;E132&amp;"提高"&amp;IF(K132&lt;1,K132*100,K132)&amp;IF(OR(F132="数值",F132="光环数值"),"","%")</f>
        <v>进阶+9：全体生命提高30000</v>
      </c>
      <c r="I132" s="1">
        <f t="shared" ref="I132:I195" si="29">IF(MID(F132,1,2)="光环",2,1)</f>
        <v>2</v>
      </c>
      <c r="J132" s="1">
        <f>VLOOKUP(E132,Sheet3!$I$57:$J$65,2,FALSE)</f>
        <v>1</v>
      </c>
      <c r="K132" s="1">
        <f>VLOOKUP(A132,Sheet3!$A$51:$E$230,4,FALSE)</f>
        <v>29999.999999999996</v>
      </c>
      <c r="L132" s="1">
        <f t="shared" ref="L132:L195" si="30">IF(AND(J132&lt;5,F132="百分比"),1,0)</f>
        <v>0</v>
      </c>
      <c r="M132" s="1">
        <f t="shared" ref="M132:M195" si="31">IF(L132=0,1,5)</f>
        <v>1</v>
      </c>
    </row>
    <row r="133" spans="1:13">
      <c r="A133" s="10">
        <v>10910</v>
      </c>
      <c r="B133" s="10" t="str">
        <f>VLOOKUP(A133,Sheet3!$A$51:$E$230,5,FALSE)</f>
        <v>生命|百分比</v>
      </c>
      <c r="C133" s="19">
        <f t="shared" si="24"/>
        <v>40910</v>
      </c>
      <c r="D133" s="10" t="s">
        <v>67</v>
      </c>
      <c r="E133" s="21" t="str">
        <f t="shared" si="25"/>
        <v>生命</v>
      </c>
      <c r="F133" s="21" t="str">
        <f t="shared" si="26"/>
        <v>百分比</v>
      </c>
      <c r="G133" s="1">
        <f t="shared" si="27"/>
        <v>40910</v>
      </c>
      <c r="H133" s="38" t="str">
        <f t="shared" si="28"/>
        <v>进阶+10：生命提高15%</v>
      </c>
      <c r="I133" s="1">
        <f t="shared" si="29"/>
        <v>1</v>
      </c>
      <c r="J133" s="1">
        <f>VLOOKUP(E133,Sheet3!$I$57:$J$65,2,FALSE)</f>
        <v>1</v>
      </c>
      <c r="K133" s="1">
        <f>VLOOKUP(A133,Sheet3!$A$51:$E$230,4,FALSE)</f>
        <v>0.15</v>
      </c>
      <c r="L133" s="1">
        <f t="shared" si="30"/>
        <v>1</v>
      </c>
      <c r="M133" s="1">
        <f t="shared" si="31"/>
        <v>5</v>
      </c>
    </row>
    <row r="134" spans="1:13">
      <c r="A134" s="10">
        <v>10911</v>
      </c>
      <c r="B134" s="10" t="str">
        <f>VLOOKUP(A134,Sheet3!$A$51:$E$230,5,FALSE)</f>
        <v>攻击|光环数值</v>
      </c>
      <c r="C134" s="19">
        <f t="shared" si="24"/>
        <v>40911</v>
      </c>
      <c r="D134" s="10" t="s">
        <v>67</v>
      </c>
      <c r="E134" s="21" t="str">
        <f t="shared" si="25"/>
        <v>攻击</v>
      </c>
      <c r="F134" s="21" t="str">
        <f t="shared" si="26"/>
        <v>光环数值</v>
      </c>
      <c r="G134" s="1">
        <f t="shared" si="27"/>
        <v>40911</v>
      </c>
      <c r="H134" s="38" t="str">
        <f t="shared" si="28"/>
        <v>进阶+11：全体攻击提高600</v>
      </c>
      <c r="I134" s="1">
        <f t="shared" si="29"/>
        <v>2</v>
      </c>
      <c r="J134" s="1">
        <f>VLOOKUP(E134,Sheet3!$I$57:$J$65,2,FALSE)</f>
        <v>3</v>
      </c>
      <c r="K134" s="1">
        <f>VLOOKUP(A134,Sheet3!$A$51:$E$230,4,FALSE)</f>
        <v>600</v>
      </c>
      <c r="L134" s="1">
        <f t="shared" si="30"/>
        <v>0</v>
      </c>
      <c r="M134" s="1">
        <f t="shared" si="31"/>
        <v>1</v>
      </c>
    </row>
    <row r="135" spans="1:13">
      <c r="A135" s="10">
        <v>10912</v>
      </c>
      <c r="B135" s="10" t="str">
        <f>VLOOKUP(A135,Sheet3!$A$51:$E$230,5,FALSE)</f>
        <v>攻击|百分比</v>
      </c>
      <c r="C135" s="19">
        <f t="shared" si="24"/>
        <v>40912</v>
      </c>
      <c r="D135" s="10" t="s">
        <v>67</v>
      </c>
      <c r="E135" s="21" t="str">
        <f t="shared" si="25"/>
        <v>攻击</v>
      </c>
      <c r="F135" s="21" t="str">
        <f t="shared" si="26"/>
        <v>百分比</v>
      </c>
      <c r="G135" s="1">
        <f t="shared" si="27"/>
        <v>40912</v>
      </c>
      <c r="H135" s="38" t="str">
        <f t="shared" si="28"/>
        <v>进阶+12：攻击提高15%</v>
      </c>
      <c r="I135" s="1">
        <f t="shared" si="29"/>
        <v>1</v>
      </c>
      <c r="J135" s="1">
        <f>VLOOKUP(E135,Sheet3!$I$57:$J$65,2,FALSE)</f>
        <v>3</v>
      </c>
      <c r="K135" s="1">
        <f>VLOOKUP(A135,Sheet3!$A$51:$E$230,4,FALSE)</f>
        <v>0.15</v>
      </c>
      <c r="L135" s="1">
        <f t="shared" si="30"/>
        <v>1</v>
      </c>
      <c r="M135" s="1">
        <f t="shared" si="31"/>
        <v>5</v>
      </c>
    </row>
    <row r="136" spans="1:13">
      <c r="A136" s="10">
        <v>10913</v>
      </c>
      <c r="B136" s="10" t="str">
        <f>VLOOKUP(A136,Sheet3!$A$51:$E$230,5,FALSE)</f>
        <v>防御|百分比</v>
      </c>
      <c r="C136" s="19" t="str">
        <f t="shared" si="24"/>
        <v>40913,45913</v>
      </c>
      <c r="D136" s="10" t="s">
        <v>67</v>
      </c>
      <c r="E136" s="21" t="str">
        <f t="shared" si="25"/>
        <v>防御</v>
      </c>
      <c r="F136" s="21" t="str">
        <f t="shared" si="26"/>
        <v>百分比</v>
      </c>
      <c r="G136" s="1">
        <f t="shared" si="27"/>
        <v>40913</v>
      </c>
      <c r="H136" s="38" t="str">
        <f t="shared" si="28"/>
        <v>进阶+13：防御提高20%</v>
      </c>
      <c r="I136" s="1">
        <f t="shared" si="29"/>
        <v>1</v>
      </c>
      <c r="J136" s="1">
        <f>VLOOKUP(E136,Sheet3!$I$57:$J$65,2,FALSE)</f>
        <v>4</v>
      </c>
      <c r="K136" s="1">
        <f>VLOOKUP(A136,Sheet3!$A$51:$E$230,4,FALSE)</f>
        <v>0.2</v>
      </c>
      <c r="L136" s="1">
        <f t="shared" si="30"/>
        <v>1</v>
      </c>
      <c r="M136" s="1">
        <f t="shared" si="31"/>
        <v>5</v>
      </c>
    </row>
    <row r="137" spans="1:13">
      <c r="A137" s="10">
        <v>10914</v>
      </c>
      <c r="B137" s="10" t="str">
        <f>VLOOKUP(A137,Sheet3!$A$51:$E$230,5,FALSE)</f>
        <v>生命|百分比</v>
      </c>
      <c r="C137" s="19">
        <f t="shared" si="24"/>
        <v>40914</v>
      </c>
      <c r="D137" s="10" t="s">
        <v>67</v>
      </c>
      <c r="E137" s="21" t="str">
        <f t="shared" si="25"/>
        <v>生命</v>
      </c>
      <c r="F137" s="21" t="str">
        <f t="shared" si="26"/>
        <v>百分比</v>
      </c>
      <c r="G137" s="1">
        <f t="shared" si="27"/>
        <v>40914</v>
      </c>
      <c r="H137" s="38" t="str">
        <f t="shared" si="28"/>
        <v>进阶+14：生命提高25%</v>
      </c>
      <c r="I137" s="1">
        <f t="shared" si="29"/>
        <v>1</v>
      </c>
      <c r="J137" s="1">
        <f>VLOOKUP(E137,Sheet3!$I$57:$J$65,2,FALSE)</f>
        <v>1</v>
      </c>
      <c r="K137" s="1">
        <f>VLOOKUP(A137,Sheet3!$A$51:$E$230,4,FALSE)</f>
        <v>0.25</v>
      </c>
      <c r="L137" s="1">
        <f t="shared" si="30"/>
        <v>1</v>
      </c>
      <c r="M137" s="1">
        <f t="shared" si="31"/>
        <v>5</v>
      </c>
    </row>
    <row r="138" spans="1:13">
      <c r="A138" s="10">
        <v>10915</v>
      </c>
      <c r="B138" s="10" t="str">
        <f>VLOOKUP(A138,Sheet3!$A$51:$E$230,5,FALSE)</f>
        <v>攻击|百分比</v>
      </c>
      <c r="C138" s="19">
        <f t="shared" si="24"/>
        <v>40915</v>
      </c>
      <c r="D138" s="10" t="s">
        <v>67</v>
      </c>
      <c r="E138" s="21" t="str">
        <f t="shared" si="25"/>
        <v>攻击</v>
      </c>
      <c r="F138" s="21" t="str">
        <f t="shared" si="26"/>
        <v>百分比</v>
      </c>
      <c r="G138" s="1">
        <f t="shared" si="27"/>
        <v>40915</v>
      </c>
      <c r="H138" s="38" t="str">
        <f t="shared" si="28"/>
        <v>进阶+15：攻击提高25%</v>
      </c>
      <c r="I138" s="1">
        <f t="shared" si="29"/>
        <v>1</v>
      </c>
      <c r="J138" s="1">
        <f>VLOOKUP(E138,Sheet3!$I$57:$J$65,2,FALSE)</f>
        <v>3</v>
      </c>
      <c r="K138" s="1">
        <f>VLOOKUP(A138,Sheet3!$A$51:$E$230,4,FALSE)</f>
        <v>0.25</v>
      </c>
      <c r="L138" s="1">
        <f t="shared" si="30"/>
        <v>1</v>
      </c>
      <c r="M138" s="1">
        <f t="shared" si="31"/>
        <v>5</v>
      </c>
    </row>
    <row r="139" spans="1:13">
      <c r="A139" s="10">
        <v>11001</v>
      </c>
      <c r="B139" s="10" t="str">
        <f>VLOOKUP(A139,Sheet3!$A$51:$E$230,5,FALSE)</f>
        <v>防御|数值</v>
      </c>
      <c r="C139" s="19" t="str">
        <f t="shared" si="24"/>
        <v>41001,46001</v>
      </c>
      <c r="D139" s="10" t="s">
        <v>67</v>
      </c>
      <c r="E139" s="21" t="str">
        <f t="shared" si="25"/>
        <v>防御</v>
      </c>
      <c r="F139" s="21" t="str">
        <f t="shared" si="26"/>
        <v>数值</v>
      </c>
      <c r="G139" s="1">
        <f t="shared" si="27"/>
        <v>41001</v>
      </c>
      <c r="H139" s="38" t="str">
        <f t="shared" si="28"/>
        <v>进阶+1：防御提高100</v>
      </c>
      <c r="I139" s="1">
        <f t="shared" si="29"/>
        <v>1</v>
      </c>
      <c r="J139" s="1">
        <f>VLOOKUP(E139,Sheet3!$I$57:$J$65,2,FALSE)</f>
        <v>4</v>
      </c>
      <c r="K139" s="1">
        <f>VLOOKUP(A139,Sheet3!$A$51:$E$230,4,FALSE)</f>
        <v>100</v>
      </c>
      <c r="L139" s="1">
        <f t="shared" si="30"/>
        <v>0</v>
      </c>
      <c r="M139" s="1">
        <f t="shared" si="31"/>
        <v>1</v>
      </c>
    </row>
    <row r="140" spans="1:13">
      <c r="A140" s="10">
        <v>11002</v>
      </c>
      <c r="B140" s="10" t="str">
        <f>VLOOKUP(A140,Sheet3!$A$51:$E$230,5,FALSE)</f>
        <v>暴击率|百分比</v>
      </c>
      <c r="C140" s="19">
        <f t="shared" si="24"/>
        <v>41002</v>
      </c>
      <c r="D140" s="10" t="s">
        <v>67</v>
      </c>
      <c r="E140" s="21" t="str">
        <f t="shared" si="25"/>
        <v>暴击率</v>
      </c>
      <c r="F140" s="21" t="str">
        <f t="shared" si="26"/>
        <v>百分比</v>
      </c>
      <c r="G140" s="1">
        <f t="shared" si="27"/>
        <v>41002</v>
      </c>
      <c r="H140" s="38" t="str">
        <f t="shared" si="28"/>
        <v>进阶+2：暴击率提高10%</v>
      </c>
      <c r="I140" s="1">
        <f t="shared" si="29"/>
        <v>1</v>
      </c>
      <c r="J140" s="1">
        <f>VLOOKUP(E140,Sheet3!$I$57:$J$65,2,FALSE)</f>
        <v>8</v>
      </c>
      <c r="K140" s="1">
        <f>VLOOKUP(A140,Sheet3!$A$51:$E$230,4,FALSE)</f>
        <v>0.1</v>
      </c>
      <c r="L140" s="1">
        <f t="shared" si="30"/>
        <v>0</v>
      </c>
      <c r="M140" s="1">
        <f t="shared" si="31"/>
        <v>1</v>
      </c>
    </row>
    <row r="141" spans="1:13">
      <c r="A141" s="10">
        <v>11003</v>
      </c>
      <c r="B141" s="10" t="str">
        <f>VLOOKUP(A141,Sheet3!$A$51:$E$230,5,FALSE)</f>
        <v>生命|数值</v>
      </c>
      <c r="C141" s="19">
        <f t="shared" si="24"/>
        <v>41003</v>
      </c>
      <c r="D141" s="10" t="s">
        <v>67</v>
      </c>
      <c r="E141" s="21" t="str">
        <f t="shared" si="25"/>
        <v>生命</v>
      </c>
      <c r="F141" s="21" t="str">
        <f t="shared" si="26"/>
        <v>数值</v>
      </c>
      <c r="G141" s="1">
        <f t="shared" si="27"/>
        <v>41003</v>
      </c>
      <c r="H141" s="38" t="str">
        <f t="shared" si="28"/>
        <v>进阶+3：生命提高15000</v>
      </c>
      <c r="I141" s="1">
        <f t="shared" si="29"/>
        <v>1</v>
      </c>
      <c r="J141" s="1">
        <f>VLOOKUP(E141,Sheet3!$I$57:$J$65,2,FALSE)</f>
        <v>1</v>
      </c>
      <c r="K141" s="1">
        <f>VLOOKUP(A141,Sheet3!$A$51:$E$230,4,FALSE)</f>
        <v>14999.999999999998</v>
      </c>
      <c r="L141" s="1">
        <f t="shared" si="30"/>
        <v>0</v>
      </c>
      <c r="M141" s="1">
        <f t="shared" si="31"/>
        <v>1</v>
      </c>
    </row>
    <row r="142" spans="1:13">
      <c r="A142" s="10">
        <v>11004</v>
      </c>
      <c r="B142" s="10" t="str">
        <f>VLOOKUP(A142,Sheet3!$A$51:$E$230,5,FALSE)</f>
        <v>伤害加成|百分比</v>
      </c>
      <c r="C142" s="19">
        <f t="shared" si="24"/>
        <v>41004</v>
      </c>
      <c r="D142" s="10" t="s">
        <v>67</v>
      </c>
      <c r="E142" s="21" t="str">
        <f t="shared" si="25"/>
        <v>伤害加成</v>
      </c>
      <c r="F142" s="21" t="str">
        <f t="shared" si="26"/>
        <v>百分比</v>
      </c>
      <c r="G142" s="1">
        <f t="shared" si="27"/>
        <v>41004</v>
      </c>
      <c r="H142" s="38" t="str">
        <f t="shared" si="28"/>
        <v>进阶+4：伤害加成提高10%</v>
      </c>
      <c r="I142" s="1">
        <f t="shared" si="29"/>
        <v>1</v>
      </c>
      <c r="J142" s="1">
        <f>VLOOKUP(E142,Sheet3!$I$57:$J$65,2,FALSE)</f>
        <v>11</v>
      </c>
      <c r="K142" s="1">
        <f>VLOOKUP(A142,Sheet3!$A$51:$E$230,4,FALSE)</f>
        <v>0.1</v>
      </c>
      <c r="L142" s="1">
        <f t="shared" si="30"/>
        <v>0</v>
      </c>
      <c r="M142" s="1">
        <f t="shared" si="31"/>
        <v>1</v>
      </c>
    </row>
    <row r="143" spans="1:13">
      <c r="A143" s="10">
        <v>11005</v>
      </c>
      <c r="B143" s="10" t="str">
        <f>VLOOKUP(A143,Sheet3!$A$51:$E$230,5,FALSE)</f>
        <v>攻击|数值</v>
      </c>
      <c r="C143" s="19">
        <f t="shared" si="24"/>
        <v>41005</v>
      </c>
      <c r="D143" s="10" t="s">
        <v>67</v>
      </c>
      <c r="E143" s="21" t="str">
        <f t="shared" si="25"/>
        <v>攻击</v>
      </c>
      <c r="F143" s="21" t="str">
        <f t="shared" si="26"/>
        <v>数值</v>
      </c>
      <c r="G143" s="1">
        <f t="shared" si="27"/>
        <v>41005</v>
      </c>
      <c r="H143" s="38" t="str">
        <f t="shared" si="28"/>
        <v>进阶+5：攻击提高300</v>
      </c>
      <c r="I143" s="1">
        <f t="shared" si="29"/>
        <v>1</v>
      </c>
      <c r="J143" s="1">
        <f>VLOOKUP(E143,Sheet3!$I$57:$J$65,2,FALSE)</f>
        <v>3</v>
      </c>
      <c r="K143" s="1">
        <f>VLOOKUP(A143,Sheet3!$A$51:$E$230,4,FALSE)</f>
        <v>300</v>
      </c>
      <c r="L143" s="1">
        <f t="shared" si="30"/>
        <v>0</v>
      </c>
      <c r="M143" s="1">
        <f t="shared" si="31"/>
        <v>1</v>
      </c>
    </row>
    <row r="144" spans="1:13">
      <c r="A144" s="10">
        <v>11006</v>
      </c>
      <c r="B144" s="10" t="str">
        <f>VLOOKUP(A144,Sheet3!$A$51:$E$230,5,FALSE)</f>
        <v>命中率|光环百分比</v>
      </c>
      <c r="C144" s="19">
        <f t="shared" si="24"/>
        <v>41006</v>
      </c>
      <c r="D144" s="10" t="s">
        <v>67</v>
      </c>
      <c r="E144" s="21" t="str">
        <f t="shared" si="25"/>
        <v>命中率</v>
      </c>
      <c r="F144" s="21" t="str">
        <f t="shared" si="26"/>
        <v>光环百分比</v>
      </c>
      <c r="G144" s="1">
        <f t="shared" si="27"/>
        <v>41006</v>
      </c>
      <c r="H144" s="38" t="str">
        <f t="shared" si="28"/>
        <v>进阶+6：全体命中率提高8%</v>
      </c>
      <c r="I144" s="1">
        <f t="shared" si="29"/>
        <v>2</v>
      </c>
      <c r="J144" s="1">
        <f>VLOOKUP(E144,Sheet3!$I$57:$J$65,2,FALSE)</f>
        <v>6</v>
      </c>
      <c r="K144" s="1">
        <f>VLOOKUP(A144,Sheet3!$A$51:$E$230,4,FALSE)</f>
        <v>0.08</v>
      </c>
      <c r="L144" s="1">
        <f t="shared" si="30"/>
        <v>0</v>
      </c>
      <c r="M144" s="1">
        <f t="shared" si="31"/>
        <v>1</v>
      </c>
    </row>
    <row r="145" spans="1:13">
      <c r="A145" s="10">
        <v>11007</v>
      </c>
      <c r="B145" s="10" t="str">
        <f>VLOOKUP(A145,Sheet3!$A$51:$E$230,5,FALSE)</f>
        <v>防御|光环数值</v>
      </c>
      <c r="C145" s="19" t="str">
        <f t="shared" si="24"/>
        <v>41007,46007</v>
      </c>
      <c r="D145" s="10" t="s">
        <v>67</v>
      </c>
      <c r="E145" s="21" t="str">
        <f t="shared" si="25"/>
        <v>防御</v>
      </c>
      <c r="F145" s="21" t="str">
        <f t="shared" si="26"/>
        <v>光环数值</v>
      </c>
      <c r="G145" s="1">
        <f t="shared" si="27"/>
        <v>41007</v>
      </c>
      <c r="H145" s="38" t="str">
        <f t="shared" si="28"/>
        <v>进阶+7：全体防御提高400</v>
      </c>
      <c r="I145" s="1">
        <f t="shared" si="29"/>
        <v>2</v>
      </c>
      <c r="J145" s="1">
        <f>VLOOKUP(E145,Sheet3!$I$57:$J$65,2,FALSE)</f>
        <v>4</v>
      </c>
      <c r="K145" s="1">
        <f>VLOOKUP(A145,Sheet3!$A$51:$E$230,4,FALSE)</f>
        <v>400</v>
      </c>
      <c r="L145" s="1">
        <f t="shared" si="30"/>
        <v>0</v>
      </c>
      <c r="M145" s="1">
        <f t="shared" si="31"/>
        <v>1</v>
      </c>
    </row>
    <row r="146" spans="1:13">
      <c r="A146" s="10">
        <v>11008</v>
      </c>
      <c r="B146" s="10" t="str">
        <f>VLOOKUP(A146,Sheet3!$A$51:$E$230,5,FALSE)</f>
        <v>防御|百分比</v>
      </c>
      <c r="C146" s="19" t="str">
        <f t="shared" si="24"/>
        <v>41008,46008</v>
      </c>
      <c r="D146" s="10" t="s">
        <v>67</v>
      </c>
      <c r="E146" s="21" t="str">
        <f t="shared" si="25"/>
        <v>防御</v>
      </c>
      <c r="F146" s="21" t="str">
        <f t="shared" si="26"/>
        <v>百分比</v>
      </c>
      <c r="G146" s="1">
        <f t="shared" si="27"/>
        <v>41008</v>
      </c>
      <c r="H146" s="38" t="str">
        <f t="shared" si="28"/>
        <v>进阶+8：防御提高10%</v>
      </c>
      <c r="I146" s="1">
        <f t="shared" si="29"/>
        <v>1</v>
      </c>
      <c r="J146" s="1">
        <f>VLOOKUP(E146,Sheet3!$I$57:$J$65,2,FALSE)</f>
        <v>4</v>
      </c>
      <c r="K146" s="1">
        <f>VLOOKUP(A146,Sheet3!$A$51:$E$230,4,FALSE)</f>
        <v>0.1</v>
      </c>
      <c r="L146" s="1">
        <f t="shared" si="30"/>
        <v>1</v>
      </c>
      <c r="M146" s="1">
        <f t="shared" si="31"/>
        <v>5</v>
      </c>
    </row>
    <row r="147" spans="1:13">
      <c r="A147" s="10">
        <v>11009</v>
      </c>
      <c r="B147" s="10" t="str">
        <f>VLOOKUP(A147,Sheet3!$A$51:$E$230,5,FALSE)</f>
        <v>生命|光环数值</v>
      </c>
      <c r="C147" s="19">
        <f t="shared" si="24"/>
        <v>41009</v>
      </c>
      <c r="D147" s="10" t="s">
        <v>67</v>
      </c>
      <c r="E147" s="21" t="str">
        <f t="shared" si="25"/>
        <v>生命</v>
      </c>
      <c r="F147" s="21" t="str">
        <f t="shared" si="26"/>
        <v>光环数值</v>
      </c>
      <c r="G147" s="1">
        <f t="shared" si="27"/>
        <v>41009</v>
      </c>
      <c r="H147" s="38" t="str">
        <f t="shared" si="28"/>
        <v>进阶+9：全体生命提高30000</v>
      </c>
      <c r="I147" s="1">
        <f t="shared" si="29"/>
        <v>2</v>
      </c>
      <c r="J147" s="1">
        <f>VLOOKUP(E147,Sheet3!$I$57:$J$65,2,FALSE)</f>
        <v>1</v>
      </c>
      <c r="K147" s="1">
        <f>VLOOKUP(A147,Sheet3!$A$51:$E$230,4,FALSE)</f>
        <v>29999.999999999996</v>
      </c>
      <c r="L147" s="1">
        <f t="shared" si="30"/>
        <v>0</v>
      </c>
      <c r="M147" s="1">
        <f t="shared" si="31"/>
        <v>1</v>
      </c>
    </row>
    <row r="148" spans="1:13">
      <c r="A148" s="10">
        <v>11010</v>
      </c>
      <c r="B148" s="10" t="str">
        <f>VLOOKUP(A148,Sheet3!$A$51:$E$230,5,FALSE)</f>
        <v>生命|百分比</v>
      </c>
      <c r="C148" s="19">
        <f t="shared" si="24"/>
        <v>41010</v>
      </c>
      <c r="D148" s="10" t="s">
        <v>67</v>
      </c>
      <c r="E148" s="21" t="str">
        <f t="shared" si="25"/>
        <v>生命</v>
      </c>
      <c r="F148" s="21" t="str">
        <f t="shared" si="26"/>
        <v>百分比</v>
      </c>
      <c r="G148" s="1">
        <f t="shared" si="27"/>
        <v>41010</v>
      </c>
      <c r="H148" s="38" t="str">
        <f t="shared" si="28"/>
        <v>进阶+10：生命提高15%</v>
      </c>
      <c r="I148" s="1">
        <f t="shared" si="29"/>
        <v>1</v>
      </c>
      <c r="J148" s="1">
        <f>VLOOKUP(E148,Sheet3!$I$57:$J$65,2,FALSE)</f>
        <v>1</v>
      </c>
      <c r="K148" s="1">
        <f>VLOOKUP(A148,Sheet3!$A$51:$E$230,4,FALSE)</f>
        <v>0.15</v>
      </c>
      <c r="L148" s="1">
        <f t="shared" si="30"/>
        <v>1</v>
      </c>
      <c r="M148" s="1">
        <f t="shared" si="31"/>
        <v>5</v>
      </c>
    </row>
    <row r="149" spans="1:13">
      <c r="A149" s="10">
        <v>11011</v>
      </c>
      <c r="B149" s="10" t="str">
        <f>VLOOKUP(A149,Sheet3!$A$51:$E$230,5,FALSE)</f>
        <v>攻击|光环数值</v>
      </c>
      <c r="C149" s="19">
        <f t="shared" si="24"/>
        <v>41011</v>
      </c>
      <c r="D149" s="10" t="s">
        <v>67</v>
      </c>
      <c r="E149" s="21" t="str">
        <f t="shared" si="25"/>
        <v>攻击</v>
      </c>
      <c r="F149" s="21" t="str">
        <f t="shared" si="26"/>
        <v>光环数值</v>
      </c>
      <c r="G149" s="1">
        <f t="shared" si="27"/>
        <v>41011</v>
      </c>
      <c r="H149" s="38" t="str">
        <f t="shared" si="28"/>
        <v>进阶+11：全体攻击提高600</v>
      </c>
      <c r="I149" s="1">
        <f t="shared" si="29"/>
        <v>2</v>
      </c>
      <c r="J149" s="1">
        <f>VLOOKUP(E149,Sheet3!$I$57:$J$65,2,FALSE)</f>
        <v>3</v>
      </c>
      <c r="K149" s="1">
        <f>VLOOKUP(A149,Sheet3!$A$51:$E$230,4,FALSE)</f>
        <v>600</v>
      </c>
      <c r="L149" s="1">
        <f t="shared" si="30"/>
        <v>0</v>
      </c>
      <c r="M149" s="1">
        <f t="shared" si="31"/>
        <v>1</v>
      </c>
    </row>
    <row r="150" spans="1:13">
      <c r="A150" s="10">
        <v>11012</v>
      </c>
      <c r="B150" s="10" t="str">
        <f>VLOOKUP(A150,Sheet3!$A$51:$E$230,5,FALSE)</f>
        <v>攻击|百分比</v>
      </c>
      <c r="C150" s="19">
        <f t="shared" si="24"/>
        <v>41012</v>
      </c>
      <c r="D150" s="10" t="s">
        <v>67</v>
      </c>
      <c r="E150" s="21" t="str">
        <f t="shared" si="25"/>
        <v>攻击</v>
      </c>
      <c r="F150" s="21" t="str">
        <f t="shared" si="26"/>
        <v>百分比</v>
      </c>
      <c r="G150" s="1">
        <f t="shared" si="27"/>
        <v>41012</v>
      </c>
      <c r="H150" s="38" t="str">
        <f t="shared" si="28"/>
        <v>进阶+12：攻击提高15%</v>
      </c>
      <c r="I150" s="1">
        <f t="shared" si="29"/>
        <v>1</v>
      </c>
      <c r="J150" s="1">
        <f>VLOOKUP(E150,Sheet3!$I$57:$J$65,2,FALSE)</f>
        <v>3</v>
      </c>
      <c r="K150" s="1">
        <f>VLOOKUP(A150,Sheet3!$A$51:$E$230,4,FALSE)</f>
        <v>0.15</v>
      </c>
      <c r="L150" s="1">
        <f t="shared" si="30"/>
        <v>1</v>
      </c>
      <c r="M150" s="1">
        <f t="shared" si="31"/>
        <v>5</v>
      </c>
    </row>
    <row r="151" spans="1:13">
      <c r="A151" s="10">
        <v>11013</v>
      </c>
      <c r="B151" s="10" t="str">
        <f>VLOOKUP(A151,Sheet3!$A$51:$E$230,5,FALSE)</f>
        <v>防御|百分比</v>
      </c>
      <c r="C151" s="19" t="str">
        <f t="shared" si="24"/>
        <v>41013,46013</v>
      </c>
      <c r="D151" s="10" t="s">
        <v>67</v>
      </c>
      <c r="E151" s="21" t="str">
        <f t="shared" si="25"/>
        <v>防御</v>
      </c>
      <c r="F151" s="21" t="str">
        <f t="shared" si="26"/>
        <v>百分比</v>
      </c>
      <c r="G151" s="1">
        <f t="shared" si="27"/>
        <v>41013</v>
      </c>
      <c r="H151" s="38" t="str">
        <f t="shared" si="28"/>
        <v>进阶+13：防御提高20%</v>
      </c>
      <c r="I151" s="1">
        <f t="shared" si="29"/>
        <v>1</v>
      </c>
      <c r="J151" s="1">
        <f>VLOOKUP(E151,Sheet3!$I$57:$J$65,2,FALSE)</f>
        <v>4</v>
      </c>
      <c r="K151" s="1">
        <f>VLOOKUP(A151,Sheet3!$A$51:$E$230,4,FALSE)</f>
        <v>0.2</v>
      </c>
      <c r="L151" s="1">
        <f t="shared" si="30"/>
        <v>1</v>
      </c>
      <c r="M151" s="1">
        <f t="shared" si="31"/>
        <v>5</v>
      </c>
    </row>
    <row r="152" spans="1:13">
      <c r="A152" s="10">
        <v>11014</v>
      </c>
      <c r="B152" s="10" t="str">
        <f>VLOOKUP(A152,Sheet3!$A$51:$E$230,5,FALSE)</f>
        <v>生命|百分比</v>
      </c>
      <c r="C152" s="19">
        <f t="shared" si="24"/>
        <v>41014</v>
      </c>
      <c r="D152" s="10" t="s">
        <v>67</v>
      </c>
      <c r="E152" s="21" t="str">
        <f t="shared" si="25"/>
        <v>生命</v>
      </c>
      <c r="F152" s="21" t="str">
        <f t="shared" si="26"/>
        <v>百分比</v>
      </c>
      <c r="G152" s="1">
        <f t="shared" si="27"/>
        <v>41014</v>
      </c>
      <c r="H152" s="38" t="str">
        <f t="shared" si="28"/>
        <v>进阶+14：生命提高25%</v>
      </c>
      <c r="I152" s="1">
        <f t="shared" si="29"/>
        <v>1</v>
      </c>
      <c r="J152" s="1">
        <f>VLOOKUP(E152,Sheet3!$I$57:$J$65,2,FALSE)</f>
        <v>1</v>
      </c>
      <c r="K152" s="1">
        <f>VLOOKUP(A152,Sheet3!$A$51:$E$230,4,FALSE)</f>
        <v>0.25</v>
      </c>
      <c r="L152" s="1">
        <f t="shared" si="30"/>
        <v>1</v>
      </c>
      <c r="M152" s="1">
        <f t="shared" si="31"/>
        <v>5</v>
      </c>
    </row>
    <row r="153" spans="1:13">
      <c r="A153" s="10">
        <v>11015</v>
      </c>
      <c r="B153" s="10" t="str">
        <f>VLOOKUP(A153,Sheet3!$A$51:$E$230,5,FALSE)</f>
        <v>攻击|百分比</v>
      </c>
      <c r="C153" s="19">
        <f t="shared" si="24"/>
        <v>41015</v>
      </c>
      <c r="D153" s="10" t="s">
        <v>67</v>
      </c>
      <c r="E153" s="21" t="str">
        <f t="shared" si="25"/>
        <v>攻击</v>
      </c>
      <c r="F153" s="21" t="str">
        <f t="shared" si="26"/>
        <v>百分比</v>
      </c>
      <c r="G153" s="1">
        <f t="shared" si="27"/>
        <v>41015</v>
      </c>
      <c r="H153" s="38" t="str">
        <f t="shared" si="28"/>
        <v>进阶+15：攻击提高25%</v>
      </c>
      <c r="I153" s="1">
        <f t="shared" si="29"/>
        <v>1</v>
      </c>
      <c r="J153" s="1">
        <f>VLOOKUP(E153,Sheet3!$I$57:$J$65,2,FALSE)</f>
        <v>3</v>
      </c>
      <c r="K153" s="1">
        <f>VLOOKUP(A153,Sheet3!$A$51:$E$230,4,FALSE)</f>
        <v>0.25</v>
      </c>
      <c r="L153" s="1">
        <f t="shared" si="30"/>
        <v>1</v>
      </c>
      <c r="M153" s="1">
        <f t="shared" si="31"/>
        <v>5</v>
      </c>
    </row>
    <row r="154" spans="1:13">
      <c r="A154" s="10">
        <v>11101</v>
      </c>
      <c r="B154" s="10" t="str">
        <f>VLOOKUP(A154,Sheet3!$A$51:$E$230,5,FALSE)</f>
        <v>防御|数值</v>
      </c>
      <c r="C154" s="19" t="str">
        <f t="shared" si="24"/>
        <v>41101,46101</v>
      </c>
      <c r="D154" s="10" t="s">
        <v>67</v>
      </c>
      <c r="E154" s="21" t="str">
        <f t="shared" si="25"/>
        <v>防御</v>
      </c>
      <c r="F154" s="21" t="str">
        <f t="shared" si="26"/>
        <v>数值</v>
      </c>
      <c r="G154" s="1">
        <f t="shared" si="27"/>
        <v>41101</v>
      </c>
      <c r="H154" s="38" t="str">
        <f t="shared" si="28"/>
        <v>进阶+1：防御提高100</v>
      </c>
      <c r="I154" s="1">
        <f t="shared" si="29"/>
        <v>1</v>
      </c>
      <c r="J154" s="1">
        <f>VLOOKUP(E154,Sheet3!$I$57:$J$65,2,FALSE)</f>
        <v>4</v>
      </c>
      <c r="K154" s="1">
        <f>VLOOKUP(A154,Sheet3!$A$51:$E$230,4,FALSE)</f>
        <v>100</v>
      </c>
      <c r="L154" s="1">
        <f t="shared" si="30"/>
        <v>0</v>
      </c>
      <c r="M154" s="1">
        <f t="shared" si="31"/>
        <v>1</v>
      </c>
    </row>
    <row r="155" spans="1:13">
      <c r="A155" s="10">
        <v>11102</v>
      </c>
      <c r="B155" s="10" t="str">
        <f>VLOOKUP(A155,Sheet3!$A$51:$E$230,5,FALSE)</f>
        <v>命中率|百分比</v>
      </c>
      <c r="C155" s="19">
        <f t="shared" si="24"/>
        <v>41102</v>
      </c>
      <c r="D155" s="10" t="s">
        <v>67</v>
      </c>
      <c r="E155" s="21" t="str">
        <f t="shared" si="25"/>
        <v>命中率</v>
      </c>
      <c r="F155" s="21" t="str">
        <f t="shared" si="26"/>
        <v>百分比</v>
      </c>
      <c r="G155" s="1">
        <f t="shared" si="27"/>
        <v>41102</v>
      </c>
      <c r="H155" s="38" t="str">
        <f t="shared" si="28"/>
        <v>进阶+2：命中率提高5%</v>
      </c>
      <c r="I155" s="1">
        <f t="shared" si="29"/>
        <v>1</v>
      </c>
      <c r="J155" s="1">
        <f>VLOOKUP(E155,Sheet3!$I$57:$J$65,2,FALSE)</f>
        <v>6</v>
      </c>
      <c r="K155" s="1">
        <f>VLOOKUP(A155,Sheet3!$A$51:$E$230,4,FALSE)</f>
        <v>0.05</v>
      </c>
      <c r="L155" s="1">
        <f t="shared" si="30"/>
        <v>0</v>
      </c>
      <c r="M155" s="1">
        <f t="shared" si="31"/>
        <v>1</v>
      </c>
    </row>
    <row r="156" spans="1:13">
      <c r="A156" s="10">
        <v>11103</v>
      </c>
      <c r="B156" s="10" t="str">
        <f>VLOOKUP(A156,Sheet3!$A$51:$E$230,5,FALSE)</f>
        <v>生命|数值</v>
      </c>
      <c r="C156" s="19">
        <f t="shared" si="24"/>
        <v>41103</v>
      </c>
      <c r="D156" s="10" t="s">
        <v>67</v>
      </c>
      <c r="E156" s="21" t="str">
        <f t="shared" si="25"/>
        <v>生命</v>
      </c>
      <c r="F156" s="21" t="str">
        <f t="shared" si="26"/>
        <v>数值</v>
      </c>
      <c r="G156" s="1">
        <f t="shared" si="27"/>
        <v>41103</v>
      </c>
      <c r="H156" s="38" t="str">
        <f t="shared" si="28"/>
        <v>进阶+3：生命提高15000</v>
      </c>
      <c r="I156" s="1">
        <f t="shared" si="29"/>
        <v>1</v>
      </c>
      <c r="J156" s="1">
        <f>VLOOKUP(E156,Sheet3!$I$57:$J$65,2,FALSE)</f>
        <v>1</v>
      </c>
      <c r="K156" s="1">
        <f>VLOOKUP(A156,Sheet3!$A$51:$E$230,4,FALSE)</f>
        <v>14999.999999999998</v>
      </c>
      <c r="L156" s="1">
        <f t="shared" si="30"/>
        <v>0</v>
      </c>
      <c r="M156" s="1">
        <f t="shared" si="31"/>
        <v>1</v>
      </c>
    </row>
    <row r="157" spans="1:13">
      <c r="A157" s="10">
        <v>11104</v>
      </c>
      <c r="B157" s="10" t="str">
        <f>VLOOKUP(A157,Sheet3!$A$51:$E$230,5,FALSE)</f>
        <v>伤害加成|百分比</v>
      </c>
      <c r="C157" s="19">
        <f t="shared" si="24"/>
        <v>41104</v>
      </c>
      <c r="D157" s="10" t="s">
        <v>67</v>
      </c>
      <c r="E157" s="21" t="str">
        <f t="shared" si="25"/>
        <v>伤害加成</v>
      </c>
      <c r="F157" s="21" t="str">
        <f t="shared" si="26"/>
        <v>百分比</v>
      </c>
      <c r="G157" s="1">
        <f t="shared" si="27"/>
        <v>41104</v>
      </c>
      <c r="H157" s="38" t="str">
        <f t="shared" si="28"/>
        <v>进阶+4：伤害加成提高10%</v>
      </c>
      <c r="I157" s="1">
        <f t="shared" si="29"/>
        <v>1</v>
      </c>
      <c r="J157" s="1">
        <f>VLOOKUP(E157,Sheet3!$I$57:$J$65,2,FALSE)</f>
        <v>11</v>
      </c>
      <c r="K157" s="1">
        <f>VLOOKUP(A157,Sheet3!$A$51:$E$230,4,FALSE)</f>
        <v>0.1</v>
      </c>
      <c r="L157" s="1">
        <f t="shared" si="30"/>
        <v>0</v>
      </c>
      <c r="M157" s="1">
        <f t="shared" si="31"/>
        <v>1</v>
      </c>
    </row>
    <row r="158" spans="1:13">
      <c r="A158" s="10">
        <v>11105</v>
      </c>
      <c r="B158" s="10" t="str">
        <f>VLOOKUP(A158,Sheet3!$A$51:$E$230,5,FALSE)</f>
        <v>攻击|数值</v>
      </c>
      <c r="C158" s="19">
        <f t="shared" si="24"/>
        <v>41105</v>
      </c>
      <c r="D158" s="10" t="s">
        <v>67</v>
      </c>
      <c r="E158" s="21" t="str">
        <f t="shared" si="25"/>
        <v>攻击</v>
      </c>
      <c r="F158" s="21" t="str">
        <f t="shared" si="26"/>
        <v>数值</v>
      </c>
      <c r="G158" s="1">
        <f t="shared" si="27"/>
        <v>41105</v>
      </c>
      <c r="H158" s="38" t="str">
        <f t="shared" si="28"/>
        <v>进阶+5：攻击提高300</v>
      </c>
      <c r="I158" s="1">
        <f t="shared" si="29"/>
        <v>1</v>
      </c>
      <c r="J158" s="1">
        <f>VLOOKUP(E158,Sheet3!$I$57:$J$65,2,FALSE)</f>
        <v>3</v>
      </c>
      <c r="K158" s="1">
        <f>VLOOKUP(A158,Sheet3!$A$51:$E$230,4,FALSE)</f>
        <v>300</v>
      </c>
      <c r="L158" s="1">
        <f t="shared" si="30"/>
        <v>0</v>
      </c>
      <c r="M158" s="1">
        <f t="shared" si="31"/>
        <v>1</v>
      </c>
    </row>
    <row r="159" spans="1:13">
      <c r="A159" s="10">
        <v>11106</v>
      </c>
      <c r="B159" s="10" t="str">
        <f>VLOOKUP(A159,Sheet3!$A$51:$E$230,5,FALSE)</f>
        <v>暴击率|光环百分比</v>
      </c>
      <c r="C159" s="19">
        <f t="shared" si="24"/>
        <v>41106</v>
      </c>
      <c r="D159" s="10" t="s">
        <v>67</v>
      </c>
      <c r="E159" s="21" t="str">
        <f t="shared" si="25"/>
        <v>暴击率</v>
      </c>
      <c r="F159" s="21" t="str">
        <f t="shared" si="26"/>
        <v>光环百分比</v>
      </c>
      <c r="G159" s="1">
        <f t="shared" si="27"/>
        <v>41106</v>
      </c>
      <c r="H159" s="38" t="str">
        <f t="shared" si="28"/>
        <v>进阶+6：全体暴击率提高16%</v>
      </c>
      <c r="I159" s="1">
        <f t="shared" si="29"/>
        <v>2</v>
      </c>
      <c r="J159" s="1">
        <f>VLOOKUP(E159,Sheet3!$I$57:$J$65,2,FALSE)</f>
        <v>8</v>
      </c>
      <c r="K159" s="1">
        <f>VLOOKUP(A159,Sheet3!$A$51:$E$230,4,FALSE)</f>
        <v>0.16</v>
      </c>
      <c r="L159" s="1">
        <f t="shared" si="30"/>
        <v>0</v>
      </c>
      <c r="M159" s="1">
        <f t="shared" si="31"/>
        <v>1</v>
      </c>
    </row>
    <row r="160" spans="1:13">
      <c r="A160" s="10">
        <v>11107</v>
      </c>
      <c r="B160" s="10" t="str">
        <f>VLOOKUP(A160,Sheet3!$A$51:$E$230,5,FALSE)</f>
        <v>防御|光环数值</v>
      </c>
      <c r="C160" s="19" t="str">
        <f t="shared" si="24"/>
        <v>41107,46107</v>
      </c>
      <c r="D160" s="10" t="s">
        <v>67</v>
      </c>
      <c r="E160" s="21" t="str">
        <f t="shared" si="25"/>
        <v>防御</v>
      </c>
      <c r="F160" s="21" t="str">
        <f t="shared" si="26"/>
        <v>光环数值</v>
      </c>
      <c r="G160" s="1">
        <f t="shared" si="27"/>
        <v>41107</v>
      </c>
      <c r="H160" s="38" t="str">
        <f t="shared" si="28"/>
        <v>进阶+7：全体防御提高400</v>
      </c>
      <c r="I160" s="1">
        <f t="shared" si="29"/>
        <v>2</v>
      </c>
      <c r="J160" s="1">
        <f>VLOOKUP(E160,Sheet3!$I$57:$J$65,2,FALSE)</f>
        <v>4</v>
      </c>
      <c r="K160" s="1">
        <f>VLOOKUP(A160,Sheet3!$A$51:$E$230,4,FALSE)</f>
        <v>400</v>
      </c>
      <c r="L160" s="1">
        <f t="shared" si="30"/>
        <v>0</v>
      </c>
      <c r="M160" s="1">
        <f t="shared" si="31"/>
        <v>1</v>
      </c>
    </row>
    <row r="161" spans="1:13">
      <c r="A161" s="10">
        <v>11108</v>
      </c>
      <c r="B161" s="10" t="str">
        <f>VLOOKUP(A161,Sheet3!$A$51:$E$230,5,FALSE)</f>
        <v>防御|百分比</v>
      </c>
      <c r="C161" s="19" t="str">
        <f t="shared" si="24"/>
        <v>41108,46108</v>
      </c>
      <c r="D161" s="10" t="s">
        <v>67</v>
      </c>
      <c r="E161" s="21" t="str">
        <f t="shared" si="25"/>
        <v>防御</v>
      </c>
      <c r="F161" s="21" t="str">
        <f t="shared" si="26"/>
        <v>百分比</v>
      </c>
      <c r="G161" s="1">
        <f t="shared" si="27"/>
        <v>41108</v>
      </c>
      <c r="H161" s="38" t="str">
        <f t="shared" si="28"/>
        <v>进阶+8：防御提高10%</v>
      </c>
      <c r="I161" s="1">
        <f t="shared" si="29"/>
        <v>1</v>
      </c>
      <c r="J161" s="1">
        <f>VLOOKUP(E161,Sheet3!$I$57:$J$65,2,FALSE)</f>
        <v>4</v>
      </c>
      <c r="K161" s="1">
        <f>VLOOKUP(A161,Sheet3!$A$51:$E$230,4,FALSE)</f>
        <v>0.1</v>
      </c>
      <c r="L161" s="1">
        <f t="shared" si="30"/>
        <v>1</v>
      </c>
      <c r="M161" s="1">
        <f t="shared" si="31"/>
        <v>5</v>
      </c>
    </row>
    <row r="162" spans="1:13">
      <c r="A162" s="10">
        <v>11109</v>
      </c>
      <c r="B162" s="10" t="str">
        <f>VLOOKUP(A162,Sheet3!$A$51:$E$230,5,FALSE)</f>
        <v>生命|光环数值</v>
      </c>
      <c r="C162" s="19">
        <f t="shared" si="24"/>
        <v>41109</v>
      </c>
      <c r="D162" s="10" t="s">
        <v>67</v>
      </c>
      <c r="E162" s="21" t="str">
        <f t="shared" si="25"/>
        <v>生命</v>
      </c>
      <c r="F162" s="21" t="str">
        <f t="shared" si="26"/>
        <v>光环数值</v>
      </c>
      <c r="G162" s="1">
        <f t="shared" si="27"/>
        <v>41109</v>
      </c>
      <c r="H162" s="38" t="str">
        <f t="shared" si="28"/>
        <v>进阶+9：全体生命提高30000</v>
      </c>
      <c r="I162" s="1">
        <f t="shared" si="29"/>
        <v>2</v>
      </c>
      <c r="J162" s="1">
        <f>VLOOKUP(E162,Sheet3!$I$57:$J$65,2,FALSE)</f>
        <v>1</v>
      </c>
      <c r="K162" s="1">
        <f>VLOOKUP(A162,Sheet3!$A$51:$E$230,4,FALSE)</f>
        <v>29999.999999999996</v>
      </c>
      <c r="L162" s="1">
        <f t="shared" si="30"/>
        <v>0</v>
      </c>
      <c r="M162" s="1">
        <f t="shared" si="31"/>
        <v>1</v>
      </c>
    </row>
    <row r="163" spans="1:13">
      <c r="A163" s="10">
        <v>11110</v>
      </c>
      <c r="B163" s="10" t="str">
        <f>VLOOKUP(A163,Sheet3!$A$51:$E$230,5,FALSE)</f>
        <v>生命|百分比</v>
      </c>
      <c r="C163" s="19">
        <f t="shared" si="24"/>
        <v>41110</v>
      </c>
      <c r="D163" s="10" t="s">
        <v>67</v>
      </c>
      <c r="E163" s="21" t="str">
        <f t="shared" si="25"/>
        <v>生命</v>
      </c>
      <c r="F163" s="21" t="str">
        <f t="shared" si="26"/>
        <v>百分比</v>
      </c>
      <c r="G163" s="1">
        <f t="shared" si="27"/>
        <v>41110</v>
      </c>
      <c r="H163" s="38" t="str">
        <f t="shared" si="28"/>
        <v>进阶+10：生命提高15%</v>
      </c>
      <c r="I163" s="1">
        <f t="shared" si="29"/>
        <v>1</v>
      </c>
      <c r="J163" s="1">
        <f>VLOOKUP(E163,Sheet3!$I$57:$J$65,2,FALSE)</f>
        <v>1</v>
      </c>
      <c r="K163" s="1">
        <f>VLOOKUP(A163,Sheet3!$A$51:$E$230,4,FALSE)</f>
        <v>0.15</v>
      </c>
      <c r="L163" s="1">
        <f t="shared" si="30"/>
        <v>1</v>
      </c>
      <c r="M163" s="1">
        <f t="shared" si="31"/>
        <v>5</v>
      </c>
    </row>
    <row r="164" spans="1:13">
      <c r="A164" s="10">
        <v>11111</v>
      </c>
      <c r="B164" s="10" t="str">
        <f>VLOOKUP(A164,Sheet3!$A$51:$E$230,5,FALSE)</f>
        <v>攻击|光环数值</v>
      </c>
      <c r="C164" s="19">
        <f t="shared" ref="C164:C183" si="32">IF(MID(B164,1,SEARCH("|",B164)-1)="防御",A164+30000&amp;","&amp;A164+35000,A164+30000)</f>
        <v>41111</v>
      </c>
      <c r="D164" s="10" t="s">
        <v>67</v>
      </c>
      <c r="E164" s="21" t="str">
        <f t="shared" ref="E164:E183" si="33">MID(B164,1,SEARCH("|",B164)-1)</f>
        <v>攻击</v>
      </c>
      <c r="F164" s="21" t="str">
        <f t="shared" ref="F164:F183" si="34">MID(B164,SEARCH("|",B164)+1,5)</f>
        <v>光环数值</v>
      </c>
      <c r="G164" s="1">
        <f t="shared" ref="G164:G183" si="35">A164+30000</f>
        <v>41111</v>
      </c>
      <c r="H164" s="38" t="str">
        <f t="shared" si="28"/>
        <v>进阶+11：全体攻击提高600</v>
      </c>
      <c r="I164" s="1">
        <f t="shared" si="29"/>
        <v>2</v>
      </c>
      <c r="J164" s="1">
        <f>VLOOKUP(E164,Sheet3!$I$57:$J$65,2,FALSE)</f>
        <v>3</v>
      </c>
      <c r="K164" s="1">
        <f>VLOOKUP(A164,Sheet3!$A$51:$E$230,4,FALSE)</f>
        <v>600</v>
      </c>
      <c r="L164" s="1">
        <f t="shared" si="30"/>
        <v>0</v>
      </c>
      <c r="M164" s="1">
        <f t="shared" si="31"/>
        <v>1</v>
      </c>
    </row>
    <row r="165" spans="1:13">
      <c r="A165" s="10">
        <v>11112</v>
      </c>
      <c r="B165" s="10" t="str">
        <f>VLOOKUP(A165,Sheet3!$A$51:$E$230,5,FALSE)</f>
        <v>攻击|百分比</v>
      </c>
      <c r="C165" s="19">
        <f t="shared" si="32"/>
        <v>41112</v>
      </c>
      <c r="D165" s="10" t="s">
        <v>67</v>
      </c>
      <c r="E165" s="21" t="str">
        <f t="shared" si="33"/>
        <v>攻击</v>
      </c>
      <c r="F165" s="21" t="str">
        <f t="shared" si="34"/>
        <v>百分比</v>
      </c>
      <c r="G165" s="1">
        <f t="shared" si="35"/>
        <v>41112</v>
      </c>
      <c r="H165" s="38" t="str">
        <f t="shared" si="28"/>
        <v>进阶+12：攻击提高15%</v>
      </c>
      <c r="I165" s="1">
        <f t="shared" si="29"/>
        <v>1</v>
      </c>
      <c r="J165" s="1">
        <f>VLOOKUP(E165,Sheet3!$I$57:$J$65,2,FALSE)</f>
        <v>3</v>
      </c>
      <c r="K165" s="1">
        <f>VLOOKUP(A165,Sheet3!$A$51:$E$230,4,FALSE)</f>
        <v>0.15</v>
      </c>
      <c r="L165" s="1">
        <f t="shared" si="30"/>
        <v>1</v>
      </c>
      <c r="M165" s="1">
        <f t="shared" si="31"/>
        <v>5</v>
      </c>
    </row>
    <row r="166" spans="1:13">
      <c r="A166" s="10">
        <v>11113</v>
      </c>
      <c r="B166" s="10" t="str">
        <f>VLOOKUP(A166,Sheet3!$A$51:$E$230,5,FALSE)</f>
        <v>防御|百分比</v>
      </c>
      <c r="C166" s="19" t="str">
        <f t="shared" si="32"/>
        <v>41113,46113</v>
      </c>
      <c r="D166" s="10" t="s">
        <v>67</v>
      </c>
      <c r="E166" s="21" t="str">
        <f t="shared" si="33"/>
        <v>防御</v>
      </c>
      <c r="F166" s="21" t="str">
        <f t="shared" si="34"/>
        <v>百分比</v>
      </c>
      <c r="G166" s="1">
        <f t="shared" si="35"/>
        <v>41113</v>
      </c>
      <c r="H166" s="38" t="str">
        <f t="shared" si="28"/>
        <v>进阶+13：防御提高20%</v>
      </c>
      <c r="I166" s="1">
        <f t="shared" si="29"/>
        <v>1</v>
      </c>
      <c r="J166" s="1">
        <f>VLOOKUP(E166,Sheet3!$I$57:$J$65,2,FALSE)</f>
        <v>4</v>
      </c>
      <c r="K166" s="1">
        <f>VLOOKUP(A166,Sheet3!$A$51:$E$230,4,FALSE)</f>
        <v>0.2</v>
      </c>
      <c r="L166" s="1">
        <f t="shared" si="30"/>
        <v>1</v>
      </c>
      <c r="M166" s="1">
        <f t="shared" si="31"/>
        <v>5</v>
      </c>
    </row>
    <row r="167" spans="1:13">
      <c r="A167" s="10">
        <v>11114</v>
      </c>
      <c r="B167" s="10" t="str">
        <f>VLOOKUP(A167,Sheet3!$A$51:$E$230,5,FALSE)</f>
        <v>生命|百分比</v>
      </c>
      <c r="C167" s="19">
        <f t="shared" si="32"/>
        <v>41114</v>
      </c>
      <c r="D167" s="10" t="s">
        <v>67</v>
      </c>
      <c r="E167" s="21" t="str">
        <f t="shared" si="33"/>
        <v>生命</v>
      </c>
      <c r="F167" s="21" t="str">
        <f t="shared" si="34"/>
        <v>百分比</v>
      </c>
      <c r="G167" s="1">
        <f t="shared" si="35"/>
        <v>41114</v>
      </c>
      <c r="H167" s="38" t="str">
        <f t="shared" si="28"/>
        <v>进阶+14：生命提高25%</v>
      </c>
      <c r="I167" s="1">
        <f t="shared" si="29"/>
        <v>1</v>
      </c>
      <c r="J167" s="1">
        <f>VLOOKUP(E167,Sheet3!$I$57:$J$65,2,FALSE)</f>
        <v>1</v>
      </c>
      <c r="K167" s="1">
        <f>VLOOKUP(A167,Sheet3!$A$51:$E$230,4,FALSE)</f>
        <v>0.25</v>
      </c>
      <c r="L167" s="1">
        <f t="shared" si="30"/>
        <v>1</v>
      </c>
      <c r="M167" s="1">
        <f t="shared" si="31"/>
        <v>5</v>
      </c>
    </row>
    <row r="168" spans="1:13">
      <c r="A168" s="10">
        <v>11115</v>
      </c>
      <c r="B168" s="10" t="str">
        <f>VLOOKUP(A168,Sheet3!$A$51:$E$230,5,FALSE)</f>
        <v>攻击|百分比</v>
      </c>
      <c r="C168" s="19">
        <f t="shared" si="32"/>
        <v>41115</v>
      </c>
      <c r="D168" s="10" t="s">
        <v>67</v>
      </c>
      <c r="E168" s="21" t="str">
        <f t="shared" si="33"/>
        <v>攻击</v>
      </c>
      <c r="F168" s="21" t="str">
        <f t="shared" si="34"/>
        <v>百分比</v>
      </c>
      <c r="G168" s="1">
        <f t="shared" si="35"/>
        <v>41115</v>
      </c>
      <c r="H168" s="38" t="str">
        <f t="shared" si="28"/>
        <v>进阶+15：攻击提高25%</v>
      </c>
      <c r="I168" s="1">
        <f t="shared" si="29"/>
        <v>1</v>
      </c>
      <c r="J168" s="1">
        <f>VLOOKUP(E168,Sheet3!$I$57:$J$65,2,FALSE)</f>
        <v>3</v>
      </c>
      <c r="K168" s="1">
        <f>VLOOKUP(A168,Sheet3!$A$51:$E$230,4,FALSE)</f>
        <v>0.25</v>
      </c>
      <c r="L168" s="1">
        <f t="shared" si="30"/>
        <v>1</v>
      </c>
      <c r="M168" s="1">
        <f t="shared" si="31"/>
        <v>5</v>
      </c>
    </row>
    <row r="169" spans="1:13">
      <c r="A169" s="10">
        <v>11201</v>
      </c>
      <c r="B169" s="10" t="str">
        <f>VLOOKUP(A169,Sheet3!$A$51:$E$230,5,FALSE)</f>
        <v>防御|数值</v>
      </c>
      <c r="C169" s="19" t="str">
        <f t="shared" si="32"/>
        <v>41201,46201</v>
      </c>
      <c r="D169" s="10" t="s">
        <v>67</v>
      </c>
      <c r="E169" s="21" t="str">
        <f t="shared" si="33"/>
        <v>防御</v>
      </c>
      <c r="F169" s="21" t="str">
        <f t="shared" si="34"/>
        <v>数值</v>
      </c>
      <c r="G169" s="1">
        <f t="shared" si="35"/>
        <v>41201</v>
      </c>
      <c r="H169" s="38" t="str">
        <f t="shared" si="28"/>
        <v>进阶+1：防御提高100</v>
      </c>
      <c r="I169" s="1">
        <f t="shared" si="29"/>
        <v>1</v>
      </c>
      <c r="J169" s="1">
        <f>VLOOKUP(E169,Sheet3!$I$57:$J$65,2,FALSE)</f>
        <v>4</v>
      </c>
      <c r="K169" s="1">
        <f>VLOOKUP(A169,Sheet3!$A$51:$E$230,4,FALSE)</f>
        <v>100</v>
      </c>
      <c r="L169" s="1">
        <f t="shared" si="30"/>
        <v>0</v>
      </c>
      <c r="M169" s="1">
        <f t="shared" si="31"/>
        <v>1</v>
      </c>
    </row>
    <row r="170" spans="1:13">
      <c r="A170" s="10">
        <v>11202</v>
      </c>
      <c r="B170" s="10" t="str">
        <f>VLOOKUP(A170,Sheet3!$A$51:$E$230,5,FALSE)</f>
        <v>命中率|百分比</v>
      </c>
      <c r="C170" s="19">
        <f t="shared" si="32"/>
        <v>41202</v>
      </c>
      <c r="D170" s="10" t="s">
        <v>67</v>
      </c>
      <c r="E170" s="21" t="str">
        <f t="shared" si="33"/>
        <v>命中率</v>
      </c>
      <c r="F170" s="21" t="str">
        <f t="shared" si="34"/>
        <v>百分比</v>
      </c>
      <c r="G170" s="1">
        <f t="shared" si="35"/>
        <v>41202</v>
      </c>
      <c r="H170" s="38" t="str">
        <f t="shared" si="28"/>
        <v>进阶+2：命中率提高5%</v>
      </c>
      <c r="I170" s="1">
        <f t="shared" si="29"/>
        <v>1</v>
      </c>
      <c r="J170" s="1">
        <f>VLOOKUP(E170,Sheet3!$I$57:$J$65,2,FALSE)</f>
        <v>6</v>
      </c>
      <c r="K170" s="1">
        <f>VLOOKUP(A170,Sheet3!$A$51:$E$230,4,FALSE)</f>
        <v>0.05</v>
      </c>
      <c r="L170" s="1">
        <f t="shared" si="30"/>
        <v>0</v>
      </c>
      <c r="M170" s="1">
        <f t="shared" si="31"/>
        <v>1</v>
      </c>
    </row>
    <row r="171" spans="1:13">
      <c r="A171" s="10">
        <v>11203</v>
      </c>
      <c r="B171" s="10" t="str">
        <f>VLOOKUP(A171,Sheet3!$A$51:$E$230,5,FALSE)</f>
        <v>生命|数值</v>
      </c>
      <c r="C171" s="19">
        <f t="shared" si="32"/>
        <v>41203</v>
      </c>
      <c r="D171" s="10" t="s">
        <v>67</v>
      </c>
      <c r="E171" s="21" t="str">
        <f t="shared" si="33"/>
        <v>生命</v>
      </c>
      <c r="F171" s="21" t="str">
        <f t="shared" si="34"/>
        <v>数值</v>
      </c>
      <c r="G171" s="1">
        <f t="shared" si="35"/>
        <v>41203</v>
      </c>
      <c r="H171" s="38" t="str">
        <f t="shared" si="28"/>
        <v>进阶+3：生命提高15000</v>
      </c>
      <c r="I171" s="1">
        <f t="shared" si="29"/>
        <v>1</v>
      </c>
      <c r="J171" s="1">
        <f>VLOOKUP(E171,Sheet3!$I$57:$J$65,2,FALSE)</f>
        <v>1</v>
      </c>
      <c r="K171" s="1">
        <f>VLOOKUP(A171,Sheet3!$A$51:$E$230,4,FALSE)</f>
        <v>14999.999999999998</v>
      </c>
      <c r="L171" s="1">
        <f t="shared" si="30"/>
        <v>0</v>
      </c>
      <c r="M171" s="1">
        <f t="shared" si="31"/>
        <v>1</v>
      </c>
    </row>
    <row r="172" spans="1:13">
      <c r="A172" s="10">
        <v>11204</v>
      </c>
      <c r="B172" s="10" t="str">
        <f>VLOOKUP(A172,Sheet3!$A$51:$E$230,5,FALSE)</f>
        <v>暴击率|百分比</v>
      </c>
      <c r="C172" s="19">
        <f t="shared" si="32"/>
        <v>41204</v>
      </c>
      <c r="D172" s="10" t="s">
        <v>67</v>
      </c>
      <c r="E172" s="21" t="str">
        <f t="shared" si="33"/>
        <v>暴击率</v>
      </c>
      <c r="F172" s="21" t="str">
        <f t="shared" si="34"/>
        <v>百分比</v>
      </c>
      <c r="G172" s="1">
        <f t="shared" si="35"/>
        <v>41204</v>
      </c>
      <c r="H172" s="38" t="str">
        <f t="shared" si="28"/>
        <v>进阶+4：暴击率提高20%</v>
      </c>
      <c r="I172" s="1">
        <f t="shared" si="29"/>
        <v>1</v>
      </c>
      <c r="J172" s="1">
        <f>VLOOKUP(E172,Sheet3!$I$57:$J$65,2,FALSE)</f>
        <v>8</v>
      </c>
      <c r="K172" s="1">
        <f>VLOOKUP(A172,Sheet3!$A$51:$E$230,4,FALSE)</f>
        <v>0.2</v>
      </c>
      <c r="L172" s="1">
        <f t="shared" si="30"/>
        <v>0</v>
      </c>
      <c r="M172" s="1">
        <f t="shared" si="31"/>
        <v>1</v>
      </c>
    </row>
    <row r="173" spans="1:13">
      <c r="A173" s="10">
        <v>11205</v>
      </c>
      <c r="B173" s="10" t="str">
        <f>VLOOKUP(A173,Sheet3!$A$51:$E$230,5,FALSE)</f>
        <v>攻击|数值</v>
      </c>
      <c r="C173" s="19">
        <f t="shared" si="32"/>
        <v>41205</v>
      </c>
      <c r="D173" s="10" t="s">
        <v>67</v>
      </c>
      <c r="E173" s="21" t="str">
        <f t="shared" si="33"/>
        <v>攻击</v>
      </c>
      <c r="F173" s="21" t="str">
        <f t="shared" si="34"/>
        <v>数值</v>
      </c>
      <c r="G173" s="1">
        <f t="shared" si="35"/>
        <v>41205</v>
      </c>
      <c r="H173" s="38" t="str">
        <f t="shared" si="28"/>
        <v>进阶+5：攻击提高300</v>
      </c>
      <c r="I173" s="1">
        <f t="shared" si="29"/>
        <v>1</v>
      </c>
      <c r="J173" s="1">
        <f>VLOOKUP(E173,Sheet3!$I$57:$J$65,2,FALSE)</f>
        <v>3</v>
      </c>
      <c r="K173" s="1">
        <f>VLOOKUP(A173,Sheet3!$A$51:$E$230,4,FALSE)</f>
        <v>300</v>
      </c>
      <c r="L173" s="1">
        <f t="shared" si="30"/>
        <v>0</v>
      </c>
      <c r="M173" s="1">
        <f t="shared" si="31"/>
        <v>1</v>
      </c>
    </row>
    <row r="174" spans="1:13">
      <c r="A174" s="10">
        <v>11206</v>
      </c>
      <c r="B174" s="10" t="str">
        <f>VLOOKUP(A174,Sheet3!$A$51:$E$230,5,FALSE)</f>
        <v>伤害加成|光环百分比</v>
      </c>
      <c r="C174" s="19">
        <f t="shared" si="32"/>
        <v>41206</v>
      </c>
      <c r="D174" s="10" t="s">
        <v>67</v>
      </c>
      <c r="E174" s="21" t="str">
        <f t="shared" si="33"/>
        <v>伤害加成</v>
      </c>
      <c r="F174" s="21" t="str">
        <f t="shared" si="34"/>
        <v>光环百分比</v>
      </c>
      <c r="G174" s="1">
        <f t="shared" si="35"/>
        <v>41206</v>
      </c>
      <c r="H174" s="38" t="str">
        <f t="shared" si="28"/>
        <v>进阶+6：全体伤害加成提高8%</v>
      </c>
      <c r="I174" s="1">
        <f t="shared" si="29"/>
        <v>2</v>
      </c>
      <c r="J174" s="1">
        <f>VLOOKUP(E174,Sheet3!$I$57:$J$65,2,FALSE)</f>
        <v>11</v>
      </c>
      <c r="K174" s="1">
        <f>VLOOKUP(A174,Sheet3!$A$51:$E$230,4,FALSE)</f>
        <v>0.08</v>
      </c>
      <c r="L174" s="1">
        <f t="shared" si="30"/>
        <v>0</v>
      </c>
      <c r="M174" s="1">
        <f t="shared" si="31"/>
        <v>1</v>
      </c>
    </row>
    <row r="175" spans="1:13">
      <c r="A175" s="10">
        <v>11207</v>
      </c>
      <c r="B175" s="10" t="str">
        <f>VLOOKUP(A175,Sheet3!$A$51:$E$230,5,FALSE)</f>
        <v>防御|光环数值</v>
      </c>
      <c r="C175" s="19" t="str">
        <f t="shared" si="32"/>
        <v>41207,46207</v>
      </c>
      <c r="D175" s="10" t="s">
        <v>67</v>
      </c>
      <c r="E175" s="21" t="str">
        <f t="shared" si="33"/>
        <v>防御</v>
      </c>
      <c r="F175" s="21" t="str">
        <f t="shared" si="34"/>
        <v>光环数值</v>
      </c>
      <c r="G175" s="1">
        <f t="shared" si="35"/>
        <v>41207</v>
      </c>
      <c r="H175" s="38" t="str">
        <f t="shared" si="28"/>
        <v>进阶+7：全体防御提高400</v>
      </c>
      <c r="I175" s="1">
        <f t="shared" si="29"/>
        <v>2</v>
      </c>
      <c r="J175" s="1">
        <f>VLOOKUP(E175,Sheet3!$I$57:$J$65,2,FALSE)</f>
        <v>4</v>
      </c>
      <c r="K175" s="1">
        <f>VLOOKUP(A175,Sheet3!$A$51:$E$230,4,FALSE)</f>
        <v>400</v>
      </c>
      <c r="L175" s="1">
        <f t="shared" si="30"/>
        <v>0</v>
      </c>
      <c r="M175" s="1">
        <f t="shared" si="31"/>
        <v>1</v>
      </c>
    </row>
    <row r="176" spans="1:13">
      <c r="A176" s="10">
        <v>11208</v>
      </c>
      <c r="B176" s="10" t="str">
        <f>VLOOKUP(A176,Sheet3!$A$51:$E$230,5,FALSE)</f>
        <v>防御|百分比</v>
      </c>
      <c r="C176" s="19" t="str">
        <f t="shared" si="32"/>
        <v>41208,46208</v>
      </c>
      <c r="D176" s="10" t="s">
        <v>67</v>
      </c>
      <c r="E176" s="21" t="str">
        <f t="shared" si="33"/>
        <v>防御</v>
      </c>
      <c r="F176" s="21" t="str">
        <f t="shared" si="34"/>
        <v>百分比</v>
      </c>
      <c r="G176" s="1">
        <f t="shared" si="35"/>
        <v>41208</v>
      </c>
      <c r="H176" s="38" t="str">
        <f t="shared" si="28"/>
        <v>进阶+8：防御提高10%</v>
      </c>
      <c r="I176" s="1">
        <f t="shared" si="29"/>
        <v>1</v>
      </c>
      <c r="J176" s="1">
        <f>VLOOKUP(E176,Sheet3!$I$57:$J$65,2,FALSE)</f>
        <v>4</v>
      </c>
      <c r="K176" s="1">
        <f>VLOOKUP(A176,Sheet3!$A$51:$E$230,4,FALSE)</f>
        <v>0.1</v>
      </c>
      <c r="L176" s="1">
        <f t="shared" si="30"/>
        <v>1</v>
      </c>
      <c r="M176" s="1">
        <f t="shared" si="31"/>
        <v>5</v>
      </c>
    </row>
    <row r="177" spans="1:13">
      <c r="A177" s="10">
        <v>11209</v>
      </c>
      <c r="B177" s="10" t="str">
        <f>VLOOKUP(A177,Sheet3!$A$51:$E$230,5,FALSE)</f>
        <v>生命|光环数值</v>
      </c>
      <c r="C177" s="19">
        <f t="shared" si="32"/>
        <v>41209</v>
      </c>
      <c r="D177" s="10" t="s">
        <v>67</v>
      </c>
      <c r="E177" s="21" t="str">
        <f t="shared" si="33"/>
        <v>生命</v>
      </c>
      <c r="F177" s="21" t="str">
        <f t="shared" si="34"/>
        <v>光环数值</v>
      </c>
      <c r="G177" s="1">
        <f t="shared" si="35"/>
        <v>41209</v>
      </c>
      <c r="H177" s="38" t="str">
        <f t="shared" si="28"/>
        <v>进阶+9：全体生命提高30000</v>
      </c>
      <c r="I177" s="1">
        <f t="shared" si="29"/>
        <v>2</v>
      </c>
      <c r="J177" s="1">
        <f>VLOOKUP(E177,Sheet3!$I$57:$J$65,2,FALSE)</f>
        <v>1</v>
      </c>
      <c r="K177" s="1">
        <f>VLOOKUP(A177,Sheet3!$A$51:$E$230,4,FALSE)</f>
        <v>29999.999999999996</v>
      </c>
      <c r="L177" s="1">
        <f t="shared" si="30"/>
        <v>0</v>
      </c>
      <c r="M177" s="1">
        <f t="shared" si="31"/>
        <v>1</v>
      </c>
    </row>
    <row r="178" spans="1:13">
      <c r="A178" s="10">
        <v>11210</v>
      </c>
      <c r="B178" s="10" t="str">
        <f>VLOOKUP(A178,Sheet3!$A$51:$E$230,5,FALSE)</f>
        <v>生命|百分比</v>
      </c>
      <c r="C178" s="19">
        <f t="shared" si="32"/>
        <v>41210</v>
      </c>
      <c r="D178" s="10" t="s">
        <v>67</v>
      </c>
      <c r="E178" s="21" t="str">
        <f t="shared" si="33"/>
        <v>生命</v>
      </c>
      <c r="F178" s="21" t="str">
        <f t="shared" si="34"/>
        <v>百分比</v>
      </c>
      <c r="G178" s="1">
        <f t="shared" si="35"/>
        <v>41210</v>
      </c>
      <c r="H178" s="38" t="str">
        <f t="shared" si="28"/>
        <v>进阶+10：生命提高15%</v>
      </c>
      <c r="I178" s="1">
        <f t="shared" si="29"/>
        <v>1</v>
      </c>
      <c r="J178" s="1">
        <f>VLOOKUP(E178,Sheet3!$I$57:$J$65,2,FALSE)</f>
        <v>1</v>
      </c>
      <c r="K178" s="1">
        <f>VLOOKUP(A178,Sheet3!$A$51:$E$230,4,FALSE)</f>
        <v>0.15</v>
      </c>
      <c r="L178" s="1">
        <f t="shared" si="30"/>
        <v>1</v>
      </c>
      <c r="M178" s="1">
        <f t="shared" si="31"/>
        <v>5</v>
      </c>
    </row>
    <row r="179" spans="1:13">
      <c r="A179" s="10">
        <v>11211</v>
      </c>
      <c r="B179" s="10" t="str">
        <f>VLOOKUP(A179,Sheet3!$A$51:$E$230,5,FALSE)</f>
        <v>攻击|光环数值</v>
      </c>
      <c r="C179" s="19">
        <f t="shared" si="32"/>
        <v>41211</v>
      </c>
      <c r="D179" s="10" t="s">
        <v>67</v>
      </c>
      <c r="E179" s="21" t="str">
        <f t="shared" si="33"/>
        <v>攻击</v>
      </c>
      <c r="F179" s="21" t="str">
        <f t="shared" si="34"/>
        <v>光环数值</v>
      </c>
      <c r="G179" s="1">
        <f t="shared" si="35"/>
        <v>41211</v>
      </c>
      <c r="H179" s="38" t="str">
        <f t="shared" si="28"/>
        <v>进阶+11：全体攻击提高600</v>
      </c>
      <c r="I179" s="1">
        <f t="shared" si="29"/>
        <v>2</v>
      </c>
      <c r="J179" s="1">
        <f>VLOOKUP(E179,Sheet3!$I$57:$J$65,2,FALSE)</f>
        <v>3</v>
      </c>
      <c r="K179" s="1">
        <f>VLOOKUP(A179,Sheet3!$A$51:$E$230,4,FALSE)</f>
        <v>600</v>
      </c>
      <c r="L179" s="1">
        <f t="shared" si="30"/>
        <v>0</v>
      </c>
      <c r="M179" s="1">
        <f t="shared" si="31"/>
        <v>1</v>
      </c>
    </row>
    <row r="180" spans="1:13">
      <c r="A180" s="10">
        <v>11212</v>
      </c>
      <c r="B180" s="10" t="str">
        <f>VLOOKUP(A180,Sheet3!$A$51:$E$230,5,FALSE)</f>
        <v>攻击|百分比</v>
      </c>
      <c r="C180" s="19">
        <f t="shared" si="32"/>
        <v>41212</v>
      </c>
      <c r="D180" s="10" t="s">
        <v>67</v>
      </c>
      <c r="E180" s="21" t="str">
        <f t="shared" si="33"/>
        <v>攻击</v>
      </c>
      <c r="F180" s="21" t="str">
        <f t="shared" si="34"/>
        <v>百分比</v>
      </c>
      <c r="G180" s="1">
        <f t="shared" si="35"/>
        <v>41212</v>
      </c>
      <c r="H180" s="38" t="str">
        <f t="shared" si="28"/>
        <v>进阶+12：攻击提高15%</v>
      </c>
      <c r="I180" s="1">
        <f t="shared" si="29"/>
        <v>1</v>
      </c>
      <c r="J180" s="1">
        <f>VLOOKUP(E180,Sheet3!$I$57:$J$65,2,FALSE)</f>
        <v>3</v>
      </c>
      <c r="K180" s="1">
        <f>VLOOKUP(A180,Sheet3!$A$51:$E$230,4,FALSE)</f>
        <v>0.15</v>
      </c>
      <c r="L180" s="1">
        <f t="shared" si="30"/>
        <v>1</v>
      </c>
      <c r="M180" s="1">
        <f t="shared" si="31"/>
        <v>5</v>
      </c>
    </row>
    <row r="181" spans="1:13">
      <c r="A181" s="10">
        <v>11213</v>
      </c>
      <c r="B181" s="10" t="str">
        <f>VLOOKUP(A181,Sheet3!$A$51:$E$230,5,FALSE)</f>
        <v>防御|百分比</v>
      </c>
      <c r="C181" s="19" t="str">
        <f t="shared" si="32"/>
        <v>41213,46213</v>
      </c>
      <c r="D181" s="10" t="s">
        <v>67</v>
      </c>
      <c r="E181" s="21" t="str">
        <f t="shared" si="33"/>
        <v>防御</v>
      </c>
      <c r="F181" s="21" t="str">
        <f t="shared" si="34"/>
        <v>百分比</v>
      </c>
      <c r="G181" s="1">
        <f t="shared" si="35"/>
        <v>41213</v>
      </c>
      <c r="H181" s="38" t="str">
        <f t="shared" si="28"/>
        <v>进阶+13：防御提高20%</v>
      </c>
      <c r="I181" s="1">
        <f t="shared" si="29"/>
        <v>1</v>
      </c>
      <c r="J181" s="1">
        <f>VLOOKUP(E181,Sheet3!$I$57:$J$65,2,FALSE)</f>
        <v>4</v>
      </c>
      <c r="K181" s="1">
        <f>VLOOKUP(A181,Sheet3!$A$51:$E$230,4,FALSE)</f>
        <v>0.2</v>
      </c>
      <c r="L181" s="1">
        <f t="shared" si="30"/>
        <v>1</v>
      </c>
      <c r="M181" s="1">
        <f t="shared" si="31"/>
        <v>5</v>
      </c>
    </row>
    <row r="182" spans="1:13">
      <c r="A182" s="10">
        <v>11214</v>
      </c>
      <c r="B182" s="10" t="str">
        <f>VLOOKUP(A182,Sheet3!$A$51:$E$230,5,FALSE)</f>
        <v>生命|百分比</v>
      </c>
      <c r="C182" s="19">
        <f t="shared" si="32"/>
        <v>41214</v>
      </c>
      <c r="D182" s="10" t="s">
        <v>67</v>
      </c>
      <c r="E182" s="21" t="str">
        <f t="shared" si="33"/>
        <v>生命</v>
      </c>
      <c r="F182" s="21" t="str">
        <f t="shared" si="34"/>
        <v>百分比</v>
      </c>
      <c r="G182" s="1">
        <f t="shared" si="35"/>
        <v>41214</v>
      </c>
      <c r="H182" s="38" t="str">
        <f t="shared" si="28"/>
        <v>进阶+14：生命提高25%</v>
      </c>
      <c r="I182" s="1">
        <f t="shared" si="29"/>
        <v>1</v>
      </c>
      <c r="J182" s="1">
        <f>VLOOKUP(E182,Sheet3!$I$57:$J$65,2,FALSE)</f>
        <v>1</v>
      </c>
      <c r="K182" s="1">
        <f>VLOOKUP(A182,Sheet3!$A$51:$E$230,4,FALSE)</f>
        <v>0.25</v>
      </c>
      <c r="L182" s="1">
        <f t="shared" si="30"/>
        <v>1</v>
      </c>
      <c r="M182" s="1">
        <f t="shared" si="31"/>
        <v>5</v>
      </c>
    </row>
    <row r="183" spans="1:13">
      <c r="A183" s="10">
        <v>11215</v>
      </c>
      <c r="B183" s="10" t="str">
        <f>VLOOKUP(A183,Sheet3!$A$51:$E$230,5,FALSE)</f>
        <v>攻击|百分比</v>
      </c>
      <c r="C183" s="19">
        <f t="shared" si="32"/>
        <v>41215</v>
      </c>
      <c r="D183" s="10" t="s">
        <v>67</v>
      </c>
      <c r="E183" s="21" t="str">
        <f t="shared" si="33"/>
        <v>攻击</v>
      </c>
      <c r="F183" s="21" t="str">
        <f t="shared" si="34"/>
        <v>百分比</v>
      </c>
      <c r="G183" s="1">
        <f t="shared" si="35"/>
        <v>41215</v>
      </c>
      <c r="H183" s="38" t="str">
        <f t="shared" si="28"/>
        <v>进阶+15：攻击提高25%</v>
      </c>
      <c r="I183" s="1">
        <f t="shared" si="29"/>
        <v>1</v>
      </c>
      <c r="J183" s="1">
        <f>VLOOKUP(E183,Sheet3!$I$57:$J$65,2,FALSE)</f>
        <v>3</v>
      </c>
      <c r="K183" s="1">
        <f>VLOOKUP(A183,Sheet3!$A$51:$E$230,4,FALSE)</f>
        <v>0.25</v>
      </c>
      <c r="L183" s="1">
        <f t="shared" si="30"/>
        <v>1</v>
      </c>
      <c r="M183" s="1">
        <f t="shared" si="31"/>
        <v>5</v>
      </c>
    </row>
    <row r="184" spans="1:13" s="22" customFormat="1">
      <c r="A184" s="23">
        <v>10101</v>
      </c>
      <c r="B184" s="33" t="s">
        <v>23</v>
      </c>
      <c r="C184" s="8" t="s">
        <v>11</v>
      </c>
      <c r="D184" s="32" t="s">
        <v>2</v>
      </c>
      <c r="E184" s="34" t="s">
        <v>35</v>
      </c>
      <c r="F184" s="34" t="s">
        <v>54</v>
      </c>
      <c r="G184" s="22" t="str">
        <f t="shared" ref="G184:G215" si="36">IF(G4=C4,"",G4+5000)</f>
        <v/>
      </c>
      <c r="H184" s="38" t="e">
        <f t="shared" si="28"/>
        <v>#VALUE!</v>
      </c>
      <c r="I184" s="1">
        <f t="shared" si="29"/>
        <v>1</v>
      </c>
      <c r="J184" s="1">
        <f>VLOOKUP(E184,Sheet3!$I$57:$J$65,2,FALSE)</f>
        <v>1</v>
      </c>
      <c r="K184" s="1">
        <f>VLOOKUP(A184,Sheet3!$A$51:$E$230,4,FALSE)</f>
        <v>2999.9999999999995</v>
      </c>
      <c r="L184" s="1">
        <f t="shared" si="30"/>
        <v>0</v>
      </c>
      <c r="M184" s="1">
        <f t="shared" si="31"/>
        <v>1</v>
      </c>
    </row>
    <row r="185" spans="1:13" s="22" customFormat="1">
      <c r="A185" s="33">
        <v>10102</v>
      </c>
      <c r="B185" s="33" t="s">
        <v>24</v>
      </c>
      <c r="C185" s="8" t="s">
        <v>12</v>
      </c>
      <c r="D185" s="32" t="s">
        <v>2</v>
      </c>
      <c r="E185" s="34" t="s">
        <v>57</v>
      </c>
      <c r="F185" s="34" t="s">
        <v>58</v>
      </c>
      <c r="G185" s="22" t="str">
        <f t="shared" si="36"/>
        <v/>
      </c>
      <c r="H185" s="38" t="e">
        <f t="shared" si="28"/>
        <v>#VALUE!</v>
      </c>
      <c r="I185" s="1">
        <f t="shared" si="29"/>
        <v>1</v>
      </c>
      <c r="J185" s="1">
        <f>VLOOKUP(E185,Sheet3!$I$57:$J$65,2,FALSE)</f>
        <v>9</v>
      </c>
      <c r="K185" s="1">
        <f>VLOOKUP(A185,Sheet3!$A$51:$E$230,4,FALSE)</f>
        <v>0.1</v>
      </c>
      <c r="L185" s="1">
        <f t="shared" si="30"/>
        <v>0</v>
      </c>
      <c r="M185" s="1">
        <f t="shared" si="31"/>
        <v>1</v>
      </c>
    </row>
    <row r="186" spans="1:13" s="22" customFormat="1">
      <c r="A186" s="33">
        <v>10103</v>
      </c>
      <c r="B186" s="33" t="s">
        <v>25</v>
      </c>
      <c r="C186" s="8" t="s">
        <v>13</v>
      </c>
      <c r="D186" s="32" t="s">
        <v>2</v>
      </c>
      <c r="E186" s="34" t="s">
        <v>56</v>
      </c>
      <c r="F186" s="34" t="s">
        <v>54</v>
      </c>
      <c r="G186" s="22">
        <f t="shared" si="36"/>
        <v>45103</v>
      </c>
      <c r="H186" s="38" t="str">
        <f t="shared" si="28"/>
        <v>进阶+3：防御提高150</v>
      </c>
      <c r="I186" s="1">
        <f t="shared" si="29"/>
        <v>1</v>
      </c>
      <c r="J186" s="1">
        <f>VLOOKUP(E186,Sheet3!$I$57:$J$65,2,FALSE)</f>
        <v>4</v>
      </c>
      <c r="K186" s="1">
        <f>VLOOKUP(A186,Sheet3!$A$51:$E$230,4,FALSE)</f>
        <v>150</v>
      </c>
      <c r="L186" s="1">
        <f t="shared" si="30"/>
        <v>0</v>
      </c>
      <c r="M186" s="1">
        <f t="shared" si="31"/>
        <v>1</v>
      </c>
    </row>
    <row r="187" spans="1:13" s="22" customFormat="1">
      <c r="A187" s="33">
        <v>10104</v>
      </c>
      <c r="B187" s="33" t="s">
        <v>26</v>
      </c>
      <c r="C187" s="8" t="s">
        <v>14</v>
      </c>
      <c r="D187" s="32" t="s">
        <v>2</v>
      </c>
      <c r="E187" s="34" t="s">
        <v>62</v>
      </c>
      <c r="F187" s="34" t="s">
        <v>58</v>
      </c>
      <c r="G187" s="22" t="str">
        <f t="shared" si="36"/>
        <v/>
      </c>
      <c r="H187" s="38" t="e">
        <f t="shared" si="28"/>
        <v>#VALUE!</v>
      </c>
      <c r="I187" s="1">
        <f t="shared" si="29"/>
        <v>1</v>
      </c>
      <c r="J187" s="1">
        <f>VLOOKUP(E187,Sheet3!$I$57:$J$65,2,FALSE)</f>
        <v>10</v>
      </c>
      <c r="K187" s="1">
        <f>VLOOKUP(A187,Sheet3!$A$51:$E$230,4,FALSE)</f>
        <v>0.1</v>
      </c>
      <c r="L187" s="1">
        <f t="shared" si="30"/>
        <v>0</v>
      </c>
      <c r="M187" s="1">
        <f t="shared" si="31"/>
        <v>1</v>
      </c>
    </row>
    <row r="188" spans="1:13" s="22" customFormat="1">
      <c r="A188" s="33">
        <v>10105</v>
      </c>
      <c r="B188" s="33" t="s">
        <v>27</v>
      </c>
      <c r="C188" s="8" t="s">
        <v>15</v>
      </c>
      <c r="D188" s="32" t="s">
        <v>2</v>
      </c>
      <c r="E188" s="34" t="s">
        <v>55</v>
      </c>
      <c r="F188" s="34" t="s">
        <v>54</v>
      </c>
      <c r="G188" s="22" t="str">
        <f t="shared" si="36"/>
        <v/>
      </c>
      <c r="H188" s="38" t="e">
        <f t="shared" si="28"/>
        <v>#VALUE!</v>
      </c>
      <c r="I188" s="1">
        <f t="shared" si="29"/>
        <v>1</v>
      </c>
      <c r="J188" s="1">
        <f>VLOOKUP(E188,Sheet3!$I$57:$J$65,2,FALSE)</f>
        <v>3</v>
      </c>
      <c r="K188" s="1">
        <f>VLOOKUP(A188,Sheet3!$A$51:$E$230,4,FALSE)</f>
        <v>300</v>
      </c>
      <c r="L188" s="1">
        <f t="shared" si="30"/>
        <v>0</v>
      </c>
      <c r="M188" s="1">
        <f t="shared" si="31"/>
        <v>1</v>
      </c>
    </row>
    <row r="189" spans="1:13" s="22" customFormat="1">
      <c r="A189" s="33">
        <v>10106</v>
      </c>
      <c r="B189" s="33" t="s">
        <v>28</v>
      </c>
      <c r="C189" s="8" t="s">
        <v>16</v>
      </c>
      <c r="D189" s="32" t="s">
        <v>2</v>
      </c>
      <c r="E189" s="34" t="s">
        <v>59</v>
      </c>
      <c r="F189" s="34" t="s">
        <v>58</v>
      </c>
      <c r="G189" s="22" t="str">
        <f t="shared" si="36"/>
        <v/>
      </c>
      <c r="H189" s="38" t="e">
        <f t="shared" si="28"/>
        <v>#VALUE!</v>
      </c>
      <c r="I189" s="1">
        <f t="shared" si="29"/>
        <v>1</v>
      </c>
      <c r="J189" s="1">
        <f>VLOOKUP(E189,Sheet3!$I$57:$J$65,2,FALSE)</f>
        <v>7</v>
      </c>
      <c r="K189" s="1">
        <f>VLOOKUP(A189,Sheet3!$A$51:$E$230,4,FALSE)</f>
        <v>0.15</v>
      </c>
      <c r="L189" s="1">
        <f t="shared" si="30"/>
        <v>0</v>
      </c>
      <c r="M189" s="1">
        <f t="shared" si="31"/>
        <v>1</v>
      </c>
    </row>
    <row r="190" spans="1:13" s="22" customFormat="1">
      <c r="A190" s="33">
        <v>10107</v>
      </c>
      <c r="B190" s="33" t="s">
        <v>29</v>
      </c>
      <c r="C190" s="8" t="s">
        <v>17</v>
      </c>
      <c r="D190" s="32" t="s">
        <v>2</v>
      </c>
      <c r="E190" s="34" t="s">
        <v>56</v>
      </c>
      <c r="F190" s="34" t="s">
        <v>54</v>
      </c>
      <c r="G190" s="22">
        <f t="shared" si="36"/>
        <v>45107</v>
      </c>
      <c r="H190" s="38" t="str">
        <f t="shared" si="28"/>
        <v>进阶+7：防御提高850</v>
      </c>
      <c r="I190" s="1">
        <f t="shared" si="29"/>
        <v>1</v>
      </c>
      <c r="J190" s="1">
        <f>VLOOKUP(E190,Sheet3!$I$57:$J$65,2,FALSE)</f>
        <v>4</v>
      </c>
      <c r="K190" s="1">
        <f>VLOOKUP(A190,Sheet3!$A$51:$E$230,4,FALSE)</f>
        <v>850</v>
      </c>
      <c r="L190" s="1">
        <f t="shared" si="30"/>
        <v>0</v>
      </c>
      <c r="M190" s="1">
        <f t="shared" si="31"/>
        <v>1</v>
      </c>
    </row>
    <row r="191" spans="1:13" s="22" customFormat="1">
      <c r="A191" s="33">
        <v>10108</v>
      </c>
      <c r="B191" s="33" t="s">
        <v>30</v>
      </c>
      <c r="C191" s="8" t="s">
        <v>18</v>
      </c>
      <c r="D191" s="32" t="s">
        <v>2</v>
      </c>
      <c r="E191" s="34" t="s">
        <v>56</v>
      </c>
      <c r="F191" s="34" t="s">
        <v>58</v>
      </c>
      <c r="G191" s="22">
        <f t="shared" si="36"/>
        <v>45108</v>
      </c>
      <c r="H191" s="38" t="str">
        <f t="shared" si="28"/>
        <v>进阶+8：防御提高15%</v>
      </c>
      <c r="I191" s="1">
        <f t="shared" si="29"/>
        <v>1</v>
      </c>
      <c r="J191" s="1">
        <f>VLOOKUP(E191,Sheet3!$I$57:$J$65,2,FALSE)</f>
        <v>4</v>
      </c>
      <c r="K191" s="1">
        <f>VLOOKUP(A191,Sheet3!$A$51:$E$230,4,FALSE)</f>
        <v>0.15</v>
      </c>
      <c r="L191" s="1">
        <f t="shared" si="30"/>
        <v>1</v>
      </c>
      <c r="M191" s="1">
        <f t="shared" si="31"/>
        <v>5</v>
      </c>
    </row>
    <row r="192" spans="1:13" s="22" customFormat="1">
      <c r="A192" s="33">
        <v>10109</v>
      </c>
      <c r="B192" s="33" t="s">
        <v>31</v>
      </c>
      <c r="C192" s="8" t="s">
        <v>19</v>
      </c>
      <c r="D192" s="32" t="s">
        <v>2</v>
      </c>
      <c r="E192" s="34" t="s">
        <v>35</v>
      </c>
      <c r="F192" s="34" t="s">
        <v>54</v>
      </c>
      <c r="G192" s="22" t="str">
        <f t="shared" si="36"/>
        <v/>
      </c>
      <c r="H192" s="38" t="e">
        <f t="shared" si="28"/>
        <v>#VALUE!</v>
      </c>
      <c r="I192" s="1">
        <f t="shared" si="29"/>
        <v>1</v>
      </c>
      <c r="J192" s="1">
        <f>VLOOKUP(E192,Sheet3!$I$57:$J$65,2,FALSE)</f>
        <v>1</v>
      </c>
      <c r="K192" s="1">
        <f>VLOOKUP(A192,Sheet3!$A$51:$E$230,4,FALSE)</f>
        <v>71999.999999999985</v>
      </c>
      <c r="L192" s="1">
        <f t="shared" si="30"/>
        <v>0</v>
      </c>
      <c r="M192" s="1">
        <f t="shared" si="31"/>
        <v>1</v>
      </c>
    </row>
    <row r="193" spans="1:13" s="22" customFormat="1">
      <c r="A193" s="33">
        <v>10110</v>
      </c>
      <c r="B193" s="33" t="s">
        <v>32</v>
      </c>
      <c r="C193" s="8" t="s">
        <v>20</v>
      </c>
      <c r="D193" s="32" t="s">
        <v>2</v>
      </c>
      <c r="E193" s="34" t="s">
        <v>35</v>
      </c>
      <c r="F193" s="34" t="s">
        <v>58</v>
      </c>
      <c r="G193" s="22" t="str">
        <f t="shared" si="36"/>
        <v/>
      </c>
      <c r="H193" s="38" t="e">
        <f t="shared" si="28"/>
        <v>#VALUE!</v>
      </c>
      <c r="I193" s="1">
        <f t="shared" si="29"/>
        <v>1</v>
      </c>
      <c r="J193" s="1">
        <f>VLOOKUP(E193,Sheet3!$I$57:$J$65,2,FALSE)</f>
        <v>1</v>
      </c>
      <c r="K193" s="1">
        <f>VLOOKUP(A193,Sheet3!$A$51:$E$230,4,FALSE)</f>
        <v>0.2</v>
      </c>
      <c r="L193" s="1">
        <f t="shared" si="30"/>
        <v>1</v>
      </c>
      <c r="M193" s="1">
        <f t="shared" si="31"/>
        <v>5</v>
      </c>
    </row>
    <row r="194" spans="1:13" s="22" customFormat="1">
      <c r="A194" s="33">
        <v>10111</v>
      </c>
      <c r="B194" s="33" t="s">
        <v>33</v>
      </c>
      <c r="C194" s="8" t="s">
        <v>21</v>
      </c>
      <c r="D194" s="32" t="s">
        <v>2</v>
      </c>
      <c r="E194" s="34" t="s">
        <v>55</v>
      </c>
      <c r="F194" s="34" t="s">
        <v>54</v>
      </c>
      <c r="G194" s="22" t="str">
        <f t="shared" si="36"/>
        <v/>
      </c>
      <c r="H194" s="38" t="e">
        <f t="shared" si="28"/>
        <v>#VALUE!</v>
      </c>
      <c r="I194" s="1">
        <f t="shared" si="29"/>
        <v>1</v>
      </c>
      <c r="J194" s="1">
        <f>VLOOKUP(E194,Sheet3!$I$57:$J$65,2,FALSE)</f>
        <v>3</v>
      </c>
      <c r="K194" s="1">
        <f>VLOOKUP(A194,Sheet3!$A$51:$E$230,4,FALSE)</f>
        <v>1200</v>
      </c>
      <c r="L194" s="1">
        <f t="shared" si="30"/>
        <v>0</v>
      </c>
      <c r="M194" s="1">
        <f t="shared" si="31"/>
        <v>1</v>
      </c>
    </row>
    <row r="195" spans="1:13" s="22" customFormat="1">
      <c r="A195" s="33">
        <v>10112</v>
      </c>
      <c r="B195" s="33" t="s">
        <v>34</v>
      </c>
      <c r="C195" s="8" t="s">
        <v>22</v>
      </c>
      <c r="D195" s="32" t="s">
        <v>2</v>
      </c>
      <c r="E195" s="34" t="s">
        <v>55</v>
      </c>
      <c r="F195" s="34" t="s">
        <v>58</v>
      </c>
      <c r="G195" s="22" t="str">
        <f t="shared" si="36"/>
        <v/>
      </c>
      <c r="H195" s="38" t="e">
        <f t="shared" si="28"/>
        <v>#VALUE!</v>
      </c>
      <c r="I195" s="1">
        <f t="shared" si="29"/>
        <v>1</v>
      </c>
      <c r="J195" s="1">
        <f>VLOOKUP(E195,Sheet3!$I$57:$J$65,2,FALSE)</f>
        <v>3</v>
      </c>
      <c r="K195" s="1">
        <f>VLOOKUP(A195,Sheet3!$A$51:$E$230,4,FALSE)</f>
        <v>0.1</v>
      </c>
      <c r="L195" s="1">
        <f t="shared" si="30"/>
        <v>1</v>
      </c>
      <c r="M195" s="1">
        <f t="shared" si="31"/>
        <v>5</v>
      </c>
    </row>
    <row r="196" spans="1:13">
      <c r="A196" s="6">
        <v>10113</v>
      </c>
      <c r="B196" s="35"/>
      <c r="C196" s="36"/>
      <c r="D196" s="20"/>
      <c r="E196" s="2" t="s">
        <v>56</v>
      </c>
      <c r="F196" s="2" t="s">
        <v>58</v>
      </c>
      <c r="G196" s="1">
        <f t="shared" si="36"/>
        <v>45113</v>
      </c>
      <c r="H196" s="38" t="str">
        <f t="shared" ref="H196:H259" si="37">"进阶+"&amp;INT(MID(G196,4,2))&amp;"："&amp;IF(I196=2,"全体","")&amp;E196&amp;"提高"&amp;IF(K196&lt;1,K196*100,K196)&amp;IF(OR(F196="数值",F196="光环数值"),"","%")</f>
        <v>进阶+13：防御提高25%</v>
      </c>
      <c r="I196" s="1">
        <f t="shared" ref="I196:I259" si="38">IF(MID(F196,1,2)="光环",2,1)</f>
        <v>1</v>
      </c>
      <c r="J196" s="1">
        <f>VLOOKUP(E196,Sheet3!$I$57:$J$65,2,FALSE)</f>
        <v>4</v>
      </c>
      <c r="K196" s="1">
        <f>VLOOKUP(A196,Sheet3!$A$51:$E$230,4,FALSE)</f>
        <v>0.25</v>
      </c>
      <c r="L196" s="1">
        <f t="shared" ref="L196:L259" si="39">IF(AND(J196&lt;5,F196="百分比"),1,0)</f>
        <v>1</v>
      </c>
      <c r="M196" s="1">
        <f t="shared" ref="M196:M259" si="40">IF(L196=0,1,5)</f>
        <v>5</v>
      </c>
    </row>
    <row r="197" spans="1:13">
      <c r="A197" s="5">
        <v>10114</v>
      </c>
      <c r="E197" s="2" t="s">
        <v>55</v>
      </c>
      <c r="F197" s="2" t="s">
        <v>58</v>
      </c>
      <c r="G197" s="1" t="str">
        <f t="shared" si="36"/>
        <v/>
      </c>
      <c r="H197" s="38" t="e">
        <f t="shared" si="37"/>
        <v>#VALUE!</v>
      </c>
      <c r="I197" s="1">
        <f t="shared" si="38"/>
        <v>1</v>
      </c>
      <c r="J197" s="1">
        <f>VLOOKUP(E197,Sheet3!$I$57:$J$65,2,FALSE)</f>
        <v>3</v>
      </c>
      <c r="K197" s="1">
        <f>VLOOKUP(A197,Sheet3!$A$51:$E$230,4,FALSE)</f>
        <v>0.2</v>
      </c>
      <c r="L197" s="1">
        <f t="shared" si="39"/>
        <v>1</v>
      </c>
      <c r="M197" s="1">
        <f t="shared" si="40"/>
        <v>5</v>
      </c>
    </row>
    <row r="198" spans="1:13">
      <c r="A198" s="5">
        <v>10115</v>
      </c>
      <c r="E198" s="2" t="s">
        <v>35</v>
      </c>
      <c r="F198" s="2" t="s">
        <v>58</v>
      </c>
      <c r="G198" s="1" t="str">
        <f t="shared" si="36"/>
        <v/>
      </c>
      <c r="H198" s="38" t="e">
        <f t="shared" si="37"/>
        <v>#VALUE!</v>
      </c>
      <c r="I198" s="1">
        <f t="shared" si="38"/>
        <v>1</v>
      </c>
      <c r="J198" s="1">
        <f>VLOOKUP(E198,Sheet3!$I$57:$J$65,2,FALSE)</f>
        <v>1</v>
      </c>
      <c r="K198" s="1">
        <f>VLOOKUP(A198,Sheet3!$A$51:$E$230,4,FALSE)</f>
        <v>0.3</v>
      </c>
      <c r="L198" s="1">
        <f t="shared" si="39"/>
        <v>1</v>
      </c>
      <c r="M198" s="1">
        <f t="shared" si="40"/>
        <v>5</v>
      </c>
    </row>
    <row r="199" spans="1:13">
      <c r="A199" s="5">
        <v>10201</v>
      </c>
      <c r="E199" s="2" t="s">
        <v>35</v>
      </c>
      <c r="F199" s="2" t="s">
        <v>54</v>
      </c>
      <c r="G199" s="1" t="str">
        <f t="shared" si="36"/>
        <v/>
      </c>
      <c r="H199" s="38" t="e">
        <f t="shared" si="37"/>
        <v>#VALUE!</v>
      </c>
      <c r="I199" s="1">
        <f t="shared" si="38"/>
        <v>1</v>
      </c>
      <c r="J199" s="1">
        <f>VLOOKUP(E199,Sheet3!$I$57:$J$65,2,FALSE)</f>
        <v>1</v>
      </c>
      <c r="K199" s="1">
        <f>VLOOKUP(A199,Sheet3!$A$51:$E$230,4,FALSE)</f>
        <v>2999.9999999999995</v>
      </c>
      <c r="L199" s="1">
        <f t="shared" si="39"/>
        <v>0</v>
      </c>
      <c r="M199" s="1">
        <f t="shared" si="40"/>
        <v>1</v>
      </c>
    </row>
    <row r="200" spans="1:13">
      <c r="A200" s="5">
        <v>10202</v>
      </c>
      <c r="E200" s="2" t="s">
        <v>59</v>
      </c>
      <c r="F200" s="2" t="s">
        <v>58</v>
      </c>
      <c r="G200" s="1" t="str">
        <f t="shared" si="36"/>
        <v/>
      </c>
      <c r="H200" s="38" t="e">
        <f t="shared" si="37"/>
        <v>#VALUE!</v>
      </c>
      <c r="I200" s="1">
        <f t="shared" si="38"/>
        <v>1</v>
      </c>
      <c r="J200" s="1">
        <f>VLOOKUP(E200,Sheet3!$I$57:$J$65,2,FALSE)</f>
        <v>7</v>
      </c>
      <c r="K200" s="1">
        <f>VLOOKUP(A200,Sheet3!$A$51:$E$230,4,FALSE)</f>
        <v>0.05</v>
      </c>
      <c r="L200" s="1">
        <f t="shared" si="39"/>
        <v>0</v>
      </c>
      <c r="M200" s="1">
        <f t="shared" si="40"/>
        <v>1</v>
      </c>
    </row>
    <row r="201" spans="1:13">
      <c r="A201" s="35">
        <v>10203</v>
      </c>
      <c r="B201" s="35"/>
      <c r="C201" s="36"/>
      <c r="D201" s="20"/>
      <c r="E201" s="2" t="s">
        <v>56</v>
      </c>
      <c r="F201" s="2" t="s">
        <v>54</v>
      </c>
      <c r="G201" s="1">
        <f t="shared" si="36"/>
        <v>45203</v>
      </c>
      <c r="H201" s="38" t="str">
        <f t="shared" si="37"/>
        <v>进阶+3：防御提高150</v>
      </c>
      <c r="I201" s="1">
        <f t="shared" si="38"/>
        <v>1</v>
      </c>
      <c r="J201" s="1">
        <f>VLOOKUP(E201,Sheet3!$I$57:$J$65,2,FALSE)</f>
        <v>4</v>
      </c>
      <c r="K201" s="1">
        <f>VLOOKUP(A201,Sheet3!$A$51:$E$230,4,FALSE)</f>
        <v>150</v>
      </c>
      <c r="L201" s="1">
        <f t="shared" si="39"/>
        <v>0</v>
      </c>
      <c r="M201" s="1">
        <f t="shared" si="40"/>
        <v>1</v>
      </c>
    </row>
    <row r="202" spans="1:13">
      <c r="A202" s="5">
        <v>10204</v>
      </c>
      <c r="E202" s="2" t="s">
        <v>62</v>
      </c>
      <c r="F202" s="2" t="s">
        <v>58</v>
      </c>
      <c r="G202" s="1" t="str">
        <f t="shared" si="36"/>
        <v/>
      </c>
      <c r="H202" s="38" t="e">
        <f t="shared" si="37"/>
        <v>#VALUE!</v>
      </c>
      <c r="I202" s="1">
        <f t="shared" si="38"/>
        <v>1</v>
      </c>
      <c r="J202" s="1">
        <f>VLOOKUP(E202,Sheet3!$I$57:$J$65,2,FALSE)</f>
        <v>10</v>
      </c>
      <c r="K202" s="1">
        <f>VLOOKUP(A202,Sheet3!$A$51:$E$230,4,FALSE)</f>
        <v>0.1</v>
      </c>
      <c r="L202" s="1">
        <f t="shared" si="39"/>
        <v>0</v>
      </c>
      <c r="M202" s="1">
        <f t="shared" si="40"/>
        <v>1</v>
      </c>
    </row>
    <row r="203" spans="1:13">
      <c r="A203" s="5">
        <v>10205</v>
      </c>
      <c r="E203" s="2" t="s">
        <v>55</v>
      </c>
      <c r="F203" s="2" t="s">
        <v>54</v>
      </c>
      <c r="G203" s="1" t="str">
        <f t="shared" si="36"/>
        <v/>
      </c>
      <c r="H203" s="38" t="e">
        <f t="shared" si="37"/>
        <v>#VALUE!</v>
      </c>
      <c r="I203" s="1">
        <f t="shared" si="38"/>
        <v>1</v>
      </c>
      <c r="J203" s="1">
        <f>VLOOKUP(E203,Sheet3!$I$57:$J$65,2,FALSE)</f>
        <v>3</v>
      </c>
      <c r="K203" s="1">
        <f>VLOOKUP(A203,Sheet3!$A$51:$E$230,4,FALSE)</f>
        <v>300</v>
      </c>
      <c r="L203" s="1">
        <f t="shared" si="39"/>
        <v>0</v>
      </c>
      <c r="M203" s="1">
        <f t="shared" si="40"/>
        <v>1</v>
      </c>
    </row>
    <row r="204" spans="1:13">
      <c r="A204" s="5">
        <v>10206</v>
      </c>
      <c r="E204" s="2" t="s">
        <v>57</v>
      </c>
      <c r="F204" s="2" t="s">
        <v>58</v>
      </c>
      <c r="G204" s="1" t="str">
        <f t="shared" si="36"/>
        <v/>
      </c>
      <c r="H204" s="38" t="e">
        <f t="shared" si="37"/>
        <v>#VALUE!</v>
      </c>
      <c r="I204" s="1">
        <f t="shared" si="38"/>
        <v>1</v>
      </c>
      <c r="J204" s="1">
        <f>VLOOKUP(E204,Sheet3!$I$57:$J$65,2,FALSE)</f>
        <v>9</v>
      </c>
      <c r="K204" s="1">
        <f>VLOOKUP(A204,Sheet3!$A$51:$E$230,4,FALSE)</f>
        <v>0.3</v>
      </c>
      <c r="L204" s="1">
        <f t="shared" si="39"/>
        <v>0</v>
      </c>
      <c r="M204" s="1">
        <f t="shared" si="40"/>
        <v>1</v>
      </c>
    </row>
    <row r="205" spans="1:13">
      <c r="A205" s="35">
        <v>10207</v>
      </c>
      <c r="B205" s="35"/>
      <c r="C205" s="36"/>
      <c r="D205" s="20"/>
      <c r="E205" s="2" t="s">
        <v>56</v>
      </c>
      <c r="F205" s="2" t="s">
        <v>54</v>
      </c>
      <c r="G205" s="1">
        <f t="shared" si="36"/>
        <v>45207</v>
      </c>
      <c r="H205" s="38" t="str">
        <f t="shared" si="37"/>
        <v>进阶+7：防御提高850</v>
      </c>
      <c r="I205" s="1">
        <f t="shared" si="38"/>
        <v>1</v>
      </c>
      <c r="J205" s="1">
        <f>VLOOKUP(E205,Sheet3!$I$57:$J$65,2,FALSE)</f>
        <v>4</v>
      </c>
      <c r="K205" s="1">
        <f>VLOOKUP(A205,Sheet3!$A$51:$E$230,4,FALSE)</f>
        <v>850</v>
      </c>
      <c r="L205" s="1">
        <f t="shared" si="39"/>
        <v>0</v>
      </c>
      <c r="M205" s="1">
        <f t="shared" si="40"/>
        <v>1</v>
      </c>
    </row>
    <row r="206" spans="1:13">
      <c r="A206" s="35">
        <v>10208</v>
      </c>
      <c r="B206" s="35"/>
      <c r="C206" s="36"/>
      <c r="D206" s="20"/>
      <c r="E206" s="2" t="s">
        <v>56</v>
      </c>
      <c r="F206" s="2" t="s">
        <v>58</v>
      </c>
      <c r="G206" s="1">
        <f t="shared" si="36"/>
        <v>45208</v>
      </c>
      <c r="H206" s="38" t="str">
        <f t="shared" si="37"/>
        <v>进阶+8：防御提高15%</v>
      </c>
      <c r="I206" s="1">
        <f t="shared" si="38"/>
        <v>1</v>
      </c>
      <c r="J206" s="1">
        <f>VLOOKUP(E206,Sheet3!$I$57:$J$65,2,FALSE)</f>
        <v>4</v>
      </c>
      <c r="K206" s="1">
        <f>VLOOKUP(A206,Sheet3!$A$51:$E$230,4,FALSE)</f>
        <v>0.15</v>
      </c>
      <c r="L206" s="1">
        <f t="shared" si="39"/>
        <v>1</v>
      </c>
      <c r="M206" s="1">
        <f t="shared" si="40"/>
        <v>5</v>
      </c>
    </row>
    <row r="207" spans="1:13">
      <c r="A207" s="5">
        <v>10209</v>
      </c>
      <c r="E207" s="2" t="s">
        <v>35</v>
      </c>
      <c r="F207" s="2" t="s">
        <v>54</v>
      </c>
      <c r="G207" s="1" t="str">
        <f t="shared" si="36"/>
        <v/>
      </c>
      <c r="H207" s="38" t="e">
        <f t="shared" si="37"/>
        <v>#VALUE!</v>
      </c>
      <c r="I207" s="1">
        <f t="shared" si="38"/>
        <v>1</v>
      </c>
      <c r="J207" s="1">
        <f>VLOOKUP(E207,Sheet3!$I$57:$J$65,2,FALSE)</f>
        <v>1</v>
      </c>
      <c r="K207" s="1">
        <f>VLOOKUP(A207,Sheet3!$A$51:$E$230,4,FALSE)</f>
        <v>71999.999999999985</v>
      </c>
      <c r="L207" s="1">
        <f t="shared" si="39"/>
        <v>0</v>
      </c>
      <c r="M207" s="1">
        <f t="shared" si="40"/>
        <v>1</v>
      </c>
    </row>
    <row r="208" spans="1:13">
      <c r="A208" s="5">
        <v>10210</v>
      </c>
      <c r="E208" s="2" t="s">
        <v>35</v>
      </c>
      <c r="F208" s="2" t="s">
        <v>58</v>
      </c>
      <c r="G208" s="1" t="str">
        <f t="shared" si="36"/>
        <v/>
      </c>
      <c r="H208" s="38" t="e">
        <f t="shared" si="37"/>
        <v>#VALUE!</v>
      </c>
      <c r="I208" s="1">
        <f t="shared" si="38"/>
        <v>1</v>
      </c>
      <c r="J208" s="1">
        <f>VLOOKUP(E208,Sheet3!$I$57:$J$65,2,FALSE)</f>
        <v>1</v>
      </c>
      <c r="K208" s="1">
        <f>VLOOKUP(A208,Sheet3!$A$51:$E$230,4,FALSE)</f>
        <v>0.2</v>
      </c>
      <c r="L208" s="1">
        <f t="shared" si="39"/>
        <v>1</v>
      </c>
      <c r="M208" s="1">
        <f t="shared" si="40"/>
        <v>5</v>
      </c>
    </row>
    <row r="209" spans="1:13">
      <c r="A209" s="5">
        <v>10211</v>
      </c>
      <c r="E209" s="2" t="s">
        <v>55</v>
      </c>
      <c r="F209" s="2" t="s">
        <v>54</v>
      </c>
      <c r="G209" s="1" t="str">
        <f t="shared" si="36"/>
        <v/>
      </c>
      <c r="H209" s="38" t="e">
        <f t="shared" si="37"/>
        <v>#VALUE!</v>
      </c>
      <c r="I209" s="1">
        <f t="shared" si="38"/>
        <v>1</v>
      </c>
      <c r="J209" s="1">
        <f>VLOOKUP(E209,Sheet3!$I$57:$J$65,2,FALSE)</f>
        <v>3</v>
      </c>
      <c r="K209" s="1">
        <f>VLOOKUP(A209,Sheet3!$A$51:$E$230,4,FALSE)</f>
        <v>1200</v>
      </c>
      <c r="L209" s="1">
        <f t="shared" si="39"/>
        <v>0</v>
      </c>
      <c r="M209" s="1">
        <f t="shared" si="40"/>
        <v>1</v>
      </c>
    </row>
    <row r="210" spans="1:13">
      <c r="A210" s="5">
        <v>10212</v>
      </c>
      <c r="E210" s="2" t="s">
        <v>55</v>
      </c>
      <c r="F210" s="2" t="s">
        <v>58</v>
      </c>
      <c r="G210" s="1" t="str">
        <f t="shared" si="36"/>
        <v/>
      </c>
      <c r="H210" s="38" t="e">
        <f t="shared" si="37"/>
        <v>#VALUE!</v>
      </c>
      <c r="I210" s="1">
        <f t="shared" si="38"/>
        <v>1</v>
      </c>
      <c r="J210" s="1">
        <f>VLOOKUP(E210,Sheet3!$I$57:$J$65,2,FALSE)</f>
        <v>3</v>
      </c>
      <c r="K210" s="1">
        <f>VLOOKUP(A210,Sheet3!$A$51:$E$230,4,FALSE)</f>
        <v>0.1</v>
      </c>
      <c r="L210" s="1">
        <f t="shared" si="39"/>
        <v>1</v>
      </c>
      <c r="M210" s="1">
        <f t="shared" si="40"/>
        <v>5</v>
      </c>
    </row>
    <row r="211" spans="1:13">
      <c r="A211" s="35">
        <v>10213</v>
      </c>
      <c r="B211" s="35"/>
      <c r="C211" s="36"/>
      <c r="D211" s="20"/>
      <c r="E211" s="2" t="s">
        <v>56</v>
      </c>
      <c r="F211" s="2" t="s">
        <v>58</v>
      </c>
      <c r="G211" s="1">
        <f t="shared" si="36"/>
        <v>45213</v>
      </c>
      <c r="H211" s="38" t="str">
        <f t="shared" si="37"/>
        <v>进阶+13：防御提高25%</v>
      </c>
      <c r="I211" s="1">
        <f t="shared" si="38"/>
        <v>1</v>
      </c>
      <c r="J211" s="1">
        <f>VLOOKUP(E211,Sheet3!$I$57:$J$65,2,FALSE)</f>
        <v>4</v>
      </c>
      <c r="K211" s="1">
        <f>VLOOKUP(A211,Sheet3!$A$51:$E$230,4,FALSE)</f>
        <v>0.25</v>
      </c>
      <c r="L211" s="1">
        <f t="shared" si="39"/>
        <v>1</v>
      </c>
      <c r="M211" s="1">
        <f t="shared" si="40"/>
        <v>5</v>
      </c>
    </row>
    <row r="212" spans="1:13">
      <c r="A212" s="5">
        <v>10214</v>
      </c>
      <c r="E212" s="2" t="s">
        <v>55</v>
      </c>
      <c r="F212" s="2" t="s">
        <v>58</v>
      </c>
      <c r="G212" s="1" t="str">
        <f t="shared" si="36"/>
        <v/>
      </c>
      <c r="H212" s="38" t="e">
        <f t="shared" si="37"/>
        <v>#VALUE!</v>
      </c>
      <c r="I212" s="1">
        <f t="shared" si="38"/>
        <v>1</v>
      </c>
      <c r="J212" s="1">
        <f>VLOOKUP(E212,Sheet3!$I$57:$J$65,2,FALSE)</f>
        <v>3</v>
      </c>
      <c r="K212" s="1">
        <f>VLOOKUP(A212,Sheet3!$A$51:$E$230,4,FALSE)</f>
        <v>0.2</v>
      </c>
      <c r="L212" s="1">
        <f t="shared" si="39"/>
        <v>1</v>
      </c>
      <c r="M212" s="1">
        <f t="shared" si="40"/>
        <v>5</v>
      </c>
    </row>
    <row r="213" spans="1:13">
      <c r="A213" s="5">
        <v>10215</v>
      </c>
      <c r="E213" s="2" t="s">
        <v>35</v>
      </c>
      <c r="F213" s="2" t="s">
        <v>58</v>
      </c>
      <c r="G213" s="1" t="str">
        <f t="shared" si="36"/>
        <v/>
      </c>
      <c r="H213" s="38" t="e">
        <f t="shared" si="37"/>
        <v>#VALUE!</v>
      </c>
      <c r="I213" s="1">
        <f t="shared" si="38"/>
        <v>1</v>
      </c>
      <c r="J213" s="1">
        <f>VLOOKUP(E213,Sheet3!$I$57:$J$65,2,FALSE)</f>
        <v>1</v>
      </c>
      <c r="K213" s="1">
        <f>VLOOKUP(A213,Sheet3!$A$51:$E$230,4,FALSE)</f>
        <v>0.3</v>
      </c>
      <c r="L213" s="1">
        <f t="shared" si="39"/>
        <v>1</v>
      </c>
      <c r="M213" s="1">
        <f t="shared" si="40"/>
        <v>5</v>
      </c>
    </row>
    <row r="214" spans="1:13">
      <c r="A214" s="5">
        <v>10301</v>
      </c>
      <c r="E214" s="2" t="s">
        <v>35</v>
      </c>
      <c r="F214" s="2" t="s">
        <v>54</v>
      </c>
      <c r="G214" s="1" t="str">
        <f t="shared" si="36"/>
        <v/>
      </c>
      <c r="H214" s="38" t="e">
        <f t="shared" si="37"/>
        <v>#VALUE!</v>
      </c>
      <c r="I214" s="1">
        <f t="shared" si="38"/>
        <v>1</v>
      </c>
      <c r="J214" s="1">
        <f>VLOOKUP(E214,Sheet3!$I$57:$J$65,2,FALSE)</f>
        <v>1</v>
      </c>
      <c r="K214" s="1">
        <f>VLOOKUP(A214,Sheet3!$A$51:$E$230,4,FALSE)</f>
        <v>2999.9999999999995</v>
      </c>
      <c r="L214" s="1">
        <f t="shared" si="39"/>
        <v>0</v>
      </c>
      <c r="M214" s="1">
        <f t="shared" si="40"/>
        <v>1</v>
      </c>
    </row>
    <row r="215" spans="1:13">
      <c r="A215" s="5">
        <v>10302</v>
      </c>
      <c r="E215" s="2" t="s">
        <v>59</v>
      </c>
      <c r="F215" s="2" t="s">
        <v>58</v>
      </c>
      <c r="G215" s="1" t="str">
        <f t="shared" si="36"/>
        <v/>
      </c>
      <c r="H215" s="38" t="e">
        <f t="shared" si="37"/>
        <v>#VALUE!</v>
      </c>
      <c r="I215" s="1">
        <f t="shared" si="38"/>
        <v>1</v>
      </c>
      <c r="J215" s="1">
        <f>VLOOKUP(E215,Sheet3!$I$57:$J$65,2,FALSE)</f>
        <v>7</v>
      </c>
      <c r="K215" s="1">
        <f>VLOOKUP(A215,Sheet3!$A$51:$E$230,4,FALSE)</f>
        <v>0.05</v>
      </c>
      <c r="L215" s="1">
        <f t="shared" si="39"/>
        <v>0</v>
      </c>
      <c r="M215" s="1">
        <f t="shared" si="40"/>
        <v>1</v>
      </c>
    </row>
    <row r="216" spans="1:13">
      <c r="A216" s="35">
        <v>10303</v>
      </c>
      <c r="B216" s="35"/>
      <c r="C216" s="36"/>
      <c r="D216" s="20"/>
      <c r="E216" s="2" t="s">
        <v>56</v>
      </c>
      <c r="F216" s="2" t="s">
        <v>54</v>
      </c>
      <c r="G216" s="1">
        <f t="shared" ref="G216:G247" si="41">IF(G36=C36,"",G36+5000)</f>
        <v>45303</v>
      </c>
      <c r="H216" s="38" t="str">
        <f t="shared" si="37"/>
        <v>进阶+3：防御提高150</v>
      </c>
      <c r="I216" s="1">
        <f t="shared" si="38"/>
        <v>1</v>
      </c>
      <c r="J216" s="1">
        <f>VLOOKUP(E216,Sheet3!$I$57:$J$65,2,FALSE)</f>
        <v>4</v>
      </c>
      <c r="K216" s="1">
        <f>VLOOKUP(A216,Sheet3!$A$51:$E$230,4,FALSE)</f>
        <v>150</v>
      </c>
      <c r="L216" s="1">
        <f t="shared" si="39"/>
        <v>0</v>
      </c>
      <c r="M216" s="1">
        <f t="shared" si="40"/>
        <v>1</v>
      </c>
    </row>
    <row r="217" spans="1:13">
      <c r="A217" s="5">
        <v>10304</v>
      </c>
      <c r="E217" s="2" t="s">
        <v>57</v>
      </c>
      <c r="F217" s="2" t="s">
        <v>58</v>
      </c>
      <c r="G217" s="1" t="str">
        <f t="shared" si="41"/>
        <v/>
      </c>
      <c r="H217" s="38" t="e">
        <f t="shared" si="37"/>
        <v>#VALUE!</v>
      </c>
      <c r="I217" s="1">
        <f t="shared" si="38"/>
        <v>1</v>
      </c>
      <c r="J217" s="1">
        <f>VLOOKUP(E217,Sheet3!$I$57:$J$65,2,FALSE)</f>
        <v>9</v>
      </c>
      <c r="K217" s="1">
        <f>VLOOKUP(A217,Sheet3!$A$51:$E$230,4,FALSE)</f>
        <v>0.2</v>
      </c>
      <c r="L217" s="1">
        <f t="shared" si="39"/>
        <v>0</v>
      </c>
      <c r="M217" s="1">
        <f t="shared" si="40"/>
        <v>1</v>
      </c>
    </row>
    <row r="218" spans="1:13">
      <c r="A218" s="5">
        <v>10305</v>
      </c>
      <c r="E218" s="2" t="s">
        <v>55</v>
      </c>
      <c r="F218" s="2" t="s">
        <v>54</v>
      </c>
      <c r="G218" s="1" t="str">
        <f t="shared" si="41"/>
        <v/>
      </c>
      <c r="H218" s="38" t="e">
        <f t="shared" si="37"/>
        <v>#VALUE!</v>
      </c>
      <c r="I218" s="1">
        <f t="shared" si="38"/>
        <v>1</v>
      </c>
      <c r="J218" s="1">
        <f>VLOOKUP(E218,Sheet3!$I$57:$J$65,2,FALSE)</f>
        <v>3</v>
      </c>
      <c r="K218" s="1">
        <f>VLOOKUP(A218,Sheet3!$A$51:$E$230,4,FALSE)</f>
        <v>300</v>
      </c>
      <c r="L218" s="1">
        <f t="shared" si="39"/>
        <v>0</v>
      </c>
      <c r="M218" s="1">
        <f t="shared" si="40"/>
        <v>1</v>
      </c>
    </row>
    <row r="219" spans="1:13">
      <c r="A219" s="5">
        <v>10306</v>
      </c>
      <c r="E219" s="2" t="s">
        <v>62</v>
      </c>
      <c r="F219" s="2" t="s">
        <v>58</v>
      </c>
      <c r="G219" s="1" t="str">
        <f t="shared" si="41"/>
        <v/>
      </c>
      <c r="H219" s="38" t="e">
        <f t="shared" si="37"/>
        <v>#VALUE!</v>
      </c>
      <c r="I219" s="1">
        <f t="shared" si="38"/>
        <v>1</v>
      </c>
      <c r="J219" s="1">
        <f>VLOOKUP(E219,Sheet3!$I$57:$J$65,2,FALSE)</f>
        <v>10</v>
      </c>
      <c r="K219" s="1">
        <f>VLOOKUP(A219,Sheet3!$A$51:$E$230,4,FALSE)</f>
        <v>0.15</v>
      </c>
      <c r="L219" s="1">
        <f t="shared" si="39"/>
        <v>0</v>
      </c>
      <c r="M219" s="1">
        <f t="shared" si="40"/>
        <v>1</v>
      </c>
    </row>
    <row r="220" spans="1:13">
      <c r="A220" s="35">
        <v>10307</v>
      </c>
      <c r="B220" s="35"/>
      <c r="C220" s="36"/>
      <c r="D220" s="20"/>
      <c r="E220" s="2" t="s">
        <v>56</v>
      </c>
      <c r="F220" s="2" t="s">
        <v>54</v>
      </c>
      <c r="G220" s="1">
        <f t="shared" si="41"/>
        <v>45307</v>
      </c>
      <c r="H220" s="38" t="str">
        <f t="shared" si="37"/>
        <v>进阶+7：防御提高850</v>
      </c>
      <c r="I220" s="1">
        <f t="shared" si="38"/>
        <v>1</v>
      </c>
      <c r="J220" s="1">
        <f>VLOOKUP(E220,Sheet3!$I$57:$J$65,2,FALSE)</f>
        <v>4</v>
      </c>
      <c r="K220" s="1">
        <f>VLOOKUP(A220,Sheet3!$A$51:$E$230,4,FALSE)</f>
        <v>850</v>
      </c>
      <c r="L220" s="1">
        <f t="shared" si="39"/>
        <v>0</v>
      </c>
      <c r="M220" s="1">
        <f t="shared" si="40"/>
        <v>1</v>
      </c>
    </row>
    <row r="221" spans="1:13">
      <c r="A221" s="35">
        <v>10308</v>
      </c>
      <c r="B221" s="35"/>
      <c r="C221" s="36"/>
      <c r="D221" s="20"/>
      <c r="E221" s="2" t="s">
        <v>56</v>
      </c>
      <c r="F221" s="2" t="s">
        <v>58</v>
      </c>
      <c r="G221" s="1">
        <f t="shared" si="41"/>
        <v>45308</v>
      </c>
      <c r="H221" s="38" t="str">
        <f t="shared" si="37"/>
        <v>进阶+8：防御提高15%</v>
      </c>
      <c r="I221" s="1">
        <f t="shared" si="38"/>
        <v>1</v>
      </c>
      <c r="J221" s="1">
        <f>VLOOKUP(E221,Sheet3!$I$57:$J$65,2,FALSE)</f>
        <v>4</v>
      </c>
      <c r="K221" s="1">
        <f>VLOOKUP(A221,Sheet3!$A$51:$E$230,4,FALSE)</f>
        <v>0.15</v>
      </c>
      <c r="L221" s="1">
        <f t="shared" si="39"/>
        <v>1</v>
      </c>
      <c r="M221" s="1">
        <f t="shared" si="40"/>
        <v>5</v>
      </c>
    </row>
    <row r="222" spans="1:13">
      <c r="A222" s="5">
        <v>10309</v>
      </c>
      <c r="E222" s="2" t="s">
        <v>35</v>
      </c>
      <c r="F222" s="2" t="s">
        <v>54</v>
      </c>
      <c r="G222" s="1" t="str">
        <f t="shared" si="41"/>
        <v/>
      </c>
      <c r="H222" s="38" t="e">
        <f t="shared" si="37"/>
        <v>#VALUE!</v>
      </c>
      <c r="I222" s="1">
        <f t="shared" si="38"/>
        <v>1</v>
      </c>
      <c r="J222" s="1">
        <f>VLOOKUP(E222,Sheet3!$I$57:$J$65,2,FALSE)</f>
        <v>1</v>
      </c>
      <c r="K222" s="1">
        <f>VLOOKUP(A222,Sheet3!$A$51:$E$230,4,FALSE)</f>
        <v>71999.999999999985</v>
      </c>
      <c r="L222" s="1">
        <f t="shared" si="39"/>
        <v>0</v>
      </c>
      <c r="M222" s="1">
        <f t="shared" si="40"/>
        <v>1</v>
      </c>
    </row>
    <row r="223" spans="1:13">
      <c r="A223" s="5">
        <v>10310</v>
      </c>
      <c r="E223" s="2" t="s">
        <v>35</v>
      </c>
      <c r="F223" s="2" t="s">
        <v>58</v>
      </c>
      <c r="G223" s="1" t="str">
        <f t="shared" si="41"/>
        <v/>
      </c>
      <c r="H223" s="38" t="e">
        <f t="shared" si="37"/>
        <v>#VALUE!</v>
      </c>
      <c r="I223" s="1">
        <f t="shared" si="38"/>
        <v>1</v>
      </c>
      <c r="J223" s="1">
        <f>VLOOKUP(E223,Sheet3!$I$57:$J$65,2,FALSE)</f>
        <v>1</v>
      </c>
      <c r="K223" s="1">
        <f>VLOOKUP(A223,Sheet3!$A$51:$E$230,4,FALSE)</f>
        <v>0.2</v>
      </c>
      <c r="L223" s="1">
        <f t="shared" si="39"/>
        <v>1</v>
      </c>
      <c r="M223" s="1">
        <f t="shared" si="40"/>
        <v>5</v>
      </c>
    </row>
    <row r="224" spans="1:13">
      <c r="A224" s="5">
        <v>10311</v>
      </c>
      <c r="E224" s="2" t="s">
        <v>55</v>
      </c>
      <c r="F224" s="2" t="s">
        <v>54</v>
      </c>
      <c r="G224" s="1" t="str">
        <f t="shared" si="41"/>
        <v/>
      </c>
      <c r="H224" s="38" t="e">
        <f t="shared" si="37"/>
        <v>#VALUE!</v>
      </c>
      <c r="I224" s="1">
        <f t="shared" si="38"/>
        <v>1</v>
      </c>
      <c r="J224" s="1">
        <f>VLOOKUP(E224,Sheet3!$I$57:$J$65,2,FALSE)</f>
        <v>3</v>
      </c>
      <c r="K224" s="1">
        <f>VLOOKUP(A224,Sheet3!$A$51:$E$230,4,FALSE)</f>
        <v>1200</v>
      </c>
      <c r="L224" s="1">
        <f t="shared" si="39"/>
        <v>0</v>
      </c>
      <c r="M224" s="1">
        <f t="shared" si="40"/>
        <v>1</v>
      </c>
    </row>
    <row r="225" spans="1:13">
      <c r="A225" s="5">
        <v>10312</v>
      </c>
      <c r="E225" s="2" t="s">
        <v>55</v>
      </c>
      <c r="F225" s="2" t="s">
        <v>58</v>
      </c>
      <c r="G225" s="1" t="str">
        <f t="shared" si="41"/>
        <v/>
      </c>
      <c r="H225" s="38" t="e">
        <f t="shared" si="37"/>
        <v>#VALUE!</v>
      </c>
      <c r="I225" s="1">
        <f t="shared" si="38"/>
        <v>1</v>
      </c>
      <c r="J225" s="1">
        <f>VLOOKUP(E225,Sheet3!$I$57:$J$65,2,FALSE)</f>
        <v>3</v>
      </c>
      <c r="K225" s="1">
        <f>VLOOKUP(A225,Sheet3!$A$51:$E$230,4,FALSE)</f>
        <v>0.1</v>
      </c>
      <c r="L225" s="1">
        <f t="shared" si="39"/>
        <v>1</v>
      </c>
      <c r="M225" s="1">
        <f t="shared" si="40"/>
        <v>5</v>
      </c>
    </row>
    <row r="226" spans="1:13">
      <c r="A226" s="35">
        <v>10313</v>
      </c>
      <c r="B226" s="35"/>
      <c r="C226" s="36"/>
      <c r="D226" s="20"/>
      <c r="E226" s="2" t="s">
        <v>56</v>
      </c>
      <c r="F226" s="2" t="s">
        <v>58</v>
      </c>
      <c r="G226" s="1">
        <f t="shared" si="41"/>
        <v>45313</v>
      </c>
      <c r="H226" s="38" t="str">
        <f t="shared" si="37"/>
        <v>进阶+13：防御提高25%</v>
      </c>
      <c r="I226" s="1">
        <f t="shared" si="38"/>
        <v>1</v>
      </c>
      <c r="J226" s="1">
        <f>VLOOKUP(E226,Sheet3!$I$57:$J$65,2,FALSE)</f>
        <v>4</v>
      </c>
      <c r="K226" s="1">
        <f>VLOOKUP(A226,Sheet3!$A$51:$E$230,4,FALSE)</f>
        <v>0.25</v>
      </c>
      <c r="L226" s="1">
        <f t="shared" si="39"/>
        <v>1</v>
      </c>
      <c r="M226" s="1">
        <f t="shared" si="40"/>
        <v>5</v>
      </c>
    </row>
    <row r="227" spans="1:13">
      <c r="A227" s="5">
        <v>10314</v>
      </c>
      <c r="E227" s="2" t="s">
        <v>55</v>
      </c>
      <c r="F227" s="2" t="s">
        <v>58</v>
      </c>
      <c r="G227" s="1" t="str">
        <f t="shared" si="41"/>
        <v/>
      </c>
      <c r="H227" s="38" t="e">
        <f t="shared" si="37"/>
        <v>#VALUE!</v>
      </c>
      <c r="I227" s="1">
        <f t="shared" si="38"/>
        <v>1</v>
      </c>
      <c r="J227" s="1">
        <f>VLOOKUP(E227,Sheet3!$I$57:$J$65,2,FALSE)</f>
        <v>3</v>
      </c>
      <c r="K227" s="1">
        <f>VLOOKUP(A227,Sheet3!$A$51:$E$230,4,FALSE)</f>
        <v>0.2</v>
      </c>
      <c r="L227" s="1">
        <f t="shared" si="39"/>
        <v>1</v>
      </c>
      <c r="M227" s="1">
        <f t="shared" si="40"/>
        <v>5</v>
      </c>
    </row>
    <row r="228" spans="1:13">
      <c r="A228" s="5">
        <v>10315</v>
      </c>
      <c r="E228" s="2" t="s">
        <v>35</v>
      </c>
      <c r="F228" s="2" t="s">
        <v>58</v>
      </c>
      <c r="G228" s="1" t="str">
        <f t="shared" si="41"/>
        <v/>
      </c>
      <c r="H228" s="38" t="e">
        <f t="shared" si="37"/>
        <v>#VALUE!</v>
      </c>
      <c r="I228" s="1">
        <f t="shared" si="38"/>
        <v>1</v>
      </c>
      <c r="J228" s="1">
        <f>VLOOKUP(E228,Sheet3!$I$57:$J$65,2,FALSE)</f>
        <v>1</v>
      </c>
      <c r="K228" s="1">
        <f>VLOOKUP(A228,Sheet3!$A$51:$E$230,4,FALSE)</f>
        <v>0.3</v>
      </c>
      <c r="L228" s="1">
        <f t="shared" si="39"/>
        <v>1</v>
      </c>
      <c r="M228" s="1">
        <f t="shared" si="40"/>
        <v>5</v>
      </c>
    </row>
    <row r="229" spans="1:13">
      <c r="A229" s="5">
        <v>10401</v>
      </c>
      <c r="E229" s="2" t="s">
        <v>55</v>
      </c>
      <c r="F229" s="2" t="s">
        <v>54</v>
      </c>
      <c r="G229" s="1" t="str">
        <f t="shared" si="41"/>
        <v/>
      </c>
      <c r="H229" s="38" t="e">
        <f t="shared" si="37"/>
        <v>#VALUE!</v>
      </c>
      <c r="I229" s="1">
        <f t="shared" si="38"/>
        <v>1</v>
      </c>
      <c r="J229" s="1">
        <f>VLOOKUP(E229,Sheet3!$I$57:$J$65,2,FALSE)</f>
        <v>3</v>
      </c>
      <c r="K229" s="1">
        <f>VLOOKUP(A229,Sheet3!$A$51:$E$230,4,FALSE)</f>
        <v>100</v>
      </c>
      <c r="L229" s="1">
        <f t="shared" si="39"/>
        <v>0</v>
      </c>
      <c r="M229" s="1">
        <f t="shared" si="40"/>
        <v>1</v>
      </c>
    </row>
    <row r="230" spans="1:13">
      <c r="A230" s="5">
        <v>10402</v>
      </c>
      <c r="E230" s="2" t="s">
        <v>60</v>
      </c>
      <c r="F230" s="2" t="s">
        <v>58</v>
      </c>
      <c r="G230" s="1" t="str">
        <f t="shared" si="41"/>
        <v/>
      </c>
      <c r="H230" s="38" t="e">
        <f t="shared" si="37"/>
        <v>#VALUE!</v>
      </c>
      <c r="I230" s="1">
        <f t="shared" si="38"/>
        <v>1</v>
      </c>
      <c r="J230" s="1">
        <f>VLOOKUP(E230,Sheet3!$I$57:$J$65,2,FALSE)</f>
        <v>8</v>
      </c>
      <c r="K230" s="1">
        <f>VLOOKUP(A230,Sheet3!$A$51:$E$230,4,FALSE)</f>
        <v>0.1</v>
      </c>
      <c r="L230" s="1">
        <f t="shared" si="39"/>
        <v>0</v>
      </c>
      <c r="M230" s="1">
        <f t="shared" si="40"/>
        <v>1</v>
      </c>
    </row>
    <row r="231" spans="1:13">
      <c r="A231" s="5">
        <v>10403</v>
      </c>
      <c r="E231" s="2" t="s">
        <v>55</v>
      </c>
      <c r="F231" s="2" t="s">
        <v>54</v>
      </c>
      <c r="G231" s="1" t="str">
        <f t="shared" si="41"/>
        <v/>
      </c>
      <c r="H231" s="38" t="e">
        <f t="shared" si="37"/>
        <v>#VALUE!</v>
      </c>
      <c r="I231" s="1">
        <f t="shared" si="38"/>
        <v>1</v>
      </c>
      <c r="J231" s="1">
        <f>VLOOKUP(E231,Sheet3!$I$57:$J$65,2,FALSE)</f>
        <v>3</v>
      </c>
      <c r="K231" s="1">
        <f>VLOOKUP(A231,Sheet3!$A$51:$E$230,4,FALSE)</f>
        <v>250</v>
      </c>
      <c r="L231" s="1">
        <f t="shared" si="39"/>
        <v>0</v>
      </c>
      <c r="M231" s="1">
        <f t="shared" si="40"/>
        <v>1</v>
      </c>
    </row>
    <row r="232" spans="1:13">
      <c r="A232" s="5">
        <v>10404</v>
      </c>
      <c r="E232" s="2" t="s">
        <v>63</v>
      </c>
      <c r="F232" s="2" t="s">
        <v>58</v>
      </c>
      <c r="G232" s="1" t="str">
        <f t="shared" si="41"/>
        <v/>
      </c>
      <c r="H232" s="38" t="e">
        <f t="shared" si="37"/>
        <v>#VALUE!</v>
      </c>
      <c r="I232" s="1">
        <f t="shared" si="38"/>
        <v>1</v>
      </c>
      <c r="J232" s="1">
        <f>VLOOKUP(E232,Sheet3!$I$57:$J$65,2,FALSE)</f>
        <v>11</v>
      </c>
      <c r="K232" s="1">
        <f>VLOOKUP(A232,Sheet3!$A$51:$E$230,4,FALSE)</f>
        <v>0.1</v>
      </c>
      <c r="L232" s="1">
        <f t="shared" si="39"/>
        <v>0</v>
      </c>
      <c r="M232" s="1">
        <f t="shared" si="40"/>
        <v>1</v>
      </c>
    </row>
    <row r="233" spans="1:13">
      <c r="A233" s="5">
        <v>10405</v>
      </c>
      <c r="E233" s="2" t="s">
        <v>55</v>
      </c>
      <c r="F233" s="2" t="s">
        <v>54</v>
      </c>
      <c r="G233" s="1" t="str">
        <f t="shared" si="41"/>
        <v/>
      </c>
      <c r="H233" s="38" t="e">
        <f t="shared" si="37"/>
        <v>#VALUE!</v>
      </c>
      <c r="I233" s="1">
        <f t="shared" si="38"/>
        <v>1</v>
      </c>
      <c r="J233" s="1">
        <f>VLOOKUP(E233,Sheet3!$I$57:$J$65,2,FALSE)</f>
        <v>3</v>
      </c>
      <c r="K233" s="1">
        <f>VLOOKUP(A233,Sheet3!$A$51:$E$230,4,FALSE)</f>
        <v>400</v>
      </c>
      <c r="L233" s="1">
        <f t="shared" si="39"/>
        <v>0</v>
      </c>
      <c r="M233" s="1">
        <f t="shared" si="40"/>
        <v>1</v>
      </c>
    </row>
    <row r="234" spans="1:13">
      <c r="A234" s="5">
        <v>10406</v>
      </c>
      <c r="E234" s="2" t="s">
        <v>61</v>
      </c>
      <c r="F234" s="2" t="s">
        <v>58</v>
      </c>
      <c r="G234" s="1" t="str">
        <f t="shared" si="41"/>
        <v/>
      </c>
      <c r="H234" s="38" t="e">
        <f t="shared" si="37"/>
        <v>#VALUE!</v>
      </c>
      <c r="I234" s="1">
        <f t="shared" si="38"/>
        <v>1</v>
      </c>
      <c r="J234" s="1">
        <f>VLOOKUP(E234,Sheet3!$I$57:$J$65,2,FALSE)</f>
        <v>6</v>
      </c>
      <c r="K234" s="1">
        <f>VLOOKUP(A234,Sheet3!$A$51:$E$230,4,FALSE)</f>
        <v>0.15</v>
      </c>
      <c r="L234" s="1">
        <f t="shared" si="39"/>
        <v>0</v>
      </c>
      <c r="M234" s="1">
        <f t="shared" si="40"/>
        <v>1</v>
      </c>
    </row>
    <row r="235" spans="1:13">
      <c r="A235" s="35">
        <v>10407</v>
      </c>
      <c r="B235" s="35"/>
      <c r="C235" s="36"/>
      <c r="D235" s="20"/>
      <c r="E235" s="2" t="s">
        <v>56</v>
      </c>
      <c r="F235" s="2" t="s">
        <v>54</v>
      </c>
      <c r="G235" s="1">
        <f t="shared" si="41"/>
        <v>45407</v>
      </c>
      <c r="H235" s="38" t="str">
        <f t="shared" si="37"/>
        <v>进阶+7：防御提高500</v>
      </c>
      <c r="I235" s="1">
        <f t="shared" si="38"/>
        <v>1</v>
      </c>
      <c r="J235" s="1">
        <f>VLOOKUP(E235,Sheet3!$I$57:$J$65,2,FALSE)</f>
        <v>4</v>
      </c>
      <c r="K235" s="1">
        <f>VLOOKUP(A235,Sheet3!$A$51:$E$230,4,FALSE)</f>
        <v>500</v>
      </c>
      <c r="L235" s="1">
        <f t="shared" si="39"/>
        <v>0</v>
      </c>
      <c r="M235" s="1">
        <f t="shared" si="40"/>
        <v>1</v>
      </c>
    </row>
    <row r="236" spans="1:13">
      <c r="A236" s="5">
        <v>10408</v>
      </c>
      <c r="E236" s="2" t="s">
        <v>55</v>
      </c>
      <c r="F236" s="2" t="s">
        <v>58</v>
      </c>
      <c r="G236" s="1" t="str">
        <f t="shared" si="41"/>
        <v/>
      </c>
      <c r="H236" s="38" t="e">
        <f t="shared" si="37"/>
        <v>#VALUE!</v>
      </c>
      <c r="I236" s="1">
        <f t="shared" si="38"/>
        <v>1</v>
      </c>
      <c r="J236" s="1">
        <f>VLOOKUP(E236,Sheet3!$I$57:$J$65,2,FALSE)</f>
        <v>3</v>
      </c>
      <c r="K236" s="1">
        <f>VLOOKUP(A236,Sheet3!$A$51:$E$230,4,FALSE)</f>
        <v>0.1</v>
      </c>
      <c r="L236" s="1">
        <f t="shared" si="39"/>
        <v>1</v>
      </c>
      <c r="M236" s="1">
        <f t="shared" si="40"/>
        <v>5</v>
      </c>
    </row>
    <row r="237" spans="1:13">
      <c r="A237" s="5">
        <v>10409</v>
      </c>
      <c r="E237" s="2" t="s">
        <v>35</v>
      </c>
      <c r="F237" s="2" t="s">
        <v>54</v>
      </c>
      <c r="G237" s="1" t="str">
        <f t="shared" si="41"/>
        <v/>
      </c>
      <c r="H237" s="38" t="e">
        <f t="shared" si="37"/>
        <v>#VALUE!</v>
      </c>
      <c r="I237" s="1">
        <f t="shared" si="38"/>
        <v>1</v>
      </c>
      <c r="J237" s="1">
        <f>VLOOKUP(E237,Sheet3!$I$57:$J$65,2,FALSE)</f>
        <v>1</v>
      </c>
      <c r="K237" s="1">
        <f>VLOOKUP(A237,Sheet3!$A$51:$E$230,4,FALSE)</f>
        <v>44999.999999999993</v>
      </c>
      <c r="L237" s="1">
        <f t="shared" si="39"/>
        <v>0</v>
      </c>
      <c r="M237" s="1">
        <f t="shared" si="40"/>
        <v>1</v>
      </c>
    </row>
    <row r="238" spans="1:13">
      <c r="A238" s="5">
        <v>10410</v>
      </c>
      <c r="E238" s="2" t="s">
        <v>35</v>
      </c>
      <c r="F238" s="2" t="s">
        <v>58</v>
      </c>
      <c r="G238" s="1" t="str">
        <f t="shared" si="41"/>
        <v/>
      </c>
      <c r="H238" s="38" t="e">
        <f t="shared" si="37"/>
        <v>#VALUE!</v>
      </c>
      <c r="I238" s="1">
        <f t="shared" si="38"/>
        <v>1</v>
      </c>
      <c r="J238" s="1">
        <f>VLOOKUP(E238,Sheet3!$I$57:$J$65,2,FALSE)</f>
        <v>1</v>
      </c>
      <c r="K238" s="1">
        <f>VLOOKUP(A238,Sheet3!$A$51:$E$230,4,FALSE)</f>
        <v>0.1</v>
      </c>
      <c r="L238" s="1">
        <f t="shared" si="39"/>
        <v>1</v>
      </c>
      <c r="M238" s="1">
        <f t="shared" si="40"/>
        <v>5</v>
      </c>
    </row>
    <row r="239" spans="1:13">
      <c r="A239" s="5">
        <v>10411</v>
      </c>
      <c r="E239" s="2" t="s">
        <v>55</v>
      </c>
      <c r="F239" s="2" t="s">
        <v>54</v>
      </c>
      <c r="G239" s="1" t="str">
        <f t="shared" si="41"/>
        <v/>
      </c>
      <c r="H239" s="38" t="e">
        <f t="shared" si="37"/>
        <v>#VALUE!</v>
      </c>
      <c r="I239" s="1">
        <f t="shared" si="38"/>
        <v>1</v>
      </c>
      <c r="J239" s="1">
        <f>VLOOKUP(E239,Sheet3!$I$57:$J$65,2,FALSE)</f>
        <v>3</v>
      </c>
      <c r="K239" s="1">
        <f>VLOOKUP(A239,Sheet3!$A$51:$E$230,4,FALSE)</f>
        <v>1750</v>
      </c>
      <c r="L239" s="1">
        <f t="shared" si="39"/>
        <v>0</v>
      </c>
      <c r="M239" s="1">
        <f t="shared" si="40"/>
        <v>1</v>
      </c>
    </row>
    <row r="240" spans="1:13">
      <c r="A240" s="5">
        <v>10412</v>
      </c>
      <c r="E240" s="2" t="s">
        <v>55</v>
      </c>
      <c r="F240" s="2" t="s">
        <v>58</v>
      </c>
      <c r="G240" s="1" t="str">
        <f t="shared" si="41"/>
        <v/>
      </c>
      <c r="H240" s="38" t="e">
        <f t="shared" si="37"/>
        <v>#VALUE!</v>
      </c>
      <c r="I240" s="1">
        <f t="shared" si="38"/>
        <v>1</v>
      </c>
      <c r="J240" s="1">
        <f>VLOOKUP(E240,Sheet3!$I$57:$J$65,2,FALSE)</f>
        <v>3</v>
      </c>
      <c r="K240" s="1">
        <f>VLOOKUP(A240,Sheet3!$A$51:$E$230,4,FALSE)</f>
        <v>0.15</v>
      </c>
      <c r="L240" s="1">
        <f t="shared" si="39"/>
        <v>1</v>
      </c>
      <c r="M240" s="1">
        <f t="shared" si="40"/>
        <v>5</v>
      </c>
    </row>
    <row r="241" spans="1:13">
      <c r="A241" s="35">
        <v>10413</v>
      </c>
      <c r="B241" s="35"/>
      <c r="C241" s="36"/>
      <c r="D241" s="20"/>
      <c r="E241" s="2" t="s">
        <v>56</v>
      </c>
      <c r="F241" s="2" t="s">
        <v>58</v>
      </c>
      <c r="G241" s="1">
        <f t="shared" si="41"/>
        <v>45413</v>
      </c>
      <c r="H241" s="38" t="str">
        <f t="shared" si="37"/>
        <v>进阶+13：防御提高20%</v>
      </c>
      <c r="I241" s="1">
        <f t="shared" si="38"/>
        <v>1</v>
      </c>
      <c r="J241" s="1">
        <f>VLOOKUP(E241,Sheet3!$I$57:$J$65,2,FALSE)</f>
        <v>4</v>
      </c>
      <c r="K241" s="1">
        <f>VLOOKUP(A241,Sheet3!$A$51:$E$230,4,FALSE)</f>
        <v>0.2</v>
      </c>
      <c r="L241" s="1">
        <f t="shared" si="39"/>
        <v>1</v>
      </c>
      <c r="M241" s="1">
        <f t="shared" si="40"/>
        <v>5</v>
      </c>
    </row>
    <row r="242" spans="1:13">
      <c r="A242" s="5">
        <v>10414</v>
      </c>
      <c r="E242" s="2" t="s">
        <v>35</v>
      </c>
      <c r="F242" s="2" t="s">
        <v>58</v>
      </c>
      <c r="G242" s="1" t="str">
        <f t="shared" si="41"/>
        <v/>
      </c>
      <c r="H242" s="38" t="e">
        <f t="shared" si="37"/>
        <v>#VALUE!</v>
      </c>
      <c r="I242" s="1">
        <f t="shared" si="38"/>
        <v>1</v>
      </c>
      <c r="J242" s="1">
        <f>VLOOKUP(E242,Sheet3!$I$57:$J$65,2,FALSE)</f>
        <v>1</v>
      </c>
      <c r="K242" s="1">
        <f>VLOOKUP(A242,Sheet3!$A$51:$E$230,4,FALSE)</f>
        <v>0.2</v>
      </c>
      <c r="L242" s="1">
        <f t="shared" si="39"/>
        <v>1</v>
      </c>
      <c r="M242" s="1">
        <f t="shared" si="40"/>
        <v>5</v>
      </c>
    </row>
    <row r="243" spans="1:13">
      <c r="A243" s="5">
        <v>10415</v>
      </c>
      <c r="E243" s="2" t="s">
        <v>55</v>
      </c>
      <c r="F243" s="2" t="s">
        <v>58</v>
      </c>
      <c r="G243" s="1" t="str">
        <f t="shared" si="41"/>
        <v/>
      </c>
      <c r="H243" s="38" t="e">
        <f t="shared" si="37"/>
        <v>#VALUE!</v>
      </c>
      <c r="I243" s="1">
        <f t="shared" si="38"/>
        <v>1</v>
      </c>
      <c r="J243" s="1">
        <f>VLOOKUP(E243,Sheet3!$I$57:$J$65,2,FALSE)</f>
        <v>3</v>
      </c>
      <c r="K243" s="1">
        <f>VLOOKUP(A243,Sheet3!$A$51:$E$230,4,FALSE)</f>
        <v>0.25</v>
      </c>
      <c r="L243" s="1">
        <f t="shared" si="39"/>
        <v>1</v>
      </c>
      <c r="M243" s="1">
        <f t="shared" si="40"/>
        <v>5</v>
      </c>
    </row>
    <row r="244" spans="1:13">
      <c r="A244" s="5">
        <v>10501</v>
      </c>
      <c r="E244" s="2" t="s">
        <v>55</v>
      </c>
      <c r="F244" s="2" t="s">
        <v>54</v>
      </c>
      <c r="G244" s="1" t="str">
        <f t="shared" si="41"/>
        <v/>
      </c>
      <c r="H244" s="38" t="e">
        <f t="shared" si="37"/>
        <v>#VALUE!</v>
      </c>
      <c r="I244" s="1">
        <f t="shared" si="38"/>
        <v>1</v>
      </c>
      <c r="J244" s="1">
        <f>VLOOKUP(E244,Sheet3!$I$57:$J$65,2,FALSE)</f>
        <v>3</v>
      </c>
      <c r="K244" s="1">
        <f>VLOOKUP(A244,Sheet3!$A$51:$E$230,4,FALSE)</f>
        <v>100</v>
      </c>
      <c r="L244" s="1">
        <f t="shared" si="39"/>
        <v>0</v>
      </c>
      <c r="M244" s="1">
        <f t="shared" si="40"/>
        <v>1</v>
      </c>
    </row>
    <row r="245" spans="1:13">
      <c r="A245" s="5">
        <v>10502</v>
      </c>
      <c r="E245" s="2" t="s">
        <v>61</v>
      </c>
      <c r="F245" s="2" t="s">
        <v>58</v>
      </c>
      <c r="G245" s="1" t="str">
        <f t="shared" si="41"/>
        <v/>
      </c>
      <c r="H245" s="38" t="e">
        <f t="shared" si="37"/>
        <v>#VALUE!</v>
      </c>
      <c r="I245" s="1">
        <f t="shared" si="38"/>
        <v>1</v>
      </c>
      <c r="J245" s="1">
        <f>VLOOKUP(E245,Sheet3!$I$57:$J$65,2,FALSE)</f>
        <v>6</v>
      </c>
      <c r="K245" s="1">
        <f>VLOOKUP(A245,Sheet3!$A$51:$E$230,4,FALSE)</f>
        <v>0.05</v>
      </c>
      <c r="L245" s="1">
        <f t="shared" si="39"/>
        <v>0</v>
      </c>
      <c r="M245" s="1">
        <f t="shared" si="40"/>
        <v>1</v>
      </c>
    </row>
    <row r="246" spans="1:13">
      <c r="A246" s="5">
        <v>10503</v>
      </c>
      <c r="E246" s="2" t="s">
        <v>55</v>
      </c>
      <c r="F246" s="2" t="s">
        <v>54</v>
      </c>
      <c r="G246" s="1" t="str">
        <f t="shared" si="41"/>
        <v/>
      </c>
      <c r="H246" s="38" t="e">
        <f t="shared" si="37"/>
        <v>#VALUE!</v>
      </c>
      <c r="I246" s="1">
        <f t="shared" si="38"/>
        <v>1</v>
      </c>
      <c r="J246" s="1">
        <f>VLOOKUP(E246,Sheet3!$I$57:$J$65,2,FALSE)</f>
        <v>3</v>
      </c>
      <c r="K246" s="1">
        <f>VLOOKUP(A246,Sheet3!$A$51:$E$230,4,FALSE)</f>
        <v>250</v>
      </c>
      <c r="L246" s="1">
        <f t="shared" si="39"/>
        <v>0</v>
      </c>
      <c r="M246" s="1">
        <f t="shared" si="40"/>
        <v>1</v>
      </c>
    </row>
    <row r="247" spans="1:13">
      <c r="A247" s="5">
        <v>10504</v>
      </c>
      <c r="E247" s="2" t="s">
        <v>63</v>
      </c>
      <c r="F247" s="2" t="s">
        <v>58</v>
      </c>
      <c r="G247" s="1" t="str">
        <f t="shared" si="41"/>
        <v/>
      </c>
      <c r="H247" s="38" t="e">
        <f t="shared" si="37"/>
        <v>#VALUE!</v>
      </c>
      <c r="I247" s="1">
        <f t="shared" si="38"/>
        <v>1</v>
      </c>
      <c r="J247" s="1">
        <f>VLOOKUP(E247,Sheet3!$I$57:$J$65,2,FALSE)</f>
        <v>11</v>
      </c>
      <c r="K247" s="1">
        <f>VLOOKUP(A247,Sheet3!$A$51:$E$230,4,FALSE)</f>
        <v>0.1</v>
      </c>
      <c r="L247" s="1">
        <f t="shared" si="39"/>
        <v>0</v>
      </c>
      <c r="M247" s="1">
        <f t="shared" si="40"/>
        <v>1</v>
      </c>
    </row>
    <row r="248" spans="1:13">
      <c r="A248" s="5">
        <v>10505</v>
      </c>
      <c r="E248" s="2" t="s">
        <v>55</v>
      </c>
      <c r="F248" s="2" t="s">
        <v>54</v>
      </c>
      <c r="G248" s="1" t="str">
        <f t="shared" ref="G248:G279" si="42">IF(G68=C68,"",G68+5000)</f>
        <v/>
      </c>
      <c r="H248" s="38" t="e">
        <f t="shared" si="37"/>
        <v>#VALUE!</v>
      </c>
      <c r="I248" s="1">
        <f t="shared" si="38"/>
        <v>1</v>
      </c>
      <c r="J248" s="1">
        <f>VLOOKUP(E248,Sheet3!$I$57:$J$65,2,FALSE)</f>
        <v>3</v>
      </c>
      <c r="K248" s="1">
        <f>VLOOKUP(A248,Sheet3!$A$51:$E$230,4,FALSE)</f>
        <v>400</v>
      </c>
      <c r="L248" s="1">
        <f t="shared" si="39"/>
        <v>0</v>
      </c>
      <c r="M248" s="1">
        <f t="shared" si="40"/>
        <v>1</v>
      </c>
    </row>
    <row r="249" spans="1:13">
      <c r="A249" s="5">
        <v>10506</v>
      </c>
      <c r="E249" s="2" t="s">
        <v>60</v>
      </c>
      <c r="F249" s="2" t="s">
        <v>58</v>
      </c>
      <c r="G249" s="1" t="str">
        <f t="shared" si="42"/>
        <v/>
      </c>
      <c r="H249" s="38" t="e">
        <f t="shared" si="37"/>
        <v>#VALUE!</v>
      </c>
      <c r="I249" s="1">
        <f t="shared" si="38"/>
        <v>1</v>
      </c>
      <c r="J249" s="1">
        <f>VLOOKUP(E249,Sheet3!$I$57:$J$65,2,FALSE)</f>
        <v>8</v>
      </c>
      <c r="K249" s="1">
        <f>VLOOKUP(A249,Sheet3!$A$51:$E$230,4,FALSE)</f>
        <v>0.3</v>
      </c>
      <c r="L249" s="1">
        <f t="shared" si="39"/>
        <v>0</v>
      </c>
      <c r="M249" s="1">
        <f t="shared" si="40"/>
        <v>1</v>
      </c>
    </row>
    <row r="250" spans="1:13">
      <c r="A250" s="35">
        <v>10507</v>
      </c>
      <c r="B250" s="35"/>
      <c r="C250" s="36"/>
      <c r="D250" s="20"/>
      <c r="E250" s="2" t="s">
        <v>56</v>
      </c>
      <c r="F250" s="2" t="s">
        <v>54</v>
      </c>
      <c r="G250" s="1">
        <f t="shared" si="42"/>
        <v>45507</v>
      </c>
      <c r="H250" s="38" t="str">
        <f t="shared" si="37"/>
        <v>进阶+7：防御提高500</v>
      </c>
      <c r="I250" s="1">
        <f t="shared" si="38"/>
        <v>1</v>
      </c>
      <c r="J250" s="1">
        <f>VLOOKUP(E250,Sheet3!$I$57:$J$65,2,FALSE)</f>
        <v>4</v>
      </c>
      <c r="K250" s="1">
        <f>VLOOKUP(A250,Sheet3!$A$51:$E$230,4,FALSE)</f>
        <v>500</v>
      </c>
      <c r="L250" s="1">
        <f t="shared" si="39"/>
        <v>0</v>
      </c>
      <c r="M250" s="1">
        <f t="shared" si="40"/>
        <v>1</v>
      </c>
    </row>
    <row r="251" spans="1:13">
      <c r="A251" s="5">
        <v>10508</v>
      </c>
      <c r="E251" s="2" t="s">
        <v>55</v>
      </c>
      <c r="F251" s="2" t="s">
        <v>58</v>
      </c>
      <c r="G251" s="1" t="str">
        <f t="shared" si="42"/>
        <v/>
      </c>
      <c r="H251" s="38" t="e">
        <f t="shared" si="37"/>
        <v>#VALUE!</v>
      </c>
      <c r="I251" s="1">
        <f t="shared" si="38"/>
        <v>1</v>
      </c>
      <c r="J251" s="1">
        <f>VLOOKUP(E251,Sheet3!$I$57:$J$65,2,FALSE)</f>
        <v>3</v>
      </c>
      <c r="K251" s="1">
        <f>VLOOKUP(A251,Sheet3!$A$51:$E$230,4,FALSE)</f>
        <v>0.1</v>
      </c>
      <c r="L251" s="1">
        <f t="shared" si="39"/>
        <v>1</v>
      </c>
      <c r="M251" s="1">
        <f t="shared" si="40"/>
        <v>5</v>
      </c>
    </row>
    <row r="252" spans="1:13">
      <c r="A252" s="5">
        <v>10509</v>
      </c>
      <c r="E252" s="2" t="s">
        <v>35</v>
      </c>
      <c r="F252" s="2" t="s">
        <v>54</v>
      </c>
      <c r="G252" s="1" t="str">
        <f t="shared" si="42"/>
        <v/>
      </c>
      <c r="H252" s="38" t="e">
        <f t="shared" si="37"/>
        <v>#VALUE!</v>
      </c>
      <c r="I252" s="1">
        <f t="shared" si="38"/>
        <v>1</v>
      </c>
      <c r="J252" s="1">
        <f>VLOOKUP(E252,Sheet3!$I$57:$J$65,2,FALSE)</f>
        <v>1</v>
      </c>
      <c r="K252" s="1">
        <f>VLOOKUP(A252,Sheet3!$A$51:$E$230,4,FALSE)</f>
        <v>44999.999999999993</v>
      </c>
      <c r="L252" s="1">
        <f t="shared" si="39"/>
        <v>0</v>
      </c>
      <c r="M252" s="1">
        <f t="shared" si="40"/>
        <v>1</v>
      </c>
    </row>
    <row r="253" spans="1:13">
      <c r="A253" s="5">
        <v>10510</v>
      </c>
      <c r="E253" s="2" t="s">
        <v>35</v>
      </c>
      <c r="F253" s="2" t="s">
        <v>58</v>
      </c>
      <c r="G253" s="1" t="str">
        <f t="shared" si="42"/>
        <v/>
      </c>
      <c r="H253" s="38" t="e">
        <f t="shared" si="37"/>
        <v>#VALUE!</v>
      </c>
      <c r="I253" s="1">
        <f t="shared" si="38"/>
        <v>1</v>
      </c>
      <c r="J253" s="1">
        <f>VLOOKUP(E253,Sheet3!$I$57:$J$65,2,FALSE)</f>
        <v>1</v>
      </c>
      <c r="K253" s="1">
        <f>VLOOKUP(A253,Sheet3!$A$51:$E$230,4,FALSE)</f>
        <v>0.1</v>
      </c>
      <c r="L253" s="1">
        <f t="shared" si="39"/>
        <v>1</v>
      </c>
      <c r="M253" s="1">
        <f t="shared" si="40"/>
        <v>5</v>
      </c>
    </row>
    <row r="254" spans="1:13">
      <c r="A254" s="5">
        <v>10511</v>
      </c>
      <c r="E254" s="2" t="s">
        <v>55</v>
      </c>
      <c r="F254" s="2" t="s">
        <v>54</v>
      </c>
      <c r="G254" s="1" t="str">
        <f t="shared" si="42"/>
        <v/>
      </c>
      <c r="H254" s="38" t="e">
        <f t="shared" si="37"/>
        <v>#VALUE!</v>
      </c>
      <c r="I254" s="1">
        <f t="shared" si="38"/>
        <v>1</v>
      </c>
      <c r="J254" s="1">
        <f>VLOOKUP(E254,Sheet3!$I$57:$J$65,2,FALSE)</f>
        <v>3</v>
      </c>
      <c r="K254" s="1">
        <f>VLOOKUP(A254,Sheet3!$A$51:$E$230,4,FALSE)</f>
        <v>1750</v>
      </c>
      <c r="L254" s="1">
        <f t="shared" si="39"/>
        <v>0</v>
      </c>
      <c r="M254" s="1">
        <f t="shared" si="40"/>
        <v>1</v>
      </c>
    </row>
    <row r="255" spans="1:13">
      <c r="A255" s="5">
        <v>10512</v>
      </c>
      <c r="E255" s="2" t="s">
        <v>55</v>
      </c>
      <c r="F255" s="2" t="s">
        <v>58</v>
      </c>
      <c r="G255" s="1" t="str">
        <f t="shared" si="42"/>
        <v/>
      </c>
      <c r="H255" s="38" t="e">
        <f t="shared" si="37"/>
        <v>#VALUE!</v>
      </c>
      <c r="I255" s="1">
        <f t="shared" si="38"/>
        <v>1</v>
      </c>
      <c r="J255" s="1">
        <f>VLOOKUP(E255,Sheet3!$I$57:$J$65,2,FALSE)</f>
        <v>3</v>
      </c>
      <c r="K255" s="1">
        <f>VLOOKUP(A255,Sheet3!$A$51:$E$230,4,FALSE)</f>
        <v>0.15</v>
      </c>
      <c r="L255" s="1">
        <f t="shared" si="39"/>
        <v>1</v>
      </c>
      <c r="M255" s="1">
        <f t="shared" si="40"/>
        <v>5</v>
      </c>
    </row>
    <row r="256" spans="1:13">
      <c r="A256" s="35">
        <v>10513</v>
      </c>
      <c r="E256" s="2" t="s">
        <v>56</v>
      </c>
      <c r="F256" s="2" t="s">
        <v>58</v>
      </c>
      <c r="G256" s="1">
        <f t="shared" si="42"/>
        <v>45513</v>
      </c>
      <c r="H256" s="38" t="str">
        <f t="shared" si="37"/>
        <v>进阶+13：防御提高20%</v>
      </c>
      <c r="I256" s="1">
        <f t="shared" si="38"/>
        <v>1</v>
      </c>
      <c r="J256" s="1">
        <f>VLOOKUP(E256,Sheet3!$I$57:$J$65,2,FALSE)</f>
        <v>4</v>
      </c>
      <c r="K256" s="1">
        <f>VLOOKUP(A256,Sheet3!$A$51:$E$230,4,FALSE)</f>
        <v>0.2</v>
      </c>
      <c r="L256" s="1">
        <f t="shared" si="39"/>
        <v>1</v>
      </c>
      <c r="M256" s="1">
        <f t="shared" si="40"/>
        <v>5</v>
      </c>
    </row>
    <row r="257" spans="1:13">
      <c r="A257" s="5">
        <v>10514</v>
      </c>
      <c r="E257" s="2" t="s">
        <v>35</v>
      </c>
      <c r="F257" s="2" t="s">
        <v>58</v>
      </c>
      <c r="G257" s="1" t="str">
        <f t="shared" si="42"/>
        <v/>
      </c>
      <c r="H257" s="38" t="e">
        <f t="shared" si="37"/>
        <v>#VALUE!</v>
      </c>
      <c r="I257" s="1">
        <f t="shared" si="38"/>
        <v>1</v>
      </c>
      <c r="J257" s="1">
        <f>VLOOKUP(E257,Sheet3!$I$57:$J$65,2,FALSE)</f>
        <v>1</v>
      </c>
      <c r="K257" s="1">
        <f>VLOOKUP(A257,Sheet3!$A$51:$E$230,4,FALSE)</f>
        <v>0.2</v>
      </c>
      <c r="L257" s="1">
        <f t="shared" si="39"/>
        <v>1</v>
      </c>
      <c r="M257" s="1">
        <f t="shared" si="40"/>
        <v>5</v>
      </c>
    </row>
    <row r="258" spans="1:13">
      <c r="A258" s="5">
        <v>10515</v>
      </c>
      <c r="E258" s="2" t="s">
        <v>55</v>
      </c>
      <c r="F258" s="2" t="s">
        <v>58</v>
      </c>
      <c r="G258" s="1" t="str">
        <f t="shared" si="42"/>
        <v/>
      </c>
      <c r="H258" s="38" t="e">
        <f t="shared" si="37"/>
        <v>#VALUE!</v>
      </c>
      <c r="I258" s="1">
        <f t="shared" si="38"/>
        <v>1</v>
      </c>
      <c r="J258" s="1">
        <f>VLOOKUP(E258,Sheet3!$I$57:$J$65,2,FALSE)</f>
        <v>3</v>
      </c>
      <c r="K258" s="1">
        <f>VLOOKUP(A258,Sheet3!$A$51:$E$230,4,FALSE)</f>
        <v>0.25</v>
      </c>
      <c r="L258" s="1">
        <f t="shared" si="39"/>
        <v>1</v>
      </c>
      <c r="M258" s="1">
        <f t="shared" si="40"/>
        <v>5</v>
      </c>
    </row>
    <row r="259" spans="1:13">
      <c r="A259" s="5">
        <v>10601</v>
      </c>
      <c r="E259" s="2" t="s">
        <v>55</v>
      </c>
      <c r="F259" s="2" t="s">
        <v>54</v>
      </c>
      <c r="G259" s="1" t="str">
        <f t="shared" si="42"/>
        <v/>
      </c>
      <c r="H259" s="38" t="e">
        <f t="shared" si="37"/>
        <v>#VALUE!</v>
      </c>
      <c r="I259" s="1">
        <f t="shared" si="38"/>
        <v>1</v>
      </c>
      <c r="J259" s="1">
        <f>VLOOKUP(E259,Sheet3!$I$57:$J$65,2,FALSE)</f>
        <v>3</v>
      </c>
      <c r="K259" s="1">
        <f>VLOOKUP(A259,Sheet3!$A$51:$E$230,4,FALSE)</f>
        <v>100</v>
      </c>
      <c r="L259" s="1">
        <f t="shared" si="39"/>
        <v>0</v>
      </c>
      <c r="M259" s="1">
        <f t="shared" si="40"/>
        <v>1</v>
      </c>
    </row>
    <row r="260" spans="1:13">
      <c r="A260" s="5">
        <v>10602</v>
      </c>
      <c r="E260" s="2" t="s">
        <v>61</v>
      </c>
      <c r="F260" s="2" t="s">
        <v>58</v>
      </c>
      <c r="G260" s="1" t="str">
        <f t="shared" si="42"/>
        <v/>
      </c>
      <c r="H260" s="38" t="e">
        <f t="shared" ref="H260:H323" si="43">"进阶+"&amp;INT(MID(G260,4,2))&amp;"："&amp;IF(I260=2,"全体","")&amp;E260&amp;"提高"&amp;IF(K260&lt;1,K260*100,K260)&amp;IF(OR(F260="数值",F260="光环数值"),"","%")</f>
        <v>#VALUE!</v>
      </c>
      <c r="I260" s="1">
        <f t="shared" ref="I260:I323" si="44">IF(MID(F260,1,2)="光环",2,1)</f>
        <v>1</v>
      </c>
      <c r="J260" s="1">
        <f>VLOOKUP(E260,Sheet3!$I$57:$J$65,2,FALSE)</f>
        <v>6</v>
      </c>
      <c r="K260" s="1">
        <f>VLOOKUP(A260,Sheet3!$A$51:$E$230,4,FALSE)</f>
        <v>0.05</v>
      </c>
      <c r="L260" s="1">
        <f t="shared" ref="L260:L323" si="45">IF(AND(J260&lt;5,F260="百分比"),1,0)</f>
        <v>0</v>
      </c>
      <c r="M260" s="1">
        <f t="shared" ref="M260:M323" si="46">IF(L260=0,1,5)</f>
        <v>1</v>
      </c>
    </row>
    <row r="261" spans="1:13">
      <c r="A261" s="5">
        <v>10603</v>
      </c>
      <c r="E261" s="2" t="s">
        <v>55</v>
      </c>
      <c r="F261" s="2" t="s">
        <v>54</v>
      </c>
      <c r="G261" s="1" t="str">
        <f t="shared" si="42"/>
        <v/>
      </c>
      <c r="H261" s="38" t="e">
        <f t="shared" si="43"/>
        <v>#VALUE!</v>
      </c>
      <c r="I261" s="1">
        <f t="shared" si="44"/>
        <v>1</v>
      </c>
      <c r="J261" s="1">
        <f>VLOOKUP(E261,Sheet3!$I$57:$J$65,2,FALSE)</f>
        <v>3</v>
      </c>
      <c r="K261" s="1">
        <f>VLOOKUP(A261,Sheet3!$A$51:$E$230,4,FALSE)</f>
        <v>250</v>
      </c>
      <c r="L261" s="1">
        <f t="shared" si="45"/>
        <v>0</v>
      </c>
      <c r="M261" s="1">
        <f t="shared" si="46"/>
        <v>1</v>
      </c>
    </row>
    <row r="262" spans="1:13">
      <c r="A262" s="5">
        <v>10604</v>
      </c>
      <c r="E262" s="2" t="s">
        <v>60</v>
      </c>
      <c r="F262" s="2" t="s">
        <v>58</v>
      </c>
      <c r="G262" s="1" t="str">
        <f t="shared" si="42"/>
        <v/>
      </c>
      <c r="H262" s="38" t="e">
        <f t="shared" si="43"/>
        <v>#VALUE!</v>
      </c>
      <c r="I262" s="1">
        <f t="shared" si="44"/>
        <v>1</v>
      </c>
      <c r="J262" s="1">
        <f>VLOOKUP(E262,Sheet3!$I$57:$J$65,2,FALSE)</f>
        <v>8</v>
      </c>
      <c r="K262" s="1">
        <f>VLOOKUP(A262,Sheet3!$A$51:$E$230,4,FALSE)</f>
        <v>0.2</v>
      </c>
      <c r="L262" s="1">
        <f t="shared" si="45"/>
        <v>0</v>
      </c>
      <c r="M262" s="1">
        <f t="shared" si="46"/>
        <v>1</v>
      </c>
    </row>
    <row r="263" spans="1:13">
      <c r="A263" s="5">
        <v>10605</v>
      </c>
      <c r="E263" s="2" t="s">
        <v>55</v>
      </c>
      <c r="F263" s="2" t="s">
        <v>54</v>
      </c>
      <c r="G263" s="1" t="str">
        <f t="shared" si="42"/>
        <v/>
      </c>
      <c r="H263" s="38" t="e">
        <f t="shared" si="43"/>
        <v>#VALUE!</v>
      </c>
      <c r="I263" s="1">
        <f t="shared" si="44"/>
        <v>1</v>
      </c>
      <c r="J263" s="1">
        <f>VLOOKUP(E263,Sheet3!$I$57:$J$65,2,FALSE)</f>
        <v>3</v>
      </c>
      <c r="K263" s="1">
        <f>VLOOKUP(A263,Sheet3!$A$51:$E$230,4,FALSE)</f>
        <v>400</v>
      </c>
      <c r="L263" s="1">
        <f t="shared" si="45"/>
        <v>0</v>
      </c>
      <c r="M263" s="1">
        <f t="shared" si="46"/>
        <v>1</v>
      </c>
    </row>
    <row r="264" spans="1:13">
      <c r="A264" s="5">
        <v>10606</v>
      </c>
      <c r="E264" s="2" t="s">
        <v>63</v>
      </c>
      <c r="F264" s="2" t="s">
        <v>58</v>
      </c>
      <c r="G264" s="1" t="str">
        <f t="shared" si="42"/>
        <v/>
      </c>
      <c r="H264" s="38" t="e">
        <f t="shared" si="43"/>
        <v>#VALUE!</v>
      </c>
      <c r="I264" s="1">
        <f t="shared" si="44"/>
        <v>1</v>
      </c>
      <c r="J264" s="1">
        <f>VLOOKUP(E264,Sheet3!$I$57:$J$65,2,FALSE)</f>
        <v>11</v>
      </c>
      <c r="K264" s="1">
        <f>VLOOKUP(A264,Sheet3!$A$51:$E$230,4,FALSE)</f>
        <v>0.15</v>
      </c>
      <c r="L264" s="1">
        <f t="shared" si="45"/>
        <v>0</v>
      </c>
      <c r="M264" s="1">
        <f t="shared" si="46"/>
        <v>1</v>
      </c>
    </row>
    <row r="265" spans="1:13">
      <c r="A265" s="5">
        <v>10607</v>
      </c>
      <c r="E265" s="2" t="s">
        <v>56</v>
      </c>
      <c r="F265" s="2" t="s">
        <v>54</v>
      </c>
      <c r="G265" s="1">
        <f t="shared" si="42"/>
        <v>45607</v>
      </c>
      <c r="H265" s="38" t="str">
        <f t="shared" si="43"/>
        <v>进阶+7：防御提高500</v>
      </c>
      <c r="I265" s="1">
        <f t="shared" si="44"/>
        <v>1</v>
      </c>
      <c r="J265" s="1">
        <f>VLOOKUP(E265,Sheet3!$I$57:$J$65,2,FALSE)</f>
        <v>4</v>
      </c>
      <c r="K265" s="1">
        <f>VLOOKUP(A265,Sheet3!$A$51:$E$230,4,FALSE)</f>
        <v>500</v>
      </c>
      <c r="L265" s="1">
        <f t="shared" si="45"/>
        <v>0</v>
      </c>
      <c r="M265" s="1">
        <f t="shared" si="46"/>
        <v>1</v>
      </c>
    </row>
    <row r="266" spans="1:13">
      <c r="A266" s="5">
        <v>10608</v>
      </c>
      <c r="E266" s="2" t="s">
        <v>55</v>
      </c>
      <c r="F266" s="2" t="s">
        <v>58</v>
      </c>
      <c r="G266" s="1" t="str">
        <f t="shared" si="42"/>
        <v/>
      </c>
      <c r="H266" s="38" t="e">
        <f t="shared" si="43"/>
        <v>#VALUE!</v>
      </c>
      <c r="I266" s="1">
        <f t="shared" si="44"/>
        <v>1</v>
      </c>
      <c r="J266" s="1">
        <f>VLOOKUP(E266,Sheet3!$I$57:$J$65,2,FALSE)</f>
        <v>3</v>
      </c>
      <c r="K266" s="1">
        <f>VLOOKUP(A266,Sheet3!$A$51:$E$230,4,FALSE)</f>
        <v>0.1</v>
      </c>
      <c r="L266" s="1">
        <f t="shared" si="45"/>
        <v>1</v>
      </c>
      <c r="M266" s="1">
        <f t="shared" si="46"/>
        <v>5</v>
      </c>
    </row>
    <row r="267" spans="1:13">
      <c r="A267" s="5">
        <v>10609</v>
      </c>
      <c r="E267" s="2" t="s">
        <v>35</v>
      </c>
      <c r="F267" s="2" t="s">
        <v>54</v>
      </c>
      <c r="G267" s="1" t="str">
        <f t="shared" si="42"/>
        <v/>
      </c>
      <c r="H267" s="38" t="e">
        <f t="shared" si="43"/>
        <v>#VALUE!</v>
      </c>
      <c r="I267" s="1">
        <f t="shared" si="44"/>
        <v>1</v>
      </c>
      <c r="J267" s="1">
        <f>VLOOKUP(E267,Sheet3!$I$57:$J$65,2,FALSE)</f>
        <v>1</v>
      </c>
      <c r="K267" s="1">
        <f>VLOOKUP(A267,Sheet3!$A$51:$E$230,4,FALSE)</f>
        <v>44999.999999999993</v>
      </c>
      <c r="L267" s="1">
        <f t="shared" si="45"/>
        <v>0</v>
      </c>
      <c r="M267" s="1">
        <f t="shared" si="46"/>
        <v>1</v>
      </c>
    </row>
    <row r="268" spans="1:13">
      <c r="A268" s="5">
        <v>10610</v>
      </c>
      <c r="E268" s="2" t="s">
        <v>35</v>
      </c>
      <c r="F268" s="2" t="s">
        <v>58</v>
      </c>
      <c r="G268" s="1" t="str">
        <f t="shared" si="42"/>
        <v/>
      </c>
      <c r="H268" s="38" t="e">
        <f t="shared" si="43"/>
        <v>#VALUE!</v>
      </c>
      <c r="I268" s="1">
        <f t="shared" si="44"/>
        <v>1</v>
      </c>
      <c r="J268" s="1">
        <f>VLOOKUP(E268,Sheet3!$I$57:$J$65,2,FALSE)</f>
        <v>1</v>
      </c>
      <c r="K268" s="1">
        <f>VLOOKUP(A268,Sheet3!$A$51:$E$230,4,FALSE)</f>
        <v>0.1</v>
      </c>
      <c r="L268" s="1">
        <f t="shared" si="45"/>
        <v>1</v>
      </c>
      <c r="M268" s="1">
        <f t="shared" si="46"/>
        <v>5</v>
      </c>
    </row>
    <row r="269" spans="1:13">
      <c r="A269" s="5">
        <v>10611</v>
      </c>
      <c r="E269" s="2" t="s">
        <v>55</v>
      </c>
      <c r="F269" s="2" t="s">
        <v>54</v>
      </c>
      <c r="G269" s="1" t="str">
        <f t="shared" si="42"/>
        <v/>
      </c>
      <c r="H269" s="38" t="e">
        <f t="shared" si="43"/>
        <v>#VALUE!</v>
      </c>
      <c r="I269" s="1">
        <f t="shared" si="44"/>
        <v>1</v>
      </c>
      <c r="J269" s="1">
        <f>VLOOKUP(E269,Sheet3!$I$57:$J$65,2,FALSE)</f>
        <v>3</v>
      </c>
      <c r="K269" s="1">
        <f>VLOOKUP(A269,Sheet3!$A$51:$E$230,4,FALSE)</f>
        <v>1750</v>
      </c>
      <c r="L269" s="1">
        <f t="shared" si="45"/>
        <v>0</v>
      </c>
      <c r="M269" s="1">
        <f t="shared" si="46"/>
        <v>1</v>
      </c>
    </row>
    <row r="270" spans="1:13">
      <c r="A270" s="5">
        <v>10612</v>
      </c>
      <c r="E270" s="2" t="s">
        <v>55</v>
      </c>
      <c r="F270" s="2" t="s">
        <v>58</v>
      </c>
      <c r="G270" s="1" t="str">
        <f t="shared" si="42"/>
        <v/>
      </c>
      <c r="H270" s="38" t="e">
        <f t="shared" si="43"/>
        <v>#VALUE!</v>
      </c>
      <c r="I270" s="1">
        <f t="shared" si="44"/>
        <v>1</v>
      </c>
      <c r="J270" s="1">
        <f>VLOOKUP(E270,Sheet3!$I$57:$J$65,2,FALSE)</f>
        <v>3</v>
      </c>
      <c r="K270" s="1">
        <f>VLOOKUP(A270,Sheet3!$A$51:$E$230,4,FALSE)</f>
        <v>0.15</v>
      </c>
      <c r="L270" s="1">
        <f t="shared" si="45"/>
        <v>1</v>
      </c>
      <c r="M270" s="1">
        <f t="shared" si="46"/>
        <v>5</v>
      </c>
    </row>
    <row r="271" spans="1:13">
      <c r="A271" s="5">
        <v>10613</v>
      </c>
      <c r="E271" s="2" t="s">
        <v>56</v>
      </c>
      <c r="F271" s="2" t="s">
        <v>58</v>
      </c>
      <c r="G271" s="1">
        <f t="shared" si="42"/>
        <v>45613</v>
      </c>
      <c r="H271" s="38" t="str">
        <f t="shared" si="43"/>
        <v>进阶+13：防御提高20%</v>
      </c>
      <c r="I271" s="1">
        <f t="shared" si="44"/>
        <v>1</v>
      </c>
      <c r="J271" s="1">
        <f>VLOOKUP(E271,Sheet3!$I$57:$J$65,2,FALSE)</f>
        <v>4</v>
      </c>
      <c r="K271" s="1">
        <f>VLOOKUP(A271,Sheet3!$A$51:$E$230,4,FALSE)</f>
        <v>0.2</v>
      </c>
      <c r="L271" s="1">
        <f t="shared" si="45"/>
        <v>1</v>
      </c>
      <c r="M271" s="1">
        <f t="shared" si="46"/>
        <v>5</v>
      </c>
    </row>
    <row r="272" spans="1:13">
      <c r="A272" s="5">
        <v>10614</v>
      </c>
      <c r="E272" s="2" t="s">
        <v>35</v>
      </c>
      <c r="F272" s="2" t="s">
        <v>58</v>
      </c>
      <c r="G272" s="1" t="str">
        <f t="shared" si="42"/>
        <v/>
      </c>
      <c r="H272" s="38" t="e">
        <f t="shared" si="43"/>
        <v>#VALUE!</v>
      </c>
      <c r="I272" s="1">
        <f t="shared" si="44"/>
        <v>1</v>
      </c>
      <c r="J272" s="1">
        <f>VLOOKUP(E272,Sheet3!$I$57:$J$65,2,FALSE)</f>
        <v>1</v>
      </c>
      <c r="K272" s="1">
        <f>VLOOKUP(A272,Sheet3!$A$51:$E$230,4,FALSE)</f>
        <v>0.2</v>
      </c>
      <c r="L272" s="1">
        <f t="shared" si="45"/>
        <v>1</v>
      </c>
      <c r="M272" s="1">
        <f t="shared" si="46"/>
        <v>5</v>
      </c>
    </row>
    <row r="273" spans="1:13">
      <c r="A273" s="5">
        <v>10615</v>
      </c>
      <c r="E273" s="2" t="s">
        <v>55</v>
      </c>
      <c r="F273" s="2" t="s">
        <v>58</v>
      </c>
      <c r="G273" s="1" t="str">
        <f t="shared" si="42"/>
        <v/>
      </c>
      <c r="H273" s="38" t="e">
        <f t="shared" si="43"/>
        <v>#VALUE!</v>
      </c>
      <c r="I273" s="1">
        <f t="shared" si="44"/>
        <v>1</v>
      </c>
      <c r="J273" s="1">
        <f>VLOOKUP(E273,Sheet3!$I$57:$J$65,2,FALSE)</f>
        <v>3</v>
      </c>
      <c r="K273" s="1">
        <f>VLOOKUP(A273,Sheet3!$A$51:$E$230,4,FALSE)</f>
        <v>0.25</v>
      </c>
      <c r="L273" s="1">
        <f t="shared" si="45"/>
        <v>1</v>
      </c>
      <c r="M273" s="1">
        <f t="shared" si="46"/>
        <v>5</v>
      </c>
    </row>
    <row r="274" spans="1:13">
      <c r="A274" s="5">
        <v>10701</v>
      </c>
      <c r="E274" s="2" t="s">
        <v>56</v>
      </c>
      <c r="F274" s="2" t="s">
        <v>54</v>
      </c>
      <c r="G274" s="1">
        <f t="shared" si="42"/>
        <v>45701</v>
      </c>
      <c r="H274" s="38" t="str">
        <f t="shared" si="43"/>
        <v>进阶+1：防御提高100</v>
      </c>
      <c r="I274" s="1">
        <f t="shared" si="44"/>
        <v>1</v>
      </c>
      <c r="J274" s="1">
        <f>VLOOKUP(E274,Sheet3!$I$57:$J$65,2,FALSE)</f>
        <v>4</v>
      </c>
      <c r="K274" s="1">
        <f>VLOOKUP(A274,Sheet3!$A$51:$E$230,4,FALSE)</f>
        <v>100</v>
      </c>
      <c r="L274" s="1">
        <f t="shared" si="45"/>
        <v>0</v>
      </c>
      <c r="M274" s="1">
        <f t="shared" si="46"/>
        <v>1</v>
      </c>
    </row>
    <row r="275" spans="1:13">
      <c r="A275" s="5">
        <v>10702</v>
      </c>
      <c r="E275" s="2" t="s">
        <v>57</v>
      </c>
      <c r="F275" s="2" t="s">
        <v>58</v>
      </c>
      <c r="G275" s="1" t="str">
        <f t="shared" si="42"/>
        <v/>
      </c>
      <c r="H275" s="38" t="e">
        <f t="shared" si="43"/>
        <v>#VALUE!</v>
      </c>
      <c r="I275" s="1">
        <f t="shared" si="44"/>
        <v>1</v>
      </c>
      <c r="J275" s="1">
        <f>VLOOKUP(E275,Sheet3!$I$57:$J$65,2,FALSE)</f>
        <v>9</v>
      </c>
      <c r="K275" s="1">
        <f>VLOOKUP(A275,Sheet3!$A$51:$E$230,4,FALSE)</f>
        <v>0.1</v>
      </c>
      <c r="L275" s="1">
        <f t="shared" si="45"/>
        <v>0</v>
      </c>
      <c r="M275" s="1">
        <f t="shared" si="46"/>
        <v>1</v>
      </c>
    </row>
    <row r="276" spans="1:13">
      <c r="A276" s="5">
        <v>10703</v>
      </c>
      <c r="E276" s="2" t="s">
        <v>35</v>
      </c>
      <c r="F276" s="2" t="s">
        <v>54</v>
      </c>
      <c r="G276" s="1" t="str">
        <f t="shared" si="42"/>
        <v/>
      </c>
      <c r="H276" s="38" t="e">
        <f t="shared" si="43"/>
        <v>#VALUE!</v>
      </c>
      <c r="I276" s="1">
        <f t="shared" si="44"/>
        <v>1</v>
      </c>
      <c r="J276" s="1">
        <f>VLOOKUP(E276,Sheet3!$I$57:$J$65,2,FALSE)</f>
        <v>1</v>
      </c>
      <c r="K276" s="1">
        <f>VLOOKUP(A276,Sheet3!$A$51:$E$230,4,FALSE)</f>
        <v>14999.999999999998</v>
      </c>
      <c r="L276" s="1">
        <f t="shared" si="45"/>
        <v>0</v>
      </c>
      <c r="M276" s="1">
        <f t="shared" si="46"/>
        <v>1</v>
      </c>
    </row>
    <row r="277" spans="1:13">
      <c r="A277" s="5">
        <v>10704</v>
      </c>
      <c r="E277" s="2" t="s">
        <v>62</v>
      </c>
      <c r="F277" s="2" t="s">
        <v>58</v>
      </c>
      <c r="G277" s="1" t="str">
        <f t="shared" si="42"/>
        <v/>
      </c>
      <c r="H277" s="38" t="e">
        <f t="shared" si="43"/>
        <v>#VALUE!</v>
      </c>
      <c r="I277" s="1">
        <f t="shared" si="44"/>
        <v>1</v>
      </c>
      <c r="J277" s="1">
        <f>VLOOKUP(E277,Sheet3!$I$57:$J$65,2,FALSE)</f>
        <v>10</v>
      </c>
      <c r="K277" s="1">
        <f>VLOOKUP(A277,Sheet3!$A$51:$E$230,4,FALSE)</f>
        <v>0.1</v>
      </c>
      <c r="L277" s="1">
        <f t="shared" si="45"/>
        <v>0</v>
      </c>
      <c r="M277" s="1">
        <f t="shared" si="46"/>
        <v>1</v>
      </c>
    </row>
    <row r="278" spans="1:13">
      <c r="A278" s="5">
        <v>10705</v>
      </c>
      <c r="E278" s="2" t="s">
        <v>55</v>
      </c>
      <c r="F278" s="2" t="s">
        <v>54</v>
      </c>
      <c r="G278" s="1" t="str">
        <f t="shared" si="42"/>
        <v/>
      </c>
      <c r="H278" s="38" t="e">
        <f t="shared" si="43"/>
        <v>#VALUE!</v>
      </c>
      <c r="I278" s="1">
        <f t="shared" si="44"/>
        <v>1</v>
      </c>
      <c r="J278" s="1">
        <f>VLOOKUP(E278,Sheet3!$I$57:$J$65,2,FALSE)</f>
        <v>3</v>
      </c>
      <c r="K278" s="1">
        <f>VLOOKUP(A278,Sheet3!$A$51:$E$230,4,FALSE)</f>
        <v>300</v>
      </c>
      <c r="L278" s="1">
        <f t="shared" si="45"/>
        <v>0</v>
      </c>
      <c r="M278" s="1">
        <f t="shared" si="46"/>
        <v>1</v>
      </c>
    </row>
    <row r="279" spans="1:13">
      <c r="A279" s="5">
        <v>10706</v>
      </c>
      <c r="E279" s="2" t="s">
        <v>59</v>
      </c>
      <c r="F279" s="2" t="s">
        <v>64</v>
      </c>
      <c r="G279" s="1" t="str">
        <f t="shared" si="42"/>
        <v/>
      </c>
      <c r="H279" s="38" t="e">
        <f t="shared" si="43"/>
        <v>#VALUE!</v>
      </c>
      <c r="I279" s="1">
        <f t="shared" si="44"/>
        <v>2</v>
      </c>
      <c r="J279" s="1">
        <f>VLOOKUP(E279,Sheet3!$I$57:$J$65,2,FALSE)</f>
        <v>7</v>
      </c>
      <c r="K279" s="1">
        <f>VLOOKUP(A279,Sheet3!$A$51:$E$230,4,FALSE)</f>
        <v>0.08</v>
      </c>
      <c r="L279" s="1">
        <f t="shared" si="45"/>
        <v>0</v>
      </c>
      <c r="M279" s="1">
        <f t="shared" si="46"/>
        <v>1</v>
      </c>
    </row>
    <row r="280" spans="1:13">
      <c r="A280" s="5">
        <v>10707</v>
      </c>
      <c r="E280" s="2" t="s">
        <v>56</v>
      </c>
      <c r="F280" s="2" t="s">
        <v>65</v>
      </c>
      <c r="G280" s="1">
        <f t="shared" ref="G280:G311" si="47">IF(G100=C100,"",G100+5000)</f>
        <v>45707</v>
      </c>
      <c r="H280" s="38" t="str">
        <f t="shared" si="43"/>
        <v>进阶+7：全体防御提高400</v>
      </c>
      <c r="I280" s="1">
        <f t="shared" si="44"/>
        <v>2</v>
      </c>
      <c r="J280" s="1">
        <f>VLOOKUP(E280,Sheet3!$I$57:$J$65,2,FALSE)</f>
        <v>4</v>
      </c>
      <c r="K280" s="1">
        <f>VLOOKUP(A280,Sheet3!$A$51:$E$230,4,FALSE)</f>
        <v>400</v>
      </c>
      <c r="L280" s="1">
        <f t="shared" si="45"/>
        <v>0</v>
      </c>
      <c r="M280" s="1">
        <f t="shared" si="46"/>
        <v>1</v>
      </c>
    </row>
    <row r="281" spans="1:13">
      <c r="A281" s="5">
        <v>10708</v>
      </c>
      <c r="E281" s="2" t="s">
        <v>56</v>
      </c>
      <c r="F281" s="2" t="s">
        <v>58</v>
      </c>
      <c r="G281" s="1">
        <f t="shared" si="47"/>
        <v>45708</v>
      </c>
      <c r="H281" s="38" t="str">
        <f t="shared" si="43"/>
        <v>进阶+8：防御提高10%</v>
      </c>
      <c r="I281" s="1">
        <f t="shared" si="44"/>
        <v>1</v>
      </c>
      <c r="J281" s="1">
        <f>VLOOKUP(E281,Sheet3!$I$57:$J$65,2,FALSE)</f>
        <v>4</v>
      </c>
      <c r="K281" s="1">
        <f>VLOOKUP(A281,Sheet3!$A$51:$E$230,4,FALSE)</f>
        <v>0.1</v>
      </c>
      <c r="L281" s="1">
        <f t="shared" si="45"/>
        <v>1</v>
      </c>
      <c r="M281" s="1">
        <f t="shared" si="46"/>
        <v>5</v>
      </c>
    </row>
    <row r="282" spans="1:13">
      <c r="A282" s="5">
        <v>10709</v>
      </c>
      <c r="E282" s="2" t="s">
        <v>35</v>
      </c>
      <c r="F282" s="2" t="s">
        <v>65</v>
      </c>
      <c r="G282" s="1" t="str">
        <f t="shared" si="47"/>
        <v/>
      </c>
      <c r="H282" s="38" t="e">
        <f t="shared" si="43"/>
        <v>#VALUE!</v>
      </c>
      <c r="I282" s="1">
        <f t="shared" si="44"/>
        <v>2</v>
      </c>
      <c r="J282" s="1">
        <f>VLOOKUP(E282,Sheet3!$I$57:$J$65,2,FALSE)</f>
        <v>1</v>
      </c>
      <c r="K282" s="1">
        <f>VLOOKUP(A282,Sheet3!$A$51:$E$230,4,FALSE)</f>
        <v>29999.999999999996</v>
      </c>
      <c r="L282" s="1">
        <f t="shared" si="45"/>
        <v>0</v>
      </c>
      <c r="M282" s="1">
        <f t="shared" si="46"/>
        <v>1</v>
      </c>
    </row>
    <row r="283" spans="1:13">
      <c r="A283" s="5">
        <v>10710</v>
      </c>
      <c r="E283" s="2" t="s">
        <v>35</v>
      </c>
      <c r="F283" s="2" t="s">
        <v>58</v>
      </c>
      <c r="G283" s="1" t="str">
        <f t="shared" si="47"/>
        <v/>
      </c>
      <c r="H283" s="38" t="e">
        <f t="shared" si="43"/>
        <v>#VALUE!</v>
      </c>
      <c r="I283" s="1">
        <f t="shared" si="44"/>
        <v>1</v>
      </c>
      <c r="J283" s="1">
        <f>VLOOKUP(E283,Sheet3!$I$57:$J$65,2,FALSE)</f>
        <v>1</v>
      </c>
      <c r="K283" s="1">
        <f>VLOOKUP(A283,Sheet3!$A$51:$E$230,4,FALSE)</f>
        <v>0.15</v>
      </c>
      <c r="L283" s="1">
        <f t="shared" si="45"/>
        <v>1</v>
      </c>
      <c r="M283" s="1">
        <f t="shared" si="46"/>
        <v>5</v>
      </c>
    </row>
    <row r="284" spans="1:13">
      <c r="A284" s="5">
        <v>10711</v>
      </c>
      <c r="E284" s="2" t="s">
        <v>55</v>
      </c>
      <c r="F284" s="2" t="s">
        <v>65</v>
      </c>
      <c r="G284" s="1" t="str">
        <f t="shared" si="47"/>
        <v/>
      </c>
      <c r="H284" s="38" t="e">
        <f t="shared" si="43"/>
        <v>#VALUE!</v>
      </c>
      <c r="I284" s="1">
        <f t="shared" si="44"/>
        <v>2</v>
      </c>
      <c r="J284" s="1">
        <f>VLOOKUP(E284,Sheet3!$I$57:$J$65,2,FALSE)</f>
        <v>3</v>
      </c>
      <c r="K284" s="1">
        <f>VLOOKUP(A284,Sheet3!$A$51:$E$230,4,FALSE)</f>
        <v>600</v>
      </c>
      <c r="L284" s="1">
        <f t="shared" si="45"/>
        <v>0</v>
      </c>
      <c r="M284" s="1">
        <f t="shared" si="46"/>
        <v>1</v>
      </c>
    </row>
    <row r="285" spans="1:13">
      <c r="A285" s="5">
        <v>10712</v>
      </c>
      <c r="E285" s="2" t="s">
        <v>55</v>
      </c>
      <c r="F285" s="2" t="s">
        <v>58</v>
      </c>
      <c r="G285" s="1" t="str">
        <f t="shared" si="47"/>
        <v/>
      </c>
      <c r="H285" s="38" t="e">
        <f t="shared" si="43"/>
        <v>#VALUE!</v>
      </c>
      <c r="I285" s="1">
        <f t="shared" si="44"/>
        <v>1</v>
      </c>
      <c r="J285" s="1">
        <f>VLOOKUP(E285,Sheet3!$I$57:$J$65,2,FALSE)</f>
        <v>3</v>
      </c>
      <c r="K285" s="1">
        <f>VLOOKUP(A285,Sheet3!$A$51:$E$230,4,FALSE)</f>
        <v>0.15</v>
      </c>
      <c r="L285" s="1">
        <f t="shared" si="45"/>
        <v>1</v>
      </c>
      <c r="M285" s="1">
        <f t="shared" si="46"/>
        <v>5</v>
      </c>
    </row>
    <row r="286" spans="1:13">
      <c r="A286" s="5">
        <v>10713</v>
      </c>
      <c r="E286" s="2" t="s">
        <v>56</v>
      </c>
      <c r="F286" s="2" t="s">
        <v>58</v>
      </c>
      <c r="G286" s="1">
        <f t="shared" si="47"/>
        <v>45713</v>
      </c>
      <c r="H286" s="38" t="str">
        <f t="shared" si="43"/>
        <v>进阶+13：防御提高20%</v>
      </c>
      <c r="I286" s="1">
        <f t="shared" si="44"/>
        <v>1</v>
      </c>
      <c r="J286" s="1">
        <f>VLOOKUP(E286,Sheet3!$I$57:$J$65,2,FALSE)</f>
        <v>4</v>
      </c>
      <c r="K286" s="1">
        <f>VLOOKUP(A286,Sheet3!$A$51:$E$230,4,FALSE)</f>
        <v>0.2</v>
      </c>
      <c r="L286" s="1">
        <f t="shared" si="45"/>
        <v>1</v>
      </c>
      <c r="M286" s="1">
        <f t="shared" si="46"/>
        <v>5</v>
      </c>
    </row>
    <row r="287" spans="1:13">
      <c r="A287" s="5">
        <v>10714</v>
      </c>
      <c r="E287" s="2" t="s">
        <v>35</v>
      </c>
      <c r="F287" s="2" t="s">
        <v>58</v>
      </c>
      <c r="G287" s="1" t="str">
        <f t="shared" si="47"/>
        <v/>
      </c>
      <c r="H287" s="38" t="e">
        <f t="shared" si="43"/>
        <v>#VALUE!</v>
      </c>
      <c r="I287" s="1">
        <f t="shared" si="44"/>
        <v>1</v>
      </c>
      <c r="J287" s="1">
        <f>VLOOKUP(E287,Sheet3!$I$57:$J$65,2,FALSE)</f>
        <v>1</v>
      </c>
      <c r="K287" s="1">
        <f>VLOOKUP(A287,Sheet3!$A$51:$E$230,4,FALSE)</f>
        <v>0.25</v>
      </c>
      <c r="L287" s="1">
        <f t="shared" si="45"/>
        <v>1</v>
      </c>
      <c r="M287" s="1">
        <f t="shared" si="46"/>
        <v>5</v>
      </c>
    </row>
    <row r="288" spans="1:13">
      <c r="A288" s="5">
        <v>10715</v>
      </c>
      <c r="E288" s="2" t="s">
        <v>55</v>
      </c>
      <c r="F288" s="2" t="s">
        <v>58</v>
      </c>
      <c r="G288" s="1" t="str">
        <f t="shared" si="47"/>
        <v/>
      </c>
      <c r="H288" s="38" t="e">
        <f t="shared" si="43"/>
        <v>#VALUE!</v>
      </c>
      <c r="I288" s="1">
        <f t="shared" si="44"/>
        <v>1</v>
      </c>
      <c r="J288" s="1">
        <f>VLOOKUP(E288,Sheet3!$I$57:$J$65,2,FALSE)</f>
        <v>3</v>
      </c>
      <c r="K288" s="1">
        <f>VLOOKUP(A288,Sheet3!$A$51:$E$230,4,FALSE)</f>
        <v>0.25</v>
      </c>
      <c r="L288" s="1">
        <f t="shared" si="45"/>
        <v>1</v>
      </c>
      <c r="M288" s="1">
        <f t="shared" si="46"/>
        <v>5</v>
      </c>
    </row>
    <row r="289" spans="1:13">
      <c r="A289" s="5">
        <v>10801</v>
      </c>
      <c r="E289" s="2" t="s">
        <v>56</v>
      </c>
      <c r="F289" s="2" t="s">
        <v>54</v>
      </c>
      <c r="G289" s="1">
        <f t="shared" si="47"/>
        <v>45801</v>
      </c>
      <c r="H289" s="38" t="str">
        <f t="shared" si="43"/>
        <v>进阶+1：防御提高100</v>
      </c>
      <c r="I289" s="1">
        <f t="shared" si="44"/>
        <v>1</v>
      </c>
      <c r="J289" s="1">
        <f>VLOOKUP(E289,Sheet3!$I$57:$J$65,2,FALSE)</f>
        <v>4</v>
      </c>
      <c r="K289" s="1">
        <f>VLOOKUP(A289,Sheet3!$A$51:$E$230,4,FALSE)</f>
        <v>100</v>
      </c>
      <c r="L289" s="1">
        <f t="shared" si="45"/>
        <v>0</v>
      </c>
      <c r="M289" s="1">
        <f t="shared" si="46"/>
        <v>1</v>
      </c>
    </row>
    <row r="290" spans="1:13">
      <c r="A290" s="5">
        <v>10802</v>
      </c>
      <c r="E290" s="2" t="s">
        <v>59</v>
      </c>
      <c r="F290" s="2" t="s">
        <v>58</v>
      </c>
      <c r="G290" s="1" t="str">
        <f t="shared" si="47"/>
        <v/>
      </c>
      <c r="H290" s="38" t="e">
        <f t="shared" si="43"/>
        <v>#VALUE!</v>
      </c>
      <c r="I290" s="1">
        <f t="shared" si="44"/>
        <v>1</v>
      </c>
      <c r="J290" s="1">
        <f>VLOOKUP(E290,Sheet3!$I$57:$J$65,2,FALSE)</f>
        <v>7</v>
      </c>
      <c r="K290" s="1">
        <f>VLOOKUP(A290,Sheet3!$A$51:$E$230,4,FALSE)</f>
        <v>0.05</v>
      </c>
      <c r="L290" s="1">
        <f t="shared" si="45"/>
        <v>0</v>
      </c>
      <c r="M290" s="1">
        <f t="shared" si="46"/>
        <v>1</v>
      </c>
    </row>
    <row r="291" spans="1:13">
      <c r="A291" s="5">
        <v>10803</v>
      </c>
      <c r="E291" s="2" t="s">
        <v>35</v>
      </c>
      <c r="F291" s="2" t="s">
        <v>54</v>
      </c>
      <c r="G291" s="1" t="str">
        <f t="shared" si="47"/>
        <v/>
      </c>
      <c r="H291" s="38" t="e">
        <f t="shared" si="43"/>
        <v>#VALUE!</v>
      </c>
      <c r="I291" s="1">
        <f t="shared" si="44"/>
        <v>1</v>
      </c>
      <c r="J291" s="1">
        <f>VLOOKUP(E291,Sheet3!$I$57:$J$65,2,FALSE)</f>
        <v>1</v>
      </c>
      <c r="K291" s="1">
        <f>VLOOKUP(A291,Sheet3!$A$51:$E$230,4,FALSE)</f>
        <v>14999.999999999998</v>
      </c>
      <c r="L291" s="1">
        <f t="shared" si="45"/>
        <v>0</v>
      </c>
      <c r="M291" s="1">
        <f t="shared" si="46"/>
        <v>1</v>
      </c>
    </row>
    <row r="292" spans="1:13">
      <c r="A292" s="5">
        <v>10804</v>
      </c>
      <c r="E292" s="2" t="s">
        <v>62</v>
      </c>
      <c r="F292" s="2" t="s">
        <v>58</v>
      </c>
      <c r="G292" s="1" t="str">
        <f t="shared" si="47"/>
        <v/>
      </c>
      <c r="H292" s="38" t="e">
        <f t="shared" si="43"/>
        <v>#VALUE!</v>
      </c>
      <c r="I292" s="1">
        <f t="shared" si="44"/>
        <v>1</v>
      </c>
      <c r="J292" s="1">
        <f>VLOOKUP(E292,Sheet3!$I$57:$J$65,2,FALSE)</f>
        <v>10</v>
      </c>
      <c r="K292" s="1">
        <f>VLOOKUP(A292,Sheet3!$A$51:$E$230,4,FALSE)</f>
        <v>0.1</v>
      </c>
      <c r="L292" s="1">
        <f t="shared" si="45"/>
        <v>0</v>
      </c>
      <c r="M292" s="1">
        <f t="shared" si="46"/>
        <v>1</v>
      </c>
    </row>
    <row r="293" spans="1:13">
      <c r="A293" s="5">
        <v>10805</v>
      </c>
      <c r="E293" s="2" t="s">
        <v>55</v>
      </c>
      <c r="F293" s="2" t="s">
        <v>54</v>
      </c>
      <c r="G293" s="1" t="str">
        <f t="shared" si="47"/>
        <v/>
      </c>
      <c r="H293" s="38" t="e">
        <f t="shared" si="43"/>
        <v>#VALUE!</v>
      </c>
      <c r="I293" s="1">
        <f t="shared" si="44"/>
        <v>1</v>
      </c>
      <c r="J293" s="1">
        <f>VLOOKUP(E293,Sheet3!$I$57:$J$65,2,FALSE)</f>
        <v>3</v>
      </c>
      <c r="K293" s="1">
        <f>VLOOKUP(A293,Sheet3!$A$51:$E$230,4,FALSE)</f>
        <v>300</v>
      </c>
      <c r="L293" s="1">
        <f t="shared" si="45"/>
        <v>0</v>
      </c>
      <c r="M293" s="1">
        <f t="shared" si="46"/>
        <v>1</v>
      </c>
    </row>
    <row r="294" spans="1:13">
      <c r="A294" s="5">
        <v>10806</v>
      </c>
      <c r="E294" s="2" t="s">
        <v>57</v>
      </c>
      <c r="F294" s="2" t="s">
        <v>64</v>
      </c>
      <c r="G294" s="1" t="str">
        <f t="shared" si="47"/>
        <v/>
      </c>
      <c r="H294" s="38" t="e">
        <f t="shared" si="43"/>
        <v>#VALUE!</v>
      </c>
      <c r="I294" s="1">
        <f t="shared" si="44"/>
        <v>2</v>
      </c>
      <c r="J294" s="1">
        <f>VLOOKUP(E294,Sheet3!$I$57:$J$65,2,FALSE)</f>
        <v>9</v>
      </c>
      <c r="K294" s="1">
        <f>VLOOKUP(A294,Sheet3!$A$51:$E$230,4,FALSE)</f>
        <v>0.16</v>
      </c>
      <c r="L294" s="1">
        <f t="shared" si="45"/>
        <v>0</v>
      </c>
      <c r="M294" s="1">
        <f t="shared" si="46"/>
        <v>1</v>
      </c>
    </row>
    <row r="295" spans="1:13">
      <c r="A295" s="5">
        <v>10807</v>
      </c>
      <c r="E295" s="2" t="s">
        <v>56</v>
      </c>
      <c r="F295" s="2" t="s">
        <v>65</v>
      </c>
      <c r="G295" s="1">
        <f t="shared" si="47"/>
        <v>45807</v>
      </c>
      <c r="H295" s="38" t="str">
        <f t="shared" si="43"/>
        <v>进阶+7：全体防御提高400</v>
      </c>
      <c r="I295" s="1">
        <f t="shared" si="44"/>
        <v>2</v>
      </c>
      <c r="J295" s="1">
        <f>VLOOKUP(E295,Sheet3!$I$57:$J$65,2,FALSE)</f>
        <v>4</v>
      </c>
      <c r="K295" s="1">
        <f>VLOOKUP(A295,Sheet3!$A$51:$E$230,4,FALSE)</f>
        <v>400</v>
      </c>
      <c r="L295" s="1">
        <f t="shared" si="45"/>
        <v>0</v>
      </c>
      <c r="M295" s="1">
        <f t="shared" si="46"/>
        <v>1</v>
      </c>
    </row>
    <row r="296" spans="1:13">
      <c r="A296" s="5">
        <v>10808</v>
      </c>
      <c r="E296" s="2" t="s">
        <v>56</v>
      </c>
      <c r="F296" s="2" t="s">
        <v>58</v>
      </c>
      <c r="G296" s="1">
        <f t="shared" si="47"/>
        <v>45808</v>
      </c>
      <c r="H296" s="38" t="str">
        <f t="shared" si="43"/>
        <v>进阶+8：防御提高10%</v>
      </c>
      <c r="I296" s="1">
        <f t="shared" si="44"/>
        <v>1</v>
      </c>
      <c r="J296" s="1">
        <f>VLOOKUP(E296,Sheet3!$I$57:$J$65,2,FALSE)</f>
        <v>4</v>
      </c>
      <c r="K296" s="1">
        <f>VLOOKUP(A296,Sheet3!$A$51:$E$230,4,FALSE)</f>
        <v>0.1</v>
      </c>
      <c r="L296" s="1">
        <f t="shared" si="45"/>
        <v>1</v>
      </c>
      <c r="M296" s="1">
        <f t="shared" si="46"/>
        <v>5</v>
      </c>
    </row>
    <row r="297" spans="1:13">
      <c r="A297" s="5">
        <v>10809</v>
      </c>
      <c r="E297" s="2" t="s">
        <v>35</v>
      </c>
      <c r="F297" s="2" t="s">
        <v>65</v>
      </c>
      <c r="G297" s="1" t="str">
        <f t="shared" si="47"/>
        <v/>
      </c>
      <c r="H297" s="38" t="e">
        <f t="shared" si="43"/>
        <v>#VALUE!</v>
      </c>
      <c r="I297" s="1">
        <f t="shared" si="44"/>
        <v>2</v>
      </c>
      <c r="J297" s="1">
        <f>VLOOKUP(E297,Sheet3!$I$57:$J$65,2,FALSE)</f>
        <v>1</v>
      </c>
      <c r="K297" s="1">
        <f>VLOOKUP(A297,Sheet3!$A$51:$E$230,4,FALSE)</f>
        <v>29999.999999999996</v>
      </c>
      <c r="L297" s="1">
        <f t="shared" si="45"/>
        <v>0</v>
      </c>
      <c r="M297" s="1">
        <f t="shared" si="46"/>
        <v>1</v>
      </c>
    </row>
    <row r="298" spans="1:13">
      <c r="A298" s="5">
        <v>10810</v>
      </c>
      <c r="E298" s="2" t="s">
        <v>35</v>
      </c>
      <c r="F298" s="2" t="s">
        <v>58</v>
      </c>
      <c r="G298" s="1" t="str">
        <f t="shared" si="47"/>
        <v/>
      </c>
      <c r="H298" s="38" t="e">
        <f t="shared" si="43"/>
        <v>#VALUE!</v>
      </c>
      <c r="I298" s="1">
        <f t="shared" si="44"/>
        <v>1</v>
      </c>
      <c r="J298" s="1">
        <f>VLOOKUP(E298,Sheet3!$I$57:$J$65,2,FALSE)</f>
        <v>1</v>
      </c>
      <c r="K298" s="1">
        <f>VLOOKUP(A298,Sheet3!$A$51:$E$230,4,FALSE)</f>
        <v>0.15</v>
      </c>
      <c r="L298" s="1">
        <f t="shared" si="45"/>
        <v>1</v>
      </c>
      <c r="M298" s="1">
        <f t="shared" si="46"/>
        <v>5</v>
      </c>
    </row>
    <row r="299" spans="1:13">
      <c r="A299" s="5">
        <v>10811</v>
      </c>
      <c r="E299" s="2" t="s">
        <v>55</v>
      </c>
      <c r="F299" s="2" t="s">
        <v>65</v>
      </c>
      <c r="G299" s="1" t="str">
        <f t="shared" si="47"/>
        <v/>
      </c>
      <c r="H299" s="38" t="e">
        <f t="shared" si="43"/>
        <v>#VALUE!</v>
      </c>
      <c r="I299" s="1">
        <f t="shared" si="44"/>
        <v>2</v>
      </c>
      <c r="J299" s="1">
        <f>VLOOKUP(E299,Sheet3!$I$57:$J$65,2,FALSE)</f>
        <v>3</v>
      </c>
      <c r="K299" s="1">
        <f>VLOOKUP(A299,Sheet3!$A$51:$E$230,4,FALSE)</f>
        <v>600</v>
      </c>
      <c r="L299" s="1">
        <f t="shared" si="45"/>
        <v>0</v>
      </c>
      <c r="M299" s="1">
        <f t="shared" si="46"/>
        <v>1</v>
      </c>
    </row>
    <row r="300" spans="1:13">
      <c r="A300" s="5">
        <v>10812</v>
      </c>
      <c r="E300" s="2" t="s">
        <v>55</v>
      </c>
      <c r="F300" s="2" t="s">
        <v>58</v>
      </c>
      <c r="G300" s="1" t="str">
        <f t="shared" si="47"/>
        <v/>
      </c>
      <c r="H300" s="38" t="e">
        <f t="shared" si="43"/>
        <v>#VALUE!</v>
      </c>
      <c r="I300" s="1">
        <f t="shared" si="44"/>
        <v>1</v>
      </c>
      <c r="J300" s="1">
        <f>VLOOKUP(E300,Sheet3!$I$57:$J$65,2,FALSE)</f>
        <v>3</v>
      </c>
      <c r="K300" s="1">
        <f>VLOOKUP(A300,Sheet3!$A$51:$E$230,4,FALSE)</f>
        <v>0.15</v>
      </c>
      <c r="L300" s="1">
        <f t="shared" si="45"/>
        <v>1</v>
      </c>
      <c r="M300" s="1">
        <f t="shared" si="46"/>
        <v>5</v>
      </c>
    </row>
    <row r="301" spans="1:13">
      <c r="A301" s="5">
        <v>10813</v>
      </c>
      <c r="E301" s="2" t="s">
        <v>56</v>
      </c>
      <c r="F301" s="2" t="s">
        <v>58</v>
      </c>
      <c r="G301" s="1">
        <f t="shared" si="47"/>
        <v>45813</v>
      </c>
      <c r="H301" s="38" t="str">
        <f t="shared" si="43"/>
        <v>进阶+13：防御提高20%</v>
      </c>
      <c r="I301" s="1">
        <f t="shared" si="44"/>
        <v>1</v>
      </c>
      <c r="J301" s="1">
        <f>VLOOKUP(E301,Sheet3!$I$57:$J$65,2,FALSE)</f>
        <v>4</v>
      </c>
      <c r="K301" s="1">
        <f>VLOOKUP(A301,Sheet3!$A$51:$E$230,4,FALSE)</f>
        <v>0.2</v>
      </c>
      <c r="L301" s="1">
        <f t="shared" si="45"/>
        <v>1</v>
      </c>
      <c r="M301" s="1">
        <f t="shared" si="46"/>
        <v>5</v>
      </c>
    </row>
    <row r="302" spans="1:13">
      <c r="A302" s="5">
        <v>10814</v>
      </c>
      <c r="E302" s="2" t="s">
        <v>35</v>
      </c>
      <c r="F302" s="2" t="s">
        <v>58</v>
      </c>
      <c r="G302" s="1" t="str">
        <f t="shared" si="47"/>
        <v/>
      </c>
      <c r="H302" s="38" t="e">
        <f t="shared" si="43"/>
        <v>#VALUE!</v>
      </c>
      <c r="I302" s="1">
        <f t="shared" si="44"/>
        <v>1</v>
      </c>
      <c r="J302" s="1">
        <f>VLOOKUP(E302,Sheet3!$I$57:$J$65,2,FALSE)</f>
        <v>1</v>
      </c>
      <c r="K302" s="1">
        <f>VLOOKUP(A302,Sheet3!$A$51:$E$230,4,FALSE)</f>
        <v>0.25</v>
      </c>
      <c r="L302" s="1">
        <f t="shared" si="45"/>
        <v>1</v>
      </c>
      <c r="M302" s="1">
        <f t="shared" si="46"/>
        <v>5</v>
      </c>
    </row>
    <row r="303" spans="1:13">
      <c r="A303" s="5">
        <v>10815</v>
      </c>
      <c r="E303" s="2" t="s">
        <v>55</v>
      </c>
      <c r="F303" s="2" t="s">
        <v>58</v>
      </c>
      <c r="G303" s="1" t="str">
        <f t="shared" si="47"/>
        <v/>
      </c>
      <c r="H303" s="38" t="e">
        <f t="shared" si="43"/>
        <v>#VALUE!</v>
      </c>
      <c r="I303" s="1">
        <f t="shared" si="44"/>
        <v>1</v>
      </c>
      <c r="J303" s="1">
        <f>VLOOKUP(E303,Sheet3!$I$57:$J$65,2,FALSE)</f>
        <v>3</v>
      </c>
      <c r="K303" s="1">
        <f>VLOOKUP(A303,Sheet3!$A$51:$E$230,4,FALSE)</f>
        <v>0.25</v>
      </c>
      <c r="L303" s="1">
        <f t="shared" si="45"/>
        <v>1</v>
      </c>
      <c r="M303" s="1">
        <f t="shared" si="46"/>
        <v>5</v>
      </c>
    </row>
    <row r="304" spans="1:13">
      <c r="A304" s="5">
        <v>10901</v>
      </c>
      <c r="E304" s="2" t="s">
        <v>56</v>
      </c>
      <c r="F304" s="2" t="s">
        <v>54</v>
      </c>
      <c r="G304" s="1">
        <f t="shared" si="47"/>
        <v>45901</v>
      </c>
      <c r="H304" s="38" t="str">
        <f t="shared" si="43"/>
        <v>进阶+1：防御提高100</v>
      </c>
      <c r="I304" s="1">
        <f t="shared" si="44"/>
        <v>1</v>
      </c>
      <c r="J304" s="1">
        <f>VLOOKUP(E304,Sheet3!$I$57:$J$65,2,FALSE)</f>
        <v>4</v>
      </c>
      <c r="K304" s="1">
        <f>VLOOKUP(A304,Sheet3!$A$51:$E$230,4,FALSE)</f>
        <v>100</v>
      </c>
      <c r="L304" s="1">
        <f t="shared" si="45"/>
        <v>0</v>
      </c>
      <c r="M304" s="1">
        <f t="shared" si="46"/>
        <v>1</v>
      </c>
    </row>
    <row r="305" spans="1:13">
      <c r="A305" s="5">
        <v>10902</v>
      </c>
      <c r="E305" s="2" t="s">
        <v>59</v>
      </c>
      <c r="F305" s="2" t="s">
        <v>58</v>
      </c>
      <c r="G305" s="1" t="str">
        <f t="shared" si="47"/>
        <v/>
      </c>
      <c r="H305" s="38" t="e">
        <f t="shared" si="43"/>
        <v>#VALUE!</v>
      </c>
      <c r="I305" s="1">
        <f t="shared" si="44"/>
        <v>1</v>
      </c>
      <c r="J305" s="1">
        <f>VLOOKUP(E305,Sheet3!$I$57:$J$65,2,FALSE)</f>
        <v>7</v>
      </c>
      <c r="K305" s="1">
        <f>VLOOKUP(A305,Sheet3!$A$51:$E$230,4,FALSE)</f>
        <v>0.05</v>
      </c>
      <c r="L305" s="1">
        <f t="shared" si="45"/>
        <v>0</v>
      </c>
      <c r="M305" s="1">
        <f t="shared" si="46"/>
        <v>1</v>
      </c>
    </row>
    <row r="306" spans="1:13">
      <c r="A306" s="5">
        <v>10903</v>
      </c>
      <c r="E306" s="2" t="s">
        <v>35</v>
      </c>
      <c r="F306" s="2" t="s">
        <v>54</v>
      </c>
      <c r="G306" s="1" t="str">
        <f t="shared" si="47"/>
        <v/>
      </c>
      <c r="H306" s="38" t="e">
        <f t="shared" si="43"/>
        <v>#VALUE!</v>
      </c>
      <c r="I306" s="1">
        <f t="shared" si="44"/>
        <v>1</v>
      </c>
      <c r="J306" s="1">
        <f>VLOOKUP(E306,Sheet3!$I$57:$J$65,2,FALSE)</f>
        <v>1</v>
      </c>
      <c r="K306" s="1">
        <f>VLOOKUP(A306,Sheet3!$A$51:$E$230,4,FALSE)</f>
        <v>14999.999999999998</v>
      </c>
      <c r="L306" s="1">
        <f t="shared" si="45"/>
        <v>0</v>
      </c>
      <c r="M306" s="1">
        <f t="shared" si="46"/>
        <v>1</v>
      </c>
    </row>
    <row r="307" spans="1:13">
      <c r="A307" s="5">
        <v>10904</v>
      </c>
      <c r="E307" s="2" t="s">
        <v>57</v>
      </c>
      <c r="F307" s="2" t="s">
        <v>58</v>
      </c>
      <c r="G307" s="1" t="str">
        <f t="shared" si="47"/>
        <v/>
      </c>
      <c r="H307" s="38" t="e">
        <f t="shared" si="43"/>
        <v>#VALUE!</v>
      </c>
      <c r="I307" s="1">
        <f t="shared" si="44"/>
        <v>1</v>
      </c>
      <c r="J307" s="1">
        <f>VLOOKUP(E307,Sheet3!$I$57:$J$65,2,FALSE)</f>
        <v>9</v>
      </c>
      <c r="K307" s="1">
        <f>VLOOKUP(A307,Sheet3!$A$51:$E$230,4,FALSE)</f>
        <v>0.2</v>
      </c>
      <c r="L307" s="1">
        <f t="shared" si="45"/>
        <v>0</v>
      </c>
      <c r="M307" s="1">
        <f t="shared" si="46"/>
        <v>1</v>
      </c>
    </row>
    <row r="308" spans="1:13">
      <c r="A308" s="5">
        <v>10905</v>
      </c>
      <c r="E308" s="2" t="s">
        <v>55</v>
      </c>
      <c r="F308" s="2" t="s">
        <v>54</v>
      </c>
      <c r="G308" s="1" t="str">
        <f t="shared" si="47"/>
        <v/>
      </c>
      <c r="H308" s="38" t="e">
        <f t="shared" si="43"/>
        <v>#VALUE!</v>
      </c>
      <c r="I308" s="1">
        <f t="shared" si="44"/>
        <v>1</v>
      </c>
      <c r="J308" s="1">
        <f>VLOOKUP(E308,Sheet3!$I$57:$J$65,2,FALSE)</f>
        <v>3</v>
      </c>
      <c r="K308" s="1">
        <f>VLOOKUP(A308,Sheet3!$A$51:$E$230,4,FALSE)</f>
        <v>300</v>
      </c>
      <c r="L308" s="1">
        <f t="shared" si="45"/>
        <v>0</v>
      </c>
      <c r="M308" s="1">
        <f t="shared" si="46"/>
        <v>1</v>
      </c>
    </row>
    <row r="309" spans="1:13">
      <c r="A309" s="5">
        <v>10906</v>
      </c>
      <c r="E309" s="2" t="s">
        <v>62</v>
      </c>
      <c r="F309" s="2" t="s">
        <v>64</v>
      </c>
      <c r="G309" s="1" t="str">
        <f t="shared" si="47"/>
        <v/>
      </c>
      <c r="H309" s="38" t="e">
        <f t="shared" si="43"/>
        <v>#VALUE!</v>
      </c>
      <c r="I309" s="1">
        <f t="shared" si="44"/>
        <v>2</v>
      </c>
      <c r="J309" s="1">
        <f>VLOOKUP(E309,Sheet3!$I$57:$J$65,2,FALSE)</f>
        <v>10</v>
      </c>
      <c r="K309" s="1">
        <f>VLOOKUP(A309,Sheet3!$A$51:$E$230,4,FALSE)</f>
        <v>0.08</v>
      </c>
      <c r="L309" s="1">
        <f t="shared" si="45"/>
        <v>0</v>
      </c>
      <c r="M309" s="1">
        <f t="shared" si="46"/>
        <v>1</v>
      </c>
    </row>
    <row r="310" spans="1:13">
      <c r="A310" s="5">
        <v>10907</v>
      </c>
      <c r="E310" s="2" t="s">
        <v>56</v>
      </c>
      <c r="F310" s="2" t="s">
        <v>65</v>
      </c>
      <c r="G310" s="1">
        <f t="shared" si="47"/>
        <v>45907</v>
      </c>
      <c r="H310" s="38" t="str">
        <f t="shared" si="43"/>
        <v>进阶+7：全体防御提高400</v>
      </c>
      <c r="I310" s="1">
        <f t="shared" si="44"/>
        <v>2</v>
      </c>
      <c r="J310" s="1">
        <f>VLOOKUP(E310,Sheet3!$I$57:$J$65,2,FALSE)</f>
        <v>4</v>
      </c>
      <c r="K310" s="1">
        <f>VLOOKUP(A310,Sheet3!$A$51:$E$230,4,FALSE)</f>
        <v>400</v>
      </c>
      <c r="L310" s="1">
        <f t="shared" si="45"/>
        <v>0</v>
      </c>
      <c r="M310" s="1">
        <f t="shared" si="46"/>
        <v>1</v>
      </c>
    </row>
    <row r="311" spans="1:13">
      <c r="A311" s="5">
        <v>10908</v>
      </c>
      <c r="E311" s="2" t="s">
        <v>56</v>
      </c>
      <c r="F311" s="2" t="s">
        <v>58</v>
      </c>
      <c r="G311" s="1">
        <f t="shared" si="47"/>
        <v>45908</v>
      </c>
      <c r="H311" s="38" t="str">
        <f t="shared" si="43"/>
        <v>进阶+8：防御提高10%</v>
      </c>
      <c r="I311" s="1">
        <f t="shared" si="44"/>
        <v>1</v>
      </c>
      <c r="J311" s="1">
        <f>VLOOKUP(E311,Sheet3!$I$57:$J$65,2,FALSE)</f>
        <v>4</v>
      </c>
      <c r="K311" s="1">
        <f>VLOOKUP(A311,Sheet3!$A$51:$E$230,4,FALSE)</f>
        <v>0.1</v>
      </c>
      <c r="L311" s="1">
        <f t="shared" si="45"/>
        <v>1</v>
      </c>
      <c r="M311" s="1">
        <f t="shared" si="46"/>
        <v>5</v>
      </c>
    </row>
    <row r="312" spans="1:13">
      <c r="A312" s="5">
        <v>10909</v>
      </c>
      <c r="E312" s="2" t="s">
        <v>35</v>
      </c>
      <c r="F312" s="2" t="s">
        <v>65</v>
      </c>
      <c r="G312" s="1" t="str">
        <f t="shared" ref="G312:G343" si="48">IF(G132=C132,"",G132+5000)</f>
        <v/>
      </c>
      <c r="H312" s="38" t="e">
        <f t="shared" si="43"/>
        <v>#VALUE!</v>
      </c>
      <c r="I312" s="1">
        <f t="shared" si="44"/>
        <v>2</v>
      </c>
      <c r="J312" s="1">
        <f>VLOOKUP(E312,Sheet3!$I$57:$J$65,2,FALSE)</f>
        <v>1</v>
      </c>
      <c r="K312" s="1">
        <f>VLOOKUP(A312,Sheet3!$A$51:$E$230,4,FALSE)</f>
        <v>29999.999999999996</v>
      </c>
      <c r="L312" s="1">
        <f t="shared" si="45"/>
        <v>0</v>
      </c>
      <c r="M312" s="1">
        <f t="shared" si="46"/>
        <v>1</v>
      </c>
    </row>
    <row r="313" spans="1:13">
      <c r="A313" s="5">
        <v>10910</v>
      </c>
      <c r="E313" s="2" t="s">
        <v>35</v>
      </c>
      <c r="F313" s="2" t="s">
        <v>58</v>
      </c>
      <c r="G313" s="1" t="str">
        <f t="shared" si="48"/>
        <v/>
      </c>
      <c r="H313" s="38" t="e">
        <f t="shared" si="43"/>
        <v>#VALUE!</v>
      </c>
      <c r="I313" s="1">
        <f t="shared" si="44"/>
        <v>1</v>
      </c>
      <c r="J313" s="1">
        <f>VLOOKUP(E313,Sheet3!$I$57:$J$65,2,FALSE)</f>
        <v>1</v>
      </c>
      <c r="K313" s="1">
        <f>VLOOKUP(A313,Sheet3!$A$51:$E$230,4,FALSE)</f>
        <v>0.15</v>
      </c>
      <c r="L313" s="1">
        <f t="shared" si="45"/>
        <v>1</v>
      </c>
      <c r="M313" s="1">
        <f t="shared" si="46"/>
        <v>5</v>
      </c>
    </row>
    <row r="314" spans="1:13">
      <c r="A314" s="5">
        <v>10911</v>
      </c>
      <c r="E314" s="2" t="s">
        <v>55</v>
      </c>
      <c r="F314" s="2" t="s">
        <v>65</v>
      </c>
      <c r="G314" s="1" t="str">
        <f t="shared" si="48"/>
        <v/>
      </c>
      <c r="H314" s="38" t="e">
        <f t="shared" si="43"/>
        <v>#VALUE!</v>
      </c>
      <c r="I314" s="1">
        <f t="shared" si="44"/>
        <v>2</v>
      </c>
      <c r="J314" s="1">
        <f>VLOOKUP(E314,Sheet3!$I$57:$J$65,2,FALSE)</f>
        <v>3</v>
      </c>
      <c r="K314" s="1">
        <f>VLOOKUP(A314,Sheet3!$A$51:$E$230,4,FALSE)</f>
        <v>600</v>
      </c>
      <c r="L314" s="1">
        <f t="shared" si="45"/>
        <v>0</v>
      </c>
      <c r="M314" s="1">
        <f t="shared" si="46"/>
        <v>1</v>
      </c>
    </row>
    <row r="315" spans="1:13">
      <c r="A315" s="5">
        <v>10912</v>
      </c>
      <c r="E315" s="2" t="s">
        <v>55</v>
      </c>
      <c r="F315" s="2" t="s">
        <v>58</v>
      </c>
      <c r="G315" s="1" t="str">
        <f t="shared" si="48"/>
        <v/>
      </c>
      <c r="H315" s="38" t="e">
        <f t="shared" si="43"/>
        <v>#VALUE!</v>
      </c>
      <c r="I315" s="1">
        <f t="shared" si="44"/>
        <v>1</v>
      </c>
      <c r="J315" s="1">
        <f>VLOOKUP(E315,Sheet3!$I$57:$J$65,2,FALSE)</f>
        <v>3</v>
      </c>
      <c r="K315" s="1">
        <f>VLOOKUP(A315,Sheet3!$A$51:$E$230,4,FALSE)</f>
        <v>0.15</v>
      </c>
      <c r="L315" s="1">
        <f t="shared" si="45"/>
        <v>1</v>
      </c>
      <c r="M315" s="1">
        <f t="shared" si="46"/>
        <v>5</v>
      </c>
    </row>
    <row r="316" spans="1:13">
      <c r="A316" s="5">
        <v>10913</v>
      </c>
      <c r="E316" s="2" t="s">
        <v>56</v>
      </c>
      <c r="F316" s="2" t="s">
        <v>58</v>
      </c>
      <c r="G316" s="1">
        <f t="shared" si="48"/>
        <v>45913</v>
      </c>
      <c r="H316" s="38" t="str">
        <f t="shared" si="43"/>
        <v>进阶+13：防御提高20%</v>
      </c>
      <c r="I316" s="1">
        <f t="shared" si="44"/>
        <v>1</v>
      </c>
      <c r="J316" s="1">
        <f>VLOOKUP(E316,Sheet3!$I$57:$J$65,2,FALSE)</f>
        <v>4</v>
      </c>
      <c r="K316" s="1">
        <f>VLOOKUP(A316,Sheet3!$A$51:$E$230,4,FALSE)</f>
        <v>0.2</v>
      </c>
      <c r="L316" s="1">
        <f t="shared" si="45"/>
        <v>1</v>
      </c>
      <c r="M316" s="1">
        <f t="shared" si="46"/>
        <v>5</v>
      </c>
    </row>
    <row r="317" spans="1:13">
      <c r="A317" s="5">
        <v>10914</v>
      </c>
      <c r="E317" s="2" t="s">
        <v>35</v>
      </c>
      <c r="F317" s="2" t="s">
        <v>58</v>
      </c>
      <c r="G317" s="1" t="str">
        <f t="shared" si="48"/>
        <v/>
      </c>
      <c r="H317" s="38" t="e">
        <f t="shared" si="43"/>
        <v>#VALUE!</v>
      </c>
      <c r="I317" s="1">
        <f t="shared" si="44"/>
        <v>1</v>
      </c>
      <c r="J317" s="1">
        <f>VLOOKUP(E317,Sheet3!$I$57:$J$65,2,FALSE)</f>
        <v>1</v>
      </c>
      <c r="K317" s="1">
        <f>VLOOKUP(A317,Sheet3!$A$51:$E$230,4,FALSE)</f>
        <v>0.25</v>
      </c>
      <c r="L317" s="1">
        <f t="shared" si="45"/>
        <v>1</v>
      </c>
      <c r="M317" s="1">
        <f t="shared" si="46"/>
        <v>5</v>
      </c>
    </row>
    <row r="318" spans="1:13">
      <c r="A318" s="5">
        <v>10915</v>
      </c>
      <c r="E318" s="2" t="s">
        <v>55</v>
      </c>
      <c r="F318" s="2" t="s">
        <v>58</v>
      </c>
      <c r="G318" s="1" t="str">
        <f t="shared" si="48"/>
        <v/>
      </c>
      <c r="H318" s="38" t="e">
        <f t="shared" si="43"/>
        <v>#VALUE!</v>
      </c>
      <c r="I318" s="1">
        <f t="shared" si="44"/>
        <v>1</v>
      </c>
      <c r="J318" s="1">
        <f>VLOOKUP(E318,Sheet3!$I$57:$J$65,2,FALSE)</f>
        <v>3</v>
      </c>
      <c r="K318" s="1">
        <f>VLOOKUP(A318,Sheet3!$A$51:$E$230,4,FALSE)</f>
        <v>0.25</v>
      </c>
      <c r="L318" s="1">
        <f t="shared" si="45"/>
        <v>1</v>
      </c>
      <c r="M318" s="1">
        <f t="shared" si="46"/>
        <v>5</v>
      </c>
    </row>
    <row r="319" spans="1:13">
      <c r="A319" s="5">
        <v>11001</v>
      </c>
      <c r="E319" s="2" t="s">
        <v>56</v>
      </c>
      <c r="F319" s="2" t="s">
        <v>54</v>
      </c>
      <c r="G319" s="1">
        <f t="shared" si="48"/>
        <v>46001</v>
      </c>
      <c r="H319" s="38" t="str">
        <f t="shared" si="43"/>
        <v>进阶+1：防御提高100</v>
      </c>
      <c r="I319" s="1">
        <f t="shared" si="44"/>
        <v>1</v>
      </c>
      <c r="J319" s="1">
        <f>VLOOKUP(E319,Sheet3!$I$57:$J$65,2,FALSE)</f>
        <v>4</v>
      </c>
      <c r="K319" s="1">
        <f>VLOOKUP(A319,Sheet3!$A$51:$E$230,4,FALSE)</f>
        <v>100</v>
      </c>
      <c r="L319" s="1">
        <f t="shared" si="45"/>
        <v>0</v>
      </c>
      <c r="M319" s="1">
        <f t="shared" si="46"/>
        <v>1</v>
      </c>
    </row>
    <row r="320" spans="1:13">
      <c r="A320" s="5">
        <v>11002</v>
      </c>
      <c r="E320" s="2" t="s">
        <v>60</v>
      </c>
      <c r="F320" s="2" t="s">
        <v>58</v>
      </c>
      <c r="G320" s="1" t="str">
        <f t="shared" si="48"/>
        <v/>
      </c>
      <c r="H320" s="38" t="e">
        <f t="shared" si="43"/>
        <v>#VALUE!</v>
      </c>
      <c r="I320" s="1">
        <f t="shared" si="44"/>
        <v>1</v>
      </c>
      <c r="J320" s="1">
        <f>VLOOKUP(E320,Sheet3!$I$57:$J$65,2,FALSE)</f>
        <v>8</v>
      </c>
      <c r="K320" s="1">
        <f>VLOOKUP(A320,Sheet3!$A$51:$E$230,4,FALSE)</f>
        <v>0.1</v>
      </c>
      <c r="L320" s="1">
        <f t="shared" si="45"/>
        <v>0</v>
      </c>
      <c r="M320" s="1">
        <f t="shared" si="46"/>
        <v>1</v>
      </c>
    </row>
    <row r="321" spans="1:13">
      <c r="A321" s="5">
        <v>11003</v>
      </c>
      <c r="E321" s="2" t="s">
        <v>35</v>
      </c>
      <c r="F321" s="2" t="s">
        <v>54</v>
      </c>
      <c r="G321" s="1" t="str">
        <f t="shared" si="48"/>
        <v/>
      </c>
      <c r="H321" s="38" t="e">
        <f t="shared" si="43"/>
        <v>#VALUE!</v>
      </c>
      <c r="I321" s="1">
        <f t="shared" si="44"/>
        <v>1</v>
      </c>
      <c r="J321" s="1">
        <f>VLOOKUP(E321,Sheet3!$I$57:$J$65,2,FALSE)</f>
        <v>1</v>
      </c>
      <c r="K321" s="1">
        <f>VLOOKUP(A321,Sheet3!$A$51:$E$230,4,FALSE)</f>
        <v>14999.999999999998</v>
      </c>
      <c r="L321" s="1">
        <f t="shared" si="45"/>
        <v>0</v>
      </c>
      <c r="M321" s="1">
        <f t="shared" si="46"/>
        <v>1</v>
      </c>
    </row>
    <row r="322" spans="1:13">
      <c r="A322" s="5">
        <v>11004</v>
      </c>
      <c r="E322" s="2" t="s">
        <v>63</v>
      </c>
      <c r="F322" s="2" t="s">
        <v>58</v>
      </c>
      <c r="G322" s="1" t="str">
        <f t="shared" si="48"/>
        <v/>
      </c>
      <c r="H322" s="38" t="e">
        <f t="shared" si="43"/>
        <v>#VALUE!</v>
      </c>
      <c r="I322" s="1">
        <f t="shared" si="44"/>
        <v>1</v>
      </c>
      <c r="J322" s="1">
        <f>VLOOKUP(E322,Sheet3!$I$57:$J$65,2,FALSE)</f>
        <v>11</v>
      </c>
      <c r="K322" s="1">
        <f>VLOOKUP(A322,Sheet3!$A$51:$E$230,4,FALSE)</f>
        <v>0.1</v>
      </c>
      <c r="L322" s="1">
        <f t="shared" si="45"/>
        <v>0</v>
      </c>
      <c r="M322" s="1">
        <f t="shared" si="46"/>
        <v>1</v>
      </c>
    </row>
    <row r="323" spans="1:13">
      <c r="A323" s="5">
        <v>11005</v>
      </c>
      <c r="E323" s="2" t="s">
        <v>55</v>
      </c>
      <c r="F323" s="2" t="s">
        <v>54</v>
      </c>
      <c r="G323" s="1" t="str">
        <f t="shared" si="48"/>
        <v/>
      </c>
      <c r="H323" s="38" t="e">
        <f t="shared" si="43"/>
        <v>#VALUE!</v>
      </c>
      <c r="I323" s="1">
        <f t="shared" si="44"/>
        <v>1</v>
      </c>
      <c r="J323" s="1">
        <f>VLOOKUP(E323,Sheet3!$I$57:$J$65,2,FALSE)</f>
        <v>3</v>
      </c>
      <c r="K323" s="1">
        <f>VLOOKUP(A323,Sheet3!$A$51:$E$230,4,FALSE)</f>
        <v>300</v>
      </c>
      <c r="L323" s="1">
        <f t="shared" si="45"/>
        <v>0</v>
      </c>
      <c r="M323" s="1">
        <f t="shared" si="46"/>
        <v>1</v>
      </c>
    </row>
    <row r="324" spans="1:13">
      <c r="A324" s="5">
        <v>11006</v>
      </c>
      <c r="E324" s="2" t="s">
        <v>61</v>
      </c>
      <c r="F324" s="2" t="s">
        <v>64</v>
      </c>
      <c r="G324" s="1" t="str">
        <f t="shared" si="48"/>
        <v/>
      </c>
      <c r="H324" s="38" t="e">
        <f t="shared" ref="H324:H339" si="49">"进阶+"&amp;INT(MID(G324,4,2))&amp;"："&amp;IF(I324=2,"全体","")&amp;E324&amp;"提高"&amp;IF(K324&lt;1,K324*100,K324)&amp;IF(OR(F324="数值",F324="光环数值"),"","%")</f>
        <v>#VALUE!</v>
      </c>
      <c r="I324" s="1">
        <f t="shared" ref="I324:I362" si="50">IF(MID(F324,1,2)="光环",2,1)</f>
        <v>2</v>
      </c>
      <c r="J324" s="1">
        <f>VLOOKUP(E324,Sheet3!$I$57:$J$65,2,FALSE)</f>
        <v>6</v>
      </c>
      <c r="K324" s="1">
        <f>VLOOKUP(A324,Sheet3!$A$51:$E$230,4,FALSE)</f>
        <v>0.08</v>
      </c>
      <c r="L324" s="1">
        <f t="shared" ref="L324:L362" si="51">IF(AND(J324&lt;5,F324="百分比"),1,0)</f>
        <v>0</v>
      </c>
      <c r="M324" s="1">
        <f t="shared" ref="M324:M362" si="52">IF(L324=0,1,5)</f>
        <v>1</v>
      </c>
    </row>
    <row r="325" spans="1:13">
      <c r="A325" s="5">
        <v>11007</v>
      </c>
      <c r="E325" s="2" t="s">
        <v>56</v>
      </c>
      <c r="F325" s="2" t="s">
        <v>65</v>
      </c>
      <c r="G325" s="1">
        <f t="shared" si="48"/>
        <v>46007</v>
      </c>
      <c r="H325" s="38" t="str">
        <f t="shared" si="49"/>
        <v>进阶+7：全体防御提高400</v>
      </c>
      <c r="I325" s="1">
        <f t="shared" si="50"/>
        <v>2</v>
      </c>
      <c r="J325" s="1">
        <f>VLOOKUP(E325,Sheet3!$I$57:$J$65,2,FALSE)</f>
        <v>4</v>
      </c>
      <c r="K325" s="1">
        <f>VLOOKUP(A325,Sheet3!$A$51:$E$230,4,FALSE)</f>
        <v>400</v>
      </c>
      <c r="L325" s="1">
        <f t="shared" si="51"/>
        <v>0</v>
      </c>
      <c r="M325" s="1">
        <f t="shared" si="52"/>
        <v>1</v>
      </c>
    </row>
    <row r="326" spans="1:13">
      <c r="A326" s="5">
        <v>11008</v>
      </c>
      <c r="E326" s="2" t="s">
        <v>56</v>
      </c>
      <c r="F326" s="2" t="s">
        <v>58</v>
      </c>
      <c r="G326" s="1">
        <f t="shared" si="48"/>
        <v>46008</v>
      </c>
      <c r="H326" s="38" t="str">
        <f t="shared" si="49"/>
        <v>进阶+8：防御提高10%</v>
      </c>
      <c r="I326" s="1">
        <f t="shared" si="50"/>
        <v>1</v>
      </c>
      <c r="J326" s="1">
        <f>VLOOKUP(E326,Sheet3!$I$57:$J$65,2,FALSE)</f>
        <v>4</v>
      </c>
      <c r="K326" s="1">
        <f>VLOOKUP(A326,Sheet3!$A$51:$E$230,4,FALSE)</f>
        <v>0.1</v>
      </c>
      <c r="L326" s="1">
        <f t="shared" si="51"/>
        <v>1</v>
      </c>
      <c r="M326" s="1">
        <f t="shared" si="52"/>
        <v>5</v>
      </c>
    </row>
    <row r="327" spans="1:13">
      <c r="A327" s="5">
        <v>11009</v>
      </c>
      <c r="E327" s="2" t="s">
        <v>35</v>
      </c>
      <c r="F327" s="2" t="s">
        <v>65</v>
      </c>
      <c r="G327" s="1" t="str">
        <f t="shared" si="48"/>
        <v/>
      </c>
      <c r="H327" s="38" t="e">
        <f t="shared" si="49"/>
        <v>#VALUE!</v>
      </c>
      <c r="I327" s="1">
        <f t="shared" si="50"/>
        <v>2</v>
      </c>
      <c r="J327" s="1">
        <f>VLOOKUP(E327,Sheet3!$I$57:$J$65,2,FALSE)</f>
        <v>1</v>
      </c>
      <c r="K327" s="1">
        <f>VLOOKUP(A327,Sheet3!$A$51:$E$230,4,FALSE)</f>
        <v>29999.999999999996</v>
      </c>
      <c r="L327" s="1">
        <f t="shared" si="51"/>
        <v>0</v>
      </c>
      <c r="M327" s="1">
        <f t="shared" si="52"/>
        <v>1</v>
      </c>
    </row>
    <row r="328" spans="1:13">
      <c r="A328" s="5">
        <v>11010</v>
      </c>
      <c r="E328" s="2" t="s">
        <v>35</v>
      </c>
      <c r="F328" s="2" t="s">
        <v>58</v>
      </c>
      <c r="G328" s="1" t="str">
        <f t="shared" si="48"/>
        <v/>
      </c>
      <c r="H328" s="38" t="e">
        <f t="shared" si="49"/>
        <v>#VALUE!</v>
      </c>
      <c r="I328" s="1">
        <f t="shared" si="50"/>
        <v>1</v>
      </c>
      <c r="J328" s="1">
        <f>VLOOKUP(E328,Sheet3!$I$57:$J$65,2,FALSE)</f>
        <v>1</v>
      </c>
      <c r="K328" s="1">
        <f>VLOOKUP(A328,Sheet3!$A$51:$E$230,4,FALSE)</f>
        <v>0.15</v>
      </c>
      <c r="L328" s="1">
        <f t="shared" si="51"/>
        <v>1</v>
      </c>
      <c r="M328" s="1">
        <f t="shared" si="52"/>
        <v>5</v>
      </c>
    </row>
    <row r="329" spans="1:13">
      <c r="A329" s="5">
        <v>11011</v>
      </c>
      <c r="E329" s="2" t="s">
        <v>55</v>
      </c>
      <c r="F329" s="2" t="s">
        <v>65</v>
      </c>
      <c r="G329" s="1" t="str">
        <f t="shared" si="48"/>
        <v/>
      </c>
      <c r="H329" s="38" t="e">
        <f t="shared" si="49"/>
        <v>#VALUE!</v>
      </c>
      <c r="I329" s="1">
        <f t="shared" si="50"/>
        <v>2</v>
      </c>
      <c r="J329" s="1">
        <f>VLOOKUP(E329,Sheet3!$I$57:$J$65,2,FALSE)</f>
        <v>3</v>
      </c>
      <c r="K329" s="1">
        <f>VLOOKUP(A329,Sheet3!$A$51:$E$230,4,FALSE)</f>
        <v>600</v>
      </c>
      <c r="L329" s="1">
        <f t="shared" si="51"/>
        <v>0</v>
      </c>
      <c r="M329" s="1">
        <f t="shared" si="52"/>
        <v>1</v>
      </c>
    </row>
    <row r="330" spans="1:13">
      <c r="A330" s="5">
        <v>11012</v>
      </c>
      <c r="E330" s="2" t="s">
        <v>55</v>
      </c>
      <c r="F330" s="2" t="s">
        <v>58</v>
      </c>
      <c r="G330" s="1" t="str">
        <f t="shared" si="48"/>
        <v/>
      </c>
      <c r="H330" s="38" t="e">
        <f t="shared" si="49"/>
        <v>#VALUE!</v>
      </c>
      <c r="I330" s="1">
        <f t="shared" si="50"/>
        <v>1</v>
      </c>
      <c r="J330" s="1">
        <f>VLOOKUP(E330,Sheet3!$I$57:$J$65,2,FALSE)</f>
        <v>3</v>
      </c>
      <c r="K330" s="1">
        <f>VLOOKUP(A330,Sheet3!$A$51:$E$230,4,FALSE)</f>
        <v>0.15</v>
      </c>
      <c r="L330" s="1">
        <f t="shared" si="51"/>
        <v>1</v>
      </c>
      <c r="M330" s="1">
        <f t="shared" si="52"/>
        <v>5</v>
      </c>
    </row>
    <row r="331" spans="1:13">
      <c r="A331" s="5">
        <v>11013</v>
      </c>
      <c r="E331" s="2" t="s">
        <v>56</v>
      </c>
      <c r="F331" s="2" t="s">
        <v>58</v>
      </c>
      <c r="G331" s="1">
        <f t="shared" si="48"/>
        <v>46013</v>
      </c>
      <c r="H331" s="38" t="str">
        <f t="shared" si="49"/>
        <v>进阶+13：防御提高20%</v>
      </c>
      <c r="I331" s="1">
        <f t="shared" si="50"/>
        <v>1</v>
      </c>
      <c r="J331" s="1">
        <f>VLOOKUP(E331,Sheet3!$I$57:$J$65,2,FALSE)</f>
        <v>4</v>
      </c>
      <c r="K331" s="1">
        <f>VLOOKUP(A331,Sheet3!$A$51:$E$230,4,FALSE)</f>
        <v>0.2</v>
      </c>
      <c r="L331" s="1">
        <f t="shared" si="51"/>
        <v>1</v>
      </c>
      <c r="M331" s="1">
        <f t="shared" si="52"/>
        <v>5</v>
      </c>
    </row>
    <row r="332" spans="1:13">
      <c r="A332" s="5">
        <v>11014</v>
      </c>
      <c r="E332" s="2" t="s">
        <v>35</v>
      </c>
      <c r="F332" s="2" t="s">
        <v>58</v>
      </c>
      <c r="G332" s="1" t="str">
        <f t="shared" si="48"/>
        <v/>
      </c>
      <c r="H332" s="38" t="e">
        <f t="shared" si="49"/>
        <v>#VALUE!</v>
      </c>
      <c r="I332" s="1">
        <f t="shared" si="50"/>
        <v>1</v>
      </c>
      <c r="J332" s="1">
        <f>VLOOKUP(E332,Sheet3!$I$57:$J$65,2,FALSE)</f>
        <v>1</v>
      </c>
      <c r="K332" s="1">
        <f>VLOOKUP(A332,Sheet3!$A$51:$E$230,4,FALSE)</f>
        <v>0.25</v>
      </c>
      <c r="L332" s="1">
        <f t="shared" si="51"/>
        <v>1</v>
      </c>
      <c r="M332" s="1">
        <f t="shared" si="52"/>
        <v>5</v>
      </c>
    </row>
    <row r="333" spans="1:13">
      <c r="A333" s="5">
        <v>11015</v>
      </c>
      <c r="E333" s="2" t="s">
        <v>55</v>
      </c>
      <c r="F333" s="2" t="s">
        <v>58</v>
      </c>
      <c r="G333" s="1" t="str">
        <f t="shared" si="48"/>
        <v/>
      </c>
      <c r="H333" s="38" t="e">
        <f t="shared" si="49"/>
        <v>#VALUE!</v>
      </c>
      <c r="I333" s="1">
        <f t="shared" si="50"/>
        <v>1</v>
      </c>
      <c r="J333" s="1">
        <f>VLOOKUP(E333,Sheet3!$I$57:$J$65,2,FALSE)</f>
        <v>3</v>
      </c>
      <c r="K333" s="1">
        <f>VLOOKUP(A333,Sheet3!$A$51:$E$230,4,FALSE)</f>
        <v>0.25</v>
      </c>
      <c r="L333" s="1">
        <f t="shared" si="51"/>
        <v>1</v>
      </c>
      <c r="M333" s="1">
        <f t="shared" si="52"/>
        <v>5</v>
      </c>
    </row>
    <row r="334" spans="1:13">
      <c r="A334" s="5">
        <v>11101</v>
      </c>
      <c r="E334" s="2" t="s">
        <v>56</v>
      </c>
      <c r="F334" s="2" t="s">
        <v>54</v>
      </c>
      <c r="G334" s="1">
        <f t="shared" si="48"/>
        <v>46101</v>
      </c>
      <c r="H334" s="38" t="str">
        <f t="shared" si="49"/>
        <v>进阶+1：防御提高100</v>
      </c>
      <c r="I334" s="1">
        <f t="shared" si="50"/>
        <v>1</v>
      </c>
      <c r="J334" s="1">
        <f>VLOOKUP(E334,Sheet3!$I$57:$J$65,2,FALSE)</f>
        <v>4</v>
      </c>
      <c r="K334" s="1">
        <f>VLOOKUP(A334,Sheet3!$A$51:$E$230,4,FALSE)</f>
        <v>100</v>
      </c>
      <c r="L334" s="1">
        <f t="shared" si="51"/>
        <v>0</v>
      </c>
      <c r="M334" s="1">
        <f t="shared" si="52"/>
        <v>1</v>
      </c>
    </row>
    <row r="335" spans="1:13">
      <c r="A335" s="5">
        <v>11102</v>
      </c>
      <c r="E335" s="2" t="s">
        <v>61</v>
      </c>
      <c r="F335" s="2" t="s">
        <v>58</v>
      </c>
      <c r="G335" s="1" t="str">
        <f t="shared" si="48"/>
        <v/>
      </c>
      <c r="H335" s="38" t="e">
        <f t="shared" si="49"/>
        <v>#VALUE!</v>
      </c>
      <c r="I335" s="1">
        <f t="shared" si="50"/>
        <v>1</v>
      </c>
      <c r="J335" s="1">
        <f>VLOOKUP(E335,Sheet3!$I$57:$J$65,2,FALSE)</f>
        <v>6</v>
      </c>
      <c r="K335" s="1">
        <f>VLOOKUP(A335,Sheet3!$A$51:$E$230,4,FALSE)</f>
        <v>0.05</v>
      </c>
      <c r="L335" s="1">
        <f t="shared" si="51"/>
        <v>0</v>
      </c>
      <c r="M335" s="1">
        <f t="shared" si="52"/>
        <v>1</v>
      </c>
    </row>
    <row r="336" spans="1:13">
      <c r="A336" s="5">
        <v>11103</v>
      </c>
      <c r="E336" s="2" t="s">
        <v>35</v>
      </c>
      <c r="F336" s="2" t="s">
        <v>54</v>
      </c>
      <c r="G336" s="1" t="str">
        <f t="shared" si="48"/>
        <v/>
      </c>
      <c r="H336" s="38" t="e">
        <f t="shared" si="49"/>
        <v>#VALUE!</v>
      </c>
      <c r="I336" s="1">
        <f t="shared" si="50"/>
        <v>1</v>
      </c>
      <c r="J336" s="1">
        <f>VLOOKUP(E336,Sheet3!$I$57:$J$65,2,FALSE)</f>
        <v>1</v>
      </c>
      <c r="K336" s="1">
        <f>VLOOKUP(A336,Sheet3!$A$51:$E$230,4,FALSE)</f>
        <v>14999.999999999998</v>
      </c>
      <c r="L336" s="1">
        <f t="shared" si="51"/>
        <v>0</v>
      </c>
      <c r="M336" s="1">
        <f t="shared" si="52"/>
        <v>1</v>
      </c>
    </row>
    <row r="337" spans="1:13">
      <c r="A337" s="5">
        <v>11104</v>
      </c>
      <c r="E337" s="2" t="s">
        <v>63</v>
      </c>
      <c r="F337" s="2" t="s">
        <v>58</v>
      </c>
      <c r="G337" s="1" t="str">
        <f t="shared" si="48"/>
        <v/>
      </c>
      <c r="H337" s="38" t="e">
        <f t="shared" si="49"/>
        <v>#VALUE!</v>
      </c>
      <c r="I337" s="1">
        <f t="shared" si="50"/>
        <v>1</v>
      </c>
      <c r="J337" s="1">
        <f>VLOOKUP(E337,Sheet3!$I$57:$J$65,2,FALSE)</f>
        <v>11</v>
      </c>
      <c r="K337" s="1">
        <f>VLOOKUP(A337,Sheet3!$A$51:$E$230,4,FALSE)</f>
        <v>0.1</v>
      </c>
      <c r="L337" s="1">
        <f t="shared" si="51"/>
        <v>0</v>
      </c>
      <c r="M337" s="1">
        <f t="shared" si="52"/>
        <v>1</v>
      </c>
    </row>
    <row r="338" spans="1:13">
      <c r="A338" s="5">
        <v>11105</v>
      </c>
      <c r="E338" s="2" t="s">
        <v>55</v>
      </c>
      <c r="F338" s="2" t="s">
        <v>54</v>
      </c>
      <c r="G338" s="1" t="str">
        <f t="shared" si="48"/>
        <v/>
      </c>
      <c r="H338" s="38" t="e">
        <f t="shared" si="49"/>
        <v>#VALUE!</v>
      </c>
      <c r="I338" s="1">
        <f t="shared" si="50"/>
        <v>1</v>
      </c>
      <c r="J338" s="1">
        <f>VLOOKUP(E338,Sheet3!$I$57:$J$65,2,FALSE)</f>
        <v>3</v>
      </c>
      <c r="K338" s="1">
        <f>VLOOKUP(A338,Sheet3!$A$51:$E$230,4,FALSE)</f>
        <v>300</v>
      </c>
      <c r="L338" s="1">
        <f t="shared" si="51"/>
        <v>0</v>
      </c>
      <c r="M338" s="1">
        <f t="shared" si="52"/>
        <v>1</v>
      </c>
    </row>
    <row r="339" spans="1:13">
      <c r="A339" s="5">
        <v>11106</v>
      </c>
      <c r="E339" s="2" t="s">
        <v>60</v>
      </c>
      <c r="F339" s="2" t="s">
        <v>64</v>
      </c>
      <c r="G339" s="1" t="str">
        <f t="shared" si="48"/>
        <v/>
      </c>
      <c r="H339" s="38" t="e">
        <f t="shared" si="49"/>
        <v>#VALUE!</v>
      </c>
      <c r="I339" s="1">
        <f t="shared" si="50"/>
        <v>2</v>
      </c>
      <c r="J339" s="1">
        <f>VLOOKUP(E339,Sheet3!$I$57:$J$65,2,FALSE)</f>
        <v>8</v>
      </c>
      <c r="K339" s="1">
        <f>VLOOKUP(A339,Sheet3!$A$51:$E$230,4,FALSE)</f>
        <v>0.16</v>
      </c>
      <c r="L339" s="1">
        <f t="shared" si="51"/>
        <v>0</v>
      </c>
      <c r="M339" s="1">
        <f t="shared" si="52"/>
        <v>1</v>
      </c>
    </row>
    <row r="340" spans="1:13">
      <c r="A340" s="5">
        <v>11107</v>
      </c>
      <c r="E340" s="2" t="s">
        <v>56</v>
      </c>
      <c r="F340" s="2" t="s">
        <v>65</v>
      </c>
      <c r="G340" s="1">
        <f t="shared" si="48"/>
        <v>46107</v>
      </c>
      <c r="H340" s="38" t="str">
        <f t="shared" ref="H340:H354" si="53">"进阶+"&amp;INT(MID(G340,4,2))&amp;"："&amp;IF(I340=2,"全体","")&amp;E340&amp;"提高"&amp;IF(K340&lt;1,K340*100,K340)&amp;IF(OR(F340="数值",F340="光环数值"),"","%")</f>
        <v>进阶+7：全体防御提高400</v>
      </c>
      <c r="I340" s="1">
        <f t="shared" si="50"/>
        <v>2</v>
      </c>
      <c r="J340" s="1">
        <f>VLOOKUP(E340,Sheet3!$I$57:$J$65,2,FALSE)</f>
        <v>4</v>
      </c>
      <c r="K340" s="1">
        <f>VLOOKUP(A340,Sheet3!$A$51:$E$230,4,FALSE)</f>
        <v>400</v>
      </c>
      <c r="L340" s="1">
        <f t="shared" si="51"/>
        <v>0</v>
      </c>
      <c r="M340" s="1">
        <f t="shared" si="52"/>
        <v>1</v>
      </c>
    </row>
    <row r="341" spans="1:13">
      <c r="A341" s="5">
        <v>11108</v>
      </c>
      <c r="E341" s="2" t="s">
        <v>56</v>
      </c>
      <c r="F341" s="2" t="s">
        <v>58</v>
      </c>
      <c r="G341" s="1">
        <f t="shared" si="48"/>
        <v>46108</v>
      </c>
      <c r="H341" s="38" t="str">
        <f t="shared" si="53"/>
        <v>进阶+8：防御提高10%</v>
      </c>
      <c r="I341" s="1">
        <f t="shared" si="50"/>
        <v>1</v>
      </c>
      <c r="J341" s="1">
        <f>VLOOKUP(E341,Sheet3!$I$57:$J$65,2,FALSE)</f>
        <v>4</v>
      </c>
      <c r="K341" s="1">
        <f>VLOOKUP(A341,Sheet3!$A$51:$E$230,4,FALSE)</f>
        <v>0.1</v>
      </c>
      <c r="L341" s="1">
        <f t="shared" si="51"/>
        <v>1</v>
      </c>
      <c r="M341" s="1">
        <f t="shared" si="52"/>
        <v>5</v>
      </c>
    </row>
    <row r="342" spans="1:13">
      <c r="A342" s="5">
        <v>11109</v>
      </c>
      <c r="E342" s="2" t="s">
        <v>35</v>
      </c>
      <c r="F342" s="2" t="s">
        <v>65</v>
      </c>
      <c r="G342" s="1" t="str">
        <f t="shared" si="48"/>
        <v/>
      </c>
      <c r="H342" s="38" t="e">
        <f t="shared" si="53"/>
        <v>#VALUE!</v>
      </c>
      <c r="I342" s="1">
        <f t="shared" si="50"/>
        <v>2</v>
      </c>
      <c r="J342" s="1">
        <f>VLOOKUP(E342,Sheet3!$I$57:$J$65,2,FALSE)</f>
        <v>1</v>
      </c>
      <c r="K342" s="1">
        <f>VLOOKUP(A342,Sheet3!$A$51:$E$230,4,FALSE)</f>
        <v>29999.999999999996</v>
      </c>
      <c r="L342" s="1">
        <f t="shared" si="51"/>
        <v>0</v>
      </c>
      <c r="M342" s="1">
        <f t="shared" si="52"/>
        <v>1</v>
      </c>
    </row>
    <row r="343" spans="1:13">
      <c r="A343" s="5">
        <v>11110</v>
      </c>
      <c r="E343" s="2" t="s">
        <v>35</v>
      </c>
      <c r="F343" s="2" t="s">
        <v>58</v>
      </c>
      <c r="G343" s="1" t="str">
        <f t="shared" si="48"/>
        <v/>
      </c>
      <c r="H343" s="38" t="e">
        <f t="shared" si="53"/>
        <v>#VALUE!</v>
      </c>
      <c r="I343" s="1">
        <f t="shared" si="50"/>
        <v>1</v>
      </c>
      <c r="J343" s="1">
        <f>VLOOKUP(E343,Sheet3!$I$57:$J$65,2,FALSE)</f>
        <v>1</v>
      </c>
      <c r="K343" s="1">
        <f>VLOOKUP(A343,Sheet3!$A$51:$E$230,4,FALSE)</f>
        <v>0.15</v>
      </c>
      <c r="L343" s="1">
        <f t="shared" si="51"/>
        <v>1</v>
      </c>
      <c r="M343" s="1">
        <f t="shared" si="52"/>
        <v>5</v>
      </c>
    </row>
    <row r="344" spans="1:13">
      <c r="A344" s="5">
        <v>11111</v>
      </c>
      <c r="E344" s="2" t="s">
        <v>55</v>
      </c>
      <c r="F344" s="2" t="s">
        <v>65</v>
      </c>
      <c r="G344" s="1" t="str">
        <f t="shared" ref="G344:G362" si="54">IF(G164=C164,"",G164+5000)</f>
        <v/>
      </c>
      <c r="H344" s="38" t="e">
        <f t="shared" si="53"/>
        <v>#VALUE!</v>
      </c>
      <c r="I344" s="1">
        <f t="shared" si="50"/>
        <v>2</v>
      </c>
      <c r="J344" s="1">
        <f>VLOOKUP(E344,Sheet3!$I$57:$J$65,2,FALSE)</f>
        <v>3</v>
      </c>
      <c r="K344" s="1">
        <f>VLOOKUP(A344,Sheet3!$A$51:$E$230,4,FALSE)</f>
        <v>600</v>
      </c>
      <c r="L344" s="1">
        <f t="shared" si="51"/>
        <v>0</v>
      </c>
      <c r="M344" s="1">
        <f t="shared" si="52"/>
        <v>1</v>
      </c>
    </row>
    <row r="345" spans="1:13">
      <c r="A345" s="5">
        <v>11112</v>
      </c>
      <c r="E345" s="2" t="s">
        <v>55</v>
      </c>
      <c r="F345" s="2" t="s">
        <v>58</v>
      </c>
      <c r="G345" s="1" t="str">
        <f t="shared" si="54"/>
        <v/>
      </c>
      <c r="H345" s="38" t="e">
        <f t="shared" si="53"/>
        <v>#VALUE!</v>
      </c>
      <c r="I345" s="1">
        <f t="shared" si="50"/>
        <v>1</v>
      </c>
      <c r="J345" s="1">
        <f>VLOOKUP(E345,Sheet3!$I$57:$J$65,2,FALSE)</f>
        <v>3</v>
      </c>
      <c r="K345" s="1">
        <f>VLOOKUP(A345,Sheet3!$A$51:$E$230,4,FALSE)</f>
        <v>0.15</v>
      </c>
      <c r="L345" s="1">
        <f t="shared" si="51"/>
        <v>1</v>
      </c>
      <c r="M345" s="1">
        <f t="shared" si="52"/>
        <v>5</v>
      </c>
    </row>
    <row r="346" spans="1:13">
      <c r="A346" s="5">
        <v>11113</v>
      </c>
      <c r="E346" s="2" t="s">
        <v>56</v>
      </c>
      <c r="F346" s="2" t="s">
        <v>58</v>
      </c>
      <c r="G346" s="1">
        <f t="shared" si="54"/>
        <v>46113</v>
      </c>
      <c r="H346" s="38" t="str">
        <f t="shared" si="53"/>
        <v>进阶+13：防御提高20%</v>
      </c>
      <c r="I346" s="1">
        <f t="shared" si="50"/>
        <v>1</v>
      </c>
      <c r="J346" s="1">
        <f>VLOOKUP(E346,Sheet3!$I$57:$J$65,2,FALSE)</f>
        <v>4</v>
      </c>
      <c r="K346" s="1">
        <f>VLOOKUP(A346,Sheet3!$A$51:$E$230,4,FALSE)</f>
        <v>0.2</v>
      </c>
      <c r="L346" s="1">
        <f t="shared" si="51"/>
        <v>1</v>
      </c>
      <c r="M346" s="1">
        <f t="shared" si="52"/>
        <v>5</v>
      </c>
    </row>
    <row r="347" spans="1:13">
      <c r="A347" s="5">
        <v>11114</v>
      </c>
      <c r="E347" s="2" t="s">
        <v>35</v>
      </c>
      <c r="F347" s="2" t="s">
        <v>58</v>
      </c>
      <c r="G347" s="1" t="str">
        <f t="shared" si="54"/>
        <v/>
      </c>
      <c r="H347" s="38" t="e">
        <f t="shared" si="53"/>
        <v>#VALUE!</v>
      </c>
      <c r="I347" s="1">
        <f t="shared" si="50"/>
        <v>1</v>
      </c>
      <c r="J347" s="1">
        <f>VLOOKUP(E347,Sheet3!$I$57:$J$65,2,FALSE)</f>
        <v>1</v>
      </c>
      <c r="K347" s="1">
        <f>VLOOKUP(A347,Sheet3!$A$51:$E$230,4,FALSE)</f>
        <v>0.25</v>
      </c>
      <c r="L347" s="1">
        <f t="shared" si="51"/>
        <v>1</v>
      </c>
      <c r="M347" s="1">
        <f t="shared" si="52"/>
        <v>5</v>
      </c>
    </row>
    <row r="348" spans="1:13">
      <c r="A348" s="5">
        <v>11115</v>
      </c>
      <c r="E348" s="2" t="s">
        <v>55</v>
      </c>
      <c r="F348" s="2" t="s">
        <v>58</v>
      </c>
      <c r="G348" s="1" t="str">
        <f t="shared" si="54"/>
        <v/>
      </c>
      <c r="H348" s="38" t="e">
        <f t="shared" si="53"/>
        <v>#VALUE!</v>
      </c>
      <c r="I348" s="1">
        <f t="shared" si="50"/>
        <v>1</v>
      </c>
      <c r="J348" s="1">
        <f>VLOOKUP(E348,Sheet3!$I$57:$J$65,2,FALSE)</f>
        <v>3</v>
      </c>
      <c r="K348" s="1">
        <f>VLOOKUP(A348,Sheet3!$A$51:$E$230,4,FALSE)</f>
        <v>0.25</v>
      </c>
      <c r="L348" s="1">
        <f t="shared" si="51"/>
        <v>1</v>
      </c>
      <c r="M348" s="1">
        <f t="shared" si="52"/>
        <v>5</v>
      </c>
    </row>
    <row r="349" spans="1:13">
      <c r="A349" s="5">
        <v>11201</v>
      </c>
      <c r="E349" s="2" t="s">
        <v>56</v>
      </c>
      <c r="F349" s="2" t="s">
        <v>54</v>
      </c>
      <c r="G349" s="1">
        <f t="shared" si="54"/>
        <v>46201</v>
      </c>
      <c r="H349" s="38" t="str">
        <f t="shared" si="53"/>
        <v>进阶+1：防御提高100</v>
      </c>
      <c r="I349" s="1">
        <f t="shared" si="50"/>
        <v>1</v>
      </c>
      <c r="J349" s="1">
        <f>VLOOKUP(E349,Sheet3!$I$57:$J$65,2,FALSE)</f>
        <v>4</v>
      </c>
      <c r="K349" s="1">
        <f>VLOOKUP(A349,Sheet3!$A$51:$E$230,4,FALSE)</f>
        <v>100</v>
      </c>
      <c r="L349" s="1">
        <f t="shared" si="51"/>
        <v>0</v>
      </c>
      <c r="M349" s="1">
        <f t="shared" si="52"/>
        <v>1</v>
      </c>
    </row>
    <row r="350" spans="1:13">
      <c r="A350" s="5">
        <v>11202</v>
      </c>
      <c r="E350" s="2" t="s">
        <v>61</v>
      </c>
      <c r="F350" s="2" t="s">
        <v>58</v>
      </c>
      <c r="G350" s="1" t="str">
        <f t="shared" si="54"/>
        <v/>
      </c>
      <c r="H350" s="38" t="e">
        <f t="shared" si="53"/>
        <v>#VALUE!</v>
      </c>
      <c r="I350" s="1">
        <f t="shared" si="50"/>
        <v>1</v>
      </c>
      <c r="J350" s="1">
        <f>VLOOKUP(E350,Sheet3!$I$57:$J$65,2,FALSE)</f>
        <v>6</v>
      </c>
      <c r="K350" s="1">
        <f>VLOOKUP(A350,Sheet3!$A$51:$E$230,4,FALSE)</f>
        <v>0.05</v>
      </c>
      <c r="L350" s="1">
        <f t="shared" si="51"/>
        <v>0</v>
      </c>
      <c r="M350" s="1">
        <f t="shared" si="52"/>
        <v>1</v>
      </c>
    </row>
    <row r="351" spans="1:13">
      <c r="A351" s="5">
        <v>11203</v>
      </c>
      <c r="E351" s="2" t="s">
        <v>35</v>
      </c>
      <c r="F351" s="2" t="s">
        <v>54</v>
      </c>
      <c r="G351" s="1" t="str">
        <f t="shared" si="54"/>
        <v/>
      </c>
      <c r="H351" s="38" t="e">
        <f t="shared" si="53"/>
        <v>#VALUE!</v>
      </c>
      <c r="I351" s="1">
        <f t="shared" si="50"/>
        <v>1</v>
      </c>
      <c r="J351" s="1">
        <f>VLOOKUP(E351,Sheet3!$I$57:$J$65,2,FALSE)</f>
        <v>1</v>
      </c>
      <c r="K351" s="1">
        <f>VLOOKUP(A351,Sheet3!$A$51:$E$230,4,FALSE)</f>
        <v>14999.999999999998</v>
      </c>
      <c r="L351" s="1">
        <f t="shared" si="51"/>
        <v>0</v>
      </c>
      <c r="M351" s="1">
        <f t="shared" si="52"/>
        <v>1</v>
      </c>
    </row>
    <row r="352" spans="1:13">
      <c r="A352" s="5">
        <v>11204</v>
      </c>
      <c r="E352" s="2" t="s">
        <v>60</v>
      </c>
      <c r="F352" s="2" t="s">
        <v>58</v>
      </c>
      <c r="G352" s="1" t="str">
        <f t="shared" si="54"/>
        <v/>
      </c>
      <c r="H352" s="38" t="e">
        <f t="shared" si="53"/>
        <v>#VALUE!</v>
      </c>
      <c r="I352" s="1">
        <f t="shared" si="50"/>
        <v>1</v>
      </c>
      <c r="J352" s="1">
        <f>VLOOKUP(E352,Sheet3!$I$57:$J$65,2,FALSE)</f>
        <v>8</v>
      </c>
      <c r="K352" s="1">
        <f>VLOOKUP(A352,Sheet3!$A$51:$E$230,4,FALSE)</f>
        <v>0.2</v>
      </c>
      <c r="L352" s="1">
        <f t="shared" si="51"/>
        <v>0</v>
      </c>
      <c r="M352" s="1">
        <f t="shared" si="52"/>
        <v>1</v>
      </c>
    </row>
    <row r="353" spans="1:13">
      <c r="A353" s="5">
        <v>11205</v>
      </c>
      <c r="E353" s="2" t="s">
        <v>55</v>
      </c>
      <c r="F353" s="2" t="s">
        <v>54</v>
      </c>
      <c r="G353" s="1" t="str">
        <f t="shared" si="54"/>
        <v/>
      </c>
      <c r="H353" s="38" t="e">
        <f t="shared" si="53"/>
        <v>#VALUE!</v>
      </c>
      <c r="I353" s="1">
        <f t="shared" si="50"/>
        <v>1</v>
      </c>
      <c r="J353" s="1">
        <f>VLOOKUP(E353,Sheet3!$I$57:$J$65,2,FALSE)</f>
        <v>3</v>
      </c>
      <c r="K353" s="1">
        <f>VLOOKUP(A353,Sheet3!$A$51:$E$230,4,FALSE)</f>
        <v>300</v>
      </c>
      <c r="L353" s="1">
        <f t="shared" si="51"/>
        <v>0</v>
      </c>
      <c r="M353" s="1">
        <f t="shared" si="52"/>
        <v>1</v>
      </c>
    </row>
    <row r="354" spans="1:13">
      <c r="A354" s="5">
        <v>11206</v>
      </c>
      <c r="E354" s="2" t="s">
        <v>63</v>
      </c>
      <c r="F354" s="2" t="s">
        <v>64</v>
      </c>
      <c r="G354" s="1" t="str">
        <f t="shared" si="54"/>
        <v/>
      </c>
      <c r="H354" s="38" t="e">
        <f t="shared" si="53"/>
        <v>#VALUE!</v>
      </c>
      <c r="I354" s="1">
        <f t="shared" si="50"/>
        <v>2</v>
      </c>
      <c r="J354" s="1">
        <f>VLOOKUP(E354,Sheet3!$I$57:$J$65,2,FALSE)</f>
        <v>11</v>
      </c>
      <c r="K354" s="1">
        <f>VLOOKUP(A354,Sheet3!$A$51:$E$230,4,FALSE)</f>
        <v>0.08</v>
      </c>
      <c r="L354" s="1">
        <f t="shared" si="51"/>
        <v>0</v>
      </c>
      <c r="M354" s="1">
        <f t="shared" si="52"/>
        <v>1</v>
      </c>
    </row>
    <row r="355" spans="1:13">
      <c r="A355" s="5">
        <v>11207</v>
      </c>
      <c r="E355" s="2" t="s">
        <v>56</v>
      </c>
      <c r="F355" s="2" t="s">
        <v>65</v>
      </c>
      <c r="G355" s="1">
        <f t="shared" si="54"/>
        <v>46207</v>
      </c>
      <c r="H355" s="38" t="str">
        <f>"进阶+"&amp;INT(MID(G355,4,2))&amp;"："&amp;IF(I355=2,"全体","")&amp;E355&amp;"提高"&amp;IF(K355&lt;1,K355*100,K355)&amp;IF(OR(F355="数值",F355="光环数值"),"","%")</f>
        <v>进阶+7：全体防御提高400</v>
      </c>
      <c r="I355" s="1">
        <f t="shared" si="50"/>
        <v>2</v>
      </c>
      <c r="J355" s="1">
        <f>VLOOKUP(E355,Sheet3!$I$57:$J$65,2,FALSE)</f>
        <v>4</v>
      </c>
      <c r="K355" s="1">
        <f>VLOOKUP(A355,Sheet3!$A$51:$E$230,4,FALSE)</f>
        <v>400</v>
      </c>
      <c r="L355" s="1">
        <f t="shared" si="51"/>
        <v>0</v>
      </c>
      <c r="M355" s="1">
        <f t="shared" si="52"/>
        <v>1</v>
      </c>
    </row>
    <row r="356" spans="1:13">
      <c r="A356" s="5">
        <v>11208</v>
      </c>
      <c r="E356" s="2" t="s">
        <v>56</v>
      </c>
      <c r="F356" s="2" t="s">
        <v>58</v>
      </c>
      <c r="G356" s="1">
        <f t="shared" si="54"/>
        <v>46208</v>
      </c>
      <c r="H356" s="38" t="str">
        <f t="shared" ref="H356:H362" si="55">"进阶+"&amp;INT(MID(G356,4,2))&amp;"："&amp;IF(I356=2,"全体","")&amp;E356&amp;"提高"&amp;IF(K356&lt;1,K356*100,K356)&amp;IF(OR(F356="数值",F356="光环数值"),"","%")</f>
        <v>进阶+8：防御提高10%</v>
      </c>
      <c r="I356" s="1">
        <f t="shared" si="50"/>
        <v>1</v>
      </c>
      <c r="J356" s="1">
        <f>VLOOKUP(E356,Sheet3!$I$57:$J$65,2,FALSE)</f>
        <v>4</v>
      </c>
      <c r="K356" s="1">
        <f>VLOOKUP(A356,Sheet3!$A$51:$E$230,4,FALSE)</f>
        <v>0.1</v>
      </c>
      <c r="L356" s="1">
        <f t="shared" si="51"/>
        <v>1</v>
      </c>
      <c r="M356" s="1">
        <f t="shared" si="52"/>
        <v>5</v>
      </c>
    </row>
    <row r="357" spans="1:13">
      <c r="A357" s="5">
        <v>11209</v>
      </c>
      <c r="E357" s="2" t="s">
        <v>35</v>
      </c>
      <c r="F357" s="2" t="s">
        <v>65</v>
      </c>
      <c r="G357" s="1" t="str">
        <f t="shared" si="54"/>
        <v/>
      </c>
      <c r="H357" s="38" t="e">
        <f t="shared" si="55"/>
        <v>#VALUE!</v>
      </c>
      <c r="I357" s="1">
        <f t="shared" si="50"/>
        <v>2</v>
      </c>
      <c r="J357" s="1">
        <f>VLOOKUP(E357,Sheet3!$I$57:$J$65,2,FALSE)</f>
        <v>1</v>
      </c>
      <c r="K357" s="1">
        <f>VLOOKUP(A357,Sheet3!$A$51:$E$230,4,FALSE)</f>
        <v>29999.999999999996</v>
      </c>
      <c r="L357" s="1">
        <f t="shared" si="51"/>
        <v>0</v>
      </c>
      <c r="M357" s="1">
        <f t="shared" si="52"/>
        <v>1</v>
      </c>
    </row>
    <row r="358" spans="1:13">
      <c r="A358" s="5">
        <v>11210</v>
      </c>
      <c r="E358" s="2" t="s">
        <v>35</v>
      </c>
      <c r="F358" s="2" t="s">
        <v>58</v>
      </c>
      <c r="G358" s="1" t="str">
        <f t="shared" si="54"/>
        <v/>
      </c>
      <c r="H358" s="38" t="e">
        <f t="shared" si="55"/>
        <v>#VALUE!</v>
      </c>
      <c r="I358" s="1">
        <f t="shared" si="50"/>
        <v>1</v>
      </c>
      <c r="J358" s="1">
        <f>VLOOKUP(E358,Sheet3!$I$57:$J$65,2,FALSE)</f>
        <v>1</v>
      </c>
      <c r="K358" s="1">
        <f>VLOOKUP(A358,Sheet3!$A$51:$E$230,4,FALSE)</f>
        <v>0.15</v>
      </c>
      <c r="L358" s="1">
        <f t="shared" si="51"/>
        <v>1</v>
      </c>
      <c r="M358" s="1">
        <f t="shared" si="52"/>
        <v>5</v>
      </c>
    </row>
    <row r="359" spans="1:13">
      <c r="A359" s="5">
        <v>11211</v>
      </c>
      <c r="E359" s="2" t="s">
        <v>55</v>
      </c>
      <c r="F359" s="2" t="s">
        <v>65</v>
      </c>
      <c r="G359" s="1" t="str">
        <f t="shared" si="54"/>
        <v/>
      </c>
      <c r="H359" s="38" t="e">
        <f t="shared" si="55"/>
        <v>#VALUE!</v>
      </c>
      <c r="I359" s="1">
        <f t="shared" si="50"/>
        <v>2</v>
      </c>
      <c r="J359" s="1">
        <f>VLOOKUP(E359,Sheet3!$I$57:$J$65,2,FALSE)</f>
        <v>3</v>
      </c>
      <c r="K359" s="1">
        <f>VLOOKUP(A359,Sheet3!$A$51:$E$230,4,FALSE)</f>
        <v>600</v>
      </c>
      <c r="L359" s="1">
        <f t="shared" si="51"/>
        <v>0</v>
      </c>
      <c r="M359" s="1">
        <f t="shared" si="52"/>
        <v>1</v>
      </c>
    </row>
    <row r="360" spans="1:13">
      <c r="A360" s="5">
        <v>11212</v>
      </c>
      <c r="E360" s="2" t="s">
        <v>55</v>
      </c>
      <c r="F360" s="2" t="s">
        <v>58</v>
      </c>
      <c r="G360" s="1" t="str">
        <f t="shared" si="54"/>
        <v/>
      </c>
      <c r="H360" s="38" t="e">
        <f t="shared" si="55"/>
        <v>#VALUE!</v>
      </c>
      <c r="I360" s="1">
        <f t="shared" si="50"/>
        <v>1</v>
      </c>
      <c r="J360" s="1">
        <f>VLOOKUP(E360,Sheet3!$I$57:$J$65,2,FALSE)</f>
        <v>3</v>
      </c>
      <c r="K360" s="1">
        <f>VLOOKUP(A360,Sheet3!$A$51:$E$230,4,FALSE)</f>
        <v>0.15</v>
      </c>
      <c r="L360" s="1">
        <f t="shared" si="51"/>
        <v>1</v>
      </c>
      <c r="M360" s="1">
        <f t="shared" si="52"/>
        <v>5</v>
      </c>
    </row>
    <row r="361" spans="1:13">
      <c r="A361" s="5">
        <v>11213</v>
      </c>
      <c r="E361" s="2" t="s">
        <v>56</v>
      </c>
      <c r="F361" s="2" t="s">
        <v>58</v>
      </c>
      <c r="G361" s="1">
        <f t="shared" si="54"/>
        <v>46213</v>
      </c>
      <c r="H361" s="38" t="str">
        <f t="shared" si="55"/>
        <v>进阶+13：防御提高20%</v>
      </c>
      <c r="I361" s="1">
        <f t="shared" si="50"/>
        <v>1</v>
      </c>
      <c r="J361" s="1">
        <f>VLOOKUP(E361,Sheet3!$I$57:$J$65,2,FALSE)</f>
        <v>4</v>
      </c>
      <c r="K361" s="1">
        <f>VLOOKUP(A361,Sheet3!$A$51:$E$230,4,FALSE)</f>
        <v>0.2</v>
      </c>
      <c r="L361" s="1">
        <f t="shared" si="51"/>
        <v>1</v>
      </c>
      <c r="M361" s="1">
        <f t="shared" si="52"/>
        <v>5</v>
      </c>
    </row>
    <row r="362" spans="1:13">
      <c r="A362" s="5">
        <v>11214</v>
      </c>
      <c r="E362" s="2" t="s">
        <v>35</v>
      </c>
      <c r="F362" s="2" t="s">
        <v>58</v>
      </c>
      <c r="G362" s="1" t="str">
        <f t="shared" si="54"/>
        <v/>
      </c>
      <c r="H362" s="38" t="e">
        <f t="shared" si="55"/>
        <v>#VALUE!</v>
      </c>
      <c r="I362" s="1">
        <f t="shared" si="50"/>
        <v>1</v>
      </c>
      <c r="J362" s="1">
        <f>VLOOKUP(E362,Sheet3!$I$57:$J$65,2,FALSE)</f>
        <v>1</v>
      </c>
      <c r="K362" s="1">
        <f>VLOOKUP(A362,Sheet3!$A$51:$E$230,4,FALSE)</f>
        <v>0.25</v>
      </c>
      <c r="L362" s="1">
        <f t="shared" si="51"/>
        <v>1</v>
      </c>
      <c r="M362" s="1">
        <f t="shared" si="52"/>
        <v>5</v>
      </c>
    </row>
  </sheetData>
  <autoFilter ref="A1:M183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M233"/>
  <sheetViews>
    <sheetView topLeftCell="A42" workbookViewId="0">
      <selection activeCell="N67" sqref="N67"/>
    </sheetView>
  </sheetViews>
  <sheetFormatPr defaultRowHeight="13.5"/>
  <cols>
    <col min="1" max="16384" width="9" style="13"/>
  </cols>
  <sheetData>
    <row r="1" spans="1:39" ht="16.5">
      <c r="A1" s="11"/>
      <c r="B1" s="12" t="s">
        <v>36</v>
      </c>
      <c r="C1" s="12"/>
      <c r="D1" s="12"/>
      <c r="E1" s="12" t="s">
        <v>37</v>
      </c>
      <c r="F1" s="12"/>
      <c r="G1" s="12"/>
      <c r="H1" s="12" t="s">
        <v>38</v>
      </c>
      <c r="I1" s="12"/>
      <c r="J1" s="12"/>
      <c r="K1" s="12" t="s">
        <v>39</v>
      </c>
      <c r="L1" s="12"/>
      <c r="M1" s="12"/>
      <c r="N1" s="12" t="s">
        <v>40</v>
      </c>
      <c r="O1" s="12"/>
      <c r="P1" s="12"/>
      <c r="Q1" s="12" t="s">
        <v>41</v>
      </c>
      <c r="R1" s="12"/>
      <c r="S1" s="12"/>
      <c r="T1" s="12" t="s">
        <v>42</v>
      </c>
      <c r="U1" s="12"/>
      <c r="V1" s="12"/>
      <c r="W1" s="12" t="s">
        <v>43</v>
      </c>
      <c r="X1" s="12"/>
      <c r="Y1" s="12"/>
      <c r="Z1" s="12" t="s">
        <v>44</v>
      </c>
      <c r="AA1" s="12"/>
      <c r="AB1" s="12"/>
      <c r="AC1" s="12" t="s">
        <v>45</v>
      </c>
      <c r="AD1" s="12"/>
      <c r="AE1" s="12"/>
      <c r="AF1" s="12" t="s">
        <v>46</v>
      </c>
      <c r="AG1" s="12"/>
      <c r="AH1" s="12"/>
      <c r="AI1" s="12" t="s">
        <v>47</v>
      </c>
      <c r="AJ1" s="12"/>
      <c r="AK1" s="12"/>
    </row>
    <row r="2" spans="1:39">
      <c r="A2" s="11"/>
      <c r="B2" s="11">
        <v>1</v>
      </c>
      <c r="C2" s="11"/>
      <c r="D2" s="11"/>
      <c r="E2" s="11">
        <v>2</v>
      </c>
      <c r="F2" s="11"/>
      <c r="G2" s="11"/>
      <c r="H2" s="11">
        <v>3</v>
      </c>
      <c r="I2" s="11"/>
      <c r="J2" s="11"/>
      <c r="K2" s="11">
        <v>4</v>
      </c>
      <c r="L2" s="11"/>
      <c r="M2" s="11"/>
      <c r="N2" s="11">
        <v>5</v>
      </c>
      <c r="O2" s="11"/>
      <c r="P2" s="11"/>
      <c r="Q2" s="11">
        <v>6</v>
      </c>
      <c r="R2" s="11"/>
      <c r="S2" s="11"/>
      <c r="T2" s="11">
        <v>7</v>
      </c>
      <c r="U2" s="11"/>
      <c r="V2" s="11"/>
      <c r="W2" s="11">
        <v>8</v>
      </c>
      <c r="X2" s="11"/>
      <c r="Y2" s="11"/>
      <c r="Z2" s="11">
        <v>9</v>
      </c>
      <c r="AA2" s="11"/>
      <c r="AB2" s="11"/>
      <c r="AC2" s="11">
        <v>10</v>
      </c>
      <c r="AD2" s="11"/>
      <c r="AE2" s="11"/>
      <c r="AF2" s="11">
        <v>11</v>
      </c>
      <c r="AG2" s="11"/>
      <c r="AH2" s="11"/>
      <c r="AI2" s="11">
        <v>12</v>
      </c>
    </row>
    <row r="3" spans="1:39" ht="16.5">
      <c r="A3" s="12" t="s">
        <v>48</v>
      </c>
      <c r="B3" s="12" t="s">
        <v>49</v>
      </c>
      <c r="C3" s="12" t="s">
        <v>50</v>
      </c>
      <c r="D3" s="12" t="s">
        <v>51</v>
      </c>
      <c r="E3" s="12" t="s">
        <v>49</v>
      </c>
      <c r="F3" s="12" t="s">
        <v>50</v>
      </c>
      <c r="G3" s="12" t="s">
        <v>51</v>
      </c>
      <c r="H3" s="12" t="s">
        <v>49</v>
      </c>
      <c r="I3" s="12" t="s">
        <v>50</v>
      </c>
      <c r="J3" s="12" t="s">
        <v>51</v>
      </c>
      <c r="K3" s="12" t="s">
        <v>52</v>
      </c>
      <c r="L3" s="12" t="s">
        <v>50</v>
      </c>
      <c r="M3" s="12" t="s">
        <v>51</v>
      </c>
      <c r="N3" s="12" t="s">
        <v>52</v>
      </c>
      <c r="O3" s="12" t="s">
        <v>50</v>
      </c>
      <c r="P3" s="12" t="s">
        <v>51</v>
      </c>
      <c r="Q3" s="12" t="s">
        <v>52</v>
      </c>
      <c r="R3" s="12" t="s">
        <v>50</v>
      </c>
      <c r="S3" s="12" t="s">
        <v>51</v>
      </c>
      <c r="T3" s="12" t="s">
        <v>53</v>
      </c>
      <c r="U3" s="12" t="s">
        <v>50</v>
      </c>
      <c r="V3" s="12" t="s">
        <v>51</v>
      </c>
      <c r="W3" s="12" t="s">
        <v>53</v>
      </c>
      <c r="X3" s="12" t="s">
        <v>50</v>
      </c>
      <c r="Y3" s="12" t="s">
        <v>51</v>
      </c>
      <c r="Z3" s="12" t="s">
        <v>53</v>
      </c>
      <c r="AA3" s="12" t="s">
        <v>50</v>
      </c>
      <c r="AB3" s="12" t="s">
        <v>51</v>
      </c>
      <c r="AC3" s="12" t="s">
        <v>53</v>
      </c>
      <c r="AD3" s="12" t="s">
        <v>50</v>
      </c>
      <c r="AE3" s="12" t="s">
        <v>51</v>
      </c>
      <c r="AF3" s="12" t="s">
        <v>53</v>
      </c>
      <c r="AG3" s="12" t="s">
        <v>50</v>
      </c>
      <c r="AH3" s="12" t="s">
        <v>51</v>
      </c>
      <c r="AI3" s="12" t="s">
        <v>53</v>
      </c>
      <c r="AJ3" s="12" t="s">
        <v>50</v>
      </c>
      <c r="AK3" s="12" t="s">
        <v>51</v>
      </c>
    </row>
    <row r="4" spans="1:39" ht="16.5">
      <c r="A4" s="12">
        <v>1</v>
      </c>
      <c r="B4" s="14" t="s">
        <v>35</v>
      </c>
      <c r="C4" s="12" t="s">
        <v>54</v>
      </c>
      <c r="D4" s="15">
        <v>2999.9999999999995</v>
      </c>
      <c r="E4" s="14" t="s">
        <v>35</v>
      </c>
      <c r="F4" s="12" t="s">
        <v>54</v>
      </c>
      <c r="G4" s="15">
        <v>2999.9999999999995</v>
      </c>
      <c r="H4" s="14" t="s">
        <v>35</v>
      </c>
      <c r="I4" s="12" t="s">
        <v>54</v>
      </c>
      <c r="J4" s="15">
        <v>2999.9999999999995</v>
      </c>
      <c r="K4" s="14" t="s">
        <v>55</v>
      </c>
      <c r="L4" s="12" t="s">
        <v>54</v>
      </c>
      <c r="M4" s="15">
        <v>100</v>
      </c>
      <c r="N4" s="14" t="s">
        <v>55</v>
      </c>
      <c r="O4" s="12" t="s">
        <v>54</v>
      </c>
      <c r="P4" s="15">
        <v>100</v>
      </c>
      <c r="Q4" s="14" t="s">
        <v>55</v>
      </c>
      <c r="R4" s="12" t="s">
        <v>54</v>
      </c>
      <c r="S4" s="15">
        <v>100</v>
      </c>
      <c r="T4" s="14" t="s">
        <v>56</v>
      </c>
      <c r="U4" s="12" t="s">
        <v>54</v>
      </c>
      <c r="V4" s="15">
        <v>100</v>
      </c>
      <c r="W4" s="14" t="s">
        <v>56</v>
      </c>
      <c r="X4" s="12" t="s">
        <v>54</v>
      </c>
      <c r="Y4" s="15">
        <v>100</v>
      </c>
      <c r="Z4" s="14" t="s">
        <v>56</v>
      </c>
      <c r="AA4" s="12" t="s">
        <v>54</v>
      </c>
      <c r="AB4" s="15">
        <v>100</v>
      </c>
      <c r="AC4" s="14" t="s">
        <v>56</v>
      </c>
      <c r="AD4" s="12" t="s">
        <v>54</v>
      </c>
      <c r="AE4" s="15">
        <v>100</v>
      </c>
      <c r="AF4" s="14" t="s">
        <v>56</v>
      </c>
      <c r="AG4" s="12" t="s">
        <v>54</v>
      </c>
      <c r="AH4" s="15">
        <v>100</v>
      </c>
      <c r="AI4" s="14" t="s">
        <v>56</v>
      </c>
      <c r="AJ4" s="12" t="s">
        <v>54</v>
      </c>
      <c r="AK4" s="15">
        <v>100</v>
      </c>
    </row>
    <row r="5" spans="1:39" ht="16.5">
      <c r="A5" s="12">
        <v>2</v>
      </c>
      <c r="B5" s="14" t="s">
        <v>57</v>
      </c>
      <c r="C5" s="12" t="s">
        <v>58</v>
      </c>
      <c r="D5" s="15">
        <v>0.1</v>
      </c>
      <c r="E5" s="14" t="s">
        <v>59</v>
      </c>
      <c r="F5" s="12" t="s">
        <v>58</v>
      </c>
      <c r="G5" s="15">
        <v>0.05</v>
      </c>
      <c r="H5" s="14" t="s">
        <v>59</v>
      </c>
      <c r="I5" s="12" t="s">
        <v>58</v>
      </c>
      <c r="J5" s="15">
        <v>0.05</v>
      </c>
      <c r="K5" s="14" t="s">
        <v>60</v>
      </c>
      <c r="L5" s="12" t="s">
        <v>58</v>
      </c>
      <c r="M5" s="15">
        <v>0.1</v>
      </c>
      <c r="N5" s="14" t="s">
        <v>61</v>
      </c>
      <c r="O5" s="12" t="s">
        <v>58</v>
      </c>
      <c r="P5" s="15">
        <v>0.05</v>
      </c>
      <c r="Q5" s="14" t="s">
        <v>61</v>
      </c>
      <c r="R5" s="12" t="s">
        <v>58</v>
      </c>
      <c r="S5" s="15">
        <v>0.05</v>
      </c>
      <c r="T5" s="14" t="s">
        <v>57</v>
      </c>
      <c r="U5" s="12" t="s">
        <v>58</v>
      </c>
      <c r="V5" s="15">
        <v>0.1</v>
      </c>
      <c r="W5" s="14" t="s">
        <v>59</v>
      </c>
      <c r="X5" s="12" t="s">
        <v>58</v>
      </c>
      <c r="Y5" s="15">
        <v>0.05</v>
      </c>
      <c r="Z5" s="14" t="s">
        <v>59</v>
      </c>
      <c r="AA5" s="12" t="s">
        <v>58</v>
      </c>
      <c r="AB5" s="15">
        <v>0.05</v>
      </c>
      <c r="AC5" s="14" t="s">
        <v>60</v>
      </c>
      <c r="AD5" s="12" t="s">
        <v>58</v>
      </c>
      <c r="AE5" s="15">
        <v>0.1</v>
      </c>
      <c r="AF5" s="14" t="s">
        <v>61</v>
      </c>
      <c r="AG5" s="12" t="s">
        <v>58</v>
      </c>
      <c r="AH5" s="15">
        <v>0.05</v>
      </c>
      <c r="AI5" s="14" t="s">
        <v>61</v>
      </c>
      <c r="AJ5" s="12" t="s">
        <v>58</v>
      </c>
      <c r="AK5" s="15">
        <v>0.05</v>
      </c>
    </row>
    <row r="6" spans="1:39" ht="16.5">
      <c r="A6" s="12">
        <v>3</v>
      </c>
      <c r="B6" s="14" t="s">
        <v>56</v>
      </c>
      <c r="C6" s="12" t="s">
        <v>54</v>
      </c>
      <c r="D6" s="15">
        <v>150</v>
      </c>
      <c r="E6" s="14" t="s">
        <v>56</v>
      </c>
      <c r="F6" s="12" t="s">
        <v>54</v>
      </c>
      <c r="G6" s="15">
        <v>150</v>
      </c>
      <c r="H6" s="14" t="s">
        <v>56</v>
      </c>
      <c r="I6" s="12" t="s">
        <v>54</v>
      </c>
      <c r="J6" s="15">
        <v>150</v>
      </c>
      <c r="K6" s="14" t="s">
        <v>55</v>
      </c>
      <c r="L6" s="12" t="s">
        <v>54</v>
      </c>
      <c r="M6" s="15">
        <v>250</v>
      </c>
      <c r="N6" s="14" t="s">
        <v>55</v>
      </c>
      <c r="O6" s="12" t="s">
        <v>54</v>
      </c>
      <c r="P6" s="15">
        <v>250</v>
      </c>
      <c r="Q6" s="14" t="s">
        <v>55</v>
      </c>
      <c r="R6" s="12" t="s">
        <v>54</v>
      </c>
      <c r="S6" s="15">
        <v>250</v>
      </c>
      <c r="T6" s="14" t="s">
        <v>35</v>
      </c>
      <c r="U6" s="12" t="s">
        <v>54</v>
      </c>
      <c r="V6" s="15">
        <v>14999.999999999998</v>
      </c>
      <c r="W6" s="14" t="s">
        <v>35</v>
      </c>
      <c r="X6" s="12" t="s">
        <v>54</v>
      </c>
      <c r="Y6" s="15">
        <v>14999.999999999998</v>
      </c>
      <c r="Z6" s="14" t="s">
        <v>35</v>
      </c>
      <c r="AA6" s="12" t="s">
        <v>54</v>
      </c>
      <c r="AB6" s="15">
        <v>14999.999999999998</v>
      </c>
      <c r="AC6" s="14" t="s">
        <v>35</v>
      </c>
      <c r="AD6" s="12" t="s">
        <v>54</v>
      </c>
      <c r="AE6" s="15">
        <v>14999.999999999998</v>
      </c>
      <c r="AF6" s="14" t="s">
        <v>35</v>
      </c>
      <c r="AG6" s="12" t="s">
        <v>54</v>
      </c>
      <c r="AH6" s="15">
        <v>14999.999999999998</v>
      </c>
      <c r="AI6" s="14" t="s">
        <v>35</v>
      </c>
      <c r="AJ6" s="12" t="s">
        <v>54</v>
      </c>
      <c r="AK6" s="15">
        <v>14999.999999999998</v>
      </c>
    </row>
    <row r="7" spans="1:39" ht="16.5">
      <c r="A7" s="12">
        <v>4</v>
      </c>
      <c r="B7" s="14" t="s">
        <v>62</v>
      </c>
      <c r="C7" s="12" t="s">
        <v>58</v>
      </c>
      <c r="D7" s="15">
        <v>0.1</v>
      </c>
      <c r="E7" s="14" t="s">
        <v>62</v>
      </c>
      <c r="F7" s="12" t="s">
        <v>58</v>
      </c>
      <c r="G7" s="15">
        <v>0.1</v>
      </c>
      <c r="H7" s="14" t="s">
        <v>57</v>
      </c>
      <c r="I7" s="12" t="s">
        <v>58</v>
      </c>
      <c r="J7" s="15">
        <v>0.2</v>
      </c>
      <c r="K7" s="14" t="s">
        <v>63</v>
      </c>
      <c r="L7" s="12" t="s">
        <v>58</v>
      </c>
      <c r="M7" s="15">
        <v>0.1</v>
      </c>
      <c r="N7" s="14" t="s">
        <v>63</v>
      </c>
      <c r="O7" s="12" t="s">
        <v>58</v>
      </c>
      <c r="P7" s="15">
        <v>0.1</v>
      </c>
      <c r="Q7" s="14" t="s">
        <v>60</v>
      </c>
      <c r="R7" s="12" t="s">
        <v>58</v>
      </c>
      <c r="S7" s="15">
        <v>0.2</v>
      </c>
      <c r="T7" s="14" t="s">
        <v>62</v>
      </c>
      <c r="U7" s="12" t="s">
        <v>58</v>
      </c>
      <c r="V7" s="15">
        <v>0.1</v>
      </c>
      <c r="W7" s="14" t="s">
        <v>62</v>
      </c>
      <c r="X7" s="12" t="s">
        <v>58</v>
      </c>
      <c r="Y7" s="15">
        <v>0.1</v>
      </c>
      <c r="Z7" s="14" t="s">
        <v>57</v>
      </c>
      <c r="AA7" s="12" t="s">
        <v>58</v>
      </c>
      <c r="AB7" s="15">
        <v>0.2</v>
      </c>
      <c r="AC7" s="14" t="s">
        <v>63</v>
      </c>
      <c r="AD7" s="12" t="s">
        <v>58</v>
      </c>
      <c r="AE7" s="15">
        <v>0.1</v>
      </c>
      <c r="AF7" s="14" t="s">
        <v>63</v>
      </c>
      <c r="AG7" s="12" t="s">
        <v>58</v>
      </c>
      <c r="AH7" s="15">
        <v>0.1</v>
      </c>
      <c r="AI7" s="14" t="s">
        <v>60</v>
      </c>
      <c r="AJ7" s="12" t="s">
        <v>58</v>
      </c>
      <c r="AK7" s="15">
        <v>0.2</v>
      </c>
    </row>
    <row r="8" spans="1:39" ht="16.5">
      <c r="A8" s="12">
        <v>5</v>
      </c>
      <c r="B8" s="14" t="s">
        <v>55</v>
      </c>
      <c r="C8" s="12" t="s">
        <v>54</v>
      </c>
      <c r="D8" s="15">
        <v>300</v>
      </c>
      <c r="E8" s="14" t="s">
        <v>55</v>
      </c>
      <c r="F8" s="12" t="s">
        <v>54</v>
      </c>
      <c r="G8" s="15">
        <v>300</v>
      </c>
      <c r="H8" s="14" t="s">
        <v>55</v>
      </c>
      <c r="I8" s="12" t="s">
        <v>54</v>
      </c>
      <c r="J8" s="15">
        <v>300</v>
      </c>
      <c r="K8" s="14" t="s">
        <v>55</v>
      </c>
      <c r="L8" s="12" t="s">
        <v>54</v>
      </c>
      <c r="M8" s="15">
        <v>400</v>
      </c>
      <c r="N8" s="14" t="s">
        <v>55</v>
      </c>
      <c r="O8" s="12" t="s">
        <v>54</v>
      </c>
      <c r="P8" s="15">
        <v>400</v>
      </c>
      <c r="Q8" s="14" t="s">
        <v>55</v>
      </c>
      <c r="R8" s="12" t="s">
        <v>54</v>
      </c>
      <c r="S8" s="15">
        <v>400</v>
      </c>
      <c r="T8" s="14" t="s">
        <v>55</v>
      </c>
      <c r="U8" s="12" t="s">
        <v>54</v>
      </c>
      <c r="V8" s="15">
        <v>300</v>
      </c>
      <c r="W8" s="14" t="s">
        <v>55</v>
      </c>
      <c r="X8" s="12" t="s">
        <v>54</v>
      </c>
      <c r="Y8" s="15">
        <v>300</v>
      </c>
      <c r="Z8" s="14" t="s">
        <v>55</v>
      </c>
      <c r="AA8" s="12" t="s">
        <v>54</v>
      </c>
      <c r="AB8" s="15">
        <v>300</v>
      </c>
      <c r="AC8" s="14" t="s">
        <v>55</v>
      </c>
      <c r="AD8" s="12" t="s">
        <v>54</v>
      </c>
      <c r="AE8" s="15">
        <v>300</v>
      </c>
      <c r="AF8" s="14" t="s">
        <v>55</v>
      </c>
      <c r="AG8" s="12" t="s">
        <v>54</v>
      </c>
      <c r="AH8" s="15">
        <v>300</v>
      </c>
      <c r="AI8" s="14" t="s">
        <v>55</v>
      </c>
      <c r="AJ8" s="12" t="s">
        <v>54</v>
      </c>
      <c r="AK8" s="15">
        <v>300</v>
      </c>
    </row>
    <row r="9" spans="1:39" ht="16.5">
      <c r="A9" s="12">
        <v>6</v>
      </c>
      <c r="B9" s="14" t="s">
        <v>59</v>
      </c>
      <c r="C9" s="12" t="s">
        <v>58</v>
      </c>
      <c r="D9" s="15">
        <v>0.15</v>
      </c>
      <c r="E9" s="14" t="s">
        <v>57</v>
      </c>
      <c r="F9" s="12" t="s">
        <v>58</v>
      </c>
      <c r="G9" s="15">
        <v>0.3</v>
      </c>
      <c r="H9" s="14" t="s">
        <v>62</v>
      </c>
      <c r="I9" s="12" t="s">
        <v>58</v>
      </c>
      <c r="J9" s="15">
        <v>0.15</v>
      </c>
      <c r="K9" s="14" t="s">
        <v>61</v>
      </c>
      <c r="L9" s="12" t="s">
        <v>58</v>
      </c>
      <c r="M9" s="15">
        <v>0.15</v>
      </c>
      <c r="N9" s="14" t="s">
        <v>60</v>
      </c>
      <c r="O9" s="12" t="s">
        <v>58</v>
      </c>
      <c r="P9" s="15">
        <v>0.3</v>
      </c>
      <c r="Q9" s="14" t="s">
        <v>63</v>
      </c>
      <c r="R9" s="12" t="s">
        <v>58</v>
      </c>
      <c r="S9" s="15">
        <v>0.15</v>
      </c>
      <c r="T9" s="14" t="s">
        <v>59</v>
      </c>
      <c r="U9" s="12" t="s">
        <v>64</v>
      </c>
      <c r="V9" s="15">
        <v>0.08</v>
      </c>
      <c r="W9" s="14" t="s">
        <v>57</v>
      </c>
      <c r="X9" s="12" t="s">
        <v>64</v>
      </c>
      <c r="Y9" s="15">
        <v>0.16</v>
      </c>
      <c r="Z9" s="14" t="s">
        <v>62</v>
      </c>
      <c r="AA9" s="12" t="s">
        <v>64</v>
      </c>
      <c r="AB9" s="15">
        <v>0.08</v>
      </c>
      <c r="AC9" s="14" t="s">
        <v>61</v>
      </c>
      <c r="AD9" s="12" t="s">
        <v>64</v>
      </c>
      <c r="AE9" s="15">
        <v>0.08</v>
      </c>
      <c r="AF9" s="14" t="s">
        <v>60</v>
      </c>
      <c r="AG9" s="12" t="s">
        <v>64</v>
      </c>
      <c r="AH9" s="15">
        <v>0.16</v>
      </c>
      <c r="AI9" s="14" t="s">
        <v>63</v>
      </c>
      <c r="AJ9" s="12" t="s">
        <v>64</v>
      </c>
      <c r="AK9" s="15">
        <v>0.08</v>
      </c>
    </row>
    <row r="10" spans="1:39" ht="16.5">
      <c r="A10" s="12">
        <v>7</v>
      </c>
      <c r="B10" s="16" t="s">
        <v>56</v>
      </c>
      <c r="C10" s="12" t="s">
        <v>54</v>
      </c>
      <c r="D10" s="15">
        <v>850</v>
      </c>
      <c r="E10" s="16" t="s">
        <v>56</v>
      </c>
      <c r="F10" s="12" t="s">
        <v>54</v>
      </c>
      <c r="G10" s="15">
        <v>850</v>
      </c>
      <c r="H10" s="16" t="s">
        <v>56</v>
      </c>
      <c r="I10" s="12" t="s">
        <v>54</v>
      </c>
      <c r="J10" s="15">
        <v>850</v>
      </c>
      <c r="K10" s="16" t="s">
        <v>56</v>
      </c>
      <c r="L10" s="12" t="s">
        <v>54</v>
      </c>
      <c r="M10" s="15">
        <v>500</v>
      </c>
      <c r="N10" s="16" t="s">
        <v>56</v>
      </c>
      <c r="O10" s="12" t="s">
        <v>54</v>
      </c>
      <c r="P10" s="15">
        <v>500</v>
      </c>
      <c r="Q10" s="16" t="s">
        <v>56</v>
      </c>
      <c r="R10" s="12" t="s">
        <v>54</v>
      </c>
      <c r="S10" s="15">
        <v>500</v>
      </c>
      <c r="T10" s="16" t="s">
        <v>56</v>
      </c>
      <c r="U10" s="12" t="s">
        <v>65</v>
      </c>
      <c r="V10" s="15">
        <v>400</v>
      </c>
      <c r="W10" s="16" t="s">
        <v>56</v>
      </c>
      <c r="X10" s="12" t="s">
        <v>65</v>
      </c>
      <c r="Y10" s="15">
        <v>400</v>
      </c>
      <c r="Z10" s="16" t="s">
        <v>56</v>
      </c>
      <c r="AA10" s="12" t="s">
        <v>65</v>
      </c>
      <c r="AB10" s="15">
        <v>400</v>
      </c>
      <c r="AC10" s="16" t="s">
        <v>56</v>
      </c>
      <c r="AD10" s="12" t="s">
        <v>65</v>
      </c>
      <c r="AE10" s="15">
        <v>400</v>
      </c>
      <c r="AF10" s="16" t="s">
        <v>56</v>
      </c>
      <c r="AG10" s="12" t="s">
        <v>65</v>
      </c>
      <c r="AH10" s="15">
        <v>400</v>
      </c>
      <c r="AI10" s="16" t="s">
        <v>56</v>
      </c>
      <c r="AJ10" s="12" t="s">
        <v>65</v>
      </c>
      <c r="AK10" s="15">
        <v>400</v>
      </c>
    </row>
    <row r="11" spans="1:39" ht="16.5">
      <c r="A11" s="12">
        <v>8</v>
      </c>
      <c r="B11" s="17" t="s">
        <v>56</v>
      </c>
      <c r="C11" s="12" t="s">
        <v>58</v>
      </c>
      <c r="D11" s="15">
        <v>0.15</v>
      </c>
      <c r="E11" s="17" t="s">
        <v>56</v>
      </c>
      <c r="F11" s="12" t="s">
        <v>58</v>
      </c>
      <c r="G11" s="15">
        <v>0.15</v>
      </c>
      <c r="H11" s="17" t="s">
        <v>56</v>
      </c>
      <c r="I11" s="12" t="s">
        <v>58</v>
      </c>
      <c r="J11" s="15">
        <v>0.15</v>
      </c>
      <c r="K11" s="17" t="s">
        <v>55</v>
      </c>
      <c r="L11" s="12" t="s">
        <v>58</v>
      </c>
      <c r="M11" s="15">
        <v>0.1</v>
      </c>
      <c r="N11" s="17" t="s">
        <v>55</v>
      </c>
      <c r="O11" s="12" t="s">
        <v>58</v>
      </c>
      <c r="P11" s="15">
        <v>0.1</v>
      </c>
      <c r="Q11" s="17" t="s">
        <v>55</v>
      </c>
      <c r="R11" s="12" t="s">
        <v>58</v>
      </c>
      <c r="S11" s="15">
        <v>0.1</v>
      </c>
      <c r="T11" s="17" t="s">
        <v>56</v>
      </c>
      <c r="U11" s="12" t="s">
        <v>58</v>
      </c>
      <c r="V11" s="15">
        <v>0.1</v>
      </c>
      <c r="W11" s="17" t="s">
        <v>56</v>
      </c>
      <c r="X11" s="12" t="s">
        <v>58</v>
      </c>
      <c r="Y11" s="15">
        <v>0.1</v>
      </c>
      <c r="Z11" s="17" t="s">
        <v>56</v>
      </c>
      <c r="AA11" s="12" t="s">
        <v>58</v>
      </c>
      <c r="AB11" s="15">
        <v>0.1</v>
      </c>
      <c r="AC11" s="17" t="s">
        <v>56</v>
      </c>
      <c r="AD11" s="12" t="s">
        <v>58</v>
      </c>
      <c r="AE11" s="15">
        <v>0.1</v>
      </c>
      <c r="AF11" s="17" t="s">
        <v>56</v>
      </c>
      <c r="AG11" s="12" t="s">
        <v>58</v>
      </c>
      <c r="AH11" s="15">
        <v>0.1</v>
      </c>
      <c r="AI11" s="17" t="s">
        <v>56</v>
      </c>
      <c r="AJ11" s="12" t="s">
        <v>58</v>
      </c>
      <c r="AK11" s="15">
        <v>0.1</v>
      </c>
      <c r="AM11"/>
    </row>
    <row r="12" spans="1:39" ht="16.5">
      <c r="A12" s="12">
        <v>9</v>
      </c>
      <c r="B12" s="16" t="s">
        <v>35</v>
      </c>
      <c r="C12" s="12" t="s">
        <v>54</v>
      </c>
      <c r="D12" s="15">
        <v>71999.999999999985</v>
      </c>
      <c r="E12" s="16" t="s">
        <v>35</v>
      </c>
      <c r="F12" s="12" t="s">
        <v>54</v>
      </c>
      <c r="G12" s="15">
        <v>71999.999999999985</v>
      </c>
      <c r="H12" s="16" t="s">
        <v>35</v>
      </c>
      <c r="I12" s="12" t="s">
        <v>54</v>
      </c>
      <c r="J12" s="15">
        <v>71999.999999999985</v>
      </c>
      <c r="K12" s="16" t="s">
        <v>35</v>
      </c>
      <c r="L12" s="12" t="s">
        <v>54</v>
      </c>
      <c r="M12" s="15">
        <v>44999.999999999993</v>
      </c>
      <c r="N12" s="16" t="s">
        <v>35</v>
      </c>
      <c r="O12" s="12" t="s">
        <v>54</v>
      </c>
      <c r="P12" s="15">
        <v>44999.999999999993</v>
      </c>
      <c r="Q12" s="16" t="s">
        <v>35</v>
      </c>
      <c r="R12" s="12" t="s">
        <v>54</v>
      </c>
      <c r="S12" s="15">
        <v>44999.999999999993</v>
      </c>
      <c r="T12" s="16" t="s">
        <v>35</v>
      </c>
      <c r="U12" s="12" t="s">
        <v>65</v>
      </c>
      <c r="V12" s="15">
        <v>29999.999999999996</v>
      </c>
      <c r="W12" s="16" t="s">
        <v>35</v>
      </c>
      <c r="X12" s="12" t="s">
        <v>65</v>
      </c>
      <c r="Y12" s="15">
        <v>29999.999999999996</v>
      </c>
      <c r="Z12" s="16" t="s">
        <v>35</v>
      </c>
      <c r="AA12" s="12" t="s">
        <v>65</v>
      </c>
      <c r="AB12" s="15">
        <v>29999.999999999996</v>
      </c>
      <c r="AC12" s="16" t="s">
        <v>35</v>
      </c>
      <c r="AD12" s="12" t="s">
        <v>65</v>
      </c>
      <c r="AE12" s="15">
        <v>29999.999999999996</v>
      </c>
      <c r="AF12" s="16" t="s">
        <v>35</v>
      </c>
      <c r="AG12" s="12" t="s">
        <v>65</v>
      </c>
      <c r="AH12" s="15">
        <v>29999.999999999996</v>
      </c>
      <c r="AI12" s="16" t="s">
        <v>35</v>
      </c>
      <c r="AJ12" s="12" t="s">
        <v>65</v>
      </c>
      <c r="AK12" s="15">
        <v>29999.999999999996</v>
      </c>
      <c r="AM12"/>
    </row>
    <row r="13" spans="1:39" ht="16.5">
      <c r="A13" s="12">
        <v>10</v>
      </c>
      <c r="B13" s="17" t="s">
        <v>35</v>
      </c>
      <c r="C13" s="12" t="s">
        <v>58</v>
      </c>
      <c r="D13" s="15">
        <v>0.2</v>
      </c>
      <c r="E13" s="17" t="s">
        <v>35</v>
      </c>
      <c r="F13" s="12" t="s">
        <v>58</v>
      </c>
      <c r="G13" s="15">
        <v>0.2</v>
      </c>
      <c r="H13" s="17" t="s">
        <v>35</v>
      </c>
      <c r="I13" s="12" t="s">
        <v>58</v>
      </c>
      <c r="J13" s="15">
        <v>0.2</v>
      </c>
      <c r="K13" s="17" t="s">
        <v>35</v>
      </c>
      <c r="L13" s="12" t="s">
        <v>58</v>
      </c>
      <c r="M13" s="15">
        <v>0.1</v>
      </c>
      <c r="N13" s="17" t="s">
        <v>35</v>
      </c>
      <c r="O13" s="12" t="s">
        <v>58</v>
      </c>
      <c r="P13" s="15">
        <v>0.1</v>
      </c>
      <c r="Q13" s="17" t="s">
        <v>35</v>
      </c>
      <c r="R13" s="12" t="s">
        <v>58</v>
      </c>
      <c r="S13" s="15">
        <v>0.1</v>
      </c>
      <c r="T13" s="17" t="s">
        <v>35</v>
      </c>
      <c r="U13" s="12" t="s">
        <v>58</v>
      </c>
      <c r="V13" s="15">
        <v>0.15</v>
      </c>
      <c r="W13" s="17" t="s">
        <v>35</v>
      </c>
      <c r="X13" s="12" t="s">
        <v>58</v>
      </c>
      <c r="Y13" s="15">
        <v>0.15</v>
      </c>
      <c r="Z13" s="17" t="s">
        <v>35</v>
      </c>
      <c r="AA13" s="12" t="s">
        <v>58</v>
      </c>
      <c r="AB13" s="15">
        <v>0.15</v>
      </c>
      <c r="AC13" s="17" t="s">
        <v>35</v>
      </c>
      <c r="AD13" s="12" t="s">
        <v>58</v>
      </c>
      <c r="AE13" s="15">
        <v>0.15</v>
      </c>
      <c r="AF13" s="17" t="s">
        <v>35</v>
      </c>
      <c r="AG13" s="12" t="s">
        <v>58</v>
      </c>
      <c r="AH13" s="15">
        <v>0.15</v>
      </c>
      <c r="AI13" s="17" t="s">
        <v>35</v>
      </c>
      <c r="AJ13" s="12" t="s">
        <v>58</v>
      </c>
      <c r="AK13" s="15">
        <v>0.15</v>
      </c>
      <c r="AM13"/>
    </row>
    <row r="14" spans="1:39" ht="16.5">
      <c r="A14" s="12">
        <v>11</v>
      </c>
      <c r="B14" s="16" t="s">
        <v>55</v>
      </c>
      <c r="C14" s="12" t="s">
        <v>54</v>
      </c>
      <c r="D14" s="15">
        <v>1200</v>
      </c>
      <c r="E14" s="16" t="s">
        <v>55</v>
      </c>
      <c r="F14" s="12" t="s">
        <v>54</v>
      </c>
      <c r="G14" s="15">
        <v>1200</v>
      </c>
      <c r="H14" s="16" t="s">
        <v>55</v>
      </c>
      <c r="I14" s="12" t="s">
        <v>54</v>
      </c>
      <c r="J14" s="15">
        <v>1200</v>
      </c>
      <c r="K14" s="16" t="s">
        <v>55</v>
      </c>
      <c r="L14" s="12" t="s">
        <v>54</v>
      </c>
      <c r="M14" s="15">
        <v>1750</v>
      </c>
      <c r="N14" s="16" t="s">
        <v>55</v>
      </c>
      <c r="O14" s="12" t="s">
        <v>54</v>
      </c>
      <c r="P14" s="15">
        <v>1750</v>
      </c>
      <c r="Q14" s="16" t="s">
        <v>55</v>
      </c>
      <c r="R14" s="12" t="s">
        <v>54</v>
      </c>
      <c r="S14" s="15">
        <v>1750</v>
      </c>
      <c r="T14" s="16" t="s">
        <v>55</v>
      </c>
      <c r="U14" s="12" t="s">
        <v>65</v>
      </c>
      <c r="V14" s="15">
        <v>600</v>
      </c>
      <c r="W14" s="16" t="s">
        <v>55</v>
      </c>
      <c r="X14" s="12" t="s">
        <v>65</v>
      </c>
      <c r="Y14" s="15">
        <v>600</v>
      </c>
      <c r="Z14" s="16" t="s">
        <v>55</v>
      </c>
      <c r="AA14" s="12" t="s">
        <v>65</v>
      </c>
      <c r="AB14" s="15">
        <v>600</v>
      </c>
      <c r="AC14" s="16" t="s">
        <v>55</v>
      </c>
      <c r="AD14" s="12" t="s">
        <v>65</v>
      </c>
      <c r="AE14" s="15">
        <v>600</v>
      </c>
      <c r="AF14" s="16" t="s">
        <v>55</v>
      </c>
      <c r="AG14" s="12" t="s">
        <v>65</v>
      </c>
      <c r="AH14" s="15">
        <v>600</v>
      </c>
      <c r="AI14" s="16" t="s">
        <v>55</v>
      </c>
      <c r="AJ14" s="12" t="s">
        <v>65</v>
      </c>
      <c r="AK14" s="15">
        <v>600</v>
      </c>
      <c r="AM14"/>
    </row>
    <row r="15" spans="1:39" ht="16.5">
      <c r="A15" s="12">
        <v>12</v>
      </c>
      <c r="B15" s="17" t="s">
        <v>55</v>
      </c>
      <c r="C15" s="12" t="s">
        <v>58</v>
      </c>
      <c r="D15" s="15">
        <v>0.1</v>
      </c>
      <c r="E15" s="17" t="s">
        <v>55</v>
      </c>
      <c r="F15" s="12" t="s">
        <v>58</v>
      </c>
      <c r="G15" s="15">
        <v>0.1</v>
      </c>
      <c r="H15" s="17" t="s">
        <v>55</v>
      </c>
      <c r="I15" s="12" t="s">
        <v>58</v>
      </c>
      <c r="J15" s="15">
        <v>0.1</v>
      </c>
      <c r="K15" s="17" t="s">
        <v>55</v>
      </c>
      <c r="L15" s="12" t="s">
        <v>58</v>
      </c>
      <c r="M15" s="15">
        <v>0.15</v>
      </c>
      <c r="N15" s="17" t="s">
        <v>55</v>
      </c>
      <c r="O15" s="12" t="s">
        <v>58</v>
      </c>
      <c r="P15" s="15">
        <v>0.15</v>
      </c>
      <c r="Q15" s="17" t="s">
        <v>55</v>
      </c>
      <c r="R15" s="12" t="s">
        <v>58</v>
      </c>
      <c r="S15" s="15">
        <v>0.15</v>
      </c>
      <c r="T15" s="17" t="s">
        <v>55</v>
      </c>
      <c r="U15" s="12" t="s">
        <v>58</v>
      </c>
      <c r="V15" s="15">
        <v>0.15</v>
      </c>
      <c r="W15" s="17" t="s">
        <v>55</v>
      </c>
      <c r="X15" s="12" t="s">
        <v>58</v>
      </c>
      <c r="Y15" s="15">
        <v>0.15</v>
      </c>
      <c r="Z15" s="17" t="s">
        <v>55</v>
      </c>
      <c r="AA15" s="12" t="s">
        <v>58</v>
      </c>
      <c r="AB15" s="15">
        <v>0.15</v>
      </c>
      <c r="AC15" s="17" t="s">
        <v>55</v>
      </c>
      <c r="AD15" s="12" t="s">
        <v>58</v>
      </c>
      <c r="AE15" s="15">
        <v>0.15</v>
      </c>
      <c r="AF15" s="17" t="s">
        <v>55</v>
      </c>
      <c r="AG15" s="12" t="s">
        <v>58</v>
      </c>
      <c r="AH15" s="15">
        <v>0.15</v>
      </c>
      <c r="AI15" s="17" t="s">
        <v>55</v>
      </c>
      <c r="AJ15" s="12" t="s">
        <v>58</v>
      </c>
      <c r="AK15" s="15">
        <v>0.15</v>
      </c>
      <c r="AM15"/>
    </row>
    <row r="16" spans="1:39" ht="16.5">
      <c r="A16" s="12">
        <v>13</v>
      </c>
      <c r="B16" s="18" t="s">
        <v>56</v>
      </c>
      <c r="C16" s="12" t="s">
        <v>58</v>
      </c>
      <c r="D16" s="15">
        <v>0.25</v>
      </c>
      <c r="E16" s="18" t="s">
        <v>56</v>
      </c>
      <c r="F16" s="12" t="s">
        <v>58</v>
      </c>
      <c r="G16" s="15">
        <v>0.25</v>
      </c>
      <c r="H16" s="18" t="s">
        <v>56</v>
      </c>
      <c r="I16" s="12" t="s">
        <v>58</v>
      </c>
      <c r="J16" s="15">
        <v>0.25</v>
      </c>
      <c r="K16" s="18" t="s">
        <v>56</v>
      </c>
      <c r="L16" s="12" t="s">
        <v>58</v>
      </c>
      <c r="M16" s="15">
        <v>0.2</v>
      </c>
      <c r="N16" s="18" t="s">
        <v>56</v>
      </c>
      <c r="O16" s="12" t="s">
        <v>58</v>
      </c>
      <c r="P16" s="15">
        <v>0.2</v>
      </c>
      <c r="Q16" s="18" t="s">
        <v>56</v>
      </c>
      <c r="R16" s="12" t="s">
        <v>58</v>
      </c>
      <c r="S16" s="15">
        <v>0.2</v>
      </c>
      <c r="T16" s="18" t="s">
        <v>56</v>
      </c>
      <c r="U16" s="12" t="s">
        <v>58</v>
      </c>
      <c r="V16" s="15">
        <v>0.2</v>
      </c>
      <c r="W16" s="18" t="s">
        <v>56</v>
      </c>
      <c r="X16" s="12" t="s">
        <v>58</v>
      </c>
      <c r="Y16" s="15">
        <v>0.2</v>
      </c>
      <c r="Z16" s="18" t="s">
        <v>56</v>
      </c>
      <c r="AA16" s="12" t="s">
        <v>58</v>
      </c>
      <c r="AB16" s="15">
        <v>0.2</v>
      </c>
      <c r="AC16" s="18" t="s">
        <v>56</v>
      </c>
      <c r="AD16" s="12" t="s">
        <v>58</v>
      </c>
      <c r="AE16" s="15">
        <v>0.2</v>
      </c>
      <c r="AF16" s="18" t="s">
        <v>56</v>
      </c>
      <c r="AG16" s="12" t="s">
        <v>58</v>
      </c>
      <c r="AH16" s="15">
        <v>0.2</v>
      </c>
      <c r="AI16" s="18" t="s">
        <v>56</v>
      </c>
      <c r="AJ16" s="12" t="s">
        <v>58</v>
      </c>
      <c r="AK16" s="15">
        <v>0.2</v>
      </c>
      <c r="AM16"/>
    </row>
    <row r="17" spans="1:39" ht="16.5">
      <c r="A17" s="12">
        <v>14</v>
      </c>
      <c r="B17" s="18" t="s">
        <v>55</v>
      </c>
      <c r="C17" s="12" t="s">
        <v>58</v>
      </c>
      <c r="D17" s="15">
        <v>0.2</v>
      </c>
      <c r="E17" s="18" t="s">
        <v>55</v>
      </c>
      <c r="F17" s="12" t="s">
        <v>58</v>
      </c>
      <c r="G17" s="15">
        <v>0.2</v>
      </c>
      <c r="H17" s="18" t="s">
        <v>55</v>
      </c>
      <c r="I17" s="12" t="s">
        <v>58</v>
      </c>
      <c r="J17" s="15">
        <v>0.2</v>
      </c>
      <c r="K17" s="18" t="s">
        <v>35</v>
      </c>
      <c r="L17" s="12" t="s">
        <v>58</v>
      </c>
      <c r="M17" s="15">
        <v>0.2</v>
      </c>
      <c r="N17" s="18" t="s">
        <v>35</v>
      </c>
      <c r="O17" s="12" t="s">
        <v>58</v>
      </c>
      <c r="P17" s="15">
        <v>0.2</v>
      </c>
      <c r="Q17" s="18" t="s">
        <v>35</v>
      </c>
      <c r="R17" s="12" t="s">
        <v>58</v>
      </c>
      <c r="S17" s="15">
        <v>0.2</v>
      </c>
      <c r="T17" s="18" t="s">
        <v>35</v>
      </c>
      <c r="U17" s="12" t="s">
        <v>58</v>
      </c>
      <c r="V17" s="15">
        <v>0.25</v>
      </c>
      <c r="W17" s="18" t="s">
        <v>35</v>
      </c>
      <c r="X17" s="12" t="s">
        <v>58</v>
      </c>
      <c r="Y17" s="15">
        <v>0.25</v>
      </c>
      <c r="Z17" s="18" t="s">
        <v>35</v>
      </c>
      <c r="AA17" s="12" t="s">
        <v>58</v>
      </c>
      <c r="AB17" s="15">
        <v>0.25</v>
      </c>
      <c r="AC17" s="18" t="s">
        <v>35</v>
      </c>
      <c r="AD17" s="12" t="s">
        <v>58</v>
      </c>
      <c r="AE17" s="15">
        <v>0.25</v>
      </c>
      <c r="AF17" s="18" t="s">
        <v>35</v>
      </c>
      <c r="AG17" s="12" t="s">
        <v>58</v>
      </c>
      <c r="AH17" s="15">
        <v>0.25</v>
      </c>
      <c r="AI17" s="18" t="s">
        <v>35</v>
      </c>
      <c r="AJ17" s="12" t="s">
        <v>58</v>
      </c>
      <c r="AK17" s="15">
        <v>0.25</v>
      </c>
      <c r="AM17"/>
    </row>
    <row r="18" spans="1:39" ht="16.5">
      <c r="A18" s="12">
        <v>15</v>
      </c>
      <c r="B18" s="18" t="s">
        <v>35</v>
      </c>
      <c r="C18" s="12" t="s">
        <v>58</v>
      </c>
      <c r="D18" s="15">
        <v>0.3</v>
      </c>
      <c r="E18" s="18" t="s">
        <v>35</v>
      </c>
      <c r="F18" s="12" t="s">
        <v>58</v>
      </c>
      <c r="G18" s="15">
        <v>0.3</v>
      </c>
      <c r="H18" s="18" t="s">
        <v>35</v>
      </c>
      <c r="I18" s="12" t="s">
        <v>58</v>
      </c>
      <c r="J18" s="15">
        <v>0.3</v>
      </c>
      <c r="K18" s="18" t="s">
        <v>55</v>
      </c>
      <c r="L18" s="12" t="s">
        <v>58</v>
      </c>
      <c r="M18" s="15">
        <v>0.25</v>
      </c>
      <c r="N18" s="18" t="s">
        <v>55</v>
      </c>
      <c r="O18" s="12" t="s">
        <v>58</v>
      </c>
      <c r="P18" s="15">
        <v>0.25</v>
      </c>
      <c r="Q18" s="18" t="s">
        <v>55</v>
      </c>
      <c r="R18" s="12" t="s">
        <v>58</v>
      </c>
      <c r="S18" s="15">
        <v>0.25</v>
      </c>
      <c r="T18" s="18" t="s">
        <v>55</v>
      </c>
      <c r="U18" s="12" t="s">
        <v>58</v>
      </c>
      <c r="V18" s="15">
        <v>0.25</v>
      </c>
      <c r="W18" s="18" t="s">
        <v>55</v>
      </c>
      <c r="X18" s="12" t="s">
        <v>58</v>
      </c>
      <c r="Y18" s="15">
        <v>0.25</v>
      </c>
      <c r="Z18" s="18" t="s">
        <v>55</v>
      </c>
      <c r="AA18" s="12" t="s">
        <v>58</v>
      </c>
      <c r="AB18" s="15">
        <v>0.25</v>
      </c>
      <c r="AC18" s="18" t="s">
        <v>55</v>
      </c>
      <c r="AD18" s="12" t="s">
        <v>58</v>
      </c>
      <c r="AE18" s="15">
        <v>0.25</v>
      </c>
      <c r="AF18" s="18" t="s">
        <v>55</v>
      </c>
      <c r="AG18" s="12" t="s">
        <v>58</v>
      </c>
      <c r="AH18" s="15">
        <v>0.25</v>
      </c>
      <c r="AI18" s="18" t="s">
        <v>55</v>
      </c>
      <c r="AJ18" s="12" t="s">
        <v>58</v>
      </c>
      <c r="AK18" s="15">
        <v>0.25</v>
      </c>
      <c r="AM18"/>
    </row>
    <row r="19" spans="1:39">
      <c r="AM19"/>
    </row>
    <row r="20" spans="1:39">
      <c r="AM20"/>
    </row>
    <row r="21" spans="1:39">
      <c r="AM21"/>
    </row>
    <row r="22" spans="1:39">
      <c r="A22" s="13" t="s">
        <v>66</v>
      </c>
      <c r="B22" s="13">
        <v>1</v>
      </c>
      <c r="C22" s="13">
        <v>2</v>
      </c>
      <c r="D22" s="13">
        <v>3</v>
      </c>
      <c r="E22" s="13">
        <v>4</v>
      </c>
      <c r="F22" s="13">
        <v>5</v>
      </c>
      <c r="G22" s="13">
        <v>6</v>
      </c>
      <c r="H22" s="13">
        <v>7</v>
      </c>
      <c r="I22" s="13">
        <v>8</v>
      </c>
      <c r="J22" s="13">
        <v>9</v>
      </c>
      <c r="K22" s="13">
        <v>10</v>
      </c>
      <c r="L22" s="13">
        <v>11</v>
      </c>
      <c r="M22" s="13">
        <v>12</v>
      </c>
      <c r="N22" s="13">
        <v>13</v>
      </c>
      <c r="O22" s="13">
        <v>14</v>
      </c>
      <c r="P22" s="13">
        <v>15</v>
      </c>
      <c r="AM22"/>
    </row>
    <row r="23" spans="1:39">
      <c r="A23" s="13">
        <v>1</v>
      </c>
      <c r="B23" s="13">
        <f>VLOOKUP(B$22,$A$4:$AK$18,$A23*3+1,FALSE)</f>
        <v>2999.9999999999995</v>
      </c>
      <c r="C23" s="13">
        <f t="shared" ref="C23:M34" si="0">VLOOKUP(C$22,$A$4:$AK$18,$A23*3+1,FALSE)</f>
        <v>0.1</v>
      </c>
      <c r="D23" s="13">
        <f t="shared" si="0"/>
        <v>150</v>
      </c>
      <c r="E23" s="13">
        <f t="shared" si="0"/>
        <v>0.1</v>
      </c>
      <c r="F23" s="13">
        <f t="shared" si="0"/>
        <v>300</v>
      </c>
      <c r="G23" s="13">
        <f t="shared" si="0"/>
        <v>0.15</v>
      </c>
      <c r="H23" s="13">
        <f t="shared" si="0"/>
        <v>850</v>
      </c>
      <c r="I23" s="13">
        <f t="shared" si="0"/>
        <v>0.15</v>
      </c>
      <c r="J23" s="13">
        <f t="shared" si="0"/>
        <v>71999.999999999985</v>
      </c>
      <c r="K23" s="13">
        <f t="shared" si="0"/>
        <v>0.2</v>
      </c>
      <c r="L23" s="13">
        <f t="shared" si="0"/>
        <v>1200</v>
      </c>
      <c r="M23" s="13">
        <f>VLOOKUP(M$22,$A$4:$AK$18,$A23*3+1,FALSE)</f>
        <v>0.1</v>
      </c>
      <c r="N23" s="13">
        <f t="shared" ref="N23:P34" si="1">VLOOKUP(N$22,$A$4:$AK$18,$A23*3+1,FALSE)</f>
        <v>0.25</v>
      </c>
      <c r="O23" s="13">
        <f t="shared" si="1"/>
        <v>0.2</v>
      </c>
      <c r="P23" s="13">
        <f t="shared" si="1"/>
        <v>0.3</v>
      </c>
      <c r="AM23"/>
    </row>
    <row r="24" spans="1:39">
      <c r="A24" s="13">
        <v>2</v>
      </c>
      <c r="B24" s="13">
        <f t="shared" ref="B24:B34" si="2">VLOOKUP(B$22,$A$4:$AK$18,$A24*3+1,FALSE)</f>
        <v>2999.9999999999995</v>
      </c>
      <c r="C24" s="13">
        <f t="shared" si="0"/>
        <v>0.05</v>
      </c>
      <c r="D24" s="13">
        <f t="shared" si="0"/>
        <v>150</v>
      </c>
      <c r="E24" s="13">
        <f t="shared" si="0"/>
        <v>0.1</v>
      </c>
      <c r="F24" s="13">
        <f t="shared" si="0"/>
        <v>300</v>
      </c>
      <c r="G24" s="13">
        <f t="shared" si="0"/>
        <v>0.3</v>
      </c>
      <c r="H24" s="13">
        <f t="shared" si="0"/>
        <v>850</v>
      </c>
      <c r="I24" s="13">
        <f t="shared" si="0"/>
        <v>0.15</v>
      </c>
      <c r="J24" s="13">
        <f t="shared" si="0"/>
        <v>71999.999999999985</v>
      </c>
      <c r="K24" s="13">
        <f t="shared" si="0"/>
        <v>0.2</v>
      </c>
      <c r="L24" s="13">
        <f t="shared" si="0"/>
        <v>1200</v>
      </c>
      <c r="M24" s="13">
        <f t="shared" si="0"/>
        <v>0.1</v>
      </c>
      <c r="N24" s="13">
        <f t="shared" si="1"/>
        <v>0.25</v>
      </c>
      <c r="O24" s="13">
        <f t="shared" si="1"/>
        <v>0.2</v>
      </c>
      <c r="P24" s="13">
        <f t="shared" si="1"/>
        <v>0.3</v>
      </c>
      <c r="AM24"/>
    </row>
    <row r="25" spans="1:39">
      <c r="A25" s="13">
        <v>3</v>
      </c>
      <c r="B25" s="13">
        <f t="shared" si="2"/>
        <v>2999.9999999999995</v>
      </c>
      <c r="C25" s="13">
        <f t="shared" si="0"/>
        <v>0.05</v>
      </c>
      <c r="D25" s="13">
        <f t="shared" si="0"/>
        <v>150</v>
      </c>
      <c r="E25" s="13">
        <f t="shared" si="0"/>
        <v>0.2</v>
      </c>
      <c r="F25" s="13">
        <f t="shared" si="0"/>
        <v>300</v>
      </c>
      <c r="G25" s="13">
        <f t="shared" si="0"/>
        <v>0.15</v>
      </c>
      <c r="H25" s="13">
        <f t="shared" si="0"/>
        <v>850</v>
      </c>
      <c r="I25" s="13">
        <f t="shared" si="0"/>
        <v>0.15</v>
      </c>
      <c r="J25" s="13">
        <f t="shared" si="0"/>
        <v>71999.999999999985</v>
      </c>
      <c r="K25" s="13">
        <f t="shared" si="0"/>
        <v>0.2</v>
      </c>
      <c r="L25" s="13">
        <f t="shared" si="0"/>
        <v>1200</v>
      </c>
      <c r="M25" s="13">
        <f t="shared" si="0"/>
        <v>0.1</v>
      </c>
      <c r="N25" s="13">
        <f t="shared" si="1"/>
        <v>0.25</v>
      </c>
      <c r="O25" s="13">
        <f t="shared" si="1"/>
        <v>0.2</v>
      </c>
      <c r="P25" s="13">
        <f t="shared" si="1"/>
        <v>0.3</v>
      </c>
      <c r="AM25"/>
    </row>
    <row r="26" spans="1:39">
      <c r="A26" s="13">
        <v>4</v>
      </c>
      <c r="B26" s="13">
        <f t="shared" si="2"/>
        <v>100</v>
      </c>
      <c r="C26" s="13">
        <f t="shared" si="0"/>
        <v>0.1</v>
      </c>
      <c r="D26" s="13">
        <f t="shared" si="0"/>
        <v>250</v>
      </c>
      <c r="E26" s="13">
        <f t="shared" si="0"/>
        <v>0.1</v>
      </c>
      <c r="F26" s="13">
        <f t="shared" si="0"/>
        <v>400</v>
      </c>
      <c r="G26" s="13">
        <f t="shared" si="0"/>
        <v>0.15</v>
      </c>
      <c r="H26" s="13">
        <f t="shared" si="0"/>
        <v>500</v>
      </c>
      <c r="I26" s="13">
        <f t="shared" si="0"/>
        <v>0.1</v>
      </c>
      <c r="J26" s="13">
        <f t="shared" si="0"/>
        <v>44999.999999999993</v>
      </c>
      <c r="K26" s="13">
        <f t="shared" si="0"/>
        <v>0.1</v>
      </c>
      <c r="L26" s="13">
        <f t="shared" si="0"/>
        <v>1750</v>
      </c>
      <c r="M26" s="13">
        <f t="shared" si="0"/>
        <v>0.15</v>
      </c>
      <c r="N26" s="13">
        <f t="shared" si="1"/>
        <v>0.2</v>
      </c>
      <c r="O26" s="13">
        <f t="shared" si="1"/>
        <v>0.2</v>
      </c>
      <c r="P26" s="13">
        <f t="shared" si="1"/>
        <v>0.25</v>
      </c>
      <c r="AM26"/>
    </row>
    <row r="27" spans="1:39">
      <c r="A27" s="13">
        <v>5</v>
      </c>
      <c r="B27" s="13">
        <f t="shared" si="2"/>
        <v>100</v>
      </c>
      <c r="C27" s="13">
        <f t="shared" si="0"/>
        <v>0.05</v>
      </c>
      <c r="D27" s="13">
        <f t="shared" si="0"/>
        <v>250</v>
      </c>
      <c r="E27" s="13">
        <f t="shared" si="0"/>
        <v>0.1</v>
      </c>
      <c r="F27" s="13">
        <f t="shared" si="0"/>
        <v>400</v>
      </c>
      <c r="G27" s="13">
        <f t="shared" si="0"/>
        <v>0.3</v>
      </c>
      <c r="H27" s="13">
        <f t="shared" si="0"/>
        <v>500</v>
      </c>
      <c r="I27" s="13">
        <f t="shared" si="0"/>
        <v>0.1</v>
      </c>
      <c r="J27" s="13">
        <f t="shared" si="0"/>
        <v>44999.999999999993</v>
      </c>
      <c r="K27" s="13">
        <f t="shared" si="0"/>
        <v>0.1</v>
      </c>
      <c r="L27" s="13">
        <f t="shared" si="0"/>
        <v>1750</v>
      </c>
      <c r="M27" s="13">
        <f t="shared" si="0"/>
        <v>0.15</v>
      </c>
      <c r="N27" s="13">
        <f t="shared" si="1"/>
        <v>0.2</v>
      </c>
      <c r="O27" s="13">
        <f t="shared" si="1"/>
        <v>0.2</v>
      </c>
      <c r="P27" s="13">
        <f t="shared" si="1"/>
        <v>0.25</v>
      </c>
      <c r="AM27"/>
    </row>
    <row r="28" spans="1:39">
      <c r="A28" s="13">
        <v>6</v>
      </c>
      <c r="B28" s="13">
        <f t="shared" si="2"/>
        <v>100</v>
      </c>
      <c r="C28" s="13">
        <f t="shared" si="0"/>
        <v>0.05</v>
      </c>
      <c r="D28" s="13">
        <f t="shared" si="0"/>
        <v>250</v>
      </c>
      <c r="E28" s="13">
        <f t="shared" si="0"/>
        <v>0.2</v>
      </c>
      <c r="F28" s="13">
        <f t="shared" si="0"/>
        <v>400</v>
      </c>
      <c r="G28" s="13">
        <f t="shared" si="0"/>
        <v>0.15</v>
      </c>
      <c r="H28" s="13">
        <f t="shared" si="0"/>
        <v>500</v>
      </c>
      <c r="I28" s="13">
        <f t="shared" si="0"/>
        <v>0.1</v>
      </c>
      <c r="J28" s="13">
        <f t="shared" si="0"/>
        <v>44999.999999999993</v>
      </c>
      <c r="K28" s="13">
        <f t="shared" si="0"/>
        <v>0.1</v>
      </c>
      <c r="L28" s="13">
        <f t="shared" si="0"/>
        <v>1750</v>
      </c>
      <c r="M28" s="13">
        <f t="shared" si="0"/>
        <v>0.15</v>
      </c>
      <c r="N28" s="13">
        <f t="shared" si="1"/>
        <v>0.2</v>
      </c>
      <c r="O28" s="13">
        <f t="shared" si="1"/>
        <v>0.2</v>
      </c>
      <c r="P28" s="13">
        <f t="shared" si="1"/>
        <v>0.25</v>
      </c>
      <c r="AM28"/>
    </row>
    <row r="29" spans="1:39">
      <c r="A29" s="13">
        <v>7</v>
      </c>
      <c r="B29" s="13">
        <f t="shared" si="2"/>
        <v>100</v>
      </c>
      <c r="C29" s="13">
        <f t="shared" si="0"/>
        <v>0.1</v>
      </c>
      <c r="D29" s="13">
        <f t="shared" si="0"/>
        <v>14999.999999999998</v>
      </c>
      <c r="E29" s="13">
        <f t="shared" si="0"/>
        <v>0.1</v>
      </c>
      <c r="F29" s="13">
        <f t="shared" si="0"/>
        <v>300</v>
      </c>
      <c r="G29" s="13">
        <f t="shared" si="0"/>
        <v>0.08</v>
      </c>
      <c r="H29" s="13">
        <f t="shared" si="0"/>
        <v>400</v>
      </c>
      <c r="I29" s="13">
        <f t="shared" si="0"/>
        <v>0.1</v>
      </c>
      <c r="J29" s="13">
        <f t="shared" si="0"/>
        <v>29999.999999999996</v>
      </c>
      <c r="K29" s="13">
        <f t="shared" si="0"/>
        <v>0.15</v>
      </c>
      <c r="L29" s="13">
        <f t="shared" si="0"/>
        <v>600</v>
      </c>
      <c r="M29" s="13">
        <f t="shared" si="0"/>
        <v>0.15</v>
      </c>
      <c r="N29" s="13">
        <f t="shared" si="1"/>
        <v>0.2</v>
      </c>
      <c r="O29" s="13">
        <f t="shared" si="1"/>
        <v>0.25</v>
      </c>
      <c r="P29" s="13">
        <f t="shared" si="1"/>
        <v>0.25</v>
      </c>
      <c r="AM29"/>
    </row>
    <row r="30" spans="1:39">
      <c r="A30" s="13">
        <v>8</v>
      </c>
      <c r="B30" s="13">
        <f t="shared" si="2"/>
        <v>100</v>
      </c>
      <c r="C30" s="13">
        <f t="shared" si="0"/>
        <v>0.05</v>
      </c>
      <c r="D30" s="13">
        <f t="shared" si="0"/>
        <v>14999.999999999998</v>
      </c>
      <c r="E30" s="13">
        <f t="shared" si="0"/>
        <v>0.1</v>
      </c>
      <c r="F30" s="13">
        <f t="shared" si="0"/>
        <v>300</v>
      </c>
      <c r="G30" s="13">
        <f t="shared" si="0"/>
        <v>0.16</v>
      </c>
      <c r="H30" s="13">
        <f t="shared" si="0"/>
        <v>400</v>
      </c>
      <c r="I30" s="13">
        <f t="shared" si="0"/>
        <v>0.1</v>
      </c>
      <c r="J30" s="13">
        <f t="shared" si="0"/>
        <v>29999.999999999996</v>
      </c>
      <c r="K30" s="13">
        <f t="shared" si="0"/>
        <v>0.15</v>
      </c>
      <c r="L30" s="13">
        <f t="shared" si="0"/>
        <v>600</v>
      </c>
      <c r="M30" s="13">
        <f t="shared" si="0"/>
        <v>0.15</v>
      </c>
      <c r="N30" s="13">
        <f t="shared" si="1"/>
        <v>0.2</v>
      </c>
      <c r="O30" s="13">
        <f t="shared" si="1"/>
        <v>0.25</v>
      </c>
      <c r="P30" s="13">
        <f t="shared" si="1"/>
        <v>0.25</v>
      </c>
      <c r="AM30"/>
    </row>
    <row r="31" spans="1:39">
      <c r="A31" s="13">
        <v>9</v>
      </c>
      <c r="B31" s="13">
        <f t="shared" si="2"/>
        <v>100</v>
      </c>
      <c r="C31" s="13">
        <f t="shared" si="0"/>
        <v>0.05</v>
      </c>
      <c r="D31" s="13">
        <f t="shared" si="0"/>
        <v>14999.999999999998</v>
      </c>
      <c r="E31" s="13">
        <f t="shared" si="0"/>
        <v>0.2</v>
      </c>
      <c r="F31" s="13">
        <f t="shared" si="0"/>
        <v>300</v>
      </c>
      <c r="G31" s="13">
        <f t="shared" si="0"/>
        <v>0.08</v>
      </c>
      <c r="H31" s="13">
        <f t="shared" si="0"/>
        <v>400</v>
      </c>
      <c r="I31" s="13">
        <f t="shared" si="0"/>
        <v>0.1</v>
      </c>
      <c r="J31" s="13">
        <f t="shared" si="0"/>
        <v>29999.999999999996</v>
      </c>
      <c r="K31" s="13">
        <f t="shared" si="0"/>
        <v>0.15</v>
      </c>
      <c r="L31" s="13">
        <f t="shared" si="0"/>
        <v>600</v>
      </c>
      <c r="M31" s="13">
        <f t="shared" si="0"/>
        <v>0.15</v>
      </c>
      <c r="N31" s="13">
        <f t="shared" si="1"/>
        <v>0.2</v>
      </c>
      <c r="O31" s="13">
        <f t="shared" si="1"/>
        <v>0.25</v>
      </c>
      <c r="P31" s="13">
        <f t="shared" si="1"/>
        <v>0.25</v>
      </c>
      <c r="AM31"/>
    </row>
    <row r="32" spans="1:39">
      <c r="A32" s="13">
        <v>10</v>
      </c>
      <c r="B32" s="13">
        <f t="shared" si="2"/>
        <v>100</v>
      </c>
      <c r="C32" s="13">
        <f t="shared" si="0"/>
        <v>0.1</v>
      </c>
      <c r="D32" s="13">
        <f t="shared" si="0"/>
        <v>14999.999999999998</v>
      </c>
      <c r="E32" s="13">
        <f t="shared" si="0"/>
        <v>0.1</v>
      </c>
      <c r="F32" s="13">
        <f t="shared" si="0"/>
        <v>300</v>
      </c>
      <c r="G32" s="13">
        <f t="shared" si="0"/>
        <v>0.08</v>
      </c>
      <c r="H32" s="13">
        <f t="shared" si="0"/>
        <v>400</v>
      </c>
      <c r="I32" s="13">
        <f t="shared" si="0"/>
        <v>0.1</v>
      </c>
      <c r="J32" s="13">
        <f t="shared" si="0"/>
        <v>29999.999999999996</v>
      </c>
      <c r="K32" s="13">
        <f t="shared" si="0"/>
        <v>0.15</v>
      </c>
      <c r="L32" s="13">
        <f t="shared" si="0"/>
        <v>600</v>
      </c>
      <c r="M32" s="13">
        <f t="shared" si="0"/>
        <v>0.15</v>
      </c>
      <c r="N32" s="13">
        <f t="shared" si="1"/>
        <v>0.2</v>
      </c>
      <c r="O32" s="13">
        <f t="shared" si="1"/>
        <v>0.25</v>
      </c>
      <c r="P32" s="13">
        <f t="shared" si="1"/>
        <v>0.25</v>
      </c>
      <c r="AM32"/>
    </row>
    <row r="33" spans="1:39">
      <c r="A33" s="13">
        <v>11</v>
      </c>
      <c r="B33" s="13">
        <f t="shared" si="2"/>
        <v>100</v>
      </c>
      <c r="C33" s="13">
        <f t="shared" si="0"/>
        <v>0.05</v>
      </c>
      <c r="D33" s="13">
        <f t="shared" si="0"/>
        <v>14999.999999999998</v>
      </c>
      <c r="E33" s="13">
        <f t="shared" si="0"/>
        <v>0.1</v>
      </c>
      <c r="F33" s="13">
        <f t="shared" si="0"/>
        <v>300</v>
      </c>
      <c r="G33" s="13">
        <f t="shared" si="0"/>
        <v>0.16</v>
      </c>
      <c r="H33" s="13">
        <f t="shared" si="0"/>
        <v>400</v>
      </c>
      <c r="I33" s="13">
        <f t="shared" si="0"/>
        <v>0.1</v>
      </c>
      <c r="J33" s="13">
        <f t="shared" si="0"/>
        <v>29999.999999999996</v>
      </c>
      <c r="K33" s="13">
        <f t="shared" si="0"/>
        <v>0.15</v>
      </c>
      <c r="L33" s="13">
        <f t="shared" si="0"/>
        <v>600</v>
      </c>
      <c r="M33" s="13">
        <f>VLOOKUP(M$22,$A$4:$AK$18,$A33*3+1,FALSE)</f>
        <v>0.15</v>
      </c>
      <c r="N33" s="13">
        <f t="shared" si="1"/>
        <v>0.2</v>
      </c>
      <c r="O33" s="13">
        <f t="shared" si="1"/>
        <v>0.25</v>
      </c>
      <c r="P33" s="13">
        <f t="shared" si="1"/>
        <v>0.25</v>
      </c>
      <c r="AM33"/>
    </row>
    <row r="34" spans="1:39">
      <c r="A34" s="13">
        <v>12</v>
      </c>
      <c r="B34" s="13">
        <f t="shared" si="2"/>
        <v>100</v>
      </c>
      <c r="C34" s="13">
        <f t="shared" si="0"/>
        <v>0.05</v>
      </c>
      <c r="D34" s="13">
        <f t="shared" si="0"/>
        <v>14999.999999999998</v>
      </c>
      <c r="E34" s="13">
        <f t="shared" si="0"/>
        <v>0.2</v>
      </c>
      <c r="F34" s="13">
        <f t="shared" si="0"/>
        <v>300</v>
      </c>
      <c r="G34" s="13">
        <f t="shared" si="0"/>
        <v>0.08</v>
      </c>
      <c r="H34" s="13">
        <f t="shared" si="0"/>
        <v>400</v>
      </c>
      <c r="I34" s="13">
        <f t="shared" si="0"/>
        <v>0.1</v>
      </c>
      <c r="J34" s="13">
        <f t="shared" si="0"/>
        <v>29999.999999999996</v>
      </c>
      <c r="K34" s="13">
        <f t="shared" si="0"/>
        <v>0.15</v>
      </c>
      <c r="L34" s="13">
        <f t="shared" si="0"/>
        <v>600</v>
      </c>
      <c r="M34" s="13">
        <f>VLOOKUP(M$22,$A$4:$AK$18,$A34*3+1,FALSE)</f>
        <v>0.15</v>
      </c>
      <c r="N34" s="13">
        <f t="shared" si="1"/>
        <v>0.2</v>
      </c>
      <c r="O34" s="13">
        <f t="shared" si="1"/>
        <v>0.25</v>
      </c>
      <c r="P34" s="13">
        <f t="shared" si="1"/>
        <v>0.25</v>
      </c>
      <c r="AM34"/>
    </row>
    <row r="35" spans="1:39">
      <c r="AM35"/>
    </row>
    <row r="36" spans="1:39">
      <c r="AM36"/>
    </row>
    <row r="37" spans="1:39">
      <c r="A37" s="11" t="s">
        <v>66</v>
      </c>
      <c r="B37" s="11">
        <v>1</v>
      </c>
      <c r="C37" s="11">
        <v>2</v>
      </c>
      <c r="D37" s="11">
        <v>3</v>
      </c>
      <c r="E37" s="11">
        <v>4</v>
      </c>
      <c r="F37" s="11">
        <v>5</v>
      </c>
      <c r="G37" s="11">
        <v>6</v>
      </c>
      <c r="H37" s="11">
        <v>7</v>
      </c>
      <c r="I37" s="11">
        <v>8</v>
      </c>
      <c r="J37" s="11">
        <v>9</v>
      </c>
      <c r="K37" s="11">
        <v>10</v>
      </c>
      <c r="L37" s="11">
        <v>11</v>
      </c>
      <c r="M37" s="11">
        <v>12</v>
      </c>
      <c r="N37" s="11">
        <v>13</v>
      </c>
      <c r="O37" s="11">
        <v>14</v>
      </c>
      <c r="P37" s="11">
        <v>15</v>
      </c>
      <c r="AM37"/>
    </row>
    <row r="38" spans="1:39">
      <c r="A38" s="11">
        <v>1</v>
      </c>
      <c r="B38" s="11" t="str">
        <f>VLOOKUP(B$37,$A$4:$AK$18,$A38*3-1,FALSE)&amp;"|"&amp;VLOOKUP(B$37,$A$4:$AK$18,$A38*3,FALSE)</f>
        <v>生命|数值</v>
      </c>
      <c r="C38" s="11" t="str">
        <f t="shared" ref="C38:P49" si="3">VLOOKUP(C$37,$A$4:$AK$18,$A38*3-1,FALSE)&amp;"|"&amp;VLOOKUP(C$37,$A$4:$AK$18,$A38*3,FALSE)</f>
        <v>抗暴率|百分比</v>
      </c>
      <c r="D38" s="11" t="str">
        <f t="shared" si="3"/>
        <v>防御|数值</v>
      </c>
      <c r="E38" s="11" t="str">
        <f t="shared" si="3"/>
        <v>伤害减免|百分比</v>
      </c>
      <c r="F38" s="11" t="str">
        <f t="shared" si="3"/>
        <v>攻击|数值</v>
      </c>
      <c r="G38" s="11" t="str">
        <f t="shared" si="3"/>
        <v>闪避率|百分比</v>
      </c>
      <c r="H38" s="11" t="str">
        <f t="shared" si="3"/>
        <v>防御|数值</v>
      </c>
      <c r="I38" s="11" t="str">
        <f t="shared" si="3"/>
        <v>防御|百分比</v>
      </c>
      <c r="J38" s="11" t="str">
        <f t="shared" si="3"/>
        <v>生命|数值</v>
      </c>
      <c r="K38" s="11" t="str">
        <f t="shared" si="3"/>
        <v>生命|百分比</v>
      </c>
      <c r="L38" s="11" t="str">
        <f t="shared" si="3"/>
        <v>攻击|数值</v>
      </c>
      <c r="M38" s="11" t="str">
        <f t="shared" si="3"/>
        <v>攻击|百分比</v>
      </c>
      <c r="N38" s="11" t="str">
        <f t="shared" si="3"/>
        <v>防御|百分比</v>
      </c>
      <c r="O38" s="11" t="str">
        <f t="shared" si="3"/>
        <v>攻击|百分比</v>
      </c>
      <c r="P38" s="11" t="str">
        <f t="shared" si="3"/>
        <v>生命|百分比</v>
      </c>
      <c r="AM38"/>
    </row>
    <row r="39" spans="1:39">
      <c r="A39" s="11">
        <v>2</v>
      </c>
      <c r="B39" s="11" t="str">
        <f t="shared" ref="B39:B49" si="4">VLOOKUP(B$37,$A$4:$AK$18,$A39*3-1,FALSE)&amp;"|"&amp;VLOOKUP(B$37,$A$4:$AK$18,$A39*3,FALSE)</f>
        <v>生命|数值</v>
      </c>
      <c r="C39" s="11" t="str">
        <f t="shared" si="3"/>
        <v>闪避率|百分比</v>
      </c>
      <c r="D39" s="11" t="str">
        <f t="shared" si="3"/>
        <v>防御|数值</v>
      </c>
      <c r="E39" s="11" t="str">
        <f t="shared" si="3"/>
        <v>伤害减免|百分比</v>
      </c>
      <c r="F39" s="11" t="str">
        <f t="shared" si="3"/>
        <v>攻击|数值</v>
      </c>
      <c r="G39" s="11" t="str">
        <f t="shared" si="3"/>
        <v>抗暴率|百分比</v>
      </c>
      <c r="H39" s="11" t="str">
        <f t="shared" si="3"/>
        <v>防御|数值</v>
      </c>
      <c r="I39" s="11" t="str">
        <f t="shared" si="3"/>
        <v>防御|百分比</v>
      </c>
      <c r="J39" s="11" t="str">
        <f t="shared" si="3"/>
        <v>生命|数值</v>
      </c>
      <c r="K39" s="11" t="str">
        <f t="shared" si="3"/>
        <v>生命|百分比</v>
      </c>
      <c r="L39" s="11" t="str">
        <f t="shared" si="3"/>
        <v>攻击|数值</v>
      </c>
      <c r="M39" s="11" t="str">
        <f t="shared" si="3"/>
        <v>攻击|百分比</v>
      </c>
      <c r="N39" s="11" t="str">
        <f t="shared" si="3"/>
        <v>防御|百分比</v>
      </c>
      <c r="O39" s="11" t="str">
        <f t="shared" si="3"/>
        <v>攻击|百分比</v>
      </c>
      <c r="P39" s="11" t="str">
        <f t="shared" si="3"/>
        <v>生命|百分比</v>
      </c>
      <c r="AM39"/>
    </row>
    <row r="40" spans="1:39">
      <c r="A40" s="11">
        <v>3</v>
      </c>
      <c r="B40" s="11" t="str">
        <f t="shared" si="4"/>
        <v>生命|数值</v>
      </c>
      <c r="C40" s="11" t="str">
        <f t="shared" si="3"/>
        <v>闪避率|百分比</v>
      </c>
      <c r="D40" s="11" t="str">
        <f t="shared" si="3"/>
        <v>防御|数值</v>
      </c>
      <c r="E40" s="11" t="str">
        <f t="shared" si="3"/>
        <v>抗暴率|百分比</v>
      </c>
      <c r="F40" s="11" t="str">
        <f t="shared" si="3"/>
        <v>攻击|数值</v>
      </c>
      <c r="G40" s="11" t="str">
        <f t="shared" si="3"/>
        <v>伤害减免|百分比</v>
      </c>
      <c r="H40" s="11" t="str">
        <f t="shared" si="3"/>
        <v>防御|数值</v>
      </c>
      <c r="I40" s="11" t="str">
        <f t="shared" si="3"/>
        <v>防御|百分比</v>
      </c>
      <c r="J40" s="11" t="str">
        <f t="shared" si="3"/>
        <v>生命|数值</v>
      </c>
      <c r="K40" s="11" t="str">
        <f t="shared" si="3"/>
        <v>生命|百分比</v>
      </c>
      <c r="L40" s="11" t="str">
        <f t="shared" si="3"/>
        <v>攻击|数值</v>
      </c>
      <c r="M40" s="11" t="str">
        <f t="shared" si="3"/>
        <v>攻击|百分比</v>
      </c>
      <c r="N40" s="11" t="str">
        <f t="shared" si="3"/>
        <v>防御|百分比</v>
      </c>
      <c r="O40" s="11" t="str">
        <f t="shared" si="3"/>
        <v>攻击|百分比</v>
      </c>
      <c r="P40" s="11" t="str">
        <f t="shared" si="3"/>
        <v>生命|百分比</v>
      </c>
      <c r="AM40"/>
    </row>
    <row r="41" spans="1:39">
      <c r="A41" s="11">
        <v>4</v>
      </c>
      <c r="B41" s="11" t="str">
        <f t="shared" si="4"/>
        <v>攻击|数值</v>
      </c>
      <c r="C41" s="11" t="str">
        <f t="shared" si="3"/>
        <v>暴击率|百分比</v>
      </c>
      <c r="D41" s="11" t="str">
        <f t="shared" si="3"/>
        <v>攻击|数值</v>
      </c>
      <c r="E41" s="11" t="str">
        <f t="shared" si="3"/>
        <v>伤害加成|百分比</v>
      </c>
      <c r="F41" s="11" t="str">
        <f t="shared" si="3"/>
        <v>攻击|数值</v>
      </c>
      <c r="G41" s="11" t="str">
        <f t="shared" si="3"/>
        <v>命中率|百分比</v>
      </c>
      <c r="H41" s="11" t="str">
        <f t="shared" si="3"/>
        <v>防御|数值</v>
      </c>
      <c r="I41" s="11" t="str">
        <f t="shared" si="3"/>
        <v>攻击|百分比</v>
      </c>
      <c r="J41" s="11" t="str">
        <f t="shared" si="3"/>
        <v>生命|数值</v>
      </c>
      <c r="K41" s="11" t="str">
        <f t="shared" si="3"/>
        <v>生命|百分比</v>
      </c>
      <c r="L41" s="11" t="str">
        <f t="shared" si="3"/>
        <v>攻击|数值</v>
      </c>
      <c r="M41" s="11" t="str">
        <f t="shared" si="3"/>
        <v>攻击|百分比</v>
      </c>
      <c r="N41" s="11" t="str">
        <f t="shared" si="3"/>
        <v>防御|百分比</v>
      </c>
      <c r="O41" s="11" t="str">
        <f t="shared" si="3"/>
        <v>生命|百分比</v>
      </c>
      <c r="P41" s="11" t="str">
        <f t="shared" si="3"/>
        <v>攻击|百分比</v>
      </c>
      <c r="AM41"/>
    </row>
    <row r="42" spans="1:39">
      <c r="A42" s="11">
        <v>5</v>
      </c>
      <c r="B42" s="11" t="str">
        <f t="shared" si="4"/>
        <v>攻击|数值</v>
      </c>
      <c r="C42" s="11" t="str">
        <f t="shared" si="3"/>
        <v>命中率|百分比</v>
      </c>
      <c r="D42" s="11" t="str">
        <f t="shared" si="3"/>
        <v>攻击|数值</v>
      </c>
      <c r="E42" s="11" t="str">
        <f t="shared" si="3"/>
        <v>伤害加成|百分比</v>
      </c>
      <c r="F42" s="11" t="str">
        <f t="shared" si="3"/>
        <v>攻击|数值</v>
      </c>
      <c r="G42" s="11" t="str">
        <f t="shared" si="3"/>
        <v>暴击率|百分比</v>
      </c>
      <c r="H42" s="11" t="str">
        <f t="shared" si="3"/>
        <v>防御|数值</v>
      </c>
      <c r="I42" s="11" t="str">
        <f t="shared" si="3"/>
        <v>攻击|百分比</v>
      </c>
      <c r="J42" s="11" t="str">
        <f t="shared" si="3"/>
        <v>生命|数值</v>
      </c>
      <c r="K42" s="11" t="str">
        <f t="shared" si="3"/>
        <v>生命|百分比</v>
      </c>
      <c r="L42" s="11" t="str">
        <f t="shared" si="3"/>
        <v>攻击|数值</v>
      </c>
      <c r="M42" s="11" t="str">
        <f t="shared" si="3"/>
        <v>攻击|百分比</v>
      </c>
      <c r="N42" s="11" t="str">
        <f t="shared" si="3"/>
        <v>防御|百分比</v>
      </c>
      <c r="O42" s="11" t="str">
        <f t="shared" si="3"/>
        <v>生命|百分比</v>
      </c>
      <c r="P42" s="11" t="str">
        <f t="shared" si="3"/>
        <v>攻击|百分比</v>
      </c>
      <c r="AM42"/>
    </row>
    <row r="43" spans="1:39">
      <c r="A43" s="11">
        <v>6</v>
      </c>
      <c r="B43" s="11" t="str">
        <f t="shared" si="4"/>
        <v>攻击|数值</v>
      </c>
      <c r="C43" s="11" t="str">
        <f t="shared" si="3"/>
        <v>命中率|百分比</v>
      </c>
      <c r="D43" s="11" t="str">
        <f t="shared" si="3"/>
        <v>攻击|数值</v>
      </c>
      <c r="E43" s="11" t="str">
        <f t="shared" si="3"/>
        <v>暴击率|百分比</v>
      </c>
      <c r="F43" s="11" t="str">
        <f t="shared" si="3"/>
        <v>攻击|数值</v>
      </c>
      <c r="G43" s="11" t="str">
        <f t="shared" si="3"/>
        <v>伤害加成|百分比</v>
      </c>
      <c r="H43" s="11" t="str">
        <f t="shared" si="3"/>
        <v>防御|数值</v>
      </c>
      <c r="I43" s="11" t="str">
        <f t="shared" si="3"/>
        <v>攻击|百分比</v>
      </c>
      <c r="J43" s="11" t="str">
        <f t="shared" si="3"/>
        <v>生命|数值</v>
      </c>
      <c r="K43" s="11" t="str">
        <f t="shared" si="3"/>
        <v>生命|百分比</v>
      </c>
      <c r="L43" s="11" t="str">
        <f t="shared" si="3"/>
        <v>攻击|数值</v>
      </c>
      <c r="M43" s="11" t="str">
        <f t="shared" si="3"/>
        <v>攻击|百分比</v>
      </c>
      <c r="N43" s="11" t="str">
        <f t="shared" si="3"/>
        <v>防御|百分比</v>
      </c>
      <c r="O43" s="11" t="str">
        <f t="shared" si="3"/>
        <v>生命|百分比</v>
      </c>
      <c r="P43" s="11" t="str">
        <f t="shared" si="3"/>
        <v>攻击|百分比</v>
      </c>
      <c r="AM43"/>
    </row>
    <row r="44" spans="1:39">
      <c r="A44" s="11">
        <v>7</v>
      </c>
      <c r="B44" s="11" t="str">
        <f t="shared" si="4"/>
        <v>防御|数值</v>
      </c>
      <c r="C44" s="11" t="str">
        <f t="shared" si="3"/>
        <v>抗暴率|百分比</v>
      </c>
      <c r="D44" s="11" t="str">
        <f t="shared" si="3"/>
        <v>生命|数值</v>
      </c>
      <c r="E44" s="11" t="str">
        <f t="shared" si="3"/>
        <v>伤害减免|百分比</v>
      </c>
      <c r="F44" s="11" t="str">
        <f t="shared" si="3"/>
        <v>攻击|数值</v>
      </c>
      <c r="G44" s="11" t="str">
        <f t="shared" si="3"/>
        <v>闪避率|光环百分比</v>
      </c>
      <c r="H44" s="11" t="str">
        <f t="shared" si="3"/>
        <v>防御|光环数值</v>
      </c>
      <c r="I44" s="11" t="str">
        <f t="shared" si="3"/>
        <v>防御|百分比</v>
      </c>
      <c r="J44" s="11" t="str">
        <f t="shared" si="3"/>
        <v>生命|光环数值</v>
      </c>
      <c r="K44" s="11" t="str">
        <f t="shared" si="3"/>
        <v>生命|百分比</v>
      </c>
      <c r="L44" s="11" t="str">
        <f t="shared" si="3"/>
        <v>攻击|光环数值</v>
      </c>
      <c r="M44" s="11" t="str">
        <f t="shared" si="3"/>
        <v>攻击|百分比</v>
      </c>
      <c r="N44" s="11" t="str">
        <f t="shared" si="3"/>
        <v>防御|百分比</v>
      </c>
      <c r="O44" s="11" t="str">
        <f t="shared" si="3"/>
        <v>生命|百分比</v>
      </c>
      <c r="P44" s="11" t="str">
        <f t="shared" si="3"/>
        <v>攻击|百分比</v>
      </c>
      <c r="AM44"/>
    </row>
    <row r="45" spans="1:39">
      <c r="A45" s="11">
        <v>8</v>
      </c>
      <c r="B45" s="11" t="str">
        <f t="shared" si="4"/>
        <v>防御|数值</v>
      </c>
      <c r="C45" s="11" t="str">
        <f t="shared" si="3"/>
        <v>闪避率|百分比</v>
      </c>
      <c r="D45" s="11" t="str">
        <f t="shared" si="3"/>
        <v>生命|数值</v>
      </c>
      <c r="E45" s="11" t="str">
        <f t="shared" si="3"/>
        <v>伤害减免|百分比</v>
      </c>
      <c r="F45" s="11" t="str">
        <f t="shared" si="3"/>
        <v>攻击|数值</v>
      </c>
      <c r="G45" s="11" t="str">
        <f t="shared" si="3"/>
        <v>抗暴率|光环百分比</v>
      </c>
      <c r="H45" s="11" t="str">
        <f t="shared" si="3"/>
        <v>防御|光环数值</v>
      </c>
      <c r="I45" s="11" t="str">
        <f t="shared" si="3"/>
        <v>防御|百分比</v>
      </c>
      <c r="J45" s="11" t="str">
        <f t="shared" si="3"/>
        <v>生命|光环数值</v>
      </c>
      <c r="K45" s="11" t="str">
        <f t="shared" si="3"/>
        <v>生命|百分比</v>
      </c>
      <c r="L45" s="11" t="str">
        <f t="shared" si="3"/>
        <v>攻击|光环数值</v>
      </c>
      <c r="M45" s="11" t="str">
        <f t="shared" si="3"/>
        <v>攻击|百分比</v>
      </c>
      <c r="N45" s="11" t="str">
        <f t="shared" si="3"/>
        <v>防御|百分比</v>
      </c>
      <c r="O45" s="11" t="str">
        <f t="shared" si="3"/>
        <v>生命|百分比</v>
      </c>
      <c r="P45" s="11" t="str">
        <f t="shared" si="3"/>
        <v>攻击|百分比</v>
      </c>
      <c r="AM45"/>
    </row>
    <row r="46" spans="1:39">
      <c r="A46" s="11">
        <v>9</v>
      </c>
      <c r="B46" s="11" t="str">
        <f t="shared" si="4"/>
        <v>防御|数值</v>
      </c>
      <c r="C46" s="11" t="str">
        <f t="shared" si="3"/>
        <v>闪避率|百分比</v>
      </c>
      <c r="D46" s="11" t="str">
        <f t="shared" si="3"/>
        <v>生命|数值</v>
      </c>
      <c r="E46" s="11" t="str">
        <f t="shared" si="3"/>
        <v>抗暴率|百分比</v>
      </c>
      <c r="F46" s="11" t="str">
        <f t="shared" si="3"/>
        <v>攻击|数值</v>
      </c>
      <c r="G46" s="11" t="str">
        <f t="shared" si="3"/>
        <v>伤害减免|光环百分比</v>
      </c>
      <c r="H46" s="11" t="str">
        <f t="shared" si="3"/>
        <v>防御|光环数值</v>
      </c>
      <c r="I46" s="11" t="str">
        <f t="shared" si="3"/>
        <v>防御|百分比</v>
      </c>
      <c r="J46" s="11" t="str">
        <f t="shared" si="3"/>
        <v>生命|光环数值</v>
      </c>
      <c r="K46" s="11" t="str">
        <f t="shared" si="3"/>
        <v>生命|百分比</v>
      </c>
      <c r="L46" s="11" t="str">
        <f t="shared" si="3"/>
        <v>攻击|光环数值</v>
      </c>
      <c r="M46" s="11" t="str">
        <f t="shared" si="3"/>
        <v>攻击|百分比</v>
      </c>
      <c r="N46" s="11" t="str">
        <f t="shared" si="3"/>
        <v>防御|百分比</v>
      </c>
      <c r="O46" s="11" t="str">
        <f t="shared" si="3"/>
        <v>生命|百分比</v>
      </c>
      <c r="P46" s="11" t="str">
        <f t="shared" si="3"/>
        <v>攻击|百分比</v>
      </c>
      <c r="AM46"/>
    </row>
    <row r="47" spans="1:39">
      <c r="A47" s="11">
        <v>10</v>
      </c>
      <c r="B47" s="11" t="str">
        <f t="shared" si="4"/>
        <v>防御|数值</v>
      </c>
      <c r="C47" s="11" t="str">
        <f t="shared" si="3"/>
        <v>暴击率|百分比</v>
      </c>
      <c r="D47" s="11" t="str">
        <f t="shared" si="3"/>
        <v>生命|数值</v>
      </c>
      <c r="E47" s="11" t="str">
        <f t="shared" si="3"/>
        <v>伤害加成|百分比</v>
      </c>
      <c r="F47" s="11" t="str">
        <f t="shared" si="3"/>
        <v>攻击|数值</v>
      </c>
      <c r="G47" s="11" t="str">
        <f t="shared" si="3"/>
        <v>命中率|光环百分比</v>
      </c>
      <c r="H47" s="11" t="str">
        <f t="shared" si="3"/>
        <v>防御|光环数值</v>
      </c>
      <c r="I47" s="11" t="str">
        <f t="shared" si="3"/>
        <v>防御|百分比</v>
      </c>
      <c r="J47" s="11" t="str">
        <f t="shared" si="3"/>
        <v>生命|光环数值</v>
      </c>
      <c r="K47" s="11" t="str">
        <f t="shared" si="3"/>
        <v>生命|百分比</v>
      </c>
      <c r="L47" s="11" t="str">
        <f t="shared" si="3"/>
        <v>攻击|光环数值</v>
      </c>
      <c r="M47" s="11" t="str">
        <f t="shared" si="3"/>
        <v>攻击|百分比</v>
      </c>
      <c r="N47" s="11" t="str">
        <f t="shared" si="3"/>
        <v>防御|百分比</v>
      </c>
      <c r="O47" s="11" t="str">
        <f t="shared" si="3"/>
        <v>生命|百分比</v>
      </c>
      <c r="P47" s="11" t="str">
        <f t="shared" si="3"/>
        <v>攻击|百分比</v>
      </c>
      <c r="AM47"/>
    </row>
    <row r="48" spans="1:39">
      <c r="A48" s="11">
        <v>11</v>
      </c>
      <c r="B48" s="11" t="str">
        <f t="shared" si="4"/>
        <v>防御|数值</v>
      </c>
      <c r="C48" s="11" t="str">
        <f t="shared" si="3"/>
        <v>命中率|百分比</v>
      </c>
      <c r="D48" s="11" t="str">
        <f t="shared" si="3"/>
        <v>生命|数值</v>
      </c>
      <c r="E48" s="11" t="str">
        <f t="shared" si="3"/>
        <v>伤害加成|百分比</v>
      </c>
      <c r="F48" s="11" t="str">
        <f t="shared" si="3"/>
        <v>攻击|数值</v>
      </c>
      <c r="G48" s="11" t="str">
        <f t="shared" si="3"/>
        <v>暴击率|光环百分比</v>
      </c>
      <c r="H48" s="11" t="str">
        <f t="shared" si="3"/>
        <v>防御|光环数值</v>
      </c>
      <c r="I48" s="11" t="str">
        <f t="shared" si="3"/>
        <v>防御|百分比</v>
      </c>
      <c r="J48" s="11" t="str">
        <f t="shared" si="3"/>
        <v>生命|光环数值</v>
      </c>
      <c r="K48" s="11" t="str">
        <f t="shared" si="3"/>
        <v>生命|百分比</v>
      </c>
      <c r="L48" s="11" t="str">
        <f t="shared" si="3"/>
        <v>攻击|光环数值</v>
      </c>
      <c r="M48" s="11" t="str">
        <f t="shared" si="3"/>
        <v>攻击|百分比</v>
      </c>
      <c r="N48" s="11" t="str">
        <f t="shared" si="3"/>
        <v>防御|百分比</v>
      </c>
      <c r="O48" s="11" t="str">
        <f t="shared" si="3"/>
        <v>生命|百分比</v>
      </c>
      <c r="P48" s="11" t="str">
        <f t="shared" si="3"/>
        <v>攻击|百分比</v>
      </c>
      <c r="AM48"/>
    </row>
    <row r="49" spans="1:39">
      <c r="A49" s="11">
        <v>12</v>
      </c>
      <c r="B49" s="11" t="str">
        <f t="shared" si="4"/>
        <v>防御|数值</v>
      </c>
      <c r="C49" s="11" t="str">
        <f t="shared" si="3"/>
        <v>命中率|百分比</v>
      </c>
      <c r="D49" s="11" t="str">
        <f t="shared" si="3"/>
        <v>生命|数值</v>
      </c>
      <c r="E49" s="11" t="str">
        <f t="shared" si="3"/>
        <v>暴击率|百分比</v>
      </c>
      <c r="F49" s="11" t="str">
        <f t="shared" si="3"/>
        <v>攻击|数值</v>
      </c>
      <c r="G49" s="11" t="str">
        <f t="shared" si="3"/>
        <v>伤害加成|光环百分比</v>
      </c>
      <c r="H49" s="11" t="str">
        <f t="shared" si="3"/>
        <v>防御|光环数值</v>
      </c>
      <c r="I49" s="11" t="str">
        <f t="shared" si="3"/>
        <v>防御|百分比</v>
      </c>
      <c r="J49" s="11" t="str">
        <f t="shared" si="3"/>
        <v>生命|光环数值</v>
      </c>
      <c r="K49" s="11" t="str">
        <f t="shared" si="3"/>
        <v>生命|百分比</v>
      </c>
      <c r="L49" s="11" t="str">
        <f t="shared" si="3"/>
        <v>攻击|光环数值</v>
      </c>
      <c r="M49" s="11" t="str">
        <f t="shared" si="3"/>
        <v>攻击|百分比</v>
      </c>
      <c r="N49" s="11" t="str">
        <f t="shared" si="3"/>
        <v>防御|百分比</v>
      </c>
      <c r="O49" s="11" t="str">
        <f t="shared" si="3"/>
        <v>生命|百分比</v>
      </c>
      <c r="P49" s="11" t="str">
        <f t="shared" si="3"/>
        <v>攻击|百分比</v>
      </c>
      <c r="AM49"/>
    </row>
    <row r="50" spans="1:39">
      <c r="AM50"/>
    </row>
    <row r="51" spans="1:39">
      <c r="A51" s="11">
        <v>10101</v>
      </c>
      <c r="B51" s="11">
        <f>INT(MID(A51,2,2))</f>
        <v>1</v>
      </c>
      <c r="C51" s="11">
        <f>INT(MID(A51,4,2))</f>
        <v>1</v>
      </c>
      <c r="D51" s="11">
        <f>VLOOKUP(B51,$A$22:$P$34,C51+1,FALSE)</f>
        <v>2999.9999999999995</v>
      </c>
      <c r="E51" s="11" t="str">
        <f>VLOOKUP(B51,$A$38:$P$49,C51+1,FALSE)</f>
        <v>生命|数值</v>
      </c>
      <c r="AM51"/>
    </row>
    <row r="52" spans="1:39">
      <c r="A52" s="11">
        <v>10102</v>
      </c>
      <c r="B52" s="11">
        <f t="shared" ref="B52:B115" si="5">INT(MID(A52,2,2))</f>
        <v>1</v>
      </c>
      <c r="C52" s="11">
        <f t="shared" ref="C52:C115" si="6">INT(MID(A52,4,2))</f>
        <v>2</v>
      </c>
      <c r="D52" s="11">
        <f t="shared" ref="D52:D115" si="7">VLOOKUP(B52,$A$22:$P$34,C52+1,FALSE)</f>
        <v>0.1</v>
      </c>
      <c r="E52" s="11" t="str">
        <f t="shared" ref="E52:E115" si="8">VLOOKUP(B52,$A$38:$P$49,C52+1,FALSE)</f>
        <v>抗暴率|百分比</v>
      </c>
      <c r="AM52"/>
    </row>
    <row r="53" spans="1:39">
      <c r="A53" s="11">
        <v>10103</v>
      </c>
      <c r="B53" s="11">
        <f t="shared" si="5"/>
        <v>1</v>
      </c>
      <c r="C53" s="11">
        <f t="shared" si="6"/>
        <v>3</v>
      </c>
      <c r="D53" s="11">
        <f t="shared" si="7"/>
        <v>150</v>
      </c>
      <c r="E53" s="11" t="str">
        <f t="shared" si="8"/>
        <v>防御|数值</v>
      </c>
      <c r="AM53"/>
    </row>
    <row r="54" spans="1:39">
      <c r="A54" s="11">
        <v>10104</v>
      </c>
      <c r="B54" s="11">
        <f t="shared" si="5"/>
        <v>1</v>
      </c>
      <c r="C54" s="11">
        <f t="shared" si="6"/>
        <v>4</v>
      </c>
      <c r="D54" s="11">
        <f t="shared" si="7"/>
        <v>0.1</v>
      </c>
      <c r="E54" s="11" t="str">
        <f t="shared" si="8"/>
        <v>伤害减免|百分比</v>
      </c>
      <c r="AM54"/>
    </row>
    <row r="55" spans="1:39">
      <c r="A55" s="11">
        <v>10105</v>
      </c>
      <c r="B55" s="11">
        <f t="shared" si="5"/>
        <v>1</v>
      </c>
      <c r="C55" s="11">
        <f t="shared" si="6"/>
        <v>5</v>
      </c>
      <c r="D55" s="11">
        <f t="shared" si="7"/>
        <v>300</v>
      </c>
      <c r="E55" s="11" t="str">
        <f t="shared" si="8"/>
        <v>攻击|数值</v>
      </c>
      <c r="AM55"/>
    </row>
    <row r="56" spans="1:39">
      <c r="A56" s="11">
        <v>10106</v>
      </c>
      <c r="B56" s="11">
        <f t="shared" si="5"/>
        <v>1</v>
      </c>
      <c r="C56" s="11">
        <f t="shared" si="6"/>
        <v>6</v>
      </c>
      <c r="D56" s="11">
        <f t="shared" si="7"/>
        <v>0.15</v>
      </c>
      <c r="E56" s="11" t="str">
        <f t="shared" si="8"/>
        <v>闪避率|百分比</v>
      </c>
      <c r="AM56"/>
    </row>
    <row r="57" spans="1:39">
      <c r="A57" s="11">
        <v>10107</v>
      </c>
      <c r="B57" s="11">
        <f t="shared" si="5"/>
        <v>1</v>
      </c>
      <c r="C57" s="11">
        <f t="shared" si="6"/>
        <v>7</v>
      </c>
      <c r="D57" s="11">
        <f t="shared" si="7"/>
        <v>850</v>
      </c>
      <c r="E57" s="11" t="str">
        <f t="shared" si="8"/>
        <v>防御|数值</v>
      </c>
      <c r="I57" s="11" t="s">
        <v>35</v>
      </c>
      <c r="J57" s="11">
        <v>1</v>
      </c>
      <c r="AM57"/>
    </row>
    <row r="58" spans="1:39">
      <c r="A58" s="11">
        <v>10108</v>
      </c>
      <c r="B58" s="11">
        <f t="shared" si="5"/>
        <v>1</v>
      </c>
      <c r="C58" s="11">
        <f t="shared" si="6"/>
        <v>8</v>
      </c>
      <c r="D58" s="11">
        <f t="shared" si="7"/>
        <v>0.15</v>
      </c>
      <c r="E58" s="11" t="str">
        <f t="shared" si="8"/>
        <v>防御|百分比</v>
      </c>
      <c r="I58" s="11" t="s">
        <v>55</v>
      </c>
      <c r="J58" s="11">
        <v>3</v>
      </c>
      <c r="AM58"/>
    </row>
    <row r="59" spans="1:39">
      <c r="A59" s="11">
        <v>10109</v>
      </c>
      <c r="B59" s="11">
        <f t="shared" si="5"/>
        <v>1</v>
      </c>
      <c r="C59" s="11">
        <f t="shared" si="6"/>
        <v>9</v>
      </c>
      <c r="D59" s="11">
        <f t="shared" si="7"/>
        <v>71999.999999999985</v>
      </c>
      <c r="E59" s="11" t="str">
        <f t="shared" si="8"/>
        <v>生命|数值</v>
      </c>
      <c r="I59" s="11" t="s">
        <v>56</v>
      </c>
      <c r="J59" s="11">
        <v>4</v>
      </c>
      <c r="AM59"/>
    </row>
    <row r="60" spans="1:39">
      <c r="A60" s="11">
        <v>10110</v>
      </c>
      <c r="B60" s="11">
        <f t="shared" si="5"/>
        <v>1</v>
      </c>
      <c r="C60" s="11">
        <f t="shared" si="6"/>
        <v>10</v>
      </c>
      <c r="D60" s="11">
        <f t="shared" si="7"/>
        <v>0.2</v>
      </c>
      <c r="E60" s="11" t="str">
        <f t="shared" si="8"/>
        <v>生命|百分比</v>
      </c>
      <c r="I60" s="11" t="s">
        <v>61</v>
      </c>
      <c r="J60" s="11">
        <v>6</v>
      </c>
      <c r="AM60"/>
    </row>
    <row r="61" spans="1:39">
      <c r="A61" s="11">
        <v>10111</v>
      </c>
      <c r="B61" s="11">
        <f t="shared" si="5"/>
        <v>1</v>
      </c>
      <c r="C61" s="11">
        <f t="shared" si="6"/>
        <v>11</v>
      </c>
      <c r="D61" s="11">
        <f t="shared" si="7"/>
        <v>1200</v>
      </c>
      <c r="E61" s="11" t="str">
        <f t="shared" si="8"/>
        <v>攻击|数值</v>
      </c>
      <c r="I61" s="11" t="s">
        <v>59</v>
      </c>
      <c r="J61" s="11">
        <v>7</v>
      </c>
      <c r="AM61"/>
    </row>
    <row r="62" spans="1:39">
      <c r="A62" s="11">
        <v>10112</v>
      </c>
      <c r="B62" s="11">
        <f t="shared" si="5"/>
        <v>1</v>
      </c>
      <c r="C62" s="11">
        <f t="shared" si="6"/>
        <v>12</v>
      </c>
      <c r="D62" s="11">
        <f t="shared" si="7"/>
        <v>0.1</v>
      </c>
      <c r="E62" s="11" t="str">
        <f t="shared" si="8"/>
        <v>攻击|百分比</v>
      </c>
      <c r="I62" s="11" t="s">
        <v>60</v>
      </c>
      <c r="J62" s="11">
        <v>8</v>
      </c>
      <c r="AM62"/>
    </row>
    <row r="63" spans="1:39">
      <c r="A63" s="11">
        <v>10113</v>
      </c>
      <c r="B63" s="11">
        <f t="shared" si="5"/>
        <v>1</v>
      </c>
      <c r="C63" s="11">
        <f t="shared" si="6"/>
        <v>13</v>
      </c>
      <c r="D63" s="11">
        <f t="shared" si="7"/>
        <v>0.25</v>
      </c>
      <c r="E63" s="11" t="str">
        <f t="shared" si="8"/>
        <v>防御|百分比</v>
      </c>
      <c r="I63" s="11" t="s">
        <v>57</v>
      </c>
      <c r="J63" s="11">
        <v>9</v>
      </c>
      <c r="AM63"/>
    </row>
    <row r="64" spans="1:39">
      <c r="A64" s="11">
        <v>10114</v>
      </c>
      <c r="B64" s="11">
        <f t="shared" si="5"/>
        <v>1</v>
      </c>
      <c r="C64" s="11">
        <f t="shared" si="6"/>
        <v>14</v>
      </c>
      <c r="D64" s="11">
        <f t="shared" si="7"/>
        <v>0.2</v>
      </c>
      <c r="E64" s="11" t="str">
        <f t="shared" si="8"/>
        <v>攻击|百分比</v>
      </c>
      <c r="I64" s="11" t="s">
        <v>62</v>
      </c>
      <c r="J64" s="11">
        <v>10</v>
      </c>
      <c r="AM64"/>
    </row>
    <row r="65" spans="1:39">
      <c r="A65" s="11">
        <v>10115</v>
      </c>
      <c r="B65" s="11">
        <f t="shared" si="5"/>
        <v>1</v>
      </c>
      <c r="C65" s="11">
        <f t="shared" si="6"/>
        <v>15</v>
      </c>
      <c r="D65" s="11">
        <f t="shared" si="7"/>
        <v>0.3</v>
      </c>
      <c r="E65" s="11" t="str">
        <f t="shared" si="8"/>
        <v>生命|百分比</v>
      </c>
      <c r="I65" s="11" t="s">
        <v>63</v>
      </c>
      <c r="J65" s="11">
        <v>11</v>
      </c>
      <c r="AM65"/>
    </row>
    <row r="66" spans="1:39">
      <c r="A66" s="11">
        <f>A51+100</f>
        <v>10201</v>
      </c>
      <c r="B66" s="11">
        <f t="shared" si="5"/>
        <v>2</v>
      </c>
      <c r="C66" s="11">
        <f t="shared" si="6"/>
        <v>1</v>
      </c>
      <c r="D66" s="11">
        <f t="shared" si="7"/>
        <v>2999.9999999999995</v>
      </c>
      <c r="E66" s="11" t="str">
        <f t="shared" si="8"/>
        <v>生命|数值</v>
      </c>
      <c r="AM66"/>
    </row>
    <row r="67" spans="1:39">
      <c r="A67" s="11">
        <f t="shared" ref="A67:A130" si="9">A52+100</f>
        <v>10202</v>
      </c>
      <c r="B67" s="11">
        <f t="shared" si="5"/>
        <v>2</v>
      </c>
      <c r="C67" s="11">
        <f t="shared" si="6"/>
        <v>2</v>
      </c>
      <c r="D67" s="11">
        <f t="shared" si="7"/>
        <v>0.05</v>
      </c>
      <c r="E67" s="11" t="str">
        <f t="shared" si="8"/>
        <v>闪避率|百分比</v>
      </c>
      <c r="AM67"/>
    </row>
    <row r="68" spans="1:39">
      <c r="A68" s="11">
        <f t="shared" si="9"/>
        <v>10203</v>
      </c>
      <c r="B68" s="11">
        <f t="shared" si="5"/>
        <v>2</v>
      </c>
      <c r="C68" s="11">
        <f t="shared" si="6"/>
        <v>3</v>
      </c>
      <c r="D68" s="11">
        <f t="shared" si="7"/>
        <v>150</v>
      </c>
      <c r="E68" s="11" t="str">
        <f t="shared" si="8"/>
        <v>防御|数值</v>
      </c>
      <c r="AM68"/>
    </row>
    <row r="69" spans="1:39">
      <c r="A69" s="11">
        <f t="shared" si="9"/>
        <v>10204</v>
      </c>
      <c r="B69" s="11">
        <f t="shared" si="5"/>
        <v>2</v>
      </c>
      <c r="C69" s="11">
        <f t="shared" si="6"/>
        <v>4</v>
      </c>
      <c r="D69" s="11">
        <f t="shared" si="7"/>
        <v>0.1</v>
      </c>
      <c r="E69" s="11" t="str">
        <f t="shared" si="8"/>
        <v>伤害减免|百分比</v>
      </c>
      <c r="AM69"/>
    </row>
    <row r="70" spans="1:39">
      <c r="A70" s="11">
        <f t="shared" si="9"/>
        <v>10205</v>
      </c>
      <c r="B70" s="11">
        <f t="shared" si="5"/>
        <v>2</v>
      </c>
      <c r="C70" s="11">
        <f t="shared" si="6"/>
        <v>5</v>
      </c>
      <c r="D70" s="11">
        <f t="shared" si="7"/>
        <v>300</v>
      </c>
      <c r="E70" s="11" t="str">
        <f t="shared" si="8"/>
        <v>攻击|数值</v>
      </c>
      <c r="AM70"/>
    </row>
    <row r="71" spans="1:39">
      <c r="A71" s="11">
        <f t="shared" si="9"/>
        <v>10206</v>
      </c>
      <c r="B71" s="11">
        <f t="shared" si="5"/>
        <v>2</v>
      </c>
      <c r="C71" s="11">
        <f t="shared" si="6"/>
        <v>6</v>
      </c>
      <c r="D71" s="11">
        <f t="shared" si="7"/>
        <v>0.3</v>
      </c>
      <c r="E71" s="11" t="str">
        <f t="shared" si="8"/>
        <v>抗暴率|百分比</v>
      </c>
      <c r="AM71"/>
    </row>
    <row r="72" spans="1:39">
      <c r="A72" s="11">
        <f t="shared" si="9"/>
        <v>10207</v>
      </c>
      <c r="B72" s="11">
        <f t="shared" si="5"/>
        <v>2</v>
      </c>
      <c r="C72" s="11">
        <f t="shared" si="6"/>
        <v>7</v>
      </c>
      <c r="D72" s="11">
        <f t="shared" si="7"/>
        <v>850</v>
      </c>
      <c r="E72" s="11" t="str">
        <f t="shared" si="8"/>
        <v>防御|数值</v>
      </c>
      <c r="AM72"/>
    </row>
    <row r="73" spans="1:39">
      <c r="A73" s="11">
        <f t="shared" si="9"/>
        <v>10208</v>
      </c>
      <c r="B73" s="11">
        <f t="shared" si="5"/>
        <v>2</v>
      </c>
      <c r="C73" s="11">
        <f t="shared" si="6"/>
        <v>8</v>
      </c>
      <c r="D73" s="11">
        <f t="shared" si="7"/>
        <v>0.15</v>
      </c>
      <c r="E73" s="11" t="str">
        <f t="shared" si="8"/>
        <v>防御|百分比</v>
      </c>
      <c r="AM73"/>
    </row>
    <row r="74" spans="1:39">
      <c r="A74" s="11">
        <f t="shared" si="9"/>
        <v>10209</v>
      </c>
      <c r="B74" s="11">
        <f t="shared" si="5"/>
        <v>2</v>
      </c>
      <c r="C74" s="11">
        <f t="shared" si="6"/>
        <v>9</v>
      </c>
      <c r="D74" s="11">
        <f t="shared" si="7"/>
        <v>71999.999999999985</v>
      </c>
      <c r="E74" s="11" t="str">
        <f t="shared" si="8"/>
        <v>生命|数值</v>
      </c>
      <c r="AM74"/>
    </row>
    <row r="75" spans="1:39">
      <c r="A75" s="11">
        <f t="shared" si="9"/>
        <v>10210</v>
      </c>
      <c r="B75" s="11">
        <f t="shared" si="5"/>
        <v>2</v>
      </c>
      <c r="C75" s="11">
        <f t="shared" si="6"/>
        <v>10</v>
      </c>
      <c r="D75" s="11">
        <f t="shared" si="7"/>
        <v>0.2</v>
      </c>
      <c r="E75" s="11" t="str">
        <f t="shared" si="8"/>
        <v>生命|百分比</v>
      </c>
      <c r="AM75"/>
    </row>
    <row r="76" spans="1:39">
      <c r="A76" s="11">
        <f t="shared" si="9"/>
        <v>10211</v>
      </c>
      <c r="B76" s="11">
        <f t="shared" si="5"/>
        <v>2</v>
      </c>
      <c r="C76" s="11">
        <f t="shared" si="6"/>
        <v>11</v>
      </c>
      <c r="D76" s="11">
        <f t="shared" si="7"/>
        <v>1200</v>
      </c>
      <c r="E76" s="11" t="str">
        <f t="shared" si="8"/>
        <v>攻击|数值</v>
      </c>
      <c r="AM76"/>
    </row>
    <row r="77" spans="1:39">
      <c r="A77" s="11">
        <f t="shared" si="9"/>
        <v>10212</v>
      </c>
      <c r="B77" s="11">
        <f t="shared" si="5"/>
        <v>2</v>
      </c>
      <c r="C77" s="11">
        <f t="shared" si="6"/>
        <v>12</v>
      </c>
      <c r="D77" s="11">
        <f t="shared" si="7"/>
        <v>0.1</v>
      </c>
      <c r="E77" s="11" t="str">
        <f t="shared" si="8"/>
        <v>攻击|百分比</v>
      </c>
      <c r="AM77"/>
    </row>
    <row r="78" spans="1:39">
      <c r="A78" s="11">
        <f t="shared" si="9"/>
        <v>10213</v>
      </c>
      <c r="B78" s="11">
        <f t="shared" si="5"/>
        <v>2</v>
      </c>
      <c r="C78" s="11">
        <f t="shared" si="6"/>
        <v>13</v>
      </c>
      <c r="D78" s="11">
        <f t="shared" si="7"/>
        <v>0.25</v>
      </c>
      <c r="E78" s="11" t="str">
        <f t="shared" si="8"/>
        <v>防御|百分比</v>
      </c>
      <c r="AM78"/>
    </row>
    <row r="79" spans="1:39">
      <c r="A79" s="11">
        <f t="shared" si="9"/>
        <v>10214</v>
      </c>
      <c r="B79" s="11">
        <f t="shared" si="5"/>
        <v>2</v>
      </c>
      <c r="C79" s="11">
        <f t="shared" si="6"/>
        <v>14</v>
      </c>
      <c r="D79" s="11">
        <f t="shared" si="7"/>
        <v>0.2</v>
      </c>
      <c r="E79" s="11" t="str">
        <f t="shared" si="8"/>
        <v>攻击|百分比</v>
      </c>
      <c r="AM79"/>
    </row>
    <row r="80" spans="1:39">
      <c r="A80" s="11">
        <f t="shared" si="9"/>
        <v>10215</v>
      </c>
      <c r="B80" s="11">
        <f t="shared" si="5"/>
        <v>2</v>
      </c>
      <c r="C80" s="11">
        <f t="shared" si="6"/>
        <v>15</v>
      </c>
      <c r="D80" s="11">
        <f t="shared" si="7"/>
        <v>0.3</v>
      </c>
      <c r="E80" s="11" t="str">
        <f t="shared" si="8"/>
        <v>生命|百分比</v>
      </c>
      <c r="AM80"/>
    </row>
    <row r="81" spans="1:39">
      <c r="A81" s="11">
        <f t="shared" si="9"/>
        <v>10301</v>
      </c>
      <c r="B81" s="11">
        <f t="shared" si="5"/>
        <v>3</v>
      </c>
      <c r="C81" s="11">
        <f t="shared" si="6"/>
        <v>1</v>
      </c>
      <c r="D81" s="11">
        <f t="shared" si="7"/>
        <v>2999.9999999999995</v>
      </c>
      <c r="E81" s="11" t="str">
        <f t="shared" si="8"/>
        <v>生命|数值</v>
      </c>
      <c r="AM81"/>
    </row>
    <row r="82" spans="1:39">
      <c r="A82" s="11">
        <f t="shared" si="9"/>
        <v>10302</v>
      </c>
      <c r="B82" s="11">
        <f t="shared" si="5"/>
        <v>3</v>
      </c>
      <c r="C82" s="11">
        <f t="shared" si="6"/>
        <v>2</v>
      </c>
      <c r="D82" s="11">
        <f t="shared" si="7"/>
        <v>0.05</v>
      </c>
      <c r="E82" s="11" t="str">
        <f t="shared" si="8"/>
        <v>闪避率|百分比</v>
      </c>
      <c r="AM82"/>
    </row>
    <row r="83" spans="1:39">
      <c r="A83" s="11">
        <f t="shared" si="9"/>
        <v>10303</v>
      </c>
      <c r="B83" s="11">
        <f t="shared" si="5"/>
        <v>3</v>
      </c>
      <c r="C83" s="11">
        <f t="shared" si="6"/>
        <v>3</v>
      </c>
      <c r="D83" s="11">
        <f t="shared" si="7"/>
        <v>150</v>
      </c>
      <c r="E83" s="11" t="str">
        <f t="shared" si="8"/>
        <v>防御|数值</v>
      </c>
      <c r="AM83"/>
    </row>
    <row r="84" spans="1:39">
      <c r="A84" s="11">
        <f t="shared" si="9"/>
        <v>10304</v>
      </c>
      <c r="B84" s="11">
        <f t="shared" si="5"/>
        <v>3</v>
      </c>
      <c r="C84" s="11">
        <f t="shared" si="6"/>
        <v>4</v>
      </c>
      <c r="D84" s="11">
        <f t="shared" si="7"/>
        <v>0.2</v>
      </c>
      <c r="E84" s="11" t="str">
        <f t="shared" si="8"/>
        <v>抗暴率|百分比</v>
      </c>
      <c r="AM84"/>
    </row>
    <row r="85" spans="1:39">
      <c r="A85" s="11">
        <f t="shared" si="9"/>
        <v>10305</v>
      </c>
      <c r="B85" s="11">
        <f t="shared" si="5"/>
        <v>3</v>
      </c>
      <c r="C85" s="11">
        <f t="shared" si="6"/>
        <v>5</v>
      </c>
      <c r="D85" s="11">
        <f t="shared" si="7"/>
        <v>300</v>
      </c>
      <c r="E85" s="11" t="str">
        <f t="shared" si="8"/>
        <v>攻击|数值</v>
      </c>
      <c r="AM85"/>
    </row>
    <row r="86" spans="1:39">
      <c r="A86" s="11">
        <f t="shared" si="9"/>
        <v>10306</v>
      </c>
      <c r="B86" s="11">
        <f t="shared" si="5"/>
        <v>3</v>
      </c>
      <c r="C86" s="11">
        <f t="shared" si="6"/>
        <v>6</v>
      </c>
      <c r="D86" s="11">
        <f t="shared" si="7"/>
        <v>0.15</v>
      </c>
      <c r="E86" s="11" t="str">
        <f t="shared" si="8"/>
        <v>伤害减免|百分比</v>
      </c>
      <c r="AM86"/>
    </row>
    <row r="87" spans="1:39">
      <c r="A87" s="11">
        <f t="shared" si="9"/>
        <v>10307</v>
      </c>
      <c r="B87" s="11">
        <f t="shared" si="5"/>
        <v>3</v>
      </c>
      <c r="C87" s="11">
        <f t="shared" si="6"/>
        <v>7</v>
      </c>
      <c r="D87" s="11">
        <f t="shared" si="7"/>
        <v>850</v>
      </c>
      <c r="E87" s="11" t="str">
        <f t="shared" si="8"/>
        <v>防御|数值</v>
      </c>
      <c r="AM87"/>
    </row>
    <row r="88" spans="1:39">
      <c r="A88" s="11">
        <f t="shared" si="9"/>
        <v>10308</v>
      </c>
      <c r="B88" s="11">
        <f t="shared" si="5"/>
        <v>3</v>
      </c>
      <c r="C88" s="11">
        <f t="shared" si="6"/>
        <v>8</v>
      </c>
      <c r="D88" s="11">
        <f t="shared" si="7"/>
        <v>0.15</v>
      </c>
      <c r="E88" s="11" t="str">
        <f t="shared" si="8"/>
        <v>防御|百分比</v>
      </c>
      <c r="AM88"/>
    </row>
    <row r="89" spans="1:39">
      <c r="A89" s="11">
        <f t="shared" si="9"/>
        <v>10309</v>
      </c>
      <c r="B89" s="11">
        <f t="shared" si="5"/>
        <v>3</v>
      </c>
      <c r="C89" s="11">
        <f t="shared" si="6"/>
        <v>9</v>
      </c>
      <c r="D89" s="11">
        <f t="shared" si="7"/>
        <v>71999.999999999985</v>
      </c>
      <c r="E89" s="11" t="str">
        <f t="shared" si="8"/>
        <v>生命|数值</v>
      </c>
      <c r="AM89"/>
    </row>
    <row r="90" spans="1:39">
      <c r="A90" s="11">
        <f t="shared" si="9"/>
        <v>10310</v>
      </c>
      <c r="B90" s="11">
        <f t="shared" si="5"/>
        <v>3</v>
      </c>
      <c r="C90" s="11">
        <f t="shared" si="6"/>
        <v>10</v>
      </c>
      <c r="D90" s="11">
        <f t="shared" si="7"/>
        <v>0.2</v>
      </c>
      <c r="E90" s="11" t="str">
        <f t="shared" si="8"/>
        <v>生命|百分比</v>
      </c>
      <c r="AM90"/>
    </row>
    <row r="91" spans="1:39">
      <c r="A91" s="11">
        <f t="shared" si="9"/>
        <v>10311</v>
      </c>
      <c r="B91" s="11">
        <f t="shared" si="5"/>
        <v>3</v>
      </c>
      <c r="C91" s="11">
        <f t="shared" si="6"/>
        <v>11</v>
      </c>
      <c r="D91" s="11">
        <f t="shared" si="7"/>
        <v>1200</v>
      </c>
      <c r="E91" s="11" t="str">
        <f t="shared" si="8"/>
        <v>攻击|数值</v>
      </c>
      <c r="AM91"/>
    </row>
    <row r="92" spans="1:39">
      <c r="A92" s="11">
        <f t="shared" si="9"/>
        <v>10312</v>
      </c>
      <c r="B92" s="11">
        <f t="shared" si="5"/>
        <v>3</v>
      </c>
      <c r="C92" s="11">
        <f t="shared" si="6"/>
        <v>12</v>
      </c>
      <c r="D92" s="11">
        <f t="shared" si="7"/>
        <v>0.1</v>
      </c>
      <c r="E92" s="11" t="str">
        <f t="shared" si="8"/>
        <v>攻击|百分比</v>
      </c>
      <c r="AM92"/>
    </row>
    <row r="93" spans="1:39">
      <c r="A93" s="11">
        <f t="shared" si="9"/>
        <v>10313</v>
      </c>
      <c r="B93" s="11">
        <f t="shared" si="5"/>
        <v>3</v>
      </c>
      <c r="C93" s="11">
        <f t="shared" si="6"/>
        <v>13</v>
      </c>
      <c r="D93" s="11">
        <f t="shared" si="7"/>
        <v>0.25</v>
      </c>
      <c r="E93" s="11" t="str">
        <f t="shared" si="8"/>
        <v>防御|百分比</v>
      </c>
      <c r="AM93"/>
    </row>
    <row r="94" spans="1:39">
      <c r="A94" s="11">
        <f t="shared" si="9"/>
        <v>10314</v>
      </c>
      <c r="B94" s="11">
        <f t="shared" si="5"/>
        <v>3</v>
      </c>
      <c r="C94" s="11">
        <f t="shared" si="6"/>
        <v>14</v>
      </c>
      <c r="D94" s="11">
        <f t="shared" si="7"/>
        <v>0.2</v>
      </c>
      <c r="E94" s="11" t="str">
        <f t="shared" si="8"/>
        <v>攻击|百分比</v>
      </c>
      <c r="AM94"/>
    </row>
    <row r="95" spans="1:39">
      <c r="A95" s="11">
        <f t="shared" si="9"/>
        <v>10315</v>
      </c>
      <c r="B95" s="11">
        <f t="shared" si="5"/>
        <v>3</v>
      </c>
      <c r="C95" s="11">
        <f t="shared" si="6"/>
        <v>15</v>
      </c>
      <c r="D95" s="11">
        <f t="shared" si="7"/>
        <v>0.3</v>
      </c>
      <c r="E95" s="11" t="str">
        <f t="shared" si="8"/>
        <v>生命|百分比</v>
      </c>
      <c r="AM95"/>
    </row>
    <row r="96" spans="1:39">
      <c r="A96" s="11">
        <f t="shared" si="9"/>
        <v>10401</v>
      </c>
      <c r="B96" s="11">
        <f t="shared" si="5"/>
        <v>4</v>
      </c>
      <c r="C96" s="11">
        <f t="shared" si="6"/>
        <v>1</v>
      </c>
      <c r="D96" s="11">
        <f t="shared" si="7"/>
        <v>100</v>
      </c>
      <c r="E96" s="11" t="str">
        <f t="shared" si="8"/>
        <v>攻击|数值</v>
      </c>
      <c r="AM96"/>
    </row>
    <row r="97" spans="1:39">
      <c r="A97" s="11">
        <f t="shared" si="9"/>
        <v>10402</v>
      </c>
      <c r="B97" s="11">
        <f t="shared" si="5"/>
        <v>4</v>
      </c>
      <c r="C97" s="11">
        <f t="shared" si="6"/>
        <v>2</v>
      </c>
      <c r="D97" s="11">
        <f t="shared" si="7"/>
        <v>0.1</v>
      </c>
      <c r="E97" s="11" t="str">
        <f t="shared" si="8"/>
        <v>暴击率|百分比</v>
      </c>
      <c r="AM97"/>
    </row>
    <row r="98" spans="1:39">
      <c r="A98" s="11">
        <f t="shared" si="9"/>
        <v>10403</v>
      </c>
      <c r="B98" s="11">
        <f t="shared" si="5"/>
        <v>4</v>
      </c>
      <c r="C98" s="11">
        <f t="shared" si="6"/>
        <v>3</v>
      </c>
      <c r="D98" s="11">
        <f t="shared" si="7"/>
        <v>250</v>
      </c>
      <c r="E98" s="11" t="str">
        <f t="shared" si="8"/>
        <v>攻击|数值</v>
      </c>
      <c r="AM98"/>
    </row>
    <row r="99" spans="1:39">
      <c r="A99" s="11">
        <f t="shared" si="9"/>
        <v>10404</v>
      </c>
      <c r="B99" s="11">
        <f t="shared" si="5"/>
        <v>4</v>
      </c>
      <c r="C99" s="11">
        <f t="shared" si="6"/>
        <v>4</v>
      </c>
      <c r="D99" s="11">
        <f t="shared" si="7"/>
        <v>0.1</v>
      </c>
      <c r="E99" s="11" t="str">
        <f t="shared" si="8"/>
        <v>伤害加成|百分比</v>
      </c>
      <c r="AM99"/>
    </row>
    <row r="100" spans="1:39">
      <c r="A100" s="11">
        <f t="shared" si="9"/>
        <v>10405</v>
      </c>
      <c r="B100" s="11">
        <f t="shared" si="5"/>
        <v>4</v>
      </c>
      <c r="C100" s="11">
        <f t="shared" si="6"/>
        <v>5</v>
      </c>
      <c r="D100" s="11">
        <f t="shared" si="7"/>
        <v>400</v>
      </c>
      <c r="E100" s="11" t="str">
        <f t="shared" si="8"/>
        <v>攻击|数值</v>
      </c>
      <c r="AM100"/>
    </row>
    <row r="101" spans="1:39">
      <c r="A101" s="11">
        <f t="shared" si="9"/>
        <v>10406</v>
      </c>
      <c r="B101" s="11">
        <f t="shared" si="5"/>
        <v>4</v>
      </c>
      <c r="C101" s="11">
        <f t="shared" si="6"/>
        <v>6</v>
      </c>
      <c r="D101" s="11">
        <f t="shared" si="7"/>
        <v>0.15</v>
      </c>
      <c r="E101" s="11" t="str">
        <f t="shared" si="8"/>
        <v>命中率|百分比</v>
      </c>
      <c r="AM101"/>
    </row>
    <row r="102" spans="1:39">
      <c r="A102" s="11">
        <f t="shared" si="9"/>
        <v>10407</v>
      </c>
      <c r="B102" s="11">
        <f t="shared" si="5"/>
        <v>4</v>
      </c>
      <c r="C102" s="11">
        <f t="shared" si="6"/>
        <v>7</v>
      </c>
      <c r="D102" s="11">
        <f t="shared" si="7"/>
        <v>500</v>
      </c>
      <c r="E102" s="11" t="str">
        <f t="shared" si="8"/>
        <v>防御|数值</v>
      </c>
      <c r="AM102"/>
    </row>
    <row r="103" spans="1:39">
      <c r="A103" s="11">
        <f t="shared" si="9"/>
        <v>10408</v>
      </c>
      <c r="B103" s="11">
        <f t="shared" si="5"/>
        <v>4</v>
      </c>
      <c r="C103" s="11">
        <f t="shared" si="6"/>
        <v>8</v>
      </c>
      <c r="D103" s="11">
        <f t="shared" si="7"/>
        <v>0.1</v>
      </c>
      <c r="E103" s="11" t="str">
        <f t="shared" si="8"/>
        <v>攻击|百分比</v>
      </c>
      <c r="AM103"/>
    </row>
    <row r="104" spans="1:39">
      <c r="A104" s="11">
        <f t="shared" si="9"/>
        <v>10409</v>
      </c>
      <c r="B104" s="11">
        <f t="shared" si="5"/>
        <v>4</v>
      </c>
      <c r="C104" s="11">
        <f t="shared" si="6"/>
        <v>9</v>
      </c>
      <c r="D104" s="11">
        <f t="shared" si="7"/>
        <v>44999.999999999993</v>
      </c>
      <c r="E104" s="11" t="str">
        <f t="shared" si="8"/>
        <v>生命|数值</v>
      </c>
      <c r="AM104"/>
    </row>
    <row r="105" spans="1:39">
      <c r="A105" s="11">
        <f t="shared" si="9"/>
        <v>10410</v>
      </c>
      <c r="B105" s="11">
        <f t="shared" si="5"/>
        <v>4</v>
      </c>
      <c r="C105" s="11">
        <f t="shared" si="6"/>
        <v>10</v>
      </c>
      <c r="D105" s="11">
        <f t="shared" si="7"/>
        <v>0.1</v>
      </c>
      <c r="E105" s="11" t="str">
        <f t="shared" si="8"/>
        <v>生命|百分比</v>
      </c>
      <c r="AM105"/>
    </row>
    <row r="106" spans="1:39">
      <c r="A106" s="11">
        <f t="shared" si="9"/>
        <v>10411</v>
      </c>
      <c r="B106" s="11">
        <f t="shared" si="5"/>
        <v>4</v>
      </c>
      <c r="C106" s="11">
        <f t="shared" si="6"/>
        <v>11</v>
      </c>
      <c r="D106" s="11">
        <f t="shared" si="7"/>
        <v>1750</v>
      </c>
      <c r="E106" s="11" t="str">
        <f t="shared" si="8"/>
        <v>攻击|数值</v>
      </c>
      <c r="AM106"/>
    </row>
    <row r="107" spans="1:39">
      <c r="A107" s="11">
        <f t="shared" si="9"/>
        <v>10412</v>
      </c>
      <c r="B107" s="11">
        <f t="shared" si="5"/>
        <v>4</v>
      </c>
      <c r="C107" s="11">
        <f t="shared" si="6"/>
        <v>12</v>
      </c>
      <c r="D107" s="11">
        <f t="shared" si="7"/>
        <v>0.15</v>
      </c>
      <c r="E107" s="11" t="str">
        <f t="shared" si="8"/>
        <v>攻击|百分比</v>
      </c>
      <c r="AM107"/>
    </row>
    <row r="108" spans="1:39">
      <c r="A108" s="11">
        <f t="shared" si="9"/>
        <v>10413</v>
      </c>
      <c r="B108" s="11">
        <f t="shared" si="5"/>
        <v>4</v>
      </c>
      <c r="C108" s="11">
        <f t="shared" si="6"/>
        <v>13</v>
      </c>
      <c r="D108" s="11">
        <f t="shared" si="7"/>
        <v>0.2</v>
      </c>
      <c r="E108" s="11" t="str">
        <f t="shared" si="8"/>
        <v>防御|百分比</v>
      </c>
      <c r="AM108"/>
    </row>
    <row r="109" spans="1:39">
      <c r="A109" s="11">
        <f t="shared" si="9"/>
        <v>10414</v>
      </c>
      <c r="B109" s="11">
        <f t="shared" si="5"/>
        <v>4</v>
      </c>
      <c r="C109" s="11">
        <f t="shared" si="6"/>
        <v>14</v>
      </c>
      <c r="D109" s="11">
        <f t="shared" si="7"/>
        <v>0.2</v>
      </c>
      <c r="E109" s="11" t="str">
        <f t="shared" si="8"/>
        <v>生命|百分比</v>
      </c>
      <c r="AM109"/>
    </row>
    <row r="110" spans="1:39">
      <c r="A110" s="11">
        <f t="shared" si="9"/>
        <v>10415</v>
      </c>
      <c r="B110" s="11">
        <f t="shared" si="5"/>
        <v>4</v>
      </c>
      <c r="C110" s="11">
        <f t="shared" si="6"/>
        <v>15</v>
      </c>
      <c r="D110" s="11">
        <f t="shared" si="7"/>
        <v>0.25</v>
      </c>
      <c r="E110" s="11" t="str">
        <f t="shared" si="8"/>
        <v>攻击|百分比</v>
      </c>
      <c r="AM110"/>
    </row>
    <row r="111" spans="1:39">
      <c r="A111" s="11">
        <f t="shared" si="9"/>
        <v>10501</v>
      </c>
      <c r="B111" s="11">
        <f t="shared" si="5"/>
        <v>5</v>
      </c>
      <c r="C111" s="11">
        <f t="shared" si="6"/>
        <v>1</v>
      </c>
      <c r="D111" s="11">
        <f t="shared" si="7"/>
        <v>100</v>
      </c>
      <c r="E111" s="11" t="str">
        <f t="shared" si="8"/>
        <v>攻击|数值</v>
      </c>
      <c r="AM111"/>
    </row>
    <row r="112" spans="1:39">
      <c r="A112" s="11">
        <f t="shared" si="9"/>
        <v>10502</v>
      </c>
      <c r="B112" s="11">
        <f t="shared" si="5"/>
        <v>5</v>
      </c>
      <c r="C112" s="11">
        <f t="shared" si="6"/>
        <v>2</v>
      </c>
      <c r="D112" s="11">
        <f t="shared" si="7"/>
        <v>0.05</v>
      </c>
      <c r="E112" s="11" t="str">
        <f t="shared" si="8"/>
        <v>命中率|百分比</v>
      </c>
      <c r="AM112"/>
    </row>
    <row r="113" spans="1:39">
      <c r="A113" s="11">
        <f t="shared" si="9"/>
        <v>10503</v>
      </c>
      <c r="B113" s="11">
        <f t="shared" si="5"/>
        <v>5</v>
      </c>
      <c r="C113" s="11">
        <f t="shared" si="6"/>
        <v>3</v>
      </c>
      <c r="D113" s="11">
        <f t="shared" si="7"/>
        <v>250</v>
      </c>
      <c r="E113" s="11" t="str">
        <f t="shared" si="8"/>
        <v>攻击|数值</v>
      </c>
      <c r="AM113"/>
    </row>
    <row r="114" spans="1:39">
      <c r="A114" s="11">
        <f t="shared" si="9"/>
        <v>10504</v>
      </c>
      <c r="B114" s="11">
        <f t="shared" si="5"/>
        <v>5</v>
      </c>
      <c r="C114" s="11">
        <f t="shared" si="6"/>
        <v>4</v>
      </c>
      <c r="D114" s="11">
        <f t="shared" si="7"/>
        <v>0.1</v>
      </c>
      <c r="E114" s="11" t="str">
        <f t="shared" si="8"/>
        <v>伤害加成|百分比</v>
      </c>
      <c r="AM114"/>
    </row>
    <row r="115" spans="1:39">
      <c r="A115" s="11">
        <f t="shared" si="9"/>
        <v>10505</v>
      </c>
      <c r="B115" s="11">
        <f t="shared" si="5"/>
        <v>5</v>
      </c>
      <c r="C115" s="11">
        <f t="shared" si="6"/>
        <v>5</v>
      </c>
      <c r="D115" s="11">
        <f t="shared" si="7"/>
        <v>400</v>
      </c>
      <c r="E115" s="11" t="str">
        <f t="shared" si="8"/>
        <v>攻击|数值</v>
      </c>
      <c r="AM115"/>
    </row>
    <row r="116" spans="1:39">
      <c r="A116" s="11">
        <f t="shared" si="9"/>
        <v>10506</v>
      </c>
      <c r="B116" s="11">
        <f t="shared" ref="B116:B179" si="10">INT(MID(A116,2,2))</f>
        <v>5</v>
      </c>
      <c r="C116" s="11">
        <f t="shared" ref="C116:C179" si="11">INT(MID(A116,4,2))</f>
        <v>6</v>
      </c>
      <c r="D116" s="11">
        <f t="shared" ref="D116:D179" si="12">VLOOKUP(B116,$A$22:$P$34,C116+1,FALSE)</f>
        <v>0.3</v>
      </c>
      <c r="E116" s="11" t="str">
        <f t="shared" ref="E116:E179" si="13">VLOOKUP(B116,$A$38:$P$49,C116+1,FALSE)</f>
        <v>暴击率|百分比</v>
      </c>
      <c r="AM116"/>
    </row>
    <row r="117" spans="1:39">
      <c r="A117" s="11">
        <f t="shared" si="9"/>
        <v>10507</v>
      </c>
      <c r="B117" s="11">
        <f t="shared" si="10"/>
        <v>5</v>
      </c>
      <c r="C117" s="11">
        <f t="shared" si="11"/>
        <v>7</v>
      </c>
      <c r="D117" s="11">
        <f t="shared" si="12"/>
        <v>500</v>
      </c>
      <c r="E117" s="11" t="str">
        <f t="shared" si="13"/>
        <v>防御|数值</v>
      </c>
      <c r="AM117"/>
    </row>
    <row r="118" spans="1:39">
      <c r="A118" s="11">
        <f t="shared" si="9"/>
        <v>10508</v>
      </c>
      <c r="B118" s="11">
        <f t="shared" si="10"/>
        <v>5</v>
      </c>
      <c r="C118" s="11">
        <f t="shared" si="11"/>
        <v>8</v>
      </c>
      <c r="D118" s="11">
        <f t="shared" si="12"/>
        <v>0.1</v>
      </c>
      <c r="E118" s="11" t="str">
        <f t="shared" si="13"/>
        <v>攻击|百分比</v>
      </c>
      <c r="AM118"/>
    </row>
    <row r="119" spans="1:39">
      <c r="A119" s="11">
        <f t="shared" si="9"/>
        <v>10509</v>
      </c>
      <c r="B119" s="11">
        <f t="shared" si="10"/>
        <v>5</v>
      </c>
      <c r="C119" s="11">
        <f t="shared" si="11"/>
        <v>9</v>
      </c>
      <c r="D119" s="11">
        <f t="shared" si="12"/>
        <v>44999.999999999993</v>
      </c>
      <c r="E119" s="11" t="str">
        <f t="shared" si="13"/>
        <v>生命|数值</v>
      </c>
      <c r="AM119"/>
    </row>
    <row r="120" spans="1:39">
      <c r="A120" s="11">
        <f t="shared" si="9"/>
        <v>10510</v>
      </c>
      <c r="B120" s="11">
        <f t="shared" si="10"/>
        <v>5</v>
      </c>
      <c r="C120" s="11">
        <f t="shared" si="11"/>
        <v>10</v>
      </c>
      <c r="D120" s="11">
        <f t="shared" si="12"/>
        <v>0.1</v>
      </c>
      <c r="E120" s="11" t="str">
        <f t="shared" si="13"/>
        <v>生命|百分比</v>
      </c>
      <c r="AM120"/>
    </row>
    <row r="121" spans="1:39">
      <c r="A121" s="11">
        <f t="shared" si="9"/>
        <v>10511</v>
      </c>
      <c r="B121" s="11">
        <f t="shared" si="10"/>
        <v>5</v>
      </c>
      <c r="C121" s="11">
        <f t="shared" si="11"/>
        <v>11</v>
      </c>
      <c r="D121" s="11">
        <f t="shared" si="12"/>
        <v>1750</v>
      </c>
      <c r="E121" s="11" t="str">
        <f t="shared" si="13"/>
        <v>攻击|数值</v>
      </c>
      <c r="AM121"/>
    </row>
    <row r="122" spans="1:39">
      <c r="A122" s="11">
        <f t="shared" si="9"/>
        <v>10512</v>
      </c>
      <c r="B122" s="11">
        <f t="shared" si="10"/>
        <v>5</v>
      </c>
      <c r="C122" s="11">
        <f t="shared" si="11"/>
        <v>12</v>
      </c>
      <c r="D122" s="11">
        <f t="shared" si="12"/>
        <v>0.15</v>
      </c>
      <c r="E122" s="11" t="str">
        <f t="shared" si="13"/>
        <v>攻击|百分比</v>
      </c>
      <c r="AM122"/>
    </row>
    <row r="123" spans="1:39">
      <c r="A123" s="11">
        <f t="shared" si="9"/>
        <v>10513</v>
      </c>
      <c r="B123" s="11">
        <f t="shared" si="10"/>
        <v>5</v>
      </c>
      <c r="C123" s="11">
        <f t="shared" si="11"/>
        <v>13</v>
      </c>
      <c r="D123" s="11">
        <f t="shared" si="12"/>
        <v>0.2</v>
      </c>
      <c r="E123" s="11" t="str">
        <f t="shared" si="13"/>
        <v>防御|百分比</v>
      </c>
      <c r="AM123"/>
    </row>
    <row r="124" spans="1:39">
      <c r="A124" s="11">
        <f t="shared" si="9"/>
        <v>10514</v>
      </c>
      <c r="B124" s="11">
        <f t="shared" si="10"/>
        <v>5</v>
      </c>
      <c r="C124" s="11">
        <f t="shared" si="11"/>
        <v>14</v>
      </c>
      <c r="D124" s="11">
        <f t="shared" si="12"/>
        <v>0.2</v>
      </c>
      <c r="E124" s="11" t="str">
        <f t="shared" si="13"/>
        <v>生命|百分比</v>
      </c>
      <c r="AM124"/>
    </row>
    <row r="125" spans="1:39">
      <c r="A125" s="11">
        <f t="shared" si="9"/>
        <v>10515</v>
      </c>
      <c r="B125" s="11">
        <f t="shared" si="10"/>
        <v>5</v>
      </c>
      <c r="C125" s="11">
        <f t="shared" si="11"/>
        <v>15</v>
      </c>
      <c r="D125" s="11">
        <f t="shared" si="12"/>
        <v>0.25</v>
      </c>
      <c r="E125" s="11" t="str">
        <f t="shared" si="13"/>
        <v>攻击|百分比</v>
      </c>
      <c r="AM125"/>
    </row>
    <row r="126" spans="1:39">
      <c r="A126" s="11">
        <f t="shared" si="9"/>
        <v>10601</v>
      </c>
      <c r="B126" s="11">
        <f t="shared" si="10"/>
        <v>6</v>
      </c>
      <c r="C126" s="11">
        <f t="shared" si="11"/>
        <v>1</v>
      </c>
      <c r="D126" s="11">
        <f t="shared" si="12"/>
        <v>100</v>
      </c>
      <c r="E126" s="11" t="str">
        <f t="shared" si="13"/>
        <v>攻击|数值</v>
      </c>
      <c r="AM126"/>
    </row>
    <row r="127" spans="1:39">
      <c r="A127" s="11">
        <f t="shared" si="9"/>
        <v>10602</v>
      </c>
      <c r="B127" s="11">
        <f t="shared" si="10"/>
        <v>6</v>
      </c>
      <c r="C127" s="11">
        <f t="shared" si="11"/>
        <v>2</v>
      </c>
      <c r="D127" s="11">
        <f t="shared" si="12"/>
        <v>0.05</v>
      </c>
      <c r="E127" s="11" t="str">
        <f t="shared" si="13"/>
        <v>命中率|百分比</v>
      </c>
      <c r="AM127"/>
    </row>
    <row r="128" spans="1:39">
      <c r="A128" s="11">
        <f t="shared" si="9"/>
        <v>10603</v>
      </c>
      <c r="B128" s="11">
        <f t="shared" si="10"/>
        <v>6</v>
      </c>
      <c r="C128" s="11">
        <f t="shared" si="11"/>
        <v>3</v>
      </c>
      <c r="D128" s="11">
        <f t="shared" si="12"/>
        <v>250</v>
      </c>
      <c r="E128" s="11" t="str">
        <f t="shared" si="13"/>
        <v>攻击|数值</v>
      </c>
      <c r="AM128"/>
    </row>
    <row r="129" spans="1:39">
      <c r="A129" s="11">
        <f t="shared" si="9"/>
        <v>10604</v>
      </c>
      <c r="B129" s="11">
        <f t="shared" si="10"/>
        <v>6</v>
      </c>
      <c r="C129" s="11">
        <f t="shared" si="11"/>
        <v>4</v>
      </c>
      <c r="D129" s="11">
        <f t="shared" si="12"/>
        <v>0.2</v>
      </c>
      <c r="E129" s="11" t="str">
        <f t="shared" si="13"/>
        <v>暴击率|百分比</v>
      </c>
      <c r="AM129"/>
    </row>
    <row r="130" spans="1:39">
      <c r="A130" s="11">
        <f t="shared" si="9"/>
        <v>10605</v>
      </c>
      <c r="B130" s="11">
        <f t="shared" si="10"/>
        <v>6</v>
      </c>
      <c r="C130" s="11">
        <f t="shared" si="11"/>
        <v>5</v>
      </c>
      <c r="D130" s="11">
        <f t="shared" si="12"/>
        <v>400</v>
      </c>
      <c r="E130" s="11" t="str">
        <f t="shared" si="13"/>
        <v>攻击|数值</v>
      </c>
      <c r="AM130"/>
    </row>
    <row r="131" spans="1:39">
      <c r="A131" s="11">
        <f t="shared" ref="A131:A194" si="14">A116+100</f>
        <v>10606</v>
      </c>
      <c r="B131" s="11">
        <f t="shared" si="10"/>
        <v>6</v>
      </c>
      <c r="C131" s="11">
        <f t="shared" si="11"/>
        <v>6</v>
      </c>
      <c r="D131" s="11">
        <f t="shared" si="12"/>
        <v>0.15</v>
      </c>
      <c r="E131" s="11" t="str">
        <f t="shared" si="13"/>
        <v>伤害加成|百分比</v>
      </c>
      <c r="AM131"/>
    </row>
    <row r="132" spans="1:39">
      <c r="A132" s="11">
        <f t="shared" si="14"/>
        <v>10607</v>
      </c>
      <c r="B132" s="11">
        <f t="shared" si="10"/>
        <v>6</v>
      </c>
      <c r="C132" s="11">
        <f t="shared" si="11"/>
        <v>7</v>
      </c>
      <c r="D132" s="11">
        <f t="shared" si="12"/>
        <v>500</v>
      </c>
      <c r="E132" s="11" t="str">
        <f t="shared" si="13"/>
        <v>防御|数值</v>
      </c>
      <c r="AM132"/>
    </row>
    <row r="133" spans="1:39">
      <c r="A133" s="11">
        <f t="shared" si="14"/>
        <v>10608</v>
      </c>
      <c r="B133" s="11">
        <f t="shared" si="10"/>
        <v>6</v>
      </c>
      <c r="C133" s="11">
        <f t="shared" si="11"/>
        <v>8</v>
      </c>
      <c r="D133" s="11">
        <f t="shared" si="12"/>
        <v>0.1</v>
      </c>
      <c r="E133" s="11" t="str">
        <f t="shared" si="13"/>
        <v>攻击|百分比</v>
      </c>
      <c r="AM133"/>
    </row>
    <row r="134" spans="1:39">
      <c r="A134" s="11">
        <f t="shared" si="14"/>
        <v>10609</v>
      </c>
      <c r="B134" s="11">
        <f t="shared" si="10"/>
        <v>6</v>
      </c>
      <c r="C134" s="11">
        <f t="shared" si="11"/>
        <v>9</v>
      </c>
      <c r="D134" s="11">
        <f t="shared" si="12"/>
        <v>44999.999999999993</v>
      </c>
      <c r="E134" s="11" t="str">
        <f t="shared" si="13"/>
        <v>生命|数值</v>
      </c>
      <c r="AM134"/>
    </row>
    <row r="135" spans="1:39">
      <c r="A135" s="11">
        <f t="shared" si="14"/>
        <v>10610</v>
      </c>
      <c r="B135" s="11">
        <f t="shared" si="10"/>
        <v>6</v>
      </c>
      <c r="C135" s="11">
        <f t="shared" si="11"/>
        <v>10</v>
      </c>
      <c r="D135" s="11">
        <f t="shared" si="12"/>
        <v>0.1</v>
      </c>
      <c r="E135" s="11" t="str">
        <f t="shared" si="13"/>
        <v>生命|百分比</v>
      </c>
      <c r="AM135"/>
    </row>
    <row r="136" spans="1:39">
      <c r="A136" s="11">
        <f t="shared" si="14"/>
        <v>10611</v>
      </c>
      <c r="B136" s="11">
        <f t="shared" si="10"/>
        <v>6</v>
      </c>
      <c r="C136" s="11">
        <f t="shared" si="11"/>
        <v>11</v>
      </c>
      <c r="D136" s="11">
        <f t="shared" si="12"/>
        <v>1750</v>
      </c>
      <c r="E136" s="11" t="str">
        <f t="shared" si="13"/>
        <v>攻击|数值</v>
      </c>
      <c r="AM136"/>
    </row>
    <row r="137" spans="1:39">
      <c r="A137" s="11">
        <f t="shared" si="14"/>
        <v>10612</v>
      </c>
      <c r="B137" s="11">
        <f t="shared" si="10"/>
        <v>6</v>
      </c>
      <c r="C137" s="11">
        <f t="shared" si="11"/>
        <v>12</v>
      </c>
      <c r="D137" s="11">
        <f t="shared" si="12"/>
        <v>0.15</v>
      </c>
      <c r="E137" s="11" t="str">
        <f t="shared" si="13"/>
        <v>攻击|百分比</v>
      </c>
      <c r="AM137"/>
    </row>
    <row r="138" spans="1:39">
      <c r="A138" s="11">
        <f t="shared" si="14"/>
        <v>10613</v>
      </c>
      <c r="B138" s="11">
        <f t="shared" si="10"/>
        <v>6</v>
      </c>
      <c r="C138" s="11">
        <f t="shared" si="11"/>
        <v>13</v>
      </c>
      <c r="D138" s="11">
        <f t="shared" si="12"/>
        <v>0.2</v>
      </c>
      <c r="E138" s="11" t="str">
        <f t="shared" si="13"/>
        <v>防御|百分比</v>
      </c>
      <c r="AM138"/>
    </row>
    <row r="139" spans="1:39">
      <c r="A139" s="11">
        <f t="shared" si="14"/>
        <v>10614</v>
      </c>
      <c r="B139" s="11">
        <f t="shared" si="10"/>
        <v>6</v>
      </c>
      <c r="C139" s="11">
        <f t="shared" si="11"/>
        <v>14</v>
      </c>
      <c r="D139" s="11">
        <f t="shared" si="12"/>
        <v>0.2</v>
      </c>
      <c r="E139" s="11" t="str">
        <f t="shared" si="13"/>
        <v>生命|百分比</v>
      </c>
      <c r="AM139"/>
    </row>
    <row r="140" spans="1:39">
      <c r="A140" s="11">
        <f t="shared" si="14"/>
        <v>10615</v>
      </c>
      <c r="B140" s="11">
        <f t="shared" si="10"/>
        <v>6</v>
      </c>
      <c r="C140" s="11">
        <f t="shared" si="11"/>
        <v>15</v>
      </c>
      <c r="D140" s="11">
        <f t="shared" si="12"/>
        <v>0.25</v>
      </c>
      <c r="E140" s="11" t="str">
        <f t="shared" si="13"/>
        <v>攻击|百分比</v>
      </c>
      <c r="AM140"/>
    </row>
    <row r="141" spans="1:39">
      <c r="A141" s="11">
        <f t="shared" si="14"/>
        <v>10701</v>
      </c>
      <c r="B141" s="11">
        <f t="shared" si="10"/>
        <v>7</v>
      </c>
      <c r="C141" s="11">
        <f t="shared" si="11"/>
        <v>1</v>
      </c>
      <c r="D141" s="11">
        <f t="shared" si="12"/>
        <v>100</v>
      </c>
      <c r="E141" s="11" t="str">
        <f t="shared" si="13"/>
        <v>防御|数值</v>
      </c>
      <c r="AM141"/>
    </row>
    <row r="142" spans="1:39">
      <c r="A142" s="11">
        <f t="shared" si="14"/>
        <v>10702</v>
      </c>
      <c r="B142" s="11">
        <f t="shared" si="10"/>
        <v>7</v>
      </c>
      <c r="C142" s="11">
        <f t="shared" si="11"/>
        <v>2</v>
      </c>
      <c r="D142" s="11">
        <f t="shared" si="12"/>
        <v>0.1</v>
      </c>
      <c r="E142" s="11" t="str">
        <f t="shared" si="13"/>
        <v>抗暴率|百分比</v>
      </c>
      <c r="AM142"/>
    </row>
    <row r="143" spans="1:39">
      <c r="A143" s="11">
        <f t="shared" si="14"/>
        <v>10703</v>
      </c>
      <c r="B143" s="11">
        <f t="shared" si="10"/>
        <v>7</v>
      </c>
      <c r="C143" s="11">
        <f t="shared" si="11"/>
        <v>3</v>
      </c>
      <c r="D143" s="11">
        <f t="shared" si="12"/>
        <v>14999.999999999998</v>
      </c>
      <c r="E143" s="11" t="str">
        <f t="shared" si="13"/>
        <v>生命|数值</v>
      </c>
      <c r="AM143"/>
    </row>
    <row r="144" spans="1:39">
      <c r="A144" s="11">
        <f t="shared" si="14"/>
        <v>10704</v>
      </c>
      <c r="B144" s="11">
        <f t="shared" si="10"/>
        <v>7</v>
      </c>
      <c r="C144" s="11">
        <f t="shared" si="11"/>
        <v>4</v>
      </c>
      <c r="D144" s="11">
        <f t="shared" si="12"/>
        <v>0.1</v>
      </c>
      <c r="E144" s="11" t="str">
        <f t="shared" si="13"/>
        <v>伤害减免|百分比</v>
      </c>
      <c r="AM144"/>
    </row>
    <row r="145" spans="1:39">
      <c r="A145" s="11">
        <f t="shared" si="14"/>
        <v>10705</v>
      </c>
      <c r="B145" s="11">
        <f t="shared" si="10"/>
        <v>7</v>
      </c>
      <c r="C145" s="11">
        <f t="shared" si="11"/>
        <v>5</v>
      </c>
      <c r="D145" s="11">
        <f t="shared" si="12"/>
        <v>300</v>
      </c>
      <c r="E145" s="11" t="str">
        <f t="shared" si="13"/>
        <v>攻击|数值</v>
      </c>
      <c r="AM145"/>
    </row>
    <row r="146" spans="1:39">
      <c r="A146" s="11">
        <f t="shared" si="14"/>
        <v>10706</v>
      </c>
      <c r="B146" s="11">
        <f t="shared" si="10"/>
        <v>7</v>
      </c>
      <c r="C146" s="11">
        <f t="shared" si="11"/>
        <v>6</v>
      </c>
      <c r="D146" s="11">
        <f t="shared" si="12"/>
        <v>0.08</v>
      </c>
      <c r="E146" s="11" t="str">
        <f t="shared" si="13"/>
        <v>闪避率|光环百分比</v>
      </c>
      <c r="AM146"/>
    </row>
    <row r="147" spans="1:39">
      <c r="A147" s="11">
        <f t="shared" si="14"/>
        <v>10707</v>
      </c>
      <c r="B147" s="11">
        <f t="shared" si="10"/>
        <v>7</v>
      </c>
      <c r="C147" s="11">
        <f t="shared" si="11"/>
        <v>7</v>
      </c>
      <c r="D147" s="11">
        <f t="shared" si="12"/>
        <v>400</v>
      </c>
      <c r="E147" s="11" t="str">
        <f t="shared" si="13"/>
        <v>防御|光环数值</v>
      </c>
      <c r="AM147"/>
    </row>
    <row r="148" spans="1:39">
      <c r="A148" s="11">
        <f t="shared" si="14"/>
        <v>10708</v>
      </c>
      <c r="B148" s="11">
        <f t="shared" si="10"/>
        <v>7</v>
      </c>
      <c r="C148" s="11">
        <f t="shared" si="11"/>
        <v>8</v>
      </c>
      <c r="D148" s="11">
        <f t="shared" si="12"/>
        <v>0.1</v>
      </c>
      <c r="E148" s="11" t="str">
        <f t="shared" si="13"/>
        <v>防御|百分比</v>
      </c>
      <c r="AM148"/>
    </row>
    <row r="149" spans="1:39">
      <c r="A149" s="11">
        <f t="shared" si="14"/>
        <v>10709</v>
      </c>
      <c r="B149" s="11">
        <f t="shared" si="10"/>
        <v>7</v>
      </c>
      <c r="C149" s="11">
        <f t="shared" si="11"/>
        <v>9</v>
      </c>
      <c r="D149" s="11">
        <f t="shared" si="12"/>
        <v>29999.999999999996</v>
      </c>
      <c r="E149" s="11" t="str">
        <f t="shared" si="13"/>
        <v>生命|光环数值</v>
      </c>
      <c r="AM149"/>
    </row>
    <row r="150" spans="1:39">
      <c r="A150" s="11">
        <f t="shared" si="14"/>
        <v>10710</v>
      </c>
      <c r="B150" s="11">
        <f t="shared" si="10"/>
        <v>7</v>
      </c>
      <c r="C150" s="11">
        <f t="shared" si="11"/>
        <v>10</v>
      </c>
      <c r="D150" s="11">
        <f t="shared" si="12"/>
        <v>0.15</v>
      </c>
      <c r="E150" s="11" t="str">
        <f t="shared" si="13"/>
        <v>生命|百分比</v>
      </c>
      <c r="AM150"/>
    </row>
    <row r="151" spans="1:39">
      <c r="A151" s="11">
        <f t="shared" si="14"/>
        <v>10711</v>
      </c>
      <c r="B151" s="11">
        <f t="shared" si="10"/>
        <v>7</v>
      </c>
      <c r="C151" s="11">
        <f t="shared" si="11"/>
        <v>11</v>
      </c>
      <c r="D151" s="11">
        <f t="shared" si="12"/>
        <v>600</v>
      </c>
      <c r="E151" s="11" t="str">
        <f t="shared" si="13"/>
        <v>攻击|光环数值</v>
      </c>
      <c r="AM151"/>
    </row>
    <row r="152" spans="1:39">
      <c r="A152" s="11">
        <f t="shared" si="14"/>
        <v>10712</v>
      </c>
      <c r="B152" s="11">
        <f t="shared" si="10"/>
        <v>7</v>
      </c>
      <c r="C152" s="11">
        <f t="shared" si="11"/>
        <v>12</v>
      </c>
      <c r="D152" s="11">
        <f t="shared" si="12"/>
        <v>0.15</v>
      </c>
      <c r="E152" s="11" t="str">
        <f t="shared" si="13"/>
        <v>攻击|百分比</v>
      </c>
      <c r="AM152"/>
    </row>
    <row r="153" spans="1:39">
      <c r="A153" s="11">
        <f t="shared" si="14"/>
        <v>10713</v>
      </c>
      <c r="B153" s="11">
        <f t="shared" si="10"/>
        <v>7</v>
      </c>
      <c r="C153" s="11">
        <f t="shared" si="11"/>
        <v>13</v>
      </c>
      <c r="D153" s="11">
        <f t="shared" si="12"/>
        <v>0.2</v>
      </c>
      <c r="E153" s="11" t="str">
        <f t="shared" si="13"/>
        <v>防御|百分比</v>
      </c>
      <c r="AM153"/>
    </row>
    <row r="154" spans="1:39">
      <c r="A154" s="11">
        <f t="shared" si="14"/>
        <v>10714</v>
      </c>
      <c r="B154" s="11">
        <f t="shared" si="10"/>
        <v>7</v>
      </c>
      <c r="C154" s="11">
        <f t="shared" si="11"/>
        <v>14</v>
      </c>
      <c r="D154" s="11">
        <f t="shared" si="12"/>
        <v>0.25</v>
      </c>
      <c r="E154" s="11" t="str">
        <f t="shared" si="13"/>
        <v>生命|百分比</v>
      </c>
      <c r="AM154"/>
    </row>
    <row r="155" spans="1:39">
      <c r="A155" s="11">
        <f t="shared" si="14"/>
        <v>10715</v>
      </c>
      <c r="B155" s="11">
        <f t="shared" si="10"/>
        <v>7</v>
      </c>
      <c r="C155" s="11">
        <f t="shared" si="11"/>
        <v>15</v>
      </c>
      <c r="D155" s="11">
        <f t="shared" si="12"/>
        <v>0.25</v>
      </c>
      <c r="E155" s="11" t="str">
        <f t="shared" si="13"/>
        <v>攻击|百分比</v>
      </c>
      <c r="AM155"/>
    </row>
    <row r="156" spans="1:39">
      <c r="A156" s="11">
        <f t="shared" si="14"/>
        <v>10801</v>
      </c>
      <c r="B156" s="11">
        <f t="shared" si="10"/>
        <v>8</v>
      </c>
      <c r="C156" s="11">
        <f t="shared" si="11"/>
        <v>1</v>
      </c>
      <c r="D156" s="11">
        <f t="shared" si="12"/>
        <v>100</v>
      </c>
      <c r="E156" s="11" t="str">
        <f t="shared" si="13"/>
        <v>防御|数值</v>
      </c>
      <c r="AM156"/>
    </row>
    <row r="157" spans="1:39">
      <c r="A157" s="11">
        <f t="shared" si="14"/>
        <v>10802</v>
      </c>
      <c r="B157" s="11">
        <f t="shared" si="10"/>
        <v>8</v>
      </c>
      <c r="C157" s="11">
        <f t="shared" si="11"/>
        <v>2</v>
      </c>
      <c r="D157" s="11">
        <f t="shared" si="12"/>
        <v>0.05</v>
      </c>
      <c r="E157" s="11" t="str">
        <f t="shared" si="13"/>
        <v>闪避率|百分比</v>
      </c>
      <c r="AM157"/>
    </row>
    <row r="158" spans="1:39">
      <c r="A158" s="11">
        <f t="shared" si="14"/>
        <v>10803</v>
      </c>
      <c r="B158" s="11">
        <f t="shared" si="10"/>
        <v>8</v>
      </c>
      <c r="C158" s="11">
        <f t="shared" si="11"/>
        <v>3</v>
      </c>
      <c r="D158" s="11">
        <f t="shared" si="12"/>
        <v>14999.999999999998</v>
      </c>
      <c r="E158" s="11" t="str">
        <f t="shared" si="13"/>
        <v>生命|数值</v>
      </c>
      <c r="AM158"/>
    </row>
    <row r="159" spans="1:39">
      <c r="A159" s="11">
        <f t="shared" si="14"/>
        <v>10804</v>
      </c>
      <c r="B159" s="11">
        <f t="shared" si="10"/>
        <v>8</v>
      </c>
      <c r="C159" s="11">
        <f t="shared" si="11"/>
        <v>4</v>
      </c>
      <c r="D159" s="11">
        <f t="shared" si="12"/>
        <v>0.1</v>
      </c>
      <c r="E159" s="11" t="str">
        <f t="shared" si="13"/>
        <v>伤害减免|百分比</v>
      </c>
      <c r="AM159"/>
    </row>
    <row r="160" spans="1:39">
      <c r="A160" s="11">
        <f t="shared" si="14"/>
        <v>10805</v>
      </c>
      <c r="B160" s="11">
        <f t="shared" si="10"/>
        <v>8</v>
      </c>
      <c r="C160" s="11">
        <f t="shared" si="11"/>
        <v>5</v>
      </c>
      <c r="D160" s="11">
        <f t="shared" si="12"/>
        <v>300</v>
      </c>
      <c r="E160" s="11" t="str">
        <f t="shared" si="13"/>
        <v>攻击|数值</v>
      </c>
      <c r="AM160"/>
    </row>
    <row r="161" spans="1:39">
      <c r="A161" s="11">
        <f t="shared" si="14"/>
        <v>10806</v>
      </c>
      <c r="B161" s="11">
        <f t="shared" si="10"/>
        <v>8</v>
      </c>
      <c r="C161" s="11">
        <f t="shared" si="11"/>
        <v>6</v>
      </c>
      <c r="D161" s="11">
        <f t="shared" si="12"/>
        <v>0.16</v>
      </c>
      <c r="E161" s="11" t="str">
        <f t="shared" si="13"/>
        <v>抗暴率|光环百分比</v>
      </c>
      <c r="AM161"/>
    </row>
    <row r="162" spans="1:39">
      <c r="A162" s="11">
        <f t="shared" si="14"/>
        <v>10807</v>
      </c>
      <c r="B162" s="11">
        <f t="shared" si="10"/>
        <v>8</v>
      </c>
      <c r="C162" s="11">
        <f t="shared" si="11"/>
        <v>7</v>
      </c>
      <c r="D162" s="11">
        <f t="shared" si="12"/>
        <v>400</v>
      </c>
      <c r="E162" s="11" t="str">
        <f t="shared" si="13"/>
        <v>防御|光环数值</v>
      </c>
      <c r="AM162"/>
    </row>
    <row r="163" spans="1:39">
      <c r="A163" s="11">
        <f t="shared" si="14"/>
        <v>10808</v>
      </c>
      <c r="B163" s="11">
        <f t="shared" si="10"/>
        <v>8</v>
      </c>
      <c r="C163" s="11">
        <f t="shared" si="11"/>
        <v>8</v>
      </c>
      <c r="D163" s="11">
        <f t="shared" si="12"/>
        <v>0.1</v>
      </c>
      <c r="E163" s="11" t="str">
        <f t="shared" si="13"/>
        <v>防御|百分比</v>
      </c>
      <c r="AM163"/>
    </row>
    <row r="164" spans="1:39">
      <c r="A164" s="11">
        <f t="shared" si="14"/>
        <v>10809</v>
      </c>
      <c r="B164" s="11">
        <f t="shared" si="10"/>
        <v>8</v>
      </c>
      <c r="C164" s="11">
        <f t="shared" si="11"/>
        <v>9</v>
      </c>
      <c r="D164" s="11">
        <f t="shared" si="12"/>
        <v>29999.999999999996</v>
      </c>
      <c r="E164" s="11" t="str">
        <f t="shared" si="13"/>
        <v>生命|光环数值</v>
      </c>
      <c r="AM164"/>
    </row>
    <row r="165" spans="1:39">
      <c r="A165" s="11">
        <f t="shared" si="14"/>
        <v>10810</v>
      </c>
      <c r="B165" s="11">
        <f t="shared" si="10"/>
        <v>8</v>
      </c>
      <c r="C165" s="11">
        <f t="shared" si="11"/>
        <v>10</v>
      </c>
      <c r="D165" s="11">
        <f t="shared" si="12"/>
        <v>0.15</v>
      </c>
      <c r="E165" s="11" t="str">
        <f t="shared" si="13"/>
        <v>生命|百分比</v>
      </c>
      <c r="AM165"/>
    </row>
    <row r="166" spans="1:39">
      <c r="A166" s="11">
        <f t="shared" si="14"/>
        <v>10811</v>
      </c>
      <c r="B166" s="11">
        <f t="shared" si="10"/>
        <v>8</v>
      </c>
      <c r="C166" s="11">
        <f t="shared" si="11"/>
        <v>11</v>
      </c>
      <c r="D166" s="11">
        <f t="shared" si="12"/>
        <v>600</v>
      </c>
      <c r="E166" s="11" t="str">
        <f t="shared" si="13"/>
        <v>攻击|光环数值</v>
      </c>
      <c r="AM166"/>
    </row>
    <row r="167" spans="1:39">
      <c r="A167" s="11">
        <f t="shared" si="14"/>
        <v>10812</v>
      </c>
      <c r="B167" s="11">
        <f t="shared" si="10"/>
        <v>8</v>
      </c>
      <c r="C167" s="11">
        <f t="shared" si="11"/>
        <v>12</v>
      </c>
      <c r="D167" s="11">
        <f t="shared" si="12"/>
        <v>0.15</v>
      </c>
      <c r="E167" s="11" t="str">
        <f t="shared" si="13"/>
        <v>攻击|百分比</v>
      </c>
      <c r="AM167"/>
    </row>
    <row r="168" spans="1:39">
      <c r="A168" s="11">
        <f t="shared" si="14"/>
        <v>10813</v>
      </c>
      <c r="B168" s="11">
        <f t="shared" si="10"/>
        <v>8</v>
      </c>
      <c r="C168" s="11">
        <f t="shared" si="11"/>
        <v>13</v>
      </c>
      <c r="D168" s="11">
        <f t="shared" si="12"/>
        <v>0.2</v>
      </c>
      <c r="E168" s="11" t="str">
        <f t="shared" si="13"/>
        <v>防御|百分比</v>
      </c>
      <c r="AM168"/>
    </row>
    <row r="169" spans="1:39">
      <c r="A169" s="11">
        <f t="shared" si="14"/>
        <v>10814</v>
      </c>
      <c r="B169" s="11">
        <f t="shared" si="10"/>
        <v>8</v>
      </c>
      <c r="C169" s="11">
        <f t="shared" si="11"/>
        <v>14</v>
      </c>
      <c r="D169" s="11">
        <f t="shared" si="12"/>
        <v>0.25</v>
      </c>
      <c r="E169" s="11" t="str">
        <f t="shared" si="13"/>
        <v>生命|百分比</v>
      </c>
      <c r="AM169"/>
    </row>
    <row r="170" spans="1:39">
      <c r="A170" s="11">
        <f t="shared" si="14"/>
        <v>10815</v>
      </c>
      <c r="B170" s="11">
        <f t="shared" si="10"/>
        <v>8</v>
      </c>
      <c r="C170" s="11">
        <f t="shared" si="11"/>
        <v>15</v>
      </c>
      <c r="D170" s="11">
        <f t="shared" si="12"/>
        <v>0.25</v>
      </c>
      <c r="E170" s="11" t="str">
        <f t="shared" si="13"/>
        <v>攻击|百分比</v>
      </c>
      <c r="AM170"/>
    </row>
    <row r="171" spans="1:39">
      <c r="A171" s="11">
        <f t="shared" si="14"/>
        <v>10901</v>
      </c>
      <c r="B171" s="11">
        <f t="shared" si="10"/>
        <v>9</v>
      </c>
      <c r="C171" s="11">
        <f t="shared" si="11"/>
        <v>1</v>
      </c>
      <c r="D171" s="11">
        <f t="shared" si="12"/>
        <v>100</v>
      </c>
      <c r="E171" s="11" t="str">
        <f t="shared" si="13"/>
        <v>防御|数值</v>
      </c>
      <c r="AM171"/>
    </row>
    <row r="172" spans="1:39">
      <c r="A172" s="11">
        <f t="shared" si="14"/>
        <v>10902</v>
      </c>
      <c r="B172" s="11">
        <f t="shared" si="10"/>
        <v>9</v>
      </c>
      <c r="C172" s="11">
        <f t="shared" si="11"/>
        <v>2</v>
      </c>
      <c r="D172" s="11">
        <f t="shared" si="12"/>
        <v>0.05</v>
      </c>
      <c r="E172" s="11" t="str">
        <f t="shared" si="13"/>
        <v>闪避率|百分比</v>
      </c>
      <c r="AM172"/>
    </row>
    <row r="173" spans="1:39">
      <c r="A173" s="11">
        <f t="shared" si="14"/>
        <v>10903</v>
      </c>
      <c r="B173" s="11">
        <f t="shared" si="10"/>
        <v>9</v>
      </c>
      <c r="C173" s="11">
        <f t="shared" si="11"/>
        <v>3</v>
      </c>
      <c r="D173" s="11">
        <f t="shared" si="12"/>
        <v>14999.999999999998</v>
      </c>
      <c r="E173" s="11" t="str">
        <f t="shared" si="13"/>
        <v>生命|数值</v>
      </c>
      <c r="AM173"/>
    </row>
    <row r="174" spans="1:39">
      <c r="A174" s="11">
        <f t="shared" si="14"/>
        <v>10904</v>
      </c>
      <c r="B174" s="11">
        <f t="shared" si="10"/>
        <v>9</v>
      </c>
      <c r="C174" s="11">
        <f t="shared" si="11"/>
        <v>4</v>
      </c>
      <c r="D174" s="11">
        <f t="shared" si="12"/>
        <v>0.2</v>
      </c>
      <c r="E174" s="11" t="str">
        <f t="shared" si="13"/>
        <v>抗暴率|百分比</v>
      </c>
      <c r="AM174"/>
    </row>
    <row r="175" spans="1:39">
      <c r="A175" s="11">
        <f t="shared" si="14"/>
        <v>10905</v>
      </c>
      <c r="B175" s="11">
        <f t="shared" si="10"/>
        <v>9</v>
      </c>
      <c r="C175" s="11">
        <f t="shared" si="11"/>
        <v>5</v>
      </c>
      <c r="D175" s="11">
        <f t="shared" si="12"/>
        <v>300</v>
      </c>
      <c r="E175" s="11" t="str">
        <f t="shared" si="13"/>
        <v>攻击|数值</v>
      </c>
      <c r="AM175"/>
    </row>
    <row r="176" spans="1:39">
      <c r="A176" s="11">
        <f t="shared" si="14"/>
        <v>10906</v>
      </c>
      <c r="B176" s="11">
        <f t="shared" si="10"/>
        <v>9</v>
      </c>
      <c r="C176" s="11">
        <f t="shared" si="11"/>
        <v>6</v>
      </c>
      <c r="D176" s="11">
        <f t="shared" si="12"/>
        <v>0.08</v>
      </c>
      <c r="E176" s="11" t="str">
        <f t="shared" si="13"/>
        <v>伤害减免|光环百分比</v>
      </c>
      <c r="AM176"/>
    </row>
    <row r="177" spans="1:39">
      <c r="A177" s="11">
        <f t="shared" si="14"/>
        <v>10907</v>
      </c>
      <c r="B177" s="11">
        <f t="shared" si="10"/>
        <v>9</v>
      </c>
      <c r="C177" s="11">
        <f t="shared" si="11"/>
        <v>7</v>
      </c>
      <c r="D177" s="11">
        <f t="shared" si="12"/>
        <v>400</v>
      </c>
      <c r="E177" s="11" t="str">
        <f t="shared" si="13"/>
        <v>防御|光环数值</v>
      </c>
      <c r="AM177"/>
    </row>
    <row r="178" spans="1:39">
      <c r="A178" s="11">
        <f t="shared" si="14"/>
        <v>10908</v>
      </c>
      <c r="B178" s="11">
        <f t="shared" si="10"/>
        <v>9</v>
      </c>
      <c r="C178" s="11">
        <f t="shared" si="11"/>
        <v>8</v>
      </c>
      <c r="D178" s="11">
        <f t="shared" si="12"/>
        <v>0.1</v>
      </c>
      <c r="E178" s="11" t="str">
        <f t="shared" si="13"/>
        <v>防御|百分比</v>
      </c>
      <c r="AM178"/>
    </row>
    <row r="179" spans="1:39">
      <c r="A179" s="11">
        <f t="shared" si="14"/>
        <v>10909</v>
      </c>
      <c r="B179" s="11">
        <f t="shared" si="10"/>
        <v>9</v>
      </c>
      <c r="C179" s="11">
        <f t="shared" si="11"/>
        <v>9</v>
      </c>
      <c r="D179" s="11">
        <f t="shared" si="12"/>
        <v>29999.999999999996</v>
      </c>
      <c r="E179" s="11" t="str">
        <f t="shared" si="13"/>
        <v>生命|光环数值</v>
      </c>
      <c r="AM179"/>
    </row>
    <row r="180" spans="1:39">
      <c r="A180" s="11">
        <f t="shared" si="14"/>
        <v>10910</v>
      </c>
      <c r="B180" s="11">
        <f t="shared" ref="B180:B230" si="15">INT(MID(A180,2,2))</f>
        <v>9</v>
      </c>
      <c r="C180" s="11">
        <f t="shared" ref="C180:C230" si="16">INT(MID(A180,4,2))</f>
        <v>10</v>
      </c>
      <c r="D180" s="11">
        <f t="shared" ref="D180:D230" si="17">VLOOKUP(B180,$A$22:$P$34,C180+1,FALSE)</f>
        <v>0.15</v>
      </c>
      <c r="E180" s="11" t="str">
        <f t="shared" ref="E180:E230" si="18">VLOOKUP(B180,$A$38:$P$49,C180+1,FALSE)</f>
        <v>生命|百分比</v>
      </c>
      <c r="AM180"/>
    </row>
    <row r="181" spans="1:39">
      <c r="A181" s="11">
        <f t="shared" si="14"/>
        <v>10911</v>
      </c>
      <c r="B181" s="11">
        <f t="shared" si="15"/>
        <v>9</v>
      </c>
      <c r="C181" s="11">
        <f t="shared" si="16"/>
        <v>11</v>
      </c>
      <c r="D181" s="11">
        <f t="shared" si="17"/>
        <v>600</v>
      </c>
      <c r="E181" s="11" t="str">
        <f t="shared" si="18"/>
        <v>攻击|光环数值</v>
      </c>
      <c r="AM181"/>
    </row>
    <row r="182" spans="1:39">
      <c r="A182" s="11">
        <f t="shared" si="14"/>
        <v>10912</v>
      </c>
      <c r="B182" s="11">
        <f t="shared" si="15"/>
        <v>9</v>
      </c>
      <c r="C182" s="11">
        <f t="shared" si="16"/>
        <v>12</v>
      </c>
      <c r="D182" s="11">
        <f t="shared" si="17"/>
        <v>0.15</v>
      </c>
      <c r="E182" s="11" t="str">
        <f t="shared" si="18"/>
        <v>攻击|百分比</v>
      </c>
      <c r="AM182"/>
    </row>
    <row r="183" spans="1:39">
      <c r="A183" s="11">
        <f t="shared" si="14"/>
        <v>10913</v>
      </c>
      <c r="B183" s="11">
        <f t="shared" si="15"/>
        <v>9</v>
      </c>
      <c r="C183" s="11">
        <f t="shared" si="16"/>
        <v>13</v>
      </c>
      <c r="D183" s="11">
        <f t="shared" si="17"/>
        <v>0.2</v>
      </c>
      <c r="E183" s="11" t="str">
        <f t="shared" si="18"/>
        <v>防御|百分比</v>
      </c>
      <c r="AM183"/>
    </row>
    <row r="184" spans="1:39">
      <c r="A184" s="11">
        <f t="shared" si="14"/>
        <v>10914</v>
      </c>
      <c r="B184" s="11">
        <f t="shared" si="15"/>
        <v>9</v>
      </c>
      <c r="C184" s="11">
        <f t="shared" si="16"/>
        <v>14</v>
      </c>
      <c r="D184" s="11">
        <f t="shared" si="17"/>
        <v>0.25</v>
      </c>
      <c r="E184" s="11" t="str">
        <f t="shared" si="18"/>
        <v>生命|百分比</v>
      </c>
      <c r="AM184"/>
    </row>
    <row r="185" spans="1:39">
      <c r="A185" s="11">
        <f t="shared" si="14"/>
        <v>10915</v>
      </c>
      <c r="B185" s="11">
        <f t="shared" si="15"/>
        <v>9</v>
      </c>
      <c r="C185" s="11">
        <f t="shared" si="16"/>
        <v>15</v>
      </c>
      <c r="D185" s="11">
        <f t="shared" si="17"/>
        <v>0.25</v>
      </c>
      <c r="E185" s="11" t="str">
        <f t="shared" si="18"/>
        <v>攻击|百分比</v>
      </c>
      <c r="AM185"/>
    </row>
    <row r="186" spans="1:39">
      <c r="A186" s="11">
        <f t="shared" si="14"/>
        <v>11001</v>
      </c>
      <c r="B186" s="11">
        <f t="shared" si="15"/>
        <v>10</v>
      </c>
      <c r="C186" s="11">
        <f t="shared" si="16"/>
        <v>1</v>
      </c>
      <c r="D186" s="11">
        <f t="shared" si="17"/>
        <v>100</v>
      </c>
      <c r="E186" s="11" t="str">
        <f t="shared" si="18"/>
        <v>防御|数值</v>
      </c>
      <c r="AM186"/>
    </row>
    <row r="187" spans="1:39">
      <c r="A187" s="11">
        <f t="shared" si="14"/>
        <v>11002</v>
      </c>
      <c r="B187" s="11">
        <f t="shared" si="15"/>
        <v>10</v>
      </c>
      <c r="C187" s="11">
        <f t="shared" si="16"/>
        <v>2</v>
      </c>
      <c r="D187" s="11">
        <f t="shared" si="17"/>
        <v>0.1</v>
      </c>
      <c r="E187" s="11" t="str">
        <f t="shared" si="18"/>
        <v>暴击率|百分比</v>
      </c>
      <c r="AM187"/>
    </row>
    <row r="188" spans="1:39">
      <c r="A188" s="11">
        <f t="shared" si="14"/>
        <v>11003</v>
      </c>
      <c r="B188" s="11">
        <f t="shared" si="15"/>
        <v>10</v>
      </c>
      <c r="C188" s="11">
        <f t="shared" si="16"/>
        <v>3</v>
      </c>
      <c r="D188" s="11">
        <f t="shared" si="17"/>
        <v>14999.999999999998</v>
      </c>
      <c r="E188" s="11" t="str">
        <f t="shared" si="18"/>
        <v>生命|数值</v>
      </c>
      <c r="AM188"/>
    </row>
    <row r="189" spans="1:39">
      <c r="A189" s="11">
        <f t="shared" si="14"/>
        <v>11004</v>
      </c>
      <c r="B189" s="11">
        <f t="shared" si="15"/>
        <v>10</v>
      </c>
      <c r="C189" s="11">
        <f t="shared" si="16"/>
        <v>4</v>
      </c>
      <c r="D189" s="11">
        <f t="shared" si="17"/>
        <v>0.1</v>
      </c>
      <c r="E189" s="11" t="str">
        <f t="shared" si="18"/>
        <v>伤害加成|百分比</v>
      </c>
      <c r="AM189"/>
    </row>
    <row r="190" spans="1:39">
      <c r="A190" s="11">
        <f t="shared" si="14"/>
        <v>11005</v>
      </c>
      <c r="B190" s="11">
        <f t="shared" si="15"/>
        <v>10</v>
      </c>
      <c r="C190" s="11">
        <f t="shared" si="16"/>
        <v>5</v>
      </c>
      <c r="D190" s="11">
        <f t="shared" si="17"/>
        <v>300</v>
      </c>
      <c r="E190" s="11" t="str">
        <f t="shared" si="18"/>
        <v>攻击|数值</v>
      </c>
      <c r="AM190"/>
    </row>
    <row r="191" spans="1:39">
      <c r="A191" s="11">
        <f t="shared" si="14"/>
        <v>11006</v>
      </c>
      <c r="B191" s="11">
        <f t="shared" si="15"/>
        <v>10</v>
      </c>
      <c r="C191" s="11">
        <f t="shared" si="16"/>
        <v>6</v>
      </c>
      <c r="D191" s="11">
        <f t="shared" si="17"/>
        <v>0.08</v>
      </c>
      <c r="E191" s="11" t="str">
        <f t="shared" si="18"/>
        <v>命中率|光环百分比</v>
      </c>
      <c r="AM191"/>
    </row>
    <row r="192" spans="1:39">
      <c r="A192" s="11">
        <f t="shared" si="14"/>
        <v>11007</v>
      </c>
      <c r="B192" s="11">
        <f t="shared" si="15"/>
        <v>10</v>
      </c>
      <c r="C192" s="11">
        <f t="shared" si="16"/>
        <v>7</v>
      </c>
      <c r="D192" s="11">
        <f t="shared" si="17"/>
        <v>400</v>
      </c>
      <c r="E192" s="11" t="str">
        <f t="shared" si="18"/>
        <v>防御|光环数值</v>
      </c>
      <c r="AM192"/>
    </row>
    <row r="193" spans="1:39">
      <c r="A193" s="11">
        <f t="shared" si="14"/>
        <v>11008</v>
      </c>
      <c r="B193" s="11">
        <f t="shared" si="15"/>
        <v>10</v>
      </c>
      <c r="C193" s="11">
        <f t="shared" si="16"/>
        <v>8</v>
      </c>
      <c r="D193" s="11">
        <f t="shared" si="17"/>
        <v>0.1</v>
      </c>
      <c r="E193" s="11" t="str">
        <f t="shared" si="18"/>
        <v>防御|百分比</v>
      </c>
      <c r="AM193"/>
    </row>
    <row r="194" spans="1:39">
      <c r="A194" s="11">
        <f t="shared" si="14"/>
        <v>11009</v>
      </c>
      <c r="B194" s="11">
        <f t="shared" si="15"/>
        <v>10</v>
      </c>
      <c r="C194" s="11">
        <f t="shared" si="16"/>
        <v>9</v>
      </c>
      <c r="D194" s="11">
        <f t="shared" si="17"/>
        <v>29999.999999999996</v>
      </c>
      <c r="E194" s="11" t="str">
        <f t="shared" si="18"/>
        <v>生命|光环数值</v>
      </c>
      <c r="AM194"/>
    </row>
    <row r="195" spans="1:39">
      <c r="A195" s="11">
        <f t="shared" ref="A195:A230" si="19">A180+100</f>
        <v>11010</v>
      </c>
      <c r="B195" s="11">
        <f t="shared" si="15"/>
        <v>10</v>
      </c>
      <c r="C195" s="11">
        <f t="shared" si="16"/>
        <v>10</v>
      </c>
      <c r="D195" s="11">
        <f t="shared" si="17"/>
        <v>0.15</v>
      </c>
      <c r="E195" s="11" t="str">
        <f t="shared" si="18"/>
        <v>生命|百分比</v>
      </c>
      <c r="AM195"/>
    </row>
    <row r="196" spans="1:39">
      <c r="A196" s="11">
        <f t="shared" si="19"/>
        <v>11011</v>
      </c>
      <c r="B196" s="11">
        <f t="shared" si="15"/>
        <v>10</v>
      </c>
      <c r="C196" s="11">
        <f t="shared" si="16"/>
        <v>11</v>
      </c>
      <c r="D196" s="11">
        <f t="shared" si="17"/>
        <v>600</v>
      </c>
      <c r="E196" s="11" t="str">
        <f t="shared" si="18"/>
        <v>攻击|光环数值</v>
      </c>
      <c r="AM196"/>
    </row>
    <row r="197" spans="1:39">
      <c r="A197" s="11">
        <f t="shared" si="19"/>
        <v>11012</v>
      </c>
      <c r="B197" s="11">
        <f t="shared" si="15"/>
        <v>10</v>
      </c>
      <c r="C197" s="11">
        <f t="shared" si="16"/>
        <v>12</v>
      </c>
      <c r="D197" s="11">
        <f t="shared" si="17"/>
        <v>0.15</v>
      </c>
      <c r="E197" s="11" t="str">
        <f t="shared" si="18"/>
        <v>攻击|百分比</v>
      </c>
      <c r="AM197"/>
    </row>
    <row r="198" spans="1:39">
      <c r="A198" s="11">
        <f t="shared" si="19"/>
        <v>11013</v>
      </c>
      <c r="B198" s="11">
        <f t="shared" si="15"/>
        <v>10</v>
      </c>
      <c r="C198" s="11">
        <f t="shared" si="16"/>
        <v>13</v>
      </c>
      <c r="D198" s="11">
        <f t="shared" si="17"/>
        <v>0.2</v>
      </c>
      <c r="E198" s="11" t="str">
        <f t="shared" si="18"/>
        <v>防御|百分比</v>
      </c>
      <c r="AM198"/>
    </row>
    <row r="199" spans="1:39">
      <c r="A199" s="11">
        <f t="shared" si="19"/>
        <v>11014</v>
      </c>
      <c r="B199" s="11">
        <f t="shared" si="15"/>
        <v>10</v>
      </c>
      <c r="C199" s="11">
        <f t="shared" si="16"/>
        <v>14</v>
      </c>
      <c r="D199" s="11">
        <f t="shared" si="17"/>
        <v>0.25</v>
      </c>
      <c r="E199" s="11" t="str">
        <f t="shared" si="18"/>
        <v>生命|百分比</v>
      </c>
      <c r="AM199"/>
    </row>
    <row r="200" spans="1:39">
      <c r="A200" s="11">
        <f t="shared" si="19"/>
        <v>11015</v>
      </c>
      <c r="B200" s="11">
        <f t="shared" si="15"/>
        <v>10</v>
      </c>
      <c r="C200" s="11">
        <f t="shared" si="16"/>
        <v>15</v>
      </c>
      <c r="D200" s="11">
        <f t="shared" si="17"/>
        <v>0.25</v>
      </c>
      <c r="E200" s="11" t="str">
        <f t="shared" si="18"/>
        <v>攻击|百分比</v>
      </c>
      <c r="AM200"/>
    </row>
    <row r="201" spans="1:39">
      <c r="A201" s="11">
        <f t="shared" si="19"/>
        <v>11101</v>
      </c>
      <c r="B201" s="11">
        <f t="shared" si="15"/>
        <v>11</v>
      </c>
      <c r="C201" s="11">
        <f t="shared" si="16"/>
        <v>1</v>
      </c>
      <c r="D201" s="11">
        <f t="shared" si="17"/>
        <v>100</v>
      </c>
      <c r="E201" s="11" t="str">
        <f t="shared" si="18"/>
        <v>防御|数值</v>
      </c>
      <c r="AM201"/>
    </row>
    <row r="202" spans="1:39">
      <c r="A202" s="11">
        <f t="shared" si="19"/>
        <v>11102</v>
      </c>
      <c r="B202" s="11">
        <f t="shared" si="15"/>
        <v>11</v>
      </c>
      <c r="C202" s="11">
        <f t="shared" si="16"/>
        <v>2</v>
      </c>
      <c r="D202" s="11">
        <f t="shared" si="17"/>
        <v>0.05</v>
      </c>
      <c r="E202" s="11" t="str">
        <f t="shared" si="18"/>
        <v>命中率|百分比</v>
      </c>
      <c r="AM202"/>
    </row>
    <row r="203" spans="1:39">
      <c r="A203" s="11">
        <f t="shared" si="19"/>
        <v>11103</v>
      </c>
      <c r="B203" s="11">
        <f t="shared" si="15"/>
        <v>11</v>
      </c>
      <c r="C203" s="11">
        <f t="shared" si="16"/>
        <v>3</v>
      </c>
      <c r="D203" s="11">
        <f t="shared" si="17"/>
        <v>14999.999999999998</v>
      </c>
      <c r="E203" s="11" t="str">
        <f t="shared" si="18"/>
        <v>生命|数值</v>
      </c>
      <c r="AM203"/>
    </row>
    <row r="204" spans="1:39">
      <c r="A204" s="11">
        <f t="shared" si="19"/>
        <v>11104</v>
      </c>
      <c r="B204" s="11">
        <f t="shared" si="15"/>
        <v>11</v>
      </c>
      <c r="C204" s="11">
        <f t="shared" si="16"/>
        <v>4</v>
      </c>
      <c r="D204" s="11">
        <f t="shared" si="17"/>
        <v>0.1</v>
      </c>
      <c r="E204" s="11" t="str">
        <f t="shared" si="18"/>
        <v>伤害加成|百分比</v>
      </c>
      <c r="AM204"/>
    </row>
    <row r="205" spans="1:39">
      <c r="A205" s="11">
        <f t="shared" si="19"/>
        <v>11105</v>
      </c>
      <c r="B205" s="11">
        <f t="shared" si="15"/>
        <v>11</v>
      </c>
      <c r="C205" s="11">
        <f t="shared" si="16"/>
        <v>5</v>
      </c>
      <c r="D205" s="11">
        <f t="shared" si="17"/>
        <v>300</v>
      </c>
      <c r="E205" s="11" t="str">
        <f t="shared" si="18"/>
        <v>攻击|数值</v>
      </c>
      <c r="AM205"/>
    </row>
    <row r="206" spans="1:39">
      <c r="A206" s="11">
        <f t="shared" si="19"/>
        <v>11106</v>
      </c>
      <c r="B206" s="11">
        <f t="shared" si="15"/>
        <v>11</v>
      </c>
      <c r="C206" s="11">
        <f t="shared" si="16"/>
        <v>6</v>
      </c>
      <c r="D206" s="11">
        <f t="shared" si="17"/>
        <v>0.16</v>
      </c>
      <c r="E206" s="11" t="str">
        <f t="shared" si="18"/>
        <v>暴击率|光环百分比</v>
      </c>
      <c r="AM206"/>
    </row>
    <row r="207" spans="1:39">
      <c r="A207" s="11">
        <f t="shared" si="19"/>
        <v>11107</v>
      </c>
      <c r="B207" s="11">
        <f t="shared" si="15"/>
        <v>11</v>
      </c>
      <c r="C207" s="11">
        <f t="shared" si="16"/>
        <v>7</v>
      </c>
      <c r="D207" s="11">
        <f t="shared" si="17"/>
        <v>400</v>
      </c>
      <c r="E207" s="11" t="str">
        <f t="shared" si="18"/>
        <v>防御|光环数值</v>
      </c>
      <c r="AM207"/>
    </row>
    <row r="208" spans="1:39">
      <c r="A208" s="11">
        <f t="shared" si="19"/>
        <v>11108</v>
      </c>
      <c r="B208" s="11">
        <f t="shared" si="15"/>
        <v>11</v>
      </c>
      <c r="C208" s="11">
        <f t="shared" si="16"/>
        <v>8</v>
      </c>
      <c r="D208" s="11">
        <f t="shared" si="17"/>
        <v>0.1</v>
      </c>
      <c r="E208" s="11" t="str">
        <f t="shared" si="18"/>
        <v>防御|百分比</v>
      </c>
      <c r="AM208"/>
    </row>
    <row r="209" spans="1:39">
      <c r="A209" s="11">
        <f t="shared" si="19"/>
        <v>11109</v>
      </c>
      <c r="B209" s="11">
        <f t="shared" si="15"/>
        <v>11</v>
      </c>
      <c r="C209" s="11">
        <f t="shared" si="16"/>
        <v>9</v>
      </c>
      <c r="D209" s="11">
        <f t="shared" si="17"/>
        <v>29999.999999999996</v>
      </c>
      <c r="E209" s="11" t="str">
        <f t="shared" si="18"/>
        <v>生命|光环数值</v>
      </c>
      <c r="AM209"/>
    </row>
    <row r="210" spans="1:39">
      <c r="A210" s="11">
        <f t="shared" si="19"/>
        <v>11110</v>
      </c>
      <c r="B210" s="11">
        <f t="shared" si="15"/>
        <v>11</v>
      </c>
      <c r="C210" s="11">
        <f t="shared" si="16"/>
        <v>10</v>
      </c>
      <c r="D210" s="11">
        <f t="shared" si="17"/>
        <v>0.15</v>
      </c>
      <c r="E210" s="11" t="str">
        <f t="shared" si="18"/>
        <v>生命|百分比</v>
      </c>
      <c r="AM210"/>
    </row>
    <row r="211" spans="1:39">
      <c r="A211" s="11">
        <f t="shared" si="19"/>
        <v>11111</v>
      </c>
      <c r="B211" s="11">
        <f t="shared" si="15"/>
        <v>11</v>
      </c>
      <c r="C211" s="11">
        <f t="shared" si="16"/>
        <v>11</v>
      </c>
      <c r="D211" s="11">
        <f t="shared" si="17"/>
        <v>600</v>
      </c>
      <c r="E211" s="11" t="str">
        <f t="shared" si="18"/>
        <v>攻击|光环数值</v>
      </c>
      <c r="AM211"/>
    </row>
    <row r="212" spans="1:39">
      <c r="A212" s="11">
        <f t="shared" si="19"/>
        <v>11112</v>
      </c>
      <c r="B212" s="11">
        <f t="shared" si="15"/>
        <v>11</v>
      </c>
      <c r="C212" s="11">
        <f t="shared" si="16"/>
        <v>12</v>
      </c>
      <c r="D212" s="11">
        <f t="shared" si="17"/>
        <v>0.15</v>
      </c>
      <c r="E212" s="11" t="str">
        <f t="shared" si="18"/>
        <v>攻击|百分比</v>
      </c>
      <c r="AM212"/>
    </row>
    <row r="213" spans="1:39">
      <c r="A213" s="11">
        <f t="shared" si="19"/>
        <v>11113</v>
      </c>
      <c r="B213" s="11">
        <f t="shared" si="15"/>
        <v>11</v>
      </c>
      <c r="C213" s="11">
        <f t="shared" si="16"/>
        <v>13</v>
      </c>
      <c r="D213" s="11">
        <f t="shared" si="17"/>
        <v>0.2</v>
      </c>
      <c r="E213" s="11" t="str">
        <f t="shared" si="18"/>
        <v>防御|百分比</v>
      </c>
      <c r="AM213"/>
    </row>
    <row r="214" spans="1:39">
      <c r="A214" s="11">
        <f t="shared" si="19"/>
        <v>11114</v>
      </c>
      <c r="B214" s="11">
        <f t="shared" si="15"/>
        <v>11</v>
      </c>
      <c r="C214" s="11">
        <f t="shared" si="16"/>
        <v>14</v>
      </c>
      <c r="D214" s="11">
        <f t="shared" si="17"/>
        <v>0.25</v>
      </c>
      <c r="E214" s="11" t="str">
        <f t="shared" si="18"/>
        <v>生命|百分比</v>
      </c>
      <c r="AM214"/>
    </row>
    <row r="215" spans="1:39">
      <c r="A215" s="11">
        <f t="shared" si="19"/>
        <v>11115</v>
      </c>
      <c r="B215" s="11">
        <f t="shared" si="15"/>
        <v>11</v>
      </c>
      <c r="C215" s="11">
        <f t="shared" si="16"/>
        <v>15</v>
      </c>
      <c r="D215" s="11">
        <f t="shared" si="17"/>
        <v>0.25</v>
      </c>
      <c r="E215" s="11" t="str">
        <f t="shared" si="18"/>
        <v>攻击|百分比</v>
      </c>
      <c r="AM215"/>
    </row>
    <row r="216" spans="1:39">
      <c r="A216" s="11">
        <f t="shared" si="19"/>
        <v>11201</v>
      </c>
      <c r="B216" s="11">
        <f t="shared" si="15"/>
        <v>12</v>
      </c>
      <c r="C216" s="11">
        <f t="shared" si="16"/>
        <v>1</v>
      </c>
      <c r="D216" s="11">
        <f t="shared" si="17"/>
        <v>100</v>
      </c>
      <c r="E216" s="11" t="str">
        <f t="shared" si="18"/>
        <v>防御|数值</v>
      </c>
      <c r="AM216"/>
    </row>
    <row r="217" spans="1:39">
      <c r="A217" s="11">
        <f t="shared" si="19"/>
        <v>11202</v>
      </c>
      <c r="B217" s="11">
        <f t="shared" si="15"/>
        <v>12</v>
      </c>
      <c r="C217" s="11">
        <f t="shared" si="16"/>
        <v>2</v>
      </c>
      <c r="D217" s="11">
        <f t="shared" si="17"/>
        <v>0.05</v>
      </c>
      <c r="E217" s="11" t="str">
        <f t="shared" si="18"/>
        <v>命中率|百分比</v>
      </c>
      <c r="AM217"/>
    </row>
    <row r="218" spans="1:39">
      <c r="A218" s="11">
        <f t="shared" si="19"/>
        <v>11203</v>
      </c>
      <c r="B218" s="11">
        <f t="shared" si="15"/>
        <v>12</v>
      </c>
      <c r="C218" s="11">
        <f t="shared" si="16"/>
        <v>3</v>
      </c>
      <c r="D218" s="11">
        <f t="shared" si="17"/>
        <v>14999.999999999998</v>
      </c>
      <c r="E218" s="11" t="str">
        <f t="shared" si="18"/>
        <v>生命|数值</v>
      </c>
      <c r="AM218"/>
    </row>
    <row r="219" spans="1:39">
      <c r="A219" s="11">
        <f t="shared" si="19"/>
        <v>11204</v>
      </c>
      <c r="B219" s="11">
        <f t="shared" si="15"/>
        <v>12</v>
      </c>
      <c r="C219" s="11">
        <f t="shared" si="16"/>
        <v>4</v>
      </c>
      <c r="D219" s="11">
        <f t="shared" si="17"/>
        <v>0.2</v>
      </c>
      <c r="E219" s="11" t="str">
        <f t="shared" si="18"/>
        <v>暴击率|百分比</v>
      </c>
      <c r="AM219"/>
    </row>
    <row r="220" spans="1:39">
      <c r="A220" s="11">
        <f t="shared" si="19"/>
        <v>11205</v>
      </c>
      <c r="B220" s="11">
        <f t="shared" si="15"/>
        <v>12</v>
      </c>
      <c r="C220" s="11">
        <f t="shared" si="16"/>
        <v>5</v>
      </c>
      <c r="D220" s="11">
        <f t="shared" si="17"/>
        <v>300</v>
      </c>
      <c r="E220" s="11" t="str">
        <f t="shared" si="18"/>
        <v>攻击|数值</v>
      </c>
      <c r="AM220"/>
    </row>
    <row r="221" spans="1:39">
      <c r="A221" s="11">
        <f t="shared" si="19"/>
        <v>11206</v>
      </c>
      <c r="B221" s="11">
        <f t="shared" si="15"/>
        <v>12</v>
      </c>
      <c r="C221" s="11">
        <f t="shared" si="16"/>
        <v>6</v>
      </c>
      <c r="D221" s="11">
        <f t="shared" si="17"/>
        <v>0.08</v>
      </c>
      <c r="E221" s="11" t="str">
        <f t="shared" si="18"/>
        <v>伤害加成|光环百分比</v>
      </c>
      <c r="AM221"/>
    </row>
    <row r="222" spans="1:39">
      <c r="A222" s="11">
        <f t="shared" si="19"/>
        <v>11207</v>
      </c>
      <c r="B222" s="11">
        <f t="shared" si="15"/>
        <v>12</v>
      </c>
      <c r="C222" s="11">
        <f t="shared" si="16"/>
        <v>7</v>
      </c>
      <c r="D222" s="11">
        <f t="shared" si="17"/>
        <v>400</v>
      </c>
      <c r="E222" s="11" t="str">
        <f t="shared" si="18"/>
        <v>防御|光环数值</v>
      </c>
      <c r="AM222"/>
    </row>
    <row r="223" spans="1:39">
      <c r="A223" s="11">
        <f t="shared" si="19"/>
        <v>11208</v>
      </c>
      <c r="B223" s="11">
        <f t="shared" si="15"/>
        <v>12</v>
      </c>
      <c r="C223" s="11">
        <f t="shared" si="16"/>
        <v>8</v>
      </c>
      <c r="D223" s="11">
        <f t="shared" si="17"/>
        <v>0.1</v>
      </c>
      <c r="E223" s="11" t="str">
        <f t="shared" si="18"/>
        <v>防御|百分比</v>
      </c>
      <c r="AM223"/>
    </row>
    <row r="224" spans="1:39">
      <c r="A224" s="11">
        <f t="shared" si="19"/>
        <v>11209</v>
      </c>
      <c r="B224" s="11">
        <f t="shared" si="15"/>
        <v>12</v>
      </c>
      <c r="C224" s="11">
        <f t="shared" si="16"/>
        <v>9</v>
      </c>
      <c r="D224" s="11">
        <f t="shared" si="17"/>
        <v>29999.999999999996</v>
      </c>
      <c r="E224" s="11" t="str">
        <f t="shared" si="18"/>
        <v>生命|光环数值</v>
      </c>
      <c r="AM224"/>
    </row>
    <row r="225" spans="1:39">
      <c r="A225" s="11">
        <f t="shared" si="19"/>
        <v>11210</v>
      </c>
      <c r="B225" s="11">
        <f t="shared" si="15"/>
        <v>12</v>
      </c>
      <c r="C225" s="11">
        <f t="shared" si="16"/>
        <v>10</v>
      </c>
      <c r="D225" s="11">
        <f t="shared" si="17"/>
        <v>0.15</v>
      </c>
      <c r="E225" s="11" t="str">
        <f t="shared" si="18"/>
        <v>生命|百分比</v>
      </c>
      <c r="AM225"/>
    </row>
    <row r="226" spans="1:39">
      <c r="A226" s="11">
        <f t="shared" si="19"/>
        <v>11211</v>
      </c>
      <c r="B226" s="11">
        <f t="shared" si="15"/>
        <v>12</v>
      </c>
      <c r="C226" s="11">
        <f t="shared" si="16"/>
        <v>11</v>
      </c>
      <c r="D226" s="11">
        <f t="shared" si="17"/>
        <v>600</v>
      </c>
      <c r="E226" s="11" t="str">
        <f t="shared" si="18"/>
        <v>攻击|光环数值</v>
      </c>
      <c r="AM226"/>
    </row>
    <row r="227" spans="1:39">
      <c r="A227" s="11">
        <f t="shared" si="19"/>
        <v>11212</v>
      </c>
      <c r="B227" s="11">
        <f t="shared" si="15"/>
        <v>12</v>
      </c>
      <c r="C227" s="11">
        <f t="shared" si="16"/>
        <v>12</v>
      </c>
      <c r="D227" s="11">
        <f t="shared" si="17"/>
        <v>0.15</v>
      </c>
      <c r="E227" s="11" t="str">
        <f t="shared" si="18"/>
        <v>攻击|百分比</v>
      </c>
      <c r="AM227"/>
    </row>
    <row r="228" spans="1:39">
      <c r="A228" s="11">
        <f t="shared" si="19"/>
        <v>11213</v>
      </c>
      <c r="B228" s="11">
        <f t="shared" si="15"/>
        <v>12</v>
      </c>
      <c r="C228" s="11">
        <f t="shared" si="16"/>
        <v>13</v>
      </c>
      <c r="D228" s="11">
        <f t="shared" si="17"/>
        <v>0.2</v>
      </c>
      <c r="E228" s="11" t="str">
        <f t="shared" si="18"/>
        <v>防御|百分比</v>
      </c>
      <c r="AM228"/>
    </row>
    <row r="229" spans="1:39">
      <c r="A229" s="11">
        <f t="shared" si="19"/>
        <v>11214</v>
      </c>
      <c r="B229" s="11">
        <f t="shared" si="15"/>
        <v>12</v>
      </c>
      <c r="C229" s="11">
        <f t="shared" si="16"/>
        <v>14</v>
      </c>
      <c r="D229" s="11">
        <f t="shared" si="17"/>
        <v>0.25</v>
      </c>
      <c r="E229" s="11" t="str">
        <f t="shared" si="18"/>
        <v>生命|百分比</v>
      </c>
      <c r="AM229"/>
    </row>
    <row r="230" spans="1:39">
      <c r="A230" s="11">
        <f t="shared" si="19"/>
        <v>11215</v>
      </c>
      <c r="B230" s="11">
        <f t="shared" si="15"/>
        <v>12</v>
      </c>
      <c r="C230" s="11">
        <f t="shared" si="16"/>
        <v>15</v>
      </c>
      <c r="D230" s="11">
        <f t="shared" si="17"/>
        <v>0.25</v>
      </c>
      <c r="E230" s="11" t="str">
        <f t="shared" si="18"/>
        <v>攻击|百分比</v>
      </c>
      <c r="AM230"/>
    </row>
    <row r="231" spans="1:39">
      <c r="AM231"/>
    </row>
    <row r="232" spans="1:39">
      <c r="AM232"/>
    </row>
    <row r="233" spans="1:39">
      <c r="AM233"/>
    </row>
  </sheetData>
  <sortState ref="I57:J65">
    <sortCondition ref="J57:J65"/>
  </sortState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D779"/>
  <sheetViews>
    <sheetView topLeftCell="A754" workbookViewId="0">
      <selection activeCell="A3" sqref="A3:C767"/>
    </sheetView>
  </sheetViews>
  <sheetFormatPr defaultRowHeight="16.5"/>
  <cols>
    <col min="1" max="1" width="29.25" style="102" customWidth="1"/>
    <col min="2" max="2" width="14" style="102" customWidth="1"/>
    <col min="3" max="3" width="23.375" style="102" customWidth="1"/>
  </cols>
  <sheetData>
    <row r="1" spans="1:3" ht="49.5">
      <c r="A1" s="84" t="s">
        <v>1013</v>
      </c>
      <c r="B1" s="84" t="s">
        <v>1014</v>
      </c>
      <c r="C1" s="84" t="s">
        <v>1015</v>
      </c>
    </row>
    <row r="2" spans="1:3">
      <c r="A2" s="85"/>
      <c r="B2" s="85"/>
      <c r="C2" s="85"/>
    </row>
    <row r="3" spans="1:3">
      <c r="A3" s="85" t="s">
        <v>257</v>
      </c>
      <c r="B3" s="85" t="s">
        <v>257</v>
      </c>
      <c r="C3" s="85" t="s">
        <v>257</v>
      </c>
    </row>
    <row r="4" spans="1:3">
      <c r="A4" s="86" t="s">
        <v>371</v>
      </c>
      <c r="B4" s="86" t="s">
        <v>1016</v>
      </c>
      <c r="C4" s="86" t="s">
        <v>2</v>
      </c>
    </row>
    <row r="5" spans="1:3">
      <c r="A5" s="86" t="s">
        <v>1017</v>
      </c>
      <c r="B5" s="86" t="s">
        <v>1016</v>
      </c>
      <c r="C5" s="86" t="s">
        <v>2</v>
      </c>
    </row>
    <row r="6" spans="1:3">
      <c r="A6" s="86" t="s">
        <v>1018</v>
      </c>
      <c r="B6" s="86" t="s">
        <v>1016</v>
      </c>
      <c r="C6" s="86" t="s">
        <v>2</v>
      </c>
    </row>
    <row r="7" spans="1:3">
      <c r="A7" s="86" t="s">
        <v>372</v>
      </c>
      <c r="B7" s="86" t="s">
        <v>1019</v>
      </c>
      <c r="C7" s="86" t="s">
        <v>2</v>
      </c>
    </row>
    <row r="8" spans="1:3">
      <c r="A8" s="86" t="s">
        <v>1020</v>
      </c>
      <c r="B8" s="86" t="s">
        <v>1019</v>
      </c>
      <c r="C8" s="86" t="s">
        <v>2</v>
      </c>
    </row>
    <row r="9" spans="1:3">
      <c r="A9" s="86" t="s">
        <v>1021</v>
      </c>
      <c r="B9" s="86" t="s">
        <v>1019</v>
      </c>
      <c r="C9" s="86" t="s">
        <v>2</v>
      </c>
    </row>
    <row r="10" spans="1:3">
      <c r="A10" s="87" t="s">
        <v>1022</v>
      </c>
      <c r="B10" s="87" t="s">
        <v>1023</v>
      </c>
      <c r="C10" s="87" t="s">
        <v>421</v>
      </c>
    </row>
    <row r="11" spans="1:3">
      <c r="A11" s="87" t="s">
        <v>1024</v>
      </c>
      <c r="B11" s="87" t="s">
        <v>421</v>
      </c>
      <c r="C11" s="87" t="s">
        <v>421</v>
      </c>
    </row>
    <row r="12" spans="1:3">
      <c r="A12" s="87" t="s">
        <v>1025</v>
      </c>
      <c r="B12" s="87" t="s">
        <v>421</v>
      </c>
      <c r="C12" s="87" t="s">
        <v>421</v>
      </c>
    </row>
    <row r="13" spans="1:3">
      <c r="A13" s="87" t="s">
        <v>1026</v>
      </c>
      <c r="B13" s="88" t="s">
        <v>1850</v>
      </c>
      <c r="C13" s="88" t="s">
        <v>1940</v>
      </c>
    </row>
    <row r="14" spans="1:3">
      <c r="A14" s="87" t="s">
        <v>373</v>
      </c>
      <c r="B14" s="87" t="s">
        <v>1028</v>
      </c>
      <c r="C14" s="87" t="s">
        <v>1679</v>
      </c>
    </row>
    <row r="15" spans="1:3">
      <c r="A15" s="87" t="s">
        <v>374</v>
      </c>
      <c r="B15" s="87" t="s">
        <v>1851</v>
      </c>
      <c r="C15" s="89" t="s">
        <v>2087</v>
      </c>
    </row>
    <row r="16" spans="1:3">
      <c r="A16" s="87" t="s">
        <v>800</v>
      </c>
      <c r="B16" s="87" t="s">
        <v>375</v>
      </c>
      <c r="C16" s="89" t="s">
        <v>1852</v>
      </c>
    </row>
    <row r="17" spans="1:3">
      <c r="A17" s="87" t="s">
        <v>1029</v>
      </c>
      <c r="B17" s="87" t="s">
        <v>1853</v>
      </c>
      <c r="C17" s="87" t="s">
        <v>2088</v>
      </c>
    </row>
    <row r="18" spans="1:3">
      <c r="A18" s="87" t="s">
        <v>1030</v>
      </c>
      <c r="B18" s="87" t="s">
        <v>1031</v>
      </c>
      <c r="C18" s="87" t="s">
        <v>1680</v>
      </c>
    </row>
    <row r="19" spans="1:3">
      <c r="A19" s="87" t="s">
        <v>1032</v>
      </c>
      <c r="B19" s="87" t="s">
        <v>1033</v>
      </c>
      <c r="C19" s="87" t="s">
        <v>1681</v>
      </c>
    </row>
    <row r="20" spans="1:3">
      <c r="A20" s="90" t="s">
        <v>376</v>
      </c>
      <c r="B20" s="90" t="s">
        <v>377</v>
      </c>
      <c r="C20" s="90" t="s">
        <v>421</v>
      </c>
    </row>
    <row r="21" spans="1:3">
      <c r="A21" s="90" t="s">
        <v>1034</v>
      </c>
      <c r="B21" s="90" t="s">
        <v>377</v>
      </c>
      <c r="C21" s="90" t="s">
        <v>421</v>
      </c>
    </row>
    <row r="22" spans="1:3">
      <c r="A22" s="90" t="s">
        <v>1035</v>
      </c>
      <c r="B22" s="90" t="s">
        <v>377</v>
      </c>
      <c r="C22" s="90" t="s">
        <v>421</v>
      </c>
    </row>
    <row r="23" spans="1:3">
      <c r="A23" s="90" t="s">
        <v>1036</v>
      </c>
      <c r="B23" s="90" t="s">
        <v>1037</v>
      </c>
      <c r="C23" s="90" t="s">
        <v>1941</v>
      </c>
    </row>
    <row r="24" spans="1:3">
      <c r="A24" s="90" t="s">
        <v>1038</v>
      </c>
      <c r="B24" s="90" t="s">
        <v>1039</v>
      </c>
      <c r="C24" s="90" t="s">
        <v>1682</v>
      </c>
    </row>
    <row r="25" spans="1:3">
      <c r="A25" s="90" t="s">
        <v>378</v>
      </c>
      <c r="B25" s="90" t="s">
        <v>1040</v>
      </c>
      <c r="C25" s="90" t="s">
        <v>379</v>
      </c>
    </row>
    <row r="26" spans="1:3">
      <c r="A26" s="90" t="s">
        <v>380</v>
      </c>
      <c r="B26" s="90" t="s">
        <v>381</v>
      </c>
      <c r="C26" s="90" t="s">
        <v>1683</v>
      </c>
    </row>
    <row r="27" spans="1:3">
      <c r="A27" s="90" t="s">
        <v>1041</v>
      </c>
      <c r="B27" s="90" t="s">
        <v>1042</v>
      </c>
      <c r="C27" s="90" t="s">
        <v>1684</v>
      </c>
    </row>
    <row r="28" spans="1:3">
      <c r="A28" s="90" t="s">
        <v>1043</v>
      </c>
      <c r="B28" s="90" t="s">
        <v>1044</v>
      </c>
      <c r="C28" s="90" t="s">
        <v>1685</v>
      </c>
    </row>
    <row r="29" spans="1:3">
      <c r="A29" s="90" t="s">
        <v>1045</v>
      </c>
      <c r="B29" s="90" t="s">
        <v>1046</v>
      </c>
      <c r="C29" s="90" t="s">
        <v>1683</v>
      </c>
    </row>
    <row r="30" spans="1:3">
      <c r="A30" s="87" t="s">
        <v>382</v>
      </c>
      <c r="B30" s="87" t="s">
        <v>173</v>
      </c>
      <c r="C30" s="87" t="s">
        <v>421</v>
      </c>
    </row>
    <row r="31" spans="1:3">
      <c r="A31" s="87" t="s">
        <v>383</v>
      </c>
      <c r="B31" s="87" t="s">
        <v>384</v>
      </c>
      <c r="C31" s="87" t="s">
        <v>1686</v>
      </c>
    </row>
    <row r="32" spans="1:3">
      <c r="A32" s="87" t="s">
        <v>385</v>
      </c>
      <c r="B32" s="87" t="s">
        <v>386</v>
      </c>
      <c r="C32" s="87" t="s">
        <v>1687</v>
      </c>
    </row>
    <row r="33" spans="1:3">
      <c r="A33" s="87" t="s">
        <v>387</v>
      </c>
      <c r="B33" s="87" t="s">
        <v>1047</v>
      </c>
      <c r="C33" s="87" t="s">
        <v>388</v>
      </c>
    </row>
    <row r="34" spans="1:3">
      <c r="A34" s="87" t="s">
        <v>389</v>
      </c>
      <c r="B34" s="87" t="s">
        <v>1048</v>
      </c>
      <c r="C34" s="87" t="s">
        <v>1688</v>
      </c>
    </row>
    <row r="35" spans="1:3">
      <c r="A35" s="87" t="s">
        <v>1049</v>
      </c>
      <c r="B35" s="87" t="s">
        <v>1050</v>
      </c>
      <c r="C35" s="87" t="s">
        <v>1686</v>
      </c>
    </row>
    <row r="36" spans="1:3">
      <c r="A36" s="87" t="s">
        <v>1051</v>
      </c>
      <c r="B36" s="87" t="s">
        <v>1052</v>
      </c>
      <c r="C36" s="87" t="s">
        <v>1689</v>
      </c>
    </row>
    <row r="37" spans="1:3">
      <c r="A37" s="87" t="s">
        <v>1053</v>
      </c>
      <c r="B37" s="87" t="s">
        <v>1054</v>
      </c>
      <c r="C37" s="87" t="s">
        <v>1688</v>
      </c>
    </row>
    <row r="38" spans="1:3">
      <c r="A38" s="90" t="s">
        <v>1055</v>
      </c>
      <c r="B38" s="90" t="s">
        <v>421</v>
      </c>
      <c r="C38" s="90" t="s">
        <v>421</v>
      </c>
    </row>
    <row r="39" spans="1:3">
      <c r="A39" s="90" t="s">
        <v>390</v>
      </c>
      <c r="B39" s="90" t="s">
        <v>1056</v>
      </c>
      <c r="C39" s="90" t="s">
        <v>1976</v>
      </c>
    </row>
    <row r="40" spans="1:3">
      <c r="A40" s="90" t="s">
        <v>391</v>
      </c>
      <c r="B40" s="90" t="s">
        <v>392</v>
      </c>
      <c r="C40" s="90" t="s">
        <v>1942</v>
      </c>
    </row>
    <row r="41" spans="1:3">
      <c r="A41" s="90" t="s">
        <v>393</v>
      </c>
      <c r="B41" s="90" t="s">
        <v>2072</v>
      </c>
      <c r="C41" s="87" t="s">
        <v>2073</v>
      </c>
    </row>
    <row r="42" spans="1:3">
      <c r="A42" s="90" t="s">
        <v>1057</v>
      </c>
      <c r="B42" s="90" t="s">
        <v>1058</v>
      </c>
      <c r="C42" s="90" t="s">
        <v>1690</v>
      </c>
    </row>
    <row r="43" spans="1:3">
      <c r="A43" s="90" t="s">
        <v>1059</v>
      </c>
      <c r="B43" s="90" t="s">
        <v>1060</v>
      </c>
      <c r="C43" s="90" t="s">
        <v>1977</v>
      </c>
    </row>
    <row r="44" spans="1:3">
      <c r="A44" s="90" t="s">
        <v>1061</v>
      </c>
      <c r="B44" s="90" t="s">
        <v>1062</v>
      </c>
      <c r="C44" s="90" t="s">
        <v>1943</v>
      </c>
    </row>
    <row r="45" spans="1:3">
      <c r="A45" s="90" t="s">
        <v>1063</v>
      </c>
      <c r="B45" s="90" t="s">
        <v>1064</v>
      </c>
      <c r="C45" s="90" t="s">
        <v>1690</v>
      </c>
    </row>
    <row r="46" spans="1:3">
      <c r="A46" s="87" t="s">
        <v>1065</v>
      </c>
      <c r="B46" s="87" t="s">
        <v>421</v>
      </c>
      <c r="C46" s="87" t="s">
        <v>421</v>
      </c>
    </row>
    <row r="47" spans="1:3">
      <c r="A47" s="87" t="s">
        <v>1066</v>
      </c>
      <c r="B47" s="87" t="s">
        <v>1067</v>
      </c>
      <c r="C47" s="87" t="s">
        <v>1691</v>
      </c>
    </row>
    <row r="48" spans="1:3">
      <c r="A48" s="87" t="s">
        <v>1068</v>
      </c>
      <c r="B48" s="87" t="s">
        <v>1069</v>
      </c>
      <c r="C48" s="87" t="s">
        <v>1692</v>
      </c>
    </row>
    <row r="49" spans="1:3">
      <c r="A49" s="87" t="s">
        <v>394</v>
      </c>
      <c r="B49" s="87" t="s">
        <v>1070</v>
      </c>
      <c r="C49" s="87" t="s">
        <v>395</v>
      </c>
    </row>
    <row r="50" spans="1:3">
      <c r="A50" s="87" t="s">
        <v>396</v>
      </c>
      <c r="B50" s="87" t="s">
        <v>1071</v>
      </c>
      <c r="C50" s="87" t="s">
        <v>1693</v>
      </c>
    </row>
    <row r="51" spans="1:3">
      <c r="A51" s="87" t="s">
        <v>1072</v>
      </c>
      <c r="B51" s="87" t="s">
        <v>1073</v>
      </c>
      <c r="C51" s="87" t="s">
        <v>1694</v>
      </c>
    </row>
    <row r="52" spans="1:3">
      <c r="A52" s="87" t="s">
        <v>1074</v>
      </c>
      <c r="B52" s="87" t="s">
        <v>1075</v>
      </c>
      <c r="C52" s="87" t="s">
        <v>1692</v>
      </c>
    </row>
    <row r="53" spans="1:3">
      <c r="A53" s="87" t="s">
        <v>1076</v>
      </c>
      <c r="B53" s="87" t="s">
        <v>1077</v>
      </c>
      <c r="C53" s="87" t="s">
        <v>1695</v>
      </c>
    </row>
    <row r="54" spans="1:3">
      <c r="A54" s="90" t="s">
        <v>397</v>
      </c>
      <c r="B54" s="90" t="s">
        <v>398</v>
      </c>
      <c r="C54" s="90" t="s">
        <v>421</v>
      </c>
    </row>
    <row r="55" spans="1:3">
      <c r="A55" s="90" t="s">
        <v>1078</v>
      </c>
      <c r="B55" s="90" t="s">
        <v>1079</v>
      </c>
      <c r="C55" s="90" t="s">
        <v>1696</v>
      </c>
    </row>
    <row r="56" spans="1:3">
      <c r="A56" s="90" t="s">
        <v>399</v>
      </c>
      <c r="B56" s="90" t="s">
        <v>1080</v>
      </c>
      <c r="C56" s="90" t="s">
        <v>1697</v>
      </c>
    </row>
    <row r="57" spans="1:3">
      <c r="A57" s="90" t="s">
        <v>400</v>
      </c>
      <c r="B57" s="90" t="s">
        <v>1081</v>
      </c>
      <c r="C57" s="90" t="s">
        <v>379</v>
      </c>
    </row>
    <row r="58" spans="1:3">
      <c r="A58" s="90" t="s">
        <v>401</v>
      </c>
      <c r="B58" s="90" t="s">
        <v>402</v>
      </c>
      <c r="C58" s="90" t="s">
        <v>1978</v>
      </c>
    </row>
    <row r="59" spans="1:3">
      <c r="A59" s="90" t="s">
        <v>1082</v>
      </c>
      <c r="B59" s="90" t="s">
        <v>1083</v>
      </c>
      <c r="C59" s="90" t="s">
        <v>1696</v>
      </c>
    </row>
    <row r="60" spans="1:3">
      <c r="A60" s="90" t="s">
        <v>1084</v>
      </c>
      <c r="B60" s="90" t="s">
        <v>1085</v>
      </c>
      <c r="C60" s="90" t="s">
        <v>1697</v>
      </c>
    </row>
    <row r="61" spans="1:3">
      <c r="A61" s="90" t="s">
        <v>1086</v>
      </c>
      <c r="B61" s="90" t="s">
        <v>1087</v>
      </c>
      <c r="C61" s="90" t="s">
        <v>1979</v>
      </c>
    </row>
    <row r="62" spans="1:3">
      <c r="A62" s="87" t="s">
        <v>403</v>
      </c>
      <c r="B62" s="87" t="s">
        <v>161</v>
      </c>
      <c r="C62" s="87" t="s">
        <v>421</v>
      </c>
    </row>
    <row r="63" spans="1:3">
      <c r="A63" s="87" t="s">
        <v>1088</v>
      </c>
      <c r="B63" s="87" t="s">
        <v>161</v>
      </c>
      <c r="C63" s="87" t="s">
        <v>421</v>
      </c>
    </row>
    <row r="64" spans="1:3">
      <c r="A64" s="87" t="s">
        <v>1089</v>
      </c>
      <c r="B64" s="87" t="s">
        <v>161</v>
      </c>
      <c r="C64" s="87" t="s">
        <v>421</v>
      </c>
    </row>
    <row r="65" spans="1:3">
      <c r="A65" s="87" t="s">
        <v>404</v>
      </c>
      <c r="B65" s="87" t="s">
        <v>1090</v>
      </c>
      <c r="C65" s="87" t="s">
        <v>1944</v>
      </c>
    </row>
    <row r="66" spans="1:3">
      <c r="A66" s="87" t="s">
        <v>405</v>
      </c>
      <c r="B66" s="87" t="s">
        <v>1091</v>
      </c>
      <c r="C66" s="87" t="s">
        <v>1698</v>
      </c>
    </row>
    <row r="67" spans="1:3">
      <c r="A67" s="87" t="s">
        <v>406</v>
      </c>
      <c r="B67" s="87" t="s">
        <v>1092</v>
      </c>
      <c r="C67" s="87" t="s">
        <v>485</v>
      </c>
    </row>
    <row r="68" spans="1:3">
      <c r="A68" s="87" t="s">
        <v>407</v>
      </c>
      <c r="B68" s="87" t="s">
        <v>1093</v>
      </c>
      <c r="C68" s="87" t="s">
        <v>1699</v>
      </c>
    </row>
    <row r="69" spans="1:3">
      <c r="A69" s="87" t="s">
        <v>1094</v>
      </c>
      <c r="B69" s="87" t="s">
        <v>1095</v>
      </c>
      <c r="C69" s="87" t="s">
        <v>1945</v>
      </c>
    </row>
    <row r="70" spans="1:3">
      <c r="A70" s="87" t="s">
        <v>1096</v>
      </c>
      <c r="B70" s="87" t="s">
        <v>1097</v>
      </c>
      <c r="C70" s="87" t="s">
        <v>1700</v>
      </c>
    </row>
    <row r="71" spans="1:3">
      <c r="A71" s="87" t="s">
        <v>1098</v>
      </c>
      <c r="B71" s="87" t="s">
        <v>1099</v>
      </c>
      <c r="C71" s="87" t="s">
        <v>1701</v>
      </c>
    </row>
    <row r="72" spans="1:3">
      <c r="A72" s="90" t="s">
        <v>408</v>
      </c>
      <c r="B72" s="90" t="s">
        <v>409</v>
      </c>
      <c r="C72" s="90" t="s">
        <v>421</v>
      </c>
    </row>
    <row r="73" spans="1:3">
      <c r="A73" s="90" t="s">
        <v>1100</v>
      </c>
      <c r="B73" s="90" t="s">
        <v>409</v>
      </c>
      <c r="C73" s="90" t="s">
        <v>421</v>
      </c>
    </row>
    <row r="74" spans="1:3">
      <c r="A74" s="90" t="s">
        <v>1101</v>
      </c>
      <c r="B74" s="90" t="s">
        <v>409</v>
      </c>
      <c r="C74" s="90" t="s">
        <v>421</v>
      </c>
    </row>
    <row r="75" spans="1:3">
      <c r="A75" s="90" t="s">
        <v>1102</v>
      </c>
      <c r="B75" s="90" t="s">
        <v>1103</v>
      </c>
      <c r="C75" s="90" t="s">
        <v>1946</v>
      </c>
    </row>
    <row r="76" spans="1:3">
      <c r="A76" s="90" t="s">
        <v>410</v>
      </c>
      <c r="B76" s="90" t="s">
        <v>1104</v>
      </c>
      <c r="C76" s="90" t="s">
        <v>1702</v>
      </c>
    </row>
    <row r="77" spans="1:3">
      <c r="A77" s="90" t="s">
        <v>1105</v>
      </c>
      <c r="B77" s="90" t="s">
        <v>1106</v>
      </c>
      <c r="C77" s="104" t="s">
        <v>2089</v>
      </c>
    </row>
    <row r="78" spans="1:3">
      <c r="A78" s="90" t="s">
        <v>411</v>
      </c>
      <c r="B78" s="90" t="s">
        <v>1107</v>
      </c>
      <c r="C78" s="90" t="s">
        <v>1703</v>
      </c>
    </row>
    <row r="79" spans="1:3">
      <c r="A79" s="90" t="s">
        <v>1108</v>
      </c>
      <c r="B79" s="90" t="s">
        <v>1109</v>
      </c>
      <c r="C79" s="90" t="s">
        <v>1947</v>
      </c>
    </row>
    <row r="80" spans="1:3">
      <c r="A80" s="90" t="s">
        <v>1110</v>
      </c>
      <c r="B80" s="90" t="s">
        <v>1111</v>
      </c>
      <c r="C80" s="90" t="s">
        <v>1702</v>
      </c>
    </row>
    <row r="81" spans="1:3">
      <c r="A81" s="90" t="s">
        <v>1112</v>
      </c>
      <c r="B81" s="90" t="s">
        <v>1113</v>
      </c>
      <c r="C81" s="90" t="s">
        <v>1703</v>
      </c>
    </row>
    <row r="82" spans="1:3">
      <c r="A82" s="91" t="s">
        <v>412</v>
      </c>
      <c r="B82" s="91" t="s">
        <v>413</v>
      </c>
      <c r="C82" s="91" t="s">
        <v>421</v>
      </c>
    </row>
    <row r="83" spans="1:3">
      <c r="A83" s="91" t="s">
        <v>1114</v>
      </c>
      <c r="B83" s="91" t="s">
        <v>1115</v>
      </c>
      <c r="C83" s="91" t="s">
        <v>421</v>
      </c>
    </row>
    <row r="84" spans="1:3">
      <c r="A84" s="91" t="s">
        <v>1116</v>
      </c>
      <c r="B84" s="91" t="s">
        <v>1117</v>
      </c>
      <c r="C84" s="91" t="s">
        <v>421</v>
      </c>
    </row>
    <row r="85" spans="1:3">
      <c r="A85" s="91" t="s">
        <v>414</v>
      </c>
      <c r="B85" s="91" t="s">
        <v>1118</v>
      </c>
      <c r="C85" s="91" t="s">
        <v>1704</v>
      </c>
    </row>
    <row r="86" spans="1:3">
      <c r="A86" s="91" t="s">
        <v>1119</v>
      </c>
      <c r="B86" s="91" t="s">
        <v>1120</v>
      </c>
      <c r="C86" s="91" t="s">
        <v>1705</v>
      </c>
    </row>
    <row r="87" spans="1:3">
      <c r="A87" s="91" t="s">
        <v>1121</v>
      </c>
      <c r="B87" s="91" t="s">
        <v>1122</v>
      </c>
      <c r="C87" s="91" t="s">
        <v>415</v>
      </c>
    </row>
    <row r="88" spans="1:3">
      <c r="A88" s="91" t="s">
        <v>416</v>
      </c>
      <c r="B88" s="91" t="s">
        <v>1123</v>
      </c>
      <c r="C88" s="91" t="s">
        <v>1706</v>
      </c>
    </row>
    <row r="89" spans="1:3">
      <c r="A89" s="91" t="s">
        <v>1124</v>
      </c>
      <c r="B89" s="91" t="s">
        <v>1125</v>
      </c>
      <c r="C89" s="91" t="s">
        <v>1980</v>
      </c>
    </row>
    <row r="90" spans="1:3">
      <c r="A90" s="91" t="s">
        <v>1126</v>
      </c>
      <c r="B90" s="91" t="s">
        <v>1127</v>
      </c>
      <c r="C90" s="91" t="s">
        <v>1705</v>
      </c>
    </row>
    <row r="91" spans="1:3">
      <c r="A91" s="91" t="s">
        <v>1128</v>
      </c>
      <c r="B91" s="91" t="s">
        <v>1129</v>
      </c>
      <c r="C91" s="91" t="s">
        <v>1707</v>
      </c>
    </row>
    <row r="92" spans="1:3">
      <c r="A92" s="92" t="s">
        <v>1130</v>
      </c>
      <c r="B92" s="92" t="s">
        <v>421</v>
      </c>
      <c r="C92" s="92" t="s">
        <v>421</v>
      </c>
    </row>
    <row r="93" spans="1:3">
      <c r="A93" s="92" t="s">
        <v>1131</v>
      </c>
      <c r="B93" s="92" t="s">
        <v>421</v>
      </c>
      <c r="C93" s="92" t="s">
        <v>421</v>
      </c>
    </row>
    <row r="94" spans="1:3">
      <c r="A94" s="92" t="s">
        <v>1132</v>
      </c>
      <c r="B94" s="92" t="s">
        <v>421</v>
      </c>
      <c r="C94" s="92" t="s">
        <v>421</v>
      </c>
    </row>
    <row r="95" spans="1:3">
      <c r="A95" s="92" t="s">
        <v>1133</v>
      </c>
      <c r="B95" s="92" t="s">
        <v>1134</v>
      </c>
      <c r="C95" s="105" t="s">
        <v>2074</v>
      </c>
    </row>
    <row r="96" spans="1:3">
      <c r="A96" s="92" t="s">
        <v>417</v>
      </c>
      <c r="B96" s="92" t="s">
        <v>1135</v>
      </c>
      <c r="C96" s="87" t="s">
        <v>1931</v>
      </c>
    </row>
    <row r="97" spans="1:3">
      <c r="A97" s="92" t="s">
        <v>418</v>
      </c>
      <c r="B97" s="92" t="s">
        <v>1136</v>
      </c>
      <c r="C97" s="89" t="s">
        <v>2090</v>
      </c>
    </row>
    <row r="98" spans="1:3">
      <c r="A98" s="92" t="s">
        <v>419</v>
      </c>
      <c r="B98" s="92" t="s">
        <v>1137</v>
      </c>
      <c r="C98" s="87" t="s">
        <v>1932</v>
      </c>
    </row>
    <row r="99" spans="1:3">
      <c r="A99" s="92" t="s">
        <v>1138</v>
      </c>
      <c r="B99" s="92" t="s">
        <v>1139</v>
      </c>
      <c r="C99" s="105" t="s">
        <v>2075</v>
      </c>
    </row>
    <row r="100" spans="1:3">
      <c r="A100" s="92" t="s">
        <v>1140</v>
      </c>
      <c r="B100" s="92" t="s">
        <v>1141</v>
      </c>
      <c r="C100" s="87" t="s">
        <v>1933</v>
      </c>
    </row>
    <row r="101" spans="1:3">
      <c r="A101" s="92" t="s">
        <v>1142</v>
      </c>
      <c r="B101" s="92" t="s">
        <v>1143</v>
      </c>
      <c r="C101" s="87" t="s">
        <v>1934</v>
      </c>
    </row>
    <row r="102" spans="1:3">
      <c r="A102" s="91" t="s">
        <v>420</v>
      </c>
      <c r="B102" s="91" t="s">
        <v>421</v>
      </c>
      <c r="C102" s="91" t="s">
        <v>421</v>
      </c>
    </row>
    <row r="103" spans="1:3">
      <c r="A103" s="91" t="s">
        <v>1144</v>
      </c>
      <c r="B103" s="91" t="s">
        <v>421</v>
      </c>
      <c r="C103" s="91" t="s">
        <v>421</v>
      </c>
    </row>
    <row r="104" spans="1:3">
      <c r="A104" s="91" t="s">
        <v>1145</v>
      </c>
      <c r="B104" s="91" t="s">
        <v>421</v>
      </c>
      <c r="C104" s="91" t="s">
        <v>421</v>
      </c>
    </row>
    <row r="105" spans="1:3">
      <c r="A105" s="91" t="s">
        <v>1146</v>
      </c>
      <c r="B105" s="91" t="s">
        <v>1147</v>
      </c>
      <c r="C105" s="91" t="s">
        <v>1948</v>
      </c>
    </row>
    <row r="106" spans="1:3">
      <c r="A106" s="91" t="s">
        <v>1148</v>
      </c>
      <c r="B106" s="91" t="s">
        <v>765</v>
      </c>
      <c r="C106" s="91" t="s">
        <v>1708</v>
      </c>
    </row>
    <row r="107" spans="1:3">
      <c r="A107" s="91" t="s">
        <v>422</v>
      </c>
      <c r="B107" s="91" t="s">
        <v>1149</v>
      </c>
      <c r="C107" s="91" t="s">
        <v>395</v>
      </c>
    </row>
    <row r="108" spans="1:3">
      <c r="A108" s="93" t="s">
        <v>423</v>
      </c>
      <c r="B108" s="93" t="s">
        <v>424</v>
      </c>
      <c r="C108" s="93" t="s">
        <v>1709</v>
      </c>
    </row>
    <row r="109" spans="1:3">
      <c r="A109" s="91" t="s">
        <v>1150</v>
      </c>
      <c r="B109" s="91" t="s">
        <v>1151</v>
      </c>
      <c r="C109" s="91" t="s">
        <v>1948</v>
      </c>
    </row>
    <row r="110" spans="1:3">
      <c r="A110" s="91" t="s">
        <v>1152</v>
      </c>
      <c r="B110" s="91" t="s">
        <v>1153</v>
      </c>
      <c r="C110" s="91" t="s">
        <v>1708</v>
      </c>
    </row>
    <row r="111" spans="1:3">
      <c r="A111" s="93" t="s">
        <v>1154</v>
      </c>
      <c r="B111" s="93" t="s">
        <v>1155</v>
      </c>
      <c r="C111" s="93" t="s">
        <v>1709</v>
      </c>
    </row>
    <row r="112" spans="1:3">
      <c r="A112" s="92" t="s">
        <v>425</v>
      </c>
      <c r="B112" s="92" t="s">
        <v>421</v>
      </c>
      <c r="C112" s="92" t="s">
        <v>421</v>
      </c>
    </row>
    <row r="113" spans="1:3">
      <c r="A113" s="92" t="s">
        <v>426</v>
      </c>
      <c r="B113" s="92" t="s">
        <v>427</v>
      </c>
      <c r="C113" s="92" t="s">
        <v>1710</v>
      </c>
    </row>
    <row r="114" spans="1:3">
      <c r="A114" s="92" t="s">
        <v>428</v>
      </c>
      <c r="B114" s="92" t="s">
        <v>429</v>
      </c>
      <c r="C114" s="92" t="s">
        <v>1711</v>
      </c>
    </row>
    <row r="115" spans="1:3">
      <c r="A115" s="92" t="s">
        <v>430</v>
      </c>
      <c r="B115" s="92" t="s">
        <v>431</v>
      </c>
      <c r="C115" s="92" t="s">
        <v>415</v>
      </c>
    </row>
    <row r="116" spans="1:3">
      <c r="A116" s="92" t="s">
        <v>432</v>
      </c>
      <c r="B116" s="92" t="s">
        <v>1156</v>
      </c>
      <c r="C116" s="92" t="s">
        <v>1712</v>
      </c>
    </row>
    <row r="117" spans="1:3">
      <c r="A117" s="92" t="s">
        <v>1157</v>
      </c>
      <c r="B117" s="92" t="s">
        <v>1158</v>
      </c>
      <c r="C117" s="92" t="s">
        <v>1713</v>
      </c>
    </row>
    <row r="118" spans="1:3">
      <c r="A118" s="92" t="s">
        <v>1159</v>
      </c>
      <c r="B118" s="92" t="s">
        <v>1160</v>
      </c>
      <c r="C118" s="92" t="s">
        <v>1711</v>
      </c>
    </row>
    <row r="119" spans="1:3">
      <c r="A119" s="92" t="s">
        <v>1161</v>
      </c>
      <c r="B119" s="92" t="s">
        <v>1162</v>
      </c>
      <c r="C119" s="92" t="s">
        <v>1714</v>
      </c>
    </row>
    <row r="120" spans="1:3">
      <c r="A120" s="87" t="s">
        <v>1163</v>
      </c>
      <c r="B120" s="87" t="s">
        <v>192</v>
      </c>
      <c r="C120" s="87" t="s">
        <v>421</v>
      </c>
    </row>
    <row r="121" spans="1:3">
      <c r="A121" s="87" t="s">
        <v>1164</v>
      </c>
      <c r="B121" s="87" t="s">
        <v>1165</v>
      </c>
      <c r="C121" s="106" t="s">
        <v>433</v>
      </c>
    </row>
    <row r="122" spans="1:3">
      <c r="A122" s="87" t="s">
        <v>434</v>
      </c>
      <c r="B122" s="87" t="s">
        <v>1166</v>
      </c>
      <c r="C122" s="87" t="s">
        <v>1935</v>
      </c>
    </row>
    <row r="123" spans="1:3">
      <c r="A123" s="87" t="s">
        <v>1167</v>
      </c>
      <c r="B123" s="87" t="s">
        <v>1168</v>
      </c>
      <c r="C123" s="87" t="s">
        <v>435</v>
      </c>
    </row>
    <row r="124" spans="1:3">
      <c r="A124" s="87" t="s">
        <v>436</v>
      </c>
      <c r="B124" s="87" t="s">
        <v>1169</v>
      </c>
      <c r="C124" s="106" t="s">
        <v>1936</v>
      </c>
    </row>
    <row r="125" spans="1:3">
      <c r="A125" s="87" t="s">
        <v>1170</v>
      </c>
      <c r="B125" s="87" t="s">
        <v>1171</v>
      </c>
      <c r="C125" s="87" t="s">
        <v>433</v>
      </c>
    </row>
    <row r="126" spans="1:3">
      <c r="A126" s="87" t="s">
        <v>1172</v>
      </c>
      <c r="B126" s="87" t="s">
        <v>1173</v>
      </c>
      <c r="C126" s="87" t="s">
        <v>1937</v>
      </c>
    </row>
    <row r="127" spans="1:3">
      <c r="A127" s="87" t="s">
        <v>1174</v>
      </c>
      <c r="B127" s="87" t="s">
        <v>1175</v>
      </c>
      <c r="C127" s="87" t="s">
        <v>1938</v>
      </c>
    </row>
    <row r="128" spans="1:3">
      <c r="A128" s="90" t="s">
        <v>1176</v>
      </c>
      <c r="B128" s="90" t="s">
        <v>199</v>
      </c>
      <c r="C128" s="90" t="s">
        <v>421</v>
      </c>
    </row>
    <row r="129" spans="1:3">
      <c r="A129" s="90" t="s">
        <v>1177</v>
      </c>
      <c r="B129" s="90" t="s">
        <v>1178</v>
      </c>
      <c r="C129" s="90" t="s">
        <v>1715</v>
      </c>
    </row>
    <row r="130" spans="1:3">
      <c r="A130" s="90" t="s">
        <v>1179</v>
      </c>
      <c r="B130" s="90" t="s">
        <v>1180</v>
      </c>
      <c r="C130" s="90" t="s">
        <v>1716</v>
      </c>
    </row>
    <row r="131" spans="1:3">
      <c r="A131" s="90" t="s">
        <v>1181</v>
      </c>
      <c r="B131" s="90" t="s">
        <v>1182</v>
      </c>
      <c r="C131" s="90" t="s">
        <v>437</v>
      </c>
    </row>
    <row r="132" spans="1:3">
      <c r="A132" s="90" t="s">
        <v>1183</v>
      </c>
      <c r="B132" s="90" t="s">
        <v>1184</v>
      </c>
      <c r="C132" s="90" t="s">
        <v>2076</v>
      </c>
    </row>
    <row r="133" spans="1:3">
      <c r="A133" s="90" t="s">
        <v>1185</v>
      </c>
      <c r="B133" s="90" t="s">
        <v>1186</v>
      </c>
      <c r="C133" s="90" t="s">
        <v>1715</v>
      </c>
    </row>
    <row r="134" spans="1:3">
      <c r="A134" s="90" t="s">
        <v>1187</v>
      </c>
      <c r="B134" s="90" t="s">
        <v>1188</v>
      </c>
      <c r="C134" s="90" t="s">
        <v>1716</v>
      </c>
    </row>
    <row r="135" spans="1:3">
      <c r="A135" s="90" t="s">
        <v>1189</v>
      </c>
      <c r="B135" s="90" t="s">
        <v>1190</v>
      </c>
      <c r="C135" s="90" t="s">
        <v>2076</v>
      </c>
    </row>
    <row r="136" spans="1:3">
      <c r="A136" s="87" t="s">
        <v>438</v>
      </c>
      <c r="B136" s="87" t="s">
        <v>1191</v>
      </c>
      <c r="C136" s="87" t="s">
        <v>421</v>
      </c>
    </row>
    <row r="137" spans="1:3">
      <c r="A137" s="87" t="s">
        <v>1192</v>
      </c>
      <c r="B137" s="87" t="s">
        <v>1191</v>
      </c>
      <c r="C137" s="87" t="s">
        <v>421</v>
      </c>
    </row>
    <row r="138" spans="1:3">
      <c r="A138" s="87" t="s">
        <v>1193</v>
      </c>
      <c r="B138" s="87" t="s">
        <v>1191</v>
      </c>
      <c r="C138" s="87" t="s">
        <v>421</v>
      </c>
    </row>
    <row r="139" spans="1:3">
      <c r="A139" s="87" t="s">
        <v>1194</v>
      </c>
      <c r="B139" s="87" t="s">
        <v>1195</v>
      </c>
      <c r="C139" s="87" t="s">
        <v>1949</v>
      </c>
    </row>
    <row r="140" spans="1:3">
      <c r="A140" s="87" t="s">
        <v>1196</v>
      </c>
      <c r="B140" s="87" t="s">
        <v>1197</v>
      </c>
      <c r="C140" s="87" t="s">
        <v>1717</v>
      </c>
    </row>
    <row r="141" spans="1:3">
      <c r="A141" s="87" t="s">
        <v>439</v>
      </c>
      <c r="B141" s="87" t="s">
        <v>1198</v>
      </c>
      <c r="C141" s="87" t="s">
        <v>1199</v>
      </c>
    </row>
    <row r="142" spans="1:3">
      <c r="A142" s="87" t="s">
        <v>440</v>
      </c>
      <c r="B142" s="87" t="s">
        <v>1200</v>
      </c>
      <c r="C142" s="87" t="s">
        <v>1718</v>
      </c>
    </row>
    <row r="143" spans="1:3">
      <c r="A143" s="87" t="s">
        <v>1201</v>
      </c>
      <c r="B143" s="87" t="s">
        <v>1202</v>
      </c>
      <c r="C143" s="87" t="s">
        <v>1950</v>
      </c>
    </row>
    <row r="144" spans="1:3">
      <c r="A144" s="87" t="s">
        <v>1203</v>
      </c>
      <c r="B144" s="87" t="s">
        <v>1204</v>
      </c>
      <c r="C144" s="87" t="s">
        <v>1719</v>
      </c>
    </row>
    <row r="145" spans="1:3">
      <c r="A145" s="87" t="s">
        <v>1205</v>
      </c>
      <c r="B145" s="87" t="s">
        <v>1206</v>
      </c>
      <c r="C145" s="87" t="s">
        <v>1720</v>
      </c>
    </row>
    <row r="146" spans="1:3">
      <c r="A146" s="90" t="s">
        <v>1207</v>
      </c>
      <c r="B146" s="90" t="s">
        <v>1208</v>
      </c>
      <c r="C146" s="90" t="s">
        <v>421</v>
      </c>
    </row>
    <row r="147" spans="1:3">
      <c r="A147" s="90" t="s">
        <v>1209</v>
      </c>
      <c r="B147" s="90" t="s">
        <v>1210</v>
      </c>
      <c r="C147" s="90" t="s">
        <v>1721</v>
      </c>
    </row>
    <row r="148" spans="1:3">
      <c r="A148" s="90" t="s">
        <v>1211</v>
      </c>
      <c r="B148" s="90" t="s">
        <v>1212</v>
      </c>
      <c r="C148" s="90" t="s">
        <v>1722</v>
      </c>
    </row>
    <row r="149" spans="1:3">
      <c r="A149" s="90" t="s">
        <v>1213</v>
      </c>
      <c r="B149" s="90" t="s">
        <v>1214</v>
      </c>
      <c r="C149" s="90" t="s">
        <v>441</v>
      </c>
    </row>
    <row r="150" spans="1:3">
      <c r="A150" s="90" t="s">
        <v>1215</v>
      </c>
      <c r="B150" s="90" t="s">
        <v>1216</v>
      </c>
      <c r="C150" s="90" t="s">
        <v>1723</v>
      </c>
    </row>
    <row r="151" spans="1:3">
      <c r="A151" s="90" t="s">
        <v>1217</v>
      </c>
      <c r="B151" s="90" t="s">
        <v>1218</v>
      </c>
      <c r="C151" s="90" t="s">
        <v>1721</v>
      </c>
    </row>
    <row r="152" spans="1:3">
      <c r="A152" s="90" t="s">
        <v>1219</v>
      </c>
      <c r="B152" s="90" t="s">
        <v>1220</v>
      </c>
      <c r="C152" s="90" t="s">
        <v>1722</v>
      </c>
    </row>
    <row r="153" spans="1:3">
      <c r="A153" s="90" t="s">
        <v>1221</v>
      </c>
      <c r="B153" s="90" t="s">
        <v>1222</v>
      </c>
      <c r="C153" s="90" t="s">
        <v>1724</v>
      </c>
    </row>
    <row r="154" spans="1:3">
      <c r="A154" s="87" t="s">
        <v>442</v>
      </c>
      <c r="B154" s="87" t="s">
        <v>443</v>
      </c>
      <c r="C154" s="87" t="s">
        <v>421</v>
      </c>
    </row>
    <row r="155" spans="1:3">
      <c r="A155" s="87" t="s">
        <v>1223</v>
      </c>
      <c r="B155" s="87" t="s">
        <v>443</v>
      </c>
      <c r="C155" s="87" t="s">
        <v>421</v>
      </c>
    </row>
    <row r="156" spans="1:3">
      <c r="A156" s="87" t="s">
        <v>1224</v>
      </c>
      <c r="B156" s="87" t="s">
        <v>443</v>
      </c>
      <c r="C156" s="87" t="s">
        <v>421</v>
      </c>
    </row>
    <row r="157" spans="1:3">
      <c r="A157" s="87" t="s">
        <v>444</v>
      </c>
      <c r="B157" s="87" t="s">
        <v>1225</v>
      </c>
      <c r="C157" s="87" t="s">
        <v>1725</v>
      </c>
    </row>
    <row r="158" spans="1:3">
      <c r="A158" s="87" t="s">
        <v>445</v>
      </c>
      <c r="B158" s="87" t="s">
        <v>1226</v>
      </c>
      <c r="C158" s="87" t="s">
        <v>1951</v>
      </c>
    </row>
    <row r="159" spans="1:3">
      <c r="A159" s="87" t="s">
        <v>446</v>
      </c>
      <c r="B159" s="87" t="s">
        <v>1227</v>
      </c>
      <c r="C159" s="87" t="s">
        <v>447</v>
      </c>
    </row>
    <row r="160" spans="1:3">
      <c r="A160" s="87" t="s">
        <v>448</v>
      </c>
      <c r="B160" s="87" t="s">
        <v>1228</v>
      </c>
      <c r="C160" s="87" t="s">
        <v>1726</v>
      </c>
    </row>
    <row r="161" spans="1:3">
      <c r="A161" s="87" t="s">
        <v>1229</v>
      </c>
      <c r="B161" s="87" t="s">
        <v>1230</v>
      </c>
      <c r="C161" s="87" t="s">
        <v>1725</v>
      </c>
    </row>
    <row r="162" spans="1:3">
      <c r="A162" s="87" t="s">
        <v>1231</v>
      </c>
      <c r="B162" s="87" t="s">
        <v>1232</v>
      </c>
      <c r="C162" s="87" t="s">
        <v>1951</v>
      </c>
    </row>
    <row r="163" spans="1:3">
      <c r="A163" s="87" t="s">
        <v>1233</v>
      </c>
      <c r="B163" s="87" t="s">
        <v>1234</v>
      </c>
      <c r="C163" s="87" t="s">
        <v>1727</v>
      </c>
    </row>
    <row r="164" spans="1:3">
      <c r="A164" s="90" t="s">
        <v>449</v>
      </c>
      <c r="B164" s="90" t="s">
        <v>1235</v>
      </c>
      <c r="C164" s="90" t="s">
        <v>421</v>
      </c>
    </row>
    <row r="165" spans="1:3">
      <c r="A165" s="90" t="s">
        <v>1236</v>
      </c>
      <c r="B165" s="90" t="s">
        <v>1237</v>
      </c>
      <c r="C165" s="90" t="s">
        <v>1728</v>
      </c>
    </row>
    <row r="166" spans="1:3">
      <c r="A166" s="90" t="s">
        <v>1238</v>
      </c>
      <c r="B166" s="90" t="s">
        <v>1239</v>
      </c>
      <c r="C166" s="90" t="s">
        <v>1729</v>
      </c>
    </row>
    <row r="167" spans="1:3">
      <c r="A167" s="90" t="s">
        <v>1240</v>
      </c>
      <c r="B167" s="90" t="s">
        <v>1241</v>
      </c>
      <c r="C167" s="90" t="s">
        <v>450</v>
      </c>
    </row>
    <row r="168" spans="1:3">
      <c r="A168" s="90" t="s">
        <v>451</v>
      </c>
      <c r="B168" s="90" t="s">
        <v>452</v>
      </c>
      <c r="C168" s="90" t="s">
        <v>1730</v>
      </c>
    </row>
    <row r="169" spans="1:3">
      <c r="A169" s="90" t="s">
        <v>1242</v>
      </c>
      <c r="B169" s="90" t="s">
        <v>1243</v>
      </c>
      <c r="C169" s="90" t="s">
        <v>1728</v>
      </c>
    </row>
    <row r="170" spans="1:3">
      <c r="A170" s="90" t="s">
        <v>1244</v>
      </c>
      <c r="B170" s="90" t="s">
        <v>1245</v>
      </c>
      <c r="C170" s="90" t="s">
        <v>1729</v>
      </c>
    </row>
    <row r="171" spans="1:3">
      <c r="A171" s="90" t="s">
        <v>1246</v>
      </c>
      <c r="B171" s="90" t="s">
        <v>1247</v>
      </c>
      <c r="C171" s="90" t="s">
        <v>1730</v>
      </c>
    </row>
    <row r="172" spans="1:3">
      <c r="A172" s="87" t="s">
        <v>453</v>
      </c>
      <c r="B172" s="87" t="s">
        <v>454</v>
      </c>
      <c r="C172" s="87" t="s">
        <v>421</v>
      </c>
    </row>
    <row r="173" spans="1:3">
      <c r="A173" s="87" t="s">
        <v>1248</v>
      </c>
      <c r="B173" s="87" t="s">
        <v>1249</v>
      </c>
      <c r="C173" s="87" t="s">
        <v>1731</v>
      </c>
    </row>
    <row r="174" spans="1:3">
      <c r="A174" s="87" t="s">
        <v>455</v>
      </c>
      <c r="B174" s="87" t="s">
        <v>456</v>
      </c>
      <c r="C174" s="87" t="s">
        <v>1732</v>
      </c>
    </row>
    <row r="175" spans="1:3">
      <c r="A175" s="87" t="s">
        <v>1250</v>
      </c>
      <c r="B175" s="87" t="s">
        <v>1251</v>
      </c>
      <c r="C175" s="87" t="s">
        <v>388</v>
      </c>
    </row>
    <row r="176" spans="1:3">
      <c r="A176" s="87" t="s">
        <v>1252</v>
      </c>
      <c r="B176" s="87" t="s">
        <v>1253</v>
      </c>
      <c r="C176" s="87" t="s">
        <v>1733</v>
      </c>
    </row>
    <row r="177" spans="1:3">
      <c r="A177" s="87" t="s">
        <v>1254</v>
      </c>
      <c r="B177" s="87" t="s">
        <v>1255</v>
      </c>
      <c r="C177" s="87" t="s">
        <v>1731</v>
      </c>
    </row>
    <row r="178" spans="1:3">
      <c r="A178" s="87" t="s">
        <v>1256</v>
      </c>
      <c r="B178" s="87" t="s">
        <v>1257</v>
      </c>
      <c r="C178" s="87" t="s">
        <v>1734</v>
      </c>
    </row>
    <row r="179" spans="1:3">
      <c r="A179" s="87" t="s">
        <v>1258</v>
      </c>
      <c r="B179" s="87" t="s">
        <v>1259</v>
      </c>
      <c r="C179" s="87" t="s">
        <v>1733</v>
      </c>
    </row>
    <row r="180" spans="1:3">
      <c r="A180" s="90" t="s">
        <v>457</v>
      </c>
      <c r="B180" s="90" t="s">
        <v>458</v>
      </c>
      <c r="C180" s="90" t="s">
        <v>421</v>
      </c>
    </row>
    <row r="181" spans="1:3">
      <c r="A181" s="90" t="s">
        <v>1260</v>
      </c>
      <c r="B181" s="90" t="s">
        <v>1261</v>
      </c>
      <c r="C181" s="90" t="s">
        <v>1735</v>
      </c>
    </row>
    <row r="182" spans="1:3">
      <c r="A182" s="90" t="s">
        <v>459</v>
      </c>
      <c r="B182" s="90" t="s">
        <v>460</v>
      </c>
      <c r="C182" s="90" t="s">
        <v>1736</v>
      </c>
    </row>
    <row r="183" spans="1:3">
      <c r="A183" s="90" t="s">
        <v>461</v>
      </c>
      <c r="B183" s="90" t="s">
        <v>1262</v>
      </c>
      <c r="C183" s="90" t="s">
        <v>462</v>
      </c>
    </row>
    <row r="184" spans="1:3">
      <c r="A184" s="90" t="s">
        <v>463</v>
      </c>
      <c r="B184" s="90" t="s">
        <v>1263</v>
      </c>
      <c r="C184" s="90" t="s">
        <v>1737</v>
      </c>
    </row>
    <row r="185" spans="1:3">
      <c r="A185" s="90" t="s">
        <v>1264</v>
      </c>
      <c r="B185" s="90" t="s">
        <v>1265</v>
      </c>
      <c r="C185" s="90" t="s">
        <v>1735</v>
      </c>
    </row>
    <row r="186" spans="1:3">
      <c r="A186" s="90" t="s">
        <v>1266</v>
      </c>
      <c r="B186" s="90" t="s">
        <v>1267</v>
      </c>
      <c r="C186" s="90" t="s">
        <v>1736</v>
      </c>
    </row>
    <row r="187" spans="1:3">
      <c r="A187" s="90" t="s">
        <v>1268</v>
      </c>
      <c r="B187" s="90" t="s">
        <v>1269</v>
      </c>
      <c r="C187" s="90" t="s">
        <v>1737</v>
      </c>
    </row>
    <row r="188" spans="1:3">
      <c r="A188" s="87" t="s">
        <v>464</v>
      </c>
      <c r="B188" s="87" t="s">
        <v>465</v>
      </c>
      <c r="C188" s="87" t="s">
        <v>421</v>
      </c>
    </row>
    <row r="189" spans="1:3">
      <c r="A189" s="87" t="s">
        <v>1270</v>
      </c>
      <c r="B189" s="87" t="s">
        <v>1271</v>
      </c>
      <c r="C189" s="87" t="s">
        <v>1738</v>
      </c>
    </row>
    <row r="190" spans="1:3">
      <c r="A190" s="87" t="s">
        <v>466</v>
      </c>
      <c r="B190" s="87" t="s">
        <v>1272</v>
      </c>
      <c r="C190" s="87" t="s">
        <v>1739</v>
      </c>
    </row>
    <row r="191" spans="1:3">
      <c r="A191" s="87" t="s">
        <v>467</v>
      </c>
      <c r="B191" s="87" t="s">
        <v>1273</v>
      </c>
      <c r="C191" s="87" t="s">
        <v>441</v>
      </c>
    </row>
    <row r="192" spans="1:3">
      <c r="A192" s="87" t="s">
        <v>1274</v>
      </c>
      <c r="B192" s="87" t="s">
        <v>1275</v>
      </c>
      <c r="C192" s="87" t="s">
        <v>1740</v>
      </c>
    </row>
    <row r="193" spans="1:3">
      <c r="A193" s="87" t="s">
        <v>1276</v>
      </c>
      <c r="B193" s="87" t="s">
        <v>1277</v>
      </c>
      <c r="C193" s="87" t="s">
        <v>1738</v>
      </c>
    </row>
    <row r="194" spans="1:3">
      <c r="A194" s="87" t="s">
        <v>1278</v>
      </c>
      <c r="B194" s="87" t="s">
        <v>1279</v>
      </c>
      <c r="C194" s="87" t="s">
        <v>1739</v>
      </c>
    </row>
    <row r="195" spans="1:3">
      <c r="A195" s="87" t="s">
        <v>1280</v>
      </c>
      <c r="B195" s="87" t="s">
        <v>1281</v>
      </c>
      <c r="C195" s="87" t="s">
        <v>1741</v>
      </c>
    </row>
    <row r="196" spans="1:3">
      <c r="A196" s="90" t="s">
        <v>468</v>
      </c>
      <c r="B196" s="90" t="s">
        <v>1282</v>
      </c>
      <c r="C196" s="90" t="s">
        <v>421</v>
      </c>
    </row>
    <row r="197" spans="1:3">
      <c r="A197" s="90" t="s">
        <v>1283</v>
      </c>
      <c r="B197" s="90" t="s">
        <v>1282</v>
      </c>
      <c r="C197" s="90" t="s">
        <v>421</v>
      </c>
    </row>
    <row r="198" spans="1:3">
      <c r="A198" s="90" t="s">
        <v>1284</v>
      </c>
      <c r="B198" s="90" t="s">
        <v>1282</v>
      </c>
      <c r="C198" s="90" t="s">
        <v>421</v>
      </c>
    </row>
    <row r="199" spans="1:3">
      <c r="A199" s="90" t="s">
        <v>469</v>
      </c>
      <c r="B199" s="90" t="s">
        <v>470</v>
      </c>
      <c r="C199" s="90" t="s">
        <v>1742</v>
      </c>
    </row>
    <row r="200" spans="1:3">
      <c r="A200" s="90" t="s">
        <v>471</v>
      </c>
      <c r="B200" s="90" t="s">
        <v>472</v>
      </c>
      <c r="C200" s="90" t="s">
        <v>1952</v>
      </c>
    </row>
    <row r="201" spans="1:3">
      <c r="A201" s="90" t="s">
        <v>473</v>
      </c>
      <c r="B201" s="90" t="s">
        <v>1285</v>
      </c>
      <c r="C201" s="90" t="s">
        <v>474</v>
      </c>
    </row>
    <row r="202" spans="1:3">
      <c r="A202" s="90" t="s">
        <v>475</v>
      </c>
      <c r="B202" s="90" t="s">
        <v>1286</v>
      </c>
      <c r="C202" s="90" t="s">
        <v>1743</v>
      </c>
    </row>
    <row r="203" spans="1:3">
      <c r="A203" s="90" t="s">
        <v>1287</v>
      </c>
      <c r="B203" s="90" t="s">
        <v>1288</v>
      </c>
      <c r="C203" s="90" t="s">
        <v>1742</v>
      </c>
    </row>
    <row r="204" spans="1:3">
      <c r="A204" s="90" t="s">
        <v>1289</v>
      </c>
      <c r="B204" s="90" t="s">
        <v>1290</v>
      </c>
      <c r="C204" s="90" t="s">
        <v>1953</v>
      </c>
    </row>
    <row r="205" spans="1:3">
      <c r="A205" s="90" t="s">
        <v>1291</v>
      </c>
      <c r="B205" s="90" t="s">
        <v>1292</v>
      </c>
      <c r="C205" s="90" t="s">
        <v>1743</v>
      </c>
    </row>
    <row r="206" spans="1:3">
      <c r="A206" s="87" t="s">
        <v>476</v>
      </c>
      <c r="B206" s="87" t="s">
        <v>477</v>
      </c>
      <c r="C206" s="87" t="s">
        <v>421</v>
      </c>
    </row>
    <row r="207" spans="1:3">
      <c r="A207" s="87" t="s">
        <v>1293</v>
      </c>
      <c r="B207" s="87" t="s">
        <v>1294</v>
      </c>
      <c r="C207" s="87" t="s">
        <v>1744</v>
      </c>
    </row>
    <row r="208" spans="1:3">
      <c r="A208" s="87" t="s">
        <v>478</v>
      </c>
      <c r="B208" s="87" t="s">
        <v>1295</v>
      </c>
      <c r="C208" s="87" t="s">
        <v>1745</v>
      </c>
    </row>
    <row r="209" spans="1:3">
      <c r="A209" s="87" t="s">
        <v>479</v>
      </c>
      <c r="B209" s="87" t="s">
        <v>1296</v>
      </c>
      <c r="C209" s="87" t="s">
        <v>415</v>
      </c>
    </row>
    <row r="210" spans="1:3">
      <c r="A210" s="87" t="s">
        <v>480</v>
      </c>
      <c r="B210" s="87" t="s">
        <v>1297</v>
      </c>
      <c r="C210" s="87" t="s">
        <v>1746</v>
      </c>
    </row>
    <row r="211" spans="1:3">
      <c r="A211" s="87" t="s">
        <v>1298</v>
      </c>
      <c r="B211" s="87" t="s">
        <v>1299</v>
      </c>
      <c r="C211" s="87" t="s">
        <v>1747</v>
      </c>
    </row>
    <row r="212" spans="1:3">
      <c r="A212" s="87" t="s">
        <v>1300</v>
      </c>
      <c r="B212" s="87" t="s">
        <v>1301</v>
      </c>
      <c r="C212" s="87" t="s">
        <v>1745</v>
      </c>
    </row>
    <row r="213" spans="1:3">
      <c r="A213" s="87" t="s">
        <v>1302</v>
      </c>
      <c r="B213" s="87" t="s">
        <v>1303</v>
      </c>
      <c r="C213" s="87" t="s">
        <v>1746</v>
      </c>
    </row>
    <row r="214" spans="1:3">
      <c r="A214" s="90" t="s">
        <v>481</v>
      </c>
      <c r="B214" s="90" t="s">
        <v>195</v>
      </c>
      <c r="C214" s="90" t="s">
        <v>421</v>
      </c>
    </row>
    <row r="215" spans="1:3">
      <c r="A215" s="90" t="s">
        <v>482</v>
      </c>
      <c r="B215" s="90" t="s">
        <v>1304</v>
      </c>
      <c r="C215" s="90" t="s">
        <v>1748</v>
      </c>
    </row>
    <row r="216" spans="1:3">
      <c r="A216" s="90" t="s">
        <v>483</v>
      </c>
      <c r="B216" s="90" t="s">
        <v>1305</v>
      </c>
      <c r="C216" s="90" t="s">
        <v>1749</v>
      </c>
    </row>
    <row r="217" spans="1:3">
      <c r="A217" s="90" t="s">
        <v>484</v>
      </c>
      <c r="B217" s="90" t="s">
        <v>1306</v>
      </c>
      <c r="C217" s="90" t="s">
        <v>485</v>
      </c>
    </row>
    <row r="218" spans="1:3">
      <c r="A218" s="90" t="s">
        <v>873</v>
      </c>
      <c r="B218" s="90" t="s">
        <v>486</v>
      </c>
      <c r="C218" s="90" t="s">
        <v>1750</v>
      </c>
    </row>
    <row r="219" spans="1:3">
      <c r="A219" s="90" t="s">
        <v>1307</v>
      </c>
      <c r="B219" s="90" t="s">
        <v>1308</v>
      </c>
      <c r="C219" s="90" t="s">
        <v>1748</v>
      </c>
    </row>
    <row r="220" spans="1:3">
      <c r="A220" s="90" t="s">
        <v>1309</v>
      </c>
      <c r="B220" s="90" t="s">
        <v>1310</v>
      </c>
      <c r="C220" s="90" t="s">
        <v>1749</v>
      </c>
    </row>
    <row r="221" spans="1:3">
      <c r="A221" s="90" t="s">
        <v>1311</v>
      </c>
      <c r="B221" s="90" t="s">
        <v>1312</v>
      </c>
      <c r="C221" s="90" t="s">
        <v>1954</v>
      </c>
    </row>
    <row r="222" spans="1:3">
      <c r="A222" s="87" t="s">
        <v>487</v>
      </c>
      <c r="B222" s="87" t="s">
        <v>184</v>
      </c>
      <c r="C222" s="87" t="s">
        <v>421</v>
      </c>
    </row>
    <row r="223" spans="1:3">
      <c r="A223" s="87" t="s">
        <v>488</v>
      </c>
      <c r="B223" s="87" t="s">
        <v>489</v>
      </c>
      <c r="C223" s="87" t="s">
        <v>1751</v>
      </c>
    </row>
    <row r="224" spans="1:3">
      <c r="A224" s="87" t="s">
        <v>490</v>
      </c>
      <c r="B224" s="87" t="s">
        <v>491</v>
      </c>
      <c r="C224" s="87" t="s">
        <v>1955</v>
      </c>
    </row>
    <row r="225" spans="1:3">
      <c r="A225" s="87" t="s">
        <v>492</v>
      </c>
      <c r="B225" s="87" t="s">
        <v>1313</v>
      </c>
      <c r="C225" s="87" t="s">
        <v>447</v>
      </c>
    </row>
    <row r="226" spans="1:3">
      <c r="A226" s="87" t="s">
        <v>493</v>
      </c>
      <c r="B226" s="87" t="s">
        <v>1314</v>
      </c>
      <c r="C226" s="87" t="s">
        <v>1752</v>
      </c>
    </row>
    <row r="227" spans="1:3">
      <c r="A227" s="87" t="s">
        <v>1315</v>
      </c>
      <c r="B227" s="87" t="s">
        <v>1316</v>
      </c>
      <c r="C227" s="87" t="s">
        <v>1753</v>
      </c>
    </row>
    <row r="228" spans="1:3">
      <c r="A228" s="87" t="s">
        <v>1317</v>
      </c>
      <c r="B228" s="87" t="s">
        <v>1318</v>
      </c>
      <c r="C228" s="87" t="s">
        <v>1956</v>
      </c>
    </row>
    <row r="229" spans="1:3">
      <c r="A229" s="87" t="s">
        <v>1319</v>
      </c>
      <c r="B229" s="87" t="s">
        <v>1320</v>
      </c>
      <c r="C229" s="87" t="s">
        <v>1752</v>
      </c>
    </row>
    <row r="230" spans="1:3">
      <c r="A230" s="90" t="s">
        <v>1321</v>
      </c>
      <c r="B230" s="90" t="s">
        <v>170</v>
      </c>
      <c r="C230" s="90" t="s">
        <v>421</v>
      </c>
    </row>
    <row r="231" spans="1:3">
      <c r="A231" s="90" t="s">
        <v>1322</v>
      </c>
      <c r="B231" s="90" t="s">
        <v>1323</v>
      </c>
      <c r="C231" s="90" t="s">
        <v>1754</v>
      </c>
    </row>
    <row r="232" spans="1:3">
      <c r="A232" s="90" t="s">
        <v>1324</v>
      </c>
      <c r="B232" s="90" t="s">
        <v>1325</v>
      </c>
      <c r="C232" s="90" t="s">
        <v>1755</v>
      </c>
    </row>
    <row r="233" spans="1:3">
      <c r="A233" s="90" t="s">
        <v>1326</v>
      </c>
      <c r="B233" s="90" t="s">
        <v>1327</v>
      </c>
      <c r="C233" s="90" t="s">
        <v>441</v>
      </c>
    </row>
    <row r="234" spans="1:3">
      <c r="A234" s="90" t="s">
        <v>1328</v>
      </c>
      <c r="B234" s="90" t="s">
        <v>1329</v>
      </c>
      <c r="C234" s="90" t="s">
        <v>1756</v>
      </c>
    </row>
    <row r="235" spans="1:3">
      <c r="A235" s="90" t="s">
        <v>1330</v>
      </c>
      <c r="B235" s="90" t="s">
        <v>1331</v>
      </c>
      <c r="C235" s="90" t="s">
        <v>1754</v>
      </c>
    </row>
    <row r="236" spans="1:3">
      <c r="A236" s="90" t="s">
        <v>1332</v>
      </c>
      <c r="B236" s="90" t="s">
        <v>1333</v>
      </c>
      <c r="C236" s="90" t="s">
        <v>1755</v>
      </c>
    </row>
    <row r="237" spans="1:3">
      <c r="A237" s="90" t="s">
        <v>1334</v>
      </c>
      <c r="B237" s="90" t="s">
        <v>1335</v>
      </c>
      <c r="C237" s="90" t="s">
        <v>1757</v>
      </c>
    </row>
    <row r="238" spans="1:3">
      <c r="A238" s="87" t="s">
        <v>494</v>
      </c>
      <c r="B238" s="87" t="s">
        <v>162</v>
      </c>
      <c r="C238" s="87" t="s">
        <v>421</v>
      </c>
    </row>
    <row r="239" spans="1:3">
      <c r="A239" s="87" t="s">
        <v>1336</v>
      </c>
      <c r="B239" s="87" t="s">
        <v>162</v>
      </c>
      <c r="C239" s="87" t="s">
        <v>421</v>
      </c>
    </row>
    <row r="240" spans="1:3">
      <c r="A240" s="87" t="s">
        <v>1337</v>
      </c>
      <c r="B240" s="87" t="s">
        <v>162</v>
      </c>
      <c r="C240" s="87" t="s">
        <v>421</v>
      </c>
    </row>
    <row r="241" spans="1:3">
      <c r="A241" s="87" t="s">
        <v>1338</v>
      </c>
      <c r="B241" s="87" t="s">
        <v>1339</v>
      </c>
      <c r="C241" s="87" t="s">
        <v>1758</v>
      </c>
    </row>
    <row r="242" spans="1:3">
      <c r="A242" s="87" t="s">
        <v>495</v>
      </c>
      <c r="B242" s="87" t="s">
        <v>496</v>
      </c>
      <c r="C242" s="87" t="s">
        <v>1957</v>
      </c>
    </row>
    <row r="243" spans="1:3">
      <c r="A243" s="87" t="s">
        <v>497</v>
      </c>
      <c r="B243" s="87" t="s">
        <v>1340</v>
      </c>
      <c r="C243" s="87" t="s">
        <v>447</v>
      </c>
    </row>
    <row r="244" spans="1:3">
      <c r="A244" s="87" t="s">
        <v>498</v>
      </c>
      <c r="B244" s="87" t="s">
        <v>1341</v>
      </c>
      <c r="C244" s="87" t="s">
        <v>1759</v>
      </c>
    </row>
    <row r="245" spans="1:3">
      <c r="A245" s="87" t="s">
        <v>1342</v>
      </c>
      <c r="B245" s="87" t="s">
        <v>1343</v>
      </c>
      <c r="C245" s="87" t="s">
        <v>1758</v>
      </c>
    </row>
    <row r="246" spans="1:3">
      <c r="A246" s="87" t="s">
        <v>1344</v>
      </c>
      <c r="B246" s="87" t="s">
        <v>1345</v>
      </c>
      <c r="C246" s="87" t="s">
        <v>1958</v>
      </c>
    </row>
    <row r="247" spans="1:3">
      <c r="A247" s="87" t="s">
        <v>1346</v>
      </c>
      <c r="B247" s="87" t="s">
        <v>1347</v>
      </c>
      <c r="C247" s="87" t="s">
        <v>1760</v>
      </c>
    </row>
    <row r="248" spans="1:3">
      <c r="A248" s="90" t="s">
        <v>499</v>
      </c>
      <c r="B248" s="90" t="s">
        <v>500</v>
      </c>
      <c r="C248" s="90" t="s">
        <v>421</v>
      </c>
    </row>
    <row r="249" spans="1:3">
      <c r="A249" s="90" t="s">
        <v>501</v>
      </c>
      <c r="B249" s="90" t="s">
        <v>502</v>
      </c>
      <c r="C249" s="90" t="s">
        <v>1761</v>
      </c>
    </row>
    <row r="250" spans="1:3">
      <c r="A250" s="90" t="s">
        <v>503</v>
      </c>
      <c r="B250" s="90" t="s">
        <v>1348</v>
      </c>
      <c r="C250" s="90" t="s">
        <v>1762</v>
      </c>
    </row>
    <row r="251" spans="1:3">
      <c r="A251" s="90" t="s">
        <v>1349</v>
      </c>
      <c r="B251" s="90" t="s">
        <v>1350</v>
      </c>
      <c r="C251" s="90" t="s">
        <v>485</v>
      </c>
    </row>
    <row r="252" spans="1:3">
      <c r="A252" s="90" t="s">
        <v>504</v>
      </c>
      <c r="B252" s="90" t="s">
        <v>505</v>
      </c>
      <c r="C252" s="90" t="s">
        <v>1763</v>
      </c>
    </row>
    <row r="253" spans="1:3">
      <c r="A253" s="90" t="s">
        <v>1351</v>
      </c>
      <c r="B253" s="90" t="s">
        <v>1352</v>
      </c>
      <c r="C253" s="90" t="s">
        <v>1761</v>
      </c>
    </row>
    <row r="254" spans="1:3">
      <c r="A254" s="90" t="s">
        <v>1353</v>
      </c>
      <c r="B254" s="90" t="s">
        <v>1354</v>
      </c>
      <c r="C254" s="90" t="s">
        <v>1764</v>
      </c>
    </row>
    <row r="255" spans="1:3">
      <c r="A255" s="90" t="s">
        <v>1355</v>
      </c>
      <c r="B255" s="90" t="s">
        <v>1356</v>
      </c>
      <c r="C255" s="90" t="s">
        <v>1763</v>
      </c>
    </row>
    <row r="256" spans="1:3">
      <c r="A256" s="90" t="s">
        <v>506</v>
      </c>
      <c r="B256" s="90" t="s">
        <v>190</v>
      </c>
      <c r="C256" s="90" t="s">
        <v>421</v>
      </c>
    </row>
    <row r="257" spans="1:3">
      <c r="A257" s="90" t="s">
        <v>507</v>
      </c>
      <c r="B257" s="90" t="s">
        <v>508</v>
      </c>
      <c r="C257" s="90" t="s">
        <v>1765</v>
      </c>
    </row>
    <row r="258" spans="1:3">
      <c r="A258" s="90" t="s">
        <v>509</v>
      </c>
      <c r="B258" s="90" t="s">
        <v>510</v>
      </c>
      <c r="C258" s="90" t="s">
        <v>1766</v>
      </c>
    </row>
    <row r="259" spans="1:3">
      <c r="A259" s="90" t="s">
        <v>511</v>
      </c>
      <c r="B259" s="94" t="s">
        <v>1357</v>
      </c>
      <c r="C259" s="90" t="s">
        <v>474</v>
      </c>
    </row>
    <row r="260" spans="1:3">
      <c r="A260" s="90" t="s">
        <v>1358</v>
      </c>
      <c r="B260" s="90" t="s">
        <v>1359</v>
      </c>
      <c r="C260" s="90" t="s">
        <v>1767</v>
      </c>
    </row>
    <row r="261" spans="1:3">
      <c r="A261" s="90" t="s">
        <v>1360</v>
      </c>
      <c r="B261" s="90" t="s">
        <v>508</v>
      </c>
      <c r="C261" s="90" t="s">
        <v>1765</v>
      </c>
    </row>
    <row r="262" spans="1:3">
      <c r="A262" s="90" t="s">
        <v>1361</v>
      </c>
      <c r="B262" s="90" t="s">
        <v>510</v>
      </c>
      <c r="C262" s="90" t="s">
        <v>1766</v>
      </c>
    </row>
    <row r="263" spans="1:3">
      <c r="A263" s="90" t="s">
        <v>1362</v>
      </c>
      <c r="B263" s="90" t="s">
        <v>1359</v>
      </c>
      <c r="C263" s="90" t="s">
        <v>1767</v>
      </c>
    </row>
    <row r="264" spans="1:3">
      <c r="A264" s="87" t="s">
        <v>512</v>
      </c>
      <c r="B264" s="87" t="s">
        <v>421</v>
      </c>
      <c r="C264" s="87" t="s">
        <v>421</v>
      </c>
    </row>
    <row r="265" spans="1:3">
      <c r="A265" s="87" t="s">
        <v>513</v>
      </c>
      <c r="B265" s="87" t="s">
        <v>514</v>
      </c>
      <c r="C265" s="87" t="s">
        <v>1768</v>
      </c>
    </row>
    <row r="266" spans="1:3">
      <c r="A266" s="87" t="s">
        <v>515</v>
      </c>
      <c r="B266" s="87" t="s">
        <v>516</v>
      </c>
      <c r="C266" s="87" t="s">
        <v>1769</v>
      </c>
    </row>
    <row r="267" spans="1:3">
      <c r="A267" s="87" t="s">
        <v>517</v>
      </c>
      <c r="B267" s="87" t="s">
        <v>1363</v>
      </c>
      <c r="C267" s="87" t="s">
        <v>518</v>
      </c>
    </row>
    <row r="268" spans="1:3">
      <c r="A268" s="87" t="s">
        <v>519</v>
      </c>
      <c r="B268" s="87" t="s">
        <v>520</v>
      </c>
      <c r="C268" s="87" t="s">
        <v>1959</v>
      </c>
    </row>
    <row r="269" spans="1:3">
      <c r="A269" s="87" t="s">
        <v>1364</v>
      </c>
      <c r="B269" s="87" t="s">
        <v>1365</v>
      </c>
      <c r="C269" s="87" t="s">
        <v>1768</v>
      </c>
    </row>
    <row r="270" spans="1:3">
      <c r="A270" s="87" t="s">
        <v>1366</v>
      </c>
      <c r="B270" s="87" t="s">
        <v>1367</v>
      </c>
      <c r="C270" s="87" t="s">
        <v>1769</v>
      </c>
    </row>
    <row r="271" spans="1:3">
      <c r="A271" s="87" t="s">
        <v>1368</v>
      </c>
      <c r="B271" s="87" t="s">
        <v>1369</v>
      </c>
      <c r="C271" s="87" t="s">
        <v>1960</v>
      </c>
    </row>
    <row r="272" spans="1:3">
      <c r="A272" s="90" t="s">
        <v>521</v>
      </c>
      <c r="B272" s="90" t="s">
        <v>189</v>
      </c>
      <c r="C272" s="90" t="s">
        <v>421</v>
      </c>
    </row>
    <row r="273" spans="1:3">
      <c r="A273" s="90" t="s">
        <v>1370</v>
      </c>
      <c r="B273" s="90" t="s">
        <v>1371</v>
      </c>
      <c r="C273" s="90" t="s">
        <v>1770</v>
      </c>
    </row>
    <row r="274" spans="1:3">
      <c r="A274" s="90" t="s">
        <v>522</v>
      </c>
      <c r="B274" s="90" t="s">
        <v>523</v>
      </c>
      <c r="C274" s="90" t="s">
        <v>1961</v>
      </c>
    </row>
    <row r="275" spans="1:3">
      <c r="A275" s="90" t="s">
        <v>524</v>
      </c>
      <c r="B275" s="90" t="s">
        <v>1372</v>
      </c>
      <c r="C275" s="90" t="s">
        <v>395</v>
      </c>
    </row>
    <row r="276" spans="1:3">
      <c r="A276" s="90" t="s">
        <v>525</v>
      </c>
      <c r="B276" s="90" t="s">
        <v>526</v>
      </c>
      <c r="C276" s="90" t="s">
        <v>1771</v>
      </c>
    </row>
    <row r="277" spans="1:3">
      <c r="A277" s="90" t="s">
        <v>1373</v>
      </c>
      <c r="B277" s="90" t="s">
        <v>1374</v>
      </c>
      <c r="C277" s="90" t="s">
        <v>1770</v>
      </c>
    </row>
    <row r="278" spans="1:3">
      <c r="A278" s="90" t="s">
        <v>1375</v>
      </c>
      <c r="B278" s="90" t="s">
        <v>1376</v>
      </c>
      <c r="C278" s="90" t="s">
        <v>1962</v>
      </c>
    </row>
    <row r="279" spans="1:3">
      <c r="A279" s="90" t="s">
        <v>1377</v>
      </c>
      <c r="B279" s="90" t="s">
        <v>1378</v>
      </c>
      <c r="C279" s="90" t="s">
        <v>1771</v>
      </c>
    </row>
    <row r="280" spans="1:3">
      <c r="A280" s="87" t="s">
        <v>527</v>
      </c>
      <c r="B280" s="87" t="s">
        <v>188</v>
      </c>
      <c r="C280" s="87" t="s">
        <v>421</v>
      </c>
    </row>
    <row r="281" spans="1:3">
      <c r="A281" s="87" t="s">
        <v>528</v>
      </c>
      <c r="B281" s="87" t="s">
        <v>529</v>
      </c>
      <c r="C281" s="87" t="s">
        <v>1772</v>
      </c>
    </row>
    <row r="282" spans="1:3">
      <c r="A282" s="87" t="s">
        <v>530</v>
      </c>
      <c r="B282" s="87" t="s">
        <v>531</v>
      </c>
      <c r="C282" s="87" t="s">
        <v>1773</v>
      </c>
    </row>
    <row r="283" spans="1:3">
      <c r="A283" s="87" t="s">
        <v>532</v>
      </c>
      <c r="B283" s="87" t="s">
        <v>1379</v>
      </c>
      <c r="C283" s="87" t="s">
        <v>395</v>
      </c>
    </row>
    <row r="284" spans="1:3">
      <c r="A284" s="87" t="s">
        <v>533</v>
      </c>
      <c r="B284" s="87" t="s">
        <v>1380</v>
      </c>
      <c r="C284" s="87" t="s">
        <v>1774</v>
      </c>
    </row>
    <row r="285" spans="1:3">
      <c r="A285" s="87" t="s">
        <v>1381</v>
      </c>
      <c r="B285" s="87" t="s">
        <v>1382</v>
      </c>
      <c r="C285" s="87" t="s">
        <v>1772</v>
      </c>
    </row>
    <row r="286" spans="1:3">
      <c r="A286" s="87" t="s">
        <v>1383</v>
      </c>
      <c r="B286" s="87" t="s">
        <v>1384</v>
      </c>
      <c r="C286" s="87" t="s">
        <v>1773</v>
      </c>
    </row>
    <row r="287" spans="1:3">
      <c r="A287" s="87" t="s">
        <v>1385</v>
      </c>
      <c r="B287" s="87" t="s">
        <v>1386</v>
      </c>
      <c r="C287" s="87" t="s">
        <v>1774</v>
      </c>
    </row>
    <row r="288" spans="1:3">
      <c r="A288" s="90" t="s">
        <v>534</v>
      </c>
      <c r="B288" s="90" t="s">
        <v>196</v>
      </c>
      <c r="C288" s="90" t="s">
        <v>421</v>
      </c>
    </row>
    <row r="289" spans="1:3">
      <c r="A289" s="90" t="s">
        <v>535</v>
      </c>
      <c r="B289" s="90" t="s">
        <v>536</v>
      </c>
      <c r="C289" s="90" t="s">
        <v>1775</v>
      </c>
    </row>
    <row r="290" spans="1:3">
      <c r="A290" s="90" t="s">
        <v>537</v>
      </c>
      <c r="B290" s="90" t="s">
        <v>538</v>
      </c>
      <c r="C290" s="90" t="s">
        <v>1776</v>
      </c>
    </row>
    <row r="291" spans="1:3">
      <c r="A291" s="90" t="s">
        <v>539</v>
      </c>
      <c r="B291" s="90" t="s">
        <v>1387</v>
      </c>
      <c r="C291" s="90" t="s">
        <v>395</v>
      </c>
    </row>
    <row r="292" spans="1:3">
      <c r="A292" s="90" t="s">
        <v>540</v>
      </c>
      <c r="B292" s="90" t="s">
        <v>541</v>
      </c>
      <c r="C292" s="90" t="s">
        <v>1777</v>
      </c>
    </row>
    <row r="293" spans="1:3">
      <c r="A293" s="90" t="s">
        <v>1388</v>
      </c>
      <c r="B293" s="90" t="s">
        <v>1389</v>
      </c>
      <c r="C293" s="90" t="s">
        <v>1775</v>
      </c>
    </row>
    <row r="294" spans="1:3">
      <c r="A294" s="90" t="s">
        <v>1390</v>
      </c>
      <c r="B294" s="90" t="s">
        <v>1391</v>
      </c>
      <c r="C294" s="90" t="s">
        <v>1776</v>
      </c>
    </row>
    <row r="295" spans="1:3">
      <c r="A295" s="90" t="s">
        <v>1392</v>
      </c>
      <c r="B295" s="90" t="s">
        <v>1393</v>
      </c>
      <c r="C295" s="90" t="s">
        <v>1777</v>
      </c>
    </row>
    <row r="296" spans="1:3">
      <c r="A296" s="95" t="s">
        <v>542</v>
      </c>
      <c r="B296" s="95" t="s">
        <v>543</v>
      </c>
      <c r="C296" s="95" t="s">
        <v>421</v>
      </c>
    </row>
    <row r="297" spans="1:3">
      <c r="A297" s="87" t="s">
        <v>1394</v>
      </c>
      <c r="B297" s="87" t="s">
        <v>168</v>
      </c>
      <c r="C297" s="87" t="s">
        <v>421</v>
      </c>
    </row>
    <row r="298" spans="1:3">
      <c r="A298" s="87" t="s">
        <v>1395</v>
      </c>
      <c r="B298" s="87" t="s">
        <v>168</v>
      </c>
      <c r="C298" s="87" t="s">
        <v>421</v>
      </c>
    </row>
    <row r="299" spans="1:3">
      <c r="A299" s="95" t="s">
        <v>544</v>
      </c>
      <c r="B299" s="95" t="s">
        <v>545</v>
      </c>
      <c r="C299" s="95" t="s">
        <v>1981</v>
      </c>
    </row>
    <row r="300" spans="1:3">
      <c r="A300" s="95" t="s">
        <v>546</v>
      </c>
      <c r="B300" s="95" t="s">
        <v>1396</v>
      </c>
      <c r="C300" s="95" t="s">
        <v>1778</v>
      </c>
    </row>
    <row r="301" spans="1:3">
      <c r="A301" s="95" t="s">
        <v>547</v>
      </c>
      <c r="B301" s="95" t="s">
        <v>1397</v>
      </c>
      <c r="C301" s="95" t="s">
        <v>379</v>
      </c>
    </row>
    <row r="302" spans="1:3">
      <c r="A302" s="95" t="s">
        <v>548</v>
      </c>
      <c r="B302" s="95" t="s">
        <v>549</v>
      </c>
      <c r="C302" s="95" t="s">
        <v>1779</v>
      </c>
    </row>
    <row r="303" spans="1:3">
      <c r="A303" s="95" t="s">
        <v>1398</v>
      </c>
      <c r="B303" s="95" t="s">
        <v>1399</v>
      </c>
      <c r="C303" s="95" t="s">
        <v>1982</v>
      </c>
    </row>
    <row r="304" spans="1:3">
      <c r="A304" s="95" t="s">
        <v>1400</v>
      </c>
      <c r="B304" s="95" t="s">
        <v>1401</v>
      </c>
      <c r="C304" s="95" t="s">
        <v>1780</v>
      </c>
    </row>
    <row r="305" spans="1:3">
      <c r="A305" s="95" t="s">
        <v>1402</v>
      </c>
      <c r="B305" s="95" t="s">
        <v>1403</v>
      </c>
      <c r="C305" s="95" t="s">
        <v>1779</v>
      </c>
    </row>
    <row r="306" spans="1:3">
      <c r="A306" s="90" t="s">
        <v>550</v>
      </c>
      <c r="B306" s="90" t="s">
        <v>164</v>
      </c>
      <c r="C306" s="90" t="s">
        <v>421</v>
      </c>
    </row>
    <row r="307" spans="1:3">
      <c r="A307" s="90" t="s">
        <v>1404</v>
      </c>
      <c r="B307" s="90" t="s">
        <v>164</v>
      </c>
      <c r="C307" s="90" t="s">
        <v>421</v>
      </c>
    </row>
    <row r="308" spans="1:3">
      <c r="A308" s="90" t="s">
        <v>1405</v>
      </c>
      <c r="B308" s="90" t="s">
        <v>164</v>
      </c>
      <c r="C308" s="90" t="s">
        <v>421</v>
      </c>
    </row>
    <row r="309" spans="1:3">
      <c r="A309" s="90" t="s">
        <v>551</v>
      </c>
      <c r="B309" s="90" t="s">
        <v>1406</v>
      </c>
      <c r="C309" s="90" t="s">
        <v>1781</v>
      </c>
    </row>
    <row r="310" spans="1:3">
      <c r="A310" s="90" t="s">
        <v>980</v>
      </c>
      <c r="B310" s="90" t="s">
        <v>552</v>
      </c>
      <c r="C310" s="90" t="s">
        <v>1782</v>
      </c>
    </row>
    <row r="311" spans="1:3">
      <c r="A311" s="90" t="s">
        <v>553</v>
      </c>
      <c r="B311" s="90" t="s">
        <v>1407</v>
      </c>
      <c r="C311" s="90" t="s">
        <v>1983</v>
      </c>
    </row>
    <row r="312" spans="1:3">
      <c r="A312" s="90" t="s">
        <v>1408</v>
      </c>
      <c r="B312" s="90" t="s">
        <v>706</v>
      </c>
      <c r="C312" s="107" t="s">
        <v>1783</v>
      </c>
    </row>
    <row r="313" spans="1:3">
      <c r="A313" s="90" t="s">
        <v>1409</v>
      </c>
      <c r="B313" s="90" t="s">
        <v>1410</v>
      </c>
      <c r="C313" s="90" t="s">
        <v>1781</v>
      </c>
    </row>
    <row r="314" spans="1:3">
      <c r="A314" s="90" t="s">
        <v>1411</v>
      </c>
      <c r="B314" s="90" t="s">
        <v>1412</v>
      </c>
      <c r="C314" s="90" t="s">
        <v>1782</v>
      </c>
    </row>
    <row r="315" spans="1:3">
      <c r="A315" s="90" t="s">
        <v>1413</v>
      </c>
      <c r="B315" s="90" t="s">
        <v>1414</v>
      </c>
      <c r="C315" s="107" t="s">
        <v>1784</v>
      </c>
    </row>
    <row r="316" spans="1:3">
      <c r="A316" s="87" t="s">
        <v>1415</v>
      </c>
      <c r="B316" s="87" t="s">
        <v>421</v>
      </c>
      <c r="C316" s="87" t="s">
        <v>421</v>
      </c>
    </row>
    <row r="317" spans="1:3">
      <c r="A317" s="87" t="s">
        <v>1416</v>
      </c>
      <c r="B317" s="87" t="s">
        <v>1417</v>
      </c>
      <c r="C317" s="87" t="s">
        <v>1785</v>
      </c>
    </row>
    <row r="318" spans="1:3">
      <c r="A318" s="87" t="s">
        <v>1418</v>
      </c>
      <c r="B318" s="87" t="s">
        <v>1419</v>
      </c>
      <c r="C318" s="87" t="s">
        <v>1786</v>
      </c>
    </row>
    <row r="319" spans="1:3">
      <c r="A319" s="87" t="s">
        <v>1420</v>
      </c>
      <c r="B319" s="87" t="s">
        <v>1421</v>
      </c>
      <c r="C319" s="87" t="s">
        <v>474</v>
      </c>
    </row>
    <row r="320" spans="1:3">
      <c r="A320" s="96" t="s">
        <v>1422</v>
      </c>
      <c r="B320" s="96" t="s">
        <v>1423</v>
      </c>
      <c r="C320" s="96" t="s">
        <v>1787</v>
      </c>
    </row>
    <row r="321" spans="1:3">
      <c r="A321" s="87" t="s">
        <v>1424</v>
      </c>
      <c r="B321" s="87" t="s">
        <v>1425</v>
      </c>
      <c r="C321" s="87" t="s">
        <v>1788</v>
      </c>
    </row>
    <row r="322" spans="1:3">
      <c r="A322" s="87" t="s">
        <v>1426</v>
      </c>
      <c r="B322" s="87" t="s">
        <v>1427</v>
      </c>
      <c r="C322" s="87" t="s">
        <v>1786</v>
      </c>
    </row>
    <row r="323" spans="1:3">
      <c r="A323" s="96" t="s">
        <v>1428</v>
      </c>
      <c r="B323" s="96" t="s">
        <v>1429</v>
      </c>
      <c r="C323" s="96" t="s">
        <v>1789</v>
      </c>
    </row>
    <row r="324" spans="1:3">
      <c r="A324" s="90" t="s">
        <v>554</v>
      </c>
      <c r="B324" s="90" t="s">
        <v>555</v>
      </c>
      <c r="C324" s="90" t="s">
        <v>421</v>
      </c>
    </row>
    <row r="325" spans="1:3">
      <c r="A325" s="90" t="s">
        <v>1430</v>
      </c>
      <c r="B325" s="90" t="s">
        <v>1431</v>
      </c>
      <c r="C325" s="90" t="s">
        <v>421</v>
      </c>
    </row>
    <row r="326" spans="1:3">
      <c r="A326" s="90" t="s">
        <v>1432</v>
      </c>
      <c r="B326" s="90" t="s">
        <v>1433</v>
      </c>
      <c r="C326" s="90" t="s">
        <v>421</v>
      </c>
    </row>
    <row r="327" spans="1:3">
      <c r="A327" s="90" t="s">
        <v>556</v>
      </c>
      <c r="B327" s="90" t="s">
        <v>986</v>
      </c>
      <c r="C327" s="90" t="s">
        <v>1790</v>
      </c>
    </row>
    <row r="328" spans="1:3">
      <c r="A328" s="90" t="s">
        <v>557</v>
      </c>
      <c r="B328" s="90" t="s">
        <v>558</v>
      </c>
      <c r="C328" s="90" t="s">
        <v>1791</v>
      </c>
    </row>
    <row r="329" spans="1:3">
      <c r="A329" s="90" t="s">
        <v>559</v>
      </c>
      <c r="B329" s="90" t="s">
        <v>1434</v>
      </c>
      <c r="C329" s="90" t="s">
        <v>560</v>
      </c>
    </row>
    <row r="330" spans="1:3">
      <c r="A330" s="90" t="s">
        <v>1435</v>
      </c>
      <c r="B330" s="90" t="s">
        <v>1436</v>
      </c>
      <c r="C330" s="90" t="s">
        <v>1792</v>
      </c>
    </row>
    <row r="331" spans="1:3">
      <c r="A331" s="90" t="s">
        <v>1437</v>
      </c>
      <c r="B331" s="90" t="s">
        <v>1438</v>
      </c>
      <c r="C331" s="90" t="s">
        <v>1790</v>
      </c>
    </row>
    <row r="332" spans="1:3">
      <c r="A332" s="90" t="s">
        <v>1439</v>
      </c>
      <c r="B332" s="90" t="s">
        <v>1440</v>
      </c>
      <c r="C332" s="90" t="s">
        <v>1793</v>
      </c>
    </row>
    <row r="333" spans="1:3">
      <c r="A333" s="90" t="s">
        <v>1441</v>
      </c>
      <c r="B333" s="90" t="s">
        <v>1442</v>
      </c>
      <c r="C333" s="90" t="s">
        <v>1792</v>
      </c>
    </row>
    <row r="334" spans="1:3">
      <c r="A334" s="97" t="s">
        <v>561</v>
      </c>
      <c r="B334" s="97" t="s">
        <v>1443</v>
      </c>
      <c r="C334" s="97" t="s">
        <v>421</v>
      </c>
    </row>
    <row r="335" spans="1:3">
      <c r="A335" s="97" t="s">
        <v>562</v>
      </c>
      <c r="B335" s="97" t="s">
        <v>563</v>
      </c>
      <c r="C335" s="97" t="s">
        <v>1794</v>
      </c>
    </row>
    <row r="336" spans="1:3">
      <c r="A336" s="97" t="s">
        <v>564</v>
      </c>
      <c r="B336" s="97" t="s">
        <v>565</v>
      </c>
      <c r="C336" s="97" t="s">
        <v>1795</v>
      </c>
    </row>
    <row r="337" spans="1:3">
      <c r="A337" s="97" t="s">
        <v>566</v>
      </c>
      <c r="B337" s="97" t="s">
        <v>1444</v>
      </c>
      <c r="C337" s="97" t="s">
        <v>450</v>
      </c>
    </row>
    <row r="338" spans="1:3">
      <c r="A338" s="97" t="s">
        <v>567</v>
      </c>
      <c r="B338" s="97" t="s">
        <v>568</v>
      </c>
      <c r="C338" s="97" t="s">
        <v>1796</v>
      </c>
    </row>
    <row r="339" spans="1:3">
      <c r="A339" s="97" t="s">
        <v>1445</v>
      </c>
      <c r="B339" s="97" t="s">
        <v>563</v>
      </c>
      <c r="C339" s="97" t="s">
        <v>1794</v>
      </c>
    </row>
    <row r="340" spans="1:3">
      <c r="A340" s="97" t="s">
        <v>1446</v>
      </c>
      <c r="B340" s="97" t="s">
        <v>565</v>
      </c>
      <c r="C340" s="97" t="s">
        <v>1795</v>
      </c>
    </row>
    <row r="341" spans="1:3">
      <c r="A341" s="97" t="s">
        <v>1447</v>
      </c>
      <c r="B341" s="97" t="s">
        <v>568</v>
      </c>
      <c r="C341" s="97" t="s">
        <v>1796</v>
      </c>
    </row>
    <row r="342" spans="1:3">
      <c r="A342" s="95" t="s">
        <v>569</v>
      </c>
      <c r="B342" s="95" t="s">
        <v>570</v>
      </c>
      <c r="C342" s="95" t="s">
        <v>421</v>
      </c>
    </row>
    <row r="343" spans="1:3">
      <c r="A343" s="95" t="s">
        <v>571</v>
      </c>
      <c r="B343" s="95" t="s">
        <v>572</v>
      </c>
      <c r="C343" s="95" t="s">
        <v>1797</v>
      </c>
    </row>
    <row r="344" spans="1:3">
      <c r="A344" s="95" t="s">
        <v>573</v>
      </c>
      <c r="B344" s="95" t="s">
        <v>574</v>
      </c>
      <c r="C344" s="95" t="s">
        <v>1798</v>
      </c>
    </row>
    <row r="345" spans="1:3">
      <c r="A345" s="95" t="s">
        <v>575</v>
      </c>
      <c r="B345" s="95" t="s">
        <v>1448</v>
      </c>
      <c r="C345" s="95" t="s">
        <v>1799</v>
      </c>
    </row>
    <row r="346" spans="1:3">
      <c r="A346" s="95" t="s">
        <v>576</v>
      </c>
      <c r="B346" s="95" t="s">
        <v>1449</v>
      </c>
      <c r="C346" s="95" t="s">
        <v>1800</v>
      </c>
    </row>
    <row r="347" spans="1:3">
      <c r="A347" s="95" t="s">
        <v>1450</v>
      </c>
      <c r="B347" s="95" t="s">
        <v>1451</v>
      </c>
      <c r="C347" s="95" t="s">
        <v>1797</v>
      </c>
    </row>
    <row r="348" spans="1:3">
      <c r="A348" s="95" t="s">
        <v>1452</v>
      </c>
      <c r="B348" s="95" t="s">
        <v>1453</v>
      </c>
      <c r="C348" s="95" t="s">
        <v>1801</v>
      </c>
    </row>
    <row r="349" spans="1:3">
      <c r="A349" s="95" t="s">
        <v>1454</v>
      </c>
      <c r="B349" s="95" t="s">
        <v>1455</v>
      </c>
      <c r="C349" s="95" t="s">
        <v>1800</v>
      </c>
    </row>
    <row r="350" spans="1:3">
      <c r="A350" s="90" t="s">
        <v>1456</v>
      </c>
      <c r="B350" s="90" t="s">
        <v>1457</v>
      </c>
      <c r="C350" s="90" t="s">
        <v>421</v>
      </c>
    </row>
    <row r="351" spans="1:3">
      <c r="A351" s="90" t="s">
        <v>1458</v>
      </c>
      <c r="B351" s="90" t="s">
        <v>1457</v>
      </c>
      <c r="C351" s="90" t="s">
        <v>421</v>
      </c>
    </row>
    <row r="352" spans="1:3">
      <c r="A352" s="90" t="s">
        <v>1459</v>
      </c>
      <c r="B352" s="90" t="s">
        <v>1457</v>
      </c>
      <c r="C352" s="90" t="s">
        <v>421</v>
      </c>
    </row>
    <row r="353" spans="1:3">
      <c r="A353" s="90" t="s">
        <v>1460</v>
      </c>
      <c r="B353" s="90" t="s">
        <v>1461</v>
      </c>
      <c r="C353" s="90" t="s">
        <v>1802</v>
      </c>
    </row>
    <row r="354" spans="1:3">
      <c r="A354" s="92" t="s">
        <v>1462</v>
      </c>
      <c r="B354" s="92" t="s">
        <v>1463</v>
      </c>
      <c r="C354" s="92" t="s">
        <v>1963</v>
      </c>
    </row>
    <row r="355" spans="1:3">
      <c r="A355" s="90" t="s">
        <v>577</v>
      </c>
      <c r="B355" s="90" t="s">
        <v>1464</v>
      </c>
      <c r="C355" s="90" t="s">
        <v>379</v>
      </c>
    </row>
    <row r="356" spans="1:3">
      <c r="A356" s="90" t="s">
        <v>1465</v>
      </c>
      <c r="B356" s="90" t="s">
        <v>1466</v>
      </c>
      <c r="C356" s="90" t="s">
        <v>1803</v>
      </c>
    </row>
    <row r="357" spans="1:3">
      <c r="A357" s="90" t="s">
        <v>1467</v>
      </c>
      <c r="B357" s="90" t="s">
        <v>1468</v>
      </c>
      <c r="C357" s="90" t="s">
        <v>1804</v>
      </c>
    </row>
    <row r="358" spans="1:3">
      <c r="A358" s="92" t="s">
        <v>1469</v>
      </c>
      <c r="B358" s="92" t="s">
        <v>1470</v>
      </c>
      <c r="C358" s="92" t="s">
        <v>1964</v>
      </c>
    </row>
    <row r="359" spans="1:3">
      <c r="A359" s="90" t="s">
        <v>1471</v>
      </c>
      <c r="B359" s="90" t="s">
        <v>1472</v>
      </c>
      <c r="C359" s="90" t="s">
        <v>1803</v>
      </c>
    </row>
    <row r="360" spans="1:3">
      <c r="A360" s="87" t="s">
        <v>578</v>
      </c>
      <c r="B360" s="87" t="s">
        <v>1473</v>
      </c>
      <c r="C360" s="87" t="s">
        <v>421</v>
      </c>
    </row>
    <row r="361" spans="1:3">
      <c r="A361" s="87" t="s">
        <v>1474</v>
      </c>
      <c r="B361" s="87" t="s">
        <v>1473</v>
      </c>
      <c r="C361" s="87" t="s">
        <v>421</v>
      </c>
    </row>
    <row r="362" spans="1:3">
      <c r="A362" s="87" t="s">
        <v>1475</v>
      </c>
      <c r="B362" s="87" t="s">
        <v>1473</v>
      </c>
      <c r="C362" s="87" t="s">
        <v>421</v>
      </c>
    </row>
    <row r="363" spans="1:3">
      <c r="A363" s="87" t="s">
        <v>579</v>
      </c>
      <c r="B363" s="87" t="s">
        <v>1476</v>
      </c>
      <c r="C363" s="87" t="s">
        <v>1965</v>
      </c>
    </row>
    <row r="364" spans="1:3">
      <c r="A364" s="87" t="s">
        <v>580</v>
      </c>
      <c r="B364" s="87" t="s">
        <v>1477</v>
      </c>
      <c r="C364" s="87" t="s">
        <v>1966</v>
      </c>
    </row>
    <row r="365" spans="1:3">
      <c r="A365" s="87" t="s">
        <v>581</v>
      </c>
      <c r="B365" s="87" t="s">
        <v>472</v>
      </c>
      <c r="C365" s="87" t="s">
        <v>1967</v>
      </c>
    </row>
    <row r="366" spans="1:3">
      <c r="A366" s="87" t="s">
        <v>582</v>
      </c>
      <c r="B366" s="87" t="s">
        <v>1478</v>
      </c>
      <c r="C366" s="87" t="s">
        <v>2077</v>
      </c>
    </row>
    <row r="367" spans="1:3">
      <c r="A367" s="87" t="s">
        <v>1479</v>
      </c>
      <c r="B367" s="87" t="s">
        <v>1480</v>
      </c>
      <c r="C367" s="87" t="s">
        <v>1965</v>
      </c>
    </row>
    <row r="368" spans="1:3">
      <c r="A368" s="87" t="s">
        <v>1481</v>
      </c>
      <c r="B368" s="87" t="s">
        <v>1482</v>
      </c>
      <c r="C368" s="87" t="s">
        <v>1805</v>
      </c>
    </row>
    <row r="369" spans="1:3">
      <c r="A369" s="87" t="s">
        <v>1483</v>
      </c>
      <c r="B369" s="87" t="s">
        <v>1484</v>
      </c>
      <c r="C369" s="87" t="s">
        <v>2078</v>
      </c>
    </row>
    <row r="370" spans="1:3">
      <c r="A370" s="87" t="s">
        <v>583</v>
      </c>
      <c r="B370" s="87" t="s">
        <v>421</v>
      </c>
      <c r="C370" s="87" t="s">
        <v>421</v>
      </c>
    </row>
    <row r="371" spans="1:3">
      <c r="A371" s="87" t="s">
        <v>584</v>
      </c>
      <c r="B371" s="87" t="s">
        <v>1485</v>
      </c>
      <c r="C371" s="87" t="s">
        <v>1806</v>
      </c>
    </row>
    <row r="372" spans="1:3">
      <c r="A372" s="87" t="s">
        <v>585</v>
      </c>
      <c r="B372" s="87" t="s">
        <v>1486</v>
      </c>
      <c r="C372" s="87" t="s">
        <v>1807</v>
      </c>
    </row>
    <row r="373" spans="1:3">
      <c r="A373" s="87" t="s">
        <v>586</v>
      </c>
      <c r="B373" s="87" t="s">
        <v>587</v>
      </c>
      <c r="C373" s="87" t="s">
        <v>388</v>
      </c>
    </row>
    <row r="374" spans="1:3">
      <c r="A374" s="87" t="s">
        <v>1487</v>
      </c>
      <c r="B374" s="87" t="s">
        <v>1327</v>
      </c>
      <c r="C374" s="87" t="s">
        <v>1808</v>
      </c>
    </row>
    <row r="375" spans="1:3">
      <c r="A375" s="87" t="s">
        <v>1488</v>
      </c>
      <c r="B375" s="87" t="s">
        <v>1489</v>
      </c>
      <c r="C375" s="87" t="s">
        <v>1806</v>
      </c>
    </row>
    <row r="376" spans="1:3">
      <c r="A376" s="87" t="s">
        <v>1490</v>
      </c>
      <c r="B376" s="87" t="s">
        <v>1491</v>
      </c>
      <c r="C376" s="87" t="s">
        <v>1809</v>
      </c>
    </row>
    <row r="377" spans="1:3">
      <c r="A377" s="87" t="s">
        <v>1492</v>
      </c>
      <c r="B377" s="87" t="s">
        <v>1493</v>
      </c>
      <c r="C377" s="87" t="s">
        <v>1808</v>
      </c>
    </row>
    <row r="378" spans="1:3">
      <c r="A378" s="97" t="s">
        <v>588</v>
      </c>
      <c r="B378" s="97" t="s">
        <v>421</v>
      </c>
      <c r="C378" s="97" t="s">
        <v>589</v>
      </c>
    </row>
    <row r="379" spans="1:3">
      <c r="A379" s="97" t="s">
        <v>590</v>
      </c>
      <c r="B379" s="97" t="s">
        <v>591</v>
      </c>
      <c r="C379" s="97" t="s">
        <v>1810</v>
      </c>
    </row>
    <row r="380" spans="1:3">
      <c r="A380" s="97" t="s">
        <v>592</v>
      </c>
      <c r="B380" s="97" t="s">
        <v>1494</v>
      </c>
      <c r="C380" s="97" t="s">
        <v>1811</v>
      </c>
    </row>
    <row r="381" spans="1:3">
      <c r="A381" s="97" t="s">
        <v>593</v>
      </c>
      <c r="B381" s="97" t="s">
        <v>594</v>
      </c>
      <c r="C381" s="97" t="s">
        <v>595</v>
      </c>
    </row>
    <row r="382" spans="1:3">
      <c r="A382" s="97" t="s">
        <v>596</v>
      </c>
      <c r="B382" s="97" t="s">
        <v>597</v>
      </c>
      <c r="C382" s="97" t="s">
        <v>1812</v>
      </c>
    </row>
    <row r="383" spans="1:3">
      <c r="A383" s="98" t="s">
        <v>599</v>
      </c>
      <c r="B383" s="98" t="s">
        <v>421</v>
      </c>
      <c r="C383" s="98" t="s">
        <v>600</v>
      </c>
    </row>
    <row r="384" spans="1:3">
      <c r="A384" s="98" t="s">
        <v>601</v>
      </c>
      <c r="B384" s="98" t="s">
        <v>602</v>
      </c>
      <c r="C384" s="98" t="s">
        <v>1495</v>
      </c>
    </row>
    <row r="385" spans="1:3">
      <c r="A385" s="98" t="s">
        <v>603</v>
      </c>
      <c r="B385" s="98" t="s">
        <v>604</v>
      </c>
      <c r="C385" s="98" t="s">
        <v>1813</v>
      </c>
    </row>
    <row r="386" spans="1:3">
      <c r="A386" s="98" t="s">
        <v>605</v>
      </c>
      <c r="B386" s="98" t="s">
        <v>606</v>
      </c>
      <c r="C386" s="98" t="s">
        <v>607</v>
      </c>
    </row>
    <row r="387" spans="1:3">
      <c r="A387" s="98" t="s">
        <v>608</v>
      </c>
      <c r="B387" s="98" t="s">
        <v>609</v>
      </c>
      <c r="C387" s="98" t="s">
        <v>1814</v>
      </c>
    </row>
    <row r="388" spans="1:3">
      <c r="A388" s="97" t="s">
        <v>611</v>
      </c>
      <c r="B388" s="97" t="s">
        <v>612</v>
      </c>
      <c r="C388" s="97" t="s">
        <v>613</v>
      </c>
    </row>
    <row r="389" spans="1:3">
      <c r="A389" s="97" t="s">
        <v>614</v>
      </c>
      <c r="B389" s="97" t="s">
        <v>615</v>
      </c>
      <c r="C389" s="97" t="s">
        <v>1815</v>
      </c>
    </row>
    <row r="390" spans="1:3">
      <c r="A390" s="97" t="s">
        <v>617</v>
      </c>
      <c r="B390" s="97" t="s">
        <v>618</v>
      </c>
      <c r="C390" s="97" t="s">
        <v>1816</v>
      </c>
    </row>
    <row r="391" spans="1:3">
      <c r="A391" s="97" t="s">
        <v>619</v>
      </c>
      <c r="B391" s="97" t="s">
        <v>620</v>
      </c>
      <c r="C391" s="97" t="s">
        <v>621</v>
      </c>
    </row>
    <row r="392" spans="1:3">
      <c r="A392" s="97" t="s">
        <v>622</v>
      </c>
      <c r="B392" s="97" t="s">
        <v>623</v>
      </c>
      <c r="C392" s="97" t="s">
        <v>1817</v>
      </c>
    </row>
    <row r="393" spans="1:3">
      <c r="A393" s="98" t="s">
        <v>1496</v>
      </c>
      <c r="B393" s="98" t="s">
        <v>202</v>
      </c>
      <c r="C393" s="98" t="s">
        <v>659</v>
      </c>
    </row>
    <row r="394" spans="1:3">
      <c r="A394" s="98" t="s">
        <v>624</v>
      </c>
      <c r="B394" s="98" t="s">
        <v>625</v>
      </c>
      <c r="C394" s="98" t="s">
        <v>1818</v>
      </c>
    </row>
    <row r="395" spans="1:3">
      <c r="A395" s="98" t="s">
        <v>626</v>
      </c>
      <c r="B395" s="98" t="s">
        <v>627</v>
      </c>
      <c r="C395" s="98" t="s">
        <v>1819</v>
      </c>
    </row>
    <row r="396" spans="1:3">
      <c r="A396" s="98" t="s">
        <v>628</v>
      </c>
      <c r="B396" s="98" t="s">
        <v>629</v>
      </c>
      <c r="C396" s="98" t="s">
        <v>630</v>
      </c>
    </row>
    <row r="397" spans="1:3">
      <c r="A397" s="98" t="s">
        <v>631</v>
      </c>
      <c r="B397" s="98" t="s">
        <v>632</v>
      </c>
      <c r="C397" s="98" t="s">
        <v>1820</v>
      </c>
    </row>
    <row r="398" spans="1:3">
      <c r="A398" s="97" t="s">
        <v>633</v>
      </c>
      <c r="B398" s="97" t="s">
        <v>421</v>
      </c>
      <c r="C398" s="97" t="s">
        <v>634</v>
      </c>
    </row>
    <row r="399" spans="1:3">
      <c r="A399" s="97" t="s">
        <v>635</v>
      </c>
      <c r="B399" s="97" t="s">
        <v>636</v>
      </c>
      <c r="C399" s="97" t="s">
        <v>1821</v>
      </c>
    </row>
    <row r="400" spans="1:3">
      <c r="A400" s="97" t="s">
        <v>637</v>
      </c>
      <c r="B400" s="97" t="s">
        <v>1497</v>
      </c>
      <c r="C400" s="97" t="s">
        <v>1822</v>
      </c>
    </row>
    <row r="401" spans="1:3">
      <c r="A401" s="97" t="s">
        <v>638</v>
      </c>
      <c r="B401" s="97" t="s">
        <v>1498</v>
      </c>
      <c r="C401" s="97" t="s">
        <v>1499</v>
      </c>
    </row>
    <row r="402" spans="1:3">
      <c r="A402" s="97" t="s">
        <v>1500</v>
      </c>
      <c r="B402" s="97" t="s">
        <v>1501</v>
      </c>
      <c r="C402" s="108" t="s">
        <v>1823</v>
      </c>
    </row>
    <row r="403" spans="1:3">
      <c r="A403" s="98" t="s">
        <v>639</v>
      </c>
      <c r="B403" s="98" t="s">
        <v>1502</v>
      </c>
      <c r="C403" s="98" t="s">
        <v>1503</v>
      </c>
    </row>
    <row r="404" spans="1:3">
      <c r="A404" s="98" t="s">
        <v>640</v>
      </c>
      <c r="B404" s="98" t="s">
        <v>641</v>
      </c>
      <c r="C404" s="98" t="s">
        <v>1824</v>
      </c>
    </row>
    <row r="405" spans="1:3">
      <c r="A405" s="98" t="s">
        <v>642</v>
      </c>
      <c r="B405" s="98" t="s">
        <v>643</v>
      </c>
      <c r="C405" s="98" t="s">
        <v>1825</v>
      </c>
    </row>
    <row r="406" spans="1:3">
      <c r="A406" s="98" t="s">
        <v>644</v>
      </c>
      <c r="B406" s="98" t="s">
        <v>767</v>
      </c>
      <c r="C406" s="98" t="s">
        <v>621</v>
      </c>
    </row>
    <row r="407" spans="1:3">
      <c r="A407" s="98" t="s">
        <v>645</v>
      </c>
      <c r="B407" s="98" t="s">
        <v>646</v>
      </c>
      <c r="C407" s="109" t="s">
        <v>1826</v>
      </c>
    </row>
    <row r="408" spans="1:3">
      <c r="A408" s="97" t="s">
        <v>1504</v>
      </c>
      <c r="B408" s="97" t="s">
        <v>1505</v>
      </c>
      <c r="C408" s="97" t="s">
        <v>659</v>
      </c>
    </row>
    <row r="409" spans="1:3">
      <c r="A409" s="97" t="s">
        <v>647</v>
      </c>
      <c r="B409" s="97" t="s">
        <v>648</v>
      </c>
      <c r="C409" s="97" t="s">
        <v>649</v>
      </c>
    </row>
    <row r="410" spans="1:3">
      <c r="A410" s="97" t="s">
        <v>650</v>
      </c>
      <c r="B410" s="97" t="s">
        <v>1506</v>
      </c>
      <c r="C410" s="97" t="s">
        <v>1507</v>
      </c>
    </row>
    <row r="411" spans="1:3">
      <c r="A411" s="97" t="s">
        <v>651</v>
      </c>
      <c r="B411" s="97" t="s">
        <v>1498</v>
      </c>
      <c r="C411" s="97" t="s">
        <v>1508</v>
      </c>
    </row>
    <row r="412" spans="1:3">
      <c r="A412" s="97" t="s">
        <v>652</v>
      </c>
      <c r="B412" s="97" t="s">
        <v>653</v>
      </c>
      <c r="C412" s="97" t="s">
        <v>1509</v>
      </c>
    </row>
    <row r="413" spans="1:3">
      <c r="A413" s="98" t="s">
        <v>1510</v>
      </c>
      <c r="B413" s="98" t="s">
        <v>207</v>
      </c>
      <c r="C413" s="98" t="s">
        <v>659</v>
      </c>
    </row>
    <row r="414" spans="1:3">
      <c r="A414" s="98" t="s">
        <v>1511</v>
      </c>
      <c r="B414" s="98" t="s">
        <v>1512</v>
      </c>
      <c r="C414" s="98" t="s">
        <v>1827</v>
      </c>
    </row>
    <row r="415" spans="1:3">
      <c r="A415" s="98" t="s">
        <v>654</v>
      </c>
      <c r="B415" s="98" t="s">
        <v>1513</v>
      </c>
      <c r="C415" s="98" t="s">
        <v>1828</v>
      </c>
    </row>
    <row r="416" spans="1:3">
      <c r="A416" s="98" t="s">
        <v>655</v>
      </c>
      <c r="B416" s="98" t="s">
        <v>767</v>
      </c>
      <c r="C416" s="98" t="s">
        <v>621</v>
      </c>
    </row>
    <row r="417" spans="1:3">
      <c r="A417" s="98" t="s">
        <v>656</v>
      </c>
      <c r="B417" s="98" t="s">
        <v>1514</v>
      </c>
      <c r="C417" s="98" t="s">
        <v>1829</v>
      </c>
    </row>
    <row r="418" spans="1:3">
      <c r="A418" s="97" t="s">
        <v>1515</v>
      </c>
      <c r="B418" s="97" t="s">
        <v>421</v>
      </c>
      <c r="C418" s="97" t="s">
        <v>1516</v>
      </c>
    </row>
    <row r="419" spans="1:3">
      <c r="A419" s="97" t="s">
        <v>1517</v>
      </c>
      <c r="B419" s="97" t="s">
        <v>421</v>
      </c>
      <c r="C419" s="97" t="s">
        <v>1516</v>
      </c>
    </row>
    <row r="420" spans="1:3">
      <c r="A420" s="97" t="s">
        <v>1518</v>
      </c>
      <c r="B420" s="97" t="s">
        <v>421</v>
      </c>
      <c r="C420" s="97" t="s">
        <v>1516</v>
      </c>
    </row>
    <row r="421" spans="1:3">
      <c r="A421" s="97" t="s">
        <v>1519</v>
      </c>
      <c r="B421" s="97" t="s">
        <v>1520</v>
      </c>
      <c r="C421" s="97" t="s">
        <v>1830</v>
      </c>
    </row>
    <row r="422" spans="1:3">
      <c r="A422" s="97" t="s">
        <v>1521</v>
      </c>
      <c r="B422" s="97" t="s">
        <v>1522</v>
      </c>
      <c r="C422" s="97" t="s">
        <v>1831</v>
      </c>
    </row>
    <row r="423" spans="1:3">
      <c r="A423" s="97" t="s">
        <v>1523</v>
      </c>
      <c r="B423" s="97" t="s">
        <v>629</v>
      </c>
      <c r="C423" s="97" t="s">
        <v>1524</v>
      </c>
    </row>
    <row r="424" spans="1:3">
      <c r="A424" s="97" t="s">
        <v>1525</v>
      </c>
      <c r="B424" s="97" t="s">
        <v>1526</v>
      </c>
      <c r="C424" s="97" t="s">
        <v>1832</v>
      </c>
    </row>
    <row r="425" spans="1:3">
      <c r="A425" s="97" t="s">
        <v>657</v>
      </c>
      <c r="B425" s="97" t="s">
        <v>658</v>
      </c>
      <c r="C425" s="97" t="s">
        <v>659</v>
      </c>
    </row>
    <row r="426" spans="1:3">
      <c r="A426" s="97" t="s">
        <v>660</v>
      </c>
      <c r="B426" s="97" t="s">
        <v>661</v>
      </c>
      <c r="C426" s="97" t="s">
        <v>1833</v>
      </c>
    </row>
    <row r="427" spans="1:3">
      <c r="A427" s="97" t="s">
        <v>662</v>
      </c>
      <c r="B427" s="97" t="s">
        <v>663</v>
      </c>
      <c r="C427" s="97" t="s">
        <v>1834</v>
      </c>
    </row>
    <row r="428" spans="1:3">
      <c r="A428" s="97" t="s">
        <v>664</v>
      </c>
      <c r="B428" s="98" t="s">
        <v>767</v>
      </c>
      <c r="C428" s="97" t="s">
        <v>621</v>
      </c>
    </row>
    <row r="429" spans="1:3">
      <c r="A429" s="97" t="s">
        <v>665</v>
      </c>
      <c r="B429" s="97" t="s">
        <v>666</v>
      </c>
      <c r="C429" s="97" t="s">
        <v>1835</v>
      </c>
    </row>
    <row r="430" spans="1:3">
      <c r="A430" s="98" t="s">
        <v>667</v>
      </c>
      <c r="B430" s="98" t="s">
        <v>201</v>
      </c>
      <c r="C430" s="98" t="s">
        <v>659</v>
      </c>
    </row>
    <row r="431" spans="1:3">
      <c r="A431" s="98" t="s">
        <v>668</v>
      </c>
      <c r="B431" s="98" t="s">
        <v>669</v>
      </c>
      <c r="C431" s="98" t="s">
        <v>1836</v>
      </c>
    </row>
    <row r="432" spans="1:3">
      <c r="A432" s="98" t="s">
        <v>670</v>
      </c>
      <c r="B432" s="98" t="s">
        <v>671</v>
      </c>
      <c r="C432" s="98" t="s">
        <v>1837</v>
      </c>
    </row>
    <row r="433" spans="1:3">
      <c r="A433" s="98" t="s">
        <v>672</v>
      </c>
      <c r="B433" s="98" t="s">
        <v>767</v>
      </c>
      <c r="C433" s="98" t="s">
        <v>621</v>
      </c>
    </row>
    <row r="434" spans="1:3">
      <c r="A434" s="98" t="s">
        <v>673</v>
      </c>
      <c r="B434" s="98" t="s">
        <v>674</v>
      </c>
      <c r="C434" s="98" t="s">
        <v>1838</v>
      </c>
    </row>
    <row r="435" spans="1:3">
      <c r="A435" s="97" t="s">
        <v>675</v>
      </c>
      <c r="B435" s="97" t="s">
        <v>205</v>
      </c>
      <c r="C435" s="97" t="s">
        <v>659</v>
      </c>
    </row>
    <row r="436" spans="1:3">
      <c r="A436" s="97" t="s">
        <v>676</v>
      </c>
      <c r="B436" s="97" t="s">
        <v>677</v>
      </c>
      <c r="C436" s="97" t="s">
        <v>1839</v>
      </c>
    </row>
    <row r="437" spans="1:3">
      <c r="A437" s="97" t="s">
        <v>678</v>
      </c>
      <c r="B437" s="97" t="s">
        <v>679</v>
      </c>
      <c r="C437" s="97" t="s">
        <v>1840</v>
      </c>
    </row>
    <row r="438" spans="1:3">
      <c r="A438" s="97" t="s">
        <v>681</v>
      </c>
      <c r="B438" s="97" t="s">
        <v>1527</v>
      </c>
      <c r="C438" s="97" t="s">
        <v>1528</v>
      </c>
    </row>
    <row r="439" spans="1:3">
      <c r="A439" s="97" t="s">
        <v>682</v>
      </c>
      <c r="B439" s="97" t="s">
        <v>683</v>
      </c>
      <c r="C439" s="97" t="s">
        <v>1841</v>
      </c>
    </row>
    <row r="440" spans="1:3">
      <c r="A440" s="97" t="s">
        <v>684</v>
      </c>
      <c r="B440" s="97" t="s">
        <v>685</v>
      </c>
      <c r="C440" s="97" t="s">
        <v>659</v>
      </c>
    </row>
    <row r="441" spans="1:3">
      <c r="A441" s="97" t="s">
        <v>686</v>
      </c>
      <c r="B441" s="97" t="s">
        <v>1529</v>
      </c>
      <c r="C441" s="97" t="s">
        <v>1842</v>
      </c>
    </row>
    <row r="442" spans="1:3">
      <c r="A442" s="97" t="s">
        <v>1531</v>
      </c>
      <c r="B442" s="97" t="s">
        <v>1532</v>
      </c>
      <c r="C442" s="97" t="s">
        <v>1843</v>
      </c>
    </row>
    <row r="443" spans="1:3">
      <c r="A443" s="97" t="s">
        <v>1533</v>
      </c>
      <c r="B443" s="97" t="s">
        <v>1534</v>
      </c>
      <c r="C443" s="97" t="s">
        <v>1535</v>
      </c>
    </row>
    <row r="444" spans="1:3">
      <c r="A444" s="97" t="s">
        <v>687</v>
      </c>
      <c r="B444" s="97" t="s">
        <v>688</v>
      </c>
      <c r="C444" s="97" t="s">
        <v>1844</v>
      </c>
    </row>
    <row r="445" spans="1:3">
      <c r="A445" s="97" t="s">
        <v>689</v>
      </c>
      <c r="B445" s="97" t="s">
        <v>421</v>
      </c>
      <c r="C445" s="97" t="s">
        <v>690</v>
      </c>
    </row>
    <row r="446" spans="1:3">
      <c r="A446" s="97" t="s">
        <v>1536</v>
      </c>
      <c r="B446" s="97" t="s">
        <v>1537</v>
      </c>
      <c r="C446" s="97" t="s">
        <v>1845</v>
      </c>
    </row>
    <row r="447" spans="1:3">
      <c r="A447" s="97" t="s">
        <v>691</v>
      </c>
      <c r="B447" s="97" t="s">
        <v>692</v>
      </c>
      <c r="C447" s="97" t="s">
        <v>1846</v>
      </c>
    </row>
    <row r="448" spans="1:3">
      <c r="A448" s="97" t="s">
        <v>693</v>
      </c>
      <c r="B448" s="98" t="s">
        <v>767</v>
      </c>
      <c r="C448" s="98" t="s">
        <v>621</v>
      </c>
    </row>
    <row r="449" spans="1:3">
      <c r="A449" s="97" t="s">
        <v>694</v>
      </c>
      <c r="B449" s="97" t="s">
        <v>695</v>
      </c>
      <c r="C449" s="97" t="s">
        <v>1847</v>
      </c>
    </row>
    <row r="450" spans="1:3">
      <c r="A450" s="98" t="s">
        <v>696</v>
      </c>
      <c r="B450" s="98" t="s">
        <v>697</v>
      </c>
      <c r="C450" s="98" t="s">
        <v>659</v>
      </c>
    </row>
    <row r="451" spans="1:3">
      <c r="A451" s="98" t="s">
        <v>1539</v>
      </c>
      <c r="B451" s="98" t="s">
        <v>697</v>
      </c>
      <c r="C451" s="98" t="s">
        <v>659</v>
      </c>
    </row>
    <row r="452" spans="1:3">
      <c r="A452" s="98" t="s">
        <v>698</v>
      </c>
      <c r="B452" s="98" t="s">
        <v>699</v>
      </c>
      <c r="C452" s="98" t="s">
        <v>700</v>
      </c>
    </row>
    <row r="453" spans="1:3">
      <c r="A453" s="98" t="s">
        <v>701</v>
      </c>
      <c r="B453" s="98" t="s">
        <v>702</v>
      </c>
      <c r="C453" s="98" t="s">
        <v>1848</v>
      </c>
    </row>
    <row r="454" spans="1:3">
      <c r="A454" s="98" t="s">
        <v>704</v>
      </c>
      <c r="B454" s="98" t="s">
        <v>767</v>
      </c>
      <c r="C454" s="98" t="s">
        <v>621</v>
      </c>
    </row>
    <row r="455" spans="1:3">
      <c r="A455" s="98" t="s">
        <v>705</v>
      </c>
      <c r="B455" s="98" t="s">
        <v>706</v>
      </c>
      <c r="C455" s="98" t="s">
        <v>1849</v>
      </c>
    </row>
    <row r="456" spans="1:3">
      <c r="A456" s="99" t="s">
        <v>1540</v>
      </c>
      <c r="B456" s="99" t="s">
        <v>1541</v>
      </c>
      <c r="C456" s="99" t="s">
        <v>2</v>
      </c>
    </row>
    <row r="457" spans="1:3">
      <c r="A457" s="99" t="s">
        <v>1542</v>
      </c>
      <c r="B457" s="99" t="s">
        <v>1543</v>
      </c>
      <c r="C457" s="99" t="s">
        <v>2</v>
      </c>
    </row>
    <row r="458" spans="1:3">
      <c r="A458" s="86" t="s">
        <v>707</v>
      </c>
      <c r="B458" s="86" t="s">
        <v>1544</v>
      </c>
      <c r="C458" s="86" t="s">
        <v>1545</v>
      </c>
    </row>
    <row r="459" spans="1:3">
      <c r="A459" s="86" t="s">
        <v>1546</v>
      </c>
      <c r="B459" s="86" t="s">
        <v>1547</v>
      </c>
      <c r="C459" s="86" t="s">
        <v>1548</v>
      </c>
    </row>
    <row r="460" spans="1:3">
      <c r="A460" s="99" t="s">
        <v>1549</v>
      </c>
      <c r="B460" s="99" t="s">
        <v>55</v>
      </c>
      <c r="C460" s="99" t="s">
        <v>2</v>
      </c>
    </row>
    <row r="461" spans="1:3">
      <c r="A461" s="86" t="s">
        <v>708</v>
      </c>
      <c r="B461" s="86" t="s">
        <v>1550</v>
      </c>
      <c r="C461" s="86" t="s">
        <v>1551</v>
      </c>
    </row>
    <row r="462" spans="1:3">
      <c r="A462" s="99" t="s">
        <v>1552</v>
      </c>
      <c r="B462" s="99" t="s">
        <v>55</v>
      </c>
      <c r="C462" s="99" t="s">
        <v>2</v>
      </c>
    </row>
    <row r="463" spans="1:3">
      <c r="A463" s="86" t="s">
        <v>709</v>
      </c>
      <c r="B463" s="86" t="s">
        <v>1553</v>
      </c>
      <c r="C463" s="86" t="s">
        <v>1554</v>
      </c>
    </row>
    <row r="464" spans="1:3">
      <c r="A464" s="86" t="s">
        <v>1555</v>
      </c>
      <c r="B464" s="86" t="s">
        <v>1556</v>
      </c>
      <c r="C464" s="86" t="s">
        <v>1557</v>
      </c>
    </row>
    <row r="465" spans="1:3">
      <c r="A465" s="86" t="s">
        <v>710</v>
      </c>
      <c r="B465" s="86" t="s">
        <v>1558</v>
      </c>
      <c r="C465" s="86" t="s">
        <v>1559</v>
      </c>
    </row>
    <row r="466" spans="1:3">
      <c r="A466" s="86" t="s">
        <v>711</v>
      </c>
      <c r="B466" s="86" t="s">
        <v>1560</v>
      </c>
      <c r="C466" s="86" t="s">
        <v>1557</v>
      </c>
    </row>
    <row r="467" spans="1:3">
      <c r="A467" s="86" t="s">
        <v>1561</v>
      </c>
      <c r="B467" s="86" t="s">
        <v>1562</v>
      </c>
      <c r="C467" s="86" t="s">
        <v>1557</v>
      </c>
    </row>
    <row r="468" spans="1:3">
      <c r="A468" s="86" t="s">
        <v>1563</v>
      </c>
      <c r="B468" s="86" t="s">
        <v>1564</v>
      </c>
      <c r="C468" s="86" t="s">
        <v>1565</v>
      </c>
    </row>
    <row r="469" spans="1:3">
      <c r="A469" s="86" t="s">
        <v>1566</v>
      </c>
      <c r="B469" s="86" t="s">
        <v>1564</v>
      </c>
      <c r="C469" s="86" t="s">
        <v>1567</v>
      </c>
    </row>
    <row r="470" spans="1:3">
      <c r="A470" s="99" t="s">
        <v>1568</v>
      </c>
      <c r="B470" s="99" t="s">
        <v>1569</v>
      </c>
      <c r="C470" s="99" t="s">
        <v>2</v>
      </c>
    </row>
    <row r="471" spans="1:3">
      <c r="A471" s="86" t="s">
        <v>1570</v>
      </c>
      <c r="B471" s="86" t="s">
        <v>1571</v>
      </c>
      <c r="C471" s="86" t="s">
        <v>1554</v>
      </c>
    </row>
    <row r="472" spans="1:3">
      <c r="A472" s="99" t="s">
        <v>1572</v>
      </c>
      <c r="B472" s="99" t="s">
        <v>55</v>
      </c>
      <c r="C472" s="99" t="s">
        <v>2</v>
      </c>
    </row>
    <row r="473" spans="1:3">
      <c r="A473" s="86" t="s">
        <v>712</v>
      </c>
      <c r="B473" s="86" t="s">
        <v>212</v>
      </c>
      <c r="C473" s="86" t="s">
        <v>600</v>
      </c>
    </row>
    <row r="474" spans="1:3">
      <c r="A474" s="86" t="s">
        <v>713</v>
      </c>
      <c r="B474" s="86" t="s">
        <v>1573</v>
      </c>
      <c r="C474" s="86" t="s">
        <v>1574</v>
      </c>
    </row>
    <row r="475" spans="1:3">
      <c r="A475" s="86" t="s">
        <v>714</v>
      </c>
      <c r="B475" s="86" t="s">
        <v>1575</v>
      </c>
      <c r="C475" s="86" t="s">
        <v>613</v>
      </c>
    </row>
    <row r="476" spans="1:3">
      <c r="A476" s="86" t="s">
        <v>1576</v>
      </c>
      <c r="B476" s="86" t="s">
        <v>1577</v>
      </c>
      <c r="C476" s="86" t="s">
        <v>2</v>
      </c>
    </row>
    <row r="477" spans="1:3">
      <c r="A477" s="86" t="s">
        <v>715</v>
      </c>
      <c r="B477" s="86" t="s">
        <v>1578</v>
      </c>
      <c r="C477" s="86" t="s">
        <v>1579</v>
      </c>
    </row>
    <row r="478" spans="1:3">
      <c r="A478" s="86" t="s">
        <v>716</v>
      </c>
      <c r="B478" s="86" t="s">
        <v>717</v>
      </c>
      <c r="C478" s="86" t="s">
        <v>690</v>
      </c>
    </row>
    <row r="479" spans="1:3">
      <c r="A479" s="86" t="s">
        <v>718</v>
      </c>
      <c r="B479" s="86" t="s">
        <v>1580</v>
      </c>
      <c r="C479" s="86" t="s">
        <v>1581</v>
      </c>
    </row>
    <row r="480" spans="1:3">
      <c r="A480" s="86" t="s">
        <v>1582</v>
      </c>
      <c r="B480" s="86" t="s">
        <v>213</v>
      </c>
      <c r="C480" s="86" t="s">
        <v>2</v>
      </c>
    </row>
    <row r="481" spans="1:3">
      <c r="A481" s="86" t="s">
        <v>1583</v>
      </c>
      <c r="B481" s="86" t="s">
        <v>1550</v>
      </c>
      <c r="C481" s="86" t="s">
        <v>2</v>
      </c>
    </row>
    <row r="482" spans="1:3">
      <c r="A482" s="86" t="s">
        <v>719</v>
      </c>
      <c r="B482" s="86" t="s">
        <v>1584</v>
      </c>
      <c r="C482" s="86" t="s">
        <v>1585</v>
      </c>
    </row>
    <row r="483" spans="1:3">
      <c r="A483" s="99" t="s">
        <v>1586</v>
      </c>
      <c r="B483" s="99" t="s">
        <v>1587</v>
      </c>
      <c r="C483" s="99" t="s">
        <v>2</v>
      </c>
    </row>
    <row r="484" spans="1:3">
      <c r="A484" s="86" t="s">
        <v>720</v>
      </c>
      <c r="B484" s="86" t="s">
        <v>721</v>
      </c>
      <c r="C484" s="86" t="s">
        <v>703</v>
      </c>
    </row>
    <row r="485" spans="1:3">
      <c r="A485" s="86" t="s">
        <v>722</v>
      </c>
      <c r="B485" s="86" t="s">
        <v>721</v>
      </c>
      <c r="C485" s="86" t="s">
        <v>703</v>
      </c>
    </row>
    <row r="486" spans="1:3">
      <c r="A486" s="86" t="s">
        <v>723</v>
      </c>
      <c r="B486" s="86" t="s">
        <v>724</v>
      </c>
      <c r="C486" s="86" t="s">
        <v>598</v>
      </c>
    </row>
    <row r="487" spans="1:3">
      <c r="A487" s="86" t="s">
        <v>725</v>
      </c>
      <c r="B487" s="86" t="s">
        <v>726</v>
      </c>
      <c r="C487" s="86" t="s">
        <v>727</v>
      </c>
    </row>
    <row r="488" spans="1:3">
      <c r="A488" s="86" t="s">
        <v>728</v>
      </c>
      <c r="B488" s="86" t="s">
        <v>726</v>
      </c>
      <c r="C488" s="86" t="s">
        <v>727</v>
      </c>
    </row>
    <row r="489" spans="1:3">
      <c r="A489" s="86" t="s">
        <v>729</v>
      </c>
      <c r="B489" s="86" t="s">
        <v>726</v>
      </c>
      <c r="C489" s="86" t="s">
        <v>727</v>
      </c>
    </row>
    <row r="490" spans="1:3">
      <c r="A490" s="86" t="s">
        <v>730</v>
      </c>
      <c r="B490" s="86" t="s">
        <v>731</v>
      </c>
      <c r="C490" s="86" t="s">
        <v>680</v>
      </c>
    </row>
    <row r="491" spans="1:3">
      <c r="A491" s="86" t="s">
        <v>732</v>
      </c>
      <c r="B491" s="86" t="s">
        <v>731</v>
      </c>
      <c r="C491" s="86" t="s">
        <v>680</v>
      </c>
    </row>
    <row r="492" spans="1:3">
      <c r="A492" s="86" t="s">
        <v>733</v>
      </c>
      <c r="B492" s="86" t="s">
        <v>734</v>
      </c>
      <c r="C492" s="86" t="s">
        <v>735</v>
      </c>
    </row>
    <row r="493" spans="1:3">
      <c r="A493" s="86" t="s">
        <v>736</v>
      </c>
      <c r="B493" s="86" t="s">
        <v>734</v>
      </c>
      <c r="C493" s="86" t="s">
        <v>735</v>
      </c>
    </row>
    <row r="494" spans="1:3">
      <c r="A494" s="86" t="s">
        <v>737</v>
      </c>
      <c r="B494" s="86" t="s">
        <v>734</v>
      </c>
      <c r="C494" s="86" t="s">
        <v>735</v>
      </c>
    </row>
    <row r="495" spans="1:3">
      <c r="A495" s="86" t="s">
        <v>738</v>
      </c>
      <c r="B495" s="86" t="s">
        <v>739</v>
      </c>
      <c r="C495" s="86" t="s">
        <v>740</v>
      </c>
    </row>
    <row r="496" spans="1:3">
      <c r="A496" s="86" t="s">
        <v>741</v>
      </c>
      <c r="B496" s="86" t="s">
        <v>739</v>
      </c>
      <c r="C496" s="86" t="s">
        <v>740</v>
      </c>
    </row>
    <row r="497" spans="1:3">
      <c r="A497" s="86" t="s">
        <v>1588</v>
      </c>
      <c r="B497" s="86" t="s">
        <v>1589</v>
      </c>
      <c r="C497" s="86" t="s">
        <v>703</v>
      </c>
    </row>
    <row r="498" spans="1:3">
      <c r="A498" s="86" t="s">
        <v>742</v>
      </c>
      <c r="B498" s="86" t="s">
        <v>1590</v>
      </c>
      <c r="C498" s="86" t="s">
        <v>680</v>
      </c>
    </row>
    <row r="499" spans="1:3">
      <c r="A499" s="100" t="s">
        <v>1591</v>
      </c>
      <c r="B499" s="100" t="s">
        <v>615</v>
      </c>
      <c r="C499" s="100" t="s">
        <v>616</v>
      </c>
    </row>
    <row r="500" spans="1:3">
      <c r="A500" s="100" t="s">
        <v>1592</v>
      </c>
      <c r="B500" s="100" t="s">
        <v>1593</v>
      </c>
      <c r="C500" s="100" t="s">
        <v>1594</v>
      </c>
    </row>
    <row r="501" spans="1:3">
      <c r="A501" s="100" t="s">
        <v>1595</v>
      </c>
      <c r="B501" s="100" t="s">
        <v>602</v>
      </c>
      <c r="C501" s="100" t="s">
        <v>1596</v>
      </c>
    </row>
    <row r="502" spans="1:3">
      <c r="A502" s="100" t="s">
        <v>1597</v>
      </c>
      <c r="B502" s="100" t="s">
        <v>1598</v>
      </c>
      <c r="C502" s="100" t="s">
        <v>1594</v>
      </c>
    </row>
    <row r="503" spans="1:3">
      <c r="A503" s="100" t="s">
        <v>1599</v>
      </c>
      <c r="B503" s="100" t="s">
        <v>1600</v>
      </c>
      <c r="C503" s="100" t="s">
        <v>1601</v>
      </c>
    </row>
    <row r="504" spans="1:3">
      <c r="A504" s="100" t="s">
        <v>1602</v>
      </c>
      <c r="B504" s="100" t="s">
        <v>1603</v>
      </c>
      <c r="C504" s="100" t="s">
        <v>649</v>
      </c>
    </row>
    <row r="505" spans="1:3">
      <c r="A505" s="100" t="s">
        <v>1604</v>
      </c>
      <c r="B505" s="100" t="s">
        <v>641</v>
      </c>
      <c r="C505" s="100" t="s">
        <v>1605</v>
      </c>
    </row>
    <row r="506" spans="1:3">
      <c r="A506" s="100" t="s">
        <v>1606</v>
      </c>
      <c r="B506" s="100" t="s">
        <v>1607</v>
      </c>
      <c r="C506" s="100" t="s">
        <v>1608</v>
      </c>
    </row>
    <row r="507" spans="1:3">
      <c r="A507" s="100" t="s">
        <v>1609</v>
      </c>
      <c r="B507" s="100" t="s">
        <v>1610</v>
      </c>
      <c r="C507" s="100" t="s">
        <v>1611</v>
      </c>
    </row>
    <row r="508" spans="1:3">
      <c r="A508" s="100" t="s">
        <v>1612</v>
      </c>
      <c r="B508" s="100" t="s">
        <v>1613</v>
      </c>
      <c r="C508" s="100" t="s">
        <v>616</v>
      </c>
    </row>
    <row r="509" spans="1:3">
      <c r="A509" s="100" t="s">
        <v>1614</v>
      </c>
      <c r="B509" s="100" t="s">
        <v>1615</v>
      </c>
      <c r="C509" s="100" t="s">
        <v>616</v>
      </c>
    </row>
    <row r="510" spans="1:3">
      <c r="A510" s="100" t="s">
        <v>1616</v>
      </c>
      <c r="B510" s="100" t="s">
        <v>1617</v>
      </c>
      <c r="C510" s="100" t="s">
        <v>1594</v>
      </c>
    </row>
    <row r="511" spans="1:3">
      <c r="A511" s="100" t="s">
        <v>1618</v>
      </c>
      <c r="B511" s="100" t="s">
        <v>1619</v>
      </c>
      <c r="C511" s="100" t="s">
        <v>1620</v>
      </c>
    </row>
    <row r="512" spans="1:3">
      <c r="A512" s="100" t="s">
        <v>1621</v>
      </c>
      <c r="B512" s="100" t="s">
        <v>1537</v>
      </c>
      <c r="C512" s="100" t="s">
        <v>1538</v>
      </c>
    </row>
    <row r="513" spans="1:3">
      <c r="A513" s="100" t="s">
        <v>1622</v>
      </c>
      <c r="B513" s="100" t="s">
        <v>591</v>
      </c>
      <c r="C513" s="100" t="s">
        <v>1623</v>
      </c>
    </row>
    <row r="514" spans="1:3">
      <c r="A514" s="100" t="s">
        <v>1624</v>
      </c>
      <c r="B514" s="100" t="s">
        <v>1625</v>
      </c>
      <c r="C514" s="100" t="s">
        <v>1594</v>
      </c>
    </row>
    <row r="515" spans="1:3">
      <c r="A515" s="100" t="s">
        <v>1626</v>
      </c>
      <c r="B515" s="100" t="s">
        <v>1627</v>
      </c>
      <c r="C515" s="100" t="s">
        <v>1594</v>
      </c>
    </row>
    <row r="516" spans="1:3">
      <c r="A516" s="100" t="s">
        <v>1628</v>
      </c>
      <c r="B516" s="100" t="s">
        <v>1629</v>
      </c>
      <c r="C516" s="100" t="s">
        <v>746</v>
      </c>
    </row>
    <row r="517" spans="1:3">
      <c r="A517" s="100" t="s">
        <v>1630</v>
      </c>
      <c r="B517" s="100" t="s">
        <v>1512</v>
      </c>
      <c r="C517" s="100" t="s">
        <v>616</v>
      </c>
    </row>
    <row r="518" spans="1:3">
      <c r="A518" s="100" t="s">
        <v>1631</v>
      </c>
      <c r="B518" s="100" t="s">
        <v>1632</v>
      </c>
      <c r="C518" s="100" t="s">
        <v>1594</v>
      </c>
    </row>
    <row r="519" spans="1:3">
      <c r="A519" s="100" t="s">
        <v>1633</v>
      </c>
      <c r="B519" s="100" t="s">
        <v>514</v>
      </c>
      <c r="C519" s="100" t="s">
        <v>616</v>
      </c>
    </row>
    <row r="520" spans="1:3">
      <c r="A520" s="100" t="s">
        <v>1634</v>
      </c>
      <c r="B520" s="100" t="s">
        <v>1635</v>
      </c>
      <c r="C520" s="100" t="s">
        <v>1594</v>
      </c>
    </row>
    <row r="521" spans="1:3">
      <c r="A521" s="100" t="s">
        <v>1636</v>
      </c>
      <c r="B521" s="100" t="s">
        <v>1637</v>
      </c>
      <c r="C521" s="100" t="s">
        <v>1638</v>
      </c>
    </row>
    <row r="522" spans="1:3">
      <c r="A522" s="100" t="s">
        <v>1639</v>
      </c>
      <c r="B522" s="100" t="s">
        <v>677</v>
      </c>
      <c r="C522" s="100" t="s">
        <v>1640</v>
      </c>
    </row>
    <row r="523" spans="1:3">
      <c r="A523" s="98" t="s">
        <v>743</v>
      </c>
      <c r="B523" s="98" t="s">
        <v>204</v>
      </c>
      <c r="C523" s="98" t="s">
        <v>659</v>
      </c>
    </row>
    <row r="524" spans="1:3">
      <c r="A524" s="98" t="s">
        <v>744</v>
      </c>
      <c r="B524" s="98" t="s">
        <v>745</v>
      </c>
      <c r="C524" s="98" t="s">
        <v>746</v>
      </c>
    </row>
    <row r="525" spans="1:3">
      <c r="A525" s="98" t="s">
        <v>747</v>
      </c>
      <c r="B525" s="98" t="s">
        <v>748</v>
      </c>
      <c r="C525" s="98" t="s">
        <v>610</v>
      </c>
    </row>
    <row r="526" spans="1:3">
      <c r="A526" s="98" t="s">
        <v>749</v>
      </c>
      <c r="B526" s="98" t="s">
        <v>1641</v>
      </c>
      <c r="C526" s="98" t="s">
        <v>1642</v>
      </c>
    </row>
    <row r="527" spans="1:3">
      <c r="A527" s="98" t="s">
        <v>750</v>
      </c>
      <c r="B527" s="98" t="s">
        <v>751</v>
      </c>
      <c r="C527" s="98" t="s">
        <v>703</v>
      </c>
    </row>
    <row r="528" spans="1:3">
      <c r="A528" s="101" t="s">
        <v>1643</v>
      </c>
      <c r="B528" s="101" t="s">
        <v>1529</v>
      </c>
      <c r="C528" s="101" t="s">
        <v>1530</v>
      </c>
    </row>
    <row r="529" spans="1:3">
      <c r="A529" s="101" t="s">
        <v>1644</v>
      </c>
      <c r="B529" s="101" t="s">
        <v>1645</v>
      </c>
      <c r="C529" s="101" t="s">
        <v>1646</v>
      </c>
    </row>
    <row r="530" spans="1:3">
      <c r="A530" s="101" t="s">
        <v>1647</v>
      </c>
      <c r="B530" s="101" t="s">
        <v>1498</v>
      </c>
      <c r="C530" s="101" t="s">
        <v>1646</v>
      </c>
    </row>
    <row r="531" spans="1:3">
      <c r="A531" s="101" t="s">
        <v>1648</v>
      </c>
      <c r="B531" s="101" t="s">
        <v>1649</v>
      </c>
      <c r="C531" s="101" t="s">
        <v>1646</v>
      </c>
    </row>
    <row r="532" spans="1:3">
      <c r="A532" s="90" t="s">
        <v>1650</v>
      </c>
      <c r="B532" s="90" t="s">
        <v>1103</v>
      </c>
      <c r="C532" s="90" t="s">
        <v>1939</v>
      </c>
    </row>
    <row r="533" spans="1:3">
      <c r="A533" s="101" t="s">
        <v>1651</v>
      </c>
      <c r="B533" s="101" t="s">
        <v>1104</v>
      </c>
      <c r="C533" s="101" t="s">
        <v>1652</v>
      </c>
    </row>
    <row r="534" spans="1:3">
      <c r="A534" s="101" t="s">
        <v>752</v>
      </c>
      <c r="B534" s="101" t="s">
        <v>753</v>
      </c>
      <c r="C534" s="101" t="s">
        <v>754</v>
      </c>
    </row>
    <row r="535" spans="1:3">
      <c r="A535" s="101" t="s">
        <v>755</v>
      </c>
      <c r="B535" s="101" t="s">
        <v>756</v>
      </c>
      <c r="C535" s="101" t="s">
        <v>754</v>
      </c>
    </row>
    <row r="536" spans="1:3">
      <c r="A536" s="101" t="s">
        <v>757</v>
      </c>
      <c r="B536" s="101" t="s">
        <v>758</v>
      </c>
      <c r="C536" s="101" t="s">
        <v>759</v>
      </c>
    </row>
    <row r="537" spans="1:3">
      <c r="A537" s="101" t="s">
        <v>760</v>
      </c>
      <c r="B537" s="101" t="s">
        <v>761</v>
      </c>
      <c r="C537" s="101" t="s">
        <v>759</v>
      </c>
    </row>
    <row r="538" spans="1:3">
      <c r="A538" s="101" t="s">
        <v>762</v>
      </c>
      <c r="B538" s="101" t="s">
        <v>763</v>
      </c>
      <c r="C538" s="101" t="s">
        <v>759</v>
      </c>
    </row>
    <row r="539" spans="1:3">
      <c r="A539" s="101" t="s">
        <v>764</v>
      </c>
      <c r="B539" s="101" t="s">
        <v>765</v>
      </c>
      <c r="C539" s="101" t="s">
        <v>780</v>
      </c>
    </row>
    <row r="540" spans="1:3">
      <c r="A540" s="101" t="s">
        <v>766</v>
      </c>
      <c r="B540" s="101" t="s">
        <v>767</v>
      </c>
      <c r="C540" s="101" t="s">
        <v>768</v>
      </c>
    </row>
    <row r="541" spans="1:3">
      <c r="A541" s="101" t="s">
        <v>769</v>
      </c>
      <c r="B541" s="101" t="s">
        <v>424</v>
      </c>
      <c r="C541" s="101" t="s">
        <v>770</v>
      </c>
    </row>
    <row r="542" spans="1:3">
      <c r="A542" s="101" t="s">
        <v>771</v>
      </c>
      <c r="B542" s="101" t="s">
        <v>772</v>
      </c>
      <c r="C542" s="101" t="s">
        <v>773</v>
      </c>
    </row>
    <row r="543" spans="1:3">
      <c r="A543" s="101" t="s">
        <v>774</v>
      </c>
      <c r="B543" s="101" t="s">
        <v>775</v>
      </c>
      <c r="C543" s="101" t="s">
        <v>2</v>
      </c>
    </row>
    <row r="544" spans="1:3">
      <c r="A544" s="101" t="s">
        <v>776</v>
      </c>
      <c r="B544" s="101" t="s">
        <v>777</v>
      </c>
      <c r="C544" s="101" t="s">
        <v>778</v>
      </c>
    </row>
    <row r="545" spans="1:3">
      <c r="A545" s="101" t="s">
        <v>779</v>
      </c>
      <c r="B545" s="101" t="s">
        <v>765</v>
      </c>
      <c r="C545" s="101" t="s">
        <v>780</v>
      </c>
    </row>
    <row r="546" spans="1:3">
      <c r="A546" s="101" t="s">
        <v>781</v>
      </c>
      <c r="B546" s="101" t="s">
        <v>765</v>
      </c>
      <c r="C546" s="101" t="s">
        <v>780</v>
      </c>
    </row>
    <row r="547" spans="1:3">
      <c r="A547" s="101" t="s">
        <v>782</v>
      </c>
      <c r="B547" s="101" t="s">
        <v>783</v>
      </c>
      <c r="C547" s="101" t="s">
        <v>783</v>
      </c>
    </row>
    <row r="548" spans="1:3">
      <c r="A548" s="101" t="s">
        <v>784</v>
      </c>
      <c r="B548" s="101" t="s">
        <v>785</v>
      </c>
      <c r="C548" s="101" t="s">
        <v>785</v>
      </c>
    </row>
    <row r="549" spans="1:3">
      <c r="A549" s="101" t="s">
        <v>786</v>
      </c>
      <c r="B549" s="101" t="s">
        <v>787</v>
      </c>
      <c r="C549" s="101" t="s">
        <v>787</v>
      </c>
    </row>
    <row r="550" spans="1:3">
      <c r="A550" s="101" t="s">
        <v>788</v>
      </c>
      <c r="B550" s="101" t="s">
        <v>789</v>
      </c>
      <c r="C550" s="101" t="s">
        <v>789</v>
      </c>
    </row>
    <row r="551" spans="1:3">
      <c r="A551" s="101" t="s">
        <v>790</v>
      </c>
      <c r="B551" s="101" t="s">
        <v>791</v>
      </c>
      <c r="C551" s="101" t="s">
        <v>791</v>
      </c>
    </row>
    <row r="552" spans="1:3">
      <c r="A552" s="101" t="s">
        <v>792</v>
      </c>
      <c r="B552" s="101" t="s">
        <v>793</v>
      </c>
      <c r="C552" s="101" t="s">
        <v>793</v>
      </c>
    </row>
    <row r="553" spans="1:3">
      <c r="A553" s="101" t="s">
        <v>794</v>
      </c>
      <c r="B553" s="101" t="s">
        <v>795</v>
      </c>
      <c r="C553" s="101" t="s">
        <v>795</v>
      </c>
    </row>
    <row r="554" spans="1:3">
      <c r="A554" s="101" t="s">
        <v>796</v>
      </c>
      <c r="B554" s="101" t="s">
        <v>797</v>
      </c>
      <c r="C554" s="101" t="s">
        <v>797</v>
      </c>
    </row>
    <row r="555" spans="1:3">
      <c r="A555" s="88" t="s">
        <v>1653</v>
      </c>
      <c r="B555" s="88" t="s">
        <v>1027</v>
      </c>
      <c r="C555" s="88" t="s">
        <v>1026</v>
      </c>
    </row>
    <row r="556" spans="1:3">
      <c r="A556" s="87" t="s">
        <v>798</v>
      </c>
      <c r="B556" s="87" t="s">
        <v>1028</v>
      </c>
      <c r="C556" s="87" t="s">
        <v>373</v>
      </c>
    </row>
    <row r="557" spans="1:3">
      <c r="A557" s="87" t="s">
        <v>799</v>
      </c>
      <c r="B557" s="87" t="s">
        <v>375</v>
      </c>
      <c r="C557" s="87" t="s">
        <v>800</v>
      </c>
    </row>
    <row r="558" spans="1:3">
      <c r="A558" s="90" t="s">
        <v>801</v>
      </c>
      <c r="B558" s="90" t="s">
        <v>1037</v>
      </c>
      <c r="C558" s="90" t="s">
        <v>1036</v>
      </c>
    </row>
    <row r="559" spans="1:3">
      <c r="A559" s="90" t="s">
        <v>802</v>
      </c>
      <c r="B559" s="90" t="s">
        <v>1039</v>
      </c>
      <c r="C559" s="90" t="s">
        <v>1038</v>
      </c>
    </row>
    <row r="560" spans="1:3">
      <c r="A560" s="90" t="s">
        <v>803</v>
      </c>
      <c r="B560" s="90" t="s">
        <v>381</v>
      </c>
      <c r="C560" s="90" t="s">
        <v>380</v>
      </c>
    </row>
    <row r="561" spans="1:3">
      <c r="A561" s="87" t="s">
        <v>804</v>
      </c>
      <c r="B561" s="87" t="s">
        <v>384</v>
      </c>
      <c r="C561" s="87" t="s">
        <v>383</v>
      </c>
    </row>
    <row r="562" spans="1:3">
      <c r="A562" s="87" t="s">
        <v>805</v>
      </c>
      <c r="B562" s="87" t="s">
        <v>386</v>
      </c>
      <c r="C562" s="87" t="s">
        <v>385</v>
      </c>
    </row>
    <row r="563" spans="1:3">
      <c r="A563" s="87" t="s">
        <v>806</v>
      </c>
      <c r="B563" s="87" t="s">
        <v>1048</v>
      </c>
      <c r="C563" s="87" t="s">
        <v>389</v>
      </c>
    </row>
    <row r="564" spans="1:3">
      <c r="A564" s="90" t="s">
        <v>807</v>
      </c>
      <c r="B564" s="90" t="s">
        <v>1056</v>
      </c>
      <c r="C564" s="90" t="s">
        <v>390</v>
      </c>
    </row>
    <row r="565" spans="1:3">
      <c r="A565" s="90" t="s">
        <v>808</v>
      </c>
      <c r="B565" s="90" t="s">
        <v>392</v>
      </c>
      <c r="C565" s="90" t="s">
        <v>391</v>
      </c>
    </row>
    <row r="566" spans="1:3">
      <c r="A566" s="90" t="s">
        <v>809</v>
      </c>
      <c r="B566" s="90" t="s">
        <v>1058</v>
      </c>
      <c r="C566" s="90" t="s">
        <v>1057</v>
      </c>
    </row>
    <row r="567" spans="1:3">
      <c r="A567" s="87" t="s">
        <v>810</v>
      </c>
      <c r="B567" s="87" t="s">
        <v>1067</v>
      </c>
      <c r="C567" s="87" t="s">
        <v>1066</v>
      </c>
    </row>
    <row r="568" spans="1:3">
      <c r="A568" s="87" t="s">
        <v>811</v>
      </c>
      <c r="B568" s="87" t="s">
        <v>1069</v>
      </c>
      <c r="C568" s="87" t="s">
        <v>1068</v>
      </c>
    </row>
    <row r="569" spans="1:3">
      <c r="A569" s="87" t="s">
        <v>812</v>
      </c>
      <c r="B569" s="87" t="s">
        <v>1654</v>
      </c>
      <c r="C569" s="87" t="s">
        <v>396</v>
      </c>
    </row>
    <row r="570" spans="1:3">
      <c r="A570" s="90" t="s">
        <v>813</v>
      </c>
      <c r="B570" s="90" t="s">
        <v>1079</v>
      </c>
      <c r="C570" s="90" t="s">
        <v>1078</v>
      </c>
    </row>
    <row r="571" spans="1:3">
      <c r="A571" s="90" t="s">
        <v>814</v>
      </c>
      <c r="B571" s="90" t="s">
        <v>1080</v>
      </c>
      <c r="C571" s="90" t="s">
        <v>399</v>
      </c>
    </row>
    <row r="572" spans="1:3">
      <c r="A572" s="90" t="s">
        <v>815</v>
      </c>
      <c r="B572" s="90" t="s">
        <v>402</v>
      </c>
      <c r="C572" s="90" t="s">
        <v>401</v>
      </c>
    </row>
    <row r="573" spans="1:3">
      <c r="A573" s="87" t="s">
        <v>816</v>
      </c>
      <c r="B573" s="87" t="s">
        <v>1090</v>
      </c>
      <c r="C573" s="87" t="s">
        <v>404</v>
      </c>
    </row>
    <row r="574" spans="1:3">
      <c r="A574" s="87" t="s">
        <v>817</v>
      </c>
      <c r="B574" s="87" t="s">
        <v>1091</v>
      </c>
      <c r="C574" s="87" t="s">
        <v>405</v>
      </c>
    </row>
    <row r="575" spans="1:3">
      <c r="A575" s="87" t="s">
        <v>818</v>
      </c>
      <c r="B575" s="87" t="s">
        <v>1093</v>
      </c>
      <c r="C575" s="87" t="s">
        <v>407</v>
      </c>
    </row>
    <row r="576" spans="1:3">
      <c r="A576" s="90" t="s">
        <v>819</v>
      </c>
      <c r="B576" s="90" t="s">
        <v>1103</v>
      </c>
      <c r="C576" s="90" t="s">
        <v>1102</v>
      </c>
    </row>
    <row r="577" spans="1:3">
      <c r="A577" s="90" t="s">
        <v>820</v>
      </c>
      <c r="B577" s="90" t="s">
        <v>1104</v>
      </c>
      <c r="C577" s="90" t="s">
        <v>410</v>
      </c>
    </row>
    <row r="578" spans="1:3">
      <c r="A578" s="90" t="s">
        <v>821</v>
      </c>
      <c r="B578" s="90" t="s">
        <v>1107</v>
      </c>
      <c r="C578" s="90" t="s">
        <v>411</v>
      </c>
    </row>
    <row r="579" spans="1:3">
      <c r="A579" s="91" t="s">
        <v>822</v>
      </c>
      <c r="B579" s="91" t="s">
        <v>1118</v>
      </c>
      <c r="C579" s="91" t="s">
        <v>414</v>
      </c>
    </row>
    <row r="580" spans="1:3">
      <c r="A580" s="91" t="s">
        <v>823</v>
      </c>
      <c r="B580" s="91" t="s">
        <v>1120</v>
      </c>
      <c r="C580" s="91" t="s">
        <v>1119</v>
      </c>
    </row>
    <row r="581" spans="1:3">
      <c r="A581" s="91" t="s">
        <v>824</v>
      </c>
      <c r="B581" s="91" t="s">
        <v>1123</v>
      </c>
      <c r="C581" s="91" t="s">
        <v>416</v>
      </c>
    </row>
    <row r="582" spans="1:3">
      <c r="A582" s="92" t="s">
        <v>825</v>
      </c>
      <c r="B582" s="92" t="s">
        <v>1134</v>
      </c>
      <c r="C582" s="92" t="s">
        <v>1133</v>
      </c>
    </row>
    <row r="583" spans="1:3">
      <c r="A583" s="92" t="s">
        <v>826</v>
      </c>
      <c r="B583" s="92" t="s">
        <v>1655</v>
      </c>
      <c r="C583" s="92" t="s">
        <v>417</v>
      </c>
    </row>
    <row r="584" spans="1:3">
      <c r="A584" s="92" t="s">
        <v>827</v>
      </c>
      <c r="B584" s="92" t="s">
        <v>1656</v>
      </c>
      <c r="C584" s="92" t="s">
        <v>419</v>
      </c>
    </row>
    <row r="585" spans="1:3">
      <c r="A585" s="91" t="s">
        <v>828</v>
      </c>
      <c r="B585" s="91" t="s">
        <v>1147</v>
      </c>
      <c r="C585" s="91" t="s">
        <v>1146</v>
      </c>
    </row>
    <row r="586" spans="1:3">
      <c r="A586" s="91" t="s">
        <v>829</v>
      </c>
      <c r="B586" s="91" t="s">
        <v>765</v>
      </c>
      <c r="C586" s="91" t="s">
        <v>1148</v>
      </c>
    </row>
    <row r="587" spans="1:3">
      <c r="A587" s="93" t="s">
        <v>830</v>
      </c>
      <c r="B587" s="93" t="s">
        <v>424</v>
      </c>
      <c r="C587" s="93" t="s">
        <v>423</v>
      </c>
    </row>
    <row r="588" spans="1:3">
      <c r="A588" s="92" t="s">
        <v>831</v>
      </c>
      <c r="B588" s="92" t="s">
        <v>427</v>
      </c>
      <c r="C588" s="92" t="s">
        <v>426</v>
      </c>
    </row>
    <row r="589" spans="1:3">
      <c r="A589" s="92" t="s">
        <v>832</v>
      </c>
      <c r="B589" s="92" t="s">
        <v>429</v>
      </c>
      <c r="C589" s="92" t="s">
        <v>428</v>
      </c>
    </row>
    <row r="590" spans="1:3">
      <c r="A590" s="92" t="s">
        <v>833</v>
      </c>
      <c r="B590" s="92" t="s">
        <v>1156</v>
      </c>
      <c r="C590" s="92" t="s">
        <v>432</v>
      </c>
    </row>
    <row r="591" spans="1:3">
      <c r="A591" s="87" t="s">
        <v>834</v>
      </c>
      <c r="B591" s="87" t="s">
        <v>1165</v>
      </c>
      <c r="C591" s="87" t="s">
        <v>1164</v>
      </c>
    </row>
    <row r="592" spans="1:3">
      <c r="A592" s="87" t="s">
        <v>835</v>
      </c>
      <c r="B592" s="87" t="s">
        <v>1657</v>
      </c>
      <c r="C592" s="87" t="s">
        <v>434</v>
      </c>
    </row>
    <row r="593" spans="1:3">
      <c r="A593" s="87" t="s">
        <v>836</v>
      </c>
      <c r="B593" s="87" t="s">
        <v>1169</v>
      </c>
      <c r="C593" s="87" t="s">
        <v>436</v>
      </c>
    </row>
    <row r="594" spans="1:3">
      <c r="A594" s="90" t="s">
        <v>837</v>
      </c>
      <c r="B594" s="90" t="s">
        <v>1178</v>
      </c>
      <c r="C594" s="90" t="s">
        <v>1177</v>
      </c>
    </row>
    <row r="595" spans="1:3">
      <c r="A595" s="90" t="s">
        <v>838</v>
      </c>
      <c r="B595" s="90" t="s">
        <v>1180</v>
      </c>
      <c r="C595" s="90" t="s">
        <v>1179</v>
      </c>
    </row>
    <row r="596" spans="1:3">
      <c r="A596" s="90" t="s">
        <v>839</v>
      </c>
      <c r="B596" s="90" t="s">
        <v>1184</v>
      </c>
      <c r="C596" s="90" t="s">
        <v>1183</v>
      </c>
    </row>
    <row r="597" spans="1:3">
      <c r="A597" s="87" t="s">
        <v>840</v>
      </c>
      <c r="B597" s="87" t="s">
        <v>1195</v>
      </c>
      <c r="C597" s="87" t="s">
        <v>1194</v>
      </c>
    </row>
    <row r="598" spans="1:3">
      <c r="A598" s="87" t="s">
        <v>841</v>
      </c>
      <c r="B598" s="87" t="s">
        <v>1197</v>
      </c>
      <c r="C598" s="87" t="s">
        <v>1196</v>
      </c>
    </row>
    <row r="599" spans="1:3">
      <c r="A599" s="87" t="s">
        <v>842</v>
      </c>
      <c r="B599" s="87" t="s">
        <v>1200</v>
      </c>
      <c r="C599" s="87" t="s">
        <v>440</v>
      </c>
    </row>
    <row r="600" spans="1:3">
      <c r="A600" s="90" t="s">
        <v>843</v>
      </c>
      <c r="B600" s="90" t="s">
        <v>1210</v>
      </c>
      <c r="C600" s="90" t="s">
        <v>1209</v>
      </c>
    </row>
    <row r="601" spans="1:3">
      <c r="A601" s="90" t="s">
        <v>844</v>
      </c>
      <c r="B601" s="90" t="s">
        <v>1212</v>
      </c>
      <c r="C601" s="90" t="s">
        <v>1211</v>
      </c>
    </row>
    <row r="602" spans="1:3">
      <c r="A602" s="90" t="s">
        <v>845</v>
      </c>
      <c r="B602" s="90" t="s">
        <v>1222</v>
      </c>
      <c r="C602" s="90" t="s">
        <v>1215</v>
      </c>
    </row>
    <row r="603" spans="1:3">
      <c r="A603" s="87" t="s">
        <v>846</v>
      </c>
      <c r="B603" s="87" t="s">
        <v>1225</v>
      </c>
      <c r="C603" s="87" t="s">
        <v>444</v>
      </c>
    </row>
    <row r="604" spans="1:3">
      <c r="A604" s="87" t="s">
        <v>847</v>
      </c>
      <c r="B604" s="87" t="s">
        <v>1226</v>
      </c>
      <c r="C604" s="87" t="s">
        <v>445</v>
      </c>
    </row>
    <row r="605" spans="1:3">
      <c r="A605" s="87" t="s">
        <v>848</v>
      </c>
      <c r="B605" s="87" t="s">
        <v>1658</v>
      </c>
      <c r="C605" s="87" t="s">
        <v>448</v>
      </c>
    </row>
    <row r="606" spans="1:3">
      <c r="A606" s="90" t="s">
        <v>849</v>
      </c>
      <c r="B606" s="90" t="s">
        <v>1237</v>
      </c>
      <c r="C606" s="90" t="s">
        <v>1236</v>
      </c>
    </row>
    <row r="607" spans="1:3">
      <c r="A607" s="90" t="s">
        <v>850</v>
      </c>
      <c r="B607" s="90" t="s">
        <v>1659</v>
      </c>
      <c r="C607" s="90" t="s">
        <v>1238</v>
      </c>
    </row>
    <row r="608" spans="1:3">
      <c r="A608" s="90" t="s">
        <v>851</v>
      </c>
      <c r="B608" s="90" t="s">
        <v>452</v>
      </c>
      <c r="C608" s="90" t="s">
        <v>451</v>
      </c>
    </row>
    <row r="609" spans="1:3">
      <c r="A609" s="87" t="s">
        <v>852</v>
      </c>
      <c r="B609" s="87" t="s">
        <v>1249</v>
      </c>
      <c r="C609" s="87" t="s">
        <v>1248</v>
      </c>
    </row>
    <row r="610" spans="1:3">
      <c r="A610" s="87" t="s">
        <v>853</v>
      </c>
      <c r="B610" s="87" t="s">
        <v>456</v>
      </c>
      <c r="C610" s="87" t="s">
        <v>455</v>
      </c>
    </row>
    <row r="611" spans="1:3">
      <c r="A611" s="87" t="s">
        <v>854</v>
      </c>
      <c r="B611" s="87" t="s">
        <v>1253</v>
      </c>
      <c r="C611" s="87" t="s">
        <v>1252</v>
      </c>
    </row>
    <row r="612" spans="1:3">
      <c r="A612" s="90" t="s">
        <v>855</v>
      </c>
      <c r="B612" s="90" t="s">
        <v>1261</v>
      </c>
      <c r="C612" s="90" t="s">
        <v>1260</v>
      </c>
    </row>
    <row r="613" spans="1:3">
      <c r="A613" s="90" t="s">
        <v>856</v>
      </c>
      <c r="B613" s="90" t="s">
        <v>460</v>
      </c>
      <c r="C613" s="90" t="s">
        <v>459</v>
      </c>
    </row>
    <row r="614" spans="1:3">
      <c r="A614" s="90" t="s">
        <v>857</v>
      </c>
      <c r="B614" s="90" t="s">
        <v>1263</v>
      </c>
      <c r="C614" s="90" t="s">
        <v>463</v>
      </c>
    </row>
    <row r="615" spans="1:3">
      <c r="A615" s="87" t="s">
        <v>858</v>
      </c>
      <c r="B615" s="87" t="s">
        <v>1271</v>
      </c>
      <c r="C615" s="87" t="s">
        <v>1270</v>
      </c>
    </row>
    <row r="616" spans="1:3">
      <c r="A616" s="87" t="s">
        <v>859</v>
      </c>
      <c r="B616" s="87" t="s">
        <v>1272</v>
      </c>
      <c r="C616" s="87" t="s">
        <v>466</v>
      </c>
    </row>
    <row r="617" spans="1:3">
      <c r="A617" s="87" t="s">
        <v>860</v>
      </c>
      <c r="B617" s="87" t="s">
        <v>1275</v>
      </c>
      <c r="C617" s="87" t="s">
        <v>1274</v>
      </c>
    </row>
    <row r="618" spans="1:3">
      <c r="A618" s="97" t="s">
        <v>861</v>
      </c>
      <c r="B618" s="97" t="s">
        <v>1529</v>
      </c>
      <c r="C618" s="97" t="s">
        <v>686</v>
      </c>
    </row>
    <row r="619" spans="1:3">
      <c r="A619" s="97" t="s">
        <v>862</v>
      </c>
      <c r="B619" s="97" t="s">
        <v>1532</v>
      </c>
      <c r="C619" s="97" t="s">
        <v>1531</v>
      </c>
    </row>
    <row r="620" spans="1:3">
      <c r="A620" s="97" t="s">
        <v>863</v>
      </c>
      <c r="B620" s="97" t="s">
        <v>688</v>
      </c>
      <c r="C620" s="97" t="s">
        <v>687</v>
      </c>
    </row>
    <row r="621" spans="1:3">
      <c r="A621" s="90" t="s">
        <v>864</v>
      </c>
      <c r="B621" s="90" t="s">
        <v>470</v>
      </c>
      <c r="C621" s="90" t="s">
        <v>469</v>
      </c>
    </row>
    <row r="622" spans="1:3">
      <c r="A622" s="90" t="s">
        <v>865</v>
      </c>
      <c r="B622" s="90" t="s">
        <v>472</v>
      </c>
      <c r="C622" s="90" t="s">
        <v>471</v>
      </c>
    </row>
    <row r="623" spans="1:3">
      <c r="A623" s="90" t="s">
        <v>866</v>
      </c>
      <c r="B623" s="90" t="s">
        <v>1286</v>
      </c>
      <c r="C623" s="90" t="s">
        <v>475</v>
      </c>
    </row>
    <row r="624" spans="1:3">
      <c r="A624" s="87" t="s">
        <v>867</v>
      </c>
      <c r="B624" s="87" t="s">
        <v>1294</v>
      </c>
      <c r="C624" s="87" t="s">
        <v>1293</v>
      </c>
    </row>
    <row r="625" spans="1:3">
      <c r="A625" s="87" t="s">
        <v>868</v>
      </c>
      <c r="B625" s="87" t="s">
        <v>1295</v>
      </c>
      <c r="C625" s="87" t="s">
        <v>478</v>
      </c>
    </row>
    <row r="626" spans="1:3">
      <c r="A626" s="87" t="s">
        <v>869</v>
      </c>
      <c r="B626" s="87" t="s">
        <v>1297</v>
      </c>
      <c r="C626" s="87" t="s">
        <v>480</v>
      </c>
    </row>
    <row r="627" spans="1:3">
      <c r="A627" s="90" t="s">
        <v>870</v>
      </c>
      <c r="B627" s="90" t="s">
        <v>1304</v>
      </c>
      <c r="C627" s="90" t="s">
        <v>482</v>
      </c>
    </row>
    <row r="628" spans="1:3">
      <c r="A628" s="90" t="s">
        <v>871</v>
      </c>
      <c r="B628" s="90" t="s">
        <v>1305</v>
      </c>
      <c r="C628" s="90" t="s">
        <v>483</v>
      </c>
    </row>
    <row r="629" spans="1:3">
      <c r="A629" s="90" t="s">
        <v>872</v>
      </c>
      <c r="B629" s="90" t="s">
        <v>486</v>
      </c>
      <c r="C629" s="90" t="s">
        <v>873</v>
      </c>
    </row>
    <row r="630" spans="1:3">
      <c r="A630" s="87" t="s">
        <v>874</v>
      </c>
      <c r="B630" s="87" t="s">
        <v>489</v>
      </c>
      <c r="C630" s="87" t="s">
        <v>488</v>
      </c>
    </row>
    <row r="631" spans="1:3">
      <c r="A631" s="87" t="s">
        <v>875</v>
      </c>
      <c r="B631" s="87" t="s">
        <v>491</v>
      </c>
      <c r="C631" s="87" t="s">
        <v>490</v>
      </c>
    </row>
    <row r="632" spans="1:3">
      <c r="A632" s="87" t="s">
        <v>876</v>
      </c>
      <c r="B632" s="87" t="s">
        <v>1314</v>
      </c>
      <c r="C632" s="87" t="s">
        <v>493</v>
      </c>
    </row>
    <row r="633" spans="1:3">
      <c r="A633" s="90" t="s">
        <v>877</v>
      </c>
      <c r="B633" s="90" t="s">
        <v>1323</v>
      </c>
      <c r="C633" s="90" t="s">
        <v>1322</v>
      </c>
    </row>
    <row r="634" spans="1:3">
      <c r="A634" s="90" t="s">
        <v>878</v>
      </c>
      <c r="B634" s="90" t="s">
        <v>1325</v>
      </c>
      <c r="C634" s="90" t="s">
        <v>1324</v>
      </c>
    </row>
    <row r="635" spans="1:3">
      <c r="A635" s="90" t="s">
        <v>879</v>
      </c>
      <c r="B635" s="90" t="s">
        <v>1329</v>
      </c>
      <c r="C635" s="90" t="s">
        <v>1328</v>
      </c>
    </row>
    <row r="636" spans="1:3">
      <c r="A636" s="87" t="s">
        <v>880</v>
      </c>
      <c r="B636" s="87" t="s">
        <v>1339</v>
      </c>
      <c r="C636" s="87" t="s">
        <v>1338</v>
      </c>
    </row>
    <row r="637" spans="1:3">
      <c r="A637" s="87" t="s">
        <v>881</v>
      </c>
      <c r="B637" s="87" t="s">
        <v>496</v>
      </c>
      <c r="C637" s="87" t="s">
        <v>495</v>
      </c>
    </row>
    <row r="638" spans="1:3">
      <c r="A638" s="87" t="s">
        <v>882</v>
      </c>
      <c r="B638" s="87" t="s">
        <v>1341</v>
      </c>
      <c r="C638" s="87" t="s">
        <v>498</v>
      </c>
    </row>
    <row r="639" spans="1:3">
      <c r="A639" s="97" t="s">
        <v>883</v>
      </c>
      <c r="B639" s="97" t="s">
        <v>661</v>
      </c>
      <c r="C639" s="97" t="s">
        <v>660</v>
      </c>
    </row>
    <row r="640" spans="1:3">
      <c r="A640" s="97" t="s">
        <v>884</v>
      </c>
      <c r="B640" s="97" t="s">
        <v>663</v>
      </c>
      <c r="C640" s="97" t="s">
        <v>662</v>
      </c>
    </row>
    <row r="641" spans="1:3">
      <c r="A641" s="97" t="s">
        <v>885</v>
      </c>
      <c r="B641" s="97" t="s">
        <v>666</v>
      </c>
      <c r="C641" s="97" t="s">
        <v>665</v>
      </c>
    </row>
    <row r="642" spans="1:3">
      <c r="A642" s="98" t="s">
        <v>886</v>
      </c>
      <c r="B642" s="98" t="s">
        <v>669</v>
      </c>
      <c r="C642" s="98" t="s">
        <v>668</v>
      </c>
    </row>
    <row r="643" spans="1:3">
      <c r="A643" s="98" t="s">
        <v>887</v>
      </c>
      <c r="B643" s="98" t="s">
        <v>671</v>
      </c>
      <c r="C643" s="98" t="s">
        <v>670</v>
      </c>
    </row>
    <row r="644" spans="1:3">
      <c r="A644" s="98" t="s">
        <v>888</v>
      </c>
      <c r="B644" s="98" t="s">
        <v>674</v>
      </c>
      <c r="C644" s="98" t="s">
        <v>673</v>
      </c>
    </row>
    <row r="645" spans="1:3">
      <c r="A645" s="97" t="s">
        <v>889</v>
      </c>
      <c r="B645" s="97" t="s">
        <v>677</v>
      </c>
      <c r="C645" s="97" t="s">
        <v>676</v>
      </c>
    </row>
    <row r="646" spans="1:3">
      <c r="A646" s="97" t="s">
        <v>890</v>
      </c>
      <c r="B646" s="97" t="s">
        <v>679</v>
      </c>
      <c r="C646" s="97" t="s">
        <v>678</v>
      </c>
    </row>
    <row r="647" spans="1:3">
      <c r="A647" s="97" t="s">
        <v>891</v>
      </c>
      <c r="B647" s="97" t="s">
        <v>683</v>
      </c>
      <c r="C647" s="97" t="s">
        <v>682</v>
      </c>
    </row>
    <row r="648" spans="1:3">
      <c r="A648" s="90" t="s">
        <v>892</v>
      </c>
      <c r="B648" s="90" t="s">
        <v>502</v>
      </c>
      <c r="C648" s="90" t="s">
        <v>501</v>
      </c>
    </row>
    <row r="649" spans="1:3">
      <c r="A649" s="90" t="s">
        <v>893</v>
      </c>
      <c r="B649" s="90" t="s">
        <v>1348</v>
      </c>
      <c r="C649" s="90" t="s">
        <v>503</v>
      </c>
    </row>
    <row r="650" spans="1:3">
      <c r="A650" s="90" t="s">
        <v>894</v>
      </c>
      <c r="B650" s="90" t="s">
        <v>505</v>
      </c>
      <c r="C650" s="90" t="s">
        <v>504</v>
      </c>
    </row>
    <row r="651" spans="1:3">
      <c r="A651" s="97" t="s">
        <v>895</v>
      </c>
      <c r="B651" s="97" t="s">
        <v>636</v>
      </c>
      <c r="C651" s="97" t="s">
        <v>635</v>
      </c>
    </row>
    <row r="652" spans="1:3">
      <c r="A652" s="97" t="s">
        <v>896</v>
      </c>
      <c r="B652" s="97" t="s">
        <v>1497</v>
      </c>
      <c r="C652" s="97" t="s">
        <v>637</v>
      </c>
    </row>
    <row r="653" spans="1:3">
      <c r="A653" s="97" t="s">
        <v>897</v>
      </c>
      <c r="B653" s="97" t="s">
        <v>1501</v>
      </c>
      <c r="C653" s="97" t="s">
        <v>1500</v>
      </c>
    </row>
    <row r="654" spans="1:3">
      <c r="A654" s="98" t="s">
        <v>898</v>
      </c>
      <c r="B654" s="98" t="s">
        <v>641</v>
      </c>
      <c r="C654" s="98" t="s">
        <v>640</v>
      </c>
    </row>
    <row r="655" spans="1:3">
      <c r="A655" s="98" t="s">
        <v>899</v>
      </c>
      <c r="B655" s="98" t="s">
        <v>643</v>
      </c>
      <c r="C655" s="98" t="s">
        <v>642</v>
      </c>
    </row>
    <row r="656" spans="1:3">
      <c r="A656" s="98" t="s">
        <v>900</v>
      </c>
      <c r="B656" s="98" t="s">
        <v>646</v>
      </c>
      <c r="C656" s="98" t="s">
        <v>645</v>
      </c>
    </row>
    <row r="657" spans="1:3">
      <c r="A657" s="90" t="s">
        <v>901</v>
      </c>
      <c r="B657" s="90" t="s">
        <v>508</v>
      </c>
      <c r="C657" s="90" t="s">
        <v>507</v>
      </c>
    </row>
    <row r="658" spans="1:3">
      <c r="A658" s="90" t="s">
        <v>902</v>
      </c>
      <c r="B658" s="90" t="s">
        <v>510</v>
      </c>
      <c r="C658" s="90" t="s">
        <v>509</v>
      </c>
    </row>
    <row r="659" spans="1:3">
      <c r="A659" s="90" t="s">
        <v>903</v>
      </c>
      <c r="B659" s="90" t="s">
        <v>1359</v>
      </c>
      <c r="C659" s="90" t="s">
        <v>1358</v>
      </c>
    </row>
    <row r="660" spans="1:3">
      <c r="A660" s="87" t="s">
        <v>904</v>
      </c>
      <c r="B660" s="87" t="s">
        <v>514</v>
      </c>
      <c r="C660" s="87" t="s">
        <v>513</v>
      </c>
    </row>
    <row r="661" spans="1:3">
      <c r="A661" s="87" t="s">
        <v>905</v>
      </c>
      <c r="B661" s="87" t="s">
        <v>516</v>
      </c>
      <c r="C661" s="87" t="s">
        <v>515</v>
      </c>
    </row>
    <row r="662" spans="1:3">
      <c r="A662" s="87" t="s">
        <v>906</v>
      </c>
      <c r="B662" s="87" t="s">
        <v>520</v>
      </c>
      <c r="C662" s="87" t="s">
        <v>519</v>
      </c>
    </row>
    <row r="663" spans="1:3">
      <c r="A663" s="97" t="s">
        <v>907</v>
      </c>
      <c r="B663" s="97" t="s">
        <v>591</v>
      </c>
      <c r="C663" s="97" t="s">
        <v>590</v>
      </c>
    </row>
    <row r="664" spans="1:3">
      <c r="A664" s="97" t="s">
        <v>908</v>
      </c>
      <c r="B664" s="97" t="s">
        <v>1494</v>
      </c>
      <c r="C664" s="97" t="s">
        <v>592</v>
      </c>
    </row>
    <row r="665" spans="1:3">
      <c r="A665" s="97" t="s">
        <v>909</v>
      </c>
      <c r="B665" s="97" t="s">
        <v>597</v>
      </c>
      <c r="C665" s="97" t="s">
        <v>596</v>
      </c>
    </row>
    <row r="666" spans="1:3">
      <c r="A666" s="98" t="s">
        <v>910</v>
      </c>
      <c r="B666" s="98" t="s">
        <v>602</v>
      </c>
      <c r="C666" s="98" t="s">
        <v>601</v>
      </c>
    </row>
    <row r="667" spans="1:3">
      <c r="A667" s="98" t="s">
        <v>911</v>
      </c>
      <c r="B667" s="98" t="s">
        <v>604</v>
      </c>
      <c r="C667" s="98" t="s">
        <v>603</v>
      </c>
    </row>
    <row r="668" spans="1:3">
      <c r="A668" s="98" t="s">
        <v>912</v>
      </c>
      <c r="B668" s="98" t="s">
        <v>609</v>
      </c>
      <c r="C668" s="98" t="s">
        <v>608</v>
      </c>
    </row>
    <row r="669" spans="1:3">
      <c r="A669" s="97" t="s">
        <v>913</v>
      </c>
      <c r="B669" s="97" t="s">
        <v>615</v>
      </c>
      <c r="C669" s="97" t="s">
        <v>614</v>
      </c>
    </row>
    <row r="670" spans="1:3">
      <c r="A670" s="97" t="s">
        <v>914</v>
      </c>
      <c r="B670" s="97" t="s">
        <v>618</v>
      </c>
      <c r="C670" s="97" t="s">
        <v>617</v>
      </c>
    </row>
    <row r="671" spans="1:3">
      <c r="A671" s="97" t="s">
        <v>915</v>
      </c>
      <c r="B671" s="97" t="s">
        <v>623</v>
      </c>
      <c r="C671" s="97" t="s">
        <v>622</v>
      </c>
    </row>
    <row r="672" spans="1:3">
      <c r="A672" s="98" t="s">
        <v>916</v>
      </c>
      <c r="B672" s="98" t="s">
        <v>625</v>
      </c>
      <c r="C672" s="98" t="s">
        <v>624</v>
      </c>
    </row>
    <row r="673" spans="1:3">
      <c r="A673" s="98" t="s">
        <v>917</v>
      </c>
      <c r="B673" s="98" t="s">
        <v>627</v>
      </c>
      <c r="C673" s="98" t="s">
        <v>626</v>
      </c>
    </row>
    <row r="674" spans="1:3">
      <c r="A674" s="98" t="s">
        <v>918</v>
      </c>
      <c r="B674" s="98" t="s">
        <v>632</v>
      </c>
      <c r="C674" s="98" t="s">
        <v>631</v>
      </c>
    </row>
    <row r="675" spans="1:3">
      <c r="A675" s="90" t="s">
        <v>919</v>
      </c>
      <c r="B675" s="90" t="s">
        <v>1371</v>
      </c>
      <c r="C675" s="90" t="s">
        <v>1370</v>
      </c>
    </row>
    <row r="676" spans="1:3">
      <c r="A676" s="90" t="s">
        <v>920</v>
      </c>
      <c r="B676" s="90" t="s">
        <v>523</v>
      </c>
      <c r="C676" s="90" t="s">
        <v>522</v>
      </c>
    </row>
    <row r="677" spans="1:3">
      <c r="A677" s="90" t="s">
        <v>921</v>
      </c>
      <c r="B677" s="90" t="s">
        <v>526</v>
      </c>
      <c r="C677" s="90" t="s">
        <v>525</v>
      </c>
    </row>
    <row r="678" spans="1:3">
      <c r="A678" s="97" t="s">
        <v>922</v>
      </c>
      <c r="B678" s="97" t="s">
        <v>1537</v>
      </c>
      <c r="C678" s="97" t="s">
        <v>1536</v>
      </c>
    </row>
    <row r="679" spans="1:3">
      <c r="A679" s="97" t="s">
        <v>923</v>
      </c>
      <c r="B679" s="97" t="s">
        <v>692</v>
      </c>
      <c r="C679" s="97" t="s">
        <v>691</v>
      </c>
    </row>
    <row r="680" spans="1:3">
      <c r="A680" s="97" t="s">
        <v>924</v>
      </c>
      <c r="B680" s="97" t="s">
        <v>695</v>
      </c>
      <c r="C680" s="97" t="s">
        <v>694</v>
      </c>
    </row>
    <row r="681" spans="1:3">
      <c r="A681" s="98" t="s">
        <v>925</v>
      </c>
      <c r="B681" s="98" t="s">
        <v>699</v>
      </c>
      <c r="C681" s="98" t="s">
        <v>698</v>
      </c>
    </row>
    <row r="682" spans="1:3">
      <c r="A682" s="98" t="s">
        <v>926</v>
      </c>
      <c r="B682" s="98" t="s">
        <v>702</v>
      </c>
      <c r="C682" s="98" t="s">
        <v>701</v>
      </c>
    </row>
    <row r="683" spans="1:3">
      <c r="A683" s="98" t="s">
        <v>927</v>
      </c>
      <c r="B683" s="98" t="s">
        <v>706</v>
      </c>
      <c r="C683" s="98" t="s">
        <v>705</v>
      </c>
    </row>
    <row r="684" spans="1:3">
      <c r="A684" s="86" t="s">
        <v>928</v>
      </c>
      <c r="B684" s="86" t="s">
        <v>721</v>
      </c>
      <c r="C684" s="86" t="s">
        <v>720</v>
      </c>
    </row>
    <row r="685" spans="1:3">
      <c r="A685" s="86" t="s">
        <v>929</v>
      </c>
      <c r="B685" s="86" t="s">
        <v>721</v>
      </c>
      <c r="C685" s="86" t="s">
        <v>722</v>
      </c>
    </row>
    <row r="686" spans="1:3">
      <c r="A686" s="86" t="s">
        <v>930</v>
      </c>
      <c r="B686" s="86" t="s">
        <v>724</v>
      </c>
      <c r="C686" s="86" t="s">
        <v>723</v>
      </c>
    </row>
    <row r="687" spans="1:3">
      <c r="A687" s="86" t="s">
        <v>931</v>
      </c>
      <c r="B687" s="86" t="s">
        <v>726</v>
      </c>
      <c r="C687" s="86" t="s">
        <v>725</v>
      </c>
    </row>
    <row r="688" spans="1:3">
      <c r="A688" s="86" t="s">
        <v>932</v>
      </c>
      <c r="B688" s="86" t="s">
        <v>726</v>
      </c>
      <c r="C688" s="86" t="s">
        <v>728</v>
      </c>
    </row>
    <row r="689" spans="1:3">
      <c r="A689" s="86" t="s">
        <v>933</v>
      </c>
      <c r="B689" s="86" t="s">
        <v>726</v>
      </c>
      <c r="C689" s="86" t="s">
        <v>729</v>
      </c>
    </row>
    <row r="690" spans="1:3">
      <c r="A690" s="86" t="s">
        <v>934</v>
      </c>
      <c r="B690" s="86" t="s">
        <v>731</v>
      </c>
      <c r="C690" s="86" t="s">
        <v>730</v>
      </c>
    </row>
    <row r="691" spans="1:3">
      <c r="A691" s="86" t="s">
        <v>935</v>
      </c>
      <c r="B691" s="86" t="s">
        <v>731</v>
      </c>
      <c r="C691" s="86" t="s">
        <v>732</v>
      </c>
    </row>
    <row r="692" spans="1:3">
      <c r="A692" s="86" t="s">
        <v>936</v>
      </c>
      <c r="B692" s="86" t="s">
        <v>734</v>
      </c>
      <c r="C692" s="86" t="s">
        <v>733</v>
      </c>
    </row>
    <row r="693" spans="1:3">
      <c r="A693" s="86" t="s">
        <v>937</v>
      </c>
      <c r="B693" s="86" t="s">
        <v>734</v>
      </c>
      <c r="C693" s="86" t="s">
        <v>736</v>
      </c>
    </row>
    <row r="694" spans="1:3">
      <c r="A694" s="86" t="s">
        <v>938</v>
      </c>
      <c r="B694" s="86" t="s">
        <v>734</v>
      </c>
      <c r="C694" s="86" t="s">
        <v>737</v>
      </c>
    </row>
    <row r="695" spans="1:3">
      <c r="A695" s="86" t="s">
        <v>939</v>
      </c>
      <c r="B695" s="86" t="s">
        <v>739</v>
      </c>
      <c r="C695" s="86" t="s">
        <v>738</v>
      </c>
    </row>
    <row r="696" spans="1:3">
      <c r="A696" s="86" t="s">
        <v>940</v>
      </c>
      <c r="B696" s="86" t="s">
        <v>739</v>
      </c>
      <c r="C696" s="86" t="s">
        <v>741</v>
      </c>
    </row>
    <row r="697" spans="1:3">
      <c r="A697" s="86" t="s">
        <v>1660</v>
      </c>
      <c r="B697" s="86" t="s">
        <v>1589</v>
      </c>
      <c r="C697" s="86" t="s">
        <v>1588</v>
      </c>
    </row>
    <row r="698" spans="1:3">
      <c r="A698" s="86" t="s">
        <v>941</v>
      </c>
      <c r="B698" s="86" t="s">
        <v>1590</v>
      </c>
      <c r="C698" s="86" t="s">
        <v>742</v>
      </c>
    </row>
    <row r="699" spans="1:3">
      <c r="A699" s="100" t="s">
        <v>942</v>
      </c>
      <c r="B699" s="100" t="s">
        <v>615</v>
      </c>
      <c r="C699" s="100" t="s">
        <v>1591</v>
      </c>
    </row>
    <row r="700" spans="1:3">
      <c r="A700" s="100" t="s">
        <v>943</v>
      </c>
      <c r="B700" s="100" t="s">
        <v>1593</v>
      </c>
      <c r="C700" s="100" t="s">
        <v>1592</v>
      </c>
    </row>
    <row r="701" spans="1:3">
      <c r="A701" s="100" t="s">
        <v>944</v>
      </c>
      <c r="B701" s="100" t="s">
        <v>602</v>
      </c>
      <c r="C701" s="100" t="s">
        <v>1595</v>
      </c>
    </row>
    <row r="702" spans="1:3">
      <c r="A702" s="100" t="s">
        <v>945</v>
      </c>
      <c r="B702" s="100" t="s">
        <v>1598</v>
      </c>
      <c r="C702" s="100" t="s">
        <v>1597</v>
      </c>
    </row>
    <row r="703" spans="1:3">
      <c r="A703" s="100" t="s">
        <v>946</v>
      </c>
      <c r="B703" s="100" t="s">
        <v>1600</v>
      </c>
      <c r="C703" s="100" t="s">
        <v>1599</v>
      </c>
    </row>
    <row r="704" spans="1:3">
      <c r="A704" s="100" t="s">
        <v>947</v>
      </c>
      <c r="B704" s="100" t="s">
        <v>1603</v>
      </c>
      <c r="C704" s="100" t="s">
        <v>1602</v>
      </c>
    </row>
    <row r="705" spans="1:3">
      <c r="A705" s="100" t="s">
        <v>948</v>
      </c>
      <c r="B705" s="100" t="s">
        <v>641</v>
      </c>
      <c r="C705" s="100" t="s">
        <v>1604</v>
      </c>
    </row>
    <row r="706" spans="1:3">
      <c r="A706" s="100" t="s">
        <v>949</v>
      </c>
      <c r="B706" s="100" t="s">
        <v>1607</v>
      </c>
      <c r="C706" s="100" t="s">
        <v>1606</v>
      </c>
    </row>
    <row r="707" spans="1:3">
      <c r="A707" s="100" t="s">
        <v>950</v>
      </c>
      <c r="B707" s="100" t="s">
        <v>1610</v>
      </c>
      <c r="C707" s="100" t="s">
        <v>1609</v>
      </c>
    </row>
    <row r="708" spans="1:3">
      <c r="A708" s="100" t="s">
        <v>951</v>
      </c>
      <c r="B708" s="100" t="s">
        <v>1613</v>
      </c>
      <c r="C708" s="100" t="s">
        <v>1612</v>
      </c>
    </row>
    <row r="709" spans="1:3">
      <c r="A709" s="100" t="s">
        <v>952</v>
      </c>
      <c r="B709" s="100" t="s">
        <v>1615</v>
      </c>
      <c r="C709" s="100" t="s">
        <v>1614</v>
      </c>
    </row>
    <row r="710" spans="1:3">
      <c r="A710" s="100" t="s">
        <v>953</v>
      </c>
      <c r="B710" s="100" t="s">
        <v>1617</v>
      </c>
      <c r="C710" s="100" t="s">
        <v>1616</v>
      </c>
    </row>
    <row r="711" spans="1:3">
      <c r="A711" s="100" t="s">
        <v>954</v>
      </c>
      <c r="B711" s="100" t="s">
        <v>1619</v>
      </c>
      <c r="C711" s="100" t="s">
        <v>1618</v>
      </c>
    </row>
    <row r="712" spans="1:3">
      <c r="A712" s="100" t="s">
        <v>955</v>
      </c>
      <c r="B712" s="100" t="s">
        <v>1537</v>
      </c>
      <c r="C712" s="100" t="s">
        <v>1621</v>
      </c>
    </row>
    <row r="713" spans="1:3">
      <c r="A713" s="100" t="s">
        <v>956</v>
      </c>
      <c r="B713" s="100" t="s">
        <v>591</v>
      </c>
      <c r="C713" s="100" t="s">
        <v>1622</v>
      </c>
    </row>
    <row r="714" spans="1:3">
      <c r="A714" s="100" t="s">
        <v>957</v>
      </c>
      <c r="B714" s="100" t="s">
        <v>1625</v>
      </c>
      <c r="C714" s="100" t="s">
        <v>1624</v>
      </c>
    </row>
    <row r="715" spans="1:3">
      <c r="A715" s="100" t="s">
        <v>958</v>
      </c>
      <c r="B715" s="100" t="s">
        <v>1627</v>
      </c>
      <c r="C715" s="100" t="s">
        <v>1626</v>
      </c>
    </row>
    <row r="716" spans="1:3">
      <c r="A716" s="100" t="s">
        <v>959</v>
      </c>
      <c r="B716" s="100" t="s">
        <v>1629</v>
      </c>
      <c r="C716" s="100" t="s">
        <v>1628</v>
      </c>
    </row>
    <row r="717" spans="1:3">
      <c r="A717" s="100" t="s">
        <v>960</v>
      </c>
      <c r="B717" s="100" t="s">
        <v>1512</v>
      </c>
      <c r="C717" s="100" t="s">
        <v>1630</v>
      </c>
    </row>
    <row r="718" spans="1:3">
      <c r="A718" s="100" t="s">
        <v>961</v>
      </c>
      <c r="B718" s="100" t="s">
        <v>1632</v>
      </c>
      <c r="C718" s="100" t="s">
        <v>1631</v>
      </c>
    </row>
    <row r="719" spans="1:3">
      <c r="A719" s="100" t="s">
        <v>962</v>
      </c>
      <c r="B719" s="100" t="s">
        <v>514</v>
      </c>
      <c r="C719" s="100" t="s">
        <v>1633</v>
      </c>
    </row>
    <row r="720" spans="1:3">
      <c r="A720" s="100" t="s">
        <v>963</v>
      </c>
      <c r="B720" s="100" t="s">
        <v>1635</v>
      </c>
      <c r="C720" s="100" t="s">
        <v>1634</v>
      </c>
    </row>
    <row r="721" spans="1:3">
      <c r="A721" s="100" t="s">
        <v>964</v>
      </c>
      <c r="B721" s="100" t="s">
        <v>1637</v>
      </c>
      <c r="C721" s="100" t="s">
        <v>1636</v>
      </c>
    </row>
    <row r="722" spans="1:3">
      <c r="A722" s="100" t="s">
        <v>965</v>
      </c>
      <c r="B722" s="100" t="s">
        <v>677</v>
      </c>
      <c r="C722" s="100" t="s">
        <v>1639</v>
      </c>
    </row>
    <row r="723" spans="1:3">
      <c r="A723" s="98" t="s">
        <v>966</v>
      </c>
      <c r="B723" s="98" t="s">
        <v>745</v>
      </c>
      <c r="C723" s="98" t="s">
        <v>744</v>
      </c>
    </row>
    <row r="724" spans="1:3">
      <c r="A724" s="98" t="s">
        <v>967</v>
      </c>
      <c r="B724" s="98" t="s">
        <v>748</v>
      </c>
      <c r="C724" s="98" t="s">
        <v>747</v>
      </c>
    </row>
    <row r="725" spans="1:3">
      <c r="A725" s="98" t="s">
        <v>968</v>
      </c>
      <c r="B725" s="98" t="s">
        <v>751</v>
      </c>
      <c r="C725" s="98" t="s">
        <v>750</v>
      </c>
    </row>
    <row r="726" spans="1:3">
      <c r="A726" s="87" t="s">
        <v>969</v>
      </c>
      <c r="B726" s="87" t="s">
        <v>529</v>
      </c>
      <c r="C726" s="87" t="s">
        <v>528</v>
      </c>
    </row>
    <row r="727" spans="1:3">
      <c r="A727" s="87" t="s">
        <v>970</v>
      </c>
      <c r="B727" s="87" t="s">
        <v>531</v>
      </c>
      <c r="C727" s="87" t="s">
        <v>530</v>
      </c>
    </row>
    <row r="728" spans="1:3">
      <c r="A728" s="87" t="s">
        <v>971</v>
      </c>
      <c r="B728" s="87" t="s">
        <v>1380</v>
      </c>
      <c r="C728" s="87" t="s">
        <v>533</v>
      </c>
    </row>
    <row r="729" spans="1:3">
      <c r="A729" s="90" t="s">
        <v>972</v>
      </c>
      <c r="B729" s="90" t="s">
        <v>536</v>
      </c>
      <c r="C729" s="90" t="s">
        <v>535</v>
      </c>
    </row>
    <row r="730" spans="1:3">
      <c r="A730" s="90" t="s">
        <v>973</v>
      </c>
      <c r="B730" s="90" t="s">
        <v>538</v>
      </c>
      <c r="C730" s="90" t="s">
        <v>537</v>
      </c>
    </row>
    <row r="731" spans="1:3">
      <c r="A731" s="90" t="s">
        <v>974</v>
      </c>
      <c r="B731" s="90" t="s">
        <v>541</v>
      </c>
      <c r="C731" s="90" t="s">
        <v>540</v>
      </c>
    </row>
    <row r="732" spans="1:3">
      <c r="A732" s="95" t="s">
        <v>975</v>
      </c>
      <c r="B732" s="95" t="s">
        <v>545</v>
      </c>
      <c r="C732" s="95" t="s">
        <v>544</v>
      </c>
    </row>
    <row r="733" spans="1:3">
      <c r="A733" s="95" t="s">
        <v>976</v>
      </c>
      <c r="B733" s="95" t="s">
        <v>1396</v>
      </c>
      <c r="C733" s="95" t="s">
        <v>546</v>
      </c>
    </row>
    <row r="734" spans="1:3">
      <c r="A734" s="95" t="s">
        <v>977</v>
      </c>
      <c r="B734" s="95" t="s">
        <v>549</v>
      </c>
      <c r="C734" s="95" t="s">
        <v>548</v>
      </c>
    </row>
    <row r="735" spans="1:3">
      <c r="A735" s="90" t="s">
        <v>978</v>
      </c>
      <c r="B735" s="90" t="s">
        <v>1406</v>
      </c>
      <c r="C735" s="90" t="s">
        <v>551</v>
      </c>
    </row>
    <row r="736" spans="1:3">
      <c r="A736" s="90" t="s">
        <v>979</v>
      </c>
      <c r="B736" s="90" t="s">
        <v>552</v>
      </c>
      <c r="C736" s="90" t="s">
        <v>980</v>
      </c>
    </row>
    <row r="737" spans="1:3">
      <c r="A737" s="90" t="s">
        <v>981</v>
      </c>
      <c r="B737" s="90" t="s">
        <v>706</v>
      </c>
      <c r="C737" s="90" t="s">
        <v>1408</v>
      </c>
    </row>
    <row r="738" spans="1:3">
      <c r="A738" s="87" t="s">
        <v>982</v>
      </c>
      <c r="B738" s="87" t="s">
        <v>1417</v>
      </c>
      <c r="C738" s="87" t="s">
        <v>1416</v>
      </c>
    </row>
    <row r="739" spans="1:3">
      <c r="A739" s="87" t="s">
        <v>983</v>
      </c>
      <c r="B739" s="87" t="s">
        <v>1419</v>
      </c>
      <c r="C739" s="87" t="s">
        <v>1418</v>
      </c>
    </row>
    <row r="740" spans="1:3">
      <c r="A740" s="96" t="s">
        <v>984</v>
      </c>
      <c r="B740" s="96" t="s">
        <v>1423</v>
      </c>
      <c r="C740" s="96" t="s">
        <v>1422</v>
      </c>
    </row>
    <row r="741" spans="1:3">
      <c r="A741" s="90" t="s">
        <v>985</v>
      </c>
      <c r="B741" s="90" t="s">
        <v>986</v>
      </c>
      <c r="C741" s="90" t="s">
        <v>556</v>
      </c>
    </row>
    <row r="742" spans="1:3">
      <c r="A742" s="90" t="s">
        <v>987</v>
      </c>
      <c r="B742" s="90" t="s">
        <v>558</v>
      </c>
      <c r="C742" s="90" t="s">
        <v>557</v>
      </c>
    </row>
    <row r="743" spans="1:3">
      <c r="A743" s="90" t="s">
        <v>988</v>
      </c>
      <c r="B743" s="90" t="s">
        <v>1436</v>
      </c>
      <c r="C743" s="90" t="s">
        <v>1435</v>
      </c>
    </row>
    <row r="744" spans="1:3">
      <c r="A744" s="97" t="s">
        <v>989</v>
      </c>
      <c r="B744" s="97" t="s">
        <v>563</v>
      </c>
      <c r="C744" s="97" t="s">
        <v>562</v>
      </c>
    </row>
    <row r="745" spans="1:3">
      <c r="A745" s="97" t="s">
        <v>990</v>
      </c>
      <c r="B745" s="97" t="s">
        <v>565</v>
      </c>
      <c r="C745" s="97" t="s">
        <v>564</v>
      </c>
    </row>
    <row r="746" spans="1:3">
      <c r="A746" s="97" t="s">
        <v>991</v>
      </c>
      <c r="B746" s="97" t="s">
        <v>568</v>
      </c>
      <c r="C746" s="97" t="s">
        <v>567</v>
      </c>
    </row>
    <row r="747" spans="1:3">
      <c r="A747" s="95" t="s">
        <v>992</v>
      </c>
      <c r="B747" s="95" t="s">
        <v>572</v>
      </c>
      <c r="C747" s="95" t="s">
        <v>571</v>
      </c>
    </row>
    <row r="748" spans="1:3">
      <c r="A748" s="95" t="s">
        <v>993</v>
      </c>
      <c r="B748" s="95" t="s">
        <v>574</v>
      </c>
      <c r="C748" s="95" t="s">
        <v>573</v>
      </c>
    </row>
    <row r="749" spans="1:3">
      <c r="A749" s="95" t="s">
        <v>994</v>
      </c>
      <c r="B749" s="95" t="s">
        <v>1449</v>
      </c>
      <c r="C749" s="95" t="s">
        <v>576</v>
      </c>
    </row>
    <row r="750" spans="1:3">
      <c r="A750" s="90" t="s">
        <v>995</v>
      </c>
      <c r="B750" s="90" t="s">
        <v>1461</v>
      </c>
      <c r="C750" s="90" t="s">
        <v>1460</v>
      </c>
    </row>
    <row r="751" spans="1:3">
      <c r="A751" s="92" t="s">
        <v>996</v>
      </c>
      <c r="B751" s="92" t="s">
        <v>1463</v>
      </c>
      <c r="C751" s="92" t="s">
        <v>1462</v>
      </c>
    </row>
    <row r="752" spans="1:3">
      <c r="A752" s="90" t="s">
        <v>997</v>
      </c>
      <c r="B752" s="90" t="s">
        <v>1466</v>
      </c>
      <c r="C752" s="90" t="s">
        <v>1465</v>
      </c>
    </row>
    <row r="753" spans="1:4">
      <c r="A753" s="97" t="s">
        <v>998</v>
      </c>
      <c r="B753" s="97" t="s">
        <v>648</v>
      </c>
      <c r="C753" s="97" t="s">
        <v>647</v>
      </c>
    </row>
    <row r="754" spans="1:4">
      <c r="A754" s="97" t="s">
        <v>999</v>
      </c>
      <c r="B754" s="97" t="s">
        <v>1506</v>
      </c>
      <c r="C754" s="97" t="s">
        <v>650</v>
      </c>
    </row>
    <row r="755" spans="1:4">
      <c r="A755" s="97" t="s">
        <v>1000</v>
      </c>
      <c r="B755" s="97" t="s">
        <v>653</v>
      </c>
      <c r="C755" s="97" t="s">
        <v>652</v>
      </c>
    </row>
    <row r="756" spans="1:4">
      <c r="A756" s="98" t="s">
        <v>1001</v>
      </c>
      <c r="B756" s="98" t="s">
        <v>1512</v>
      </c>
      <c r="C756" s="98" t="s">
        <v>1511</v>
      </c>
    </row>
    <row r="757" spans="1:4">
      <c r="A757" s="98" t="s">
        <v>1002</v>
      </c>
      <c r="B757" s="98" t="s">
        <v>1513</v>
      </c>
      <c r="C757" s="98" t="s">
        <v>654</v>
      </c>
    </row>
    <row r="758" spans="1:4">
      <c r="A758" s="98" t="s">
        <v>1003</v>
      </c>
      <c r="B758" s="98" t="s">
        <v>1514</v>
      </c>
      <c r="C758" s="98" t="s">
        <v>656</v>
      </c>
    </row>
    <row r="759" spans="1:4">
      <c r="A759" s="87" t="s">
        <v>1004</v>
      </c>
      <c r="B759" s="87" t="s">
        <v>1476</v>
      </c>
      <c r="C759" s="87" t="s">
        <v>579</v>
      </c>
    </row>
    <row r="760" spans="1:4">
      <c r="A760" s="87" t="s">
        <v>1005</v>
      </c>
      <c r="B760" s="87" t="s">
        <v>1477</v>
      </c>
      <c r="C760" s="87" t="s">
        <v>580</v>
      </c>
    </row>
    <row r="761" spans="1:4">
      <c r="A761" s="87" t="s">
        <v>1006</v>
      </c>
      <c r="B761" s="87" t="s">
        <v>1478</v>
      </c>
      <c r="C761" s="87" t="s">
        <v>582</v>
      </c>
    </row>
    <row r="762" spans="1:4">
      <c r="A762" s="97" t="s">
        <v>1007</v>
      </c>
      <c r="B762" s="97" t="s">
        <v>1520</v>
      </c>
      <c r="C762" s="97" t="s">
        <v>1519</v>
      </c>
    </row>
    <row r="763" spans="1:4">
      <c r="A763" s="97" t="s">
        <v>1008</v>
      </c>
      <c r="B763" s="97" t="s">
        <v>1522</v>
      </c>
      <c r="C763" s="97" t="s">
        <v>1521</v>
      </c>
    </row>
    <row r="764" spans="1:4">
      <c r="A764" s="97" t="s">
        <v>1009</v>
      </c>
      <c r="B764" s="97" t="s">
        <v>1526</v>
      </c>
      <c r="C764" s="97" t="s">
        <v>1525</v>
      </c>
    </row>
    <row r="765" spans="1:4">
      <c r="A765" s="87" t="s">
        <v>1010</v>
      </c>
      <c r="B765" s="87" t="s">
        <v>1485</v>
      </c>
      <c r="C765" s="87" t="s">
        <v>584</v>
      </c>
    </row>
    <row r="766" spans="1:4">
      <c r="A766" s="87" t="s">
        <v>1011</v>
      </c>
      <c r="B766" s="87" t="s">
        <v>1486</v>
      </c>
      <c r="C766" s="87" t="s">
        <v>585</v>
      </c>
    </row>
    <row r="767" spans="1:4">
      <c r="A767" s="87" t="s">
        <v>1012</v>
      </c>
      <c r="B767" s="87" t="s">
        <v>1327</v>
      </c>
      <c r="C767" s="87" t="s">
        <v>1487</v>
      </c>
    </row>
    <row r="768" spans="1:4">
      <c r="A768" s="103" t="s">
        <v>1667</v>
      </c>
      <c r="B768" s="103" t="str">
        <f>VLOOKUP(C768,[2]Sheet1!$A:$B,2,0)</f>
        <v>冰爆</v>
      </c>
      <c r="C768" s="103" t="s">
        <v>1661</v>
      </c>
      <c r="D768" t="s">
        <v>1664</v>
      </c>
    </row>
    <row r="769" spans="1:4">
      <c r="A769" s="103" t="s">
        <v>1668</v>
      </c>
      <c r="B769" s="103" t="str">
        <f>VLOOKUP(C769,[2]Sheet1!$A:$B,2,0)</f>
        <v>雷暴</v>
      </c>
      <c r="C769" s="103" t="s">
        <v>678</v>
      </c>
      <c r="D769" t="s">
        <v>1664</v>
      </c>
    </row>
    <row r="770" spans="1:4">
      <c r="A770" s="103" t="s">
        <v>1669</v>
      </c>
      <c r="B770" s="103" t="str">
        <f>VLOOKUP(C770,[2]Sheet1!$A:$B,2,0)</f>
        <v>普攻眩晕</v>
      </c>
      <c r="C770" s="103" t="s">
        <v>681</v>
      </c>
      <c r="D770" t="s">
        <v>1664</v>
      </c>
    </row>
    <row r="771" spans="1:4">
      <c r="A771" s="103" t="s">
        <v>1670</v>
      </c>
      <c r="B771" s="103" t="str">
        <f>VLOOKUP(C771,[2]Sheet1!$A:$B,2,0)</f>
        <v>天雷斩</v>
      </c>
      <c r="C771" s="103" t="s">
        <v>682</v>
      </c>
      <c r="D771" t="s">
        <v>1664</v>
      </c>
    </row>
    <row r="772" spans="1:4">
      <c r="A772" s="98" t="s">
        <v>1671</v>
      </c>
      <c r="B772" s="98" t="str">
        <f>VLOOKUP(C772,[2]Sheet1!$A:$B,2,0)</f>
        <v>圣光水域</v>
      </c>
      <c r="C772" s="98" t="s">
        <v>1662</v>
      </c>
      <c r="D772" t="s">
        <v>1665</v>
      </c>
    </row>
    <row r="773" spans="1:4">
      <c r="A773" s="98" t="s">
        <v>1672</v>
      </c>
      <c r="B773" s="98" t="str">
        <f>VLOOKUP(C773,[2]Sheet1!$A:$B,2,0)</f>
        <v>雷暴</v>
      </c>
      <c r="C773" s="98" t="s">
        <v>678</v>
      </c>
      <c r="D773" t="s">
        <v>1665</v>
      </c>
    </row>
    <row r="774" spans="1:4">
      <c r="A774" s="98" t="s">
        <v>1673</v>
      </c>
      <c r="B774" s="98" t="str">
        <f>VLOOKUP(C774,[2]Sheet1!$A:$B,2,0)</f>
        <v>普攻眩晕</v>
      </c>
      <c r="C774" s="98" t="s">
        <v>1663</v>
      </c>
      <c r="D774" t="s">
        <v>1665</v>
      </c>
    </row>
    <row r="775" spans="1:4">
      <c r="A775" s="98" t="s">
        <v>1674</v>
      </c>
      <c r="B775" s="98" t="str">
        <f>VLOOKUP(C775,[2]Sheet1!$A:$B,2,0)</f>
        <v>天雷斩</v>
      </c>
      <c r="C775" s="98" t="s">
        <v>682</v>
      </c>
      <c r="D775" t="s">
        <v>1665</v>
      </c>
    </row>
    <row r="776" spans="1:4">
      <c r="A776" s="103" t="s">
        <v>1675</v>
      </c>
      <c r="B776" s="103" t="str">
        <f>VLOOKUP(C776,[2]Sheet1!$A:$B,2,0)</f>
        <v>土墙防护</v>
      </c>
      <c r="C776" s="103" t="s">
        <v>1636</v>
      </c>
      <c r="D776" t="s">
        <v>1666</v>
      </c>
    </row>
    <row r="777" spans="1:4">
      <c r="A777" s="103" t="s">
        <v>1676</v>
      </c>
      <c r="B777" s="103" t="str">
        <f>VLOOKUP(C777,[2]Sheet1!$A:$B,2,0)</f>
        <v>连环击</v>
      </c>
      <c r="C777" s="103" t="s">
        <v>723</v>
      </c>
      <c r="D777" t="s">
        <v>1666</v>
      </c>
    </row>
    <row r="778" spans="1:4">
      <c r="A778" s="103" t="s">
        <v>1677</v>
      </c>
      <c r="B778" s="103" t="str">
        <f>VLOOKUP(C778,[2]Sheet1!$A:$B,2,0)</f>
        <v>闪避提升</v>
      </c>
      <c r="C778" s="103" t="s">
        <v>655</v>
      </c>
      <c r="D778" t="s">
        <v>1666</v>
      </c>
    </row>
    <row r="779" spans="1:4">
      <c r="A779" s="103" t="s">
        <v>1678</v>
      </c>
      <c r="B779" s="103" t="str">
        <f>VLOOKUP(C779,[2]Sheet1!$A:$B,2,0)</f>
        <v>熔岩之路</v>
      </c>
      <c r="C779" s="103" t="s">
        <v>656</v>
      </c>
      <c r="D779" t="s">
        <v>1666</v>
      </c>
    </row>
  </sheetData>
  <phoneticPr fontId="3" type="noConversion"/>
  <hyperlinks>
    <hyperlink ref="C532" r:id="rId1" display="对范围内敌人造成4次主角攻击力@s的物理伤害，并昏迷敌人2秒"/>
    <hyperlink ref="C281" r:id="rId2" display="召唤对范围内敌人造成主角攻击力@s的法术伤害，并造成灼烧效果，持续6秒"/>
    <hyperlink ref="C285" r:id="rId3" display="对范围内敌人造成主角攻击力@s的法术伤害，并造成灼烧效果，持续6秒"/>
    <hyperlink ref="C26" r:id="rId4" display="对范围内敌人造成4次自身攻击力@s的物理伤害，并使敌人受到伤害提升@s，持续3秒"/>
    <hyperlink ref="C24" r:id="rId5" display="对范围内敌人造成4次自身攻击力@s的物理伤害，并使敌人受到伤害提升@s，持续3秒"/>
    <hyperlink ref="C28" r:id="rId6" display="对范围内敌人造成4次自身攻击力@s的物理伤害，并使敌人受到伤害提升@s，持续3秒"/>
    <hyperlink ref="C29" r:id="rId7" display="对范围内敌人造成4次自身攻击力@s的物理伤害，并使敌人受到伤害提升@s，持续3秒"/>
    <hyperlink ref="C40" r:id="rId8" display="对范围内敌人造成3次自身攻击力@s的物理伤害，并使敌人受到伤害提升@s，持续3秒"/>
    <hyperlink ref="C44" r:id="rId9" display="对范围内敌人造成3次自身攻击力@s的物理伤害，并使敌人受到伤害提升@s，持续3秒"/>
    <hyperlink ref="C48" r:id="rId10" display="对敌人造成4次自身攻击力@s的物理伤害，并造成灼烧效果，持续6秒"/>
    <hyperlink ref="C52" r:id="rId11" display="对敌人造成4次自身攻击力@s的伤害，并造成灼烧效果，持续6秒"/>
    <hyperlink ref="C75" r:id="rId12" display="对范围内敌人造成4次主角攻击力@s的物理伤害，并昏迷敌人2秒"/>
    <hyperlink ref="C166" r:id="rId13" display="对范围内敌人造成3次自身攻击力@s的物理伤害"/>
    <hyperlink ref="C192" r:id="rId14" display="对范围内的敌人造成4次攻击力@s的法术伤害，每次攻击清除敌人1个增益状态"/>
    <hyperlink ref="C221" r:id="rId15" display="对所有敌人造成3次自身攻击力@s的法术伤害"/>
    <hyperlink ref="C399" r:id="rId16" display="对范围的目标造成主角攻击力@s的伤害，并减少@s对方防御"/>
    <hyperlink ref="C379" r:id="rId17" display="降低范围内目标@s的命中率，@s的防御，持续3秒"/>
    <hyperlink ref="C384" r:id="rId18"/>
    <hyperlink ref="C394" r:id="rId19" display="提高范围内队友@s的防御力，持续3秒"/>
    <hyperlink ref="C397" r:id="rId20" display="对命中目标造成自身攻击力@s的伤害，并降低@s攻击力"/>
    <hyperlink ref="C140" r:id="rId21" display="提升自身防御力@s，持续6秒"/>
    <hyperlink ref="C66" r:id="rId22" display="提升自身防御力@s，持续6秒"/>
    <hyperlink ref="C16" r:id="rId23"/>
    <hyperlink ref="C19" r:id="rId24" display="二郎神舞动长枪对范围内敌人造成自身攻击力@s的物理伤害，必定暴击，并造成6秒高级流血效果"/>
    <hyperlink ref="C106" r:id="rId25" display="玉皇大帝对范围内的敌人造成自身攻击力@s的物理伤害"/>
    <hyperlink ref="C116" r:id="rId26" display="王母于地面释放凤凰对范围内敌人造成自身攻击力@s的法术伤害，并造成灼烧效果，持续3秒"/>
    <hyperlink ref="C182" r:id="rId27" display="六耳猕猴舞剑对范围内敌人造成自身攻击力@s的法术伤害，同时提升自身@s闪避率，持续3秒"/>
    <hyperlink ref="C186" r:id="rId28" display="六耳猕猴舞剑对范围内敌人造成自身攻击力@s的法术伤害，同时提升自身@s闪避率，持续3秒"/>
    <hyperlink ref="C218" r:id="rId29" display="对所有敌人造成自身攻击力@s的法术伤害"/>
    <hyperlink ref="C223" r:id="rId30" display="释放降低全体友军受到的伤害@s，持续3秒"/>
    <hyperlink ref="C260" r:id="rId31" display="蜘蛛精用自身剧毒对范围内敌人造成自身攻击力@s的物理伤害，并使敌人中毒，持续6秒"/>
    <hyperlink ref="C263" r:id="rId32" display="蜘蛛精用自身剧毒对范围内敌人造成自身攻击力@s的物理伤害，并使敌人中毒，持续6秒"/>
    <hyperlink ref="C266" r:id="rId33" display="混世魔王挥舞狼牙棒对单体敌人造成自身攻击力@s的物理伤害"/>
    <hyperlink ref="C270" r:id="rId34" display="混世魔王挥舞狼牙棒对单体敌人造成自身攻击力@s的物理伤害"/>
    <hyperlink ref="C290" r:id="rId35" display="对范围内敌人造成自身攻击力@s的法术伤害，并击飞敌人"/>
    <hyperlink ref="C300" r:id="rId36" display="对范围内敌人造成自身攻击力@s的法术伤害，同时提升自身暴击@s,持续3秒"/>
    <hyperlink ref="C323" r:id="rId37" display="对范围内敌人造成自身攻击力@s的物理伤害"/>
    <hyperlink ref="C343" r:id="rId38" display="念动降低全体友军受到伤害@s，持续6秒"/>
    <hyperlink ref="C344" r:id="rId39" display="金蝉子用御法经提升自身防御力@s，持续6秒"/>
    <hyperlink ref="C348" r:id="rId40" display="金蝉子用御法经提升自身防御力@s，持续6秒"/>
    <hyperlink ref="C390" r:id="rId41"/>
    <hyperlink ref="C402" r:id="rId42"/>
    <hyperlink ref="C407" r:id="rId43"/>
    <hyperlink ref="C424" r:id="rId44"/>
    <hyperlink ref="C427" r:id="rId45"/>
    <hyperlink ref="C429" r:id="rId46"/>
    <hyperlink ref="C431" r:id="rId47"/>
    <hyperlink ref="C15" r:id="rId48" display="提升自身@s暴击率且被攻击有概率净化自身不良状态"/>
    <hyperlink ref="C95" r:id="rId49" display="对范围内敌人造成主角攻击力@s的物理伤害，50%概率昏迷敌人2秒，若对方处于眩晕状态，无视对方10%的物理防御"/>
    <hyperlink ref="C99" r:id="rId50" display="对范围内敌人造成主角攻击力@s的物理伤害，60%概率昏迷敌人3秒，若对方处于眩晕状态，若对方处于眩晕状态,无视对方20%的物理防御和抗暴"/>
    <hyperlink ref="C97" r:id="rId51" display="自身暴击提高@s，发动技能时有概率进入霸体状态1秒"/>
    <hyperlink ref="C124" r:id="rId52" display="对范围内的敌人造成自身攻击力@s的法术伤害，寒力爆开40%的概率冰封目标2秒"/>
    <hyperlink ref="C121" r:id="rId53"/>
    <hyperlink ref="C77" r:id="rId54" display="提升自身暴击率@s,普攻有概率击晕对手1秒"/>
  </hyperlinks>
  <pageMargins left="0.7" right="0.7" top="0.75" bottom="0.75" header="0.3" footer="0.3"/>
  <pageSetup paperSize="9" orientation="portrait" r:id="rId5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技能描述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2018-02-28T19:04:42Z</dcterms:modified>
</cp:coreProperties>
</file>